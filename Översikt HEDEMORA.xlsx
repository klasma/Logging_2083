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45912</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45912</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45912</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45912</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45912</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45912</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45912</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45912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45912</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45912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34929-2024</t>
        </is>
      </c>
      <c r="B14" s="1" t="n">
        <v>45527.44895833333</v>
      </c>
      <c r="C14" s="1" t="n">
        <v>45912</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45912</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45912</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45912</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992-2024</t>
        </is>
      </c>
      <c r="B19" s="1" t="n">
        <v>45301</v>
      </c>
      <c r="C19" s="1" t="n">
        <v>45912</v>
      </c>
      <c r="D19" t="inlineStr">
        <is>
          <t>DALARNAS LÄN</t>
        </is>
      </c>
      <c r="E19" t="inlineStr">
        <is>
          <t>HEDEMORA</t>
        </is>
      </c>
      <c r="G19" t="n">
        <v>4.2</v>
      </c>
      <c r="H19" t="n">
        <v>2</v>
      </c>
      <c r="I19" t="n">
        <v>1</v>
      </c>
      <c r="J19" t="n">
        <v>4</v>
      </c>
      <c r="K19" t="n">
        <v>0</v>
      </c>
      <c r="L19" t="n">
        <v>0</v>
      </c>
      <c r="M19" t="n">
        <v>0</v>
      </c>
      <c r="N19" t="n">
        <v>0</v>
      </c>
      <c r="O19" t="n">
        <v>4</v>
      </c>
      <c r="P19" t="n">
        <v>0</v>
      </c>
      <c r="Q19" t="n">
        <v>5</v>
      </c>
      <c r="R19" s="2" t="inlineStr">
        <is>
          <t>Aspskinn
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60557-2021</t>
        </is>
      </c>
      <c r="B20" s="1" t="n">
        <v>44495</v>
      </c>
      <c r="C20" s="1" t="n">
        <v>45912</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31534-2021</t>
        </is>
      </c>
      <c r="B21" s="1" t="n">
        <v>44369</v>
      </c>
      <c r="C21" s="1" t="n">
        <v>45912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58719-2021</t>
        </is>
      </c>
      <c r="B22" s="1" t="n">
        <v>44489</v>
      </c>
      <c r="C22" s="1" t="n">
        <v>45912</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45912</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45912</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62054-2021</t>
        </is>
      </c>
      <c r="B25" s="1" t="n">
        <v>44502</v>
      </c>
      <c r="C25" s="1" t="n">
        <v>45912</v>
      </c>
      <c r="D25" t="inlineStr">
        <is>
          <t>DALARNAS LÄN</t>
        </is>
      </c>
      <c r="E25" t="inlineStr">
        <is>
          <t>HEDEMORA</t>
        </is>
      </c>
      <c r="G25" t="n">
        <v>1.5</v>
      </c>
      <c r="H25" t="n">
        <v>1</v>
      </c>
      <c r="I25" t="n">
        <v>0</v>
      </c>
      <c r="J25" t="n">
        <v>2</v>
      </c>
      <c r="K25" t="n">
        <v>1</v>
      </c>
      <c r="L25" t="n">
        <v>0</v>
      </c>
      <c r="M25" t="n">
        <v>0</v>
      </c>
      <c r="N25" t="n">
        <v>0</v>
      </c>
      <c r="O25" t="n">
        <v>3</v>
      </c>
      <c r="P25" t="n">
        <v>1</v>
      </c>
      <c r="Q25" t="n">
        <v>3</v>
      </c>
      <c r="R25" s="2" t="inlineStr">
        <is>
          <t>Knärot
Motaggsvamp
Ullticka</t>
        </is>
      </c>
      <c r="S25">
        <f>HYPERLINK("https://klasma.github.io/Logging_2083/artfynd/A 62054-2021 artfynd.xlsx", "A 62054-2021")</f>
        <v/>
      </c>
      <c r="T25">
        <f>HYPERLINK("https://klasma.github.io/Logging_2083/kartor/A 62054-2021 karta.png", "A 62054-2021")</f>
        <v/>
      </c>
      <c r="U25">
        <f>HYPERLINK("https://klasma.github.io/Logging_2083/knärot/A 62054-2021 karta knärot.png", "A 62054-2021")</f>
        <v/>
      </c>
      <c r="V25">
        <f>HYPERLINK("https://klasma.github.io/Logging_2083/klagomål/A 62054-2021 FSC-klagomål.docx", "A 62054-2021")</f>
        <v/>
      </c>
      <c r="W25">
        <f>HYPERLINK("https://klasma.github.io/Logging_2083/klagomålsmail/A 62054-2021 FSC-klagomål mail.docx", "A 62054-2021")</f>
        <v/>
      </c>
      <c r="X25">
        <f>HYPERLINK("https://klasma.github.io/Logging_2083/tillsyn/A 62054-2021 tillsynsbegäran.docx", "A 62054-2021")</f>
        <v/>
      </c>
      <c r="Y25">
        <f>HYPERLINK("https://klasma.github.io/Logging_2083/tillsynsmail/A 62054-2021 tillsynsbegäran mail.docx", "A 62054-2021")</f>
        <v/>
      </c>
    </row>
    <row r="26" ht="15" customHeight="1">
      <c r="A26" t="inlineStr">
        <is>
          <t>A 55022-2020</t>
        </is>
      </c>
      <c r="B26" s="1" t="n">
        <v>44130</v>
      </c>
      <c r="C26" s="1" t="n">
        <v>45912</v>
      </c>
      <c r="D26" t="inlineStr">
        <is>
          <t>DALARNAS LÄN</t>
        </is>
      </c>
      <c r="E26" t="inlineStr">
        <is>
          <t>HEDEMORA</t>
        </is>
      </c>
      <c r="F26" t="inlineStr">
        <is>
          <t>Sveaskog</t>
        </is>
      </c>
      <c r="G26" t="n">
        <v>3.2</v>
      </c>
      <c r="H26" t="n">
        <v>1</v>
      </c>
      <c r="I26" t="n">
        <v>0</v>
      </c>
      <c r="J26" t="n">
        <v>2</v>
      </c>
      <c r="K26" t="n">
        <v>1</v>
      </c>
      <c r="L26" t="n">
        <v>0</v>
      </c>
      <c r="M26" t="n">
        <v>0</v>
      </c>
      <c r="N26" t="n">
        <v>0</v>
      </c>
      <c r="O26" t="n">
        <v>3</v>
      </c>
      <c r="P26" t="n">
        <v>1</v>
      </c>
      <c r="Q26" t="n">
        <v>3</v>
      </c>
      <c r="R26" s="2" t="inlineStr">
        <is>
          <t>Knärot
Garnlav
Ullticka</t>
        </is>
      </c>
      <c r="S26">
        <f>HYPERLINK("https://klasma.github.io/Logging_2083/artfynd/A 55022-2020 artfynd.xlsx", "A 55022-2020")</f>
        <v/>
      </c>
      <c r="T26">
        <f>HYPERLINK("https://klasma.github.io/Logging_2083/kartor/A 55022-2020 karta.png", "A 55022-2020")</f>
        <v/>
      </c>
      <c r="U26">
        <f>HYPERLINK("https://klasma.github.io/Logging_2083/knärot/A 55022-2020 karta knärot.png", "A 55022-2020")</f>
        <v/>
      </c>
      <c r="V26">
        <f>HYPERLINK("https://klasma.github.io/Logging_2083/klagomål/A 55022-2020 FSC-klagomål.docx", "A 55022-2020")</f>
        <v/>
      </c>
      <c r="W26">
        <f>HYPERLINK("https://klasma.github.io/Logging_2083/klagomålsmail/A 55022-2020 FSC-klagomål mail.docx", "A 55022-2020")</f>
        <v/>
      </c>
      <c r="X26">
        <f>HYPERLINK("https://klasma.github.io/Logging_2083/tillsyn/A 55022-2020 tillsynsbegäran.docx", "A 55022-2020")</f>
        <v/>
      </c>
      <c r="Y26">
        <f>HYPERLINK("https://klasma.github.io/Logging_2083/tillsynsmail/A 55022-2020 tillsynsbegäran mail.docx", "A 55022-2020")</f>
        <v/>
      </c>
    </row>
    <row r="27" ht="15" customHeight="1">
      <c r="A27" t="inlineStr">
        <is>
          <t>A 2409-2022</t>
        </is>
      </c>
      <c r="B27" s="1" t="n">
        <v>44579</v>
      </c>
      <c r="C27" s="1" t="n">
        <v>45912</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45912</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45912</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45912</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45912</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54849-2022</t>
        </is>
      </c>
      <c r="B32" s="1" t="n">
        <v>44883</v>
      </c>
      <c r="C32" s="1" t="n">
        <v>45912</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45884-2021</t>
        </is>
      </c>
      <c r="B33" s="1" t="n">
        <v>44441</v>
      </c>
      <c r="C33" s="1" t="n">
        <v>45912</v>
      </c>
      <c r="D33" t="inlineStr">
        <is>
          <t>DALARNAS LÄN</t>
        </is>
      </c>
      <c r="E33" t="inlineStr">
        <is>
          <t>HEDEMORA</t>
        </is>
      </c>
      <c r="G33" t="n">
        <v>0.9</v>
      </c>
      <c r="H33" t="n">
        <v>1</v>
      </c>
      <c r="I33" t="n">
        <v>1</v>
      </c>
      <c r="J33" t="n">
        <v>0</v>
      </c>
      <c r="K33" t="n">
        <v>1</v>
      </c>
      <c r="L33" t="n">
        <v>0</v>
      </c>
      <c r="M33" t="n">
        <v>0</v>
      </c>
      <c r="N33" t="n">
        <v>0</v>
      </c>
      <c r="O33" t="n">
        <v>1</v>
      </c>
      <c r="P33" t="n">
        <v>1</v>
      </c>
      <c r="Q33" t="n">
        <v>2</v>
      </c>
      <c r="R33" s="2" t="inlineStr">
        <is>
          <t>Knärot
Bollvitmossa</t>
        </is>
      </c>
      <c r="S33">
        <f>HYPERLINK("https://klasma.github.io/Logging_2083/artfynd/A 45884-2021 artfynd.xlsx", "A 45884-2021")</f>
        <v/>
      </c>
      <c r="T33">
        <f>HYPERLINK("https://klasma.github.io/Logging_2083/kartor/A 45884-2021 karta.png", "A 45884-2021")</f>
        <v/>
      </c>
      <c r="U33">
        <f>HYPERLINK("https://klasma.github.io/Logging_2083/knärot/A 45884-2021 karta knärot.png", "A 45884-2021")</f>
        <v/>
      </c>
      <c r="V33">
        <f>HYPERLINK("https://klasma.github.io/Logging_2083/klagomål/A 45884-2021 FSC-klagomål.docx", "A 45884-2021")</f>
        <v/>
      </c>
      <c r="W33">
        <f>HYPERLINK("https://klasma.github.io/Logging_2083/klagomålsmail/A 45884-2021 FSC-klagomål mail.docx", "A 45884-2021")</f>
        <v/>
      </c>
      <c r="X33">
        <f>HYPERLINK("https://klasma.github.io/Logging_2083/tillsyn/A 45884-2021 tillsynsbegäran.docx", "A 45884-2021")</f>
        <v/>
      </c>
      <c r="Y33">
        <f>HYPERLINK("https://klasma.github.io/Logging_2083/tillsynsmail/A 45884-2021 tillsynsbegäran mail.docx", "A 45884-2021")</f>
        <v/>
      </c>
    </row>
    <row r="34" ht="15" customHeight="1">
      <c r="A34" t="inlineStr">
        <is>
          <t>A 3152-2022</t>
        </is>
      </c>
      <c r="B34" s="1" t="n">
        <v>44582</v>
      </c>
      <c r="C34" s="1" t="n">
        <v>45912</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19352-2024</t>
        </is>
      </c>
      <c r="B35" s="1" t="n">
        <v>45429.29493055555</v>
      </c>
      <c r="C35" s="1" t="n">
        <v>45912</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59035-2023</t>
        </is>
      </c>
      <c r="B36" s="1" t="n">
        <v>45252</v>
      </c>
      <c r="C36" s="1" t="n">
        <v>45912</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45912</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40765-2025</t>
        </is>
      </c>
      <c r="B38" s="1" t="n">
        <v>45897.39886574074</v>
      </c>
      <c r="C38" s="1" t="n">
        <v>45912</v>
      </c>
      <c r="D38" t="inlineStr">
        <is>
          <t>DALARNAS LÄN</t>
        </is>
      </c>
      <c r="E38" t="inlineStr">
        <is>
          <t>HEDEMORA</t>
        </is>
      </c>
      <c r="G38" t="n">
        <v>3.4</v>
      </c>
      <c r="H38" t="n">
        <v>2</v>
      </c>
      <c r="I38" t="n">
        <v>0</v>
      </c>
      <c r="J38" t="n">
        <v>0</v>
      </c>
      <c r="K38" t="n">
        <v>0</v>
      </c>
      <c r="L38" t="n">
        <v>0</v>
      </c>
      <c r="M38" t="n">
        <v>0</v>
      </c>
      <c r="N38" t="n">
        <v>0</v>
      </c>
      <c r="O38" t="n">
        <v>0</v>
      </c>
      <c r="P38" t="n">
        <v>0</v>
      </c>
      <c r="Q38" t="n">
        <v>2</v>
      </c>
      <c r="R38" s="2" t="inlineStr">
        <is>
          <t>Grönsiska
Kungsfågel</t>
        </is>
      </c>
      <c r="S38">
        <f>HYPERLINK("https://klasma.github.io/Logging_2083/artfynd/A 40765-2025 artfynd.xlsx", "A 40765-2025")</f>
        <v/>
      </c>
      <c r="T38">
        <f>HYPERLINK("https://klasma.github.io/Logging_2083/kartor/A 40765-2025 karta.png", "A 40765-2025")</f>
        <v/>
      </c>
      <c r="U38">
        <f>HYPERLINK("https://klasma.github.io/Logging_2083/knärot/A 40765-2025 karta knärot.png", "A 40765-2025")</f>
        <v/>
      </c>
      <c r="V38">
        <f>HYPERLINK("https://klasma.github.io/Logging_2083/klagomål/A 40765-2025 FSC-klagomål.docx", "A 40765-2025")</f>
        <v/>
      </c>
      <c r="W38">
        <f>HYPERLINK("https://klasma.github.io/Logging_2083/klagomålsmail/A 40765-2025 FSC-klagomål mail.docx", "A 40765-2025")</f>
        <v/>
      </c>
      <c r="X38">
        <f>HYPERLINK("https://klasma.github.io/Logging_2083/tillsyn/A 40765-2025 tillsynsbegäran.docx", "A 40765-2025")</f>
        <v/>
      </c>
      <c r="Y38">
        <f>HYPERLINK("https://klasma.github.io/Logging_2083/tillsynsmail/A 40765-2025 tillsynsbegäran mail.docx", "A 40765-2025")</f>
        <v/>
      </c>
      <c r="Z38">
        <f>HYPERLINK("https://klasma.github.io/Logging_2083/fåglar/A 40765-2025 prioriterade fågelarter.docx", "A 40765-2025")</f>
        <v/>
      </c>
    </row>
    <row r="39" ht="15" customHeight="1">
      <c r="A39" t="inlineStr">
        <is>
          <t>A 41332-2025</t>
        </is>
      </c>
      <c r="B39" s="1" t="n">
        <v>45899.35592592593</v>
      </c>
      <c r="C39" s="1" t="n">
        <v>45912</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45912</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53915-2022</t>
        </is>
      </c>
      <c r="B41" s="1" t="n">
        <v>44880.87587962963</v>
      </c>
      <c r="C41" s="1" t="n">
        <v>45912</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45912</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49889-2022</t>
        </is>
      </c>
      <c r="B43" s="1" t="n">
        <v>44864</v>
      </c>
      <c r="C43" s="1" t="n">
        <v>45912</v>
      </c>
      <c r="D43" t="inlineStr">
        <is>
          <t>DALARNAS LÄN</t>
        </is>
      </c>
      <c r="E43" t="inlineStr">
        <is>
          <t>HEDEMORA</t>
        </is>
      </c>
      <c r="F43" t="inlineStr">
        <is>
          <t>Sveaskog</t>
        </is>
      </c>
      <c r="G43" t="n">
        <v>6.8</v>
      </c>
      <c r="H43" t="n">
        <v>1</v>
      </c>
      <c r="I43" t="n">
        <v>0</v>
      </c>
      <c r="J43" t="n">
        <v>0</v>
      </c>
      <c r="K43" t="n">
        <v>1</v>
      </c>
      <c r="L43" t="n">
        <v>0</v>
      </c>
      <c r="M43" t="n">
        <v>0</v>
      </c>
      <c r="N43" t="n">
        <v>0</v>
      </c>
      <c r="O43" t="n">
        <v>1</v>
      </c>
      <c r="P43" t="n">
        <v>1</v>
      </c>
      <c r="Q43" t="n">
        <v>1</v>
      </c>
      <c r="R43" s="2" t="inlineStr">
        <is>
          <t>Knärot</t>
        </is>
      </c>
      <c r="S43">
        <f>HYPERLINK("https://klasma.github.io/Logging_2083/artfynd/A 49889-2022 artfynd.xlsx", "A 49889-2022")</f>
        <v/>
      </c>
      <c r="T43">
        <f>HYPERLINK("https://klasma.github.io/Logging_2083/kartor/A 49889-2022 karta.png", "A 49889-2022")</f>
        <v/>
      </c>
      <c r="U43">
        <f>HYPERLINK("https://klasma.github.io/Logging_2083/knärot/A 49889-2022 karta knärot.png", "A 49889-2022")</f>
        <v/>
      </c>
      <c r="V43">
        <f>HYPERLINK("https://klasma.github.io/Logging_2083/klagomål/A 49889-2022 FSC-klagomål.docx", "A 49889-2022")</f>
        <v/>
      </c>
      <c r="W43">
        <f>HYPERLINK("https://klasma.github.io/Logging_2083/klagomålsmail/A 49889-2022 FSC-klagomål mail.docx", "A 49889-2022")</f>
        <v/>
      </c>
      <c r="X43">
        <f>HYPERLINK("https://klasma.github.io/Logging_2083/tillsyn/A 49889-2022 tillsynsbegäran.docx", "A 49889-2022")</f>
        <v/>
      </c>
      <c r="Y43">
        <f>HYPERLINK("https://klasma.github.io/Logging_2083/tillsynsmail/A 49889-2022 tillsynsbegäran mail.docx", "A 49889-2022")</f>
        <v/>
      </c>
    </row>
    <row r="44" ht="15" customHeight="1">
      <c r="A44" t="inlineStr">
        <is>
          <t>A 53916-2022</t>
        </is>
      </c>
      <c r="B44" s="1" t="n">
        <v>44880.87695601852</v>
      </c>
      <c r="C44" s="1" t="n">
        <v>45912</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45912</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23815-2023</t>
        </is>
      </c>
      <c r="B46" s="1" t="n">
        <v>45078</v>
      </c>
      <c r="C46" s="1" t="n">
        <v>45912</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63542-2023</t>
        </is>
      </c>
      <c r="B47" s="1" t="n">
        <v>45275.32708333333</v>
      </c>
      <c r="C47" s="1" t="n">
        <v>45912</v>
      </c>
      <c r="D47" t="inlineStr">
        <is>
          <t>DALARNAS LÄN</t>
        </is>
      </c>
      <c r="E47" t="inlineStr">
        <is>
          <t>HEDEMORA</t>
        </is>
      </c>
      <c r="G47" t="n">
        <v>2.1</v>
      </c>
      <c r="H47" t="n">
        <v>1</v>
      </c>
      <c r="I47" t="n">
        <v>0</v>
      </c>
      <c r="J47" t="n">
        <v>1</v>
      </c>
      <c r="K47" t="n">
        <v>0</v>
      </c>
      <c r="L47" t="n">
        <v>0</v>
      </c>
      <c r="M47" t="n">
        <v>0</v>
      </c>
      <c r="N47" t="n">
        <v>0</v>
      </c>
      <c r="O47" t="n">
        <v>1</v>
      </c>
      <c r="P47" t="n">
        <v>0</v>
      </c>
      <c r="Q47" t="n">
        <v>1</v>
      </c>
      <c r="R47" s="2" t="inlineStr">
        <is>
          <t>Spillkråka</t>
        </is>
      </c>
      <c r="S47">
        <f>HYPERLINK("https://klasma.github.io/Logging_2083/artfynd/A 63542-2023 artfynd.xlsx", "A 63542-2023")</f>
        <v/>
      </c>
      <c r="T47">
        <f>HYPERLINK("https://klasma.github.io/Logging_2083/kartor/A 63542-2023 karta.png", "A 63542-2023")</f>
        <v/>
      </c>
      <c r="V47">
        <f>HYPERLINK("https://klasma.github.io/Logging_2083/klagomål/A 63542-2023 FSC-klagomål.docx", "A 63542-2023")</f>
        <v/>
      </c>
      <c r="W47">
        <f>HYPERLINK("https://klasma.github.io/Logging_2083/klagomålsmail/A 63542-2023 FSC-klagomål mail.docx", "A 63542-2023")</f>
        <v/>
      </c>
      <c r="X47">
        <f>HYPERLINK("https://klasma.github.io/Logging_2083/tillsyn/A 63542-2023 tillsynsbegäran.docx", "A 63542-2023")</f>
        <v/>
      </c>
      <c r="Y47">
        <f>HYPERLINK("https://klasma.github.io/Logging_2083/tillsynsmail/A 63542-2023 tillsynsbegäran mail.docx", "A 63542-2023")</f>
        <v/>
      </c>
      <c r="Z47">
        <f>HYPERLINK("https://klasma.github.io/Logging_2083/fåglar/A 63542-2023 prioriterade fågelarter.docx", "A 63542-2023")</f>
        <v/>
      </c>
    </row>
    <row r="48" ht="15" customHeight="1">
      <c r="A48" t="inlineStr">
        <is>
          <t>A 52941-2024</t>
        </is>
      </c>
      <c r="B48" s="1" t="n">
        <v>45610.80650462963</v>
      </c>
      <c r="C48" s="1" t="n">
        <v>45912</v>
      </c>
      <c r="D48" t="inlineStr">
        <is>
          <t>DALARNAS LÄN</t>
        </is>
      </c>
      <c r="E48" t="inlineStr">
        <is>
          <t>HEDEMORA</t>
        </is>
      </c>
      <c r="F48" t="inlineStr">
        <is>
          <t>Sveaskog</t>
        </is>
      </c>
      <c r="G48" t="n">
        <v>18.3</v>
      </c>
      <c r="H48" t="n">
        <v>1</v>
      </c>
      <c r="I48" t="n">
        <v>0</v>
      </c>
      <c r="J48" t="n">
        <v>0</v>
      </c>
      <c r="K48" t="n">
        <v>1</v>
      </c>
      <c r="L48" t="n">
        <v>0</v>
      </c>
      <c r="M48" t="n">
        <v>0</v>
      </c>
      <c r="N48" t="n">
        <v>0</v>
      </c>
      <c r="O48" t="n">
        <v>1</v>
      </c>
      <c r="P48" t="n">
        <v>1</v>
      </c>
      <c r="Q48" t="n">
        <v>1</v>
      </c>
      <c r="R48" s="2" t="inlineStr">
        <is>
          <t>Knärot</t>
        </is>
      </c>
      <c r="S48">
        <f>HYPERLINK("https://klasma.github.io/Logging_2083/artfynd/A 52941-2024 artfynd.xlsx", "A 52941-2024")</f>
        <v/>
      </c>
      <c r="T48">
        <f>HYPERLINK("https://klasma.github.io/Logging_2083/kartor/A 52941-2024 karta.png", "A 52941-2024")</f>
        <v/>
      </c>
      <c r="U48">
        <f>HYPERLINK("https://klasma.github.io/Logging_2083/knärot/A 52941-2024 karta knärot.png", "A 52941-2024")</f>
        <v/>
      </c>
      <c r="V48">
        <f>HYPERLINK("https://klasma.github.io/Logging_2083/klagomål/A 52941-2024 FSC-klagomål.docx", "A 52941-2024")</f>
        <v/>
      </c>
      <c r="W48">
        <f>HYPERLINK("https://klasma.github.io/Logging_2083/klagomålsmail/A 52941-2024 FSC-klagomål mail.docx", "A 52941-2024")</f>
        <v/>
      </c>
      <c r="X48">
        <f>HYPERLINK("https://klasma.github.io/Logging_2083/tillsyn/A 52941-2024 tillsynsbegäran.docx", "A 52941-2024")</f>
        <v/>
      </c>
      <c r="Y48">
        <f>HYPERLINK("https://klasma.github.io/Logging_2083/tillsynsmail/A 52941-2024 tillsynsbegäran mail.docx", "A 52941-2024")</f>
        <v/>
      </c>
    </row>
    <row r="49" ht="15" customHeight="1">
      <c r="A49" t="inlineStr">
        <is>
          <t>A 28181-2025</t>
        </is>
      </c>
      <c r="B49" s="1" t="n">
        <v>45818.39921296296</v>
      </c>
      <c r="C49" s="1" t="n">
        <v>45912</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45912</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53031-2023</t>
        </is>
      </c>
      <c r="B51" s="1" t="n">
        <v>45226</v>
      </c>
      <c r="C51" s="1" t="n">
        <v>45912</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53924-2024</t>
        </is>
      </c>
      <c r="B52" s="1" t="n">
        <v>45615</v>
      </c>
      <c r="C52" s="1" t="n">
        <v>45912</v>
      </c>
      <c r="D52" t="inlineStr">
        <is>
          <t>DALARNAS LÄN</t>
        </is>
      </c>
      <c r="E52" t="inlineStr">
        <is>
          <t>HEDEMORA</t>
        </is>
      </c>
      <c r="F52" t="inlineStr">
        <is>
          <t>Sveaskog</t>
        </is>
      </c>
      <c r="G52" t="n">
        <v>3.8</v>
      </c>
      <c r="H52" t="n">
        <v>1</v>
      </c>
      <c r="I52" t="n">
        <v>1</v>
      </c>
      <c r="J52" t="n">
        <v>0</v>
      </c>
      <c r="K52" t="n">
        <v>0</v>
      </c>
      <c r="L52" t="n">
        <v>0</v>
      </c>
      <c r="M52" t="n">
        <v>0</v>
      </c>
      <c r="N52" t="n">
        <v>0</v>
      </c>
      <c r="O52" t="n">
        <v>0</v>
      </c>
      <c r="P52" t="n">
        <v>0</v>
      </c>
      <c r="Q52" t="n">
        <v>1</v>
      </c>
      <c r="R52" s="2" t="inlineStr">
        <is>
          <t>Plattlummer</t>
        </is>
      </c>
      <c r="S52">
        <f>HYPERLINK("https://klasma.github.io/Logging_2083/artfynd/A 53924-2024 artfynd.xlsx", "A 53924-2024")</f>
        <v/>
      </c>
      <c r="T52">
        <f>HYPERLINK("https://klasma.github.io/Logging_2083/kartor/A 53924-2024 karta.png", "A 53924-2024")</f>
        <v/>
      </c>
      <c r="V52">
        <f>HYPERLINK("https://klasma.github.io/Logging_2083/klagomål/A 53924-2024 FSC-klagomål.docx", "A 53924-2024")</f>
        <v/>
      </c>
      <c r="W52">
        <f>HYPERLINK("https://klasma.github.io/Logging_2083/klagomålsmail/A 53924-2024 FSC-klagomål mail.docx", "A 53924-2024")</f>
        <v/>
      </c>
      <c r="X52">
        <f>HYPERLINK("https://klasma.github.io/Logging_2083/tillsyn/A 53924-2024 tillsynsbegäran.docx", "A 53924-2024")</f>
        <v/>
      </c>
      <c r="Y52">
        <f>HYPERLINK("https://klasma.github.io/Logging_2083/tillsynsmail/A 53924-2024 tillsynsbegäran mail.docx", "A 53924-2024")</f>
        <v/>
      </c>
    </row>
    <row r="53" ht="15" customHeight="1">
      <c r="A53" t="inlineStr">
        <is>
          <t>A 17590-2025</t>
        </is>
      </c>
      <c r="B53" s="1" t="n">
        <v>45757.69396990741</v>
      </c>
      <c r="C53" s="1" t="n">
        <v>45912</v>
      </c>
      <c r="D53" t="inlineStr">
        <is>
          <t>DALARNAS LÄN</t>
        </is>
      </c>
      <c r="E53" t="inlineStr">
        <is>
          <t>HEDEMORA</t>
        </is>
      </c>
      <c r="G53" t="n">
        <v>0.6</v>
      </c>
      <c r="H53" t="n">
        <v>0</v>
      </c>
      <c r="I53" t="n">
        <v>0</v>
      </c>
      <c r="J53" t="n">
        <v>1</v>
      </c>
      <c r="K53" t="n">
        <v>0</v>
      </c>
      <c r="L53" t="n">
        <v>0</v>
      </c>
      <c r="M53" t="n">
        <v>0</v>
      </c>
      <c r="N53" t="n">
        <v>0</v>
      </c>
      <c r="O53" t="n">
        <v>1</v>
      </c>
      <c r="P53" t="n">
        <v>0</v>
      </c>
      <c r="Q53" t="n">
        <v>1</v>
      </c>
      <c r="R53" s="2" t="inlineStr">
        <is>
          <t>Garnlav</t>
        </is>
      </c>
      <c r="S53">
        <f>HYPERLINK("https://klasma.github.io/Logging_2083/artfynd/A 17590-2025 artfynd.xlsx", "A 17590-2025")</f>
        <v/>
      </c>
      <c r="T53">
        <f>HYPERLINK("https://klasma.github.io/Logging_2083/kartor/A 17590-2025 karta.png", "A 17590-2025")</f>
        <v/>
      </c>
      <c r="V53">
        <f>HYPERLINK("https://klasma.github.io/Logging_2083/klagomål/A 17590-2025 FSC-klagomål.docx", "A 17590-2025")</f>
        <v/>
      </c>
      <c r="W53">
        <f>HYPERLINK("https://klasma.github.io/Logging_2083/klagomålsmail/A 17590-2025 FSC-klagomål mail.docx", "A 17590-2025")</f>
        <v/>
      </c>
      <c r="X53">
        <f>HYPERLINK("https://klasma.github.io/Logging_2083/tillsyn/A 17590-2025 tillsynsbegäran.docx", "A 17590-2025")</f>
        <v/>
      </c>
      <c r="Y53">
        <f>HYPERLINK("https://klasma.github.io/Logging_2083/tillsynsmail/A 17590-2025 tillsynsbegäran mail.docx", "A 17590-2025")</f>
        <v/>
      </c>
    </row>
    <row r="54" ht="15" customHeight="1">
      <c r="A54" t="inlineStr">
        <is>
          <t>A 33968-2025</t>
        </is>
      </c>
      <c r="B54" s="1" t="n">
        <v>45842</v>
      </c>
      <c r="C54" s="1" t="n">
        <v>45912</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39396-2025</t>
        </is>
      </c>
      <c r="B55" s="1" t="n">
        <v>45889.63289351852</v>
      </c>
      <c r="C55" s="1" t="n">
        <v>45912</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15036-2025</t>
        </is>
      </c>
      <c r="B56" s="1" t="n">
        <v>45743.68125</v>
      </c>
      <c r="C56" s="1" t="n">
        <v>45912</v>
      </c>
      <c r="D56" t="inlineStr">
        <is>
          <t>DALARNAS LÄN</t>
        </is>
      </c>
      <c r="E56" t="inlineStr">
        <is>
          <t>HEDEMORA</t>
        </is>
      </c>
      <c r="F56" t="inlineStr">
        <is>
          <t>Sveaskog</t>
        </is>
      </c>
      <c r="G56" t="n">
        <v>20.4</v>
      </c>
      <c r="H56" t="n">
        <v>0</v>
      </c>
      <c r="I56" t="n">
        <v>0</v>
      </c>
      <c r="J56" t="n">
        <v>1</v>
      </c>
      <c r="K56" t="n">
        <v>0</v>
      </c>
      <c r="L56" t="n">
        <v>0</v>
      </c>
      <c r="M56" t="n">
        <v>0</v>
      </c>
      <c r="N56" t="n">
        <v>0</v>
      </c>
      <c r="O56" t="n">
        <v>1</v>
      </c>
      <c r="P56" t="n">
        <v>0</v>
      </c>
      <c r="Q56" t="n">
        <v>1</v>
      </c>
      <c r="R56" s="2" t="inlineStr">
        <is>
          <t>Kolflarnlav</t>
        </is>
      </c>
      <c r="S56">
        <f>HYPERLINK("https://klasma.github.io/Logging_2083/artfynd/A 15036-2025 artfynd.xlsx", "A 15036-2025")</f>
        <v/>
      </c>
      <c r="T56">
        <f>HYPERLINK("https://klasma.github.io/Logging_2083/kartor/A 15036-2025 karta.png", "A 15036-2025")</f>
        <v/>
      </c>
      <c r="V56">
        <f>HYPERLINK("https://klasma.github.io/Logging_2083/klagomål/A 15036-2025 FSC-klagomål.docx", "A 15036-2025")</f>
        <v/>
      </c>
      <c r="W56">
        <f>HYPERLINK("https://klasma.github.io/Logging_2083/klagomålsmail/A 15036-2025 FSC-klagomål mail.docx", "A 15036-2025")</f>
        <v/>
      </c>
      <c r="X56">
        <f>HYPERLINK("https://klasma.github.io/Logging_2083/tillsyn/A 15036-2025 tillsynsbegäran.docx", "A 15036-2025")</f>
        <v/>
      </c>
      <c r="Y56">
        <f>HYPERLINK("https://klasma.github.io/Logging_2083/tillsynsmail/A 15036-2025 tillsynsbegäran mail.docx", "A 15036-2025")</f>
        <v/>
      </c>
    </row>
    <row r="57" ht="15" customHeight="1">
      <c r="A57" t="inlineStr">
        <is>
          <t>A 41333-2025</t>
        </is>
      </c>
      <c r="B57" s="1" t="n">
        <v>45899.35854166667</v>
      </c>
      <c r="C57" s="1" t="n">
        <v>45912</v>
      </c>
      <c r="D57" t="inlineStr">
        <is>
          <t>DALARNAS LÄN</t>
        </is>
      </c>
      <c r="E57" t="inlineStr">
        <is>
          <t>HEDEMORA</t>
        </is>
      </c>
      <c r="F57" t="inlineStr">
        <is>
          <t>Sveaskog</t>
        </is>
      </c>
      <c r="G57" t="n">
        <v>4.6</v>
      </c>
      <c r="H57" t="n">
        <v>1</v>
      </c>
      <c r="I57" t="n">
        <v>0</v>
      </c>
      <c r="J57" t="n">
        <v>0</v>
      </c>
      <c r="K57" t="n">
        <v>0</v>
      </c>
      <c r="L57" t="n">
        <v>0</v>
      </c>
      <c r="M57" t="n">
        <v>0</v>
      </c>
      <c r="N57" t="n">
        <v>0</v>
      </c>
      <c r="O57" t="n">
        <v>0</v>
      </c>
      <c r="P57" t="n">
        <v>0</v>
      </c>
      <c r="Q57" t="n">
        <v>1</v>
      </c>
      <c r="R57" s="2" t="inlineStr">
        <is>
          <t>Tjäder</t>
        </is>
      </c>
      <c r="S57">
        <f>HYPERLINK("https://klasma.github.io/Logging_2083/artfynd/A 41333-2025 artfynd.xlsx", "A 41333-2025")</f>
        <v/>
      </c>
      <c r="T57">
        <f>HYPERLINK("https://klasma.github.io/Logging_2083/kartor/A 41333-2025 karta.png", "A 41333-2025")</f>
        <v/>
      </c>
      <c r="V57">
        <f>HYPERLINK("https://klasma.github.io/Logging_2083/klagomål/A 41333-2025 FSC-klagomål.docx", "A 41333-2025")</f>
        <v/>
      </c>
      <c r="W57">
        <f>HYPERLINK("https://klasma.github.io/Logging_2083/klagomålsmail/A 41333-2025 FSC-klagomål mail.docx", "A 41333-2025")</f>
        <v/>
      </c>
      <c r="X57">
        <f>HYPERLINK("https://klasma.github.io/Logging_2083/tillsyn/A 41333-2025 tillsynsbegäran.docx", "A 41333-2025")</f>
        <v/>
      </c>
      <c r="Y57">
        <f>HYPERLINK("https://klasma.github.io/Logging_2083/tillsynsmail/A 41333-2025 tillsynsbegäran mail.docx", "A 41333-2025")</f>
        <v/>
      </c>
      <c r="Z57">
        <f>HYPERLINK("https://klasma.github.io/Logging_2083/fåglar/A 41333-2025 prioriterade fågelarter.docx", "A 41333-2025")</f>
        <v/>
      </c>
    </row>
    <row r="58" ht="15" customHeight="1">
      <c r="A58" t="inlineStr">
        <is>
          <t>A 15058-2025</t>
        </is>
      </c>
      <c r="B58" s="1" t="n">
        <v>45743.70716435185</v>
      </c>
      <c r="C58" s="1" t="n">
        <v>45912</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12905-2025</t>
        </is>
      </c>
      <c r="B59" s="1" t="n">
        <v>45733</v>
      </c>
      <c r="C59" s="1" t="n">
        <v>45912</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19094-2025</t>
        </is>
      </c>
      <c r="B60" s="1" t="n">
        <v>45767.54942129629</v>
      </c>
      <c r="C60" s="1" t="n">
        <v>45912</v>
      </c>
      <c r="D60" t="inlineStr">
        <is>
          <t>DALARNAS LÄN</t>
        </is>
      </c>
      <c r="E60" t="inlineStr">
        <is>
          <t>HEDEMORA</t>
        </is>
      </c>
      <c r="F60" t="inlineStr">
        <is>
          <t>Sveaskog</t>
        </is>
      </c>
      <c r="G60" t="n">
        <v>16.9</v>
      </c>
      <c r="H60" t="n">
        <v>1</v>
      </c>
      <c r="I60" t="n">
        <v>1</v>
      </c>
      <c r="J60" t="n">
        <v>0</v>
      </c>
      <c r="K60" t="n">
        <v>0</v>
      </c>
      <c r="L60" t="n">
        <v>0</v>
      </c>
      <c r="M60" t="n">
        <v>0</v>
      </c>
      <c r="N60" t="n">
        <v>0</v>
      </c>
      <c r="O60" t="n">
        <v>0</v>
      </c>
      <c r="P60" t="n">
        <v>0</v>
      </c>
      <c r="Q60" t="n">
        <v>1</v>
      </c>
      <c r="R60" s="2" t="inlineStr">
        <is>
          <t>Plattlummer</t>
        </is>
      </c>
      <c r="S60">
        <f>HYPERLINK("https://klasma.github.io/Logging_2083/artfynd/A 19094-2025 artfynd.xlsx", "A 19094-2025")</f>
        <v/>
      </c>
      <c r="T60">
        <f>HYPERLINK("https://klasma.github.io/Logging_2083/kartor/A 19094-2025 karta.png", "A 19094-2025")</f>
        <v/>
      </c>
      <c r="V60">
        <f>HYPERLINK("https://klasma.github.io/Logging_2083/klagomål/A 19094-2025 FSC-klagomål.docx", "A 19094-2025")</f>
        <v/>
      </c>
      <c r="W60">
        <f>HYPERLINK("https://klasma.github.io/Logging_2083/klagomålsmail/A 19094-2025 FSC-klagomål mail.docx", "A 19094-2025")</f>
        <v/>
      </c>
      <c r="X60">
        <f>HYPERLINK("https://klasma.github.io/Logging_2083/tillsyn/A 19094-2025 tillsynsbegäran.docx", "A 19094-2025")</f>
        <v/>
      </c>
      <c r="Y60">
        <f>HYPERLINK("https://klasma.github.io/Logging_2083/tillsynsmail/A 19094-2025 tillsynsbegäran mail.docx", "A 19094-2025")</f>
        <v/>
      </c>
    </row>
    <row r="61" ht="15" customHeight="1">
      <c r="A61" t="inlineStr">
        <is>
          <t>A 13986-2023</t>
        </is>
      </c>
      <c r="B61" s="1" t="n">
        <v>45008</v>
      </c>
      <c r="C61" s="1" t="n">
        <v>45912</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41477-2023</t>
        </is>
      </c>
      <c r="B62" s="1" t="n">
        <v>45171</v>
      </c>
      <c r="C62" s="1" t="n">
        <v>45912</v>
      </c>
      <c r="D62" t="inlineStr">
        <is>
          <t>DALARNAS LÄN</t>
        </is>
      </c>
      <c r="E62" t="inlineStr">
        <is>
          <t>HEDEMORA</t>
        </is>
      </c>
      <c r="F62" t="inlineStr">
        <is>
          <t>Bergvik skog väst AB</t>
        </is>
      </c>
      <c r="G62" t="n">
        <v>9.1</v>
      </c>
      <c r="H62" t="n">
        <v>0</v>
      </c>
      <c r="I62" t="n">
        <v>1</v>
      </c>
      <c r="J62" t="n">
        <v>0</v>
      </c>
      <c r="K62" t="n">
        <v>0</v>
      </c>
      <c r="L62" t="n">
        <v>0</v>
      </c>
      <c r="M62" t="n">
        <v>0</v>
      </c>
      <c r="N62" t="n">
        <v>0</v>
      </c>
      <c r="O62" t="n">
        <v>0</v>
      </c>
      <c r="P62" t="n">
        <v>0</v>
      </c>
      <c r="Q62" t="n">
        <v>1</v>
      </c>
      <c r="R62" s="2" t="inlineStr">
        <is>
          <t>Ögonpyrola</t>
        </is>
      </c>
      <c r="S62">
        <f>HYPERLINK("https://klasma.github.io/Logging_2083/artfynd/A 41477-2023 artfynd.xlsx", "A 41477-2023")</f>
        <v/>
      </c>
      <c r="T62">
        <f>HYPERLINK("https://klasma.github.io/Logging_2083/kartor/A 41477-2023 karta.png", "A 41477-2023")</f>
        <v/>
      </c>
      <c r="V62">
        <f>HYPERLINK("https://klasma.github.io/Logging_2083/klagomål/A 41477-2023 FSC-klagomål.docx", "A 41477-2023")</f>
        <v/>
      </c>
      <c r="W62">
        <f>HYPERLINK("https://klasma.github.io/Logging_2083/klagomålsmail/A 41477-2023 FSC-klagomål mail.docx", "A 41477-2023")</f>
        <v/>
      </c>
      <c r="X62">
        <f>HYPERLINK("https://klasma.github.io/Logging_2083/tillsyn/A 41477-2023 tillsynsbegäran.docx", "A 41477-2023")</f>
        <v/>
      </c>
      <c r="Y62">
        <f>HYPERLINK("https://klasma.github.io/Logging_2083/tillsynsmail/A 41477-2023 tillsynsbegäran mail.docx", "A 41477-2023")</f>
        <v/>
      </c>
    </row>
    <row r="63" ht="15" customHeight="1">
      <c r="A63" t="inlineStr">
        <is>
          <t>A 51111-2021</t>
        </is>
      </c>
      <c r="B63" s="1" t="n">
        <v>44461</v>
      </c>
      <c r="C63" s="1" t="n">
        <v>45912</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15125-2021</t>
        </is>
      </c>
      <c r="B64" s="1" t="n">
        <v>44283</v>
      </c>
      <c r="C64" s="1" t="n">
        <v>45912</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67288-2021</t>
        </is>
      </c>
      <c r="B65" s="1" t="n">
        <v>44523.61842592592</v>
      </c>
      <c r="C65" s="1" t="n">
        <v>45912</v>
      </c>
      <c r="D65" t="inlineStr">
        <is>
          <t>DALARNAS LÄN</t>
        </is>
      </c>
      <c r="E65" t="inlineStr">
        <is>
          <t>HEDEMORA</t>
        </is>
      </c>
      <c r="F65" t="inlineStr">
        <is>
          <t>Övriga Aktiebolag</t>
        </is>
      </c>
      <c r="G65" t="n">
        <v>1.6</v>
      </c>
      <c r="H65" t="n">
        <v>0</v>
      </c>
      <c r="I65" t="n">
        <v>0</v>
      </c>
      <c r="J65" t="n">
        <v>0</v>
      </c>
      <c r="K65" t="n">
        <v>0</v>
      </c>
      <c r="L65" t="n">
        <v>0</v>
      </c>
      <c r="M65" t="n">
        <v>0</v>
      </c>
      <c r="N65" t="n">
        <v>0</v>
      </c>
      <c r="O65" t="n">
        <v>0</v>
      </c>
      <c r="P65" t="n">
        <v>0</v>
      </c>
      <c r="Q65" t="n">
        <v>0</v>
      </c>
      <c r="R65" s="2" t="inlineStr"/>
    </row>
    <row r="66" ht="15" customHeight="1">
      <c r="A66" t="inlineStr">
        <is>
          <t>A 295-2022</t>
        </is>
      </c>
      <c r="B66" s="1" t="n">
        <v>44565</v>
      </c>
      <c r="C66" s="1" t="n">
        <v>45912</v>
      </c>
      <c r="D66" t="inlineStr">
        <is>
          <t>DALARNAS LÄN</t>
        </is>
      </c>
      <c r="E66" t="inlineStr">
        <is>
          <t>HEDEMORA</t>
        </is>
      </c>
      <c r="G66" t="n">
        <v>0.5</v>
      </c>
      <c r="H66" t="n">
        <v>0</v>
      </c>
      <c r="I66" t="n">
        <v>0</v>
      </c>
      <c r="J66" t="n">
        <v>0</v>
      </c>
      <c r="K66" t="n">
        <v>0</v>
      </c>
      <c r="L66" t="n">
        <v>0</v>
      </c>
      <c r="M66" t="n">
        <v>0</v>
      </c>
      <c r="N66" t="n">
        <v>0</v>
      </c>
      <c r="O66" t="n">
        <v>0</v>
      </c>
      <c r="P66" t="n">
        <v>0</v>
      </c>
      <c r="Q66" t="n">
        <v>0</v>
      </c>
      <c r="R66" s="2" t="inlineStr"/>
    </row>
    <row r="67" ht="15" customHeight="1">
      <c r="A67" t="inlineStr">
        <is>
          <t>A 32748-2022</t>
        </is>
      </c>
      <c r="B67" s="1" t="n">
        <v>44783.71745370371</v>
      </c>
      <c r="C67" s="1" t="n">
        <v>45912</v>
      </c>
      <c r="D67" t="inlineStr">
        <is>
          <t>DALARNAS LÄN</t>
        </is>
      </c>
      <c r="E67" t="inlineStr">
        <is>
          <t>HEDEMORA</t>
        </is>
      </c>
      <c r="G67" t="n">
        <v>1</v>
      </c>
      <c r="H67" t="n">
        <v>0</v>
      </c>
      <c r="I67" t="n">
        <v>0</v>
      </c>
      <c r="J67" t="n">
        <v>0</v>
      </c>
      <c r="K67" t="n">
        <v>0</v>
      </c>
      <c r="L67" t="n">
        <v>0</v>
      </c>
      <c r="M67" t="n">
        <v>0</v>
      </c>
      <c r="N67" t="n">
        <v>0</v>
      </c>
      <c r="O67" t="n">
        <v>0</v>
      </c>
      <c r="P67" t="n">
        <v>0</v>
      </c>
      <c r="Q67" t="n">
        <v>0</v>
      </c>
      <c r="R67" s="2" t="inlineStr"/>
    </row>
    <row r="68" ht="15" customHeight="1">
      <c r="A68" t="inlineStr">
        <is>
          <t>A 653-2021</t>
        </is>
      </c>
      <c r="B68" s="1" t="n">
        <v>44203</v>
      </c>
      <c r="C68" s="1" t="n">
        <v>45912</v>
      </c>
      <c r="D68" t="inlineStr">
        <is>
          <t>DALARNAS LÄN</t>
        </is>
      </c>
      <c r="E68" t="inlineStr">
        <is>
          <t>HEDEMORA</t>
        </is>
      </c>
      <c r="G68" t="n">
        <v>3.8</v>
      </c>
      <c r="H68" t="n">
        <v>0</v>
      </c>
      <c r="I68" t="n">
        <v>0</v>
      </c>
      <c r="J68" t="n">
        <v>0</v>
      </c>
      <c r="K68" t="n">
        <v>0</v>
      </c>
      <c r="L68" t="n">
        <v>0</v>
      </c>
      <c r="M68" t="n">
        <v>0</v>
      </c>
      <c r="N68" t="n">
        <v>0</v>
      </c>
      <c r="O68" t="n">
        <v>0</v>
      </c>
      <c r="P68" t="n">
        <v>0</v>
      </c>
      <c r="Q68" t="n">
        <v>0</v>
      </c>
      <c r="R68" s="2" t="inlineStr"/>
    </row>
    <row r="69" ht="15" customHeight="1">
      <c r="A69" t="inlineStr">
        <is>
          <t>A 55195-2021</t>
        </is>
      </c>
      <c r="B69" s="1" t="n">
        <v>44475.35819444444</v>
      </c>
      <c r="C69" s="1" t="n">
        <v>45912</v>
      </c>
      <c r="D69" t="inlineStr">
        <is>
          <t>DALARNAS LÄN</t>
        </is>
      </c>
      <c r="E69" t="inlineStr">
        <is>
          <t>HEDEMORA</t>
        </is>
      </c>
      <c r="G69" t="n">
        <v>0.9</v>
      </c>
      <c r="H69" t="n">
        <v>0</v>
      </c>
      <c r="I69" t="n">
        <v>0</v>
      </c>
      <c r="J69" t="n">
        <v>0</v>
      </c>
      <c r="K69" t="n">
        <v>0</v>
      </c>
      <c r="L69" t="n">
        <v>0</v>
      </c>
      <c r="M69" t="n">
        <v>0</v>
      </c>
      <c r="N69" t="n">
        <v>0</v>
      </c>
      <c r="O69" t="n">
        <v>0</v>
      </c>
      <c r="P69" t="n">
        <v>0</v>
      </c>
      <c r="Q69" t="n">
        <v>0</v>
      </c>
      <c r="R69" s="2" t="inlineStr"/>
    </row>
    <row r="70" ht="15" customHeight="1">
      <c r="A70" t="inlineStr">
        <is>
          <t>A 20353-2021</t>
        </is>
      </c>
      <c r="B70" s="1" t="n">
        <v>44315.4233912037</v>
      </c>
      <c r="C70" s="1" t="n">
        <v>45912</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52221-2021</t>
        </is>
      </c>
      <c r="B71" s="1" t="n">
        <v>44462</v>
      </c>
      <c r="C71" s="1" t="n">
        <v>45912</v>
      </c>
      <c r="D71" t="inlineStr">
        <is>
          <t>DALARNAS LÄN</t>
        </is>
      </c>
      <c r="E71" t="inlineStr">
        <is>
          <t>HEDEMORA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45741-2022</t>
        </is>
      </c>
      <c r="B72" s="1" t="n">
        <v>44846.33142361111</v>
      </c>
      <c r="C72" s="1" t="n">
        <v>45912</v>
      </c>
      <c r="D72" t="inlineStr">
        <is>
          <t>DALARNAS LÄN</t>
        </is>
      </c>
      <c r="E72" t="inlineStr">
        <is>
          <t>HEDEMORA</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54198-2022</t>
        </is>
      </c>
      <c r="B73" s="1" t="n">
        <v>44881.69982638889</v>
      </c>
      <c r="C73" s="1" t="n">
        <v>45912</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52425-2021</t>
        </is>
      </c>
      <c r="B74" s="1" t="n">
        <v>44466.33798611111</v>
      </c>
      <c r="C74" s="1" t="n">
        <v>45912</v>
      </c>
      <c r="D74" t="inlineStr">
        <is>
          <t>DALARNAS LÄN</t>
        </is>
      </c>
      <c r="E74" t="inlineStr">
        <is>
          <t>HEDEMORA</t>
        </is>
      </c>
      <c r="G74" t="n">
        <v>2.3</v>
      </c>
      <c r="H74" t="n">
        <v>0</v>
      </c>
      <c r="I74" t="n">
        <v>0</v>
      </c>
      <c r="J74" t="n">
        <v>0</v>
      </c>
      <c r="K74" t="n">
        <v>0</v>
      </c>
      <c r="L74" t="n">
        <v>0</v>
      </c>
      <c r="M74" t="n">
        <v>0</v>
      </c>
      <c r="N74" t="n">
        <v>0</v>
      </c>
      <c r="O74" t="n">
        <v>0</v>
      </c>
      <c r="P74" t="n">
        <v>0</v>
      </c>
      <c r="Q74" t="n">
        <v>0</v>
      </c>
      <c r="R74" s="2" t="inlineStr"/>
    </row>
    <row r="75" ht="15" customHeight="1">
      <c r="A75" t="inlineStr">
        <is>
          <t>A 35806-2022</t>
        </is>
      </c>
      <c r="B75" s="1" t="n">
        <v>44802</v>
      </c>
      <c r="C75" s="1" t="n">
        <v>45912</v>
      </c>
      <c r="D75" t="inlineStr">
        <is>
          <t>DALARNAS LÄN</t>
        </is>
      </c>
      <c r="E75" t="inlineStr">
        <is>
          <t>HEDEMORA</t>
        </is>
      </c>
      <c r="G75" t="n">
        <v>1.3</v>
      </c>
      <c r="H75" t="n">
        <v>0</v>
      </c>
      <c r="I75" t="n">
        <v>0</v>
      </c>
      <c r="J75" t="n">
        <v>0</v>
      </c>
      <c r="K75" t="n">
        <v>0</v>
      </c>
      <c r="L75" t="n">
        <v>0</v>
      </c>
      <c r="M75" t="n">
        <v>0</v>
      </c>
      <c r="N75" t="n">
        <v>0</v>
      </c>
      <c r="O75" t="n">
        <v>0</v>
      </c>
      <c r="P75" t="n">
        <v>0</v>
      </c>
      <c r="Q75" t="n">
        <v>0</v>
      </c>
      <c r="R75" s="2" t="inlineStr"/>
    </row>
    <row r="76" ht="15" customHeight="1">
      <c r="A76" t="inlineStr">
        <is>
          <t>A 15290-2021</t>
        </is>
      </c>
      <c r="B76" s="1" t="n">
        <v>44284.59565972222</v>
      </c>
      <c r="C76" s="1" t="n">
        <v>45912</v>
      </c>
      <c r="D76" t="inlineStr">
        <is>
          <t>DALARNAS LÄN</t>
        </is>
      </c>
      <c r="E76" t="inlineStr">
        <is>
          <t>HEDEMORA</t>
        </is>
      </c>
      <c r="G76" t="n">
        <v>0.7</v>
      </c>
      <c r="H76" t="n">
        <v>0</v>
      </c>
      <c r="I76" t="n">
        <v>0</v>
      </c>
      <c r="J76" t="n">
        <v>0</v>
      </c>
      <c r="K76" t="n">
        <v>0</v>
      </c>
      <c r="L76" t="n">
        <v>0</v>
      </c>
      <c r="M76" t="n">
        <v>0</v>
      </c>
      <c r="N76" t="n">
        <v>0</v>
      </c>
      <c r="O76" t="n">
        <v>0</v>
      </c>
      <c r="P76" t="n">
        <v>0</v>
      </c>
      <c r="Q76" t="n">
        <v>0</v>
      </c>
      <c r="R76" s="2" t="inlineStr"/>
    </row>
    <row r="77" ht="15" customHeight="1">
      <c r="A77" t="inlineStr">
        <is>
          <t>A 51167-2022</t>
        </is>
      </c>
      <c r="B77" s="1" t="n">
        <v>44868.54824074074</v>
      </c>
      <c r="C77" s="1" t="n">
        <v>45912</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20177-2022</t>
        </is>
      </c>
      <c r="B78" s="1" t="n">
        <v>44698.52960648148</v>
      </c>
      <c r="C78" s="1" t="n">
        <v>45912</v>
      </c>
      <c r="D78" t="inlineStr">
        <is>
          <t>DALARNAS LÄN</t>
        </is>
      </c>
      <c r="E78" t="inlineStr">
        <is>
          <t>HEDEMORA</t>
        </is>
      </c>
      <c r="G78" t="n">
        <v>3.9</v>
      </c>
      <c r="H78" t="n">
        <v>0</v>
      </c>
      <c r="I78" t="n">
        <v>0</v>
      </c>
      <c r="J78" t="n">
        <v>0</v>
      </c>
      <c r="K78" t="n">
        <v>0</v>
      </c>
      <c r="L78" t="n">
        <v>0</v>
      </c>
      <c r="M78" t="n">
        <v>0</v>
      </c>
      <c r="N78" t="n">
        <v>0</v>
      </c>
      <c r="O78" t="n">
        <v>0</v>
      </c>
      <c r="P78" t="n">
        <v>0</v>
      </c>
      <c r="Q78" t="n">
        <v>0</v>
      </c>
      <c r="R78" s="2" t="inlineStr"/>
    </row>
    <row r="79" ht="15" customHeight="1">
      <c r="A79" t="inlineStr">
        <is>
          <t>A 68457-2021</t>
        </is>
      </c>
      <c r="B79" s="1" t="n">
        <v>44529</v>
      </c>
      <c r="C79" s="1" t="n">
        <v>45912</v>
      </c>
      <c r="D79" t="inlineStr">
        <is>
          <t>DALARNAS LÄN</t>
        </is>
      </c>
      <c r="E79" t="inlineStr">
        <is>
          <t>HEDEMORA</t>
        </is>
      </c>
      <c r="G79" t="n">
        <v>1.9</v>
      </c>
      <c r="H79" t="n">
        <v>0</v>
      </c>
      <c r="I79" t="n">
        <v>0</v>
      </c>
      <c r="J79" t="n">
        <v>0</v>
      </c>
      <c r="K79" t="n">
        <v>0</v>
      </c>
      <c r="L79" t="n">
        <v>0</v>
      </c>
      <c r="M79" t="n">
        <v>0</v>
      </c>
      <c r="N79" t="n">
        <v>0</v>
      </c>
      <c r="O79" t="n">
        <v>0</v>
      </c>
      <c r="P79" t="n">
        <v>0</v>
      </c>
      <c r="Q79" t="n">
        <v>0</v>
      </c>
      <c r="R79" s="2" t="inlineStr"/>
    </row>
    <row r="80" ht="15" customHeight="1">
      <c r="A80" t="inlineStr">
        <is>
          <t>A 4030-2022</t>
        </is>
      </c>
      <c r="B80" s="1" t="n">
        <v>44588</v>
      </c>
      <c r="C80" s="1" t="n">
        <v>45912</v>
      </c>
      <c r="D80" t="inlineStr">
        <is>
          <t>DALARNAS LÄN</t>
        </is>
      </c>
      <c r="E80" t="inlineStr">
        <is>
          <t>HEDEMORA</t>
        </is>
      </c>
      <c r="F80" t="inlineStr">
        <is>
          <t>Kyrkan</t>
        </is>
      </c>
      <c r="G80" t="n">
        <v>2.1</v>
      </c>
      <c r="H80" t="n">
        <v>0</v>
      </c>
      <c r="I80" t="n">
        <v>0</v>
      </c>
      <c r="J80" t="n">
        <v>0</v>
      </c>
      <c r="K80" t="n">
        <v>0</v>
      </c>
      <c r="L80" t="n">
        <v>0</v>
      </c>
      <c r="M80" t="n">
        <v>0</v>
      </c>
      <c r="N80" t="n">
        <v>0</v>
      </c>
      <c r="O80" t="n">
        <v>0</v>
      </c>
      <c r="P80" t="n">
        <v>0</v>
      </c>
      <c r="Q80" t="n">
        <v>0</v>
      </c>
      <c r="R80" s="2" t="inlineStr"/>
    </row>
    <row r="81" ht="15" customHeight="1">
      <c r="A81" t="inlineStr">
        <is>
          <t>A 54347-2020</t>
        </is>
      </c>
      <c r="B81" s="1" t="n">
        <v>44126</v>
      </c>
      <c r="C81" s="1" t="n">
        <v>45912</v>
      </c>
      <c r="D81" t="inlineStr">
        <is>
          <t>DALARNAS LÄN</t>
        </is>
      </c>
      <c r="E81" t="inlineStr">
        <is>
          <t>HEDEMORA</t>
        </is>
      </c>
      <c r="G81" t="n">
        <v>4.1</v>
      </c>
      <c r="H81" t="n">
        <v>0</v>
      </c>
      <c r="I81" t="n">
        <v>0</v>
      </c>
      <c r="J81" t="n">
        <v>0</v>
      </c>
      <c r="K81" t="n">
        <v>0</v>
      </c>
      <c r="L81" t="n">
        <v>0</v>
      </c>
      <c r="M81" t="n">
        <v>0</v>
      </c>
      <c r="N81" t="n">
        <v>0</v>
      </c>
      <c r="O81" t="n">
        <v>0</v>
      </c>
      <c r="P81" t="n">
        <v>0</v>
      </c>
      <c r="Q81" t="n">
        <v>0</v>
      </c>
      <c r="R81" s="2" t="inlineStr"/>
    </row>
    <row r="82" ht="15" customHeight="1">
      <c r="A82" t="inlineStr">
        <is>
          <t>A 1916-2021</t>
        </is>
      </c>
      <c r="B82" s="1" t="n">
        <v>44210</v>
      </c>
      <c r="C82" s="1" t="n">
        <v>45912</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51181-2022</t>
        </is>
      </c>
      <c r="B83" s="1" t="n">
        <v>44868.5756712963</v>
      </c>
      <c r="C83" s="1" t="n">
        <v>45912</v>
      </c>
      <c r="D83" t="inlineStr">
        <is>
          <t>DALARNAS LÄN</t>
        </is>
      </c>
      <c r="E83" t="inlineStr">
        <is>
          <t>HEDEMORA</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39506-2022</t>
        </is>
      </c>
      <c r="B84" s="1" t="n">
        <v>44817</v>
      </c>
      <c r="C84" s="1" t="n">
        <v>45912</v>
      </c>
      <c r="D84" t="inlineStr">
        <is>
          <t>DALARNAS LÄN</t>
        </is>
      </c>
      <c r="E84" t="inlineStr">
        <is>
          <t>HEDEMORA</t>
        </is>
      </c>
      <c r="F84" t="inlineStr">
        <is>
          <t>Bergvik skog väst AB</t>
        </is>
      </c>
      <c r="G84" t="n">
        <v>1.4</v>
      </c>
      <c r="H84" t="n">
        <v>0</v>
      </c>
      <c r="I84" t="n">
        <v>0</v>
      </c>
      <c r="J84" t="n">
        <v>0</v>
      </c>
      <c r="K84" t="n">
        <v>0</v>
      </c>
      <c r="L84" t="n">
        <v>0</v>
      </c>
      <c r="M84" t="n">
        <v>0</v>
      </c>
      <c r="N84" t="n">
        <v>0</v>
      </c>
      <c r="O84" t="n">
        <v>0</v>
      </c>
      <c r="P84" t="n">
        <v>0</v>
      </c>
      <c r="Q84" t="n">
        <v>0</v>
      </c>
      <c r="R84" s="2" t="inlineStr"/>
    </row>
    <row r="85" ht="15" customHeight="1">
      <c r="A85" t="inlineStr">
        <is>
          <t>A 46235-2021</t>
        </is>
      </c>
      <c r="B85" s="1" t="n">
        <v>44442</v>
      </c>
      <c r="C85" s="1" t="n">
        <v>45912</v>
      </c>
      <c r="D85" t="inlineStr">
        <is>
          <t>DALARNAS LÄN</t>
        </is>
      </c>
      <c r="E85" t="inlineStr">
        <is>
          <t>HEDEMORA</t>
        </is>
      </c>
      <c r="G85" t="n">
        <v>2.5</v>
      </c>
      <c r="H85" t="n">
        <v>0</v>
      </c>
      <c r="I85" t="n">
        <v>0</v>
      </c>
      <c r="J85" t="n">
        <v>0</v>
      </c>
      <c r="K85" t="n">
        <v>0</v>
      </c>
      <c r="L85" t="n">
        <v>0</v>
      </c>
      <c r="M85" t="n">
        <v>0</v>
      </c>
      <c r="N85" t="n">
        <v>0</v>
      </c>
      <c r="O85" t="n">
        <v>0</v>
      </c>
      <c r="P85" t="n">
        <v>0</v>
      </c>
      <c r="Q85" t="n">
        <v>0</v>
      </c>
      <c r="R85" s="2" t="inlineStr"/>
    </row>
    <row r="86" ht="15" customHeight="1">
      <c r="A86" t="inlineStr">
        <is>
          <t>A 59495-2021</t>
        </is>
      </c>
      <c r="B86" s="1" t="n">
        <v>44491.53346064815</v>
      </c>
      <c r="C86" s="1" t="n">
        <v>45912</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30574-2021</t>
        </is>
      </c>
      <c r="B87" s="1" t="n">
        <v>44364.83538194445</v>
      </c>
      <c r="C87" s="1" t="n">
        <v>45912</v>
      </c>
      <c r="D87" t="inlineStr">
        <is>
          <t>DALARNAS LÄN</t>
        </is>
      </c>
      <c r="E87" t="inlineStr">
        <is>
          <t>HEDEMORA</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53443-2021</t>
        </is>
      </c>
      <c r="B88" s="1" t="n">
        <v>44468</v>
      </c>
      <c r="C88" s="1" t="n">
        <v>45912</v>
      </c>
      <c r="D88" t="inlineStr">
        <is>
          <t>DALARNAS LÄN</t>
        </is>
      </c>
      <c r="E88" t="inlineStr">
        <is>
          <t>HEDEMORA</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52511-2021</t>
        </is>
      </c>
      <c r="B89" s="1" t="n">
        <v>44466.44400462963</v>
      </c>
      <c r="C89" s="1" t="n">
        <v>45912</v>
      </c>
      <c r="D89" t="inlineStr">
        <is>
          <t>DALARNAS LÄN</t>
        </is>
      </c>
      <c r="E89" t="inlineStr">
        <is>
          <t>HEDEMORA</t>
        </is>
      </c>
      <c r="G89" t="n">
        <v>0.6</v>
      </c>
      <c r="H89" t="n">
        <v>0</v>
      </c>
      <c r="I89" t="n">
        <v>0</v>
      </c>
      <c r="J89" t="n">
        <v>0</v>
      </c>
      <c r="K89" t="n">
        <v>0</v>
      </c>
      <c r="L89" t="n">
        <v>0</v>
      </c>
      <c r="M89" t="n">
        <v>0</v>
      </c>
      <c r="N89" t="n">
        <v>0</v>
      </c>
      <c r="O89" t="n">
        <v>0</v>
      </c>
      <c r="P89" t="n">
        <v>0</v>
      </c>
      <c r="Q89" t="n">
        <v>0</v>
      </c>
      <c r="R89" s="2" t="inlineStr"/>
    </row>
    <row r="90" ht="15" customHeight="1">
      <c r="A90" t="inlineStr">
        <is>
          <t>A 50441-2021</t>
        </is>
      </c>
      <c r="B90" s="1" t="n">
        <v>44456</v>
      </c>
      <c r="C90" s="1" t="n">
        <v>45912</v>
      </c>
      <c r="D90" t="inlineStr">
        <is>
          <t>DALARNAS LÄN</t>
        </is>
      </c>
      <c r="E90" t="inlineStr">
        <is>
          <t>HEDEMORA</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1666-2022</t>
        </is>
      </c>
      <c r="B91" s="1" t="n">
        <v>44574</v>
      </c>
      <c r="C91" s="1" t="n">
        <v>45912</v>
      </c>
      <c r="D91" t="inlineStr">
        <is>
          <t>DALARNAS LÄN</t>
        </is>
      </c>
      <c r="E91" t="inlineStr">
        <is>
          <t>HEDEMORA</t>
        </is>
      </c>
      <c r="F91" t="inlineStr">
        <is>
          <t>Sveaskog</t>
        </is>
      </c>
      <c r="G91" t="n">
        <v>1.3</v>
      </c>
      <c r="H91" t="n">
        <v>0</v>
      </c>
      <c r="I91" t="n">
        <v>0</v>
      </c>
      <c r="J91" t="n">
        <v>0</v>
      </c>
      <c r="K91" t="n">
        <v>0</v>
      </c>
      <c r="L91" t="n">
        <v>0</v>
      </c>
      <c r="M91" t="n">
        <v>0</v>
      </c>
      <c r="N91" t="n">
        <v>0</v>
      </c>
      <c r="O91" t="n">
        <v>0</v>
      </c>
      <c r="P91" t="n">
        <v>0</v>
      </c>
      <c r="Q91" t="n">
        <v>0</v>
      </c>
      <c r="R91" s="2" t="inlineStr"/>
    </row>
    <row r="92" ht="15" customHeight="1">
      <c r="A92" t="inlineStr">
        <is>
          <t>A 17464-2021</t>
        </is>
      </c>
      <c r="B92" s="1" t="n">
        <v>44299</v>
      </c>
      <c r="C92" s="1" t="n">
        <v>45912</v>
      </c>
      <c r="D92" t="inlineStr">
        <is>
          <t>DALARNAS LÄN</t>
        </is>
      </c>
      <c r="E92" t="inlineStr">
        <is>
          <t>HEDEMORA</t>
        </is>
      </c>
      <c r="G92" t="n">
        <v>0.8</v>
      </c>
      <c r="H92" t="n">
        <v>0</v>
      </c>
      <c r="I92" t="n">
        <v>0</v>
      </c>
      <c r="J92" t="n">
        <v>0</v>
      </c>
      <c r="K92" t="n">
        <v>0</v>
      </c>
      <c r="L92" t="n">
        <v>0</v>
      </c>
      <c r="M92" t="n">
        <v>0</v>
      </c>
      <c r="N92" t="n">
        <v>0</v>
      </c>
      <c r="O92" t="n">
        <v>0</v>
      </c>
      <c r="P92" t="n">
        <v>0</v>
      </c>
      <c r="Q92" t="n">
        <v>0</v>
      </c>
      <c r="R92" s="2" t="inlineStr"/>
    </row>
    <row r="93" ht="15" customHeight="1">
      <c r="A93" t="inlineStr">
        <is>
          <t>A 36943-2021</t>
        </is>
      </c>
      <c r="B93" s="1" t="n">
        <v>44393.52391203704</v>
      </c>
      <c r="C93" s="1" t="n">
        <v>45912</v>
      </c>
      <c r="D93" t="inlineStr">
        <is>
          <t>DALARNAS LÄN</t>
        </is>
      </c>
      <c r="E93" t="inlineStr">
        <is>
          <t>HEDEMORA</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44065-2021</t>
        </is>
      </c>
      <c r="B94" s="1" t="n">
        <v>44434</v>
      </c>
      <c r="C94" s="1" t="n">
        <v>45912</v>
      </c>
      <c r="D94" t="inlineStr">
        <is>
          <t>DALARNAS LÄN</t>
        </is>
      </c>
      <c r="E94" t="inlineStr">
        <is>
          <t>HEDEMORA</t>
        </is>
      </c>
      <c r="F94" t="inlineStr">
        <is>
          <t>Bergvik skog väst AB</t>
        </is>
      </c>
      <c r="G94" t="n">
        <v>9.1</v>
      </c>
      <c r="H94" t="n">
        <v>0</v>
      </c>
      <c r="I94" t="n">
        <v>0</v>
      </c>
      <c r="J94" t="n">
        <v>0</v>
      </c>
      <c r="K94" t="n">
        <v>0</v>
      </c>
      <c r="L94" t="n">
        <v>0</v>
      </c>
      <c r="M94" t="n">
        <v>0</v>
      </c>
      <c r="N94" t="n">
        <v>0</v>
      </c>
      <c r="O94" t="n">
        <v>0</v>
      </c>
      <c r="P94" t="n">
        <v>0</v>
      </c>
      <c r="Q94" t="n">
        <v>0</v>
      </c>
      <c r="R94" s="2" t="inlineStr"/>
    </row>
    <row r="95" ht="15" customHeight="1">
      <c r="A95" t="inlineStr">
        <is>
          <t>A 3527-2021</t>
        </is>
      </c>
      <c r="B95" s="1" t="n">
        <v>44218</v>
      </c>
      <c r="C95" s="1" t="n">
        <v>45912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67282-2021</t>
        </is>
      </c>
      <c r="B96" s="1" t="n">
        <v>44523.6131712963</v>
      </c>
      <c r="C96" s="1" t="n">
        <v>45912</v>
      </c>
      <c r="D96" t="inlineStr">
        <is>
          <t>DALARNAS LÄN</t>
        </is>
      </c>
      <c r="E96" t="inlineStr">
        <is>
          <t>HEDEMORA</t>
        </is>
      </c>
      <c r="F96" t="inlineStr">
        <is>
          <t>Övriga Aktiebolag</t>
        </is>
      </c>
      <c r="G96" t="n">
        <v>3.2</v>
      </c>
      <c r="H96" t="n">
        <v>0</v>
      </c>
      <c r="I96" t="n">
        <v>0</v>
      </c>
      <c r="J96" t="n">
        <v>0</v>
      </c>
      <c r="K96" t="n">
        <v>0</v>
      </c>
      <c r="L96" t="n">
        <v>0</v>
      </c>
      <c r="M96" t="n">
        <v>0</v>
      </c>
      <c r="N96" t="n">
        <v>0</v>
      </c>
      <c r="O96" t="n">
        <v>0</v>
      </c>
      <c r="P96" t="n">
        <v>0</v>
      </c>
      <c r="Q96" t="n">
        <v>0</v>
      </c>
      <c r="R96" s="2" t="inlineStr"/>
    </row>
    <row r="97" ht="15" customHeight="1">
      <c r="A97" t="inlineStr">
        <is>
          <t>A 48639-2022</t>
        </is>
      </c>
      <c r="B97" s="1" t="n">
        <v>44859</v>
      </c>
      <c r="C97" s="1" t="n">
        <v>45912</v>
      </c>
      <c r="D97" t="inlineStr">
        <is>
          <t>DALARNAS LÄN</t>
        </is>
      </c>
      <c r="E97" t="inlineStr">
        <is>
          <t>HEDEMORA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66064-2020</t>
        </is>
      </c>
      <c r="B98" s="1" t="n">
        <v>44175</v>
      </c>
      <c r="C98" s="1" t="n">
        <v>45912</v>
      </c>
      <c r="D98" t="inlineStr">
        <is>
          <t>DALARNAS LÄN</t>
        </is>
      </c>
      <c r="E98" t="inlineStr">
        <is>
          <t>HEDEMORA</t>
        </is>
      </c>
      <c r="G98" t="n">
        <v>1.7</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45912</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45912</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57071-2020</t>
        </is>
      </c>
      <c r="B101" s="1" t="n">
        <v>44138</v>
      </c>
      <c r="C101" s="1" t="n">
        <v>45912</v>
      </c>
      <c r="D101" t="inlineStr">
        <is>
          <t>DALARNAS LÄN</t>
        </is>
      </c>
      <c r="E101" t="inlineStr">
        <is>
          <t>HEDEMORA</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45912</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45912</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40938-2021</t>
        </is>
      </c>
      <c r="B104" s="1" t="n">
        <v>44421.53498842593</v>
      </c>
      <c r="C104" s="1" t="n">
        <v>45912</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45912</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45912</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45912</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45912</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45912</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45912</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45912</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49904-2021</t>
        </is>
      </c>
      <c r="B112" s="1" t="n">
        <v>44455.77041666667</v>
      </c>
      <c r="C112" s="1" t="n">
        <v>45912</v>
      </c>
      <c r="D112" t="inlineStr">
        <is>
          <t>DALARNAS LÄN</t>
        </is>
      </c>
      <c r="E112" t="inlineStr">
        <is>
          <t>HEDEMORA</t>
        </is>
      </c>
      <c r="F112" t="inlineStr">
        <is>
          <t>Sveaskog</t>
        </is>
      </c>
      <c r="G112" t="n">
        <v>7.1</v>
      </c>
      <c r="H112" t="n">
        <v>0</v>
      </c>
      <c r="I112" t="n">
        <v>0</v>
      </c>
      <c r="J112" t="n">
        <v>0</v>
      </c>
      <c r="K112" t="n">
        <v>0</v>
      </c>
      <c r="L112" t="n">
        <v>0</v>
      </c>
      <c r="M112" t="n">
        <v>0</v>
      </c>
      <c r="N112" t="n">
        <v>0</v>
      </c>
      <c r="O112" t="n">
        <v>0</v>
      </c>
      <c r="P112" t="n">
        <v>0</v>
      </c>
      <c r="Q112" t="n">
        <v>0</v>
      </c>
      <c r="R112" s="2" t="inlineStr"/>
    </row>
    <row r="113" ht="15" customHeight="1">
      <c r="A113" t="inlineStr">
        <is>
          <t>A 2996-2023</t>
        </is>
      </c>
      <c r="B113" s="1" t="n">
        <v>44945</v>
      </c>
      <c r="C113" s="1" t="n">
        <v>45912</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7172-2025</t>
        </is>
      </c>
      <c r="B114" s="1" t="n">
        <v>45702.41383101852</v>
      </c>
      <c r="C114" s="1" t="n">
        <v>45912</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53568-2023</t>
        </is>
      </c>
      <c r="B115" s="1" t="n">
        <v>45230.49392361111</v>
      </c>
      <c r="C115" s="1" t="n">
        <v>45912</v>
      </c>
      <c r="D115" t="inlineStr">
        <is>
          <t>DALARNAS LÄN</t>
        </is>
      </c>
      <c r="E115" t="inlineStr">
        <is>
          <t>HEDEMORA</t>
        </is>
      </c>
      <c r="G115" t="n">
        <v>1.2</v>
      </c>
      <c r="H115" t="n">
        <v>0</v>
      </c>
      <c r="I115" t="n">
        <v>0</v>
      </c>
      <c r="J115" t="n">
        <v>0</v>
      </c>
      <c r="K115" t="n">
        <v>0</v>
      </c>
      <c r="L115" t="n">
        <v>0</v>
      </c>
      <c r="M115" t="n">
        <v>0</v>
      </c>
      <c r="N115" t="n">
        <v>0</v>
      </c>
      <c r="O115" t="n">
        <v>0</v>
      </c>
      <c r="P115" t="n">
        <v>0</v>
      </c>
      <c r="Q115" t="n">
        <v>0</v>
      </c>
      <c r="R115" s="2" t="inlineStr"/>
    </row>
    <row r="116" ht="15" customHeight="1">
      <c r="A116" t="inlineStr">
        <is>
          <t>A 52942-2024</t>
        </is>
      </c>
      <c r="B116" s="1" t="n">
        <v>45610.8215625</v>
      </c>
      <c r="C116" s="1" t="n">
        <v>45912</v>
      </c>
      <c r="D116" t="inlineStr">
        <is>
          <t>DALARNAS LÄN</t>
        </is>
      </c>
      <c r="E116" t="inlineStr">
        <is>
          <t>HEDEMORA</t>
        </is>
      </c>
      <c r="F116" t="inlineStr">
        <is>
          <t>Sveaskog</t>
        </is>
      </c>
      <c r="G116" t="n">
        <v>14.5</v>
      </c>
      <c r="H116" t="n">
        <v>0</v>
      </c>
      <c r="I116" t="n">
        <v>0</v>
      </c>
      <c r="J116" t="n">
        <v>0</v>
      </c>
      <c r="K116" t="n">
        <v>0</v>
      </c>
      <c r="L116" t="n">
        <v>0</v>
      </c>
      <c r="M116" t="n">
        <v>0</v>
      </c>
      <c r="N116" t="n">
        <v>0</v>
      </c>
      <c r="O116" t="n">
        <v>0</v>
      </c>
      <c r="P116" t="n">
        <v>0</v>
      </c>
      <c r="Q116" t="n">
        <v>0</v>
      </c>
      <c r="R116" s="2" t="inlineStr"/>
    </row>
    <row r="117" ht="15" customHeight="1">
      <c r="A117" t="inlineStr">
        <is>
          <t>A 15863-2023</t>
        </is>
      </c>
      <c r="B117" s="1" t="n">
        <v>45022</v>
      </c>
      <c r="C117" s="1" t="n">
        <v>45912</v>
      </c>
      <c r="D117" t="inlineStr">
        <is>
          <t>DALARNAS LÄN</t>
        </is>
      </c>
      <c r="E117" t="inlineStr">
        <is>
          <t>HEDEMORA</t>
        </is>
      </c>
      <c r="F117" t="inlineStr">
        <is>
          <t>Bergvik skog väst AB</t>
        </is>
      </c>
      <c r="G117" t="n">
        <v>4.7</v>
      </c>
      <c r="H117" t="n">
        <v>0</v>
      </c>
      <c r="I117" t="n">
        <v>0</v>
      </c>
      <c r="J117" t="n">
        <v>0</v>
      </c>
      <c r="K117" t="n">
        <v>0</v>
      </c>
      <c r="L117" t="n">
        <v>0</v>
      </c>
      <c r="M117" t="n">
        <v>0</v>
      </c>
      <c r="N117" t="n">
        <v>0</v>
      </c>
      <c r="O117" t="n">
        <v>0</v>
      </c>
      <c r="P117" t="n">
        <v>0</v>
      </c>
      <c r="Q117" t="n">
        <v>0</v>
      </c>
      <c r="R117" s="2" t="inlineStr"/>
    </row>
    <row r="118" ht="15" customHeight="1">
      <c r="A118" t="inlineStr">
        <is>
          <t>A 24486-2024</t>
        </is>
      </c>
      <c r="B118" s="1" t="n">
        <v>45459.62336805555</v>
      </c>
      <c r="C118" s="1" t="n">
        <v>45912</v>
      </c>
      <c r="D118" t="inlineStr">
        <is>
          <t>DALARNAS LÄN</t>
        </is>
      </c>
      <c r="E118" t="inlineStr">
        <is>
          <t>HEDEMORA</t>
        </is>
      </c>
      <c r="G118" t="n">
        <v>0.3</v>
      </c>
      <c r="H118" t="n">
        <v>0</v>
      </c>
      <c r="I118" t="n">
        <v>0</v>
      </c>
      <c r="J118" t="n">
        <v>0</v>
      </c>
      <c r="K118" t="n">
        <v>0</v>
      </c>
      <c r="L118" t="n">
        <v>0</v>
      </c>
      <c r="M118" t="n">
        <v>0</v>
      </c>
      <c r="N118" t="n">
        <v>0</v>
      </c>
      <c r="O118" t="n">
        <v>0</v>
      </c>
      <c r="P118" t="n">
        <v>0</v>
      </c>
      <c r="Q118" t="n">
        <v>0</v>
      </c>
      <c r="R118" s="2" t="inlineStr"/>
    </row>
    <row r="119" ht="15" customHeight="1">
      <c r="A119" t="inlineStr">
        <is>
          <t>A 11046-2022</t>
        </is>
      </c>
      <c r="B119" s="1" t="n">
        <v>44628</v>
      </c>
      <c r="C119" s="1" t="n">
        <v>45912</v>
      </c>
      <c r="D119" t="inlineStr">
        <is>
          <t>DALARNAS LÄN</t>
        </is>
      </c>
      <c r="E119" t="inlineStr">
        <is>
          <t>HEDEMORA</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17222-2025</t>
        </is>
      </c>
      <c r="B120" s="1" t="n">
        <v>45756.45504629629</v>
      </c>
      <c r="C120" s="1" t="n">
        <v>45912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39497-2022</t>
        </is>
      </c>
      <c r="B121" s="1" t="n">
        <v>44817</v>
      </c>
      <c r="C121" s="1" t="n">
        <v>45912</v>
      </c>
      <c r="D121" t="inlineStr">
        <is>
          <t>DALARNAS LÄN</t>
        </is>
      </c>
      <c r="E121" t="inlineStr">
        <is>
          <t>HEDEMORA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20965-2025</t>
        </is>
      </c>
      <c r="B122" s="1" t="n">
        <v>45777.45135416667</v>
      </c>
      <c r="C122" s="1" t="n">
        <v>45912</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41642-2023</t>
        </is>
      </c>
      <c r="B123" s="1" t="n">
        <v>45175</v>
      </c>
      <c r="C123" s="1" t="n">
        <v>45912</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30572-2021</t>
        </is>
      </c>
      <c r="B124" s="1" t="n">
        <v>44364.83369212963</v>
      </c>
      <c r="C124" s="1" t="n">
        <v>45912</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29591-2024</t>
        </is>
      </c>
      <c r="B125" s="1" t="n">
        <v>45484.58222222222</v>
      </c>
      <c r="C125" s="1" t="n">
        <v>45912</v>
      </c>
      <c r="D125" t="inlineStr">
        <is>
          <t>DALARNAS LÄN</t>
        </is>
      </c>
      <c r="E125" t="inlineStr">
        <is>
          <t>HEDEMORA</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63929-2023</t>
        </is>
      </c>
      <c r="B126" s="1" t="n">
        <v>45278.60274305556</v>
      </c>
      <c r="C126" s="1" t="n">
        <v>45912</v>
      </c>
      <c r="D126" t="inlineStr">
        <is>
          <t>DALARNAS LÄN</t>
        </is>
      </c>
      <c r="E126" t="inlineStr">
        <is>
          <t>HEDEMORA</t>
        </is>
      </c>
      <c r="G126" t="n">
        <v>0.4</v>
      </c>
      <c r="H126" t="n">
        <v>0</v>
      </c>
      <c r="I126" t="n">
        <v>0</v>
      </c>
      <c r="J126" t="n">
        <v>0</v>
      </c>
      <c r="K126" t="n">
        <v>0</v>
      </c>
      <c r="L126" t="n">
        <v>0</v>
      </c>
      <c r="M126" t="n">
        <v>0</v>
      </c>
      <c r="N126" t="n">
        <v>0</v>
      </c>
      <c r="O126" t="n">
        <v>0</v>
      </c>
      <c r="P126" t="n">
        <v>0</v>
      </c>
      <c r="Q126" t="n">
        <v>0</v>
      </c>
      <c r="R126" s="2" t="inlineStr"/>
    </row>
    <row r="127" ht="15" customHeight="1">
      <c r="A127" t="inlineStr">
        <is>
          <t>A 54423-2023</t>
        </is>
      </c>
      <c r="B127" s="1" t="n">
        <v>45233.41666666666</v>
      </c>
      <c r="C127" s="1" t="n">
        <v>45912</v>
      </c>
      <c r="D127" t="inlineStr">
        <is>
          <t>DALARNAS LÄN</t>
        </is>
      </c>
      <c r="E127" t="inlineStr">
        <is>
          <t>HEDEMORA</t>
        </is>
      </c>
      <c r="G127" t="n">
        <v>3.4</v>
      </c>
      <c r="H127" t="n">
        <v>0</v>
      </c>
      <c r="I127" t="n">
        <v>0</v>
      </c>
      <c r="J127" t="n">
        <v>0</v>
      </c>
      <c r="K127" t="n">
        <v>0</v>
      </c>
      <c r="L127" t="n">
        <v>0</v>
      </c>
      <c r="M127" t="n">
        <v>0</v>
      </c>
      <c r="N127" t="n">
        <v>0</v>
      </c>
      <c r="O127" t="n">
        <v>0</v>
      </c>
      <c r="P127" t="n">
        <v>0</v>
      </c>
      <c r="Q127" t="n">
        <v>0</v>
      </c>
      <c r="R127" s="2" t="inlineStr"/>
    </row>
    <row r="128" ht="15" customHeight="1">
      <c r="A128" t="inlineStr">
        <is>
          <t>A 44957-2021</t>
        </is>
      </c>
      <c r="B128" s="1" t="n">
        <v>44438.71809027778</v>
      </c>
      <c r="C128" s="1" t="n">
        <v>45912</v>
      </c>
      <c r="D128" t="inlineStr">
        <is>
          <t>DALARNAS LÄN</t>
        </is>
      </c>
      <c r="E128" t="inlineStr">
        <is>
          <t>HEDEMORA</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62386-2023</t>
        </is>
      </c>
      <c r="B129" s="1" t="n">
        <v>45268</v>
      </c>
      <c r="C129" s="1" t="n">
        <v>45912</v>
      </c>
      <c r="D129" t="inlineStr">
        <is>
          <t>DALARNAS LÄN</t>
        </is>
      </c>
      <c r="E129" t="inlineStr">
        <is>
          <t>HEDEMORA</t>
        </is>
      </c>
      <c r="G129" t="n">
        <v>1.7</v>
      </c>
      <c r="H129" t="n">
        <v>0</v>
      </c>
      <c r="I129" t="n">
        <v>0</v>
      </c>
      <c r="J129" t="n">
        <v>0</v>
      </c>
      <c r="K129" t="n">
        <v>0</v>
      </c>
      <c r="L129" t="n">
        <v>0</v>
      </c>
      <c r="M129" t="n">
        <v>0</v>
      </c>
      <c r="N129" t="n">
        <v>0</v>
      </c>
      <c r="O129" t="n">
        <v>0</v>
      </c>
      <c r="P129" t="n">
        <v>0</v>
      </c>
      <c r="Q129" t="n">
        <v>0</v>
      </c>
      <c r="R129" s="2" t="inlineStr"/>
    </row>
    <row r="130" ht="15" customHeight="1">
      <c r="A130" t="inlineStr">
        <is>
          <t>A 62398-2023</t>
        </is>
      </c>
      <c r="B130" s="1" t="n">
        <v>45268</v>
      </c>
      <c r="C130" s="1" t="n">
        <v>45912</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22273-2023</t>
        </is>
      </c>
      <c r="B131" s="1" t="n">
        <v>45070</v>
      </c>
      <c r="C131" s="1" t="n">
        <v>45912</v>
      </c>
      <c r="D131" t="inlineStr">
        <is>
          <t>DALARNAS LÄN</t>
        </is>
      </c>
      <c r="E131" t="inlineStr">
        <is>
          <t>HEDEMORA</t>
        </is>
      </c>
      <c r="G131" t="n">
        <v>1.3</v>
      </c>
      <c r="H131" t="n">
        <v>0</v>
      </c>
      <c r="I131" t="n">
        <v>0</v>
      </c>
      <c r="J131" t="n">
        <v>0</v>
      </c>
      <c r="K131" t="n">
        <v>0</v>
      </c>
      <c r="L131" t="n">
        <v>0</v>
      </c>
      <c r="M131" t="n">
        <v>0</v>
      </c>
      <c r="N131" t="n">
        <v>0</v>
      </c>
      <c r="O131" t="n">
        <v>0</v>
      </c>
      <c r="P131" t="n">
        <v>0</v>
      </c>
      <c r="Q131" t="n">
        <v>0</v>
      </c>
      <c r="R131" s="2" t="inlineStr"/>
    </row>
    <row r="132" ht="15" customHeight="1">
      <c r="A132" t="inlineStr">
        <is>
          <t>A 30430-2023</t>
        </is>
      </c>
      <c r="B132" s="1" t="n">
        <v>45111.54344907407</v>
      </c>
      <c r="C132" s="1" t="n">
        <v>45912</v>
      </c>
      <c r="D132" t="inlineStr">
        <is>
          <t>DALARNAS LÄN</t>
        </is>
      </c>
      <c r="E132" t="inlineStr">
        <is>
          <t>HEDEMORA</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63941-2023</t>
        </is>
      </c>
      <c r="B133" s="1" t="n">
        <v>45278.61277777778</v>
      </c>
      <c r="C133" s="1" t="n">
        <v>45912</v>
      </c>
      <c r="D133" t="inlineStr">
        <is>
          <t>DALARNAS LÄN</t>
        </is>
      </c>
      <c r="E133" t="inlineStr">
        <is>
          <t>HEDEMORA</t>
        </is>
      </c>
      <c r="G133" t="n">
        <v>1.1</v>
      </c>
      <c r="H133" t="n">
        <v>0</v>
      </c>
      <c r="I133" t="n">
        <v>0</v>
      </c>
      <c r="J133" t="n">
        <v>0</v>
      </c>
      <c r="K133" t="n">
        <v>0</v>
      </c>
      <c r="L133" t="n">
        <v>0</v>
      </c>
      <c r="M133" t="n">
        <v>0</v>
      </c>
      <c r="N133" t="n">
        <v>0</v>
      </c>
      <c r="O133" t="n">
        <v>0</v>
      </c>
      <c r="P133" t="n">
        <v>0</v>
      </c>
      <c r="Q133" t="n">
        <v>0</v>
      </c>
      <c r="R133" s="2" t="inlineStr"/>
    </row>
    <row r="134" ht="15" customHeight="1">
      <c r="A134" t="inlineStr">
        <is>
          <t>A 58018-2022</t>
        </is>
      </c>
      <c r="B134" s="1" t="n">
        <v>44900.53383101852</v>
      </c>
      <c r="C134" s="1" t="n">
        <v>45912</v>
      </c>
      <c r="D134" t="inlineStr">
        <is>
          <t>DALARNAS LÄN</t>
        </is>
      </c>
      <c r="E134" t="inlineStr">
        <is>
          <t>HEDEMORA</t>
        </is>
      </c>
      <c r="G134" t="n">
        <v>3.6</v>
      </c>
      <c r="H134" t="n">
        <v>0</v>
      </c>
      <c r="I134" t="n">
        <v>0</v>
      </c>
      <c r="J134" t="n">
        <v>0</v>
      </c>
      <c r="K134" t="n">
        <v>0</v>
      </c>
      <c r="L134" t="n">
        <v>0</v>
      </c>
      <c r="M134" t="n">
        <v>0</v>
      </c>
      <c r="N134" t="n">
        <v>0</v>
      </c>
      <c r="O134" t="n">
        <v>0</v>
      </c>
      <c r="P134" t="n">
        <v>0</v>
      </c>
      <c r="Q134" t="n">
        <v>0</v>
      </c>
      <c r="R134" s="2" t="inlineStr"/>
    </row>
    <row r="135" ht="15" customHeight="1">
      <c r="A135" t="inlineStr">
        <is>
          <t>A 69624-2021</t>
        </is>
      </c>
      <c r="B135" s="1" t="n">
        <v>44532.41442129629</v>
      </c>
      <c r="C135" s="1" t="n">
        <v>45912</v>
      </c>
      <c r="D135" t="inlineStr">
        <is>
          <t>DALARNAS LÄN</t>
        </is>
      </c>
      <c r="E135" t="inlineStr">
        <is>
          <t>HEDEMORA</t>
        </is>
      </c>
      <c r="G135" t="n">
        <v>0.4</v>
      </c>
      <c r="H135" t="n">
        <v>0</v>
      </c>
      <c r="I135" t="n">
        <v>0</v>
      </c>
      <c r="J135" t="n">
        <v>0</v>
      </c>
      <c r="K135" t="n">
        <v>0</v>
      </c>
      <c r="L135" t="n">
        <v>0</v>
      </c>
      <c r="M135" t="n">
        <v>0</v>
      </c>
      <c r="N135" t="n">
        <v>0</v>
      </c>
      <c r="O135" t="n">
        <v>0</v>
      </c>
      <c r="P135" t="n">
        <v>0</v>
      </c>
      <c r="Q135" t="n">
        <v>0</v>
      </c>
      <c r="R135" s="2" t="inlineStr"/>
    </row>
    <row r="136" ht="15" customHeight="1">
      <c r="A136" t="inlineStr">
        <is>
          <t>A 41435-2023</t>
        </is>
      </c>
      <c r="B136" s="1" t="n">
        <v>45170</v>
      </c>
      <c r="C136" s="1" t="n">
        <v>45912</v>
      </c>
      <c r="D136" t="inlineStr">
        <is>
          <t>DALARNAS LÄN</t>
        </is>
      </c>
      <c r="E136" t="inlineStr">
        <is>
          <t>HEDEMORA</t>
        </is>
      </c>
      <c r="G136" t="n">
        <v>2.9</v>
      </c>
      <c r="H136" t="n">
        <v>0</v>
      </c>
      <c r="I136" t="n">
        <v>0</v>
      </c>
      <c r="J136" t="n">
        <v>0</v>
      </c>
      <c r="K136" t="n">
        <v>0</v>
      </c>
      <c r="L136" t="n">
        <v>0</v>
      </c>
      <c r="M136" t="n">
        <v>0</v>
      </c>
      <c r="N136" t="n">
        <v>0</v>
      </c>
      <c r="O136" t="n">
        <v>0</v>
      </c>
      <c r="P136" t="n">
        <v>0</v>
      </c>
      <c r="Q136" t="n">
        <v>0</v>
      </c>
      <c r="R136" s="2" t="inlineStr"/>
    </row>
    <row r="137" ht="15" customHeight="1">
      <c r="A137" t="inlineStr">
        <is>
          <t>A 21868-2025</t>
        </is>
      </c>
      <c r="B137" s="1" t="n">
        <v>45784.3721412037</v>
      </c>
      <c r="C137" s="1" t="n">
        <v>45912</v>
      </c>
      <c r="D137" t="inlineStr">
        <is>
          <t>DALARNAS LÄN</t>
        </is>
      </c>
      <c r="E137" t="inlineStr">
        <is>
          <t>HEDEMORA</t>
        </is>
      </c>
      <c r="F137" t="inlineStr">
        <is>
          <t>Sveaskog</t>
        </is>
      </c>
      <c r="G137" t="n">
        <v>10.1</v>
      </c>
      <c r="H137" t="n">
        <v>0</v>
      </c>
      <c r="I137" t="n">
        <v>0</v>
      </c>
      <c r="J137" t="n">
        <v>0</v>
      </c>
      <c r="K137" t="n">
        <v>0</v>
      </c>
      <c r="L137" t="n">
        <v>0</v>
      </c>
      <c r="M137" t="n">
        <v>0</v>
      </c>
      <c r="N137" t="n">
        <v>0</v>
      </c>
      <c r="O137" t="n">
        <v>0</v>
      </c>
      <c r="P137" t="n">
        <v>0</v>
      </c>
      <c r="Q137" t="n">
        <v>0</v>
      </c>
      <c r="R137" s="2" t="inlineStr"/>
    </row>
    <row r="138" ht="15" customHeight="1">
      <c r="A138" t="inlineStr">
        <is>
          <t>A 49636-2021</t>
        </is>
      </c>
      <c r="B138" s="1" t="n">
        <v>44455</v>
      </c>
      <c r="C138" s="1" t="n">
        <v>45912</v>
      </c>
      <c r="D138" t="inlineStr">
        <is>
          <t>DALARNAS LÄN</t>
        </is>
      </c>
      <c r="E138" t="inlineStr">
        <is>
          <t>HEDEMORA</t>
        </is>
      </c>
      <c r="G138" t="n">
        <v>1.3</v>
      </c>
      <c r="H138" t="n">
        <v>0</v>
      </c>
      <c r="I138" t="n">
        <v>0</v>
      </c>
      <c r="J138" t="n">
        <v>0</v>
      </c>
      <c r="K138" t="n">
        <v>0</v>
      </c>
      <c r="L138" t="n">
        <v>0</v>
      </c>
      <c r="M138" t="n">
        <v>0</v>
      </c>
      <c r="N138" t="n">
        <v>0</v>
      </c>
      <c r="O138" t="n">
        <v>0</v>
      </c>
      <c r="P138" t="n">
        <v>0</v>
      </c>
      <c r="Q138" t="n">
        <v>0</v>
      </c>
      <c r="R138" s="2" t="inlineStr"/>
    </row>
    <row r="139" ht="15" customHeight="1">
      <c r="A139" t="inlineStr">
        <is>
          <t>A 25645-2024</t>
        </is>
      </c>
      <c r="B139" s="1" t="n">
        <v>45463.66520833333</v>
      </c>
      <c r="C139" s="1" t="n">
        <v>45912</v>
      </c>
      <c r="D139" t="inlineStr">
        <is>
          <t>DALARNAS LÄN</t>
        </is>
      </c>
      <c r="E139" t="inlineStr">
        <is>
          <t>HEDEMORA</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48380-2024</t>
        </is>
      </c>
      <c r="B140" s="1" t="n">
        <v>45590</v>
      </c>
      <c r="C140" s="1" t="n">
        <v>45912</v>
      </c>
      <c r="D140" t="inlineStr">
        <is>
          <t>DALARNAS LÄN</t>
        </is>
      </c>
      <c r="E140" t="inlineStr">
        <is>
          <t>HEDEMORA</t>
        </is>
      </c>
      <c r="G140" t="n">
        <v>1.5</v>
      </c>
      <c r="H140" t="n">
        <v>0</v>
      </c>
      <c r="I140" t="n">
        <v>0</v>
      </c>
      <c r="J140" t="n">
        <v>0</v>
      </c>
      <c r="K140" t="n">
        <v>0</v>
      </c>
      <c r="L140" t="n">
        <v>0</v>
      </c>
      <c r="M140" t="n">
        <v>0</v>
      </c>
      <c r="N140" t="n">
        <v>0</v>
      </c>
      <c r="O140" t="n">
        <v>0</v>
      </c>
      <c r="P140" t="n">
        <v>0</v>
      </c>
      <c r="Q140" t="n">
        <v>0</v>
      </c>
      <c r="R140" s="2" t="inlineStr"/>
    </row>
    <row r="141" ht="15" customHeight="1">
      <c r="A141" t="inlineStr">
        <is>
          <t>A 43785-2023</t>
        </is>
      </c>
      <c r="B141" s="1" t="n">
        <v>45187</v>
      </c>
      <c r="C141" s="1" t="n">
        <v>45912</v>
      </c>
      <c r="D141" t="inlineStr">
        <is>
          <t>DALARNAS LÄN</t>
        </is>
      </c>
      <c r="E141" t="inlineStr">
        <is>
          <t>HEDEMORA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21864-2025</t>
        </is>
      </c>
      <c r="B142" s="1" t="n">
        <v>45784</v>
      </c>
      <c r="C142" s="1" t="n">
        <v>45912</v>
      </c>
      <c r="D142" t="inlineStr">
        <is>
          <t>DALARNAS LÄN</t>
        </is>
      </c>
      <c r="E142" t="inlineStr">
        <is>
          <t>HEDEMORA</t>
        </is>
      </c>
      <c r="F142" t="inlineStr">
        <is>
          <t>Sveaskog</t>
        </is>
      </c>
      <c r="G142" t="n">
        <v>5.1</v>
      </c>
      <c r="H142" t="n">
        <v>0</v>
      </c>
      <c r="I142" t="n">
        <v>0</v>
      </c>
      <c r="J142" t="n">
        <v>0</v>
      </c>
      <c r="K142" t="n">
        <v>0</v>
      </c>
      <c r="L142" t="n">
        <v>0</v>
      </c>
      <c r="M142" t="n">
        <v>0</v>
      </c>
      <c r="N142" t="n">
        <v>0</v>
      </c>
      <c r="O142" t="n">
        <v>0</v>
      </c>
      <c r="P142" t="n">
        <v>0</v>
      </c>
      <c r="Q142" t="n">
        <v>0</v>
      </c>
      <c r="R142" s="2" t="inlineStr"/>
    </row>
    <row r="143" ht="15" customHeight="1">
      <c r="A143" t="inlineStr">
        <is>
          <t>A 6210-2024</t>
        </is>
      </c>
      <c r="B143" s="1" t="n">
        <v>45337</v>
      </c>
      <c r="C143" s="1" t="n">
        <v>45912</v>
      </c>
      <c r="D143" t="inlineStr">
        <is>
          <t>DALARNAS LÄN</t>
        </is>
      </c>
      <c r="E143" t="inlineStr">
        <is>
          <t>HEDEMORA</t>
        </is>
      </c>
      <c r="G143" t="n">
        <v>2.6</v>
      </c>
      <c r="H143" t="n">
        <v>0</v>
      </c>
      <c r="I143" t="n">
        <v>0</v>
      </c>
      <c r="J143" t="n">
        <v>0</v>
      </c>
      <c r="K143" t="n">
        <v>0</v>
      </c>
      <c r="L143" t="n">
        <v>0</v>
      </c>
      <c r="M143" t="n">
        <v>0</v>
      </c>
      <c r="N143" t="n">
        <v>0</v>
      </c>
      <c r="O143" t="n">
        <v>0</v>
      </c>
      <c r="P143" t="n">
        <v>0</v>
      </c>
      <c r="Q143" t="n">
        <v>0</v>
      </c>
      <c r="R143" s="2" t="inlineStr"/>
    </row>
    <row r="144" ht="15" customHeight="1">
      <c r="A144" t="inlineStr">
        <is>
          <t>A 21869-2025</t>
        </is>
      </c>
      <c r="B144" s="1" t="n">
        <v>45784.37449074074</v>
      </c>
      <c r="C144" s="1" t="n">
        <v>45912</v>
      </c>
      <c r="D144" t="inlineStr">
        <is>
          <t>DALARNAS LÄN</t>
        </is>
      </c>
      <c r="E144" t="inlineStr">
        <is>
          <t>HEDEMORA</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18579-2025</t>
        </is>
      </c>
      <c r="B145" s="1" t="n">
        <v>45763</v>
      </c>
      <c r="C145" s="1" t="n">
        <v>45912</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26431-2024</t>
        </is>
      </c>
      <c r="B146" s="1" t="n">
        <v>45469.48282407408</v>
      </c>
      <c r="C146" s="1" t="n">
        <v>45912</v>
      </c>
      <c r="D146" t="inlineStr">
        <is>
          <t>DALARNAS LÄN</t>
        </is>
      </c>
      <c r="E146" t="inlineStr">
        <is>
          <t>HEDEMORA</t>
        </is>
      </c>
      <c r="G146" t="n">
        <v>1.6</v>
      </c>
      <c r="H146" t="n">
        <v>0</v>
      </c>
      <c r="I146" t="n">
        <v>0</v>
      </c>
      <c r="J146" t="n">
        <v>0</v>
      </c>
      <c r="K146" t="n">
        <v>0</v>
      </c>
      <c r="L146" t="n">
        <v>0</v>
      </c>
      <c r="M146" t="n">
        <v>0</v>
      </c>
      <c r="N146" t="n">
        <v>0</v>
      </c>
      <c r="O146" t="n">
        <v>0</v>
      </c>
      <c r="P146" t="n">
        <v>0</v>
      </c>
      <c r="Q146" t="n">
        <v>0</v>
      </c>
      <c r="R146" s="2" t="inlineStr"/>
      <c r="U146">
        <f>HYPERLINK("https://klasma.github.io/Logging_2083/knärot/A 26431-2024 karta knärot.png", "A 26431-2024")</f>
        <v/>
      </c>
      <c r="V146">
        <f>HYPERLINK("https://klasma.github.io/Logging_2083/klagomål/A 26431-2024 FSC-klagomål.docx", "A 26431-2024")</f>
        <v/>
      </c>
      <c r="W146">
        <f>HYPERLINK("https://klasma.github.io/Logging_2083/klagomålsmail/A 26431-2024 FSC-klagomål mail.docx", "A 26431-2024")</f>
        <v/>
      </c>
      <c r="X146">
        <f>HYPERLINK("https://klasma.github.io/Logging_2083/tillsyn/A 26431-2024 tillsynsbegäran.docx", "A 26431-2024")</f>
        <v/>
      </c>
      <c r="Y146">
        <f>HYPERLINK("https://klasma.github.io/Logging_2083/tillsynsmail/A 26431-2024 tillsynsbegäran mail.docx", "A 26431-2024")</f>
        <v/>
      </c>
    </row>
    <row r="147" ht="15" customHeight="1">
      <c r="A147" t="inlineStr">
        <is>
          <t>A 23934-2023</t>
        </is>
      </c>
      <c r="B147" s="1" t="n">
        <v>45078.59590277778</v>
      </c>
      <c r="C147" s="1" t="n">
        <v>45912</v>
      </c>
      <c r="D147" t="inlineStr">
        <is>
          <t>DALARNAS LÄN</t>
        </is>
      </c>
      <c r="E147" t="inlineStr">
        <is>
          <t>HEDEMORA</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40707-2023</t>
        </is>
      </c>
      <c r="B148" s="1" t="n">
        <v>45170.62489583333</v>
      </c>
      <c r="C148" s="1" t="n">
        <v>45912</v>
      </c>
      <c r="D148" t="inlineStr">
        <is>
          <t>DALARNAS LÄN</t>
        </is>
      </c>
      <c r="E148" t="inlineStr">
        <is>
          <t>HEDEMORA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51256-2024</t>
        </is>
      </c>
      <c r="B149" s="1" t="n">
        <v>45603.68902777778</v>
      </c>
      <c r="C149" s="1" t="n">
        <v>45912</v>
      </c>
      <c r="D149" t="inlineStr">
        <is>
          <t>DALARNAS LÄN</t>
        </is>
      </c>
      <c r="E149" t="inlineStr">
        <is>
          <t>HEDEMORA</t>
        </is>
      </c>
      <c r="G149" t="n">
        <v>1.3</v>
      </c>
      <c r="H149" t="n">
        <v>0</v>
      </c>
      <c r="I149" t="n">
        <v>0</v>
      </c>
      <c r="J149" t="n">
        <v>0</v>
      </c>
      <c r="K149" t="n">
        <v>0</v>
      </c>
      <c r="L149" t="n">
        <v>0</v>
      </c>
      <c r="M149" t="n">
        <v>0</v>
      </c>
      <c r="N149" t="n">
        <v>0</v>
      </c>
      <c r="O149" t="n">
        <v>0</v>
      </c>
      <c r="P149" t="n">
        <v>0</v>
      </c>
      <c r="Q149" t="n">
        <v>0</v>
      </c>
      <c r="R149" s="2" t="inlineStr"/>
    </row>
    <row r="150" ht="15" customHeight="1">
      <c r="A150" t="inlineStr">
        <is>
          <t>A 53922-2024</t>
        </is>
      </c>
      <c r="B150" s="1" t="n">
        <v>45615.78459490741</v>
      </c>
      <c r="C150" s="1" t="n">
        <v>45912</v>
      </c>
      <c r="D150" t="inlineStr">
        <is>
          <t>DALARNAS LÄN</t>
        </is>
      </c>
      <c r="E150" t="inlineStr">
        <is>
          <t>HEDEMORA</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45912</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19920-2025</t>
        </is>
      </c>
      <c r="B152" s="1" t="n">
        <v>45771</v>
      </c>
      <c r="C152" s="1" t="n">
        <v>45912</v>
      </c>
      <c r="D152" t="inlineStr">
        <is>
          <t>DALARNAS LÄN</t>
        </is>
      </c>
      <c r="E152" t="inlineStr">
        <is>
          <t>HEDEMORA</t>
        </is>
      </c>
      <c r="G152" t="n">
        <v>2.8</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45912</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23435-2025</t>
        </is>
      </c>
      <c r="B154" s="1" t="n">
        <v>45792.37162037037</v>
      </c>
      <c r="C154" s="1" t="n">
        <v>45912</v>
      </c>
      <c r="D154" t="inlineStr">
        <is>
          <t>DALARNAS LÄN</t>
        </is>
      </c>
      <c r="E154" t="inlineStr">
        <is>
          <t>HEDEMORA</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61883-2022</t>
        </is>
      </c>
      <c r="B155" s="1" t="n">
        <v>44917.67262731482</v>
      </c>
      <c r="C155" s="1" t="n">
        <v>45912</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19353-2024</t>
        </is>
      </c>
      <c r="B156" s="1" t="n">
        <v>45429.29666666667</v>
      </c>
      <c r="C156" s="1" t="n">
        <v>45912</v>
      </c>
      <c r="D156" t="inlineStr">
        <is>
          <t>DALARNAS LÄN</t>
        </is>
      </c>
      <c r="E156" t="inlineStr">
        <is>
          <t>HEDEMORA</t>
        </is>
      </c>
      <c r="F156" t="inlineStr">
        <is>
          <t>Sveaskog</t>
        </is>
      </c>
      <c r="G156" t="n">
        <v>16.3</v>
      </c>
      <c r="H156" t="n">
        <v>0</v>
      </c>
      <c r="I156" t="n">
        <v>0</v>
      </c>
      <c r="J156" t="n">
        <v>0</v>
      </c>
      <c r="K156" t="n">
        <v>0</v>
      </c>
      <c r="L156" t="n">
        <v>0</v>
      </c>
      <c r="M156" t="n">
        <v>0</v>
      </c>
      <c r="N156" t="n">
        <v>0</v>
      </c>
      <c r="O156" t="n">
        <v>0</v>
      </c>
      <c r="P156" t="n">
        <v>0</v>
      </c>
      <c r="Q156" t="n">
        <v>0</v>
      </c>
      <c r="R156" s="2" t="inlineStr"/>
    </row>
    <row r="157" ht="15" customHeight="1">
      <c r="A157" t="inlineStr">
        <is>
          <t>A 27610-2024</t>
        </is>
      </c>
      <c r="B157" s="1" t="n">
        <v>45474.73221064815</v>
      </c>
      <c r="C157" s="1" t="n">
        <v>45912</v>
      </c>
      <c r="D157" t="inlineStr">
        <is>
          <t>DALARNAS LÄN</t>
        </is>
      </c>
      <c r="E157" t="inlineStr">
        <is>
          <t>HEDEMORA</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14968-2025</t>
        </is>
      </c>
      <c r="B158" s="1" t="n">
        <v>45743.59052083334</v>
      </c>
      <c r="C158" s="1" t="n">
        <v>45912</v>
      </c>
      <c r="D158" t="inlineStr">
        <is>
          <t>DALARNAS LÄN</t>
        </is>
      </c>
      <c r="E158" t="inlineStr">
        <is>
          <t>HEDEMORA</t>
        </is>
      </c>
      <c r="G158" t="n">
        <v>2.2</v>
      </c>
      <c r="H158" t="n">
        <v>0</v>
      </c>
      <c r="I158" t="n">
        <v>0</v>
      </c>
      <c r="J158" t="n">
        <v>0</v>
      </c>
      <c r="K158" t="n">
        <v>0</v>
      </c>
      <c r="L158" t="n">
        <v>0</v>
      </c>
      <c r="M158" t="n">
        <v>0</v>
      </c>
      <c r="N158" t="n">
        <v>0</v>
      </c>
      <c r="O158" t="n">
        <v>0</v>
      </c>
      <c r="P158" t="n">
        <v>0</v>
      </c>
      <c r="Q158" t="n">
        <v>0</v>
      </c>
      <c r="R158" s="2" t="inlineStr"/>
    </row>
    <row r="159" ht="15" customHeight="1">
      <c r="A159" t="inlineStr">
        <is>
          <t>A 6881-2024</t>
        </is>
      </c>
      <c r="B159" s="1" t="n">
        <v>45342.8779050926</v>
      </c>
      <c r="C159" s="1" t="n">
        <v>45912</v>
      </c>
      <c r="D159" t="inlineStr">
        <is>
          <t>DALARNAS LÄN</t>
        </is>
      </c>
      <c r="E159" t="inlineStr">
        <is>
          <t>HEDEMORA</t>
        </is>
      </c>
      <c r="G159" t="n">
        <v>2.5</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45912</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36304-2024</t>
        </is>
      </c>
      <c r="B161" s="1" t="n">
        <v>45534.61217592593</v>
      </c>
      <c r="C161" s="1" t="n">
        <v>45912</v>
      </c>
      <c r="D161" t="inlineStr">
        <is>
          <t>DALARNAS LÄN</t>
        </is>
      </c>
      <c r="E161" t="inlineStr">
        <is>
          <t>HEDEMORA</t>
        </is>
      </c>
      <c r="F161" t="inlineStr">
        <is>
          <t>Sveaskog</t>
        </is>
      </c>
      <c r="G161" t="n">
        <v>6.1</v>
      </c>
      <c r="H161" t="n">
        <v>0</v>
      </c>
      <c r="I161" t="n">
        <v>0</v>
      </c>
      <c r="J161" t="n">
        <v>0</v>
      </c>
      <c r="K161" t="n">
        <v>0</v>
      </c>
      <c r="L161" t="n">
        <v>0</v>
      </c>
      <c r="M161" t="n">
        <v>0</v>
      </c>
      <c r="N161" t="n">
        <v>0</v>
      </c>
      <c r="O161" t="n">
        <v>0</v>
      </c>
      <c r="P161" t="n">
        <v>0</v>
      </c>
      <c r="Q161" t="n">
        <v>0</v>
      </c>
      <c r="R161" s="2" t="inlineStr"/>
    </row>
    <row r="162" ht="15" customHeight="1">
      <c r="A162" t="inlineStr">
        <is>
          <t>A 27609-2024</t>
        </is>
      </c>
      <c r="B162" s="1" t="n">
        <v>45474.73076388889</v>
      </c>
      <c r="C162" s="1" t="n">
        <v>45912</v>
      </c>
      <c r="D162" t="inlineStr">
        <is>
          <t>DALARNAS LÄN</t>
        </is>
      </c>
      <c r="E162" t="inlineStr">
        <is>
          <t>HEDEMORA</t>
        </is>
      </c>
      <c r="F162" t="inlineStr">
        <is>
          <t>Sveaskog</t>
        </is>
      </c>
      <c r="G162" t="n">
        <v>1.9</v>
      </c>
      <c r="H162" t="n">
        <v>0</v>
      </c>
      <c r="I162" t="n">
        <v>0</v>
      </c>
      <c r="J162" t="n">
        <v>0</v>
      </c>
      <c r="K162" t="n">
        <v>0</v>
      </c>
      <c r="L162" t="n">
        <v>0</v>
      </c>
      <c r="M162" t="n">
        <v>0</v>
      </c>
      <c r="N162" t="n">
        <v>0</v>
      </c>
      <c r="O162" t="n">
        <v>0</v>
      </c>
      <c r="P162" t="n">
        <v>0</v>
      </c>
      <c r="Q162" t="n">
        <v>0</v>
      </c>
      <c r="R162" s="2" t="inlineStr"/>
    </row>
    <row r="163" ht="15" customHeight="1">
      <c r="A163" t="inlineStr">
        <is>
          <t>A 25195-2024</t>
        </is>
      </c>
      <c r="B163" s="1" t="n">
        <v>45462</v>
      </c>
      <c r="C163" s="1" t="n">
        <v>45912</v>
      </c>
      <c r="D163" t="inlineStr">
        <is>
          <t>DALARNAS LÄN</t>
        </is>
      </c>
      <c r="E163" t="inlineStr">
        <is>
          <t>HEDEMORA</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37449-2024</t>
        </is>
      </c>
      <c r="B164" s="1" t="n">
        <v>45540</v>
      </c>
      <c r="C164" s="1" t="n">
        <v>45912</v>
      </c>
      <c r="D164" t="inlineStr">
        <is>
          <t>DALARNAS LÄN</t>
        </is>
      </c>
      <c r="E164" t="inlineStr">
        <is>
          <t>HEDEMORA</t>
        </is>
      </c>
      <c r="F164" t="inlineStr">
        <is>
          <t>Bergvik skog väst AB</t>
        </is>
      </c>
      <c r="G164" t="n">
        <v>10.1</v>
      </c>
      <c r="H164" t="n">
        <v>0</v>
      </c>
      <c r="I164" t="n">
        <v>0</v>
      </c>
      <c r="J164" t="n">
        <v>0</v>
      </c>
      <c r="K164" t="n">
        <v>0</v>
      </c>
      <c r="L164" t="n">
        <v>0</v>
      </c>
      <c r="M164" t="n">
        <v>0</v>
      </c>
      <c r="N164" t="n">
        <v>0</v>
      </c>
      <c r="O164" t="n">
        <v>0</v>
      </c>
      <c r="P164" t="n">
        <v>0</v>
      </c>
      <c r="Q164" t="n">
        <v>0</v>
      </c>
      <c r="R164" s="2" t="inlineStr"/>
    </row>
    <row r="165" ht="15" customHeight="1">
      <c r="A165" t="inlineStr">
        <is>
          <t>A 25155-2023</t>
        </is>
      </c>
      <c r="B165" s="1" t="n">
        <v>45086</v>
      </c>
      <c r="C165" s="1" t="n">
        <v>45912</v>
      </c>
      <c r="D165" t="inlineStr">
        <is>
          <t>DALARNAS LÄN</t>
        </is>
      </c>
      <c r="E165" t="inlineStr">
        <is>
          <t>HEDEMORA</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36900-2022</t>
        </is>
      </c>
      <c r="B166" s="1" t="n">
        <v>44805.71435185185</v>
      </c>
      <c r="C166" s="1" t="n">
        <v>45912</v>
      </c>
      <c r="D166" t="inlineStr">
        <is>
          <t>DALARNAS LÄN</t>
        </is>
      </c>
      <c r="E166" t="inlineStr">
        <is>
          <t>HEDEMORA</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54312-2024</t>
        </is>
      </c>
      <c r="B167" s="1" t="n">
        <v>45617.3434837963</v>
      </c>
      <c r="C167" s="1" t="n">
        <v>45912</v>
      </c>
      <c r="D167" t="inlineStr">
        <is>
          <t>DALARNAS LÄN</t>
        </is>
      </c>
      <c r="E167" t="inlineStr">
        <is>
          <t>HEDEMORA</t>
        </is>
      </c>
      <c r="F167" t="inlineStr">
        <is>
          <t>Bergvik skog väst AB</t>
        </is>
      </c>
      <c r="G167" t="n">
        <v>13.9</v>
      </c>
      <c r="H167" t="n">
        <v>0</v>
      </c>
      <c r="I167" t="n">
        <v>0</v>
      </c>
      <c r="J167" t="n">
        <v>0</v>
      </c>
      <c r="K167" t="n">
        <v>0</v>
      </c>
      <c r="L167" t="n">
        <v>0</v>
      </c>
      <c r="M167" t="n">
        <v>0</v>
      </c>
      <c r="N167" t="n">
        <v>0</v>
      </c>
      <c r="O167" t="n">
        <v>0</v>
      </c>
      <c r="P167" t="n">
        <v>0</v>
      </c>
      <c r="Q167" t="n">
        <v>0</v>
      </c>
      <c r="R167" s="2" t="inlineStr"/>
    </row>
    <row r="168" ht="15" customHeight="1">
      <c r="A168" t="inlineStr">
        <is>
          <t>A 52945-2024</t>
        </is>
      </c>
      <c r="B168" s="1" t="n">
        <v>45610.82664351852</v>
      </c>
      <c r="C168" s="1" t="n">
        <v>45912</v>
      </c>
      <c r="D168" t="inlineStr">
        <is>
          <t>DALARNAS LÄN</t>
        </is>
      </c>
      <c r="E168" t="inlineStr">
        <is>
          <t>HEDEMORA</t>
        </is>
      </c>
      <c r="F168" t="inlineStr">
        <is>
          <t>Sveaskog</t>
        </is>
      </c>
      <c r="G168" t="n">
        <v>5</v>
      </c>
      <c r="H168" t="n">
        <v>0</v>
      </c>
      <c r="I168" t="n">
        <v>0</v>
      </c>
      <c r="J168" t="n">
        <v>0</v>
      </c>
      <c r="K168" t="n">
        <v>0</v>
      </c>
      <c r="L168" t="n">
        <v>0</v>
      </c>
      <c r="M168" t="n">
        <v>0</v>
      </c>
      <c r="N168" t="n">
        <v>0</v>
      </c>
      <c r="O168" t="n">
        <v>0</v>
      </c>
      <c r="P168" t="n">
        <v>0</v>
      </c>
      <c r="Q168" t="n">
        <v>0</v>
      </c>
      <c r="R168" s="2" t="inlineStr"/>
    </row>
    <row r="169" ht="15" customHeight="1">
      <c r="A169" t="inlineStr">
        <is>
          <t>A 59632-2023</t>
        </is>
      </c>
      <c r="B169" s="1" t="n">
        <v>45254</v>
      </c>
      <c r="C169" s="1" t="n">
        <v>45912</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25021-2025</t>
        </is>
      </c>
      <c r="B170" s="1" t="n">
        <v>45799.64574074074</v>
      </c>
      <c r="C170" s="1" t="n">
        <v>45912</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19397-2024</t>
        </is>
      </c>
      <c r="B171" s="1" t="n">
        <v>45429.38474537037</v>
      </c>
      <c r="C171" s="1" t="n">
        <v>45912</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45912</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59471-2020</t>
        </is>
      </c>
      <c r="B173" s="1" t="n">
        <v>44148</v>
      </c>
      <c r="C173" s="1" t="n">
        <v>45912</v>
      </c>
      <c r="D173" t="inlineStr">
        <is>
          <t>DALARNAS LÄN</t>
        </is>
      </c>
      <c r="E173" t="inlineStr">
        <is>
          <t>HEDEMORA</t>
        </is>
      </c>
      <c r="G173" t="n">
        <v>1.2</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45912</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73099-2021</t>
        </is>
      </c>
      <c r="B175" s="1" t="n">
        <v>44546</v>
      </c>
      <c r="C175" s="1" t="n">
        <v>45912</v>
      </c>
      <c r="D175" t="inlineStr">
        <is>
          <t>DALARNAS LÄN</t>
        </is>
      </c>
      <c r="E175" t="inlineStr">
        <is>
          <t>HEDEMORA</t>
        </is>
      </c>
      <c r="G175" t="n">
        <v>4.5</v>
      </c>
      <c r="H175" t="n">
        <v>0</v>
      </c>
      <c r="I175" t="n">
        <v>0</v>
      </c>
      <c r="J175" t="n">
        <v>0</v>
      </c>
      <c r="K175" t="n">
        <v>0</v>
      </c>
      <c r="L175" t="n">
        <v>0</v>
      </c>
      <c r="M175" t="n">
        <v>0</v>
      </c>
      <c r="N175" t="n">
        <v>0</v>
      </c>
      <c r="O175" t="n">
        <v>0</v>
      </c>
      <c r="P175" t="n">
        <v>0</v>
      </c>
      <c r="Q175" t="n">
        <v>0</v>
      </c>
      <c r="R175" s="2" t="inlineStr"/>
    </row>
    <row r="176" ht="15" customHeight="1">
      <c r="A176" t="inlineStr">
        <is>
          <t>A 52199-2021</t>
        </is>
      </c>
      <c r="B176" s="1" t="n">
        <v>44462</v>
      </c>
      <c r="C176" s="1" t="n">
        <v>45912</v>
      </c>
      <c r="D176" t="inlineStr">
        <is>
          <t>DALARNAS LÄN</t>
        </is>
      </c>
      <c r="E176" t="inlineStr">
        <is>
          <t>HEDEMORA</t>
        </is>
      </c>
      <c r="F176" t="inlineStr">
        <is>
          <t>Bergvik skog väst AB</t>
        </is>
      </c>
      <c r="G176" t="n">
        <v>4.4</v>
      </c>
      <c r="H176" t="n">
        <v>0</v>
      </c>
      <c r="I176" t="n">
        <v>0</v>
      </c>
      <c r="J176" t="n">
        <v>0</v>
      </c>
      <c r="K176" t="n">
        <v>0</v>
      </c>
      <c r="L176" t="n">
        <v>0</v>
      </c>
      <c r="M176" t="n">
        <v>0</v>
      </c>
      <c r="N176" t="n">
        <v>0</v>
      </c>
      <c r="O176" t="n">
        <v>0</v>
      </c>
      <c r="P176" t="n">
        <v>0</v>
      </c>
      <c r="Q176" t="n">
        <v>0</v>
      </c>
      <c r="R176" s="2" t="inlineStr"/>
    </row>
    <row r="177" ht="15" customHeight="1">
      <c r="A177" t="inlineStr">
        <is>
          <t>A 22270-2023</t>
        </is>
      </c>
      <c r="B177" s="1" t="n">
        <v>45070.39284722223</v>
      </c>
      <c r="C177" s="1" t="n">
        <v>45912</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26204-2025</t>
        </is>
      </c>
      <c r="B178" s="1" t="n">
        <v>45805.51065972223</v>
      </c>
      <c r="C178" s="1" t="n">
        <v>45912</v>
      </c>
      <c r="D178" t="inlineStr">
        <is>
          <t>DALARNAS LÄN</t>
        </is>
      </c>
      <c r="E178" t="inlineStr">
        <is>
          <t>HEDEMORA</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61849-2022</t>
        </is>
      </c>
      <c r="B179" s="1" t="n">
        <v>44917</v>
      </c>
      <c r="C179" s="1" t="n">
        <v>45912</v>
      </c>
      <c r="D179" t="inlineStr">
        <is>
          <t>DALARNAS LÄN</t>
        </is>
      </c>
      <c r="E179" t="inlineStr">
        <is>
          <t>HEDEMORA</t>
        </is>
      </c>
      <c r="G179" t="n">
        <v>1.9</v>
      </c>
      <c r="H179" t="n">
        <v>0</v>
      </c>
      <c r="I179" t="n">
        <v>0</v>
      </c>
      <c r="J179" t="n">
        <v>0</v>
      </c>
      <c r="K179" t="n">
        <v>0</v>
      </c>
      <c r="L179" t="n">
        <v>0</v>
      </c>
      <c r="M179" t="n">
        <v>0</v>
      </c>
      <c r="N179" t="n">
        <v>0</v>
      </c>
      <c r="O179" t="n">
        <v>0</v>
      </c>
      <c r="P179" t="n">
        <v>0</v>
      </c>
      <c r="Q179" t="n">
        <v>0</v>
      </c>
      <c r="R179" s="2" t="inlineStr"/>
    </row>
    <row r="180" ht="15" customHeight="1">
      <c r="A180" t="inlineStr">
        <is>
          <t>A 16413-2024</t>
        </is>
      </c>
      <c r="B180" s="1" t="n">
        <v>45407.64223379629</v>
      </c>
      <c r="C180" s="1" t="n">
        <v>45912</v>
      </c>
      <c r="D180" t="inlineStr">
        <is>
          <t>DALARNAS LÄN</t>
        </is>
      </c>
      <c r="E180" t="inlineStr">
        <is>
          <t>HEDEMORA</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43621-2024</t>
        </is>
      </c>
      <c r="B181" s="1" t="n">
        <v>45569.48200231481</v>
      </c>
      <c r="C181" s="1" t="n">
        <v>45912</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6972-2025</t>
        </is>
      </c>
      <c r="B182" s="1" t="n">
        <v>45701.53790509259</v>
      </c>
      <c r="C182" s="1" t="n">
        <v>45912</v>
      </c>
      <c r="D182" t="inlineStr">
        <is>
          <t>DALARNAS LÄN</t>
        </is>
      </c>
      <c r="E182" t="inlineStr">
        <is>
          <t>HEDEMORA</t>
        </is>
      </c>
      <c r="G182" t="n">
        <v>4.9</v>
      </c>
      <c r="H182" t="n">
        <v>0</v>
      </c>
      <c r="I182" t="n">
        <v>0</v>
      </c>
      <c r="J182" t="n">
        <v>0</v>
      </c>
      <c r="K182" t="n">
        <v>0</v>
      </c>
      <c r="L182" t="n">
        <v>0</v>
      </c>
      <c r="M182" t="n">
        <v>0</v>
      </c>
      <c r="N182" t="n">
        <v>0</v>
      </c>
      <c r="O182" t="n">
        <v>0</v>
      </c>
      <c r="P182" t="n">
        <v>0</v>
      </c>
      <c r="Q182" t="n">
        <v>0</v>
      </c>
      <c r="R182" s="2" t="inlineStr"/>
    </row>
    <row r="183" ht="15" customHeight="1">
      <c r="A183" t="inlineStr">
        <is>
          <t>A 26705-2025</t>
        </is>
      </c>
      <c r="B183" s="1" t="n">
        <v>45810.45325231482</v>
      </c>
      <c r="C183" s="1" t="n">
        <v>45912</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45912</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29050-2023</t>
        </is>
      </c>
      <c r="B185" s="1" t="n">
        <v>45104</v>
      </c>
      <c r="C185" s="1" t="n">
        <v>45912</v>
      </c>
      <c r="D185" t="inlineStr">
        <is>
          <t>DALARNAS LÄN</t>
        </is>
      </c>
      <c r="E185" t="inlineStr">
        <is>
          <t>HEDEMORA</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25150-2023</t>
        </is>
      </c>
      <c r="B186" s="1" t="n">
        <v>45086</v>
      </c>
      <c r="C186" s="1" t="n">
        <v>45912</v>
      </c>
      <c r="D186" t="inlineStr">
        <is>
          <t>DALARNAS LÄN</t>
        </is>
      </c>
      <c r="E186" t="inlineStr">
        <is>
          <t>HEDEMORA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19690-2025</t>
        </is>
      </c>
      <c r="B187" s="1" t="n">
        <v>45770.88761574074</v>
      </c>
      <c r="C187" s="1" t="n">
        <v>45912</v>
      </c>
      <c r="D187" t="inlineStr">
        <is>
          <t>DALARNAS LÄN</t>
        </is>
      </c>
      <c r="E187" t="inlineStr">
        <is>
          <t>HEDEMORA</t>
        </is>
      </c>
      <c r="G187" t="n">
        <v>1.6</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45912</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45912</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5766-2025</t>
        </is>
      </c>
      <c r="B190" s="1" t="n">
        <v>45694.57893518519</v>
      </c>
      <c r="C190" s="1" t="n">
        <v>45912</v>
      </c>
      <c r="D190" t="inlineStr">
        <is>
          <t>DALARNAS LÄN</t>
        </is>
      </c>
      <c r="E190" t="inlineStr">
        <is>
          <t>HEDEMORA</t>
        </is>
      </c>
      <c r="G190" t="n">
        <v>4.9</v>
      </c>
      <c r="H190" t="n">
        <v>0</v>
      </c>
      <c r="I190" t="n">
        <v>0</v>
      </c>
      <c r="J190" t="n">
        <v>0</v>
      </c>
      <c r="K190" t="n">
        <v>0</v>
      </c>
      <c r="L190" t="n">
        <v>0</v>
      </c>
      <c r="M190" t="n">
        <v>0</v>
      </c>
      <c r="N190" t="n">
        <v>0</v>
      </c>
      <c r="O190" t="n">
        <v>0</v>
      </c>
      <c r="P190" t="n">
        <v>0</v>
      </c>
      <c r="Q190" t="n">
        <v>0</v>
      </c>
      <c r="R190" s="2" t="inlineStr"/>
    </row>
    <row r="191" ht="15" customHeight="1">
      <c r="A191" t="inlineStr">
        <is>
          <t>A 19473-2024</t>
        </is>
      </c>
      <c r="B191" s="1" t="n">
        <v>45429</v>
      </c>
      <c r="C191" s="1" t="n">
        <v>45912</v>
      </c>
      <c r="D191" t="inlineStr">
        <is>
          <t>DALARNAS LÄN</t>
        </is>
      </c>
      <c r="E191" t="inlineStr">
        <is>
          <t>HEDEMORA</t>
        </is>
      </c>
      <c r="G191" t="n">
        <v>2.5</v>
      </c>
      <c r="H191" t="n">
        <v>0</v>
      </c>
      <c r="I191" t="n">
        <v>0</v>
      </c>
      <c r="J191" t="n">
        <v>0</v>
      </c>
      <c r="K191" t="n">
        <v>0</v>
      </c>
      <c r="L191" t="n">
        <v>0</v>
      </c>
      <c r="M191" t="n">
        <v>0</v>
      </c>
      <c r="N191" t="n">
        <v>0</v>
      </c>
      <c r="O191" t="n">
        <v>0</v>
      </c>
      <c r="P191" t="n">
        <v>0</v>
      </c>
      <c r="Q191" t="n">
        <v>0</v>
      </c>
      <c r="R191" s="2" t="inlineStr"/>
    </row>
    <row r="192" ht="15" customHeight="1">
      <c r="A192" t="inlineStr">
        <is>
          <t>A 23501-2023</t>
        </is>
      </c>
      <c r="B192" s="1" t="n">
        <v>45076.73979166667</v>
      </c>
      <c r="C192" s="1" t="n">
        <v>45912</v>
      </c>
      <c r="D192" t="inlineStr">
        <is>
          <t>DALARNAS LÄN</t>
        </is>
      </c>
      <c r="E192" t="inlineStr">
        <is>
          <t>HEDEMORA</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50885-2023</t>
        </is>
      </c>
      <c r="B193" s="1" t="n">
        <v>45218.38459490741</v>
      </c>
      <c r="C193" s="1" t="n">
        <v>45912</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18572-2025</t>
        </is>
      </c>
      <c r="B194" s="1" t="n">
        <v>45763</v>
      </c>
      <c r="C194" s="1" t="n">
        <v>45912</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53576-2023</t>
        </is>
      </c>
      <c r="B195" s="1" t="n">
        <v>45230.50288194444</v>
      </c>
      <c r="C195" s="1" t="n">
        <v>45912</v>
      </c>
      <c r="D195" t="inlineStr">
        <is>
          <t>DALARNAS LÄN</t>
        </is>
      </c>
      <c r="E195" t="inlineStr">
        <is>
          <t>HEDEMORA</t>
        </is>
      </c>
      <c r="G195" t="n">
        <v>0.9</v>
      </c>
      <c r="H195" t="n">
        <v>0</v>
      </c>
      <c r="I195" t="n">
        <v>0</v>
      </c>
      <c r="J195" t="n">
        <v>0</v>
      </c>
      <c r="K195" t="n">
        <v>0</v>
      </c>
      <c r="L195" t="n">
        <v>0</v>
      </c>
      <c r="M195" t="n">
        <v>0</v>
      </c>
      <c r="N195" t="n">
        <v>0</v>
      </c>
      <c r="O195" t="n">
        <v>0</v>
      </c>
      <c r="P195" t="n">
        <v>0</v>
      </c>
      <c r="Q195" t="n">
        <v>0</v>
      </c>
      <c r="R195" s="2" t="inlineStr"/>
    </row>
    <row r="196" ht="15" customHeight="1">
      <c r="A196" t="inlineStr">
        <is>
          <t>A 53588-2023</t>
        </is>
      </c>
      <c r="B196" s="1" t="n">
        <v>45230.53109953704</v>
      </c>
      <c r="C196" s="1" t="n">
        <v>45912</v>
      </c>
      <c r="D196" t="inlineStr">
        <is>
          <t>DALARNAS LÄN</t>
        </is>
      </c>
      <c r="E196" t="inlineStr">
        <is>
          <t>HEDEMORA</t>
        </is>
      </c>
      <c r="G196" t="n">
        <v>0.6</v>
      </c>
      <c r="H196" t="n">
        <v>0</v>
      </c>
      <c r="I196" t="n">
        <v>0</v>
      </c>
      <c r="J196" t="n">
        <v>0</v>
      </c>
      <c r="K196" t="n">
        <v>0</v>
      </c>
      <c r="L196" t="n">
        <v>0</v>
      </c>
      <c r="M196" t="n">
        <v>0</v>
      </c>
      <c r="N196" t="n">
        <v>0</v>
      </c>
      <c r="O196" t="n">
        <v>0</v>
      </c>
      <c r="P196" t="n">
        <v>0</v>
      </c>
      <c r="Q196" t="n">
        <v>0</v>
      </c>
      <c r="R196" s="2" t="inlineStr"/>
    </row>
    <row r="197" ht="15" customHeight="1">
      <c r="A197" t="inlineStr">
        <is>
          <t>A 28183-2025</t>
        </is>
      </c>
      <c r="B197" s="1" t="n">
        <v>45818.4021875</v>
      </c>
      <c r="C197" s="1" t="n">
        <v>45912</v>
      </c>
      <c r="D197" t="inlineStr">
        <is>
          <t>DALARNAS LÄN</t>
        </is>
      </c>
      <c r="E197" t="inlineStr">
        <is>
          <t>HEDEMORA</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62188-2023</t>
        </is>
      </c>
      <c r="B198" s="1" t="n">
        <v>45267</v>
      </c>
      <c r="C198" s="1" t="n">
        <v>45912</v>
      </c>
      <c r="D198" t="inlineStr">
        <is>
          <t>DALARNAS LÄN</t>
        </is>
      </c>
      <c r="E198" t="inlineStr">
        <is>
          <t>HEDEMORA</t>
        </is>
      </c>
      <c r="G198" t="n">
        <v>2.1</v>
      </c>
      <c r="H198" t="n">
        <v>0</v>
      </c>
      <c r="I198" t="n">
        <v>0</v>
      </c>
      <c r="J198" t="n">
        <v>0</v>
      </c>
      <c r="K198" t="n">
        <v>0</v>
      </c>
      <c r="L198" t="n">
        <v>0</v>
      </c>
      <c r="M198" t="n">
        <v>0</v>
      </c>
      <c r="N198" t="n">
        <v>0</v>
      </c>
      <c r="O198" t="n">
        <v>0</v>
      </c>
      <c r="P198" t="n">
        <v>0</v>
      </c>
      <c r="Q198" t="n">
        <v>0</v>
      </c>
      <c r="R198" s="2" t="inlineStr"/>
    </row>
    <row r="199" ht="15" customHeight="1">
      <c r="A199" t="inlineStr">
        <is>
          <t>A 28180-2025</t>
        </is>
      </c>
      <c r="B199" s="1" t="n">
        <v>45818.39755787037</v>
      </c>
      <c r="C199" s="1" t="n">
        <v>45912</v>
      </c>
      <c r="D199" t="inlineStr">
        <is>
          <t>DALARNAS LÄN</t>
        </is>
      </c>
      <c r="E199" t="inlineStr">
        <is>
          <t>HEDEMORA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28182-2025</t>
        </is>
      </c>
      <c r="B200" s="1" t="n">
        <v>45818.40069444444</v>
      </c>
      <c r="C200" s="1" t="n">
        <v>45912</v>
      </c>
      <c r="D200" t="inlineStr">
        <is>
          <t>DALARNAS LÄN</t>
        </is>
      </c>
      <c r="E200" t="inlineStr">
        <is>
          <t>HEDEMORA</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1917-2022</t>
        </is>
      </c>
      <c r="B201" s="1" t="n">
        <v>44574</v>
      </c>
      <c r="C201" s="1" t="n">
        <v>45912</v>
      </c>
      <c r="D201" t="inlineStr">
        <is>
          <t>DALARNAS LÄN</t>
        </is>
      </c>
      <c r="E201" t="inlineStr">
        <is>
          <t>HEDEMORA</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8342-2025</t>
        </is>
      </c>
      <c r="B202" s="1" t="n">
        <v>45708.67251157408</v>
      </c>
      <c r="C202" s="1" t="n">
        <v>45912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31825-2024</t>
        </is>
      </c>
      <c r="B203" s="1" t="n">
        <v>45509.60949074074</v>
      </c>
      <c r="C203" s="1" t="n">
        <v>45912</v>
      </c>
      <c r="D203" t="inlineStr">
        <is>
          <t>DALARNAS LÄN</t>
        </is>
      </c>
      <c r="E203" t="inlineStr">
        <is>
          <t>HEDEMORA</t>
        </is>
      </c>
      <c r="G203" t="n">
        <v>0.1</v>
      </c>
      <c r="H203" t="n">
        <v>0</v>
      </c>
      <c r="I203" t="n">
        <v>0</v>
      </c>
      <c r="J203" t="n">
        <v>0</v>
      </c>
      <c r="K203" t="n">
        <v>0</v>
      </c>
      <c r="L203" t="n">
        <v>0</v>
      </c>
      <c r="M203" t="n">
        <v>0</v>
      </c>
      <c r="N203" t="n">
        <v>0</v>
      </c>
      <c r="O203" t="n">
        <v>0</v>
      </c>
      <c r="P203" t="n">
        <v>0</v>
      </c>
      <c r="Q203" t="n">
        <v>0</v>
      </c>
      <c r="R203" s="2" t="inlineStr"/>
    </row>
    <row r="204" ht="15" customHeight="1">
      <c r="A204" t="inlineStr">
        <is>
          <t>A 28029-2023</t>
        </is>
      </c>
      <c r="B204" s="1" t="n">
        <v>45099</v>
      </c>
      <c r="C204" s="1" t="n">
        <v>45912</v>
      </c>
      <c r="D204" t="inlineStr">
        <is>
          <t>DALARNAS LÄN</t>
        </is>
      </c>
      <c r="E204" t="inlineStr">
        <is>
          <t>HEDEMORA</t>
        </is>
      </c>
      <c r="G204" t="n">
        <v>0.6</v>
      </c>
      <c r="H204" t="n">
        <v>0</v>
      </c>
      <c r="I204" t="n">
        <v>0</v>
      </c>
      <c r="J204" t="n">
        <v>0</v>
      </c>
      <c r="K204" t="n">
        <v>0</v>
      </c>
      <c r="L204" t="n">
        <v>0</v>
      </c>
      <c r="M204" t="n">
        <v>0</v>
      </c>
      <c r="N204" t="n">
        <v>0</v>
      </c>
      <c r="O204" t="n">
        <v>0</v>
      </c>
      <c r="P204" t="n">
        <v>0</v>
      </c>
      <c r="Q204" t="n">
        <v>0</v>
      </c>
      <c r="R204" s="2" t="inlineStr"/>
    </row>
    <row r="205" ht="15" customHeight="1">
      <c r="A205" t="inlineStr">
        <is>
          <t>A 26452-2024</t>
        </is>
      </c>
      <c r="B205" s="1" t="n">
        <v>45469.51145833333</v>
      </c>
      <c r="C205" s="1" t="n">
        <v>45912</v>
      </c>
      <c r="D205" t="inlineStr">
        <is>
          <t>DALARNAS LÄN</t>
        </is>
      </c>
      <c r="E205" t="inlineStr">
        <is>
          <t>HEDEMORA</t>
        </is>
      </c>
      <c r="G205" t="n">
        <v>2.3</v>
      </c>
      <c r="H205" t="n">
        <v>0</v>
      </c>
      <c r="I205" t="n">
        <v>0</v>
      </c>
      <c r="J205" t="n">
        <v>0</v>
      </c>
      <c r="K205" t="n">
        <v>0</v>
      </c>
      <c r="L205" t="n">
        <v>0</v>
      </c>
      <c r="M205" t="n">
        <v>0</v>
      </c>
      <c r="N205" t="n">
        <v>0</v>
      </c>
      <c r="O205" t="n">
        <v>0</v>
      </c>
      <c r="P205" t="n">
        <v>0</v>
      </c>
      <c r="Q205" t="n">
        <v>0</v>
      </c>
      <c r="R205" s="2" t="inlineStr"/>
    </row>
    <row r="206" ht="15" customHeight="1">
      <c r="A206" t="inlineStr">
        <is>
          <t>A 60808-2024</t>
        </is>
      </c>
      <c r="B206" s="1" t="n">
        <v>45644.61251157407</v>
      </c>
      <c r="C206" s="1" t="n">
        <v>45912</v>
      </c>
      <c r="D206" t="inlineStr">
        <is>
          <t>DALARNAS LÄN</t>
        </is>
      </c>
      <c r="E206" t="inlineStr">
        <is>
          <t>HEDEMORA</t>
        </is>
      </c>
      <c r="G206" t="n">
        <v>6</v>
      </c>
      <c r="H206" t="n">
        <v>0</v>
      </c>
      <c r="I206" t="n">
        <v>0</v>
      </c>
      <c r="J206" t="n">
        <v>0</v>
      </c>
      <c r="K206" t="n">
        <v>0</v>
      </c>
      <c r="L206" t="n">
        <v>0</v>
      </c>
      <c r="M206" t="n">
        <v>0</v>
      </c>
      <c r="N206" t="n">
        <v>0</v>
      </c>
      <c r="O206" t="n">
        <v>0</v>
      </c>
      <c r="P206" t="n">
        <v>0</v>
      </c>
      <c r="Q206" t="n">
        <v>0</v>
      </c>
      <c r="R206" s="2" t="inlineStr"/>
    </row>
    <row r="207" ht="15" customHeight="1">
      <c r="A207" t="inlineStr">
        <is>
          <t>A 14951-2025</t>
        </is>
      </c>
      <c r="B207" s="1" t="n">
        <v>45743.57695601852</v>
      </c>
      <c r="C207" s="1" t="n">
        <v>45912</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385-2024</t>
        </is>
      </c>
      <c r="B208" s="1" t="n">
        <v>45296</v>
      </c>
      <c r="C208" s="1" t="n">
        <v>45912</v>
      </c>
      <c r="D208" t="inlineStr">
        <is>
          <t>DALARNAS LÄN</t>
        </is>
      </c>
      <c r="E208" t="inlineStr">
        <is>
          <t>HEDEMORA</t>
        </is>
      </c>
      <c r="G208" t="n">
        <v>1.7</v>
      </c>
      <c r="H208" t="n">
        <v>0</v>
      </c>
      <c r="I208" t="n">
        <v>0</v>
      </c>
      <c r="J208" t="n">
        <v>0</v>
      </c>
      <c r="K208" t="n">
        <v>0</v>
      </c>
      <c r="L208" t="n">
        <v>0</v>
      </c>
      <c r="M208" t="n">
        <v>0</v>
      </c>
      <c r="N208" t="n">
        <v>0</v>
      </c>
      <c r="O208" t="n">
        <v>0</v>
      </c>
      <c r="P208" t="n">
        <v>0</v>
      </c>
      <c r="Q208" t="n">
        <v>0</v>
      </c>
      <c r="R208" s="2" t="inlineStr"/>
    </row>
    <row r="209" ht="15" customHeight="1">
      <c r="A209" t="inlineStr">
        <is>
          <t>A 29123-2021</t>
        </is>
      </c>
      <c r="B209" s="1" t="n">
        <v>44358</v>
      </c>
      <c r="C209" s="1" t="n">
        <v>45912</v>
      </c>
      <c r="D209" t="inlineStr">
        <is>
          <t>DALARNAS LÄN</t>
        </is>
      </c>
      <c r="E209" t="inlineStr">
        <is>
          <t>HEDEMORA</t>
        </is>
      </c>
      <c r="G209" t="n">
        <v>5.6</v>
      </c>
      <c r="H209" t="n">
        <v>0</v>
      </c>
      <c r="I209" t="n">
        <v>0</v>
      </c>
      <c r="J209" t="n">
        <v>0</v>
      </c>
      <c r="K209" t="n">
        <v>0</v>
      </c>
      <c r="L209" t="n">
        <v>0</v>
      </c>
      <c r="M209" t="n">
        <v>0</v>
      </c>
      <c r="N209" t="n">
        <v>0</v>
      </c>
      <c r="O209" t="n">
        <v>0</v>
      </c>
      <c r="P209" t="n">
        <v>0</v>
      </c>
      <c r="Q209" t="n">
        <v>0</v>
      </c>
      <c r="R209" s="2" t="inlineStr"/>
    </row>
    <row r="210" ht="15" customHeight="1">
      <c r="A210" t="inlineStr">
        <is>
          <t>A 29690-2025</t>
        </is>
      </c>
      <c r="B210" s="1" t="n">
        <v>45825.53508101852</v>
      </c>
      <c r="C210" s="1" t="n">
        <v>45912</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38947-2023</t>
        </is>
      </c>
      <c r="B211" s="1" t="n">
        <v>45163.61209490741</v>
      </c>
      <c r="C211" s="1" t="n">
        <v>45912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38951-2023</t>
        </is>
      </c>
      <c r="B212" s="1" t="n">
        <v>45163.61413194444</v>
      </c>
      <c r="C212" s="1" t="n">
        <v>45912</v>
      </c>
      <c r="D212" t="inlineStr">
        <is>
          <t>DALARNAS LÄN</t>
        </is>
      </c>
      <c r="E212" t="inlineStr">
        <is>
          <t>HEDEMORA</t>
        </is>
      </c>
      <c r="F212" t="inlineStr">
        <is>
          <t>Sveaskog</t>
        </is>
      </c>
      <c r="G212" t="n">
        <v>0.8</v>
      </c>
      <c r="H212" t="n">
        <v>0</v>
      </c>
      <c r="I212" t="n">
        <v>0</v>
      </c>
      <c r="J212" t="n">
        <v>0</v>
      </c>
      <c r="K212" t="n">
        <v>0</v>
      </c>
      <c r="L212" t="n">
        <v>0</v>
      </c>
      <c r="M212" t="n">
        <v>0</v>
      </c>
      <c r="N212" t="n">
        <v>0</v>
      </c>
      <c r="O212" t="n">
        <v>0</v>
      </c>
      <c r="P212" t="n">
        <v>0</v>
      </c>
      <c r="Q212" t="n">
        <v>0</v>
      </c>
      <c r="R212" s="2" t="inlineStr"/>
    </row>
    <row r="213" ht="15" customHeight="1">
      <c r="A213" t="inlineStr">
        <is>
          <t>A 32071-2021</t>
        </is>
      </c>
      <c r="B213" s="1" t="n">
        <v>44370.90546296296</v>
      </c>
      <c r="C213" s="1" t="n">
        <v>45912</v>
      </c>
      <c r="D213" t="inlineStr">
        <is>
          <t>DALARNAS LÄN</t>
        </is>
      </c>
      <c r="E213" t="inlineStr">
        <is>
          <t>HEDEMORA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55881-2023</t>
        </is>
      </c>
      <c r="B214" s="1" t="n">
        <v>45239</v>
      </c>
      <c r="C214" s="1" t="n">
        <v>45912</v>
      </c>
      <c r="D214" t="inlineStr">
        <is>
          <t>DALARNAS LÄN</t>
        </is>
      </c>
      <c r="E214" t="inlineStr">
        <is>
          <t>HEDEMORA</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29585-2024</t>
        </is>
      </c>
      <c r="B215" s="1" t="n">
        <v>45484.57728009259</v>
      </c>
      <c r="C215" s="1" t="n">
        <v>45912</v>
      </c>
      <c r="D215" t="inlineStr">
        <is>
          <t>DALARNAS LÄN</t>
        </is>
      </c>
      <c r="E215" t="inlineStr">
        <is>
          <t>HEDEMORA</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15833-2025</t>
        </is>
      </c>
      <c r="B216" s="1" t="n">
        <v>45748.85107638889</v>
      </c>
      <c r="C216" s="1" t="n">
        <v>45912</v>
      </c>
      <c r="D216" t="inlineStr">
        <is>
          <t>DALARNAS LÄN</t>
        </is>
      </c>
      <c r="E216" t="inlineStr">
        <is>
          <t>HEDEMORA</t>
        </is>
      </c>
      <c r="G216" t="n">
        <v>0.4</v>
      </c>
      <c r="H216" t="n">
        <v>0</v>
      </c>
      <c r="I216" t="n">
        <v>0</v>
      </c>
      <c r="J216" t="n">
        <v>0</v>
      </c>
      <c r="K216" t="n">
        <v>0</v>
      </c>
      <c r="L216" t="n">
        <v>0</v>
      </c>
      <c r="M216" t="n">
        <v>0</v>
      </c>
      <c r="N216" t="n">
        <v>0</v>
      </c>
      <c r="O216" t="n">
        <v>0</v>
      </c>
      <c r="P216" t="n">
        <v>0</v>
      </c>
      <c r="Q216" t="n">
        <v>0</v>
      </c>
      <c r="R216" s="2" t="inlineStr"/>
    </row>
    <row r="217" ht="15" customHeight="1">
      <c r="A217" t="inlineStr">
        <is>
          <t>A 62046-2022</t>
        </is>
      </c>
      <c r="B217" s="1" t="n">
        <v>44918.5633912037</v>
      </c>
      <c r="C217" s="1" t="n">
        <v>45912</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row>
    <row r="218" ht="15" customHeight="1">
      <c r="A218" t="inlineStr">
        <is>
          <t>A 30582-2025</t>
        </is>
      </c>
      <c r="B218" s="1" t="n">
        <v>45831.42349537037</v>
      </c>
      <c r="C218" s="1" t="n">
        <v>45912</v>
      </c>
      <c r="D218" t="inlineStr">
        <is>
          <t>DALARNAS LÄN</t>
        </is>
      </c>
      <c r="E218" t="inlineStr">
        <is>
          <t>HEDEMORA</t>
        </is>
      </c>
      <c r="G218" t="n">
        <v>1.8</v>
      </c>
      <c r="H218" t="n">
        <v>0</v>
      </c>
      <c r="I218" t="n">
        <v>0</v>
      </c>
      <c r="J218" t="n">
        <v>0</v>
      </c>
      <c r="K218" t="n">
        <v>0</v>
      </c>
      <c r="L218" t="n">
        <v>0</v>
      </c>
      <c r="M218" t="n">
        <v>0</v>
      </c>
      <c r="N218" t="n">
        <v>0</v>
      </c>
      <c r="O218" t="n">
        <v>0</v>
      </c>
      <c r="P218" t="n">
        <v>0</v>
      </c>
      <c r="Q218" t="n">
        <v>0</v>
      </c>
      <c r="R218" s="2" t="inlineStr"/>
    </row>
    <row r="219" ht="15" customHeight="1">
      <c r="A219" t="inlineStr">
        <is>
          <t>A 30472-2025</t>
        </is>
      </c>
      <c r="B219" s="1" t="n">
        <v>45827.94671296296</v>
      </c>
      <c r="C219" s="1" t="n">
        <v>45912</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30471-2025</t>
        </is>
      </c>
      <c r="B220" s="1" t="n">
        <v>45827.94552083333</v>
      </c>
      <c r="C220" s="1" t="n">
        <v>45912</v>
      </c>
      <c r="D220" t="inlineStr">
        <is>
          <t>DALARNAS LÄN</t>
        </is>
      </c>
      <c r="E220" t="inlineStr">
        <is>
          <t>HEDEMORA</t>
        </is>
      </c>
      <c r="G220" t="n">
        <v>0.3</v>
      </c>
      <c r="H220" t="n">
        <v>0</v>
      </c>
      <c r="I220" t="n">
        <v>0</v>
      </c>
      <c r="J220" t="n">
        <v>0</v>
      </c>
      <c r="K220" t="n">
        <v>0</v>
      </c>
      <c r="L220" t="n">
        <v>0</v>
      </c>
      <c r="M220" t="n">
        <v>0</v>
      </c>
      <c r="N220" t="n">
        <v>0</v>
      </c>
      <c r="O220" t="n">
        <v>0</v>
      </c>
      <c r="P220" t="n">
        <v>0</v>
      </c>
      <c r="Q220" t="n">
        <v>0</v>
      </c>
      <c r="R220" s="2" t="inlineStr"/>
    </row>
    <row r="221" ht="15" customHeight="1">
      <c r="A221" t="inlineStr">
        <is>
          <t>A 29301-2023</t>
        </is>
      </c>
      <c r="B221" s="1" t="n">
        <v>45105</v>
      </c>
      <c r="C221" s="1" t="n">
        <v>45912</v>
      </c>
      <c r="D221" t="inlineStr">
        <is>
          <t>DALARNAS LÄN</t>
        </is>
      </c>
      <c r="E221" t="inlineStr">
        <is>
          <t>HEDEMORA</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29128-2025</t>
        </is>
      </c>
      <c r="B222" s="1" t="n">
        <v>45821.60116898148</v>
      </c>
      <c r="C222" s="1" t="n">
        <v>45912</v>
      </c>
      <c r="D222" t="inlineStr">
        <is>
          <t>DALARNAS LÄN</t>
        </is>
      </c>
      <c r="E222" t="inlineStr">
        <is>
          <t>HEDEMORA</t>
        </is>
      </c>
      <c r="F222" t="inlineStr">
        <is>
          <t>Sveaskog</t>
        </is>
      </c>
      <c r="G222" t="n">
        <v>15.5</v>
      </c>
      <c r="H222" t="n">
        <v>0</v>
      </c>
      <c r="I222" t="n">
        <v>0</v>
      </c>
      <c r="J222" t="n">
        <v>0</v>
      </c>
      <c r="K222" t="n">
        <v>0</v>
      </c>
      <c r="L222" t="n">
        <v>0</v>
      </c>
      <c r="M222" t="n">
        <v>0</v>
      </c>
      <c r="N222" t="n">
        <v>0</v>
      </c>
      <c r="O222" t="n">
        <v>0</v>
      </c>
      <c r="P222" t="n">
        <v>0</v>
      </c>
      <c r="Q222" t="n">
        <v>0</v>
      </c>
      <c r="R222" s="2" t="inlineStr"/>
    </row>
    <row r="223" ht="15" customHeight="1">
      <c r="A223" t="inlineStr">
        <is>
          <t>A 29792-2025</t>
        </is>
      </c>
      <c r="B223" s="1" t="n">
        <v>45825.66416666667</v>
      </c>
      <c r="C223" s="1" t="n">
        <v>45912</v>
      </c>
      <c r="D223" t="inlineStr">
        <is>
          <t>DALARNAS LÄN</t>
        </is>
      </c>
      <c r="E223" t="inlineStr">
        <is>
          <t>HEDEMORA</t>
        </is>
      </c>
      <c r="F223" t="inlineStr">
        <is>
          <t>Sveaskog</t>
        </is>
      </c>
      <c r="G223" t="n">
        <v>26.3</v>
      </c>
      <c r="H223" t="n">
        <v>0</v>
      </c>
      <c r="I223" t="n">
        <v>0</v>
      </c>
      <c r="J223" t="n">
        <v>0</v>
      </c>
      <c r="K223" t="n">
        <v>0</v>
      </c>
      <c r="L223" t="n">
        <v>0</v>
      </c>
      <c r="M223" t="n">
        <v>0</v>
      </c>
      <c r="N223" t="n">
        <v>0</v>
      </c>
      <c r="O223" t="n">
        <v>0</v>
      </c>
      <c r="P223" t="n">
        <v>0</v>
      </c>
      <c r="Q223" t="n">
        <v>0</v>
      </c>
      <c r="R223" s="2" t="inlineStr"/>
    </row>
    <row r="224" ht="15" customHeight="1">
      <c r="A224" t="inlineStr">
        <is>
          <t>A 30205-2022</t>
        </is>
      </c>
      <c r="B224" s="1" t="n">
        <v>44757.74415509259</v>
      </c>
      <c r="C224" s="1" t="n">
        <v>45912</v>
      </c>
      <c r="D224" t="inlineStr">
        <is>
          <t>DALARNAS LÄN</t>
        </is>
      </c>
      <c r="E224" t="inlineStr">
        <is>
          <t>HEDEMORA</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53586-2023</t>
        </is>
      </c>
      <c r="B225" s="1" t="n">
        <v>45230.52603009259</v>
      </c>
      <c r="C225" s="1" t="n">
        <v>45912</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44306.4405787037</v>
      </c>
      <c r="C226" s="1" t="n">
        <v>45912</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36656-2025</t>
        </is>
      </c>
      <c r="B227" s="1" t="n">
        <v>45873.34642361111</v>
      </c>
      <c r="C227" s="1" t="n">
        <v>45912</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61533-2021</t>
        </is>
      </c>
      <c r="B228" s="1" t="n">
        <v>44501</v>
      </c>
      <c r="C228" s="1" t="n">
        <v>45912</v>
      </c>
      <c r="D228" t="inlineStr">
        <is>
          <t>DALARNAS LÄN</t>
        </is>
      </c>
      <c r="E228" t="inlineStr">
        <is>
          <t>HEDEMORA</t>
        </is>
      </c>
      <c r="G228" t="n">
        <v>1.6</v>
      </c>
      <c r="H228" t="n">
        <v>0</v>
      </c>
      <c r="I228" t="n">
        <v>0</v>
      </c>
      <c r="J228" t="n">
        <v>0</v>
      </c>
      <c r="K228" t="n">
        <v>0</v>
      </c>
      <c r="L228" t="n">
        <v>0</v>
      </c>
      <c r="M228" t="n">
        <v>0</v>
      </c>
      <c r="N228" t="n">
        <v>0</v>
      </c>
      <c r="O228" t="n">
        <v>0</v>
      </c>
      <c r="P228" t="n">
        <v>0</v>
      </c>
      <c r="Q228" t="n">
        <v>0</v>
      </c>
      <c r="R228" s="2" t="inlineStr"/>
    </row>
    <row r="229" ht="15" customHeight="1">
      <c r="A229" t="inlineStr">
        <is>
          <t>A 50333-2023</t>
        </is>
      </c>
      <c r="B229" s="1" t="n">
        <v>45216</v>
      </c>
      <c r="C229" s="1" t="n">
        <v>45912</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53923-2024</t>
        </is>
      </c>
      <c r="B230" s="1" t="n">
        <v>45615.79806712963</v>
      </c>
      <c r="C230" s="1" t="n">
        <v>45912</v>
      </c>
      <c r="D230" t="inlineStr">
        <is>
          <t>DALARNAS LÄN</t>
        </is>
      </c>
      <c r="E230" t="inlineStr">
        <is>
          <t>HEDEMORA</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17645-2022</t>
        </is>
      </c>
      <c r="B231" s="1" t="n">
        <v>44680.47903935185</v>
      </c>
      <c r="C231" s="1" t="n">
        <v>45912</v>
      </c>
      <c r="D231" t="inlineStr">
        <is>
          <t>DALARNAS LÄN</t>
        </is>
      </c>
      <c r="E231" t="inlineStr">
        <is>
          <t>HEDEMORA</t>
        </is>
      </c>
      <c r="G231" t="n">
        <v>1.3</v>
      </c>
      <c r="H231" t="n">
        <v>0</v>
      </c>
      <c r="I231" t="n">
        <v>0</v>
      </c>
      <c r="J231" t="n">
        <v>0</v>
      </c>
      <c r="K231" t="n">
        <v>0</v>
      </c>
      <c r="L231" t="n">
        <v>0</v>
      </c>
      <c r="M231" t="n">
        <v>0</v>
      </c>
      <c r="N231" t="n">
        <v>0</v>
      </c>
      <c r="O231" t="n">
        <v>0</v>
      </c>
      <c r="P231" t="n">
        <v>0</v>
      </c>
      <c r="Q231" t="n">
        <v>0</v>
      </c>
      <c r="R231" s="2" t="inlineStr"/>
    </row>
    <row r="232" ht="15" customHeight="1">
      <c r="A232" t="inlineStr">
        <is>
          <t>A 44384-2024</t>
        </is>
      </c>
      <c r="B232" s="1" t="n">
        <v>45573.67782407408</v>
      </c>
      <c r="C232" s="1" t="n">
        <v>45912</v>
      </c>
      <c r="D232" t="inlineStr">
        <is>
          <t>DALARNAS LÄN</t>
        </is>
      </c>
      <c r="E232" t="inlineStr">
        <is>
          <t>HEDEMORA</t>
        </is>
      </c>
      <c r="F232" t="inlineStr">
        <is>
          <t>Bergvik skog väst AB</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44388-2024</t>
        </is>
      </c>
      <c r="B233" s="1" t="n">
        <v>45573.68875</v>
      </c>
      <c r="C233" s="1" t="n">
        <v>45912</v>
      </c>
      <c r="D233" t="inlineStr">
        <is>
          <t>DALARNAS LÄN</t>
        </is>
      </c>
      <c r="E233" t="inlineStr">
        <is>
          <t>HEDEMORA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39530-2024</t>
        </is>
      </c>
      <c r="B234" s="1" t="n">
        <v>45551</v>
      </c>
      <c r="C234" s="1" t="n">
        <v>45912</v>
      </c>
      <c r="D234" t="inlineStr">
        <is>
          <t>DALARNAS LÄN</t>
        </is>
      </c>
      <c r="E234" t="inlineStr">
        <is>
          <t>HEDEMORA</t>
        </is>
      </c>
      <c r="F234" t="inlineStr">
        <is>
          <t>Bergvik skog väst AB</t>
        </is>
      </c>
      <c r="G234" t="n">
        <v>13.8</v>
      </c>
      <c r="H234" t="n">
        <v>0</v>
      </c>
      <c r="I234" t="n">
        <v>0</v>
      </c>
      <c r="J234" t="n">
        <v>0</v>
      </c>
      <c r="K234" t="n">
        <v>0</v>
      </c>
      <c r="L234" t="n">
        <v>0</v>
      </c>
      <c r="M234" t="n">
        <v>0</v>
      </c>
      <c r="N234" t="n">
        <v>0</v>
      </c>
      <c r="O234" t="n">
        <v>0</v>
      </c>
      <c r="P234" t="n">
        <v>0</v>
      </c>
      <c r="Q234" t="n">
        <v>0</v>
      </c>
      <c r="R234" s="2" t="inlineStr"/>
    </row>
    <row r="235" ht="15" customHeight="1">
      <c r="A235" t="inlineStr">
        <is>
          <t>A 39531-2024</t>
        </is>
      </c>
      <c r="B235" s="1" t="n">
        <v>45551</v>
      </c>
      <c r="C235" s="1" t="n">
        <v>45912</v>
      </c>
      <c r="D235" t="inlineStr">
        <is>
          <t>DALARNAS LÄN</t>
        </is>
      </c>
      <c r="E235" t="inlineStr">
        <is>
          <t>HEDEMORA</t>
        </is>
      </c>
      <c r="F235" t="inlineStr">
        <is>
          <t>Bergvik skog väst AB</t>
        </is>
      </c>
      <c r="G235" t="n">
        <v>1.9</v>
      </c>
      <c r="H235" t="n">
        <v>0</v>
      </c>
      <c r="I235" t="n">
        <v>0</v>
      </c>
      <c r="J235" t="n">
        <v>0</v>
      </c>
      <c r="K235" t="n">
        <v>0</v>
      </c>
      <c r="L235" t="n">
        <v>0</v>
      </c>
      <c r="M235" t="n">
        <v>0</v>
      </c>
      <c r="N235" t="n">
        <v>0</v>
      </c>
      <c r="O235" t="n">
        <v>0</v>
      </c>
      <c r="P235" t="n">
        <v>0</v>
      </c>
      <c r="Q235" t="n">
        <v>0</v>
      </c>
      <c r="R235" s="2" t="inlineStr"/>
    </row>
    <row r="236" ht="15" customHeight="1">
      <c r="A236" t="inlineStr">
        <is>
          <t>A 39552-2024</t>
        </is>
      </c>
      <c r="B236" s="1" t="n">
        <v>45551</v>
      </c>
      <c r="C236" s="1" t="n">
        <v>45912</v>
      </c>
      <c r="D236" t="inlineStr">
        <is>
          <t>DALARNAS LÄN</t>
        </is>
      </c>
      <c r="E236" t="inlineStr">
        <is>
          <t>HEDEMORA</t>
        </is>
      </c>
      <c r="F236" t="inlineStr">
        <is>
          <t>Bergvik skog väst AB</t>
        </is>
      </c>
      <c r="G236" t="n">
        <v>24.1</v>
      </c>
      <c r="H236" t="n">
        <v>0</v>
      </c>
      <c r="I236" t="n">
        <v>0</v>
      </c>
      <c r="J236" t="n">
        <v>0</v>
      </c>
      <c r="K236" t="n">
        <v>0</v>
      </c>
      <c r="L236" t="n">
        <v>0</v>
      </c>
      <c r="M236" t="n">
        <v>0</v>
      </c>
      <c r="N236" t="n">
        <v>0</v>
      </c>
      <c r="O236" t="n">
        <v>0</v>
      </c>
      <c r="P236" t="n">
        <v>0</v>
      </c>
      <c r="Q236" t="n">
        <v>0</v>
      </c>
      <c r="R236" s="2" t="inlineStr"/>
    </row>
    <row r="237" ht="15" customHeight="1">
      <c r="A237" t="inlineStr">
        <is>
          <t>A 1973-2022</t>
        </is>
      </c>
      <c r="B237" s="1" t="n">
        <v>44575</v>
      </c>
      <c r="C237" s="1" t="n">
        <v>45912</v>
      </c>
      <c r="D237" t="inlineStr">
        <is>
          <t>DALARNAS LÄN</t>
        </is>
      </c>
      <c r="E237" t="inlineStr">
        <is>
          <t>HEDEMORA</t>
        </is>
      </c>
      <c r="G237" t="n">
        <v>1.2</v>
      </c>
      <c r="H237" t="n">
        <v>0</v>
      </c>
      <c r="I237" t="n">
        <v>0</v>
      </c>
      <c r="J237" t="n">
        <v>0</v>
      </c>
      <c r="K237" t="n">
        <v>0</v>
      </c>
      <c r="L237" t="n">
        <v>0</v>
      </c>
      <c r="M237" t="n">
        <v>0</v>
      </c>
      <c r="N237" t="n">
        <v>0</v>
      </c>
      <c r="O237" t="n">
        <v>0</v>
      </c>
      <c r="P237" t="n">
        <v>0</v>
      </c>
      <c r="Q237" t="n">
        <v>0</v>
      </c>
      <c r="R237" s="2" t="inlineStr"/>
    </row>
    <row r="238" ht="15" customHeight="1">
      <c r="A238" t="inlineStr">
        <is>
          <t>A 7916-2024</t>
        </is>
      </c>
      <c r="B238" s="1" t="n">
        <v>45350.46259259259</v>
      </c>
      <c r="C238" s="1" t="n">
        <v>45912</v>
      </c>
      <c r="D238" t="inlineStr">
        <is>
          <t>DALARNAS LÄN</t>
        </is>
      </c>
      <c r="E238" t="inlineStr">
        <is>
          <t>HEDEMORA</t>
        </is>
      </c>
      <c r="G238" t="n">
        <v>5.8</v>
      </c>
      <c r="H238" t="n">
        <v>0</v>
      </c>
      <c r="I238" t="n">
        <v>0</v>
      </c>
      <c r="J238" t="n">
        <v>0</v>
      </c>
      <c r="K238" t="n">
        <v>0</v>
      </c>
      <c r="L238" t="n">
        <v>0</v>
      </c>
      <c r="M238" t="n">
        <v>0</v>
      </c>
      <c r="N238" t="n">
        <v>0</v>
      </c>
      <c r="O238" t="n">
        <v>0</v>
      </c>
      <c r="P238" t="n">
        <v>0</v>
      </c>
      <c r="Q238" t="n">
        <v>0</v>
      </c>
      <c r="R238" s="2" t="inlineStr"/>
    </row>
    <row r="239" ht="15" customHeight="1">
      <c r="A239" t="inlineStr">
        <is>
          <t>A 17600-2025</t>
        </is>
      </c>
      <c r="B239" s="1" t="n">
        <v>45757.71063657408</v>
      </c>
      <c r="C239" s="1" t="n">
        <v>45912</v>
      </c>
      <c r="D239" t="inlineStr">
        <is>
          <t>DALARNAS LÄN</t>
        </is>
      </c>
      <c r="E239" t="inlineStr">
        <is>
          <t>HEDEMORA</t>
        </is>
      </c>
      <c r="G239" t="n">
        <v>1.4</v>
      </c>
      <c r="H239" t="n">
        <v>0</v>
      </c>
      <c r="I239" t="n">
        <v>0</v>
      </c>
      <c r="J239" t="n">
        <v>0</v>
      </c>
      <c r="K239" t="n">
        <v>0</v>
      </c>
      <c r="L239" t="n">
        <v>0</v>
      </c>
      <c r="M239" t="n">
        <v>0</v>
      </c>
      <c r="N239" t="n">
        <v>0</v>
      </c>
      <c r="O239" t="n">
        <v>0</v>
      </c>
      <c r="P239" t="n">
        <v>0</v>
      </c>
      <c r="Q239" t="n">
        <v>0</v>
      </c>
      <c r="R239" s="2" t="inlineStr"/>
    </row>
    <row r="240" ht="15" customHeight="1">
      <c r="A240" t="inlineStr">
        <is>
          <t>A 25691-2022</t>
        </is>
      </c>
      <c r="B240" s="1" t="n">
        <v>44733</v>
      </c>
      <c r="C240" s="1" t="n">
        <v>45912</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45912</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37573-2025</t>
        </is>
      </c>
      <c r="B242" s="1" t="n">
        <v>45880.37711805556</v>
      </c>
      <c r="C242" s="1" t="n">
        <v>45912</v>
      </c>
      <c r="D242" t="inlineStr">
        <is>
          <t>DALARNAS LÄN</t>
        </is>
      </c>
      <c r="E242" t="inlineStr">
        <is>
          <t>HEDEMORA</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60475-2022</t>
        </is>
      </c>
      <c r="B243" s="1" t="n">
        <v>44911.41222222222</v>
      </c>
      <c r="C243" s="1" t="n">
        <v>45912</v>
      </c>
      <c r="D243" t="inlineStr">
        <is>
          <t>DALARNAS LÄN</t>
        </is>
      </c>
      <c r="E243" t="inlineStr">
        <is>
          <t>HEDEMORA</t>
        </is>
      </c>
      <c r="G243" t="n">
        <v>1</v>
      </c>
      <c r="H243" t="n">
        <v>0</v>
      </c>
      <c r="I243" t="n">
        <v>0</v>
      </c>
      <c r="J243" t="n">
        <v>0</v>
      </c>
      <c r="K243" t="n">
        <v>0</v>
      </c>
      <c r="L243" t="n">
        <v>0</v>
      </c>
      <c r="M243" t="n">
        <v>0</v>
      </c>
      <c r="N243" t="n">
        <v>0</v>
      </c>
      <c r="O243" t="n">
        <v>0</v>
      </c>
      <c r="P243" t="n">
        <v>0</v>
      </c>
      <c r="Q243" t="n">
        <v>0</v>
      </c>
      <c r="R243" s="2" t="inlineStr"/>
    </row>
    <row r="244" ht="15" customHeight="1">
      <c r="A244" t="inlineStr">
        <is>
          <t>A 32869-2025</t>
        </is>
      </c>
      <c r="B244" s="1" t="n">
        <v>45839.58927083333</v>
      </c>
      <c r="C244" s="1" t="n">
        <v>45912</v>
      </c>
      <c r="D244" t="inlineStr">
        <is>
          <t>DALARNAS LÄN</t>
        </is>
      </c>
      <c r="E244" t="inlineStr">
        <is>
          <t>HEDEMORA</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63925-2023</t>
        </is>
      </c>
      <c r="B245" s="1" t="n">
        <v>45278</v>
      </c>
      <c r="C245" s="1" t="n">
        <v>45912</v>
      </c>
      <c r="D245" t="inlineStr">
        <is>
          <t>DALARNAS LÄN</t>
        </is>
      </c>
      <c r="E245" t="inlineStr">
        <is>
          <t>HEDEMORA</t>
        </is>
      </c>
      <c r="G245" t="n">
        <v>5.2</v>
      </c>
      <c r="H245" t="n">
        <v>0</v>
      </c>
      <c r="I245" t="n">
        <v>0</v>
      </c>
      <c r="J245" t="n">
        <v>0</v>
      </c>
      <c r="K245" t="n">
        <v>0</v>
      </c>
      <c r="L245" t="n">
        <v>0</v>
      </c>
      <c r="M245" t="n">
        <v>0</v>
      </c>
      <c r="N245" t="n">
        <v>0</v>
      </c>
      <c r="O245" t="n">
        <v>0</v>
      </c>
      <c r="P245" t="n">
        <v>0</v>
      </c>
      <c r="Q245" t="n">
        <v>0</v>
      </c>
      <c r="R245" s="2" t="inlineStr"/>
    </row>
    <row r="246" ht="15" customHeight="1">
      <c r="A246" t="inlineStr">
        <is>
          <t>A 37574-2025</t>
        </is>
      </c>
      <c r="B246" s="1" t="n">
        <v>45880.37949074074</v>
      </c>
      <c r="C246" s="1" t="n">
        <v>45912</v>
      </c>
      <c r="D246" t="inlineStr">
        <is>
          <t>DALARNAS LÄN</t>
        </is>
      </c>
      <c r="E246" t="inlineStr">
        <is>
          <t>HEDEMORA</t>
        </is>
      </c>
      <c r="F246" t="inlineStr">
        <is>
          <t>Sveaskog</t>
        </is>
      </c>
      <c r="G246" t="n">
        <v>5.7</v>
      </c>
      <c r="H246" t="n">
        <v>0</v>
      </c>
      <c r="I246" t="n">
        <v>0</v>
      </c>
      <c r="J246" t="n">
        <v>0</v>
      </c>
      <c r="K246" t="n">
        <v>0</v>
      </c>
      <c r="L246" t="n">
        <v>0</v>
      </c>
      <c r="M246" t="n">
        <v>0</v>
      </c>
      <c r="N246" t="n">
        <v>0</v>
      </c>
      <c r="O246" t="n">
        <v>0</v>
      </c>
      <c r="P246" t="n">
        <v>0</v>
      </c>
      <c r="Q246" t="n">
        <v>0</v>
      </c>
      <c r="R246" s="2" t="inlineStr"/>
    </row>
    <row r="247" ht="15" customHeight="1">
      <c r="A247" t="inlineStr">
        <is>
          <t>A 60408-2021</t>
        </is>
      </c>
      <c r="B247" s="1" t="n">
        <v>44495</v>
      </c>
      <c r="C247" s="1" t="n">
        <v>45912</v>
      </c>
      <c r="D247" t="inlineStr">
        <is>
          <t>DALARNAS LÄN</t>
        </is>
      </c>
      <c r="E247" t="inlineStr">
        <is>
          <t>HEDEMORA</t>
        </is>
      </c>
      <c r="G247" t="n">
        <v>0.7</v>
      </c>
      <c r="H247" t="n">
        <v>0</v>
      </c>
      <c r="I247" t="n">
        <v>0</v>
      </c>
      <c r="J247" t="n">
        <v>0</v>
      </c>
      <c r="K247" t="n">
        <v>0</v>
      </c>
      <c r="L247" t="n">
        <v>0</v>
      </c>
      <c r="M247" t="n">
        <v>0</v>
      </c>
      <c r="N247" t="n">
        <v>0</v>
      </c>
      <c r="O247" t="n">
        <v>0</v>
      </c>
      <c r="P247" t="n">
        <v>0</v>
      </c>
      <c r="Q247" t="n">
        <v>0</v>
      </c>
      <c r="R247" s="2" t="inlineStr"/>
    </row>
    <row r="248" ht="15" customHeight="1">
      <c r="A248" t="inlineStr">
        <is>
          <t>A 33009-2025</t>
        </is>
      </c>
      <c r="B248" s="1" t="n">
        <v>45840</v>
      </c>
      <c r="C248" s="1" t="n">
        <v>45912</v>
      </c>
      <c r="D248" t="inlineStr">
        <is>
          <t>DALARNAS LÄN</t>
        </is>
      </c>
      <c r="E248" t="inlineStr">
        <is>
          <t>HEDEMORA</t>
        </is>
      </c>
      <c r="F248" t="inlineStr">
        <is>
          <t>Kyrkan</t>
        </is>
      </c>
      <c r="G248" t="n">
        <v>7.6</v>
      </c>
      <c r="H248" t="n">
        <v>0</v>
      </c>
      <c r="I248" t="n">
        <v>0</v>
      </c>
      <c r="J248" t="n">
        <v>0</v>
      </c>
      <c r="K248" t="n">
        <v>0</v>
      </c>
      <c r="L248" t="n">
        <v>0</v>
      </c>
      <c r="M248" t="n">
        <v>0</v>
      </c>
      <c r="N248" t="n">
        <v>0</v>
      </c>
      <c r="O248" t="n">
        <v>0</v>
      </c>
      <c r="P248" t="n">
        <v>0</v>
      </c>
      <c r="Q248" t="n">
        <v>0</v>
      </c>
      <c r="R248" s="2" t="inlineStr"/>
    </row>
    <row r="249" ht="15" customHeight="1">
      <c r="A249" t="inlineStr">
        <is>
          <t>A 6556-2023</t>
        </is>
      </c>
      <c r="B249" s="1" t="n">
        <v>44961</v>
      </c>
      <c r="C249" s="1" t="n">
        <v>45912</v>
      </c>
      <c r="D249" t="inlineStr">
        <is>
          <t>DALARNAS LÄN</t>
        </is>
      </c>
      <c r="E249" t="inlineStr">
        <is>
          <t>HEDEMORA</t>
        </is>
      </c>
      <c r="G249" t="n">
        <v>3.7</v>
      </c>
      <c r="H249" t="n">
        <v>0</v>
      </c>
      <c r="I249" t="n">
        <v>0</v>
      </c>
      <c r="J249" t="n">
        <v>0</v>
      </c>
      <c r="K249" t="n">
        <v>0</v>
      </c>
      <c r="L249" t="n">
        <v>0</v>
      </c>
      <c r="M249" t="n">
        <v>0</v>
      </c>
      <c r="N249" t="n">
        <v>0</v>
      </c>
      <c r="O249" t="n">
        <v>0</v>
      </c>
      <c r="P249" t="n">
        <v>0</v>
      </c>
      <c r="Q249" t="n">
        <v>0</v>
      </c>
      <c r="R249" s="2" t="inlineStr"/>
    </row>
    <row r="250" ht="15" customHeight="1">
      <c r="A250" t="inlineStr">
        <is>
          <t>A 22222-2023</t>
        </is>
      </c>
      <c r="B250" s="1" t="n">
        <v>45069.93758101852</v>
      </c>
      <c r="C250" s="1" t="n">
        <v>45912</v>
      </c>
      <c r="D250" t="inlineStr">
        <is>
          <t>DALARNAS LÄN</t>
        </is>
      </c>
      <c r="E250" t="inlineStr">
        <is>
          <t>HEDEMORA</t>
        </is>
      </c>
      <c r="F250" t="inlineStr">
        <is>
          <t>Sveaskog</t>
        </is>
      </c>
      <c r="G250" t="n">
        <v>3</v>
      </c>
      <c r="H250" t="n">
        <v>0</v>
      </c>
      <c r="I250" t="n">
        <v>0</v>
      </c>
      <c r="J250" t="n">
        <v>0</v>
      </c>
      <c r="K250" t="n">
        <v>0</v>
      </c>
      <c r="L250" t="n">
        <v>0</v>
      </c>
      <c r="M250" t="n">
        <v>0</v>
      </c>
      <c r="N250" t="n">
        <v>0</v>
      </c>
      <c r="O250" t="n">
        <v>0</v>
      </c>
      <c r="P250" t="n">
        <v>0</v>
      </c>
      <c r="Q250" t="n">
        <v>0</v>
      </c>
      <c r="R250" s="2" t="inlineStr"/>
    </row>
    <row r="251" ht="15" customHeight="1">
      <c r="A251" t="inlineStr">
        <is>
          <t>A 33286-2025</t>
        </is>
      </c>
      <c r="B251" s="1" t="n">
        <v>45840.81065972222</v>
      </c>
      <c r="C251" s="1" t="n">
        <v>45912</v>
      </c>
      <c r="D251" t="inlineStr">
        <is>
          <t>DALARNAS LÄN</t>
        </is>
      </c>
      <c r="E251" t="inlineStr">
        <is>
          <t>HEDEMORA</t>
        </is>
      </c>
      <c r="F251" t="inlineStr">
        <is>
          <t>Sveaskog</t>
        </is>
      </c>
      <c r="G251" t="n">
        <v>7.1</v>
      </c>
      <c r="H251" t="n">
        <v>0</v>
      </c>
      <c r="I251" t="n">
        <v>0</v>
      </c>
      <c r="J251" t="n">
        <v>0</v>
      </c>
      <c r="K251" t="n">
        <v>0</v>
      </c>
      <c r="L251" t="n">
        <v>0</v>
      </c>
      <c r="M251" t="n">
        <v>0</v>
      </c>
      <c r="N251" t="n">
        <v>0</v>
      </c>
      <c r="O251" t="n">
        <v>0</v>
      </c>
      <c r="P251" t="n">
        <v>0</v>
      </c>
      <c r="Q251" t="n">
        <v>0</v>
      </c>
      <c r="R251" s="2" t="inlineStr"/>
    </row>
    <row r="252" ht="15" customHeight="1">
      <c r="A252" t="inlineStr">
        <is>
          <t>A 33287-2025</t>
        </is>
      </c>
      <c r="B252" s="1" t="n">
        <v>45840.81216435185</v>
      </c>
      <c r="C252" s="1" t="n">
        <v>45912</v>
      </c>
      <c r="D252" t="inlineStr">
        <is>
          <t>DALARNAS LÄN</t>
        </is>
      </c>
      <c r="E252" t="inlineStr">
        <is>
          <t>HEDEMORA</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33288-2025</t>
        </is>
      </c>
      <c r="B253" s="1" t="n">
        <v>45840</v>
      </c>
      <c r="C253" s="1" t="n">
        <v>45912</v>
      </c>
      <c r="D253" t="inlineStr">
        <is>
          <t>DALARNAS LÄN</t>
        </is>
      </c>
      <c r="E253" t="inlineStr">
        <is>
          <t>HEDEMORA</t>
        </is>
      </c>
      <c r="F253" t="inlineStr">
        <is>
          <t>Sveaskog</t>
        </is>
      </c>
      <c r="G253" t="n">
        <v>3.5</v>
      </c>
      <c r="H253" t="n">
        <v>0</v>
      </c>
      <c r="I253" t="n">
        <v>0</v>
      </c>
      <c r="J253" t="n">
        <v>0</v>
      </c>
      <c r="K253" t="n">
        <v>0</v>
      </c>
      <c r="L253" t="n">
        <v>0</v>
      </c>
      <c r="M253" t="n">
        <v>0</v>
      </c>
      <c r="N253" t="n">
        <v>0</v>
      </c>
      <c r="O253" t="n">
        <v>0</v>
      </c>
      <c r="P253" t="n">
        <v>0</v>
      </c>
      <c r="Q253" t="n">
        <v>0</v>
      </c>
      <c r="R253" s="2" t="inlineStr"/>
    </row>
    <row r="254" ht="15" customHeight="1">
      <c r="A254" t="inlineStr">
        <is>
          <t>A 34409-2022</t>
        </is>
      </c>
      <c r="B254" s="1" t="n">
        <v>44792</v>
      </c>
      <c r="C254" s="1" t="n">
        <v>45912</v>
      </c>
      <c r="D254" t="inlineStr">
        <is>
          <t>DALARNAS LÄN</t>
        </is>
      </c>
      <c r="E254" t="inlineStr">
        <is>
          <t>HEDEMORA</t>
        </is>
      </c>
      <c r="G254" t="n">
        <v>13.7</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44438.72253472222</v>
      </c>
      <c r="C255" s="1" t="n">
        <v>45912</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38724-2025</t>
        </is>
      </c>
      <c r="B256" s="1" t="n">
        <v>45887.29802083333</v>
      </c>
      <c r="C256" s="1" t="n">
        <v>45912</v>
      </c>
      <c r="D256" t="inlineStr">
        <is>
          <t>DALARNAS LÄN</t>
        </is>
      </c>
      <c r="E256" t="inlineStr">
        <is>
          <t>HEDEMORA</t>
        </is>
      </c>
      <c r="G256" t="n">
        <v>5</v>
      </c>
      <c r="H256" t="n">
        <v>0</v>
      </c>
      <c r="I256" t="n">
        <v>0</v>
      </c>
      <c r="J256" t="n">
        <v>0</v>
      </c>
      <c r="K256" t="n">
        <v>0</v>
      </c>
      <c r="L256" t="n">
        <v>0</v>
      </c>
      <c r="M256" t="n">
        <v>0</v>
      </c>
      <c r="N256" t="n">
        <v>0</v>
      </c>
      <c r="O256" t="n">
        <v>0</v>
      </c>
      <c r="P256" t="n">
        <v>0</v>
      </c>
      <c r="Q256" t="n">
        <v>0</v>
      </c>
      <c r="R256" s="2" t="inlineStr"/>
    </row>
    <row r="257" ht="15" customHeight="1">
      <c r="A257" t="inlineStr">
        <is>
          <t>A 38725-2025</t>
        </is>
      </c>
      <c r="B257" s="1" t="n">
        <v>45887.30237268518</v>
      </c>
      <c r="C257" s="1" t="n">
        <v>45912</v>
      </c>
      <c r="D257" t="inlineStr">
        <is>
          <t>DALARNAS LÄN</t>
        </is>
      </c>
      <c r="E257" t="inlineStr">
        <is>
          <t>HEDEMORA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34932-2024</t>
        </is>
      </c>
      <c r="B258" s="1" t="n">
        <v>45527.45431712963</v>
      </c>
      <c r="C258" s="1" t="n">
        <v>45912</v>
      </c>
      <c r="D258" t="inlineStr">
        <is>
          <t>DALARNAS LÄN</t>
        </is>
      </c>
      <c r="E258" t="inlineStr">
        <is>
          <t>HEDEMORA</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34185-2025</t>
        </is>
      </c>
      <c r="B259" s="1" t="n">
        <v>45845</v>
      </c>
      <c r="C259" s="1" t="n">
        <v>45912</v>
      </c>
      <c r="D259" t="inlineStr">
        <is>
          <t>DALARNAS LÄN</t>
        </is>
      </c>
      <c r="E259" t="inlineStr">
        <is>
          <t>HEDEMORA</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19689-2025</t>
        </is>
      </c>
      <c r="B260" s="1" t="n">
        <v>45770.88462962963</v>
      </c>
      <c r="C260" s="1" t="n">
        <v>45912</v>
      </c>
      <c r="D260" t="inlineStr">
        <is>
          <t>DALARNAS LÄN</t>
        </is>
      </c>
      <c r="E260" t="inlineStr">
        <is>
          <t>HEDEMORA</t>
        </is>
      </c>
      <c r="G260" t="n">
        <v>1.1</v>
      </c>
      <c r="H260" t="n">
        <v>0</v>
      </c>
      <c r="I260" t="n">
        <v>0</v>
      </c>
      <c r="J260" t="n">
        <v>0</v>
      </c>
      <c r="K260" t="n">
        <v>0</v>
      </c>
      <c r="L260" t="n">
        <v>0</v>
      </c>
      <c r="M260" t="n">
        <v>0</v>
      </c>
      <c r="N260" t="n">
        <v>0</v>
      </c>
      <c r="O260" t="n">
        <v>0</v>
      </c>
      <c r="P260" t="n">
        <v>0</v>
      </c>
      <c r="Q260" t="n">
        <v>0</v>
      </c>
      <c r="R260" s="2" t="inlineStr"/>
    </row>
    <row r="261" ht="15" customHeight="1">
      <c r="A261" t="inlineStr">
        <is>
          <t>A 62401-2023</t>
        </is>
      </c>
      <c r="B261" s="1" t="n">
        <v>45268</v>
      </c>
      <c r="C261" s="1" t="n">
        <v>45912</v>
      </c>
      <c r="D261" t="inlineStr">
        <is>
          <t>DALARNAS LÄN</t>
        </is>
      </c>
      <c r="E261" t="inlineStr">
        <is>
          <t>HEDEMORA</t>
        </is>
      </c>
      <c r="G261" t="n">
        <v>1.6</v>
      </c>
      <c r="H261" t="n">
        <v>0</v>
      </c>
      <c r="I261" t="n">
        <v>0</v>
      </c>
      <c r="J261" t="n">
        <v>0</v>
      </c>
      <c r="K261" t="n">
        <v>0</v>
      </c>
      <c r="L261" t="n">
        <v>0</v>
      </c>
      <c r="M261" t="n">
        <v>0</v>
      </c>
      <c r="N261" t="n">
        <v>0</v>
      </c>
      <c r="O261" t="n">
        <v>0</v>
      </c>
      <c r="P261" t="n">
        <v>0</v>
      </c>
      <c r="Q261" t="n">
        <v>0</v>
      </c>
      <c r="R261" s="2" t="inlineStr"/>
    </row>
    <row r="262" ht="15" customHeight="1">
      <c r="A262" t="inlineStr">
        <is>
          <t>A 48320-2024</t>
        </is>
      </c>
      <c r="B262" s="1" t="n">
        <v>45590.4999537037</v>
      </c>
      <c r="C262" s="1" t="n">
        <v>45912</v>
      </c>
      <c r="D262" t="inlineStr">
        <is>
          <t>DALARNAS LÄN</t>
        </is>
      </c>
      <c r="E262" t="inlineStr">
        <is>
          <t>HEDEMORA</t>
        </is>
      </c>
      <c r="F262" t="inlineStr">
        <is>
          <t>Sveaskog</t>
        </is>
      </c>
      <c r="G262" t="n">
        <v>4.9</v>
      </c>
      <c r="H262" t="n">
        <v>0</v>
      </c>
      <c r="I262" t="n">
        <v>0</v>
      </c>
      <c r="J262" t="n">
        <v>0</v>
      </c>
      <c r="K262" t="n">
        <v>0</v>
      </c>
      <c r="L262" t="n">
        <v>0</v>
      </c>
      <c r="M262" t="n">
        <v>0</v>
      </c>
      <c r="N262" t="n">
        <v>0</v>
      </c>
      <c r="O262" t="n">
        <v>0</v>
      </c>
      <c r="P262" t="n">
        <v>0</v>
      </c>
      <c r="Q262" t="n">
        <v>0</v>
      </c>
      <c r="R262" s="2" t="inlineStr"/>
    </row>
    <row r="263" ht="15" customHeight="1">
      <c r="A263" t="inlineStr">
        <is>
          <t>A 29303-2023</t>
        </is>
      </c>
      <c r="B263" s="1" t="n">
        <v>45105</v>
      </c>
      <c r="C263" s="1" t="n">
        <v>45912</v>
      </c>
      <c r="D263" t="inlineStr">
        <is>
          <t>DALARNAS LÄN</t>
        </is>
      </c>
      <c r="E263" t="inlineStr">
        <is>
          <t>HEDEMORA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58841-2023</t>
        </is>
      </c>
      <c r="B264" s="1" t="n">
        <v>45252.42115740741</v>
      </c>
      <c r="C264" s="1" t="n">
        <v>45912</v>
      </c>
      <c r="D264" t="inlineStr">
        <is>
          <t>DALARNAS LÄN</t>
        </is>
      </c>
      <c r="E264" t="inlineStr">
        <is>
          <t>HEDEMORA</t>
        </is>
      </c>
      <c r="G264" t="n">
        <v>14.8</v>
      </c>
      <c r="H264" t="n">
        <v>0</v>
      </c>
      <c r="I264" t="n">
        <v>0</v>
      </c>
      <c r="J264" t="n">
        <v>0</v>
      </c>
      <c r="K264" t="n">
        <v>0</v>
      </c>
      <c r="L264" t="n">
        <v>0</v>
      </c>
      <c r="M264" t="n">
        <v>0</v>
      </c>
      <c r="N264" t="n">
        <v>0</v>
      </c>
      <c r="O264" t="n">
        <v>0</v>
      </c>
      <c r="P264" t="n">
        <v>0</v>
      </c>
      <c r="Q264" t="n">
        <v>0</v>
      </c>
      <c r="R264" s="2" t="inlineStr"/>
    </row>
    <row r="265" ht="15" customHeight="1">
      <c r="A265" t="inlineStr">
        <is>
          <t>A 39393-2025</t>
        </is>
      </c>
      <c r="B265" s="1" t="n">
        <v>45889.62287037037</v>
      </c>
      <c r="C265" s="1" t="n">
        <v>45912</v>
      </c>
      <c r="D265" t="inlineStr">
        <is>
          <t>DALARNAS LÄN</t>
        </is>
      </c>
      <c r="E265" t="inlineStr">
        <is>
          <t>HEDEMORA</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39390-2025</t>
        </is>
      </c>
      <c r="B266" s="1" t="n">
        <v>45889.6240625</v>
      </c>
      <c r="C266" s="1" t="n">
        <v>45912</v>
      </c>
      <c r="D266" t="inlineStr">
        <is>
          <t>DALARNAS LÄN</t>
        </is>
      </c>
      <c r="E266" t="inlineStr">
        <is>
          <t>HEDEMORA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19988-2025</t>
        </is>
      </c>
      <c r="B267" s="1" t="n">
        <v>45771.72665509259</v>
      </c>
      <c r="C267" s="1" t="n">
        <v>45912</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59232-2023</t>
        </is>
      </c>
      <c r="B268" s="1" t="n">
        <v>45253.5053587963</v>
      </c>
      <c r="C268" s="1" t="n">
        <v>45912</v>
      </c>
      <c r="D268" t="inlineStr">
        <is>
          <t>DALARNAS LÄN</t>
        </is>
      </c>
      <c r="E268" t="inlineStr">
        <is>
          <t>HEDEMORA</t>
        </is>
      </c>
      <c r="G268" t="n">
        <v>3.7</v>
      </c>
      <c r="H268" t="n">
        <v>0</v>
      </c>
      <c r="I268" t="n">
        <v>0</v>
      </c>
      <c r="J268" t="n">
        <v>0</v>
      </c>
      <c r="K268" t="n">
        <v>0</v>
      </c>
      <c r="L268" t="n">
        <v>0</v>
      </c>
      <c r="M268" t="n">
        <v>0</v>
      </c>
      <c r="N268" t="n">
        <v>0</v>
      </c>
      <c r="O268" t="n">
        <v>0</v>
      </c>
      <c r="P268" t="n">
        <v>0</v>
      </c>
      <c r="Q268" t="n">
        <v>0</v>
      </c>
      <c r="R268" s="2" t="inlineStr"/>
    </row>
    <row r="269" ht="15" customHeight="1">
      <c r="A269" t="inlineStr">
        <is>
          <t>A 3089-2024</t>
        </is>
      </c>
      <c r="B269" s="1" t="n">
        <v>45316</v>
      </c>
      <c r="C269" s="1" t="n">
        <v>45912</v>
      </c>
      <c r="D269" t="inlineStr">
        <is>
          <t>DALARNAS LÄN</t>
        </is>
      </c>
      <c r="E269" t="inlineStr">
        <is>
          <t>HEDEMORA</t>
        </is>
      </c>
      <c r="G269" t="n">
        <v>5.5</v>
      </c>
      <c r="H269" t="n">
        <v>0</v>
      </c>
      <c r="I269" t="n">
        <v>0</v>
      </c>
      <c r="J269" t="n">
        <v>0</v>
      </c>
      <c r="K269" t="n">
        <v>0</v>
      </c>
      <c r="L269" t="n">
        <v>0</v>
      </c>
      <c r="M269" t="n">
        <v>0</v>
      </c>
      <c r="N269" t="n">
        <v>0</v>
      </c>
      <c r="O269" t="n">
        <v>0</v>
      </c>
      <c r="P269" t="n">
        <v>0</v>
      </c>
      <c r="Q269" t="n">
        <v>0</v>
      </c>
      <c r="R269" s="2" t="inlineStr"/>
    </row>
    <row r="270" ht="15" customHeight="1">
      <c r="A270" t="inlineStr">
        <is>
          <t>A 29587-2024</t>
        </is>
      </c>
      <c r="B270" s="1" t="n">
        <v>45484.5799537037</v>
      </c>
      <c r="C270" s="1" t="n">
        <v>45912</v>
      </c>
      <c r="D270" t="inlineStr">
        <is>
          <t>DALARNAS LÄN</t>
        </is>
      </c>
      <c r="E270" t="inlineStr">
        <is>
          <t>HEDEMORA</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44509.6580787037</v>
      </c>
      <c r="C271" s="1" t="n">
        <v>45912</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39389-2025</t>
        </is>
      </c>
      <c r="B272" s="1" t="n">
        <v>45889.62181712963</v>
      </c>
      <c r="C272" s="1" t="n">
        <v>45912</v>
      </c>
      <c r="D272" t="inlineStr">
        <is>
          <t>DALARNAS LÄN</t>
        </is>
      </c>
      <c r="E272" t="inlineStr">
        <is>
          <t>HEDEMORA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20271-2025</t>
        </is>
      </c>
      <c r="B273" s="1" t="n">
        <v>45773.71568287037</v>
      </c>
      <c r="C273" s="1" t="n">
        <v>45912</v>
      </c>
      <c r="D273" t="inlineStr">
        <is>
          <t>DALARNAS LÄN</t>
        </is>
      </c>
      <c r="E273" t="inlineStr">
        <is>
          <t>HEDEMORA</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20272-2025</t>
        </is>
      </c>
      <c r="B274" s="1" t="n">
        <v>45773.71663194444</v>
      </c>
      <c r="C274" s="1" t="n">
        <v>45912</v>
      </c>
      <c r="D274" t="inlineStr">
        <is>
          <t>DALARNAS LÄN</t>
        </is>
      </c>
      <c r="E274" t="inlineStr">
        <is>
          <t>HEDEMORA</t>
        </is>
      </c>
      <c r="F274" t="inlineStr">
        <is>
          <t>Sveaskog</t>
        </is>
      </c>
      <c r="G274" t="n">
        <v>1</v>
      </c>
      <c r="H274" t="n">
        <v>0</v>
      </c>
      <c r="I274" t="n">
        <v>0</v>
      </c>
      <c r="J274" t="n">
        <v>0</v>
      </c>
      <c r="K274" t="n">
        <v>0</v>
      </c>
      <c r="L274" t="n">
        <v>0</v>
      </c>
      <c r="M274" t="n">
        <v>0</v>
      </c>
      <c r="N274" t="n">
        <v>0</v>
      </c>
      <c r="O274" t="n">
        <v>0</v>
      </c>
      <c r="P274" t="n">
        <v>0</v>
      </c>
      <c r="Q274" t="n">
        <v>0</v>
      </c>
      <c r="R274" s="2" t="inlineStr"/>
    </row>
    <row r="275" ht="15" customHeight="1">
      <c r="A275" t="inlineStr">
        <is>
          <t>A 34734-2025</t>
        </is>
      </c>
      <c r="B275" s="1" t="n">
        <v>45848</v>
      </c>
      <c r="C275" s="1" t="n">
        <v>45912</v>
      </c>
      <c r="D275" t="inlineStr">
        <is>
          <t>DALARNAS LÄN</t>
        </is>
      </c>
      <c r="E275" t="inlineStr">
        <is>
          <t>HEDEMORA</t>
        </is>
      </c>
      <c r="G275" t="n">
        <v>2.5</v>
      </c>
      <c r="H275" t="n">
        <v>0</v>
      </c>
      <c r="I275" t="n">
        <v>0</v>
      </c>
      <c r="J275" t="n">
        <v>0</v>
      </c>
      <c r="K275" t="n">
        <v>0</v>
      </c>
      <c r="L275" t="n">
        <v>0</v>
      </c>
      <c r="M275" t="n">
        <v>0</v>
      </c>
      <c r="N275" t="n">
        <v>0</v>
      </c>
      <c r="O275" t="n">
        <v>0</v>
      </c>
      <c r="P275" t="n">
        <v>0</v>
      </c>
      <c r="Q275" t="n">
        <v>0</v>
      </c>
      <c r="R275" s="2" t="inlineStr"/>
    </row>
    <row r="276" ht="15" customHeight="1">
      <c r="A276" t="inlineStr">
        <is>
          <t>A 40456-2025</t>
        </is>
      </c>
      <c r="B276" s="1" t="n">
        <v>45895.64342592593</v>
      </c>
      <c r="C276" s="1" t="n">
        <v>45912</v>
      </c>
      <c r="D276" t="inlineStr">
        <is>
          <t>DALARNAS LÄN</t>
        </is>
      </c>
      <c r="E276" t="inlineStr">
        <is>
          <t>HEDEMORA</t>
        </is>
      </c>
      <c r="F276" t="inlineStr">
        <is>
          <t>Bergvik skog väst AB</t>
        </is>
      </c>
      <c r="G276" t="n">
        <v>3.3</v>
      </c>
      <c r="H276" t="n">
        <v>0</v>
      </c>
      <c r="I276" t="n">
        <v>0</v>
      </c>
      <c r="J276" t="n">
        <v>0</v>
      </c>
      <c r="K276" t="n">
        <v>0</v>
      </c>
      <c r="L276" t="n">
        <v>0</v>
      </c>
      <c r="M276" t="n">
        <v>0</v>
      </c>
      <c r="N276" t="n">
        <v>0</v>
      </c>
      <c r="O276" t="n">
        <v>0</v>
      </c>
      <c r="P276" t="n">
        <v>0</v>
      </c>
      <c r="Q276" t="n">
        <v>0</v>
      </c>
      <c r="R276" s="2" t="inlineStr"/>
    </row>
    <row r="277" ht="15" customHeight="1">
      <c r="A277" t="inlineStr">
        <is>
          <t>A 9314-2024</t>
        </is>
      </c>
      <c r="B277" s="1" t="n">
        <v>45358</v>
      </c>
      <c r="C277" s="1" t="n">
        <v>45912</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35103-2025</t>
        </is>
      </c>
      <c r="B278" s="1" t="n">
        <v>45852.56914351852</v>
      </c>
      <c r="C278" s="1" t="n">
        <v>45912</v>
      </c>
      <c r="D278" t="inlineStr">
        <is>
          <t>DALARNAS LÄN</t>
        </is>
      </c>
      <c r="E278" t="inlineStr">
        <is>
          <t>HEDEMORA</t>
        </is>
      </c>
      <c r="G278" t="n">
        <v>6.2</v>
      </c>
      <c r="H278" t="n">
        <v>0</v>
      </c>
      <c r="I278" t="n">
        <v>0</v>
      </c>
      <c r="J278" t="n">
        <v>0</v>
      </c>
      <c r="K278" t="n">
        <v>0</v>
      </c>
      <c r="L278" t="n">
        <v>0</v>
      </c>
      <c r="M278" t="n">
        <v>0</v>
      </c>
      <c r="N278" t="n">
        <v>0</v>
      </c>
      <c r="O278" t="n">
        <v>0</v>
      </c>
      <c r="P278" t="n">
        <v>0</v>
      </c>
      <c r="Q278" t="n">
        <v>0</v>
      </c>
      <c r="R278" s="2" t="inlineStr"/>
    </row>
    <row r="279" ht="15" customHeight="1">
      <c r="A279" t="inlineStr">
        <is>
          <t>A 53584-2023</t>
        </is>
      </c>
      <c r="B279" s="1" t="n">
        <v>45230</v>
      </c>
      <c r="C279" s="1" t="n">
        <v>45912</v>
      </c>
      <c r="D279" t="inlineStr">
        <is>
          <t>DALARNAS LÄN</t>
        </is>
      </c>
      <c r="E279" t="inlineStr">
        <is>
          <t>HEDEMORA</t>
        </is>
      </c>
      <c r="G279" t="n">
        <v>6.6</v>
      </c>
      <c r="H279" t="n">
        <v>0</v>
      </c>
      <c r="I279" t="n">
        <v>0</v>
      </c>
      <c r="J279" t="n">
        <v>0</v>
      </c>
      <c r="K279" t="n">
        <v>0</v>
      </c>
      <c r="L279" t="n">
        <v>0</v>
      </c>
      <c r="M279" t="n">
        <v>0</v>
      </c>
      <c r="N279" t="n">
        <v>0</v>
      </c>
      <c r="O279" t="n">
        <v>0</v>
      </c>
      <c r="P279" t="n">
        <v>0</v>
      </c>
      <c r="Q279" t="n">
        <v>0</v>
      </c>
      <c r="R279" s="2" t="inlineStr"/>
    </row>
    <row r="280" ht="15" customHeight="1">
      <c r="A280" t="inlineStr">
        <is>
          <t>A 60786-2023</t>
        </is>
      </c>
      <c r="B280" s="1" t="n">
        <v>45260.64891203704</v>
      </c>
      <c r="C280" s="1" t="n">
        <v>45912</v>
      </c>
      <c r="D280" t="inlineStr">
        <is>
          <t>DALARNAS LÄN</t>
        </is>
      </c>
      <c r="E280" t="inlineStr">
        <is>
          <t>HEDEMORA</t>
        </is>
      </c>
      <c r="G280" t="n">
        <v>7.1</v>
      </c>
      <c r="H280" t="n">
        <v>0</v>
      </c>
      <c r="I280" t="n">
        <v>0</v>
      </c>
      <c r="J280" t="n">
        <v>0</v>
      </c>
      <c r="K280" t="n">
        <v>0</v>
      </c>
      <c r="L280" t="n">
        <v>0</v>
      </c>
      <c r="M280" t="n">
        <v>0</v>
      </c>
      <c r="N280" t="n">
        <v>0</v>
      </c>
      <c r="O280" t="n">
        <v>0</v>
      </c>
      <c r="P280" t="n">
        <v>0</v>
      </c>
      <c r="Q280" t="n">
        <v>0</v>
      </c>
      <c r="R280" s="2" t="inlineStr"/>
    </row>
    <row r="281" ht="15" customHeight="1">
      <c r="A281" t="inlineStr">
        <is>
          <t>A 55882-2023</t>
        </is>
      </c>
      <c r="B281" s="1" t="n">
        <v>45239</v>
      </c>
      <c r="C281" s="1" t="n">
        <v>45912</v>
      </c>
      <c r="D281" t="inlineStr">
        <is>
          <t>DALARNAS LÄN</t>
        </is>
      </c>
      <c r="E281" t="inlineStr">
        <is>
          <t>HEDEMORA</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26612-2021</t>
        </is>
      </c>
      <c r="B282" s="1" t="n">
        <v>44348.64942129629</v>
      </c>
      <c r="C282" s="1" t="n">
        <v>45912</v>
      </c>
      <c r="D282" t="inlineStr">
        <is>
          <t>DALARNAS LÄN</t>
        </is>
      </c>
      <c r="E282" t="inlineStr">
        <is>
          <t>HEDEMORA</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57745-2024</t>
        </is>
      </c>
      <c r="B283" s="1" t="n">
        <v>45630.77605324074</v>
      </c>
      <c r="C283" s="1" t="n">
        <v>45912</v>
      </c>
      <c r="D283" t="inlineStr">
        <is>
          <t>DALARNAS LÄN</t>
        </is>
      </c>
      <c r="E283" t="inlineStr">
        <is>
          <t>HEDEMORA</t>
        </is>
      </c>
      <c r="G283" t="n">
        <v>1.1</v>
      </c>
      <c r="H283" t="n">
        <v>0</v>
      </c>
      <c r="I283" t="n">
        <v>0</v>
      </c>
      <c r="J283" t="n">
        <v>0</v>
      </c>
      <c r="K283" t="n">
        <v>0</v>
      </c>
      <c r="L283" t="n">
        <v>0</v>
      </c>
      <c r="M283" t="n">
        <v>0</v>
      </c>
      <c r="N283" t="n">
        <v>0</v>
      </c>
      <c r="O283" t="n">
        <v>0</v>
      </c>
      <c r="P283" t="n">
        <v>0</v>
      </c>
      <c r="Q283" t="n">
        <v>0</v>
      </c>
      <c r="R283" s="2" t="inlineStr"/>
    </row>
    <row r="284" ht="15" customHeight="1">
      <c r="A284" t="inlineStr">
        <is>
          <t>A 40419-2025</t>
        </is>
      </c>
      <c r="B284" s="1" t="n">
        <v>45895.57958333333</v>
      </c>
      <c r="C284" s="1" t="n">
        <v>45912</v>
      </c>
      <c r="D284" t="inlineStr">
        <is>
          <t>DALARNAS LÄN</t>
        </is>
      </c>
      <c r="E284" t="inlineStr">
        <is>
          <t>HEDEMORA</t>
        </is>
      </c>
      <c r="G284" t="n">
        <v>3.1</v>
      </c>
      <c r="H284" t="n">
        <v>0</v>
      </c>
      <c r="I284" t="n">
        <v>0</v>
      </c>
      <c r="J284" t="n">
        <v>0</v>
      </c>
      <c r="K284" t="n">
        <v>0</v>
      </c>
      <c r="L284" t="n">
        <v>0</v>
      </c>
      <c r="M284" t="n">
        <v>0</v>
      </c>
      <c r="N284" t="n">
        <v>0</v>
      </c>
      <c r="O284" t="n">
        <v>0</v>
      </c>
      <c r="P284" t="n">
        <v>0</v>
      </c>
      <c r="Q284" t="n">
        <v>0</v>
      </c>
      <c r="R284" s="2" t="inlineStr"/>
    </row>
    <row r="285" ht="15" customHeight="1">
      <c r="A285" t="inlineStr">
        <is>
          <t>A 40421-2025</t>
        </is>
      </c>
      <c r="B285" s="1" t="n">
        <v>45895.58449074074</v>
      </c>
      <c r="C285" s="1" t="n">
        <v>45912</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19990-2025</t>
        </is>
      </c>
      <c r="B286" s="1" t="n">
        <v>45771.73082175926</v>
      </c>
      <c r="C286" s="1" t="n">
        <v>45912</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21763-2024</t>
        </is>
      </c>
      <c r="B287" s="1" t="n">
        <v>45442.60204861111</v>
      </c>
      <c r="C287" s="1" t="n">
        <v>45912</v>
      </c>
      <c r="D287" t="inlineStr">
        <is>
          <t>DALARNAS LÄN</t>
        </is>
      </c>
      <c r="E287" t="inlineStr">
        <is>
          <t>HEDEMORA</t>
        </is>
      </c>
      <c r="G287" t="n">
        <v>1.6</v>
      </c>
      <c r="H287" t="n">
        <v>0</v>
      </c>
      <c r="I287" t="n">
        <v>0</v>
      </c>
      <c r="J287" t="n">
        <v>0</v>
      </c>
      <c r="K287" t="n">
        <v>0</v>
      </c>
      <c r="L287" t="n">
        <v>0</v>
      </c>
      <c r="M287" t="n">
        <v>0</v>
      </c>
      <c r="N287" t="n">
        <v>0</v>
      </c>
      <c r="O287" t="n">
        <v>0</v>
      </c>
      <c r="P287" t="n">
        <v>0</v>
      </c>
      <c r="Q287" t="n">
        <v>0</v>
      </c>
      <c r="R287" s="2" t="inlineStr"/>
    </row>
    <row r="288" ht="15" customHeight="1">
      <c r="A288" t="inlineStr">
        <is>
          <t>A 15048-2025</t>
        </is>
      </c>
      <c r="B288" s="1" t="n">
        <v>45743.69820601852</v>
      </c>
      <c r="C288" s="1" t="n">
        <v>45912</v>
      </c>
      <c r="D288" t="inlineStr">
        <is>
          <t>DALARNAS LÄN</t>
        </is>
      </c>
      <c r="E288" t="inlineStr">
        <is>
          <t>HEDEMORA</t>
        </is>
      </c>
      <c r="F288" t="inlineStr">
        <is>
          <t>Sveaskog</t>
        </is>
      </c>
      <c r="G288" t="n">
        <v>9.1</v>
      </c>
      <c r="H288" t="n">
        <v>0</v>
      </c>
      <c r="I288" t="n">
        <v>0</v>
      </c>
      <c r="J288" t="n">
        <v>0</v>
      </c>
      <c r="K288" t="n">
        <v>0</v>
      </c>
      <c r="L288" t="n">
        <v>0</v>
      </c>
      <c r="M288" t="n">
        <v>0</v>
      </c>
      <c r="N288" t="n">
        <v>0</v>
      </c>
      <c r="O288" t="n">
        <v>0</v>
      </c>
      <c r="P288" t="n">
        <v>0</v>
      </c>
      <c r="Q288" t="n">
        <v>0</v>
      </c>
      <c r="R288" s="2" t="inlineStr"/>
    </row>
    <row r="289" ht="15" customHeight="1">
      <c r="A289" t="inlineStr">
        <is>
          <t>A 17594-2025</t>
        </is>
      </c>
      <c r="B289" s="1" t="n">
        <v>45757</v>
      </c>
      <c r="C289" s="1" t="n">
        <v>45912</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15054-2025</t>
        </is>
      </c>
      <c r="B290" s="1" t="n">
        <v>45743.70199074074</v>
      </c>
      <c r="C290" s="1" t="n">
        <v>45912</v>
      </c>
      <c r="D290" t="inlineStr">
        <is>
          <t>DALARNAS LÄN</t>
        </is>
      </c>
      <c r="E290" t="inlineStr">
        <is>
          <t>HEDEMORA</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58111-2020</t>
        </is>
      </c>
      <c r="B291" s="1" t="n">
        <v>44144</v>
      </c>
      <c r="C291" s="1" t="n">
        <v>45912</v>
      </c>
      <c r="D291" t="inlineStr">
        <is>
          <t>DALARNAS LÄN</t>
        </is>
      </c>
      <c r="E291" t="inlineStr">
        <is>
          <t>HEDEMORA</t>
        </is>
      </c>
      <c r="G291" t="n">
        <v>3.1</v>
      </c>
      <c r="H291" t="n">
        <v>0</v>
      </c>
      <c r="I291" t="n">
        <v>0</v>
      </c>
      <c r="J291" t="n">
        <v>0</v>
      </c>
      <c r="K291" t="n">
        <v>0</v>
      </c>
      <c r="L291" t="n">
        <v>0</v>
      </c>
      <c r="M291" t="n">
        <v>0</v>
      </c>
      <c r="N291" t="n">
        <v>0</v>
      </c>
      <c r="O291" t="n">
        <v>0</v>
      </c>
      <c r="P291" t="n">
        <v>0</v>
      </c>
      <c r="Q291" t="n">
        <v>0</v>
      </c>
      <c r="R291" s="2" t="inlineStr"/>
    </row>
    <row r="292" ht="15" customHeight="1">
      <c r="A292" t="inlineStr">
        <is>
          <t>A 48254-2023</t>
        </is>
      </c>
      <c r="B292" s="1" t="n">
        <v>45205.53241898148</v>
      </c>
      <c r="C292" s="1" t="n">
        <v>45912</v>
      </c>
      <c r="D292" t="inlineStr">
        <is>
          <t>DALARNAS LÄN</t>
        </is>
      </c>
      <c r="E292" t="inlineStr">
        <is>
          <t>HEDEMORA</t>
        </is>
      </c>
      <c r="F292" t="inlineStr">
        <is>
          <t>Sveaskog</t>
        </is>
      </c>
      <c r="G292" t="n">
        <v>1.5</v>
      </c>
      <c r="H292" t="n">
        <v>0</v>
      </c>
      <c r="I292" t="n">
        <v>0</v>
      </c>
      <c r="J292" t="n">
        <v>0</v>
      </c>
      <c r="K292" t="n">
        <v>0</v>
      </c>
      <c r="L292" t="n">
        <v>0</v>
      </c>
      <c r="M292" t="n">
        <v>0</v>
      </c>
      <c r="N292" t="n">
        <v>0</v>
      </c>
      <c r="O292" t="n">
        <v>0</v>
      </c>
      <c r="P292" t="n">
        <v>0</v>
      </c>
      <c r="Q292" t="n">
        <v>0</v>
      </c>
      <c r="R292" s="2" t="inlineStr"/>
      <c r="U292">
        <f>HYPERLINK("https://klasma.github.io/Logging_2083/knärot/A 48254-2023 karta knärot.png", "A 48254-2023")</f>
        <v/>
      </c>
      <c r="V292">
        <f>HYPERLINK("https://klasma.github.io/Logging_2083/klagomål/A 48254-2023 FSC-klagomål.docx", "A 48254-2023")</f>
        <v/>
      </c>
      <c r="W292">
        <f>HYPERLINK("https://klasma.github.io/Logging_2083/klagomålsmail/A 48254-2023 FSC-klagomål mail.docx", "A 48254-2023")</f>
        <v/>
      </c>
      <c r="X292">
        <f>HYPERLINK("https://klasma.github.io/Logging_2083/tillsyn/A 48254-2023 tillsynsbegäran.docx", "A 48254-2023")</f>
        <v/>
      </c>
      <c r="Y292">
        <f>HYPERLINK("https://klasma.github.io/Logging_2083/tillsynsmail/A 48254-2023 tillsynsbegäran mail.docx", "A 48254-2023")</f>
        <v/>
      </c>
    </row>
    <row r="293" ht="15" customHeight="1">
      <c r="A293" t="inlineStr">
        <is>
          <t>A 37762-2024</t>
        </is>
      </c>
      <c r="B293" s="1" t="n">
        <v>45541.79369212963</v>
      </c>
      <c r="C293" s="1" t="n">
        <v>45912</v>
      </c>
      <c r="D293" t="inlineStr">
        <is>
          <t>DALARNAS LÄN</t>
        </is>
      </c>
      <c r="E293" t="inlineStr">
        <is>
          <t>HEDEMORA</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65057-2023</t>
        </is>
      </c>
      <c r="B294" s="1" t="n">
        <v>45287</v>
      </c>
      <c r="C294" s="1" t="n">
        <v>45912</v>
      </c>
      <c r="D294" t="inlineStr">
        <is>
          <t>DALARNAS LÄN</t>
        </is>
      </c>
      <c r="E294" t="inlineStr">
        <is>
          <t>HEDEMORA</t>
        </is>
      </c>
      <c r="G294" t="n">
        <v>1.8</v>
      </c>
      <c r="H294" t="n">
        <v>0</v>
      </c>
      <c r="I294" t="n">
        <v>0</v>
      </c>
      <c r="J294" t="n">
        <v>0</v>
      </c>
      <c r="K294" t="n">
        <v>0</v>
      </c>
      <c r="L294" t="n">
        <v>0</v>
      </c>
      <c r="M294" t="n">
        <v>0</v>
      </c>
      <c r="N294" t="n">
        <v>0</v>
      </c>
      <c r="O294" t="n">
        <v>0</v>
      </c>
      <c r="P294" t="n">
        <v>0</v>
      </c>
      <c r="Q294" t="n">
        <v>0</v>
      </c>
      <c r="R294" s="2" t="inlineStr"/>
    </row>
    <row r="295" ht="15" customHeight="1">
      <c r="A295" t="inlineStr">
        <is>
          <t>A 42510-2025</t>
        </is>
      </c>
      <c r="B295" s="1" t="n">
        <v>45905.54068287037</v>
      </c>
      <c r="C295" s="1" t="n">
        <v>45912</v>
      </c>
      <c r="D295" t="inlineStr">
        <is>
          <t>DALARNAS LÄN</t>
        </is>
      </c>
      <c r="E295" t="inlineStr">
        <is>
          <t>HEDEMORA</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36299-2024</t>
        </is>
      </c>
      <c r="B296" s="1" t="n">
        <v>45534.6090625</v>
      </c>
      <c r="C296" s="1" t="n">
        <v>45912</v>
      </c>
      <c r="D296" t="inlineStr">
        <is>
          <t>DALARNAS LÄN</t>
        </is>
      </c>
      <c r="E296" t="inlineStr">
        <is>
          <t>HEDEMORA</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19987-2025</t>
        </is>
      </c>
      <c r="B297" s="1" t="n">
        <v>45771.72193287037</v>
      </c>
      <c r="C297" s="1" t="n">
        <v>45912</v>
      </c>
      <c r="D297" t="inlineStr">
        <is>
          <t>DALARNAS LÄN</t>
        </is>
      </c>
      <c r="E297" t="inlineStr">
        <is>
          <t>HEDEMORA</t>
        </is>
      </c>
      <c r="G297" t="n">
        <v>3</v>
      </c>
      <c r="H297" t="n">
        <v>0</v>
      </c>
      <c r="I297" t="n">
        <v>0</v>
      </c>
      <c r="J297" t="n">
        <v>0</v>
      </c>
      <c r="K297" t="n">
        <v>0</v>
      </c>
      <c r="L297" t="n">
        <v>0</v>
      </c>
      <c r="M297" t="n">
        <v>0</v>
      </c>
      <c r="N297" t="n">
        <v>0</v>
      </c>
      <c r="O297" t="n">
        <v>0</v>
      </c>
      <c r="P297" t="n">
        <v>0</v>
      </c>
      <c r="Q297" t="n">
        <v>0</v>
      </c>
      <c r="R297" s="2" t="inlineStr"/>
    </row>
    <row r="298" ht="15" customHeight="1">
      <c r="A298" t="inlineStr">
        <is>
          <t>A 36306-2024</t>
        </is>
      </c>
      <c r="B298" s="1" t="n">
        <v>45534.61327546297</v>
      </c>
      <c r="C298" s="1" t="n">
        <v>45912</v>
      </c>
      <c r="D298" t="inlineStr">
        <is>
          <t>DALARNAS LÄN</t>
        </is>
      </c>
      <c r="E298" t="inlineStr">
        <is>
          <t>HEDEMORA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36075-2025</t>
        </is>
      </c>
      <c r="B299" s="1" t="n">
        <v>45866.43974537037</v>
      </c>
      <c r="C299" s="1" t="n">
        <v>45912</v>
      </c>
      <c r="D299" t="inlineStr">
        <is>
          <t>DALARNAS LÄN</t>
        </is>
      </c>
      <c r="E299" t="inlineStr">
        <is>
          <t>HEDEMORA</t>
        </is>
      </c>
      <c r="G299" t="n">
        <v>0.8</v>
      </c>
      <c r="H299" t="n">
        <v>0</v>
      </c>
      <c r="I299" t="n">
        <v>0</v>
      </c>
      <c r="J299" t="n">
        <v>0</v>
      </c>
      <c r="K299" t="n">
        <v>0</v>
      </c>
      <c r="L299" t="n">
        <v>0</v>
      </c>
      <c r="M299" t="n">
        <v>0</v>
      </c>
      <c r="N299" t="n">
        <v>0</v>
      </c>
      <c r="O299" t="n">
        <v>0</v>
      </c>
      <c r="P299" t="n">
        <v>0</v>
      </c>
      <c r="Q299" t="n">
        <v>0</v>
      </c>
      <c r="R299" s="2" t="inlineStr"/>
    </row>
    <row r="300" ht="15" customHeight="1">
      <c r="A300" t="inlineStr">
        <is>
          <t>A 36103-2025</t>
        </is>
      </c>
      <c r="B300" s="1" t="n">
        <v>45866.55335648148</v>
      </c>
      <c r="C300" s="1" t="n">
        <v>45912</v>
      </c>
      <c r="D300" t="inlineStr">
        <is>
          <t>DALARNAS LÄN</t>
        </is>
      </c>
      <c r="E300" t="inlineStr">
        <is>
          <t>HEDEMORA</t>
        </is>
      </c>
      <c r="G300" t="n">
        <v>2.3</v>
      </c>
      <c r="H300" t="n">
        <v>0</v>
      </c>
      <c r="I300" t="n">
        <v>0</v>
      </c>
      <c r="J300" t="n">
        <v>0</v>
      </c>
      <c r="K300" t="n">
        <v>0</v>
      </c>
      <c r="L300" t="n">
        <v>0</v>
      </c>
      <c r="M300" t="n">
        <v>0</v>
      </c>
      <c r="N300" t="n">
        <v>0</v>
      </c>
      <c r="O300" t="n">
        <v>0</v>
      </c>
      <c r="P300" t="n">
        <v>0</v>
      </c>
      <c r="Q300" t="n">
        <v>0</v>
      </c>
      <c r="R300" s="2" t="inlineStr"/>
    </row>
    <row r="301" ht="15" customHeight="1">
      <c r="A301" t="inlineStr">
        <is>
          <t>A 28813-2024</t>
        </is>
      </c>
      <c r="B301" s="1" t="n">
        <v>45478.641875</v>
      </c>
      <c r="C301" s="1" t="n">
        <v>45912</v>
      </c>
      <c r="D301" t="inlineStr">
        <is>
          <t>DALARNAS LÄN</t>
        </is>
      </c>
      <c r="E301" t="inlineStr">
        <is>
          <t>HEDEMORA</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36117-2025</t>
        </is>
      </c>
      <c r="B302" s="1" t="n">
        <v>45866.58664351852</v>
      </c>
      <c r="C302" s="1" t="n">
        <v>45912</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42645-2025</t>
        </is>
      </c>
      <c r="B303" s="1" t="n">
        <v>45906.40199074074</v>
      </c>
      <c r="C303" s="1" t="n">
        <v>45912</v>
      </c>
      <c r="D303" t="inlineStr">
        <is>
          <t>DALARNAS LÄN</t>
        </is>
      </c>
      <c r="E303" t="inlineStr">
        <is>
          <t>HEDEMORA</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55832-2024</t>
        </is>
      </c>
      <c r="B304" s="1" t="n">
        <v>45623.48604166666</v>
      </c>
      <c r="C304" s="1" t="n">
        <v>45912</v>
      </c>
      <c r="D304" t="inlineStr">
        <is>
          <t>DALARNAS LÄN</t>
        </is>
      </c>
      <c r="E304" t="inlineStr">
        <is>
          <t>HEDEMORA</t>
        </is>
      </c>
      <c r="G304" t="n">
        <v>3</v>
      </c>
      <c r="H304" t="n">
        <v>0</v>
      </c>
      <c r="I304" t="n">
        <v>0</v>
      </c>
      <c r="J304" t="n">
        <v>0</v>
      </c>
      <c r="K304" t="n">
        <v>0</v>
      </c>
      <c r="L304" t="n">
        <v>0</v>
      </c>
      <c r="M304" t="n">
        <v>0</v>
      </c>
      <c r="N304" t="n">
        <v>0</v>
      </c>
      <c r="O304" t="n">
        <v>0</v>
      </c>
      <c r="P304" t="n">
        <v>0</v>
      </c>
      <c r="Q304" t="n">
        <v>0</v>
      </c>
      <c r="R304" s="2" t="inlineStr"/>
    </row>
    <row r="305" ht="15" customHeight="1">
      <c r="A305" t="inlineStr">
        <is>
          <t>A 36206-2025</t>
        </is>
      </c>
      <c r="B305" s="1" t="n">
        <v>45867.45057870371</v>
      </c>
      <c r="C305" s="1" t="n">
        <v>45912</v>
      </c>
      <c r="D305" t="inlineStr">
        <is>
          <t>DALARNAS LÄN</t>
        </is>
      </c>
      <c r="E305" t="inlineStr">
        <is>
          <t>HEDEMORA</t>
        </is>
      </c>
      <c r="G305" t="n">
        <v>0.1</v>
      </c>
      <c r="H305" t="n">
        <v>0</v>
      </c>
      <c r="I305" t="n">
        <v>0</v>
      </c>
      <c r="J305" t="n">
        <v>0</v>
      </c>
      <c r="K305" t="n">
        <v>0</v>
      </c>
      <c r="L305" t="n">
        <v>0</v>
      </c>
      <c r="M305" t="n">
        <v>0</v>
      </c>
      <c r="N305" t="n">
        <v>0</v>
      </c>
      <c r="O305" t="n">
        <v>0</v>
      </c>
      <c r="P305" t="n">
        <v>0</v>
      </c>
      <c r="Q305" t="n">
        <v>0</v>
      </c>
      <c r="R305" s="2" t="inlineStr"/>
    </row>
    <row r="306" ht="15" customHeight="1">
      <c r="A306" t="inlineStr">
        <is>
          <t>A 60774-2022</t>
        </is>
      </c>
      <c r="B306" s="1" t="n">
        <v>44914.37917824074</v>
      </c>
      <c r="C306" s="1" t="n">
        <v>45912</v>
      </c>
      <c r="D306" t="inlineStr">
        <is>
          <t>DALARNAS LÄN</t>
        </is>
      </c>
      <c r="E306" t="inlineStr">
        <is>
          <t>HEDEMORA</t>
        </is>
      </c>
      <c r="G306" t="n">
        <v>11.5</v>
      </c>
      <c r="H306" t="n">
        <v>0</v>
      </c>
      <c r="I306" t="n">
        <v>0</v>
      </c>
      <c r="J306" t="n">
        <v>0</v>
      </c>
      <c r="K306" t="n">
        <v>0</v>
      </c>
      <c r="L306" t="n">
        <v>0</v>
      </c>
      <c r="M306" t="n">
        <v>0</v>
      </c>
      <c r="N306" t="n">
        <v>0</v>
      </c>
      <c r="O306" t="n">
        <v>0</v>
      </c>
      <c r="P306" t="n">
        <v>0</v>
      </c>
      <c r="Q306" t="n">
        <v>0</v>
      </c>
      <c r="R306" s="2" t="inlineStr"/>
    </row>
    <row r="307" ht="15" customHeight="1">
      <c r="A307" t="inlineStr">
        <is>
          <t>A 26449-2024</t>
        </is>
      </c>
      <c r="B307" s="1" t="n">
        <v>45469.50783564815</v>
      </c>
      <c r="C307" s="1" t="n">
        <v>45912</v>
      </c>
      <c r="D307" t="inlineStr">
        <is>
          <t>DALARNAS LÄN</t>
        </is>
      </c>
      <c r="E307" t="inlineStr">
        <is>
          <t>HEDEMORA</t>
        </is>
      </c>
      <c r="G307" t="n">
        <v>4.5</v>
      </c>
      <c r="H307" t="n">
        <v>0</v>
      </c>
      <c r="I307" t="n">
        <v>0</v>
      </c>
      <c r="J307" t="n">
        <v>0</v>
      </c>
      <c r="K307" t="n">
        <v>0</v>
      </c>
      <c r="L307" t="n">
        <v>0</v>
      </c>
      <c r="M307" t="n">
        <v>0</v>
      </c>
      <c r="N307" t="n">
        <v>0</v>
      </c>
      <c r="O307" t="n">
        <v>0</v>
      </c>
      <c r="P307" t="n">
        <v>0</v>
      </c>
      <c r="Q307" t="n">
        <v>0</v>
      </c>
      <c r="R307" s="2" t="inlineStr"/>
    </row>
    <row r="308" ht="15" customHeight="1">
      <c r="A308" t="inlineStr">
        <is>
          <t>A 20273-2025</t>
        </is>
      </c>
      <c r="B308" s="1" t="n">
        <v>45773.71921296296</v>
      </c>
      <c r="C308" s="1" t="n">
        <v>45912</v>
      </c>
      <c r="D308" t="inlineStr">
        <is>
          <t>DALARNAS LÄN</t>
        </is>
      </c>
      <c r="E308" t="inlineStr">
        <is>
          <t>HEDEMORA</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43193-2025</t>
        </is>
      </c>
      <c r="B309" s="1" t="n">
        <v>45910.42417824074</v>
      </c>
      <c r="C309" s="1" t="n">
        <v>45912</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56620-2024</t>
        </is>
      </c>
      <c r="B310" s="1" t="n">
        <v>45625</v>
      </c>
      <c r="C310" s="1" t="n">
        <v>45912</v>
      </c>
      <c r="D310" t="inlineStr">
        <is>
          <t>DALARNAS LÄN</t>
        </is>
      </c>
      <c r="E310" t="inlineStr">
        <is>
          <t>HEDEMORA</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20670-2024</t>
        </is>
      </c>
      <c r="B311" s="1" t="n">
        <v>45436</v>
      </c>
      <c r="C311" s="1" t="n">
        <v>45912</v>
      </c>
      <c r="D311" t="inlineStr">
        <is>
          <t>DALARNAS LÄN</t>
        </is>
      </c>
      <c r="E311" t="inlineStr">
        <is>
          <t>HEDEMORA</t>
        </is>
      </c>
      <c r="G311" t="n">
        <v>2.7</v>
      </c>
      <c r="H311" t="n">
        <v>0</v>
      </c>
      <c r="I311" t="n">
        <v>0</v>
      </c>
      <c r="J311" t="n">
        <v>0</v>
      </c>
      <c r="K311" t="n">
        <v>0</v>
      </c>
      <c r="L311" t="n">
        <v>0</v>
      </c>
      <c r="M311" t="n">
        <v>0</v>
      </c>
      <c r="N311" t="n">
        <v>0</v>
      </c>
      <c r="O311" t="n">
        <v>0</v>
      </c>
      <c r="P311" t="n">
        <v>0</v>
      </c>
      <c r="Q311" t="n">
        <v>0</v>
      </c>
      <c r="R311" s="2" t="inlineStr"/>
    </row>
    <row r="312" ht="15" customHeight="1">
      <c r="A312" t="inlineStr">
        <is>
          <t>A 42894-2024</t>
        </is>
      </c>
      <c r="B312" s="1" t="n">
        <v>45566.82304398148</v>
      </c>
      <c r="C312" s="1" t="n">
        <v>45912</v>
      </c>
      <c r="D312" t="inlineStr">
        <is>
          <t>DALARNAS LÄN</t>
        </is>
      </c>
      <c r="E312" t="inlineStr">
        <is>
          <t>HEDEMORA</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42895-2024</t>
        </is>
      </c>
      <c r="B313" s="1" t="n">
        <v>45566.82385416667</v>
      </c>
      <c r="C313" s="1" t="n">
        <v>45912</v>
      </c>
      <c r="D313" t="inlineStr">
        <is>
          <t>DALARNAS LÄN</t>
        </is>
      </c>
      <c r="E313" t="inlineStr">
        <is>
          <t>HEDEMORA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31365-2024</t>
        </is>
      </c>
      <c r="B314" s="1" t="n">
        <v>45505.37086805556</v>
      </c>
      <c r="C314" s="1" t="n">
        <v>45912</v>
      </c>
      <c r="D314" t="inlineStr">
        <is>
          <t>DALARNAS LÄN</t>
        </is>
      </c>
      <c r="E314" t="inlineStr">
        <is>
          <t>HEDEMORA</t>
        </is>
      </c>
      <c r="G314" t="n">
        <v>0.4</v>
      </c>
      <c r="H314" t="n">
        <v>0</v>
      </c>
      <c r="I314" t="n">
        <v>0</v>
      </c>
      <c r="J314" t="n">
        <v>0</v>
      </c>
      <c r="K314" t="n">
        <v>0</v>
      </c>
      <c r="L314" t="n">
        <v>0</v>
      </c>
      <c r="M314" t="n">
        <v>0</v>
      </c>
      <c r="N314" t="n">
        <v>0</v>
      </c>
      <c r="O314" t="n">
        <v>0</v>
      </c>
      <c r="P314" t="n">
        <v>0</v>
      </c>
      <c r="Q314" t="n">
        <v>0</v>
      </c>
      <c r="R314" s="2" t="inlineStr"/>
    </row>
    <row r="315" ht="15" customHeight="1">
      <c r="A315" t="inlineStr">
        <is>
          <t>A 36935-2024</t>
        </is>
      </c>
      <c r="B315" s="1" t="n">
        <v>45538.56925925926</v>
      </c>
      <c r="C315" s="1" t="n">
        <v>45912</v>
      </c>
      <c r="D315" t="inlineStr">
        <is>
          <t>DALARNAS LÄN</t>
        </is>
      </c>
      <c r="E315" t="inlineStr">
        <is>
          <t>HEDEMORA</t>
        </is>
      </c>
      <c r="G315" t="n">
        <v>1.4</v>
      </c>
      <c r="H315" t="n">
        <v>0</v>
      </c>
      <c r="I315" t="n">
        <v>0</v>
      </c>
      <c r="J315" t="n">
        <v>0</v>
      </c>
      <c r="K315" t="n">
        <v>0</v>
      </c>
      <c r="L315" t="n">
        <v>0</v>
      </c>
      <c r="M315" t="n">
        <v>0</v>
      </c>
      <c r="N315" t="n">
        <v>0</v>
      </c>
      <c r="O315" t="n">
        <v>0</v>
      </c>
      <c r="P315" t="n">
        <v>0</v>
      </c>
      <c r="Q315" t="n">
        <v>0</v>
      </c>
      <c r="R315" s="2" t="inlineStr"/>
    </row>
    <row r="316" ht="15" customHeight="1">
      <c r="A316" t="inlineStr">
        <is>
          <t>A 7052-2025</t>
        </is>
      </c>
      <c r="B316" s="1" t="n">
        <v>45701.64659722222</v>
      </c>
      <c r="C316" s="1" t="n">
        <v>45912</v>
      </c>
      <c r="D316" t="inlineStr">
        <is>
          <t>DALARNAS LÄN</t>
        </is>
      </c>
      <c r="E316" t="inlineStr">
        <is>
          <t>HEDEMORA</t>
        </is>
      </c>
      <c r="G316" t="n">
        <v>0.9</v>
      </c>
      <c r="H316" t="n">
        <v>0</v>
      </c>
      <c r="I316" t="n">
        <v>0</v>
      </c>
      <c r="J316" t="n">
        <v>0</v>
      </c>
      <c r="K316" t="n">
        <v>0</v>
      </c>
      <c r="L316" t="n">
        <v>0</v>
      </c>
      <c r="M316" t="n">
        <v>0</v>
      </c>
      <c r="N316" t="n">
        <v>0</v>
      </c>
      <c r="O316" t="n">
        <v>0</v>
      </c>
      <c r="P316" t="n">
        <v>0</v>
      </c>
      <c r="Q316" t="n">
        <v>0</v>
      </c>
      <c r="R316" s="2" t="inlineStr"/>
    </row>
    <row r="317" ht="15" customHeight="1">
      <c r="A317" t="inlineStr">
        <is>
          <t>A 48321-2024</t>
        </is>
      </c>
      <c r="B317" s="1" t="n">
        <v>45590.50111111111</v>
      </c>
      <c r="C317" s="1" t="n">
        <v>45912</v>
      </c>
      <c r="D317" t="inlineStr">
        <is>
          <t>DALARNAS LÄN</t>
        </is>
      </c>
      <c r="E317" t="inlineStr">
        <is>
          <t>HEDEMORA</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29640-2024</t>
        </is>
      </c>
      <c r="B318" s="1" t="n">
        <v>45484.69837962963</v>
      </c>
      <c r="C318" s="1" t="n">
        <v>45912</v>
      </c>
      <c r="D318" t="inlineStr">
        <is>
          <t>DALARNAS LÄN</t>
        </is>
      </c>
      <c r="E318" t="inlineStr">
        <is>
          <t>HEDEMORA</t>
        </is>
      </c>
      <c r="F318" t="inlineStr">
        <is>
          <t>Bergvik skog väst AB</t>
        </is>
      </c>
      <c r="G318" t="n">
        <v>8.6</v>
      </c>
      <c r="H318" t="n">
        <v>0</v>
      </c>
      <c r="I318" t="n">
        <v>0</v>
      </c>
      <c r="J318" t="n">
        <v>0</v>
      </c>
      <c r="K318" t="n">
        <v>0</v>
      </c>
      <c r="L318" t="n">
        <v>0</v>
      </c>
      <c r="M318" t="n">
        <v>0</v>
      </c>
      <c r="N318" t="n">
        <v>0</v>
      </c>
      <c r="O318" t="n">
        <v>0</v>
      </c>
      <c r="P318" t="n">
        <v>0</v>
      </c>
      <c r="Q318" t="n">
        <v>0</v>
      </c>
      <c r="R318" s="2" t="inlineStr"/>
    </row>
    <row r="319" ht="15" customHeight="1">
      <c r="A319" t="inlineStr">
        <is>
          <t>A 60078-2022</t>
        </is>
      </c>
      <c r="B319" s="1" t="n">
        <v>44909.58811342593</v>
      </c>
      <c r="C319" s="1" t="n">
        <v>45912</v>
      </c>
      <c r="D319" t="inlineStr">
        <is>
          <t>DALARNAS LÄN</t>
        </is>
      </c>
      <c r="E319" t="inlineStr">
        <is>
          <t>HEDEMORA</t>
        </is>
      </c>
      <c r="G319" t="n">
        <v>0.5</v>
      </c>
      <c r="H319" t="n">
        <v>0</v>
      </c>
      <c r="I319" t="n">
        <v>0</v>
      </c>
      <c r="J319" t="n">
        <v>0</v>
      </c>
      <c r="K319" t="n">
        <v>0</v>
      </c>
      <c r="L319" t="n">
        <v>0</v>
      </c>
      <c r="M319" t="n">
        <v>0</v>
      </c>
      <c r="N319" t="n">
        <v>0</v>
      </c>
      <c r="O319" t="n">
        <v>0</v>
      </c>
      <c r="P319" t="n">
        <v>0</v>
      </c>
      <c r="Q319" t="n">
        <v>0</v>
      </c>
      <c r="R319" s="2" t="inlineStr"/>
    </row>
    <row r="320" ht="15" customHeight="1">
      <c r="A320" t="inlineStr">
        <is>
          <t>A 12136-2025</t>
        </is>
      </c>
      <c r="B320" s="1" t="n">
        <v>45729.39300925926</v>
      </c>
      <c r="C320" s="1" t="n">
        <v>45912</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32738-2022</t>
        </is>
      </c>
      <c r="B321" s="1" t="n">
        <v>44783.68931712963</v>
      </c>
      <c r="C321" s="1" t="n">
        <v>45912</v>
      </c>
      <c r="D321" t="inlineStr">
        <is>
          <t>DALARNAS LÄN</t>
        </is>
      </c>
      <c r="E321" t="inlineStr">
        <is>
          <t>HEDEMORA</t>
        </is>
      </c>
      <c r="G321" t="n">
        <v>2.6</v>
      </c>
      <c r="H321" t="n">
        <v>0</v>
      </c>
      <c r="I321" t="n">
        <v>0</v>
      </c>
      <c r="J321" t="n">
        <v>0</v>
      </c>
      <c r="K321" t="n">
        <v>0</v>
      </c>
      <c r="L321" t="n">
        <v>0</v>
      </c>
      <c r="M321" t="n">
        <v>0</v>
      </c>
      <c r="N321" t="n">
        <v>0</v>
      </c>
      <c r="O321" t="n">
        <v>0</v>
      </c>
      <c r="P321" t="n">
        <v>0</v>
      </c>
      <c r="Q321" t="n">
        <v>0</v>
      </c>
      <c r="R321" s="2" t="inlineStr"/>
    </row>
    <row r="322" ht="15" customHeight="1">
      <c r="A322" t="inlineStr">
        <is>
          <t>A 14456-2021</t>
        </is>
      </c>
      <c r="B322" s="1" t="n">
        <v>44279.50208333333</v>
      </c>
      <c r="C322" s="1" t="n">
        <v>45912</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20666-2024</t>
        </is>
      </c>
      <c r="B323" s="1" t="n">
        <v>45436</v>
      </c>
      <c r="C323" s="1" t="n">
        <v>45912</v>
      </c>
      <c r="D323" t="inlineStr">
        <is>
          <t>DALARNAS LÄN</t>
        </is>
      </c>
      <c r="E323" t="inlineStr">
        <is>
          <t>HEDEMORA</t>
        </is>
      </c>
      <c r="G323" t="n">
        <v>5.1</v>
      </c>
      <c r="H323" t="n">
        <v>0</v>
      </c>
      <c r="I323" t="n">
        <v>0</v>
      </c>
      <c r="J323" t="n">
        <v>0</v>
      </c>
      <c r="K323" t="n">
        <v>0</v>
      </c>
      <c r="L323" t="n">
        <v>0</v>
      </c>
      <c r="M323" t="n">
        <v>0</v>
      </c>
      <c r="N323" t="n">
        <v>0</v>
      </c>
      <c r="O323" t="n">
        <v>0</v>
      </c>
      <c r="P323" t="n">
        <v>0</v>
      </c>
      <c r="Q323" t="n">
        <v>0</v>
      </c>
      <c r="R323" s="2" t="inlineStr"/>
    </row>
    <row r="324" ht="15" customHeight="1">
      <c r="A324" t="inlineStr">
        <is>
          <t>A 6441-2021</t>
        </is>
      </c>
      <c r="B324" s="1" t="n">
        <v>44235</v>
      </c>
      <c r="C324" s="1" t="n">
        <v>45912</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24427-2022</t>
        </is>
      </c>
      <c r="B325" s="1" t="n">
        <v>44726</v>
      </c>
      <c r="C325" s="1" t="n">
        <v>45912</v>
      </c>
      <c r="D325" t="inlineStr">
        <is>
          <t>DALARNAS LÄN</t>
        </is>
      </c>
      <c r="E325" t="inlineStr">
        <is>
          <t>HEDEMORA</t>
        </is>
      </c>
      <c r="G325" t="n">
        <v>1.7</v>
      </c>
      <c r="H325" t="n">
        <v>0</v>
      </c>
      <c r="I325" t="n">
        <v>0</v>
      </c>
      <c r="J325" t="n">
        <v>0</v>
      </c>
      <c r="K325" t="n">
        <v>0</v>
      </c>
      <c r="L325" t="n">
        <v>0</v>
      </c>
      <c r="M325" t="n">
        <v>0</v>
      </c>
      <c r="N325" t="n">
        <v>0</v>
      </c>
      <c r="O325" t="n">
        <v>0</v>
      </c>
      <c r="P325" t="n">
        <v>0</v>
      </c>
      <c r="Q325" t="n">
        <v>0</v>
      </c>
      <c r="R325" s="2" t="inlineStr"/>
    </row>
    <row r="326" ht="15" customHeight="1">
      <c r="A326" t="inlineStr">
        <is>
          <t>A 19688-2025</t>
        </is>
      </c>
      <c r="B326" s="1" t="n">
        <v>45770.88217592592</v>
      </c>
      <c r="C326" s="1" t="n">
        <v>45912</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56668-2024</t>
        </is>
      </c>
      <c r="B327" s="1" t="n">
        <v>45626.41185185185</v>
      </c>
      <c r="C327" s="1" t="n">
        <v>45912</v>
      </c>
      <c r="D327" t="inlineStr">
        <is>
          <t>DALARNAS LÄN</t>
        </is>
      </c>
      <c r="E327" t="inlineStr">
        <is>
          <t>HEDEMORA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25643-2024</t>
        </is>
      </c>
      <c r="B328" s="1" t="n">
        <v>45463.66436342592</v>
      </c>
      <c r="C328" s="1" t="n">
        <v>45912</v>
      </c>
      <c r="D328" t="inlineStr">
        <is>
          <t>DALARNAS LÄN</t>
        </is>
      </c>
      <c r="E328" t="inlineStr">
        <is>
          <t>HEDEMORA</t>
        </is>
      </c>
      <c r="F328" t="inlineStr">
        <is>
          <t>Sveaskog</t>
        </is>
      </c>
      <c r="G328" t="n">
        <v>8</v>
      </c>
      <c r="H328" t="n">
        <v>0</v>
      </c>
      <c r="I328" t="n">
        <v>0</v>
      </c>
      <c r="J328" t="n">
        <v>0</v>
      </c>
      <c r="K328" t="n">
        <v>0</v>
      </c>
      <c r="L328" t="n">
        <v>0</v>
      </c>
      <c r="M328" t="n">
        <v>0</v>
      </c>
      <c r="N328" t="n">
        <v>0</v>
      </c>
      <c r="O328" t="n">
        <v>0</v>
      </c>
      <c r="P328" t="n">
        <v>0</v>
      </c>
      <c r="Q328" t="n">
        <v>0</v>
      </c>
      <c r="R328" s="2" t="inlineStr"/>
    </row>
    <row r="329" ht="15" customHeight="1">
      <c r="A329" t="inlineStr">
        <is>
          <t>A 14949-2025</t>
        </is>
      </c>
      <c r="B329" s="1" t="n">
        <v>45743.5745949074</v>
      </c>
      <c r="C329" s="1" t="n">
        <v>45912</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12133-2025</t>
        </is>
      </c>
      <c r="B330" s="1" t="n">
        <v>45729.38878472222</v>
      </c>
      <c r="C330" s="1" t="n">
        <v>45912</v>
      </c>
      <c r="D330" t="inlineStr">
        <is>
          <t>DALARNAS LÄN</t>
        </is>
      </c>
      <c r="E330" t="inlineStr">
        <is>
          <t>HEDEMORA</t>
        </is>
      </c>
      <c r="G330" t="n">
        <v>4.8</v>
      </c>
      <c r="H330" t="n">
        <v>0</v>
      </c>
      <c r="I330" t="n">
        <v>0</v>
      </c>
      <c r="J330" t="n">
        <v>0</v>
      </c>
      <c r="K330" t="n">
        <v>0</v>
      </c>
      <c r="L330" t="n">
        <v>0</v>
      </c>
      <c r="M330" t="n">
        <v>0</v>
      </c>
      <c r="N330" t="n">
        <v>0</v>
      </c>
      <c r="O330" t="n">
        <v>0</v>
      </c>
      <c r="P330" t="n">
        <v>0</v>
      </c>
      <c r="Q330" t="n">
        <v>0</v>
      </c>
      <c r="R330" s="2" t="inlineStr"/>
    </row>
    <row r="331" ht="15" customHeight="1">
      <c r="A331" t="inlineStr">
        <is>
          <t>A 14953-2025</t>
        </is>
      </c>
      <c r="B331" s="1" t="n">
        <v>45743.5819675926</v>
      </c>
      <c r="C331" s="1" t="n">
        <v>45912</v>
      </c>
      <c r="D331" t="inlineStr">
        <is>
          <t>DALARNAS LÄN</t>
        </is>
      </c>
      <c r="E331" t="inlineStr">
        <is>
          <t>HEDEMORA</t>
        </is>
      </c>
      <c r="G331" t="n">
        <v>6.6</v>
      </c>
      <c r="H331" t="n">
        <v>0</v>
      </c>
      <c r="I331" t="n">
        <v>0</v>
      </c>
      <c r="J331" t="n">
        <v>0</v>
      </c>
      <c r="K331" t="n">
        <v>0</v>
      </c>
      <c r="L331" t="n">
        <v>0</v>
      </c>
      <c r="M331" t="n">
        <v>0</v>
      </c>
      <c r="N331" t="n">
        <v>0</v>
      </c>
      <c r="O331" t="n">
        <v>0</v>
      </c>
      <c r="P331" t="n">
        <v>0</v>
      </c>
      <c r="Q331" t="n">
        <v>0</v>
      </c>
      <c r="R331" s="2" t="inlineStr"/>
    </row>
    <row r="332" ht="15" customHeight="1">
      <c r="A332" t="inlineStr">
        <is>
          <t>A 46825-2024</t>
        </is>
      </c>
      <c r="B332" s="1" t="n">
        <v>45583.58040509259</v>
      </c>
      <c r="C332" s="1" t="n">
        <v>45912</v>
      </c>
      <c r="D332" t="inlineStr">
        <is>
          <t>DALARNAS LÄN</t>
        </is>
      </c>
      <c r="E332" t="inlineStr">
        <is>
          <t>HEDEMORA</t>
        </is>
      </c>
      <c r="G332" t="n">
        <v>1.1</v>
      </c>
      <c r="H332" t="n">
        <v>0</v>
      </c>
      <c r="I332" t="n">
        <v>0</v>
      </c>
      <c r="J332" t="n">
        <v>0</v>
      </c>
      <c r="K332" t="n">
        <v>0</v>
      </c>
      <c r="L332" t="n">
        <v>0</v>
      </c>
      <c r="M332" t="n">
        <v>0</v>
      </c>
      <c r="N332" t="n">
        <v>0</v>
      </c>
      <c r="O332" t="n">
        <v>0</v>
      </c>
      <c r="P332" t="n">
        <v>0</v>
      </c>
      <c r="Q332" t="n">
        <v>0</v>
      </c>
      <c r="R332" s="2" t="inlineStr"/>
    </row>
    <row r="333" ht="15" customHeight="1">
      <c r="A333" t="inlineStr">
        <is>
          <t>A 45377-2024</t>
        </is>
      </c>
      <c r="B333" s="1" t="n">
        <v>45576.51962962963</v>
      </c>
      <c r="C333" s="1" t="n">
        <v>45912</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45589-2023</t>
        </is>
      </c>
      <c r="B334" s="1" t="n">
        <v>45194.63086805555</v>
      </c>
      <c r="C334" s="1" t="n">
        <v>45912</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21514-2024</t>
        </is>
      </c>
      <c r="B335" s="1" t="n">
        <v>45441.57538194444</v>
      </c>
      <c r="C335" s="1" t="n">
        <v>45912</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48323-2021</t>
        </is>
      </c>
      <c r="B336" s="1" t="n">
        <v>44450.84762731481</v>
      </c>
      <c r="C336" s="1" t="n">
        <v>45912</v>
      </c>
      <c r="D336" t="inlineStr">
        <is>
          <t>DALARNAS LÄN</t>
        </is>
      </c>
      <c r="E336" t="inlineStr">
        <is>
          <t>HEDEMORA</t>
        </is>
      </c>
      <c r="G336" t="n">
        <v>0.9</v>
      </c>
      <c r="H336" t="n">
        <v>0</v>
      </c>
      <c r="I336" t="n">
        <v>0</v>
      </c>
      <c r="J336" t="n">
        <v>0</v>
      </c>
      <c r="K336" t="n">
        <v>0</v>
      </c>
      <c r="L336" t="n">
        <v>0</v>
      </c>
      <c r="M336" t="n">
        <v>0</v>
      </c>
      <c r="N336" t="n">
        <v>0</v>
      </c>
      <c r="O336" t="n">
        <v>0</v>
      </c>
      <c r="P336" t="n">
        <v>0</v>
      </c>
      <c r="Q336" t="n">
        <v>0</v>
      </c>
      <c r="R336" s="2" t="inlineStr"/>
    </row>
    <row r="337" ht="15" customHeight="1">
      <c r="A337" t="inlineStr">
        <is>
          <t>A 40919-2023</t>
        </is>
      </c>
      <c r="B337" s="1" t="n">
        <v>45173.42707175926</v>
      </c>
      <c r="C337" s="1" t="n">
        <v>45912</v>
      </c>
      <c r="D337" t="inlineStr">
        <is>
          <t>DALARNAS LÄN</t>
        </is>
      </c>
      <c r="E337" t="inlineStr">
        <is>
          <t>HEDEMORA</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1978-2021</t>
        </is>
      </c>
      <c r="B338" s="1" t="n">
        <v>44210.67606481481</v>
      </c>
      <c r="C338" s="1" t="n">
        <v>45912</v>
      </c>
      <c r="D338" t="inlineStr">
        <is>
          <t>DALARNAS LÄN</t>
        </is>
      </c>
      <c r="E338" t="inlineStr">
        <is>
          <t>HEDEMORA</t>
        </is>
      </c>
      <c r="G338" t="n">
        <v>1</v>
      </c>
      <c r="H338" t="n">
        <v>0</v>
      </c>
      <c r="I338" t="n">
        <v>0</v>
      </c>
      <c r="J338" t="n">
        <v>0</v>
      </c>
      <c r="K338" t="n">
        <v>0</v>
      </c>
      <c r="L338" t="n">
        <v>0</v>
      </c>
      <c r="M338" t="n">
        <v>0</v>
      </c>
      <c r="N338" t="n">
        <v>0</v>
      </c>
      <c r="O338" t="n">
        <v>0</v>
      </c>
      <c r="P338" t="n">
        <v>0</v>
      </c>
      <c r="Q338" t="n">
        <v>0</v>
      </c>
      <c r="R338" s="2" t="inlineStr"/>
    </row>
    <row r="339" ht="15" customHeight="1">
      <c r="A339" t="inlineStr">
        <is>
          <t>A 41523-2023</t>
        </is>
      </c>
      <c r="B339" s="1" t="n">
        <v>45172</v>
      </c>
      <c r="C339" s="1" t="n">
        <v>45912</v>
      </c>
      <c r="D339" t="inlineStr">
        <is>
          <t>DALARNAS LÄN</t>
        </is>
      </c>
      <c r="E339" t="inlineStr">
        <is>
          <t>HEDEMORA</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20237-2023</t>
        </is>
      </c>
      <c r="B340" s="1" t="n">
        <v>45055</v>
      </c>
      <c r="C340" s="1" t="n">
        <v>45912</v>
      </c>
      <c r="D340" t="inlineStr">
        <is>
          <t>DALARNAS LÄN</t>
        </is>
      </c>
      <c r="E340" t="inlineStr">
        <is>
          <t>HEDEMORA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54310-2021</t>
        </is>
      </c>
      <c r="B341" s="1" t="n">
        <v>44472.54035879629</v>
      </c>
      <c r="C341" s="1" t="n">
        <v>45912</v>
      </c>
      <c r="D341" t="inlineStr">
        <is>
          <t>DALARNAS LÄN</t>
        </is>
      </c>
      <c r="E341" t="inlineStr">
        <is>
          <t>HEDEMORA</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68553-2021</t>
        </is>
      </c>
      <c r="B342" s="1" t="n">
        <v>44529</v>
      </c>
      <c r="C342" s="1" t="n">
        <v>45912</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row r="343" ht="15" customHeight="1">
      <c r="A343" t="inlineStr">
        <is>
          <t>A 30939-2023</t>
        </is>
      </c>
      <c r="B343" s="1" t="n">
        <v>45113.45597222223</v>
      </c>
      <c r="C343" s="1" t="n">
        <v>45912</v>
      </c>
      <c r="D343" t="inlineStr">
        <is>
          <t>DALARNAS LÄN</t>
        </is>
      </c>
      <c r="E343" t="inlineStr">
        <is>
          <t>HEDEMORA</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46217-2023</t>
        </is>
      </c>
      <c r="B344" s="1" t="n">
        <v>45190</v>
      </c>
      <c r="C344" s="1" t="n">
        <v>45912</v>
      </c>
      <c r="D344" t="inlineStr">
        <is>
          <t>DALARNAS LÄN</t>
        </is>
      </c>
      <c r="E344" t="inlineStr">
        <is>
          <t>HEDEMORA</t>
        </is>
      </c>
      <c r="F344" t="inlineStr">
        <is>
          <t>Bergvik skog väst AB</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15635-2022</t>
        </is>
      </c>
      <c r="B345" s="1" t="n">
        <v>44662.84958333334</v>
      </c>
      <c r="C345" s="1" t="n">
        <v>45912</v>
      </c>
      <c r="D345" t="inlineStr">
        <is>
          <t>DALARNAS LÄN</t>
        </is>
      </c>
      <c r="E345" t="inlineStr">
        <is>
          <t>HEDEMORA</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c r="A346" t="inlineStr">
        <is>
          <t>A 21092-2023</t>
        </is>
      </c>
      <c r="B346" s="1" t="n">
        <v>45061</v>
      </c>
      <c r="C346" s="1" t="n">
        <v>45912</v>
      </c>
      <c r="D346" t="inlineStr">
        <is>
          <t>DALARNAS LÄN</t>
        </is>
      </c>
      <c r="E346" t="inlineStr">
        <is>
          <t>HEDEMORA</t>
        </is>
      </c>
      <c r="F346" t="inlineStr">
        <is>
          <t>Sveaskog</t>
        </is>
      </c>
      <c r="G346" t="n">
        <v>0.1</v>
      </c>
      <c r="H346" t="n">
        <v>0</v>
      </c>
      <c r="I346" t="n">
        <v>0</v>
      </c>
      <c r="J346" t="n">
        <v>0</v>
      </c>
      <c r="K346" t="n">
        <v>0</v>
      </c>
      <c r="L346" t="n">
        <v>0</v>
      </c>
      <c r="M346" t="n">
        <v>0</v>
      </c>
      <c r="N346" t="n">
        <v>0</v>
      </c>
      <c r="O346" t="n">
        <v>0</v>
      </c>
      <c r="P346" t="n">
        <v>0</v>
      </c>
      <c r="Q346" t="n">
        <v>0</v>
      </c>
      <c r="R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2025-09-12T08:54:40Z</dcterms:created>
  <dcterms:modified xmlns:dcterms="http://purl.org/dc/terms/" xmlns:xsi="http://www.w3.org/2001/XMLSchema-instance" xsi:type="dcterms:W3CDTF">2025-09-12T08:54:40Z</dcterms:modified>
</cp:coreProperties>
</file>