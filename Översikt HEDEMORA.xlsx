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45901</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45901</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45901</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54380-2020</t>
        </is>
      </c>
      <c r="B7" s="1" t="n">
        <v>44126</v>
      </c>
      <c r="C7" s="1" t="n">
        <v>45901</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45901</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45901</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45901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45901</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45901</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45901</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45901</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45901</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45901</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45901</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45901</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45901</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62054-2021</t>
        </is>
      </c>
      <c r="B20" s="1" t="n">
        <v>44502</v>
      </c>
      <c r="C20" s="1" t="n">
        <v>45901</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45901</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45901</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45901</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45901</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45901</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54849-2022</t>
        </is>
      </c>
      <c r="B26" s="1" t="n">
        <v>44883</v>
      </c>
      <c r="C26" s="1" t="n">
        <v>45901</v>
      </c>
      <c r="D26" t="inlineStr">
        <is>
          <t>DALARNAS LÄN</t>
        </is>
      </c>
      <c r="E26" t="inlineStr">
        <is>
          <t>HEDEMORA</t>
        </is>
      </c>
      <c r="F26" t="inlineStr">
        <is>
          <t>Sveaskog</t>
        </is>
      </c>
      <c r="G26" t="n">
        <v>8.5</v>
      </c>
      <c r="H26" t="n">
        <v>1</v>
      </c>
      <c r="I26" t="n">
        <v>0</v>
      </c>
      <c r="J26" t="n">
        <v>2</v>
      </c>
      <c r="K26" t="n">
        <v>0</v>
      </c>
      <c r="L26" t="n">
        <v>0</v>
      </c>
      <c r="M26" t="n">
        <v>0</v>
      </c>
      <c r="N26" t="n">
        <v>0</v>
      </c>
      <c r="O26" t="n">
        <v>2</v>
      </c>
      <c r="P26" t="n">
        <v>0</v>
      </c>
      <c r="Q26" t="n">
        <v>2</v>
      </c>
      <c r="R26" s="2" t="inlineStr">
        <is>
          <t>Garnlav
Talltita</t>
        </is>
      </c>
      <c r="S26">
        <f>HYPERLINK("https://klasma.github.io/Logging_2083/artfynd/A 54849-2022 artfynd.xlsx", "A 54849-2022")</f>
        <v/>
      </c>
      <c r="T26">
        <f>HYPERLINK("https://klasma.github.io/Logging_2083/kartor/A 54849-2022 karta.png", "A 54849-2022")</f>
        <v/>
      </c>
      <c r="V26">
        <f>HYPERLINK("https://klasma.github.io/Logging_2083/klagomål/A 54849-2022 FSC-klagomål.docx", "A 54849-2022")</f>
        <v/>
      </c>
      <c r="W26">
        <f>HYPERLINK("https://klasma.github.io/Logging_2083/klagomålsmail/A 54849-2022 FSC-klagomål mail.docx", "A 54849-2022")</f>
        <v/>
      </c>
      <c r="X26">
        <f>HYPERLINK("https://klasma.github.io/Logging_2083/tillsyn/A 54849-2022 tillsynsbegäran.docx", "A 54849-2022")</f>
        <v/>
      </c>
      <c r="Y26">
        <f>HYPERLINK("https://klasma.github.io/Logging_2083/tillsynsmail/A 54849-2022 tillsynsbegäran mail.docx", "A 54849-2022")</f>
        <v/>
      </c>
      <c r="Z26">
        <f>HYPERLINK("https://klasma.github.io/Logging_2083/fåglar/A 54849-2022 prioriterade fågelarter.docx", "A 54849-2022")</f>
        <v/>
      </c>
    </row>
    <row r="27" ht="15" customHeight="1">
      <c r="A27" t="inlineStr">
        <is>
          <t>A 3152-2022</t>
        </is>
      </c>
      <c r="B27" s="1" t="n">
        <v>44582</v>
      </c>
      <c r="C27" s="1" t="n">
        <v>45901</v>
      </c>
      <c r="D27" t="inlineStr">
        <is>
          <t>DALARNAS LÄN</t>
        </is>
      </c>
      <c r="E27" t="inlineStr">
        <is>
          <t>HEDEMORA</t>
        </is>
      </c>
      <c r="G27" t="n">
        <v>8.800000000000001</v>
      </c>
      <c r="H27" t="n">
        <v>1</v>
      </c>
      <c r="I27" t="n">
        <v>0</v>
      </c>
      <c r="J27" t="n">
        <v>1</v>
      </c>
      <c r="K27" t="n">
        <v>1</v>
      </c>
      <c r="L27" t="n">
        <v>0</v>
      </c>
      <c r="M27" t="n">
        <v>0</v>
      </c>
      <c r="N27" t="n">
        <v>0</v>
      </c>
      <c r="O27" t="n">
        <v>2</v>
      </c>
      <c r="P27" t="n">
        <v>1</v>
      </c>
      <c r="Q27" t="n">
        <v>2</v>
      </c>
      <c r="R27" s="2" t="inlineStr">
        <is>
          <t>Knärot
Ullticka</t>
        </is>
      </c>
      <c r="S27">
        <f>HYPERLINK("https://klasma.github.io/Logging_2083/artfynd/A 3152-2022 artfynd.xlsx", "A 3152-2022")</f>
        <v/>
      </c>
      <c r="T27">
        <f>HYPERLINK("https://klasma.github.io/Logging_2083/kartor/A 3152-2022 karta.png", "A 3152-2022")</f>
        <v/>
      </c>
      <c r="U27">
        <f>HYPERLINK("https://klasma.github.io/Logging_2083/knärot/A 3152-2022 karta knärot.png", "A 3152-2022")</f>
        <v/>
      </c>
      <c r="V27">
        <f>HYPERLINK("https://klasma.github.io/Logging_2083/klagomål/A 3152-2022 FSC-klagomål.docx", "A 3152-2022")</f>
        <v/>
      </c>
      <c r="W27">
        <f>HYPERLINK("https://klasma.github.io/Logging_2083/klagomålsmail/A 3152-2022 FSC-klagomål mail.docx", "A 3152-2022")</f>
        <v/>
      </c>
      <c r="X27">
        <f>HYPERLINK("https://klasma.github.io/Logging_2083/tillsyn/A 3152-2022 tillsynsbegäran.docx", "A 3152-2022")</f>
        <v/>
      </c>
      <c r="Y27">
        <f>HYPERLINK("https://klasma.github.io/Logging_2083/tillsynsmail/A 3152-2022 tillsynsbegäran mail.docx", "A 3152-2022")</f>
        <v/>
      </c>
    </row>
    <row r="28" ht="15" customHeight="1">
      <c r="A28" t="inlineStr">
        <is>
          <t>A 56625-2024</t>
        </is>
      </c>
      <c r="B28" s="1" t="n">
        <v>45625</v>
      </c>
      <c r="C28" s="1" t="n">
        <v>45901</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451-2025</t>
        </is>
      </c>
      <c r="B29" s="1" t="n">
        <v>45664.39991898148</v>
      </c>
      <c r="C29" s="1" t="n">
        <v>45901</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19352-2024</t>
        </is>
      </c>
      <c r="B30" s="1" t="n">
        <v>45429.29493055555</v>
      </c>
      <c r="C30" s="1" t="n">
        <v>45901</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1518-2025</t>
        </is>
      </c>
      <c r="B31" s="1" t="n">
        <v>45670</v>
      </c>
      <c r="C31" s="1" t="n">
        <v>45901</v>
      </c>
      <c r="D31" t="inlineStr">
        <is>
          <t>DALARNAS LÄN</t>
        </is>
      </c>
      <c r="E31" t="inlineStr">
        <is>
          <t>HEDEMORA</t>
        </is>
      </c>
      <c r="G31" t="n">
        <v>3.8</v>
      </c>
      <c r="H31" t="n">
        <v>1</v>
      </c>
      <c r="I31" t="n">
        <v>0</v>
      </c>
      <c r="J31" t="n">
        <v>1</v>
      </c>
      <c r="K31" t="n">
        <v>1</v>
      </c>
      <c r="L31" t="n">
        <v>0</v>
      </c>
      <c r="M31" t="n">
        <v>0</v>
      </c>
      <c r="N31" t="n">
        <v>0</v>
      </c>
      <c r="O31" t="n">
        <v>2</v>
      </c>
      <c r="P31" t="n">
        <v>1</v>
      </c>
      <c r="Q31" t="n">
        <v>2</v>
      </c>
      <c r="R31" s="2" t="inlineStr">
        <is>
          <t>Knärot
Ullticka</t>
        </is>
      </c>
      <c r="S31">
        <f>HYPERLINK("https://klasma.github.io/Logging_2083/artfynd/A 1518-2025 artfynd.xlsx", "A 1518-2025")</f>
        <v/>
      </c>
      <c r="T31">
        <f>HYPERLINK("https://klasma.github.io/Logging_2083/kartor/A 1518-2025 karta.png", "A 1518-2025")</f>
        <v/>
      </c>
      <c r="U31">
        <f>HYPERLINK("https://klasma.github.io/Logging_2083/knärot/A 1518-2025 karta knärot.png", "A 1518-2025")</f>
        <v/>
      </c>
      <c r="V31">
        <f>HYPERLINK("https://klasma.github.io/Logging_2083/klagomål/A 1518-2025 FSC-klagomål.docx", "A 1518-2025")</f>
        <v/>
      </c>
      <c r="W31">
        <f>HYPERLINK("https://klasma.github.io/Logging_2083/klagomålsmail/A 1518-2025 FSC-klagomål mail.docx", "A 1518-2025")</f>
        <v/>
      </c>
      <c r="X31">
        <f>HYPERLINK("https://klasma.github.io/Logging_2083/tillsyn/A 1518-2025 tillsynsbegäran.docx", "A 1518-2025")</f>
        <v/>
      </c>
      <c r="Y31">
        <f>HYPERLINK("https://klasma.github.io/Logging_2083/tillsynsmail/A 1518-2025 tillsynsbegäran mail.docx", "A 1518-2025")</f>
        <v/>
      </c>
    </row>
    <row r="32" ht="15" customHeight="1">
      <c r="A32" t="inlineStr">
        <is>
          <t>A 45884-2021</t>
        </is>
      </c>
      <c r="B32" s="1" t="n">
        <v>44441</v>
      </c>
      <c r="C32" s="1" t="n">
        <v>45901</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40765-2025</t>
        </is>
      </c>
      <c r="B33" s="1" t="n">
        <v>45897.39886574074</v>
      </c>
      <c r="C33" s="1" t="n">
        <v>45901</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59035-2023</t>
        </is>
      </c>
      <c r="B34" s="1" t="n">
        <v>45252</v>
      </c>
      <c r="C34" s="1" t="n">
        <v>45901</v>
      </c>
      <c r="D34" t="inlineStr">
        <is>
          <t>DALARNAS LÄN</t>
        </is>
      </c>
      <c r="E34" t="inlineStr">
        <is>
          <t>HEDEMORA</t>
        </is>
      </c>
      <c r="F34" t="inlineStr">
        <is>
          <t>Sveaskog</t>
        </is>
      </c>
      <c r="G34" t="n">
        <v>3.7</v>
      </c>
      <c r="H34" t="n">
        <v>2</v>
      </c>
      <c r="I34" t="n">
        <v>0</v>
      </c>
      <c r="J34" t="n">
        <v>0</v>
      </c>
      <c r="K34" t="n">
        <v>0</v>
      </c>
      <c r="L34" t="n">
        <v>0</v>
      </c>
      <c r="M34" t="n">
        <v>0</v>
      </c>
      <c r="N34" t="n">
        <v>0</v>
      </c>
      <c r="O34" t="n">
        <v>0</v>
      </c>
      <c r="P34" t="n">
        <v>0</v>
      </c>
      <c r="Q34" t="n">
        <v>2</v>
      </c>
      <c r="R34" s="2" t="inlineStr">
        <is>
          <t>Fläcknycklar
Blåsippa</t>
        </is>
      </c>
      <c r="S34">
        <f>HYPERLINK("https://klasma.github.io/Logging_2083/artfynd/A 59035-2023 artfynd.xlsx", "A 59035-2023")</f>
        <v/>
      </c>
      <c r="T34">
        <f>HYPERLINK("https://klasma.github.io/Logging_2083/kartor/A 59035-2023 karta.png", "A 59035-2023")</f>
        <v/>
      </c>
      <c r="U34">
        <f>HYPERLINK("https://klasma.github.io/Logging_2083/knärot/A 59035-2023 karta knärot.png", "A 59035-2023")</f>
        <v/>
      </c>
      <c r="V34">
        <f>HYPERLINK("https://klasma.github.io/Logging_2083/klagomål/A 59035-2023 FSC-klagomål.docx", "A 59035-2023")</f>
        <v/>
      </c>
      <c r="W34">
        <f>HYPERLINK("https://klasma.github.io/Logging_2083/klagomålsmail/A 59035-2023 FSC-klagomål mail.docx", "A 59035-2023")</f>
        <v/>
      </c>
      <c r="X34">
        <f>HYPERLINK("https://klasma.github.io/Logging_2083/tillsyn/A 59035-2023 tillsynsbegäran.docx", "A 59035-2023")</f>
        <v/>
      </c>
      <c r="Y34">
        <f>HYPERLINK("https://klasma.github.io/Logging_2083/tillsynsmail/A 59035-2023 tillsynsbegäran mail.docx", "A 59035-2023")</f>
        <v/>
      </c>
    </row>
    <row r="35" ht="15" customHeight="1">
      <c r="A35" t="inlineStr">
        <is>
          <t>A 53915-2022</t>
        </is>
      </c>
      <c r="B35" s="1" t="n">
        <v>44880.87587962963</v>
      </c>
      <c r="C35" s="1" t="n">
        <v>45901</v>
      </c>
      <c r="D35" t="inlineStr">
        <is>
          <t>DALARNAS LÄN</t>
        </is>
      </c>
      <c r="E35" t="inlineStr">
        <is>
          <t>HEDEMORA</t>
        </is>
      </c>
      <c r="F35" t="inlineStr">
        <is>
          <t>Sveaskog</t>
        </is>
      </c>
      <c r="G35" t="n">
        <v>5.3</v>
      </c>
      <c r="H35" t="n">
        <v>1</v>
      </c>
      <c r="I35" t="n">
        <v>0</v>
      </c>
      <c r="J35" t="n">
        <v>1</v>
      </c>
      <c r="K35" t="n">
        <v>0</v>
      </c>
      <c r="L35" t="n">
        <v>0</v>
      </c>
      <c r="M35" t="n">
        <v>0</v>
      </c>
      <c r="N35" t="n">
        <v>0</v>
      </c>
      <c r="O35" t="n">
        <v>1</v>
      </c>
      <c r="P35" t="n">
        <v>0</v>
      </c>
      <c r="Q35" t="n">
        <v>1</v>
      </c>
      <c r="R35" s="2" t="inlineStr">
        <is>
          <t>Talltita</t>
        </is>
      </c>
      <c r="S35">
        <f>HYPERLINK("https://klasma.github.io/Logging_2083/artfynd/A 53915-2022 artfynd.xlsx", "A 53915-2022")</f>
        <v/>
      </c>
      <c r="T35">
        <f>HYPERLINK("https://klasma.github.io/Logging_2083/kartor/A 53915-2022 karta.png", "A 53915-2022")</f>
        <v/>
      </c>
      <c r="V35">
        <f>HYPERLINK("https://klasma.github.io/Logging_2083/klagomål/A 53915-2022 FSC-klagomål.docx", "A 53915-2022")</f>
        <v/>
      </c>
      <c r="W35">
        <f>HYPERLINK("https://klasma.github.io/Logging_2083/klagomålsmail/A 53915-2022 FSC-klagomål mail.docx", "A 53915-2022")</f>
        <v/>
      </c>
      <c r="X35">
        <f>HYPERLINK("https://klasma.github.io/Logging_2083/tillsyn/A 53915-2022 tillsynsbegäran.docx", "A 53915-2022")</f>
        <v/>
      </c>
      <c r="Y35">
        <f>HYPERLINK("https://klasma.github.io/Logging_2083/tillsynsmail/A 53915-2022 tillsynsbegäran mail.docx", "A 53915-2022")</f>
        <v/>
      </c>
      <c r="Z35">
        <f>HYPERLINK("https://klasma.github.io/Logging_2083/fåglar/A 53915-2022 prioriterade fågelarter.docx", "A 53915-2022")</f>
        <v/>
      </c>
    </row>
    <row r="36" ht="15" customHeight="1">
      <c r="A36" t="inlineStr">
        <is>
          <t>A 9959-2021</t>
        </is>
      </c>
      <c r="B36" s="1" t="n">
        <v>44253</v>
      </c>
      <c r="C36" s="1" t="n">
        <v>45901</v>
      </c>
      <c r="D36" t="inlineStr">
        <is>
          <t>DALARNAS LÄN</t>
        </is>
      </c>
      <c r="E36" t="inlineStr">
        <is>
          <t>HEDEMORA</t>
        </is>
      </c>
      <c r="G36" t="n">
        <v>1.1</v>
      </c>
      <c r="H36" t="n">
        <v>1</v>
      </c>
      <c r="I36" t="n">
        <v>0</v>
      </c>
      <c r="J36" t="n">
        <v>0</v>
      </c>
      <c r="K36" t="n">
        <v>1</v>
      </c>
      <c r="L36" t="n">
        <v>0</v>
      </c>
      <c r="M36" t="n">
        <v>0</v>
      </c>
      <c r="N36" t="n">
        <v>0</v>
      </c>
      <c r="O36" t="n">
        <v>1</v>
      </c>
      <c r="P36" t="n">
        <v>1</v>
      </c>
      <c r="Q36" t="n">
        <v>1</v>
      </c>
      <c r="R36" s="2" t="inlineStr">
        <is>
          <t>Knärot</t>
        </is>
      </c>
      <c r="S36">
        <f>HYPERLINK("https://klasma.github.io/Logging_2083/artfynd/A 9959-2021 artfynd.xlsx", "A 9959-2021")</f>
        <v/>
      </c>
      <c r="T36">
        <f>HYPERLINK("https://klasma.github.io/Logging_2083/kartor/A 9959-2021 karta.png", "A 9959-2021")</f>
        <v/>
      </c>
      <c r="U36">
        <f>HYPERLINK("https://klasma.github.io/Logging_2083/knärot/A 9959-2021 karta knärot.png", "A 9959-2021")</f>
        <v/>
      </c>
      <c r="V36">
        <f>HYPERLINK("https://klasma.github.io/Logging_2083/klagomål/A 9959-2021 FSC-klagomål.docx", "A 9959-2021")</f>
        <v/>
      </c>
      <c r="W36">
        <f>HYPERLINK("https://klasma.github.io/Logging_2083/klagomålsmail/A 9959-2021 FSC-klagomål mail.docx", "A 9959-2021")</f>
        <v/>
      </c>
      <c r="X36">
        <f>HYPERLINK("https://klasma.github.io/Logging_2083/tillsyn/A 9959-2021 tillsynsbegäran.docx", "A 9959-2021")</f>
        <v/>
      </c>
      <c r="Y36">
        <f>HYPERLINK("https://klasma.github.io/Logging_2083/tillsynsmail/A 9959-2021 tillsynsbegäran mail.docx", "A 9959-2021")</f>
        <v/>
      </c>
    </row>
    <row r="37" ht="15" customHeight="1">
      <c r="A37" t="inlineStr">
        <is>
          <t>A 49889-2022</t>
        </is>
      </c>
      <c r="B37" s="1" t="n">
        <v>44864</v>
      </c>
      <c r="C37" s="1" t="n">
        <v>45901</v>
      </c>
      <c r="D37" t="inlineStr">
        <is>
          <t>DALARNAS LÄN</t>
        </is>
      </c>
      <c r="E37" t="inlineStr">
        <is>
          <t>HEDEMORA</t>
        </is>
      </c>
      <c r="F37" t="inlineStr">
        <is>
          <t>Sveaskog</t>
        </is>
      </c>
      <c r="G37" t="n">
        <v>6.8</v>
      </c>
      <c r="H37" t="n">
        <v>1</v>
      </c>
      <c r="I37" t="n">
        <v>0</v>
      </c>
      <c r="J37" t="n">
        <v>0</v>
      </c>
      <c r="K37" t="n">
        <v>1</v>
      </c>
      <c r="L37" t="n">
        <v>0</v>
      </c>
      <c r="M37" t="n">
        <v>0</v>
      </c>
      <c r="N37" t="n">
        <v>0</v>
      </c>
      <c r="O37" t="n">
        <v>1</v>
      </c>
      <c r="P37" t="n">
        <v>1</v>
      </c>
      <c r="Q37" t="n">
        <v>1</v>
      </c>
      <c r="R37" s="2" t="inlineStr">
        <is>
          <t>Knärot</t>
        </is>
      </c>
      <c r="S37">
        <f>HYPERLINK("https://klasma.github.io/Logging_2083/artfynd/A 49889-2022 artfynd.xlsx", "A 49889-2022")</f>
        <v/>
      </c>
      <c r="T37">
        <f>HYPERLINK("https://klasma.github.io/Logging_2083/kartor/A 49889-2022 karta.png", "A 49889-2022")</f>
        <v/>
      </c>
      <c r="U37">
        <f>HYPERLINK("https://klasma.github.io/Logging_2083/knärot/A 49889-2022 karta knärot.png", "A 49889-2022")</f>
        <v/>
      </c>
      <c r="V37">
        <f>HYPERLINK("https://klasma.github.io/Logging_2083/klagomål/A 49889-2022 FSC-klagomål.docx", "A 49889-2022")</f>
        <v/>
      </c>
      <c r="W37">
        <f>HYPERLINK("https://klasma.github.io/Logging_2083/klagomålsmail/A 49889-2022 FSC-klagomål mail.docx", "A 49889-2022")</f>
        <v/>
      </c>
      <c r="X37">
        <f>HYPERLINK("https://klasma.github.io/Logging_2083/tillsyn/A 49889-2022 tillsynsbegäran.docx", "A 49889-2022")</f>
        <v/>
      </c>
      <c r="Y37">
        <f>HYPERLINK("https://klasma.github.io/Logging_2083/tillsynsmail/A 49889-2022 tillsynsbegäran mail.docx", "A 49889-2022")</f>
        <v/>
      </c>
    </row>
    <row r="38" ht="15" customHeight="1">
      <c r="A38" t="inlineStr">
        <is>
          <t>A 53916-2022</t>
        </is>
      </c>
      <c r="B38" s="1" t="n">
        <v>44880.87695601852</v>
      </c>
      <c r="C38" s="1" t="n">
        <v>45901</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23815-2023</t>
        </is>
      </c>
      <c r="B39" s="1" t="n">
        <v>45078</v>
      </c>
      <c r="C39" s="1" t="n">
        <v>45901</v>
      </c>
      <c r="D39" t="inlineStr">
        <is>
          <t>DALARNAS LÄN</t>
        </is>
      </c>
      <c r="E39" t="inlineStr">
        <is>
          <t>HEDEMORA</t>
        </is>
      </c>
      <c r="G39" t="n">
        <v>3.1</v>
      </c>
      <c r="H39" t="n">
        <v>1</v>
      </c>
      <c r="I39" t="n">
        <v>0</v>
      </c>
      <c r="J39" t="n">
        <v>0</v>
      </c>
      <c r="K39" t="n">
        <v>1</v>
      </c>
      <c r="L39" t="n">
        <v>0</v>
      </c>
      <c r="M39" t="n">
        <v>0</v>
      </c>
      <c r="N39" t="n">
        <v>0</v>
      </c>
      <c r="O39" t="n">
        <v>1</v>
      </c>
      <c r="P39" t="n">
        <v>1</v>
      </c>
      <c r="Q39" t="n">
        <v>1</v>
      </c>
      <c r="R39" s="2" t="inlineStr">
        <is>
          <t>Knärot</t>
        </is>
      </c>
      <c r="S39">
        <f>HYPERLINK("https://klasma.github.io/Logging_2083/artfynd/A 23815-2023 artfynd.xlsx", "A 23815-2023")</f>
        <v/>
      </c>
      <c r="T39">
        <f>HYPERLINK("https://klasma.github.io/Logging_2083/kartor/A 23815-2023 karta.png", "A 23815-2023")</f>
        <v/>
      </c>
      <c r="U39">
        <f>HYPERLINK("https://klasma.github.io/Logging_2083/knärot/A 23815-2023 karta knärot.png", "A 23815-2023")</f>
        <v/>
      </c>
      <c r="V39">
        <f>HYPERLINK("https://klasma.github.io/Logging_2083/klagomål/A 23815-2023 FSC-klagomål.docx", "A 23815-2023")</f>
        <v/>
      </c>
      <c r="W39">
        <f>HYPERLINK("https://klasma.github.io/Logging_2083/klagomålsmail/A 23815-2023 FSC-klagomål mail.docx", "A 23815-2023")</f>
        <v/>
      </c>
      <c r="X39">
        <f>HYPERLINK("https://klasma.github.io/Logging_2083/tillsyn/A 23815-2023 tillsynsbegäran.docx", "A 23815-2023")</f>
        <v/>
      </c>
      <c r="Y39">
        <f>HYPERLINK("https://klasma.github.io/Logging_2083/tillsynsmail/A 23815-2023 tillsynsbegäran mail.docx", "A 23815-2023")</f>
        <v/>
      </c>
    </row>
    <row r="40" ht="15" customHeight="1">
      <c r="A40" t="inlineStr">
        <is>
          <t>A 63542-2023</t>
        </is>
      </c>
      <c r="B40" s="1" t="n">
        <v>45275.32708333333</v>
      </c>
      <c r="C40" s="1" t="n">
        <v>45901</v>
      </c>
      <c r="D40" t="inlineStr">
        <is>
          <t>DALARNAS LÄN</t>
        </is>
      </c>
      <c r="E40" t="inlineStr">
        <is>
          <t>HEDEMORA</t>
        </is>
      </c>
      <c r="G40" t="n">
        <v>2.1</v>
      </c>
      <c r="H40" t="n">
        <v>1</v>
      </c>
      <c r="I40" t="n">
        <v>0</v>
      </c>
      <c r="J40" t="n">
        <v>1</v>
      </c>
      <c r="K40" t="n">
        <v>0</v>
      </c>
      <c r="L40" t="n">
        <v>0</v>
      </c>
      <c r="M40" t="n">
        <v>0</v>
      </c>
      <c r="N40" t="n">
        <v>0</v>
      </c>
      <c r="O40" t="n">
        <v>1</v>
      </c>
      <c r="P40" t="n">
        <v>0</v>
      </c>
      <c r="Q40" t="n">
        <v>1</v>
      </c>
      <c r="R40" s="2" t="inlineStr">
        <is>
          <t>Spillkråka</t>
        </is>
      </c>
      <c r="S40">
        <f>HYPERLINK("https://klasma.github.io/Logging_2083/artfynd/A 63542-2023 artfynd.xlsx", "A 63542-2023")</f>
        <v/>
      </c>
      <c r="T40">
        <f>HYPERLINK("https://klasma.github.io/Logging_2083/kartor/A 63542-2023 karta.png", "A 63542-2023")</f>
        <v/>
      </c>
      <c r="V40">
        <f>HYPERLINK("https://klasma.github.io/Logging_2083/klagomål/A 63542-2023 FSC-klagomål.docx", "A 63542-2023")</f>
        <v/>
      </c>
      <c r="W40">
        <f>HYPERLINK("https://klasma.github.io/Logging_2083/klagomålsmail/A 63542-2023 FSC-klagomål mail.docx", "A 63542-2023")</f>
        <v/>
      </c>
      <c r="X40">
        <f>HYPERLINK("https://klasma.github.io/Logging_2083/tillsyn/A 63542-2023 tillsynsbegäran.docx", "A 63542-2023")</f>
        <v/>
      </c>
      <c r="Y40">
        <f>HYPERLINK("https://klasma.github.io/Logging_2083/tillsynsmail/A 63542-2023 tillsynsbegäran mail.docx", "A 63542-2023")</f>
        <v/>
      </c>
      <c r="Z40">
        <f>HYPERLINK("https://klasma.github.io/Logging_2083/fåglar/A 63542-2023 prioriterade fågelarter.docx", "A 63542-2023")</f>
        <v/>
      </c>
    </row>
    <row r="41" ht="15" customHeight="1">
      <c r="A41" t="inlineStr">
        <is>
          <t>A 12905-2025</t>
        </is>
      </c>
      <c r="B41" s="1" t="n">
        <v>45733</v>
      </c>
      <c r="C41" s="1" t="n">
        <v>45901</v>
      </c>
      <c r="D41" t="inlineStr">
        <is>
          <t>DALARNAS LÄN</t>
        </is>
      </c>
      <c r="E41" t="inlineStr">
        <is>
          <t>HEDEMORA</t>
        </is>
      </c>
      <c r="G41" t="n">
        <v>3.1</v>
      </c>
      <c r="H41" t="n">
        <v>1</v>
      </c>
      <c r="I41" t="n">
        <v>0</v>
      </c>
      <c r="J41" t="n">
        <v>0</v>
      </c>
      <c r="K41" t="n">
        <v>1</v>
      </c>
      <c r="L41" t="n">
        <v>0</v>
      </c>
      <c r="M41" t="n">
        <v>0</v>
      </c>
      <c r="N41" t="n">
        <v>0</v>
      </c>
      <c r="O41" t="n">
        <v>1</v>
      </c>
      <c r="P41" t="n">
        <v>1</v>
      </c>
      <c r="Q41" t="n">
        <v>1</v>
      </c>
      <c r="R41" s="2" t="inlineStr">
        <is>
          <t>Knärot</t>
        </is>
      </c>
      <c r="S41">
        <f>HYPERLINK("https://klasma.github.io/Logging_2083/artfynd/A 12905-2025 artfynd.xlsx", "A 12905-2025")</f>
        <v/>
      </c>
      <c r="T41">
        <f>HYPERLINK("https://klasma.github.io/Logging_2083/kartor/A 12905-2025 karta.png", "A 12905-2025")</f>
        <v/>
      </c>
      <c r="U41">
        <f>HYPERLINK("https://klasma.github.io/Logging_2083/knärot/A 12905-2025 karta knärot.png", "A 12905-2025")</f>
        <v/>
      </c>
      <c r="V41">
        <f>HYPERLINK("https://klasma.github.io/Logging_2083/klagomål/A 12905-2025 FSC-klagomål.docx", "A 12905-2025")</f>
        <v/>
      </c>
      <c r="W41">
        <f>HYPERLINK("https://klasma.github.io/Logging_2083/klagomålsmail/A 12905-2025 FSC-klagomål mail.docx", "A 12905-2025")</f>
        <v/>
      </c>
      <c r="X41">
        <f>HYPERLINK("https://klasma.github.io/Logging_2083/tillsyn/A 12905-2025 tillsynsbegäran.docx", "A 12905-2025")</f>
        <v/>
      </c>
      <c r="Y41">
        <f>HYPERLINK("https://klasma.github.io/Logging_2083/tillsynsmail/A 12905-2025 tillsynsbegäran mail.docx", "A 12905-2025")</f>
        <v/>
      </c>
    </row>
    <row r="42" ht="15" customHeight="1">
      <c r="A42" t="inlineStr">
        <is>
          <t>A 28181-2025</t>
        </is>
      </c>
      <c r="B42" s="1" t="n">
        <v>45818.39921296296</v>
      </c>
      <c r="C42" s="1" t="n">
        <v>45901</v>
      </c>
      <c r="D42" t="inlineStr">
        <is>
          <t>DALARNAS LÄN</t>
        </is>
      </c>
      <c r="E42" t="inlineStr">
        <is>
          <t>HEDEMORA</t>
        </is>
      </c>
      <c r="F42" t="inlineStr">
        <is>
          <t>Sveaskog</t>
        </is>
      </c>
      <c r="G42" t="n">
        <v>2.4</v>
      </c>
      <c r="H42" t="n">
        <v>1</v>
      </c>
      <c r="I42" t="n">
        <v>1</v>
      </c>
      <c r="J42" t="n">
        <v>0</v>
      </c>
      <c r="K42" t="n">
        <v>0</v>
      </c>
      <c r="L42" t="n">
        <v>0</v>
      </c>
      <c r="M42" t="n">
        <v>0</v>
      </c>
      <c r="N42" t="n">
        <v>0</v>
      </c>
      <c r="O42" t="n">
        <v>0</v>
      </c>
      <c r="P42" t="n">
        <v>0</v>
      </c>
      <c r="Q42" t="n">
        <v>1</v>
      </c>
      <c r="R42" s="2" t="inlineStr">
        <is>
          <t>Plattlummer</t>
        </is>
      </c>
      <c r="S42">
        <f>HYPERLINK("https://klasma.github.io/Logging_2083/artfynd/A 28181-2025 artfynd.xlsx", "A 28181-2025")</f>
        <v/>
      </c>
      <c r="T42">
        <f>HYPERLINK("https://klasma.github.io/Logging_2083/kartor/A 28181-2025 karta.png", "A 28181-2025")</f>
        <v/>
      </c>
      <c r="V42">
        <f>HYPERLINK("https://klasma.github.io/Logging_2083/klagomål/A 28181-2025 FSC-klagomål.docx", "A 28181-2025")</f>
        <v/>
      </c>
      <c r="W42">
        <f>HYPERLINK("https://klasma.github.io/Logging_2083/klagomålsmail/A 28181-2025 FSC-klagomål mail.docx", "A 28181-2025")</f>
        <v/>
      </c>
      <c r="X42">
        <f>HYPERLINK("https://klasma.github.io/Logging_2083/tillsyn/A 28181-2025 tillsynsbegäran.docx", "A 28181-2025")</f>
        <v/>
      </c>
      <c r="Y42">
        <f>HYPERLINK("https://klasma.github.io/Logging_2083/tillsynsmail/A 28181-2025 tillsynsbegäran mail.docx", "A 28181-2025")</f>
        <v/>
      </c>
    </row>
    <row r="43" ht="15" customHeight="1">
      <c r="A43" t="inlineStr">
        <is>
          <t>A 60017-2024</t>
        </is>
      </c>
      <c r="B43" s="1" t="n">
        <v>45642</v>
      </c>
      <c r="C43" s="1" t="n">
        <v>45901</v>
      </c>
      <c r="D43" t="inlineStr">
        <is>
          <t>DALARNAS LÄN</t>
        </is>
      </c>
      <c r="E43" t="inlineStr">
        <is>
          <t>HEDEMORA</t>
        </is>
      </c>
      <c r="F43" t="inlineStr">
        <is>
          <t>Sveaskog</t>
        </is>
      </c>
      <c r="G43" t="n">
        <v>0.5</v>
      </c>
      <c r="H43" t="n">
        <v>1</v>
      </c>
      <c r="I43" t="n">
        <v>0</v>
      </c>
      <c r="J43" t="n">
        <v>0</v>
      </c>
      <c r="K43" t="n">
        <v>1</v>
      </c>
      <c r="L43" t="n">
        <v>0</v>
      </c>
      <c r="M43" t="n">
        <v>0</v>
      </c>
      <c r="N43" t="n">
        <v>0</v>
      </c>
      <c r="O43" t="n">
        <v>1</v>
      </c>
      <c r="P43" t="n">
        <v>1</v>
      </c>
      <c r="Q43" t="n">
        <v>1</v>
      </c>
      <c r="R43" s="2" t="inlineStr">
        <is>
          <t>Knärot</t>
        </is>
      </c>
      <c r="S43">
        <f>HYPERLINK("https://klasma.github.io/Logging_2083/artfynd/A 60017-2024 artfynd.xlsx", "A 60017-2024")</f>
        <v/>
      </c>
      <c r="T43">
        <f>HYPERLINK("https://klasma.github.io/Logging_2083/kartor/A 60017-2024 karta.png", "A 60017-2024")</f>
        <v/>
      </c>
      <c r="U43">
        <f>HYPERLINK("https://klasma.github.io/Logging_2083/knärot/A 60017-2024 karta knärot.png", "A 60017-2024")</f>
        <v/>
      </c>
      <c r="V43">
        <f>HYPERLINK("https://klasma.github.io/Logging_2083/klagomål/A 60017-2024 FSC-klagomål.docx", "A 60017-2024")</f>
        <v/>
      </c>
      <c r="W43">
        <f>HYPERLINK("https://klasma.github.io/Logging_2083/klagomålsmail/A 60017-2024 FSC-klagomål mail.docx", "A 60017-2024")</f>
        <v/>
      </c>
      <c r="X43">
        <f>HYPERLINK("https://klasma.github.io/Logging_2083/tillsyn/A 60017-2024 tillsynsbegäran.docx", "A 60017-2024")</f>
        <v/>
      </c>
      <c r="Y43">
        <f>HYPERLINK("https://klasma.github.io/Logging_2083/tillsynsmail/A 60017-2024 tillsynsbegäran mail.docx", "A 60017-2024")</f>
        <v/>
      </c>
    </row>
    <row r="44" ht="15" customHeight="1">
      <c r="A44" t="inlineStr">
        <is>
          <t>A 53031-2023</t>
        </is>
      </c>
      <c r="B44" s="1" t="n">
        <v>45226</v>
      </c>
      <c r="C44" s="1" t="n">
        <v>45901</v>
      </c>
      <c r="D44" t="inlineStr">
        <is>
          <t>DALARNAS LÄN</t>
        </is>
      </c>
      <c r="E44" t="inlineStr">
        <is>
          <t>HEDEMORA</t>
        </is>
      </c>
      <c r="F44" t="inlineStr">
        <is>
          <t>Sveaskog</t>
        </is>
      </c>
      <c r="G44" t="n">
        <v>6.9</v>
      </c>
      <c r="H44" t="n">
        <v>1</v>
      </c>
      <c r="I44" t="n">
        <v>0</v>
      </c>
      <c r="J44" t="n">
        <v>1</v>
      </c>
      <c r="K44" t="n">
        <v>0</v>
      </c>
      <c r="L44" t="n">
        <v>0</v>
      </c>
      <c r="M44" t="n">
        <v>0</v>
      </c>
      <c r="N44" t="n">
        <v>0</v>
      </c>
      <c r="O44" t="n">
        <v>1</v>
      </c>
      <c r="P44" t="n">
        <v>0</v>
      </c>
      <c r="Q44" t="n">
        <v>1</v>
      </c>
      <c r="R44" s="2" t="inlineStr">
        <is>
          <t>Talltita</t>
        </is>
      </c>
      <c r="S44">
        <f>HYPERLINK("https://klasma.github.io/Logging_2083/artfynd/A 53031-2023 artfynd.xlsx", "A 53031-2023")</f>
        <v/>
      </c>
      <c r="T44">
        <f>HYPERLINK("https://klasma.github.io/Logging_2083/kartor/A 53031-2023 karta.png", "A 53031-2023")</f>
        <v/>
      </c>
      <c r="V44">
        <f>HYPERLINK("https://klasma.github.io/Logging_2083/klagomål/A 53031-2023 FSC-klagomål.docx", "A 53031-2023")</f>
        <v/>
      </c>
      <c r="W44">
        <f>HYPERLINK("https://klasma.github.io/Logging_2083/klagomålsmail/A 53031-2023 FSC-klagomål mail.docx", "A 53031-2023")</f>
        <v/>
      </c>
      <c r="X44">
        <f>HYPERLINK("https://klasma.github.io/Logging_2083/tillsyn/A 53031-2023 tillsynsbegäran.docx", "A 53031-2023")</f>
        <v/>
      </c>
      <c r="Y44">
        <f>HYPERLINK("https://klasma.github.io/Logging_2083/tillsynsmail/A 53031-2023 tillsynsbegäran mail.docx", "A 53031-2023")</f>
        <v/>
      </c>
      <c r="Z44">
        <f>HYPERLINK("https://klasma.github.io/Logging_2083/fåglar/A 53031-2023 prioriterade fågelarter.docx", "A 53031-2023")</f>
        <v/>
      </c>
    </row>
    <row r="45" ht="15" customHeight="1">
      <c r="A45" t="inlineStr">
        <is>
          <t>A 33968-2025</t>
        </is>
      </c>
      <c r="B45" s="1" t="n">
        <v>45842</v>
      </c>
      <c r="C45" s="1" t="n">
        <v>45901</v>
      </c>
      <c r="D45" t="inlineStr">
        <is>
          <t>DALARNAS LÄN</t>
        </is>
      </c>
      <c r="E45" t="inlineStr">
        <is>
          <t>HEDEMORA</t>
        </is>
      </c>
      <c r="F45" t="inlineStr">
        <is>
          <t>Sveaskog</t>
        </is>
      </c>
      <c r="G45" t="n">
        <v>1.6</v>
      </c>
      <c r="H45" t="n">
        <v>1</v>
      </c>
      <c r="I45" t="n">
        <v>1</v>
      </c>
      <c r="J45" t="n">
        <v>0</v>
      </c>
      <c r="K45" t="n">
        <v>0</v>
      </c>
      <c r="L45" t="n">
        <v>0</v>
      </c>
      <c r="M45" t="n">
        <v>0</v>
      </c>
      <c r="N45" t="n">
        <v>0</v>
      </c>
      <c r="O45" t="n">
        <v>0</v>
      </c>
      <c r="P45" t="n">
        <v>0</v>
      </c>
      <c r="Q45" t="n">
        <v>1</v>
      </c>
      <c r="R45" s="2" t="inlineStr">
        <is>
          <t>Plattlummer</t>
        </is>
      </c>
      <c r="S45">
        <f>HYPERLINK("https://klasma.github.io/Logging_2083/artfynd/A 33968-2025 artfynd.xlsx", "A 33968-2025")</f>
        <v/>
      </c>
      <c r="T45">
        <f>HYPERLINK("https://klasma.github.io/Logging_2083/kartor/A 33968-2025 karta.png", "A 33968-2025")</f>
        <v/>
      </c>
      <c r="V45">
        <f>HYPERLINK("https://klasma.github.io/Logging_2083/klagomål/A 33968-2025 FSC-klagomål.docx", "A 33968-2025")</f>
        <v/>
      </c>
      <c r="W45">
        <f>HYPERLINK("https://klasma.github.io/Logging_2083/klagomålsmail/A 33968-2025 FSC-klagomål mail.docx", "A 33968-2025")</f>
        <v/>
      </c>
      <c r="X45">
        <f>HYPERLINK("https://klasma.github.io/Logging_2083/tillsyn/A 33968-2025 tillsynsbegäran.docx", "A 33968-2025")</f>
        <v/>
      </c>
      <c r="Y45">
        <f>HYPERLINK("https://klasma.github.io/Logging_2083/tillsynsmail/A 33968-2025 tillsynsbegäran mail.docx", "A 33968-2025")</f>
        <v/>
      </c>
    </row>
    <row r="46" ht="15" customHeight="1">
      <c r="A46" t="inlineStr">
        <is>
          <t>A 19094-2025</t>
        </is>
      </c>
      <c r="B46" s="1" t="n">
        <v>45767.54942129629</v>
      </c>
      <c r="C46" s="1" t="n">
        <v>45901</v>
      </c>
      <c r="D46" t="inlineStr">
        <is>
          <t>DALARNAS LÄN</t>
        </is>
      </c>
      <c r="E46" t="inlineStr">
        <is>
          <t>HEDEMORA</t>
        </is>
      </c>
      <c r="F46" t="inlineStr">
        <is>
          <t>Sveaskog</t>
        </is>
      </c>
      <c r="G46" t="n">
        <v>16.9</v>
      </c>
      <c r="H46" t="n">
        <v>1</v>
      </c>
      <c r="I46" t="n">
        <v>1</v>
      </c>
      <c r="J46" t="n">
        <v>0</v>
      </c>
      <c r="K46" t="n">
        <v>0</v>
      </c>
      <c r="L46" t="n">
        <v>0</v>
      </c>
      <c r="M46" t="n">
        <v>0</v>
      </c>
      <c r="N46" t="n">
        <v>0</v>
      </c>
      <c r="O46" t="n">
        <v>0</v>
      </c>
      <c r="P46" t="n">
        <v>0</v>
      </c>
      <c r="Q46" t="n">
        <v>1</v>
      </c>
      <c r="R46" s="2" t="inlineStr">
        <is>
          <t>Plattlummer</t>
        </is>
      </c>
      <c r="S46">
        <f>HYPERLINK("https://klasma.github.io/Logging_2083/artfynd/A 19094-2025 artfynd.xlsx", "A 19094-2025")</f>
        <v/>
      </c>
      <c r="T46">
        <f>HYPERLINK("https://klasma.github.io/Logging_2083/kartor/A 19094-2025 karta.png", "A 19094-2025")</f>
        <v/>
      </c>
      <c r="V46">
        <f>HYPERLINK("https://klasma.github.io/Logging_2083/klagomål/A 19094-2025 FSC-klagomål.docx", "A 19094-2025")</f>
        <v/>
      </c>
      <c r="W46">
        <f>HYPERLINK("https://klasma.github.io/Logging_2083/klagomålsmail/A 19094-2025 FSC-klagomål mail.docx", "A 19094-2025")</f>
        <v/>
      </c>
      <c r="X46">
        <f>HYPERLINK("https://klasma.github.io/Logging_2083/tillsyn/A 19094-2025 tillsynsbegäran.docx", "A 19094-2025")</f>
        <v/>
      </c>
      <c r="Y46">
        <f>HYPERLINK("https://klasma.github.io/Logging_2083/tillsynsmail/A 19094-2025 tillsynsbegäran mail.docx", "A 19094-2025")</f>
        <v/>
      </c>
    </row>
    <row r="47" ht="15" customHeight="1">
      <c r="A47" t="inlineStr">
        <is>
          <t>A 52941-2024</t>
        </is>
      </c>
      <c r="B47" s="1" t="n">
        <v>45610.80650462963</v>
      </c>
      <c r="C47" s="1" t="n">
        <v>45901</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39396-2025</t>
        </is>
      </c>
      <c r="B48" s="1" t="n">
        <v>45889.63289351852</v>
      </c>
      <c r="C48" s="1" t="n">
        <v>45901</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53924-2024</t>
        </is>
      </c>
      <c r="B49" s="1" t="n">
        <v>45615</v>
      </c>
      <c r="C49" s="1" t="n">
        <v>45901</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15036-2025</t>
        </is>
      </c>
      <c r="B50" s="1" t="n">
        <v>45743.68125</v>
      </c>
      <c r="C50" s="1" t="n">
        <v>45901</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15058-2025</t>
        </is>
      </c>
      <c r="B51" s="1" t="n">
        <v>45743.70716435185</v>
      </c>
      <c r="C51" s="1" t="n">
        <v>45901</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45901</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42614-2024</t>
        </is>
      </c>
      <c r="B53" s="1" t="n">
        <v>45565</v>
      </c>
      <c r="C53" s="1" t="n">
        <v>45901</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41477-2023</t>
        </is>
      </c>
      <c r="B54" s="1" t="n">
        <v>45171</v>
      </c>
      <c r="C54" s="1" t="n">
        <v>45901</v>
      </c>
      <c r="D54" t="inlineStr">
        <is>
          <t>DALARNAS LÄN</t>
        </is>
      </c>
      <c r="E54" t="inlineStr">
        <is>
          <t>HEDEMORA</t>
        </is>
      </c>
      <c r="F54" t="inlineStr">
        <is>
          <t>Bergvik skog väst AB</t>
        </is>
      </c>
      <c r="G54" t="n">
        <v>9.1</v>
      </c>
      <c r="H54" t="n">
        <v>0</v>
      </c>
      <c r="I54" t="n">
        <v>1</v>
      </c>
      <c r="J54" t="n">
        <v>0</v>
      </c>
      <c r="K54" t="n">
        <v>0</v>
      </c>
      <c r="L54" t="n">
        <v>0</v>
      </c>
      <c r="M54" t="n">
        <v>0</v>
      </c>
      <c r="N54" t="n">
        <v>0</v>
      </c>
      <c r="O54" t="n">
        <v>0</v>
      </c>
      <c r="P54" t="n">
        <v>0</v>
      </c>
      <c r="Q54" t="n">
        <v>1</v>
      </c>
      <c r="R54" s="2" t="inlineStr">
        <is>
          <t>Ögonpyrola</t>
        </is>
      </c>
      <c r="S54">
        <f>HYPERLINK("https://klasma.github.io/Logging_2083/artfynd/A 41477-2023 artfynd.xlsx", "A 41477-2023")</f>
        <v/>
      </c>
      <c r="T54">
        <f>HYPERLINK("https://klasma.github.io/Logging_2083/kartor/A 41477-2023 karta.png", "A 41477-2023")</f>
        <v/>
      </c>
      <c r="V54">
        <f>HYPERLINK("https://klasma.github.io/Logging_2083/klagomål/A 41477-2023 FSC-klagomål.docx", "A 41477-2023")</f>
        <v/>
      </c>
      <c r="W54">
        <f>HYPERLINK("https://klasma.github.io/Logging_2083/klagomålsmail/A 41477-2023 FSC-klagomål mail.docx", "A 41477-2023")</f>
        <v/>
      </c>
      <c r="X54">
        <f>HYPERLINK("https://klasma.github.io/Logging_2083/tillsyn/A 41477-2023 tillsynsbegäran.docx", "A 41477-2023")</f>
        <v/>
      </c>
      <c r="Y54">
        <f>HYPERLINK("https://klasma.github.io/Logging_2083/tillsynsmail/A 41477-2023 tillsynsbegäran mail.docx", "A 41477-2023")</f>
        <v/>
      </c>
    </row>
    <row r="55" ht="15" customHeight="1">
      <c r="A55" t="inlineStr">
        <is>
          <t>A 17590-2025</t>
        </is>
      </c>
      <c r="B55" s="1" t="n">
        <v>45757.69396990741</v>
      </c>
      <c r="C55" s="1" t="n">
        <v>45901</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51111-2021</t>
        </is>
      </c>
      <c r="B56" s="1" t="n">
        <v>44461</v>
      </c>
      <c r="C56" s="1" t="n">
        <v>45901</v>
      </c>
      <c r="D56" t="inlineStr">
        <is>
          <t>DALARNAS LÄN</t>
        </is>
      </c>
      <c r="E56" t="inlineStr">
        <is>
          <t>HEDEMORA</t>
        </is>
      </c>
      <c r="G56" t="n">
        <v>0.9</v>
      </c>
      <c r="H56" t="n">
        <v>1</v>
      </c>
      <c r="I56" t="n">
        <v>0</v>
      </c>
      <c r="J56" t="n">
        <v>0</v>
      </c>
      <c r="K56" t="n">
        <v>1</v>
      </c>
      <c r="L56" t="n">
        <v>0</v>
      </c>
      <c r="M56" t="n">
        <v>0</v>
      </c>
      <c r="N56" t="n">
        <v>0</v>
      </c>
      <c r="O56" t="n">
        <v>1</v>
      </c>
      <c r="P56" t="n">
        <v>1</v>
      </c>
      <c r="Q56" t="n">
        <v>1</v>
      </c>
      <c r="R56" s="2" t="inlineStr">
        <is>
          <t>Knärot</t>
        </is>
      </c>
      <c r="S56">
        <f>HYPERLINK("https://klasma.github.io/Logging_2083/artfynd/A 51111-2021 artfynd.xlsx", "A 51111-2021")</f>
        <v/>
      </c>
      <c r="T56">
        <f>HYPERLINK("https://klasma.github.io/Logging_2083/kartor/A 51111-2021 karta.png", "A 51111-2021")</f>
        <v/>
      </c>
      <c r="U56">
        <f>HYPERLINK("https://klasma.github.io/Logging_2083/knärot/A 51111-2021 karta knärot.png", "A 51111-2021")</f>
        <v/>
      </c>
      <c r="V56">
        <f>HYPERLINK("https://klasma.github.io/Logging_2083/klagomål/A 51111-2021 FSC-klagomål.docx", "A 51111-2021")</f>
        <v/>
      </c>
      <c r="W56">
        <f>HYPERLINK("https://klasma.github.io/Logging_2083/klagomålsmail/A 51111-2021 FSC-klagomål mail.docx", "A 51111-2021")</f>
        <v/>
      </c>
      <c r="X56">
        <f>HYPERLINK("https://klasma.github.io/Logging_2083/tillsyn/A 51111-2021 tillsynsbegäran.docx", "A 51111-2021")</f>
        <v/>
      </c>
      <c r="Y56">
        <f>HYPERLINK("https://klasma.github.io/Logging_2083/tillsynsmail/A 51111-2021 tillsynsbegäran mail.docx", "A 51111-2021")</f>
        <v/>
      </c>
    </row>
    <row r="57" ht="15" customHeight="1">
      <c r="A57" t="inlineStr">
        <is>
          <t>A 15125-2021</t>
        </is>
      </c>
      <c r="B57" s="1" t="n">
        <v>44283</v>
      </c>
      <c r="C57" s="1" t="n">
        <v>45901</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45901</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45901</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45901</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653-2021</t>
        </is>
      </c>
      <c r="B61" s="1" t="n">
        <v>44203</v>
      </c>
      <c r="C61" s="1" t="n">
        <v>45901</v>
      </c>
      <c r="D61" t="inlineStr">
        <is>
          <t>DALARNAS LÄN</t>
        </is>
      </c>
      <c r="E61" t="inlineStr">
        <is>
          <t>HEDEMORA</t>
        </is>
      </c>
      <c r="G61" t="n">
        <v>3.8</v>
      </c>
      <c r="H61" t="n">
        <v>0</v>
      </c>
      <c r="I61" t="n">
        <v>0</v>
      </c>
      <c r="J61" t="n">
        <v>0</v>
      </c>
      <c r="K61" t="n">
        <v>0</v>
      </c>
      <c r="L61" t="n">
        <v>0</v>
      </c>
      <c r="M61" t="n">
        <v>0</v>
      </c>
      <c r="N61" t="n">
        <v>0</v>
      </c>
      <c r="O61" t="n">
        <v>0</v>
      </c>
      <c r="P61" t="n">
        <v>0</v>
      </c>
      <c r="Q61" t="n">
        <v>0</v>
      </c>
      <c r="R61" s="2" t="inlineStr"/>
    </row>
    <row r="62" ht="15" customHeight="1">
      <c r="A62" t="inlineStr">
        <is>
          <t>A 55195-2021</t>
        </is>
      </c>
      <c r="B62" s="1" t="n">
        <v>44475.35819444444</v>
      </c>
      <c r="C62" s="1" t="n">
        <v>45901</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20353-2021</t>
        </is>
      </c>
      <c r="B63" s="1" t="n">
        <v>44315.4233912037</v>
      </c>
      <c r="C63" s="1" t="n">
        <v>45901</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52221-2021</t>
        </is>
      </c>
      <c r="B64" s="1" t="n">
        <v>44462</v>
      </c>
      <c r="C64" s="1" t="n">
        <v>45901</v>
      </c>
      <c r="D64" t="inlineStr">
        <is>
          <t>DALARNAS LÄN</t>
        </is>
      </c>
      <c r="E64" t="inlineStr">
        <is>
          <t>HEDEMORA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45741-2022</t>
        </is>
      </c>
      <c r="B65" s="1" t="n">
        <v>44846.33142361111</v>
      </c>
      <c r="C65" s="1" t="n">
        <v>45901</v>
      </c>
      <c r="D65" t="inlineStr">
        <is>
          <t>DALARNAS LÄN</t>
        </is>
      </c>
      <c r="E65" t="inlineStr">
        <is>
          <t>HEDEMORA</t>
        </is>
      </c>
      <c r="F65" t="inlineStr">
        <is>
          <t>Sveaskog</t>
        </is>
      </c>
      <c r="G65" t="n">
        <v>2.8</v>
      </c>
      <c r="H65" t="n">
        <v>0</v>
      </c>
      <c r="I65" t="n">
        <v>0</v>
      </c>
      <c r="J65" t="n">
        <v>0</v>
      </c>
      <c r="K65" t="n">
        <v>0</v>
      </c>
      <c r="L65" t="n">
        <v>0</v>
      </c>
      <c r="M65" t="n">
        <v>0</v>
      </c>
      <c r="N65" t="n">
        <v>0</v>
      </c>
      <c r="O65" t="n">
        <v>0</v>
      </c>
      <c r="P65" t="n">
        <v>0</v>
      </c>
      <c r="Q65" t="n">
        <v>0</v>
      </c>
      <c r="R65" s="2" t="inlineStr"/>
    </row>
    <row r="66" ht="15" customHeight="1">
      <c r="A66" t="inlineStr">
        <is>
          <t>A 54198-2022</t>
        </is>
      </c>
      <c r="B66" s="1" t="n">
        <v>44881.69982638889</v>
      </c>
      <c r="C66" s="1" t="n">
        <v>45901</v>
      </c>
      <c r="D66" t="inlineStr">
        <is>
          <t>DALARNAS LÄN</t>
        </is>
      </c>
      <c r="E66" t="inlineStr">
        <is>
          <t>HEDEMORA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52425-2021</t>
        </is>
      </c>
      <c r="B67" s="1" t="n">
        <v>44466.33798611111</v>
      </c>
      <c r="C67" s="1" t="n">
        <v>45901</v>
      </c>
      <c r="D67" t="inlineStr">
        <is>
          <t>DALARNAS LÄN</t>
        </is>
      </c>
      <c r="E67" t="inlineStr">
        <is>
          <t>HEDEMORA</t>
        </is>
      </c>
      <c r="G67" t="n">
        <v>2.3</v>
      </c>
      <c r="H67" t="n">
        <v>0</v>
      </c>
      <c r="I67" t="n">
        <v>0</v>
      </c>
      <c r="J67" t="n">
        <v>0</v>
      </c>
      <c r="K67" t="n">
        <v>0</v>
      </c>
      <c r="L67" t="n">
        <v>0</v>
      </c>
      <c r="M67" t="n">
        <v>0</v>
      </c>
      <c r="N67" t="n">
        <v>0</v>
      </c>
      <c r="O67" t="n">
        <v>0</v>
      </c>
      <c r="P67" t="n">
        <v>0</v>
      </c>
      <c r="Q67" t="n">
        <v>0</v>
      </c>
      <c r="R67" s="2" t="inlineStr"/>
    </row>
    <row r="68" ht="15" customHeight="1">
      <c r="A68" t="inlineStr">
        <is>
          <t>A 35806-2022</t>
        </is>
      </c>
      <c r="B68" s="1" t="n">
        <v>44802</v>
      </c>
      <c r="C68" s="1" t="n">
        <v>45901</v>
      </c>
      <c r="D68" t="inlineStr">
        <is>
          <t>DALARNAS LÄN</t>
        </is>
      </c>
      <c r="E68" t="inlineStr">
        <is>
          <t>HEDEMORA</t>
        </is>
      </c>
      <c r="G68" t="n">
        <v>1.3</v>
      </c>
      <c r="H68" t="n">
        <v>0</v>
      </c>
      <c r="I68" t="n">
        <v>0</v>
      </c>
      <c r="J68" t="n">
        <v>0</v>
      </c>
      <c r="K68" t="n">
        <v>0</v>
      </c>
      <c r="L68" t="n">
        <v>0</v>
      </c>
      <c r="M68" t="n">
        <v>0</v>
      </c>
      <c r="N68" t="n">
        <v>0</v>
      </c>
      <c r="O68" t="n">
        <v>0</v>
      </c>
      <c r="P68" t="n">
        <v>0</v>
      </c>
      <c r="Q68" t="n">
        <v>0</v>
      </c>
      <c r="R68" s="2" t="inlineStr"/>
    </row>
    <row r="69" ht="15" customHeight="1">
      <c r="A69" t="inlineStr">
        <is>
          <t>A 15290-2021</t>
        </is>
      </c>
      <c r="B69" s="1" t="n">
        <v>44284.59565972222</v>
      </c>
      <c r="C69" s="1" t="n">
        <v>45901</v>
      </c>
      <c r="D69" t="inlineStr">
        <is>
          <t>DALARNAS LÄN</t>
        </is>
      </c>
      <c r="E69" t="inlineStr">
        <is>
          <t>HEDEMORA</t>
        </is>
      </c>
      <c r="G69" t="n">
        <v>0.7</v>
      </c>
      <c r="H69" t="n">
        <v>0</v>
      </c>
      <c r="I69" t="n">
        <v>0</v>
      </c>
      <c r="J69" t="n">
        <v>0</v>
      </c>
      <c r="K69" t="n">
        <v>0</v>
      </c>
      <c r="L69" t="n">
        <v>0</v>
      </c>
      <c r="M69" t="n">
        <v>0</v>
      </c>
      <c r="N69" t="n">
        <v>0</v>
      </c>
      <c r="O69" t="n">
        <v>0</v>
      </c>
      <c r="P69" t="n">
        <v>0</v>
      </c>
      <c r="Q69" t="n">
        <v>0</v>
      </c>
      <c r="R69" s="2" t="inlineStr"/>
    </row>
    <row r="70" ht="15" customHeight="1">
      <c r="A70" t="inlineStr">
        <is>
          <t>A 20177-2022</t>
        </is>
      </c>
      <c r="B70" s="1" t="n">
        <v>44698.52960648148</v>
      </c>
      <c r="C70" s="1" t="n">
        <v>45901</v>
      </c>
      <c r="D70" t="inlineStr">
        <is>
          <t>DALARNAS LÄN</t>
        </is>
      </c>
      <c r="E70" t="inlineStr">
        <is>
          <t>HEDEMORA</t>
        </is>
      </c>
      <c r="G70" t="n">
        <v>3.9</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45901</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45901</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4030-2022</t>
        </is>
      </c>
      <c r="B73" s="1" t="n">
        <v>44588</v>
      </c>
      <c r="C73" s="1" t="n">
        <v>45901</v>
      </c>
      <c r="D73" t="inlineStr">
        <is>
          <t>DALARNAS LÄN</t>
        </is>
      </c>
      <c r="E73" t="inlineStr">
        <is>
          <t>HEDEMORA</t>
        </is>
      </c>
      <c r="F73" t="inlineStr">
        <is>
          <t>Kyrkan</t>
        </is>
      </c>
      <c r="G73" t="n">
        <v>2.1</v>
      </c>
      <c r="H73" t="n">
        <v>0</v>
      </c>
      <c r="I73" t="n">
        <v>0</v>
      </c>
      <c r="J73" t="n">
        <v>0</v>
      </c>
      <c r="K73" t="n">
        <v>0</v>
      </c>
      <c r="L73" t="n">
        <v>0</v>
      </c>
      <c r="M73" t="n">
        <v>0</v>
      </c>
      <c r="N73" t="n">
        <v>0</v>
      </c>
      <c r="O73" t="n">
        <v>0</v>
      </c>
      <c r="P73" t="n">
        <v>0</v>
      </c>
      <c r="Q73" t="n">
        <v>0</v>
      </c>
      <c r="R73" s="2" t="inlineStr"/>
    </row>
    <row r="74" ht="15" customHeight="1">
      <c r="A74" t="inlineStr">
        <is>
          <t>A 54347-2020</t>
        </is>
      </c>
      <c r="B74" s="1" t="n">
        <v>44126</v>
      </c>
      <c r="C74" s="1" t="n">
        <v>45901</v>
      </c>
      <c r="D74" t="inlineStr">
        <is>
          <t>DALARNAS LÄN</t>
        </is>
      </c>
      <c r="E74" t="inlineStr">
        <is>
          <t>HEDEMORA</t>
        </is>
      </c>
      <c r="G74" t="n">
        <v>4.1</v>
      </c>
      <c r="H74" t="n">
        <v>0</v>
      </c>
      <c r="I74" t="n">
        <v>0</v>
      </c>
      <c r="J74" t="n">
        <v>0</v>
      </c>
      <c r="K74" t="n">
        <v>0</v>
      </c>
      <c r="L74" t="n">
        <v>0</v>
      </c>
      <c r="M74" t="n">
        <v>0</v>
      </c>
      <c r="N74" t="n">
        <v>0</v>
      </c>
      <c r="O74" t="n">
        <v>0</v>
      </c>
      <c r="P74" t="n">
        <v>0</v>
      </c>
      <c r="Q74" t="n">
        <v>0</v>
      </c>
      <c r="R74" s="2" t="inlineStr"/>
    </row>
    <row r="75" ht="15" customHeight="1">
      <c r="A75" t="inlineStr">
        <is>
          <t>A 1916-2021</t>
        </is>
      </c>
      <c r="B75" s="1" t="n">
        <v>44210</v>
      </c>
      <c r="C75" s="1" t="n">
        <v>45901</v>
      </c>
      <c r="D75" t="inlineStr">
        <is>
          <t>DALARNAS LÄN</t>
        </is>
      </c>
      <c r="E75" t="inlineStr">
        <is>
          <t>HEDEMORA</t>
        </is>
      </c>
      <c r="G75" t="n">
        <v>0.7</v>
      </c>
      <c r="H75" t="n">
        <v>0</v>
      </c>
      <c r="I75" t="n">
        <v>0</v>
      </c>
      <c r="J75" t="n">
        <v>0</v>
      </c>
      <c r="K75" t="n">
        <v>0</v>
      </c>
      <c r="L75" t="n">
        <v>0</v>
      </c>
      <c r="M75" t="n">
        <v>0</v>
      </c>
      <c r="N75" t="n">
        <v>0</v>
      </c>
      <c r="O75" t="n">
        <v>0</v>
      </c>
      <c r="P75" t="n">
        <v>0</v>
      </c>
      <c r="Q75" t="n">
        <v>0</v>
      </c>
      <c r="R75" s="2" t="inlineStr"/>
    </row>
    <row r="76" ht="15" customHeight="1">
      <c r="A76" t="inlineStr">
        <is>
          <t>A 51181-2022</t>
        </is>
      </c>
      <c r="B76" s="1" t="n">
        <v>44868.5756712963</v>
      </c>
      <c r="C76" s="1" t="n">
        <v>45901</v>
      </c>
      <c r="D76" t="inlineStr">
        <is>
          <t>DALARNAS LÄN</t>
        </is>
      </c>
      <c r="E76" t="inlineStr">
        <is>
          <t>HEDEMORA</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39506-2022</t>
        </is>
      </c>
      <c r="B77" s="1" t="n">
        <v>44817</v>
      </c>
      <c r="C77" s="1" t="n">
        <v>45901</v>
      </c>
      <c r="D77" t="inlineStr">
        <is>
          <t>DALARNAS LÄN</t>
        </is>
      </c>
      <c r="E77" t="inlineStr">
        <is>
          <t>HEDEMORA</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46235-2021</t>
        </is>
      </c>
      <c r="B78" s="1" t="n">
        <v>44442</v>
      </c>
      <c r="C78" s="1" t="n">
        <v>45901</v>
      </c>
      <c r="D78" t="inlineStr">
        <is>
          <t>DALARNAS LÄN</t>
        </is>
      </c>
      <c r="E78" t="inlineStr">
        <is>
          <t>HEDEMORA</t>
        </is>
      </c>
      <c r="G78" t="n">
        <v>2.5</v>
      </c>
      <c r="H78" t="n">
        <v>0</v>
      </c>
      <c r="I78" t="n">
        <v>0</v>
      </c>
      <c r="J78" t="n">
        <v>0</v>
      </c>
      <c r="K78" t="n">
        <v>0</v>
      </c>
      <c r="L78" t="n">
        <v>0</v>
      </c>
      <c r="M78" t="n">
        <v>0</v>
      </c>
      <c r="N78" t="n">
        <v>0</v>
      </c>
      <c r="O78" t="n">
        <v>0</v>
      </c>
      <c r="P78" t="n">
        <v>0</v>
      </c>
      <c r="Q78" t="n">
        <v>0</v>
      </c>
      <c r="R78" s="2" t="inlineStr"/>
    </row>
    <row r="79" ht="15" customHeight="1">
      <c r="A79" t="inlineStr">
        <is>
          <t>A 59495-2021</t>
        </is>
      </c>
      <c r="B79" s="1" t="n">
        <v>44491.53346064815</v>
      </c>
      <c r="C79" s="1" t="n">
        <v>45901</v>
      </c>
      <c r="D79" t="inlineStr">
        <is>
          <t>DALARNAS LÄN</t>
        </is>
      </c>
      <c r="E79" t="inlineStr">
        <is>
          <t>HEDEMORA</t>
        </is>
      </c>
      <c r="G79" t="n">
        <v>0.5</v>
      </c>
      <c r="H79" t="n">
        <v>0</v>
      </c>
      <c r="I79" t="n">
        <v>0</v>
      </c>
      <c r="J79" t="n">
        <v>0</v>
      </c>
      <c r="K79" t="n">
        <v>0</v>
      </c>
      <c r="L79" t="n">
        <v>0</v>
      </c>
      <c r="M79" t="n">
        <v>0</v>
      </c>
      <c r="N79" t="n">
        <v>0</v>
      </c>
      <c r="O79" t="n">
        <v>0</v>
      </c>
      <c r="P79" t="n">
        <v>0</v>
      </c>
      <c r="Q79" t="n">
        <v>0</v>
      </c>
      <c r="R79" s="2" t="inlineStr"/>
    </row>
    <row r="80" ht="15" customHeight="1">
      <c r="A80" t="inlineStr">
        <is>
          <t>A 30574-2021</t>
        </is>
      </c>
      <c r="B80" s="1" t="n">
        <v>44364.83538194445</v>
      </c>
      <c r="C80" s="1" t="n">
        <v>45901</v>
      </c>
      <c r="D80" t="inlineStr">
        <is>
          <t>DALARNAS LÄN</t>
        </is>
      </c>
      <c r="E80" t="inlineStr">
        <is>
          <t>HEDEMORA</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53443-2021</t>
        </is>
      </c>
      <c r="B81" s="1" t="n">
        <v>44468</v>
      </c>
      <c r="C81" s="1" t="n">
        <v>45901</v>
      </c>
      <c r="D81" t="inlineStr">
        <is>
          <t>DALARNAS LÄN</t>
        </is>
      </c>
      <c r="E81" t="inlineStr">
        <is>
          <t>HEDEMORA</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52511-2021</t>
        </is>
      </c>
      <c r="B82" s="1" t="n">
        <v>44466.44400462963</v>
      </c>
      <c r="C82" s="1" t="n">
        <v>45901</v>
      </c>
      <c r="D82" t="inlineStr">
        <is>
          <t>DALARNAS LÄN</t>
        </is>
      </c>
      <c r="E82" t="inlineStr">
        <is>
          <t>HEDEMORA</t>
        </is>
      </c>
      <c r="G82" t="n">
        <v>0.6</v>
      </c>
      <c r="H82" t="n">
        <v>0</v>
      </c>
      <c r="I82" t="n">
        <v>0</v>
      </c>
      <c r="J82" t="n">
        <v>0</v>
      </c>
      <c r="K82" t="n">
        <v>0</v>
      </c>
      <c r="L82" t="n">
        <v>0</v>
      </c>
      <c r="M82" t="n">
        <v>0</v>
      </c>
      <c r="N82" t="n">
        <v>0</v>
      </c>
      <c r="O82" t="n">
        <v>0</v>
      </c>
      <c r="P82" t="n">
        <v>0</v>
      </c>
      <c r="Q82" t="n">
        <v>0</v>
      </c>
      <c r="R82" s="2" t="inlineStr"/>
    </row>
    <row r="83" ht="15" customHeight="1">
      <c r="A83" t="inlineStr">
        <is>
          <t>A 50441-2021</t>
        </is>
      </c>
      <c r="B83" s="1" t="n">
        <v>44456</v>
      </c>
      <c r="C83" s="1" t="n">
        <v>45901</v>
      </c>
      <c r="D83" t="inlineStr">
        <is>
          <t>DALARNAS LÄN</t>
        </is>
      </c>
      <c r="E83" t="inlineStr">
        <is>
          <t>HEDEMORA</t>
        </is>
      </c>
      <c r="F83" t="inlineStr">
        <is>
          <t>Bergvik skog väst AB</t>
        </is>
      </c>
      <c r="G83" t="n">
        <v>6.4</v>
      </c>
      <c r="H83" t="n">
        <v>0</v>
      </c>
      <c r="I83" t="n">
        <v>0</v>
      </c>
      <c r="J83" t="n">
        <v>0</v>
      </c>
      <c r="K83" t="n">
        <v>0</v>
      </c>
      <c r="L83" t="n">
        <v>0</v>
      </c>
      <c r="M83" t="n">
        <v>0</v>
      </c>
      <c r="N83" t="n">
        <v>0</v>
      </c>
      <c r="O83" t="n">
        <v>0</v>
      </c>
      <c r="P83" t="n">
        <v>0</v>
      </c>
      <c r="Q83" t="n">
        <v>0</v>
      </c>
      <c r="R83" s="2" t="inlineStr"/>
    </row>
    <row r="84" ht="15" customHeight="1">
      <c r="A84" t="inlineStr">
        <is>
          <t>A 1666-2022</t>
        </is>
      </c>
      <c r="B84" s="1" t="n">
        <v>44574</v>
      </c>
      <c r="C84" s="1" t="n">
        <v>45901</v>
      </c>
      <c r="D84" t="inlineStr">
        <is>
          <t>DALARNAS LÄN</t>
        </is>
      </c>
      <c r="E84" t="inlineStr">
        <is>
          <t>HEDEMORA</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17464-2021</t>
        </is>
      </c>
      <c r="B85" s="1" t="n">
        <v>44299</v>
      </c>
      <c r="C85" s="1" t="n">
        <v>45901</v>
      </c>
      <c r="D85" t="inlineStr">
        <is>
          <t>DALARNAS LÄN</t>
        </is>
      </c>
      <c r="E85" t="inlineStr">
        <is>
          <t>HEDEMORA</t>
        </is>
      </c>
      <c r="G85" t="n">
        <v>0.8</v>
      </c>
      <c r="H85" t="n">
        <v>0</v>
      </c>
      <c r="I85" t="n">
        <v>0</v>
      </c>
      <c r="J85" t="n">
        <v>0</v>
      </c>
      <c r="K85" t="n">
        <v>0</v>
      </c>
      <c r="L85" t="n">
        <v>0</v>
      </c>
      <c r="M85" t="n">
        <v>0</v>
      </c>
      <c r="N85" t="n">
        <v>0</v>
      </c>
      <c r="O85" t="n">
        <v>0</v>
      </c>
      <c r="P85" t="n">
        <v>0</v>
      </c>
      <c r="Q85" t="n">
        <v>0</v>
      </c>
      <c r="R85" s="2" t="inlineStr"/>
    </row>
    <row r="86" ht="15" customHeight="1">
      <c r="A86" t="inlineStr">
        <is>
          <t>A 36943-2021</t>
        </is>
      </c>
      <c r="B86" s="1" t="n">
        <v>44393.52391203704</v>
      </c>
      <c r="C86" s="1" t="n">
        <v>45901</v>
      </c>
      <c r="D86" t="inlineStr">
        <is>
          <t>DALARNAS LÄN</t>
        </is>
      </c>
      <c r="E86" t="inlineStr">
        <is>
          <t>HEDEMORA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44065-2021</t>
        </is>
      </c>
      <c r="B87" s="1" t="n">
        <v>44434</v>
      </c>
      <c r="C87" s="1" t="n">
        <v>45901</v>
      </c>
      <c r="D87" t="inlineStr">
        <is>
          <t>DALARNAS LÄN</t>
        </is>
      </c>
      <c r="E87" t="inlineStr">
        <is>
          <t>HEDEMORA</t>
        </is>
      </c>
      <c r="F87" t="inlineStr">
        <is>
          <t>Bergvik skog väst AB</t>
        </is>
      </c>
      <c r="G87" t="n">
        <v>9.1</v>
      </c>
      <c r="H87" t="n">
        <v>0</v>
      </c>
      <c r="I87" t="n">
        <v>0</v>
      </c>
      <c r="J87" t="n">
        <v>0</v>
      </c>
      <c r="K87" t="n">
        <v>0</v>
      </c>
      <c r="L87" t="n">
        <v>0</v>
      </c>
      <c r="M87" t="n">
        <v>0</v>
      </c>
      <c r="N87" t="n">
        <v>0</v>
      </c>
      <c r="O87" t="n">
        <v>0</v>
      </c>
      <c r="P87" t="n">
        <v>0</v>
      </c>
      <c r="Q87" t="n">
        <v>0</v>
      </c>
      <c r="R87" s="2" t="inlineStr"/>
    </row>
    <row r="88" ht="15" customHeight="1">
      <c r="A88" t="inlineStr">
        <is>
          <t>A 3527-2021</t>
        </is>
      </c>
      <c r="B88" s="1" t="n">
        <v>44218</v>
      </c>
      <c r="C88" s="1" t="n">
        <v>45901</v>
      </c>
      <c r="D88" t="inlineStr">
        <is>
          <t>DALARNAS LÄN</t>
        </is>
      </c>
      <c r="E88" t="inlineStr">
        <is>
          <t>HEDEMORA</t>
        </is>
      </c>
      <c r="G88" t="n">
        <v>1.5</v>
      </c>
      <c r="H88" t="n">
        <v>0</v>
      </c>
      <c r="I88" t="n">
        <v>0</v>
      </c>
      <c r="J88" t="n">
        <v>0</v>
      </c>
      <c r="K88" t="n">
        <v>0</v>
      </c>
      <c r="L88" t="n">
        <v>0</v>
      </c>
      <c r="M88" t="n">
        <v>0</v>
      </c>
      <c r="N88" t="n">
        <v>0</v>
      </c>
      <c r="O88" t="n">
        <v>0</v>
      </c>
      <c r="P88" t="n">
        <v>0</v>
      </c>
      <c r="Q88" t="n">
        <v>0</v>
      </c>
      <c r="R88" s="2" t="inlineStr"/>
    </row>
    <row r="89" ht="15" customHeight="1">
      <c r="A89" t="inlineStr">
        <is>
          <t>A 67282-2021</t>
        </is>
      </c>
      <c r="B89" s="1" t="n">
        <v>44523.6131712963</v>
      </c>
      <c r="C89" s="1" t="n">
        <v>45901</v>
      </c>
      <c r="D89" t="inlineStr">
        <is>
          <t>DALARNAS LÄN</t>
        </is>
      </c>
      <c r="E89" t="inlineStr">
        <is>
          <t>HEDEMORA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48639-2022</t>
        </is>
      </c>
      <c r="B90" s="1" t="n">
        <v>44859</v>
      </c>
      <c r="C90" s="1" t="n">
        <v>45901</v>
      </c>
      <c r="D90" t="inlineStr">
        <is>
          <t>DALARNAS LÄN</t>
        </is>
      </c>
      <c r="E90" t="inlineStr">
        <is>
          <t>HEDEMORA</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66064-2020</t>
        </is>
      </c>
      <c r="B91" s="1" t="n">
        <v>44175</v>
      </c>
      <c r="C91" s="1" t="n">
        <v>45901</v>
      </c>
      <c r="D91" t="inlineStr">
        <is>
          <t>DALARNAS LÄN</t>
        </is>
      </c>
      <c r="E91" t="inlineStr">
        <is>
          <t>HEDEMORA</t>
        </is>
      </c>
      <c r="G91" t="n">
        <v>1.7</v>
      </c>
      <c r="H91" t="n">
        <v>0</v>
      </c>
      <c r="I91" t="n">
        <v>0</v>
      </c>
      <c r="J91" t="n">
        <v>0</v>
      </c>
      <c r="K91" t="n">
        <v>0</v>
      </c>
      <c r="L91" t="n">
        <v>0</v>
      </c>
      <c r="M91" t="n">
        <v>0</v>
      </c>
      <c r="N91" t="n">
        <v>0</v>
      </c>
      <c r="O91" t="n">
        <v>0</v>
      </c>
      <c r="P91" t="n">
        <v>0</v>
      </c>
      <c r="Q91" t="n">
        <v>0</v>
      </c>
      <c r="R91" s="2" t="inlineStr"/>
    </row>
    <row r="92" ht="15" customHeight="1">
      <c r="A92" t="inlineStr">
        <is>
          <t>A 27238-2022</t>
        </is>
      </c>
      <c r="B92" s="1" t="n">
        <v>44741.68168981482</v>
      </c>
      <c r="C92" s="1" t="n">
        <v>45901</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45392-2020</t>
        </is>
      </c>
      <c r="B93" s="1" t="n">
        <v>44085</v>
      </c>
      <c r="C93" s="1" t="n">
        <v>45901</v>
      </c>
      <c r="D93" t="inlineStr">
        <is>
          <t>DALARNAS LÄN</t>
        </is>
      </c>
      <c r="E93" t="inlineStr">
        <is>
          <t>HEDEMORA</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45901</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45616-2020</t>
        </is>
      </c>
      <c r="B95" s="1" t="n">
        <v>44084</v>
      </c>
      <c r="C95" s="1" t="n">
        <v>45901</v>
      </c>
      <c r="D95" t="inlineStr">
        <is>
          <t>DALARNAS LÄN</t>
        </is>
      </c>
      <c r="E95" t="inlineStr">
        <is>
          <t>HEDEMORA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57071-2020</t>
        </is>
      </c>
      <c r="B96" s="1" t="n">
        <v>44138</v>
      </c>
      <c r="C96" s="1" t="n">
        <v>45901</v>
      </c>
      <c r="D96" t="inlineStr">
        <is>
          <t>DALARNAS LÄN</t>
        </is>
      </c>
      <c r="E96" t="inlineStr">
        <is>
          <t>HEDEMORA</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45901</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45901</v>
      </c>
      <c r="D98" t="inlineStr">
        <is>
          <t>DALARNAS LÄN</t>
        </is>
      </c>
      <c r="E98" t="inlineStr">
        <is>
          <t>HEDEMORA</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40938-2021</t>
        </is>
      </c>
      <c r="B99" s="1" t="n">
        <v>44421.53498842593</v>
      </c>
      <c r="C99" s="1" t="n">
        <v>45901</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45901</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36865-2022</t>
        </is>
      </c>
      <c r="B101" s="1" t="n">
        <v>44805</v>
      </c>
      <c r="C101" s="1" t="n">
        <v>45901</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45901</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45901</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45901</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45901</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45901</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45901</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34930-2024</t>
        </is>
      </c>
      <c r="B108" s="1" t="n">
        <v>45527.45107638889</v>
      </c>
      <c r="C108" s="1" t="n">
        <v>45901</v>
      </c>
      <c r="D108" t="inlineStr">
        <is>
          <t>DALARNAS LÄN</t>
        </is>
      </c>
      <c r="E108" t="inlineStr">
        <is>
          <t>HEDEMORA</t>
        </is>
      </c>
      <c r="F108" t="inlineStr">
        <is>
          <t>Sveaskog</t>
        </is>
      </c>
      <c r="G108" t="n">
        <v>6.1</v>
      </c>
      <c r="H108" t="n">
        <v>0</v>
      </c>
      <c r="I108" t="n">
        <v>0</v>
      </c>
      <c r="J108" t="n">
        <v>0</v>
      </c>
      <c r="K108" t="n">
        <v>0</v>
      </c>
      <c r="L108" t="n">
        <v>0</v>
      </c>
      <c r="M108" t="n">
        <v>0</v>
      </c>
      <c r="N108" t="n">
        <v>0</v>
      </c>
      <c r="O108" t="n">
        <v>0</v>
      </c>
      <c r="P108" t="n">
        <v>0</v>
      </c>
      <c r="Q108" t="n">
        <v>0</v>
      </c>
      <c r="R108" s="2" t="inlineStr"/>
    </row>
    <row r="109" ht="15" customHeight="1">
      <c r="A109" t="inlineStr">
        <is>
          <t>A 34932-2024</t>
        </is>
      </c>
      <c r="B109" s="1" t="n">
        <v>45527.45431712963</v>
      </c>
      <c r="C109" s="1" t="n">
        <v>45901</v>
      </c>
      <c r="D109" t="inlineStr">
        <is>
          <t>DALARNAS LÄN</t>
        </is>
      </c>
      <c r="E109" t="inlineStr">
        <is>
          <t>HEDEMORA</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56668-2024</t>
        </is>
      </c>
      <c r="B110" s="1" t="n">
        <v>45626.41185185185</v>
      </c>
      <c r="C110" s="1" t="n">
        <v>45901</v>
      </c>
      <c r="D110" t="inlineStr">
        <is>
          <t>DALARNAS LÄN</t>
        </is>
      </c>
      <c r="E110" t="inlineStr">
        <is>
          <t>HEDEMORA</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42894-2024</t>
        </is>
      </c>
      <c r="B111" s="1" t="n">
        <v>45566.82304398148</v>
      </c>
      <c r="C111" s="1" t="n">
        <v>45901</v>
      </c>
      <c r="D111" t="inlineStr">
        <is>
          <t>DALARNAS LÄN</t>
        </is>
      </c>
      <c r="E111" t="inlineStr">
        <is>
          <t>HEDEMORA</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42895-2024</t>
        </is>
      </c>
      <c r="B112" s="1" t="n">
        <v>45566.82385416667</v>
      </c>
      <c r="C112" s="1" t="n">
        <v>45901</v>
      </c>
      <c r="D112" t="inlineStr">
        <is>
          <t>DALARNAS LÄN</t>
        </is>
      </c>
      <c r="E112" t="inlineStr">
        <is>
          <t>HEDEMORA</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14951-2025</t>
        </is>
      </c>
      <c r="B113" s="1" t="n">
        <v>45743.57695601852</v>
      </c>
      <c r="C113" s="1" t="n">
        <v>45901</v>
      </c>
      <c r="D113" t="inlineStr">
        <is>
          <t>DALARNAS LÄN</t>
        </is>
      </c>
      <c r="E113" t="inlineStr">
        <is>
          <t>HEDEMORA</t>
        </is>
      </c>
      <c r="G113" t="n">
        <v>1.6</v>
      </c>
      <c r="H113" t="n">
        <v>0</v>
      </c>
      <c r="I113" t="n">
        <v>0</v>
      </c>
      <c r="J113" t="n">
        <v>0</v>
      </c>
      <c r="K113" t="n">
        <v>0</v>
      </c>
      <c r="L113" t="n">
        <v>0</v>
      </c>
      <c r="M113" t="n">
        <v>0</v>
      </c>
      <c r="N113" t="n">
        <v>0</v>
      </c>
      <c r="O113" t="n">
        <v>0</v>
      </c>
      <c r="P113" t="n">
        <v>0</v>
      </c>
      <c r="Q113" t="n">
        <v>0</v>
      </c>
      <c r="R113" s="2" t="inlineStr"/>
    </row>
    <row r="114" ht="15" customHeight="1">
      <c r="A114" t="inlineStr">
        <is>
          <t>A 7914-2024</t>
        </is>
      </c>
      <c r="B114" s="1" t="n">
        <v>45350.46003472222</v>
      </c>
      <c r="C114" s="1" t="n">
        <v>45901</v>
      </c>
      <c r="D114" t="inlineStr">
        <is>
          <t>DALARNAS LÄN</t>
        </is>
      </c>
      <c r="E114" t="inlineStr">
        <is>
          <t>HEDEMORA</t>
        </is>
      </c>
      <c r="G114" t="n">
        <v>4.1</v>
      </c>
      <c r="H114" t="n">
        <v>0</v>
      </c>
      <c r="I114" t="n">
        <v>0</v>
      </c>
      <c r="J114" t="n">
        <v>0</v>
      </c>
      <c r="K114" t="n">
        <v>0</v>
      </c>
      <c r="L114" t="n">
        <v>0</v>
      </c>
      <c r="M114" t="n">
        <v>0</v>
      </c>
      <c r="N114" t="n">
        <v>0</v>
      </c>
      <c r="O114" t="n">
        <v>0</v>
      </c>
      <c r="P114" t="n">
        <v>0</v>
      </c>
      <c r="Q114" t="n">
        <v>0</v>
      </c>
      <c r="R114" s="2" t="inlineStr"/>
    </row>
    <row r="115" ht="15" customHeight="1">
      <c r="A115" t="inlineStr">
        <is>
          <t>A 61533-2021</t>
        </is>
      </c>
      <c r="B115" s="1" t="n">
        <v>44501</v>
      </c>
      <c r="C115" s="1" t="n">
        <v>45901</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52945-2024</t>
        </is>
      </c>
      <c r="B116" s="1" t="n">
        <v>45610.82664351852</v>
      </c>
      <c r="C116" s="1" t="n">
        <v>45901</v>
      </c>
      <c r="D116" t="inlineStr">
        <is>
          <t>DALARNAS LÄN</t>
        </is>
      </c>
      <c r="E116" t="inlineStr">
        <is>
          <t>HEDEMORA</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45901</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45901</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30908-2024</t>
        </is>
      </c>
      <c r="B119" s="1" t="n">
        <v>45498.56491898148</v>
      </c>
      <c r="C119" s="1" t="n">
        <v>45901</v>
      </c>
      <c r="D119" t="inlineStr">
        <is>
          <t>DALARNAS LÄN</t>
        </is>
      </c>
      <c r="E119" t="inlineStr">
        <is>
          <t>HEDEMORA</t>
        </is>
      </c>
      <c r="F119" t="inlineStr">
        <is>
          <t>Bergvik skog väst AB</t>
        </is>
      </c>
      <c r="G119" t="n">
        <v>2.8</v>
      </c>
      <c r="H119" t="n">
        <v>0</v>
      </c>
      <c r="I119" t="n">
        <v>0</v>
      </c>
      <c r="J119" t="n">
        <v>0</v>
      </c>
      <c r="K119" t="n">
        <v>0</v>
      </c>
      <c r="L119" t="n">
        <v>0</v>
      </c>
      <c r="M119" t="n">
        <v>0</v>
      </c>
      <c r="N119" t="n">
        <v>0</v>
      </c>
      <c r="O119" t="n">
        <v>0</v>
      </c>
      <c r="P119" t="n">
        <v>0</v>
      </c>
      <c r="Q119" t="n">
        <v>0</v>
      </c>
      <c r="R119" s="2" t="inlineStr"/>
    </row>
    <row r="120" ht="15" customHeight="1">
      <c r="A120" t="inlineStr">
        <is>
          <t>A 18522-2021</t>
        </is>
      </c>
      <c r="B120" s="1" t="n">
        <v>44306.4405787037</v>
      </c>
      <c r="C120" s="1" t="n">
        <v>45901</v>
      </c>
      <c r="D120" t="inlineStr">
        <is>
          <t>DALARNAS LÄN</t>
        </is>
      </c>
      <c r="E120" t="inlineStr">
        <is>
          <t>HEDEMORA</t>
        </is>
      </c>
      <c r="G120" t="n">
        <v>7</v>
      </c>
      <c r="H120" t="n">
        <v>0</v>
      </c>
      <c r="I120" t="n">
        <v>0</v>
      </c>
      <c r="J120" t="n">
        <v>0</v>
      </c>
      <c r="K120" t="n">
        <v>0</v>
      </c>
      <c r="L120" t="n">
        <v>0</v>
      </c>
      <c r="M120" t="n">
        <v>0</v>
      </c>
      <c r="N120" t="n">
        <v>0</v>
      </c>
      <c r="O120" t="n">
        <v>0</v>
      </c>
      <c r="P120" t="n">
        <v>0</v>
      </c>
      <c r="Q120" t="n">
        <v>0</v>
      </c>
      <c r="R120" s="2" t="inlineStr"/>
    </row>
    <row r="121" ht="15" customHeight="1">
      <c r="A121" t="inlineStr">
        <is>
          <t>A 56620-2024</t>
        </is>
      </c>
      <c r="B121" s="1" t="n">
        <v>45625</v>
      </c>
      <c r="C121" s="1" t="n">
        <v>45901</v>
      </c>
      <c r="D121" t="inlineStr">
        <is>
          <t>DALARNAS LÄN</t>
        </is>
      </c>
      <c r="E121" t="inlineStr">
        <is>
          <t>HEDEMORA</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20670-2024</t>
        </is>
      </c>
      <c r="B122" s="1" t="n">
        <v>45436</v>
      </c>
      <c r="C122" s="1" t="n">
        <v>45901</v>
      </c>
      <c r="D122" t="inlineStr">
        <is>
          <t>DALARNAS LÄN</t>
        </is>
      </c>
      <c r="E122" t="inlineStr">
        <is>
          <t>HEDEMORA</t>
        </is>
      </c>
      <c r="G122" t="n">
        <v>2.7</v>
      </c>
      <c r="H122" t="n">
        <v>0</v>
      </c>
      <c r="I122" t="n">
        <v>0</v>
      </c>
      <c r="J122" t="n">
        <v>0</v>
      </c>
      <c r="K122" t="n">
        <v>0</v>
      </c>
      <c r="L122" t="n">
        <v>0</v>
      </c>
      <c r="M122" t="n">
        <v>0</v>
      </c>
      <c r="N122" t="n">
        <v>0</v>
      </c>
      <c r="O122" t="n">
        <v>0</v>
      </c>
      <c r="P122" t="n">
        <v>0</v>
      </c>
      <c r="Q122" t="n">
        <v>0</v>
      </c>
      <c r="R122" s="2" t="inlineStr"/>
    </row>
    <row r="123" ht="15" customHeight="1">
      <c r="A123" t="inlineStr">
        <is>
          <t>A 53922-2024</t>
        </is>
      </c>
      <c r="B123" s="1" t="n">
        <v>45615.78459490741</v>
      </c>
      <c r="C123" s="1" t="n">
        <v>45901</v>
      </c>
      <c r="D123" t="inlineStr">
        <is>
          <t>DALARNAS LÄN</t>
        </is>
      </c>
      <c r="E123" t="inlineStr">
        <is>
          <t>HEDEMORA</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20273-2025</t>
        </is>
      </c>
      <c r="B124" s="1" t="n">
        <v>45773.71921296296</v>
      </c>
      <c r="C124" s="1" t="n">
        <v>45901</v>
      </c>
      <c r="D124" t="inlineStr">
        <is>
          <t>DALARNAS LÄN</t>
        </is>
      </c>
      <c r="E124" t="inlineStr">
        <is>
          <t>HEDEMORA</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14968-2025</t>
        </is>
      </c>
      <c r="B125" s="1" t="n">
        <v>45743.59052083334</v>
      </c>
      <c r="C125" s="1" t="n">
        <v>45901</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9314-2024</t>
        </is>
      </c>
      <c r="B126" s="1" t="n">
        <v>45358</v>
      </c>
      <c r="C126" s="1" t="n">
        <v>45901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14949-2025</t>
        </is>
      </c>
      <c r="B127" s="1" t="n">
        <v>45743.5745949074</v>
      </c>
      <c r="C127" s="1" t="n">
        <v>45901</v>
      </c>
      <c r="D127" t="inlineStr">
        <is>
          <t>DALARNAS LÄN</t>
        </is>
      </c>
      <c r="E127" t="inlineStr">
        <is>
          <t>HEDEMORA</t>
        </is>
      </c>
      <c r="G127" t="n">
        <v>2.5</v>
      </c>
      <c r="H127" t="n">
        <v>0</v>
      </c>
      <c r="I127" t="n">
        <v>0</v>
      </c>
      <c r="J127" t="n">
        <v>0</v>
      </c>
      <c r="K127" t="n">
        <v>0</v>
      </c>
      <c r="L127" t="n">
        <v>0</v>
      </c>
      <c r="M127" t="n">
        <v>0</v>
      </c>
      <c r="N127" t="n">
        <v>0</v>
      </c>
      <c r="O127" t="n">
        <v>0</v>
      </c>
      <c r="P127" t="n">
        <v>0</v>
      </c>
      <c r="Q127" t="n">
        <v>0</v>
      </c>
      <c r="R127" s="2" t="inlineStr"/>
    </row>
    <row r="128" ht="15" customHeight="1">
      <c r="A128" t="inlineStr">
        <is>
          <t>A 37759-2024</t>
        </is>
      </c>
      <c r="B128" s="1" t="n">
        <v>45541</v>
      </c>
      <c r="C128" s="1" t="n">
        <v>45901</v>
      </c>
      <c r="D128" t="inlineStr">
        <is>
          <t>DALARNAS LÄN</t>
        </is>
      </c>
      <c r="E128" t="inlineStr">
        <is>
          <t>HEDEMORA</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45901</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73099-2021</t>
        </is>
      </c>
      <c r="B130" s="1" t="n">
        <v>44546</v>
      </c>
      <c r="C130" s="1" t="n">
        <v>45901</v>
      </c>
      <c r="D130" t="inlineStr">
        <is>
          <t>DALARNAS LÄN</t>
        </is>
      </c>
      <c r="E130" t="inlineStr">
        <is>
          <t>HEDEMORA</t>
        </is>
      </c>
      <c r="G130" t="n">
        <v>4.5</v>
      </c>
      <c r="H130" t="n">
        <v>0</v>
      </c>
      <c r="I130" t="n">
        <v>0</v>
      </c>
      <c r="J130" t="n">
        <v>0</v>
      </c>
      <c r="K130" t="n">
        <v>0</v>
      </c>
      <c r="L130" t="n">
        <v>0</v>
      </c>
      <c r="M130" t="n">
        <v>0</v>
      </c>
      <c r="N130" t="n">
        <v>0</v>
      </c>
      <c r="O130" t="n">
        <v>0</v>
      </c>
      <c r="P130" t="n">
        <v>0</v>
      </c>
      <c r="Q130" t="n">
        <v>0</v>
      </c>
      <c r="R130" s="2" t="inlineStr"/>
    </row>
    <row r="131" ht="15" customHeight="1">
      <c r="A131" t="inlineStr">
        <is>
          <t>A 20965-2025</t>
        </is>
      </c>
      <c r="B131" s="1" t="n">
        <v>45777.45135416667</v>
      </c>
      <c r="C131" s="1" t="n">
        <v>45901</v>
      </c>
      <c r="D131" t="inlineStr">
        <is>
          <t>DALARNAS LÄN</t>
        </is>
      </c>
      <c r="E131" t="inlineStr">
        <is>
          <t>HEDEMORA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55882-2023</t>
        </is>
      </c>
      <c r="B132" s="1" t="n">
        <v>45239</v>
      </c>
      <c r="C132" s="1" t="n">
        <v>45901</v>
      </c>
      <c r="D132" t="inlineStr">
        <is>
          <t>DALARNAS LÄN</t>
        </is>
      </c>
      <c r="E132" t="inlineStr">
        <is>
          <t>HEDEMORA</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39497-2022</t>
        </is>
      </c>
      <c r="B133" s="1" t="n">
        <v>44817</v>
      </c>
      <c r="C133" s="1" t="n">
        <v>45901</v>
      </c>
      <c r="D133" t="inlineStr">
        <is>
          <t>DALARNAS LÄN</t>
        </is>
      </c>
      <c r="E133" t="inlineStr">
        <is>
          <t>HEDEMORA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55881-2023</t>
        </is>
      </c>
      <c r="B134" s="1" t="n">
        <v>45239</v>
      </c>
      <c r="C134" s="1" t="n">
        <v>45901</v>
      </c>
      <c r="D134" t="inlineStr">
        <is>
          <t>DALARNAS LÄN</t>
        </is>
      </c>
      <c r="E134" t="inlineStr">
        <is>
          <t>HEDEMORA</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50885-2023</t>
        </is>
      </c>
      <c r="B135" s="1" t="n">
        <v>45218.38459490741</v>
      </c>
      <c r="C135" s="1" t="n">
        <v>45901</v>
      </c>
      <c r="D135" t="inlineStr">
        <is>
          <t>DALARNAS LÄN</t>
        </is>
      </c>
      <c r="E135" t="inlineStr">
        <is>
          <t>HEDEMORA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65057-2023</t>
        </is>
      </c>
      <c r="B136" s="1" t="n">
        <v>45287</v>
      </c>
      <c r="C136" s="1" t="n">
        <v>45901</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45901</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63941-2023</t>
        </is>
      </c>
      <c r="B138" s="1" t="n">
        <v>45278.61277777778</v>
      </c>
      <c r="C138" s="1" t="n">
        <v>45901</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43785-2023</t>
        </is>
      </c>
      <c r="B139" s="1" t="n">
        <v>45187</v>
      </c>
      <c r="C139" s="1" t="n">
        <v>45901</v>
      </c>
      <c r="D139" t="inlineStr">
        <is>
          <t>DALARNAS LÄN</t>
        </is>
      </c>
      <c r="E139" t="inlineStr">
        <is>
          <t>HEDEMORA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6210-2024</t>
        </is>
      </c>
      <c r="B140" s="1" t="n">
        <v>45337</v>
      </c>
      <c r="C140" s="1" t="n">
        <v>45901</v>
      </c>
      <c r="D140" t="inlineStr">
        <is>
          <t>DALARNAS LÄN</t>
        </is>
      </c>
      <c r="E140" t="inlineStr">
        <is>
          <t>HEDEMORA</t>
        </is>
      </c>
      <c r="G140" t="n">
        <v>2.6</v>
      </c>
      <c r="H140" t="n">
        <v>0</v>
      </c>
      <c r="I140" t="n">
        <v>0</v>
      </c>
      <c r="J140" t="n">
        <v>0</v>
      </c>
      <c r="K140" t="n">
        <v>0</v>
      </c>
      <c r="L140" t="n">
        <v>0</v>
      </c>
      <c r="M140" t="n">
        <v>0</v>
      </c>
      <c r="N140" t="n">
        <v>0</v>
      </c>
      <c r="O140" t="n">
        <v>0</v>
      </c>
      <c r="P140" t="n">
        <v>0</v>
      </c>
      <c r="Q140" t="n">
        <v>0</v>
      </c>
      <c r="R140" s="2" t="inlineStr"/>
    </row>
    <row r="141" ht="15" customHeight="1">
      <c r="A141" t="inlineStr">
        <is>
          <t>A 21869-2025</t>
        </is>
      </c>
      <c r="B141" s="1" t="n">
        <v>45784.37449074074</v>
      </c>
      <c r="C141" s="1" t="n">
        <v>45901</v>
      </c>
      <c r="D141" t="inlineStr">
        <is>
          <t>DALARNAS LÄN</t>
        </is>
      </c>
      <c r="E141" t="inlineStr">
        <is>
          <t>HEDEMORA</t>
        </is>
      </c>
      <c r="F141" t="inlineStr">
        <is>
          <t>Sveaskog</t>
        </is>
      </c>
      <c r="G141" t="n">
        <v>3.3</v>
      </c>
      <c r="H141" t="n">
        <v>0</v>
      </c>
      <c r="I141" t="n">
        <v>0</v>
      </c>
      <c r="J141" t="n">
        <v>0</v>
      </c>
      <c r="K141" t="n">
        <v>0</v>
      </c>
      <c r="L141" t="n">
        <v>0</v>
      </c>
      <c r="M141" t="n">
        <v>0</v>
      </c>
      <c r="N141" t="n">
        <v>0</v>
      </c>
      <c r="O141" t="n">
        <v>0</v>
      </c>
      <c r="P141" t="n">
        <v>0</v>
      </c>
      <c r="Q141" t="n">
        <v>0</v>
      </c>
      <c r="R141" s="2" t="inlineStr"/>
    </row>
    <row r="142" ht="15" customHeight="1">
      <c r="A142" t="inlineStr">
        <is>
          <t>A 30430-2023</t>
        </is>
      </c>
      <c r="B142" s="1" t="n">
        <v>45111.54344907407</v>
      </c>
      <c r="C142" s="1" t="n">
        <v>45901</v>
      </c>
      <c r="D142" t="inlineStr">
        <is>
          <t>DALARNAS LÄN</t>
        </is>
      </c>
      <c r="E142" t="inlineStr">
        <is>
          <t>HEDEMORA</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21864-2025</t>
        </is>
      </c>
      <c r="B143" s="1" t="n">
        <v>45784</v>
      </c>
      <c r="C143" s="1" t="n">
        <v>45901</v>
      </c>
      <c r="D143" t="inlineStr">
        <is>
          <t>DALARNAS LÄN</t>
        </is>
      </c>
      <c r="E143" t="inlineStr">
        <is>
          <t>HEDEMORA</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21868-2025</t>
        </is>
      </c>
      <c r="B144" s="1" t="n">
        <v>45784.3721412037</v>
      </c>
      <c r="C144" s="1" t="n">
        <v>45901</v>
      </c>
      <c r="D144" t="inlineStr">
        <is>
          <t>DALARNAS LÄN</t>
        </is>
      </c>
      <c r="E144" t="inlineStr">
        <is>
          <t>HEDEMORA</t>
        </is>
      </c>
      <c r="F144" t="inlineStr">
        <is>
          <t>Sveaskog</t>
        </is>
      </c>
      <c r="G144" t="n">
        <v>10.1</v>
      </c>
      <c r="H144" t="n">
        <v>0</v>
      </c>
      <c r="I144" t="n">
        <v>0</v>
      </c>
      <c r="J144" t="n">
        <v>0</v>
      </c>
      <c r="K144" t="n">
        <v>0</v>
      </c>
      <c r="L144" t="n">
        <v>0</v>
      </c>
      <c r="M144" t="n">
        <v>0</v>
      </c>
      <c r="N144" t="n">
        <v>0</v>
      </c>
      <c r="O144" t="n">
        <v>0</v>
      </c>
      <c r="P144" t="n">
        <v>0</v>
      </c>
      <c r="Q144" t="n">
        <v>0</v>
      </c>
      <c r="R144" s="2" t="inlineStr"/>
    </row>
    <row r="145" ht="15" customHeight="1">
      <c r="A145" t="inlineStr">
        <is>
          <t>A 38947-2023</t>
        </is>
      </c>
      <c r="B145" s="1" t="n">
        <v>45163.61209490741</v>
      </c>
      <c r="C145" s="1" t="n">
        <v>45901</v>
      </c>
      <c r="D145" t="inlineStr">
        <is>
          <t>DALARNAS LÄN</t>
        </is>
      </c>
      <c r="E145" t="inlineStr">
        <is>
          <t>HEDEMORA</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38951-2023</t>
        </is>
      </c>
      <c r="B146" s="1" t="n">
        <v>45163.61413194444</v>
      </c>
      <c r="C146" s="1" t="n">
        <v>45901</v>
      </c>
      <c r="D146" t="inlineStr">
        <is>
          <t>DALARNAS LÄN</t>
        </is>
      </c>
      <c r="E146" t="inlineStr">
        <is>
          <t>HEDEMORA</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58111-2020</t>
        </is>
      </c>
      <c r="B147" s="1" t="n">
        <v>44144</v>
      </c>
      <c r="C147" s="1" t="n">
        <v>45901</v>
      </c>
      <c r="D147" t="inlineStr">
        <is>
          <t>DALARNAS LÄN</t>
        </is>
      </c>
      <c r="E147" t="inlineStr">
        <is>
          <t>HEDEMORA</t>
        </is>
      </c>
      <c r="G147" t="n">
        <v>3.1</v>
      </c>
      <c r="H147" t="n">
        <v>0</v>
      </c>
      <c r="I147" t="n">
        <v>0</v>
      </c>
      <c r="J147" t="n">
        <v>0</v>
      </c>
      <c r="K147" t="n">
        <v>0</v>
      </c>
      <c r="L147" t="n">
        <v>0</v>
      </c>
      <c r="M147" t="n">
        <v>0</v>
      </c>
      <c r="N147" t="n">
        <v>0</v>
      </c>
      <c r="O147" t="n">
        <v>0</v>
      </c>
      <c r="P147" t="n">
        <v>0</v>
      </c>
      <c r="Q147" t="n">
        <v>0</v>
      </c>
      <c r="R147" s="2" t="inlineStr"/>
    </row>
    <row r="148" ht="15" customHeight="1">
      <c r="A148" t="inlineStr">
        <is>
          <t>A 48380-2024</t>
        </is>
      </c>
      <c r="B148" s="1" t="n">
        <v>45590</v>
      </c>
      <c r="C148" s="1" t="n">
        <v>45901</v>
      </c>
      <c r="D148" t="inlineStr">
        <is>
          <t>DALARNAS LÄN</t>
        </is>
      </c>
      <c r="E148" t="inlineStr">
        <is>
          <t>HEDEMORA</t>
        </is>
      </c>
      <c r="G148" t="n">
        <v>1.5</v>
      </c>
      <c r="H148" t="n">
        <v>0</v>
      </c>
      <c r="I148" t="n">
        <v>0</v>
      </c>
      <c r="J148" t="n">
        <v>0</v>
      </c>
      <c r="K148" t="n">
        <v>0</v>
      </c>
      <c r="L148" t="n">
        <v>0</v>
      </c>
      <c r="M148" t="n">
        <v>0</v>
      </c>
      <c r="N148" t="n">
        <v>0</v>
      </c>
      <c r="O148" t="n">
        <v>0</v>
      </c>
      <c r="P148" t="n">
        <v>0</v>
      </c>
      <c r="Q148" t="n">
        <v>0</v>
      </c>
      <c r="R148" s="2" t="inlineStr"/>
    </row>
    <row r="149" ht="15" customHeight="1">
      <c r="A149" t="inlineStr">
        <is>
          <t>A 25645-2024</t>
        </is>
      </c>
      <c r="B149" s="1" t="n">
        <v>45463.66520833333</v>
      </c>
      <c r="C149" s="1" t="n">
        <v>45901</v>
      </c>
      <c r="D149" t="inlineStr">
        <is>
          <t>DALARNAS LÄN</t>
        </is>
      </c>
      <c r="E149" t="inlineStr">
        <is>
          <t>HEDEMORA</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51256-2024</t>
        </is>
      </c>
      <c r="B150" s="1" t="n">
        <v>45603.68902777778</v>
      </c>
      <c r="C150" s="1" t="n">
        <v>45901</v>
      </c>
      <c r="D150" t="inlineStr">
        <is>
          <t>DALARNAS LÄN</t>
        </is>
      </c>
      <c r="E150" t="inlineStr">
        <is>
          <t>HEDEMORA</t>
        </is>
      </c>
      <c r="G150" t="n">
        <v>1.3</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45901</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16413-2024</t>
        </is>
      </c>
      <c r="B152" s="1" t="n">
        <v>45407.64223379629</v>
      </c>
      <c r="C152" s="1" t="n">
        <v>45901</v>
      </c>
      <c r="D152" t="inlineStr">
        <is>
          <t>DALARNAS LÄN</t>
        </is>
      </c>
      <c r="E152" t="inlineStr">
        <is>
          <t>HEDEMORA</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19920-2025</t>
        </is>
      </c>
      <c r="B153" s="1" t="n">
        <v>45771</v>
      </c>
      <c r="C153" s="1" t="n">
        <v>45901</v>
      </c>
      <c r="D153" t="inlineStr">
        <is>
          <t>DALARNAS LÄN</t>
        </is>
      </c>
      <c r="E153" t="inlineStr">
        <is>
          <t>HEDEMORA</t>
        </is>
      </c>
      <c r="G153" t="n">
        <v>2.8</v>
      </c>
      <c r="H153" t="n">
        <v>0</v>
      </c>
      <c r="I153" t="n">
        <v>0</v>
      </c>
      <c r="J153" t="n">
        <v>0</v>
      </c>
      <c r="K153" t="n">
        <v>0</v>
      </c>
      <c r="L153" t="n">
        <v>0</v>
      </c>
      <c r="M153" t="n">
        <v>0</v>
      </c>
      <c r="N153" t="n">
        <v>0</v>
      </c>
      <c r="O153" t="n">
        <v>0</v>
      </c>
      <c r="P153" t="n">
        <v>0</v>
      </c>
      <c r="Q153" t="n">
        <v>0</v>
      </c>
      <c r="R153" s="2" t="inlineStr"/>
    </row>
    <row r="154" ht="15" customHeight="1">
      <c r="A154" t="inlineStr">
        <is>
          <t>A 31365-2024</t>
        </is>
      </c>
      <c r="B154" s="1" t="n">
        <v>45505.37086805556</v>
      </c>
      <c r="C154" s="1" t="n">
        <v>45901</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24486-2024</t>
        </is>
      </c>
      <c r="B155" s="1" t="n">
        <v>45459.62336805555</v>
      </c>
      <c r="C155" s="1" t="n">
        <v>45901</v>
      </c>
      <c r="D155" t="inlineStr">
        <is>
          <t>DALARNAS LÄN</t>
        </is>
      </c>
      <c r="E155" t="inlineStr">
        <is>
          <t>HEDEMORA</t>
        </is>
      </c>
      <c r="G155" t="n">
        <v>0.3</v>
      </c>
      <c r="H155" t="n">
        <v>0</v>
      </c>
      <c r="I155" t="n">
        <v>0</v>
      </c>
      <c r="J155" t="n">
        <v>0</v>
      </c>
      <c r="K155" t="n">
        <v>0</v>
      </c>
      <c r="L155" t="n">
        <v>0</v>
      </c>
      <c r="M155" t="n">
        <v>0</v>
      </c>
      <c r="N155" t="n">
        <v>0</v>
      </c>
      <c r="O155" t="n">
        <v>0</v>
      </c>
      <c r="P155" t="n">
        <v>0</v>
      </c>
      <c r="Q155" t="n">
        <v>0</v>
      </c>
      <c r="R155" s="2" t="inlineStr"/>
    </row>
    <row r="156" ht="15" customHeight="1">
      <c r="A156" t="inlineStr">
        <is>
          <t>A 19473-2024</t>
        </is>
      </c>
      <c r="B156" s="1" t="n">
        <v>45429</v>
      </c>
      <c r="C156" s="1" t="n">
        <v>45901</v>
      </c>
      <c r="D156" t="inlineStr">
        <is>
          <t>DALARNAS LÄN</t>
        </is>
      </c>
      <c r="E156" t="inlineStr">
        <is>
          <t>HEDEMORA</t>
        </is>
      </c>
      <c r="G156" t="n">
        <v>2.5</v>
      </c>
      <c r="H156" t="n">
        <v>0</v>
      </c>
      <c r="I156" t="n">
        <v>0</v>
      </c>
      <c r="J156" t="n">
        <v>0</v>
      </c>
      <c r="K156" t="n">
        <v>0</v>
      </c>
      <c r="L156" t="n">
        <v>0</v>
      </c>
      <c r="M156" t="n">
        <v>0</v>
      </c>
      <c r="N156" t="n">
        <v>0</v>
      </c>
      <c r="O156" t="n">
        <v>0</v>
      </c>
      <c r="P156" t="n">
        <v>0</v>
      </c>
      <c r="Q156" t="n">
        <v>0</v>
      </c>
      <c r="R156" s="2" t="inlineStr"/>
    </row>
    <row r="157" ht="15" customHeight="1">
      <c r="A157" t="inlineStr">
        <is>
          <t>A 41435-2023</t>
        </is>
      </c>
      <c r="B157" s="1" t="n">
        <v>45170</v>
      </c>
      <c r="C157" s="1" t="n">
        <v>45901</v>
      </c>
      <c r="D157" t="inlineStr">
        <is>
          <t>DALARNAS LÄN</t>
        </is>
      </c>
      <c r="E157" t="inlineStr">
        <is>
          <t>HEDEMORA</t>
        </is>
      </c>
      <c r="G157" t="n">
        <v>2.9</v>
      </c>
      <c r="H157" t="n">
        <v>0</v>
      </c>
      <c r="I157" t="n">
        <v>0</v>
      </c>
      <c r="J157" t="n">
        <v>0</v>
      </c>
      <c r="K157" t="n">
        <v>0</v>
      </c>
      <c r="L157" t="n">
        <v>0</v>
      </c>
      <c r="M157" t="n">
        <v>0</v>
      </c>
      <c r="N157" t="n">
        <v>0</v>
      </c>
      <c r="O157" t="n">
        <v>0</v>
      </c>
      <c r="P157" t="n">
        <v>0</v>
      </c>
      <c r="Q157" t="n">
        <v>0</v>
      </c>
      <c r="R157" s="2" t="inlineStr"/>
    </row>
    <row r="158" ht="15" customHeight="1">
      <c r="A158" t="inlineStr">
        <is>
          <t>A 54312-2024</t>
        </is>
      </c>
      <c r="B158" s="1" t="n">
        <v>45617.3434837963</v>
      </c>
      <c r="C158" s="1" t="n">
        <v>45901</v>
      </c>
      <c r="D158" t="inlineStr">
        <is>
          <t>DALARNAS LÄN</t>
        </is>
      </c>
      <c r="E158" t="inlineStr">
        <is>
          <t>HEDEMORA</t>
        </is>
      </c>
      <c r="F158" t="inlineStr">
        <is>
          <t>Bergvik skog väst AB</t>
        </is>
      </c>
      <c r="G158" t="n">
        <v>13.9</v>
      </c>
      <c r="H158" t="n">
        <v>0</v>
      </c>
      <c r="I158" t="n">
        <v>0</v>
      </c>
      <c r="J158" t="n">
        <v>0</v>
      </c>
      <c r="K158" t="n">
        <v>0</v>
      </c>
      <c r="L158" t="n">
        <v>0</v>
      </c>
      <c r="M158" t="n">
        <v>0</v>
      </c>
      <c r="N158" t="n">
        <v>0</v>
      </c>
      <c r="O158" t="n">
        <v>0</v>
      </c>
      <c r="P158" t="n">
        <v>0</v>
      </c>
      <c r="Q158" t="n">
        <v>0</v>
      </c>
      <c r="R158" s="2" t="inlineStr"/>
    </row>
    <row r="159" ht="15" customHeight="1">
      <c r="A159" t="inlineStr">
        <is>
          <t>A 29585-2024</t>
        </is>
      </c>
      <c r="B159" s="1" t="n">
        <v>45484.57728009259</v>
      </c>
      <c r="C159" s="1" t="n">
        <v>45901</v>
      </c>
      <c r="D159" t="inlineStr">
        <is>
          <t>DALARNAS LÄN</t>
        </is>
      </c>
      <c r="E159" t="inlineStr">
        <is>
          <t>HEDEMORA</t>
        </is>
      </c>
      <c r="F159" t="inlineStr">
        <is>
          <t>Bergvik skog väst AB</t>
        </is>
      </c>
      <c r="G159" t="n">
        <v>8.1</v>
      </c>
      <c r="H159" t="n">
        <v>0</v>
      </c>
      <c r="I159" t="n">
        <v>0</v>
      </c>
      <c r="J159" t="n">
        <v>0</v>
      </c>
      <c r="K159" t="n">
        <v>0</v>
      </c>
      <c r="L159" t="n">
        <v>0</v>
      </c>
      <c r="M159" t="n">
        <v>0</v>
      </c>
      <c r="N159" t="n">
        <v>0</v>
      </c>
      <c r="O159" t="n">
        <v>0</v>
      </c>
      <c r="P159" t="n">
        <v>0</v>
      </c>
      <c r="Q159" t="n">
        <v>0</v>
      </c>
      <c r="R159" s="2" t="inlineStr"/>
    </row>
    <row r="160" ht="15" customHeight="1">
      <c r="A160" t="inlineStr">
        <is>
          <t>A 23435-2025</t>
        </is>
      </c>
      <c r="B160" s="1" t="n">
        <v>45792.37162037037</v>
      </c>
      <c r="C160" s="1" t="n">
        <v>45901</v>
      </c>
      <c r="D160" t="inlineStr">
        <is>
          <t>DALARNAS LÄN</t>
        </is>
      </c>
      <c r="E160" t="inlineStr">
        <is>
          <t>HEDEMORA</t>
        </is>
      </c>
      <c r="F160" t="inlineStr">
        <is>
          <t>Sveaskog</t>
        </is>
      </c>
      <c r="G160" t="n">
        <v>2</v>
      </c>
      <c r="H160" t="n">
        <v>0</v>
      </c>
      <c r="I160" t="n">
        <v>0</v>
      </c>
      <c r="J160" t="n">
        <v>0</v>
      </c>
      <c r="K160" t="n">
        <v>0</v>
      </c>
      <c r="L160" t="n">
        <v>0</v>
      </c>
      <c r="M160" t="n">
        <v>0</v>
      </c>
      <c r="N160" t="n">
        <v>0</v>
      </c>
      <c r="O160" t="n">
        <v>0</v>
      </c>
      <c r="P160" t="n">
        <v>0</v>
      </c>
      <c r="Q160" t="n">
        <v>0</v>
      </c>
      <c r="R160" s="2" t="inlineStr"/>
    </row>
    <row r="161" ht="15" customHeight="1">
      <c r="A161" t="inlineStr">
        <is>
          <t>A 69624-2021</t>
        </is>
      </c>
      <c r="B161" s="1" t="n">
        <v>44532.41442129629</v>
      </c>
      <c r="C161" s="1" t="n">
        <v>45901</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63925-2023</t>
        </is>
      </c>
      <c r="B162" s="1" t="n">
        <v>45278</v>
      </c>
      <c r="C162" s="1" t="n">
        <v>45901</v>
      </c>
      <c r="D162" t="inlineStr">
        <is>
          <t>DALARNAS LÄN</t>
        </is>
      </c>
      <c r="E162" t="inlineStr">
        <is>
          <t>HEDEMORA</t>
        </is>
      </c>
      <c r="G162" t="n">
        <v>5.2</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45901</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28813-2024</t>
        </is>
      </c>
      <c r="B164" s="1" t="n">
        <v>45478.641875</v>
      </c>
      <c r="C164" s="1" t="n">
        <v>45901</v>
      </c>
      <c r="D164" t="inlineStr">
        <is>
          <t>DALARNAS LÄN</t>
        </is>
      </c>
      <c r="E164" t="inlineStr">
        <is>
          <t>HEDEMORA</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31825-2024</t>
        </is>
      </c>
      <c r="B165" s="1" t="n">
        <v>45509.60949074074</v>
      </c>
      <c r="C165" s="1" t="n">
        <v>45901</v>
      </c>
      <c r="D165" t="inlineStr">
        <is>
          <t>DALARNAS LÄN</t>
        </is>
      </c>
      <c r="E165" t="inlineStr">
        <is>
          <t>HEDEMORA</t>
        </is>
      </c>
      <c r="G165" t="n">
        <v>0.1</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45901</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29587-2024</t>
        </is>
      </c>
      <c r="B167" s="1" t="n">
        <v>45484.5799537037</v>
      </c>
      <c r="C167" s="1" t="n">
        <v>45901</v>
      </c>
      <c r="D167" t="inlineStr">
        <is>
          <t>DALARNAS LÄN</t>
        </is>
      </c>
      <c r="E167" t="inlineStr">
        <is>
          <t>HEDEMORA</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45901</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45901</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34929-2024</t>
        </is>
      </c>
      <c r="B170" s="1" t="n">
        <v>45527.44895833333</v>
      </c>
      <c r="C170" s="1" t="n">
        <v>45901</v>
      </c>
      <c r="D170" t="inlineStr">
        <is>
          <t>DALARNAS LÄN</t>
        </is>
      </c>
      <c r="E170" t="inlineStr">
        <is>
          <t>HEDEMORA</t>
        </is>
      </c>
      <c r="F170" t="inlineStr">
        <is>
          <t>Sveaskog</t>
        </is>
      </c>
      <c r="G170" t="n">
        <v>5.1</v>
      </c>
      <c r="H170" t="n">
        <v>0</v>
      </c>
      <c r="I170" t="n">
        <v>0</v>
      </c>
      <c r="J170" t="n">
        <v>0</v>
      </c>
      <c r="K170" t="n">
        <v>0</v>
      </c>
      <c r="L170" t="n">
        <v>0</v>
      </c>
      <c r="M170" t="n">
        <v>0</v>
      </c>
      <c r="N170" t="n">
        <v>0</v>
      </c>
      <c r="O170" t="n">
        <v>0</v>
      </c>
      <c r="P170" t="n">
        <v>0</v>
      </c>
      <c r="Q170" t="n">
        <v>0</v>
      </c>
      <c r="R170" s="2" t="inlineStr"/>
    </row>
    <row r="171" ht="15" customHeight="1">
      <c r="A171" t="inlineStr">
        <is>
          <t>A 34931-2024</t>
        </is>
      </c>
      <c r="B171" s="1" t="n">
        <v>45527.45292824074</v>
      </c>
      <c r="C171" s="1" t="n">
        <v>45901</v>
      </c>
      <c r="D171" t="inlineStr">
        <is>
          <t>DALARNAS LÄN</t>
        </is>
      </c>
      <c r="E171" t="inlineStr">
        <is>
          <t>HEDEMORA</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19988-2025</t>
        </is>
      </c>
      <c r="B172" s="1" t="n">
        <v>45771.72665509259</v>
      </c>
      <c r="C172" s="1" t="n">
        <v>45901</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45901</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2996-2023</t>
        </is>
      </c>
      <c r="B174" s="1" t="n">
        <v>44945</v>
      </c>
      <c r="C174" s="1" t="n">
        <v>45901</v>
      </c>
      <c r="D174" t="inlineStr">
        <is>
          <t>DALARNAS LÄN</t>
        </is>
      </c>
      <c r="E174" t="inlineStr">
        <is>
          <t>HEDEMORA</t>
        </is>
      </c>
      <c r="G174" t="n">
        <v>2.1</v>
      </c>
      <c r="H174" t="n">
        <v>0</v>
      </c>
      <c r="I174" t="n">
        <v>0</v>
      </c>
      <c r="J174" t="n">
        <v>0</v>
      </c>
      <c r="K174" t="n">
        <v>0</v>
      </c>
      <c r="L174" t="n">
        <v>0</v>
      </c>
      <c r="M174" t="n">
        <v>0</v>
      </c>
      <c r="N174" t="n">
        <v>0</v>
      </c>
      <c r="O174" t="n">
        <v>0</v>
      </c>
      <c r="P174" t="n">
        <v>0</v>
      </c>
      <c r="Q174" t="n">
        <v>0</v>
      </c>
      <c r="R174" s="2" t="inlineStr"/>
    </row>
    <row r="175" ht="15" customHeight="1">
      <c r="A175" t="inlineStr">
        <is>
          <t>A 52199-2021</t>
        </is>
      </c>
      <c r="B175" s="1" t="n">
        <v>44462</v>
      </c>
      <c r="C175" s="1" t="n">
        <v>45901</v>
      </c>
      <c r="D175" t="inlineStr">
        <is>
          <t>DALARNAS LÄN</t>
        </is>
      </c>
      <c r="E175" t="inlineStr">
        <is>
          <t>HEDEMORA</t>
        </is>
      </c>
      <c r="F175" t="inlineStr">
        <is>
          <t>Bergvik skog väst AB</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45901</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25195-2024</t>
        </is>
      </c>
      <c r="B177" s="1" t="n">
        <v>45462</v>
      </c>
      <c r="C177" s="1" t="n">
        <v>45901</v>
      </c>
      <c r="D177" t="inlineStr">
        <is>
          <t>DALARNAS LÄN</t>
        </is>
      </c>
      <c r="E177" t="inlineStr">
        <is>
          <t>HEDEMORA</t>
        </is>
      </c>
      <c r="F177" t="inlineStr">
        <is>
          <t>Övriga statliga verk och myndigheter</t>
        </is>
      </c>
      <c r="G177" t="n">
        <v>3.3</v>
      </c>
      <c r="H177" t="n">
        <v>0</v>
      </c>
      <c r="I177" t="n">
        <v>0</v>
      </c>
      <c r="J177" t="n">
        <v>0</v>
      </c>
      <c r="K177" t="n">
        <v>0</v>
      </c>
      <c r="L177" t="n">
        <v>0</v>
      </c>
      <c r="M177" t="n">
        <v>0</v>
      </c>
      <c r="N177" t="n">
        <v>0</v>
      </c>
      <c r="O177" t="n">
        <v>0</v>
      </c>
      <c r="P177" t="n">
        <v>0</v>
      </c>
      <c r="Q177" t="n">
        <v>0</v>
      </c>
      <c r="R177" s="2" t="inlineStr"/>
    </row>
    <row r="178" ht="15" customHeight="1">
      <c r="A178" t="inlineStr">
        <is>
          <t>A 60780-2024</t>
        </is>
      </c>
      <c r="B178" s="1" t="n">
        <v>45644.59017361111</v>
      </c>
      <c r="C178" s="1" t="n">
        <v>45901</v>
      </c>
      <c r="D178" t="inlineStr">
        <is>
          <t>DALARNAS LÄN</t>
        </is>
      </c>
      <c r="E178" t="inlineStr">
        <is>
          <t>HEDEMORA</t>
        </is>
      </c>
      <c r="F178" t="inlineStr">
        <is>
          <t>Sveaskog</t>
        </is>
      </c>
      <c r="G178" t="n">
        <v>4.3</v>
      </c>
      <c r="H178" t="n">
        <v>0</v>
      </c>
      <c r="I178" t="n">
        <v>0</v>
      </c>
      <c r="J178" t="n">
        <v>0</v>
      </c>
      <c r="K178" t="n">
        <v>0</v>
      </c>
      <c r="L178" t="n">
        <v>0</v>
      </c>
      <c r="M178" t="n">
        <v>0</v>
      </c>
      <c r="N178" t="n">
        <v>0</v>
      </c>
      <c r="O178" t="n">
        <v>0</v>
      </c>
      <c r="P178" t="n">
        <v>0</v>
      </c>
      <c r="Q178" t="n">
        <v>0</v>
      </c>
      <c r="R178" s="2" t="inlineStr"/>
    </row>
    <row r="179" ht="15" customHeight="1">
      <c r="A179" t="inlineStr">
        <is>
          <t>A 62046-2022</t>
        </is>
      </c>
      <c r="B179" s="1" t="n">
        <v>44918.5633912037</v>
      </c>
      <c r="C179" s="1" t="n">
        <v>45901</v>
      </c>
      <c r="D179" t="inlineStr">
        <is>
          <t>DALARNAS LÄN</t>
        </is>
      </c>
      <c r="E179" t="inlineStr">
        <is>
          <t>HEDEMORA</t>
        </is>
      </c>
      <c r="G179" t="n">
        <v>1.2</v>
      </c>
      <c r="H179" t="n">
        <v>0</v>
      </c>
      <c r="I179" t="n">
        <v>0</v>
      </c>
      <c r="J179" t="n">
        <v>0</v>
      </c>
      <c r="K179" t="n">
        <v>0</v>
      </c>
      <c r="L179" t="n">
        <v>0</v>
      </c>
      <c r="M179" t="n">
        <v>0</v>
      </c>
      <c r="N179" t="n">
        <v>0</v>
      </c>
      <c r="O179" t="n">
        <v>0</v>
      </c>
      <c r="P179" t="n">
        <v>0</v>
      </c>
      <c r="Q179" t="n">
        <v>0</v>
      </c>
      <c r="R179" s="2" t="inlineStr"/>
    </row>
    <row r="180" ht="15" customHeight="1">
      <c r="A180" t="inlineStr">
        <is>
          <t>A 25021-2025</t>
        </is>
      </c>
      <c r="B180" s="1" t="n">
        <v>45799.64574074074</v>
      </c>
      <c r="C180" s="1" t="n">
        <v>45901</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61886-2022</t>
        </is>
      </c>
      <c r="B181" s="1" t="n">
        <v>44917.67582175926</v>
      </c>
      <c r="C181" s="1" t="n">
        <v>45901</v>
      </c>
      <c r="D181" t="inlineStr">
        <is>
          <t>DALARNAS LÄN</t>
        </is>
      </c>
      <c r="E181" t="inlineStr">
        <is>
          <t>HEDEMORA</t>
        </is>
      </c>
      <c r="G181" t="n">
        <v>1.9</v>
      </c>
      <c r="H181" t="n">
        <v>0</v>
      </c>
      <c r="I181" t="n">
        <v>0</v>
      </c>
      <c r="J181" t="n">
        <v>0</v>
      </c>
      <c r="K181" t="n">
        <v>0</v>
      </c>
      <c r="L181" t="n">
        <v>0</v>
      </c>
      <c r="M181" t="n">
        <v>0</v>
      </c>
      <c r="N181" t="n">
        <v>0</v>
      </c>
      <c r="O181" t="n">
        <v>0</v>
      </c>
      <c r="P181" t="n">
        <v>0</v>
      </c>
      <c r="Q181" t="n">
        <v>0</v>
      </c>
      <c r="R181" s="2" t="inlineStr"/>
    </row>
    <row r="182" ht="15" customHeight="1">
      <c r="A182" t="inlineStr">
        <is>
          <t>A 39530-2024</t>
        </is>
      </c>
      <c r="B182" s="1" t="n">
        <v>45551</v>
      </c>
      <c r="C182" s="1" t="n">
        <v>45901</v>
      </c>
      <c r="D182" t="inlineStr">
        <is>
          <t>DALARNAS LÄN</t>
        </is>
      </c>
      <c r="E182" t="inlineStr">
        <is>
          <t>HEDEMORA</t>
        </is>
      </c>
      <c r="F182" t="inlineStr">
        <is>
          <t>Bergvik skog väst AB</t>
        </is>
      </c>
      <c r="G182" t="n">
        <v>13.8</v>
      </c>
      <c r="H182" t="n">
        <v>0</v>
      </c>
      <c r="I182" t="n">
        <v>0</v>
      </c>
      <c r="J182" t="n">
        <v>0</v>
      </c>
      <c r="K182" t="n">
        <v>0</v>
      </c>
      <c r="L182" t="n">
        <v>0</v>
      </c>
      <c r="M182" t="n">
        <v>0</v>
      </c>
      <c r="N182" t="n">
        <v>0</v>
      </c>
      <c r="O182" t="n">
        <v>0</v>
      </c>
      <c r="P182" t="n">
        <v>0</v>
      </c>
      <c r="Q182" t="n">
        <v>0</v>
      </c>
      <c r="R182" s="2" t="inlineStr"/>
    </row>
    <row r="183" ht="15" customHeight="1">
      <c r="A183" t="inlineStr">
        <is>
          <t>A 39531-2024</t>
        </is>
      </c>
      <c r="B183" s="1" t="n">
        <v>45551</v>
      </c>
      <c r="C183" s="1" t="n">
        <v>45901</v>
      </c>
      <c r="D183" t="inlineStr">
        <is>
          <t>DALARNAS LÄN</t>
        </is>
      </c>
      <c r="E183" t="inlineStr">
        <is>
          <t>HEDEMORA</t>
        </is>
      </c>
      <c r="F183" t="inlineStr">
        <is>
          <t>Bergvik skog väst AB</t>
        </is>
      </c>
      <c r="G183" t="n">
        <v>1.9</v>
      </c>
      <c r="H183" t="n">
        <v>0</v>
      </c>
      <c r="I183" t="n">
        <v>0</v>
      </c>
      <c r="J183" t="n">
        <v>0</v>
      </c>
      <c r="K183" t="n">
        <v>0</v>
      </c>
      <c r="L183" t="n">
        <v>0</v>
      </c>
      <c r="M183" t="n">
        <v>0</v>
      </c>
      <c r="N183" t="n">
        <v>0</v>
      </c>
      <c r="O183" t="n">
        <v>0</v>
      </c>
      <c r="P183" t="n">
        <v>0</v>
      </c>
      <c r="Q183" t="n">
        <v>0</v>
      </c>
      <c r="R183" s="2" t="inlineStr"/>
    </row>
    <row r="184" ht="15" customHeight="1">
      <c r="A184" t="inlineStr">
        <is>
          <t>A 39552-2024</t>
        </is>
      </c>
      <c r="B184" s="1" t="n">
        <v>45551</v>
      </c>
      <c r="C184" s="1" t="n">
        <v>45901</v>
      </c>
      <c r="D184" t="inlineStr">
        <is>
          <t>DALARNAS LÄN</t>
        </is>
      </c>
      <c r="E184" t="inlineStr">
        <is>
          <t>HEDEMORA</t>
        </is>
      </c>
      <c r="F184" t="inlineStr">
        <is>
          <t>Bergvik skog väst AB</t>
        </is>
      </c>
      <c r="G184" t="n">
        <v>24.1</v>
      </c>
      <c r="H184" t="n">
        <v>0</v>
      </c>
      <c r="I184" t="n">
        <v>0</v>
      </c>
      <c r="J184" t="n">
        <v>0</v>
      </c>
      <c r="K184" t="n">
        <v>0</v>
      </c>
      <c r="L184" t="n">
        <v>0</v>
      </c>
      <c r="M184" t="n">
        <v>0</v>
      </c>
      <c r="N184" t="n">
        <v>0</v>
      </c>
      <c r="O184" t="n">
        <v>0</v>
      </c>
      <c r="P184" t="n">
        <v>0</v>
      </c>
      <c r="Q184" t="n">
        <v>0</v>
      </c>
      <c r="R184" s="2" t="inlineStr"/>
    </row>
    <row r="185" ht="15" customHeight="1">
      <c r="A185" t="inlineStr">
        <is>
          <t>A 19397-2024</t>
        </is>
      </c>
      <c r="B185" s="1" t="n">
        <v>45429.38474537037</v>
      </c>
      <c r="C185" s="1" t="n">
        <v>45901</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48321-2024</t>
        </is>
      </c>
      <c r="B186" s="1" t="n">
        <v>45590.50111111111</v>
      </c>
      <c r="C186" s="1" t="n">
        <v>45901</v>
      </c>
      <c r="D186" t="inlineStr">
        <is>
          <t>DALARNAS LÄN</t>
        </is>
      </c>
      <c r="E186" t="inlineStr">
        <is>
          <t>HEDEMORA</t>
        </is>
      </c>
      <c r="F186" t="inlineStr">
        <is>
          <t>Sveaskog</t>
        </is>
      </c>
      <c r="G186" t="n">
        <v>5.2</v>
      </c>
      <c r="H186" t="n">
        <v>0</v>
      </c>
      <c r="I186" t="n">
        <v>0</v>
      </c>
      <c r="J186" t="n">
        <v>0</v>
      </c>
      <c r="K186" t="n">
        <v>0</v>
      </c>
      <c r="L186" t="n">
        <v>0</v>
      </c>
      <c r="M186" t="n">
        <v>0</v>
      </c>
      <c r="N186" t="n">
        <v>0</v>
      </c>
      <c r="O186" t="n">
        <v>0</v>
      </c>
      <c r="P186" t="n">
        <v>0</v>
      </c>
      <c r="Q186" t="n">
        <v>0</v>
      </c>
      <c r="R186" s="2" t="inlineStr"/>
    </row>
    <row r="187" ht="15" customHeight="1">
      <c r="A187" t="inlineStr">
        <is>
          <t>A 36935-2024</t>
        </is>
      </c>
      <c r="B187" s="1" t="n">
        <v>45538.56925925926</v>
      </c>
      <c r="C187" s="1" t="n">
        <v>45901</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26204-2025</t>
        </is>
      </c>
      <c r="B188" s="1" t="n">
        <v>45805.51065972223</v>
      </c>
      <c r="C188" s="1" t="n">
        <v>45901</v>
      </c>
      <c r="D188" t="inlineStr">
        <is>
          <t>DALARNAS LÄN</t>
        </is>
      </c>
      <c r="E188" t="inlineStr">
        <is>
          <t>HEDEMORA</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15635-2022</t>
        </is>
      </c>
      <c r="B189" s="1" t="n">
        <v>44662.84958333334</v>
      </c>
      <c r="C189" s="1" t="n">
        <v>45901</v>
      </c>
      <c r="D189" t="inlineStr">
        <is>
          <t>DALARNAS LÄN</t>
        </is>
      </c>
      <c r="E189" t="inlineStr">
        <is>
          <t>HEDEMORA</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37761-2024</t>
        </is>
      </c>
      <c r="B190" s="1" t="n">
        <v>45541.78678240741</v>
      </c>
      <c r="C190" s="1" t="n">
        <v>45901</v>
      </c>
      <c r="D190" t="inlineStr">
        <is>
          <t>DALARNAS LÄN</t>
        </is>
      </c>
      <c r="E190" t="inlineStr">
        <is>
          <t>HEDEMORA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6972-2025</t>
        </is>
      </c>
      <c r="B191" s="1" t="n">
        <v>45701.53790509259</v>
      </c>
      <c r="C191" s="1" t="n">
        <v>45901</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7916-2024</t>
        </is>
      </c>
      <c r="B192" s="1" t="n">
        <v>45350.46259259259</v>
      </c>
      <c r="C192" s="1" t="n">
        <v>45901</v>
      </c>
      <c r="D192" t="inlineStr">
        <is>
          <t>DALARNAS LÄN</t>
        </is>
      </c>
      <c r="E192" t="inlineStr">
        <is>
          <t>HEDEMORA</t>
        </is>
      </c>
      <c r="G192" t="n">
        <v>5.8</v>
      </c>
      <c r="H192" t="n">
        <v>0</v>
      </c>
      <c r="I192" t="n">
        <v>0</v>
      </c>
      <c r="J192" t="n">
        <v>0</v>
      </c>
      <c r="K192" t="n">
        <v>0</v>
      </c>
      <c r="L192" t="n">
        <v>0</v>
      </c>
      <c r="M192" t="n">
        <v>0</v>
      </c>
      <c r="N192" t="n">
        <v>0</v>
      </c>
      <c r="O192" t="n">
        <v>0</v>
      </c>
      <c r="P192" t="n">
        <v>0</v>
      </c>
      <c r="Q192" t="n">
        <v>0</v>
      </c>
      <c r="R192" s="2" t="inlineStr"/>
    </row>
    <row r="193" ht="15" customHeight="1">
      <c r="A193" t="inlineStr">
        <is>
          <t>A 52944-2024</t>
        </is>
      </c>
      <c r="B193" s="1" t="n">
        <v>45610.82546296297</v>
      </c>
      <c r="C193" s="1" t="n">
        <v>45901</v>
      </c>
      <c r="D193" t="inlineStr">
        <is>
          <t>DALARNAS LÄN</t>
        </is>
      </c>
      <c r="E193" t="inlineStr">
        <is>
          <t>HEDEMORA</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43621-2024</t>
        </is>
      </c>
      <c r="B194" s="1" t="n">
        <v>45569.48200231481</v>
      </c>
      <c r="C194" s="1" t="n">
        <v>45901</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26705-2025</t>
        </is>
      </c>
      <c r="B195" s="1" t="n">
        <v>45810.45325231482</v>
      </c>
      <c r="C195" s="1" t="n">
        <v>45901</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14456-2021</t>
        </is>
      </c>
      <c r="B196" s="1" t="n">
        <v>44279.50208333333</v>
      </c>
      <c r="C196" s="1" t="n">
        <v>45901</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row>
    <row r="197" ht="15" customHeight="1">
      <c r="A197" t="inlineStr">
        <is>
          <t>A 12133-2025</t>
        </is>
      </c>
      <c r="B197" s="1" t="n">
        <v>45729.38878472222</v>
      </c>
      <c r="C197" s="1" t="n">
        <v>45901</v>
      </c>
      <c r="D197" t="inlineStr">
        <is>
          <t>DALARNAS LÄN</t>
        </is>
      </c>
      <c r="E197" t="inlineStr">
        <is>
          <t>HEDEMORA</t>
        </is>
      </c>
      <c r="G197" t="n">
        <v>4.8</v>
      </c>
      <c r="H197" t="n">
        <v>0</v>
      </c>
      <c r="I197" t="n">
        <v>0</v>
      </c>
      <c r="J197" t="n">
        <v>0</v>
      </c>
      <c r="K197" t="n">
        <v>0</v>
      </c>
      <c r="L197" t="n">
        <v>0</v>
      </c>
      <c r="M197" t="n">
        <v>0</v>
      </c>
      <c r="N197" t="n">
        <v>0</v>
      </c>
      <c r="O197" t="n">
        <v>0</v>
      </c>
      <c r="P197" t="n">
        <v>0</v>
      </c>
      <c r="Q197" t="n">
        <v>0</v>
      </c>
      <c r="R197" s="2" t="inlineStr"/>
    </row>
    <row r="198" ht="15" customHeight="1">
      <c r="A198" t="inlineStr">
        <is>
          <t>A 28180-2025</t>
        </is>
      </c>
      <c r="B198" s="1" t="n">
        <v>45818.39755787037</v>
      </c>
      <c r="C198" s="1" t="n">
        <v>45901</v>
      </c>
      <c r="D198" t="inlineStr">
        <is>
          <t>DALARNAS LÄN</t>
        </is>
      </c>
      <c r="E198" t="inlineStr">
        <is>
          <t>HEDEMORA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28182-2025</t>
        </is>
      </c>
      <c r="B199" s="1" t="n">
        <v>45818.40069444444</v>
      </c>
      <c r="C199" s="1" t="n">
        <v>45901</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20237-2023</t>
        </is>
      </c>
      <c r="B200" s="1" t="n">
        <v>45055</v>
      </c>
      <c r="C200" s="1" t="n">
        <v>45901</v>
      </c>
      <c r="D200" t="inlineStr">
        <is>
          <t>DALARNAS LÄN</t>
        </is>
      </c>
      <c r="E200" t="inlineStr">
        <is>
          <t>HEDEMORA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22222-2023</t>
        </is>
      </c>
      <c r="B201" s="1" t="n">
        <v>45069.93758101852</v>
      </c>
      <c r="C201" s="1" t="n">
        <v>45901</v>
      </c>
      <c r="D201" t="inlineStr">
        <is>
          <t>DALARNAS LÄN</t>
        </is>
      </c>
      <c r="E201" t="inlineStr">
        <is>
          <t>HEDEMORA</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19690-2025</t>
        </is>
      </c>
      <c r="B202" s="1" t="n">
        <v>45770.88761574074</v>
      </c>
      <c r="C202" s="1" t="n">
        <v>45901</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45901</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37762-2024</t>
        </is>
      </c>
      <c r="B204" s="1" t="n">
        <v>45541.79369212963</v>
      </c>
      <c r="C204" s="1" t="n">
        <v>45901</v>
      </c>
      <c r="D204" t="inlineStr">
        <is>
          <t>DALARNAS LÄN</t>
        </is>
      </c>
      <c r="E204" t="inlineStr">
        <is>
          <t>HEDEMORA</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28183-2025</t>
        </is>
      </c>
      <c r="B205" s="1" t="n">
        <v>45818.4021875</v>
      </c>
      <c r="C205" s="1" t="n">
        <v>45901</v>
      </c>
      <c r="D205" t="inlineStr">
        <is>
          <t>DALARNAS LÄN</t>
        </is>
      </c>
      <c r="E205" t="inlineStr">
        <is>
          <t>HEDEMORA</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45901</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44210.67606481481</v>
      </c>
      <c r="C207" s="1" t="n">
        <v>45901</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44384-2024</t>
        </is>
      </c>
      <c r="B208" s="1" t="n">
        <v>45573.67782407408</v>
      </c>
      <c r="C208" s="1" t="n">
        <v>45901</v>
      </c>
      <c r="D208" t="inlineStr">
        <is>
          <t>DALARNAS LÄN</t>
        </is>
      </c>
      <c r="E208" t="inlineStr">
        <is>
          <t>HEDEMORA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44388-2024</t>
        </is>
      </c>
      <c r="B209" s="1" t="n">
        <v>45573.68875</v>
      </c>
      <c r="C209" s="1" t="n">
        <v>45901</v>
      </c>
      <c r="D209" t="inlineStr">
        <is>
          <t>DALARNAS LÄN</t>
        </is>
      </c>
      <c r="E209" t="inlineStr">
        <is>
          <t>HEDEMORA</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36075-2025</t>
        </is>
      </c>
      <c r="B210" s="1" t="n">
        <v>45866.43974537037</v>
      </c>
      <c r="C210" s="1" t="n">
        <v>45901</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36103-2025</t>
        </is>
      </c>
      <c r="B211" s="1" t="n">
        <v>45866.55335648148</v>
      </c>
      <c r="C211" s="1" t="n">
        <v>45901</v>
      </c>
      <c r="D211" t="inlineStr">
        <is>
          <t>DALARNAS LÄN</t>
        </is>
      </c>
      <c r="E211" t="inlineStr">
        <is>
          <t>HEDEMORA</t>
        </is>
      </c>
      <c r="G211" t="n">
        <v>2.3</v>
      </c>
      <c r="H211" t="n">
        <v>0</v>
      </c>
      <c r="I211" t="n">
        <v>0</v>
      </c>
      <c r="J211" t="n">
        <v>0</v>
      </c>
      <c r="K211" t="n">
        <v>0</v>
      </c>
      <c r="L211" t="n">
        <v>0</v>
      </c>
      <c r="M211" t="n">
        <v>0</v>
      </c>
      <c r="N211" t="n">
        <v>0</v>
      </c>
      <c r="O211" t="n">
        <v>0</v>
      </c>
      <c r="P211" t="n">
        <v>0</v>
      </c>
      <c r="Q211" t="n">
        <v>0</v>
      </c>
      <c r="R211" s="2" t="inlineStr"/>
    </row>
    <row r="212" ht="15" customHeight="1">
      <c r="A212" t="inlineStr">
        <is>
          <t>A 58841-2023</t>
        </is>
      </c>
      <c r="B212" s="1" t="n">
        <v>45252.42115740741</v>
      </c>
      <c r="C212" s="1" t="n">
        <v>45901</v>
      </c>
      <c r="D212" t="inlineStr">
        <is>
          <t>DALARNAS LÄN</t>
        </is>
      </c>
      <c r="E212" t="inlineStr">
        <is>
          <t>HEDEMORA</t>
        </is>
      </c>
      <c r="G212" t="n">
        <v>14.8</v>
      </c>
      <c r="H212" t="n">
        <v>0</v>
      </c>
      <c r="I212" t="n">
        <v>0</v>
      </c>
      <c r="J212" t="n">
        <v>0</v>
      </c>
      <c r="K212" t="n">
        <v>0</v>
      </c>
      <c r="L212" t="n">
        <v>0</v>
      </c>
      <c r="M212" t="n">
        <v>0</v>
      </c>
      <c r="N212" t="n">
        <v>0</v>
      </c>
      <c r="O212" t="n">
        <v>0</v>
      </c>
      <c r="P212" t="n">
        <v>0</v>
      </c>
      <c r="Q212" t="n">
        <v>0</v>
      </c>
      <c r="R212" s="2" t="inlineStr"/>
    </row>
    <row r="213" ht="15" customHeight="1">
      <c r="A213" t="inlineStr">
        <is>
          <t>A 36117-2025</t>
        </is>
      </c>
      <c r="B213" s="1" t="n">
        <v>45866.58664351852</v>
      </c>
      <c r="C213" s="1" t="n">
        <v>45901</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34928-2024</t>
        </is>
      </c>
      <c r="B214" s="1" t="n">
        <v>45527.44613425926</v>
      </c>
      <c r="C214" s="1" t="n">
        <v>45901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36206-2025</t>
        </is>
      </c>
      <c r="B215" s="1" t="n">
        <v>45867.45057870371</v>
      </c>
      <c r="C215" s="1" t="n">
        <v>45901</v>
      </c>
      <c r="D215" t="inlineStr">
        <is>
          <t>DALARNAS LÄN</t>
        </is>
      </c>
      <c r="E215" t="inlineStr">
        <is>
          <t>HEDEMORA</t>
        </is>
      </c>
      <c r="G215" t="n">
        <v>0.1</v>
      </c>
      <c r="H215" t="n">
        <v>0</v>
      </c>
      <c r="I215" t="n">
        <v>0</v>
      </c>
      <c r="J215" t="n">
        <v>0</v>
      </c>
      <c r="K215" t="n">
        <v>0</v>
      </c>
      <c r="L215" t="n">
        <v>0</v>
      </c>
      <c r="M215" t="n">
        <v>0</v>
      </c>
      <c r="N215" t="n">
        <v>0</v>
      </c>
      <c r="O215" t="n">
        <v>0</v>
      </c>
      <c r="P215" t="n">
        <v>0</v>
      </c>
      <c r="Q215" t="n">
        <v>0</v>
      </c>
      <c r="R215" s="2" t="inlineStr"/>
    </row>
    <row r="216" ht="15" customHeight="1">
      <c r="A216" t="inlineStr">
        <is>
          <t>A 29690-2025</t>
        </is>
      </c>
      <c r="B216" s="1" t="n">
        <v>45825.53508101852</v>
      </c>
      <c r="C216" s="1" t="n">
        <v>45901</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30471-2025</t>
        </is>
      </c>
      <c r="B217" s="1" t="n">
        <v>45827.94552083333</v>
      </c>
      <c r="C217" s="1" t="n">
        <v>45901</v>
      </c>
      <c r="D217" t="inlineStr">
        <is>
          <t>DALARNAS LÄN</t>
        </is>
      </c>
      <c r="E217" t="inlineStr">
        <is>
          <t>HEDEMORA</t>
        </is>
      </c>
      <c r="G217" t="n">
        <v>0.3</v>
      </c>
      <c r="H217" t="n">
        <v>0</v>
      </c>
      <c r="I217" t="n">
        <v>0</v>
      </c>
      <c r="J217" t="n">
        <v>0</v>
      </c>
      <c r="K217" t="n">
        <v>0</v>
      </c>
      <c r="L217" t="n">
        <v>0</v>
      </c>
      <c r="M217" t="n">
        <v>0</v>
      </c>
      <c r="N217" t="n">
        <v>0</v>
      </c>
      <c r="O217" t="n">
        <v>0</v>
      </c>
      <c r="P217" t="n">
        <v>0</v>
      </c>
      <c r="Q217" t="n">
        <v>0</v>
      </c>
      <c r="R217" s="2" t="inlineStr"/>
    </row>
    <row r="218" ht="15" customHeight="1">
      <c r="A218" t="inlineStr">
        <is>
          <t>A 53586-2023</t>
        </is>
      </c>
      <c r="B218" s="1" t="n">
        <v>45230.52603009259</v>
      </c>
      <c r="C218" s="1" t="n">
        <v>45901</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30472-2025</t>
        </is>
      </c>
      <c r="B219" s="1" t="n">
        <v>45827.94671296296</v>
      </c>
      <c r="C219" s="1" t="n">
        <v>45901</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20271-2025</t>
        </is>
      </c>
      <c r="B220" s="1" t="n">
        <v>45773.71568287037</v>
      </c>
      <c r="C220" s="1" t="n">
        <v>45901</v>
      </c>
      <c r="D220" t="inlineStr">
        <is>
          <t>DALARNAS LÄN</t>
        </is>
      </c>
      <c r="E220" t="inlineStr">
        <is>
          <t>HEDEMORA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29128-2025</t>
        </is>
      </c>
      <c r="B221" s="1" t="n">
        <v>45821.60116898148</v>
      </c>
      <c r="C221" s="1" t="n">
        <v>45901</v>
      </c>
      <c r="D221" t="inlineStr">
        <is>
          <t>DALARNAS LÄN</t>
        </is>
      </c>
      <c r="E221" t="inlineStr">
        <is>
          <t>HEDEMORA</t>
        </is>
      </c>
      <c r="F221" t="inlineStr">
        <is>
          <t>Sveaskog</t>
        </is>
      </c>
      <c r="G221" t="n">
        <v>15.5</v>
      </c>
      <c r="H221" t="n">
        <v>0</v>
      </c>
      <c r="I221" t="n">
        <v>0</v>
      </c>
      <c r="J221" t="n">
        <v>0</v>
      </c>
      <c r="K221" t="n">
        <v>0</v>
      </c>
      <c r="L221" t="n">
        <v>0</v>
      </c>
      <c r="M221" t="n">
        <v>0</v>
      </c>
      <c r="N221" t="n">
        <v>0</v>
      </c>
      <c r="O221" t="n">
        <v>0</v>
      </c>
      <c r="P221" t="n">
        <v>0</v>
      </c>
      <c r="Q221" t="n">
        <v>0</v>
      </c>
      <c r="R221" s="2" t="inlineStr"/>
    </row>
    <row r="222" ht="15" customHeight="1">
      <c r="A222" t="inlineStr">
        <is>
          <t>A 44957-2021</t>
        </is>
      </c>
      <c r="B222" s="1" t="n">
        <v>44438.71809027778</v>
      </c>
      <c r="C222" s="1" t="n">
        <v>45901</v>
      </c>
      <c r="D222" t="inlineStr">
        <is>
          <t>DALARNAS LÄN</t>
        </is>
      </c>
      <c r="E222" t="inlineStr">
        <is>
          <t>HEDEMORA</t>
        </is>
      </c>
      <c r="F222" t="inlineStr">
        <is>
          <t>Sveaskog</t>
        </is>
      </c>
      <c r="G222" t="n">
        <v>4.5</v>
      </c>
      <c r="H222" t="n">
        <v>0</v>
      </c>
      <c r="I222" t="n">
        <v>0</v>
      </c>
      <c r="J222" t="n">
        <v>0</v>
      </c>
      <c r="K222" t="n">
        <v>0</v>
      </c>
      <c r="L222" t="n">
        <v>0</v>
      </c>
      <c r="M222" t="n">
        <v>0</v>
      </c>
      <c r="N222" t="n">
        <v>0</v>
      </c>
      <c r="O222" t="n">
        <v>0</v>
      </c>
      <c r="P222" t="n">
        <v>0</v>
      </c>
      <c r="Q222" t="n">
        <v>0</v>
      </c>
      <c r="R222" s="2" t="inlineStr"/>
    </row>
    <row r="223" ht="15" customHeight="1">
      <c r="A223" t="inlineStr">
        <is>
          <t>A 29792-2025</t>
        </is>
      </c>
      <c r="B223" s="1" t="n">
        <v>45825.66416666667</v>
      </c>
      <c r="C223" s="1" t="n">
        <v>45901</v>
      </c>
      <c r="D223" t="inlineStr">
        <is>
          <t>DALARNAS LÄN</t>
        </is>
      </c>
      <c r="E223" t="inlineStr">
        <is>
          <t>HEDEMORA</t>
        </is>
      </c>
      <c r="F223" t="inlineStr">
        <is>
          <t>Sveaskog</t>
        </is>
      </c>
      <c r="G223" t="n">
        <v>26.3</v>
      </c>
      <c r="H223" t="n">
        <v>0</v>
      </c>
      <c r="I223" t="n">
        <v>0</v>
      </c>
      <c r="J223" t="n">
        <v>0</v>
      </c>
      <c r="K223" t="n">
        <v>0</v>
      </c>
      <c r="L223" t="n">
        <v>0</v>
      </c>
      <c r="M223" t="n">
        <v>0</v>
      </c>
      <c r="N223" t="n">
        <v>0</v>
      </c>
      <c r="O223" t="n">
        <v>0</v>
      </c>
      <c r="P223" t="n">
        <v>0</v>
      </c>
      <c r="Q223" t="n">
        <v>0</v>
      </c>
      <c r="R223" s="2" t="inlineStr"/>
    </row>
    <row r="224" ht="15" customHeight="1">
      <c r="A224" t="inlineStr">
        <is>
          <t>A 7052-2025</t>
        </is>
      </c>
      <c r="B224" s="1" t="n">
        <v>45701.64659722222</v>
      </c>
      <c r="C224" s="1" t="n">
        <v>45901</v>
      </c>
      <c r="D224" t="inlineStr">
        <is>
          <t>DALARNAS LÄN</t>
        </is>
      </c>
      <c r="E224" t="inlineStr">
        <is>
          <t>HEDEMORA</t>
        </is>
      </c>
      <c r="G224" t="n">
        <v>0.9</v>
      </c>
      <c r="H224" t="n">
        <v>0</v>
      </c>
      <c r="I224" t="n">
        <v>0</v>
      </c>
      <c r="J224" t="n">
        <v>0</v>
      </c>
      <c r="K224" t="n">
        <v>0</v>
      </c>
      <c r="L224" t="n">
        <v>0</v>
      </c>
      <c r="M224" t="n">
        <v>0</v>
      </c>
      <c r="N224" t="n">
        <v>0</v>
      </c>
      <c r="O224" t="n">
        <v>0</v>
      </c>
      <c r="P224" t="n">
        <v>0</v>
      </c>
      <c r="Q224" t="n">
        <v>0</v>
      </c>
      <c r="R224" s="2" t="inlineStr"/>
    </row>
    <row r="225" ht="15" customHeight="1">
      <c r="A225" t="inlineStr">
        <is>
          <t>A 41642-2023</t>
        </is>
      </c>
      <c r="B225" s="1" t="n">
        <v>45175</v>
      </c>
      <c r="C225" s="1" t="n">
        <v>45901</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45377-2024</t>
        </is>
      </c>
      <c r="B226" s="1" t="n">
        <v>45576.51962962963</v>
      </c>
      <c r="C226" s="1" t="n">
        <v>45901</v>
      </c>
      <c r="D226" t="inlineStr">
        <is>
          <t>DALARNAS LÄN</t>
        </is>
      </c>
      <c r="E226" t="inlineStr">
        <is>
          <t>HEDEMORA</t>
        </is>
      </c>
      <c r="G226" t="n">
        <v>1.4</v>
      </c>
      <c r="H226" t="n">
        <v>0</v>
      </c>
      <c r="I226" t="n">
        <v>0</v>
      </c>
      <c r="J226" t="n">
        <v>0</v>
      </c>
      <c r="K226" t="n">
        <v>0</v>
      </c>
      <c r="L226" t="n">
        <v>0</v>
      </c>
      <c r="M226" t="n">
        <v>0</v>
      </c>
      <c r="N226" t="n">
        <v>0</v>
      </c>
      <c r="O226" t="n">
        <v>0</v>
      </c>
      <c r="P226" t="n">
        <v>0</v>
      </c>
      <c r="Q226" t="n">
        <v>0</v>
      </c>
      <c r="R226" s="2" t="inlineStr"/>
    </row>
    <row r="227" ht="15" customHeight="1">
      <c r="A227" t="inlineStr">
        <is>
          <t>A 6556-2023</t>
        </is>
      </c>
      <c r="B227" s="1" t="n">
        <v>44961</v>
      </c>
      <c r="C227" s="1" t="n">
        <v>45901</v>
      </c>
      <c r="D227" t="inlineStr">
        <is>
          <t>DALARNAS LÄN</t>
        </is>
      </c>
      <c r="E227" t="inlineStr">
        <is>
          <t>HEDEMORA</t>
        </is>
      </c>
      <c r="G227" t="n">
        <v>3.7</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45901</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17645-2022</t>
        </is>
      </c>
      <c r="B229" s="1" t="n">
        <v>44680.47903935185</v>
      </c>
      <c r="C229" s="1" t="n">
        <v>45901</v>
      </c>
      <c r="D229" t="inlineStr">
        <is>
          <t>DALARNAS LÄN</t>
        </is>
      </c>
      <c r="E229" t="inlineStr">
        <is>
          <t>HEDEMORA</t>
        </is>
      </c>
      <c r="G229" t="n">
        <v>1.3</v>
      </c>
      <c r="H229" t="n">
        <v>0</v>
      </c>
      <c r="I229" t="n">
        <v>0</v>
      </c>
      <c r="J229" t="n">
        <v>0</v>
      </c>
      <c r="K229" t="n">
        <v>0</v>
      </c>
      <c r="L229" t="n">
        <v>0</v>
      </c>
      <c r="M229" t="n">
        <v>0</v>
      </c>
      <c r="N229" t="n">
        <v>0</v>
      </c>
      <c r="O229" t="n">
        <v>0</v>
      </c>
      <c r="P229" t="n">
        <v>0</v>
      </c>
      <c r="Q229" t="n">
        <v>0</v>
      </c>
      <c r="R229" s="2" t="inlineStr"/>
    </row>
    <row r="230" ht="15" customHeight="1">
      <c r="A230" t="inlineStr">
        <is>
          <t>A 30582-2025</t>
        </is>
      </c>
      <c r="B230" s="1" t="n">
        <v>45831.42349537037</v>
      </c>
      <c r="C230" s="1" t="n">
        <v>45901</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17222-2025</t>
        </is>
      </c>
      <c r="B231" s="1" t="n">
        <v>45756.45504629629</v>
      </c>
      <c r="C231" s="1" t="n">
        <v>45901</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59232-2023</t>
        </is>
      </c>
      <c r="B232" s="1" t="n">
        <v>45253.5053587963</v>
      </c>
      <c r="C232" s="1" t="n">
        <v>45901</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45901</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45589-2023</t>
        </is>
      </c>
      <c r="B234" s="1" t="n">
        <v>45194.63086805555</v>
      </c>
      <c r="C234" s="1" t="n">
        <v>45901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59632-2023</t>
        </is>
      </c>
      <c r="B235" s="1" t="n">
        <v>45254</v>
      </c>
      <c r="C235" s="1" t="n">
        <v>45901</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34409-2022</t>
        </is>
      </c>
      <c r="B236" s="1" t="n">
        <v>44792</v>
      </c>
      <c r="C236" s="1" t="n">
        <v>45901</v>
      </c>
      <c r="D236" t="inlineStr">
        <is>
          <t>DALARNAS LÄN</t>
        </is>
      </c>
      <c r="E236" t="inlineStr">
        <is>
          <t>HEDEMORA</t>
        </is>
      </c>
      <c r="G236" t="n">
        <v>13.7</v>
      </c>
      <c r="H236" t="n">
        <v>0</v>
      </c>
      <c r="I236" t="n">
        <v>0</v>
      </c>
      <c r="J236" t="n">
        <v>0</v>
      </c>
      <c r="K236" t="n">
        <v>0</v>
      </c>
      <c r="L236" t="n">
        <v>0</v>
      </c>
      <c r="M236" t="n">
        <v>0</v>
      </c>
      <c r="N236" t="n">
        <v>0</v>
      </c>
      <c r="O236" t="n">
        <v>0</v>
      </c>
      <c r="P236" t="n">
        <v>0</v>
      </c>
      <c r="Q236" t="n">
        <v>0</v>
      </c>
      <c r="R236" s="2" t="inlineStr"/>
    </row>
    <row r="237" ht="15" customHeight="1">
      <c r="A237" t="inlineStr">
        <is>
          <t>A 37573-2025</t>
        </is>
      </c>
      <c r="B237" s="1" t="n">
        <v>45880.37711805556</v>
      </c>
      <c r="C237" s="1" t="n">
        <v>45901</v>
      </c>
      <c r="D237" t="inlineStr">
        <is>
          <t>DALARNAS LÄN</t>
        </is>
      </c>
      <c r="E237" t="inlineStr">
        <is>
          <t>HEDEMORA</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32738-2022</t>
        </is>
      </c>
      <c r="B238" s="1" t="n">
        <v>44783.68931712963</v>
      </c>
      <c r="C238" s="1" t="n">
        <v>45901</v>
      </c>
      <c r="D238" t="inlineStr">
        <is>
          <t>DALARNAS LÄN</t>
        </is>
      </c>
      <c r="E238" t="inlineStr">
        <is>
          <t>HEDEMORA</t>
        </is>
      </c>
      <c r="G238" t="n">
        <v>2.6</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45901</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3089-2024</t>
        </is>
      </c>
      <c r="B240" s="1" t="n">
        <v>45316</v>
      </c>
      <c r="C240" s="1" t="n">
        <v>45901</v>
      </c>
      <c r="D240" t="inlineStr">
        <is>
          <t>DALARNAS LÄN</t>
        </is>
      </c>
      <c r="E240" t="inlineStr">
        <is>
          <t>HEDEMORA</t>
        </is>
      </c>
      <c r="G240" t="n">
        <v>5.5</v>
      </c>
      <c r="H240" t="n">
        <v>0</v>
      </c>
      <c r="I240" t="n">
        <v>0</v>
      </c>
      <c r="J240" t="n">
        <v>0</v>
      </c>
      <c r="K240" t="n">
        <v>0</v>
      </c>
      <c r="L240" t="n">
        <v>0</v>
      </c>
      <c r="M240" t="n">
        <v>0</v>
      </c>
      <c r="N240" t="n">
        <v>0</v>
      </c>
      <c r="O240" t="n">
        <v>0</v>
      </c>
      <c r="P240" t="n">
        <v>0</v>
      </c>
      <c r="Q240" t="n">
        <v>0</v>
      </c>
      <c r="R240" s="2" t="inlineStr"/>
    </row>
    <row r="241" ht="15" customHeight="1">
      <c r="A241" t="inlineStr">
        <is>
          <t>A 32865-2025</t>
        </is>
      </c>
      <c r="B241" s="1" t="n">
        <v>45839.58767361111</v>
      </c>
      <c r="C241" s="1" t="n">
        <v>45901</v>
      </c>
      <c r="D241" t="inlineStr">
        <is>
          <t>DALARNAS LÄN</t>
        </is>
      </c>
      <c r="E241" t="inlineStr">
        <is>
          <t>HEDEMORA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33288-2025</t>
        </is>
      </c>
      <c r="B242" s="1" t="n">
        <v>45840</v>
      </c>
      <c r="C242" s="1" t="n">
        <v>45901</v>
      </c>
      <c r="D242" t="inlineStr">
        <is>
          <t>DALARNAS LÄN</t>
        </is>
      </c>
      <c r="E242" t="inlineStr">
        <is>
          <t>HEDEMORA</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62386-2023</t>
        </is>
      </c>
      <c r="B243" s="1" t="n">
        <v>45268</v>
      </c>
      <c r="C243" s="1" t="n">
        <v>45901</v>
      </c>
      <c r="D243" t="inlineStr">
        <is>
          <t>DALARNAS LÄN</t>
        </is>
      </c>
      <c r="E243" t="inlineStr">
        <is>
          <t>HEDEMORA</t>
        </is>
      </c>
      <c r="G243" t="n">
        <v>1.7</v>
      </c>
      <c r="H243" t="n">
        <v>0</v>
      </c>
      <c r="I243" t="n">
        <v>0</v>
      </c>
      <c r="J243" t="n">
        <v>0</v>
      </c>
      <c r="K243" t="n">
        <v>0</v>
      </c>
      <c r="L243" t="n">
        <v>0</v>
      </c>
      <c r="M243" t="n">
        <v>0</v>
      </c>
      <c r="N243" t="n">
        <v>0</v>
      </c>
      <c r="O243" t="n">
        <v>0</v>
      </c>
      <c r="P243" t="n">
        <v>0</v>
      </c>
      <c r="Q243" t="n">
        <v>0</v>
      </c>
      <c r="R243" s="2" t="inlineStr"/>
    </row>
    <row r="244" ht="15" customHeight="1">
      <c r="A244" t="inlineStr">
        <is>
          <t>A 32869-2025</t>
        </is>
      </c>
      <c r="B244" s="1" t="n">
        <v>45839.58927083333</v>
      </c>
      <c r="C244" s="1" t="n">
        <v>45901</v>
      </c>
      <c r="D244" t="inlineStr">
        <is>
          <t>DALARNAS LÄN</t>
        </is>
      </c>
      <c r="E244" t="inlineStr">
        <is>
          <t>HEDEMORA</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33009-2025</t>
        </is>
      </c>
      <c r="B245" s="1" t="n">
        <v>45840</v>
      </c>
      <c r="C245" s="1" t="n">
        <v>45901</v>
      </c>
      <c r="D245" t="inlineStr">
        <is>
          <t>DALARNAS LÄN</t>
        </is>
      </c>
      <c r="E245" t="inlineStr">
        <is>
          <t>HEDEMORA</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60786-2023</t>
        </is>
      </c>
      <c r="B246" s="1" t="n">
        <v>45260.64891203704</v>
      </c>
      <c r="C246" s="1" t="n">
        <v>45901</v>
      </c>
      <c r="D246" t="inlineStr">
        <is>
          <t>DALARNAS LÄN</t>
        </is>
      </c>
      <c r="E246" t="inlineStr">
        <is>
          <t>HEDEMORA</t>
        </is>
      </c>
      <c r="G246" t="n">
        <v>7.1</v>
      </c>
      <c r="H246" t="n">
        <v>0</v>
      </c>
      <c r="I246" t="n">
        <v>0</v>
      </c>
      <c r="J246" t="n">
        <v>0</v>
      </c>
      <c r="K246" t="n">
        <v>0</v>
      </c>
      <c r="L246" t="n">
        <v>0</v>
      </c>
      <c r="M246" t="n">
        <v>0</v>
      </c>
      <c r="N246" t="n">
        <v>0</v>
      </c>
      <c r="O246" t="n">
        <v>0</v>
      </c>
      <c r="P246" t="n">
        <v>0</v>
      </c>
      <c r="Q246" t="n">
        <v>0</v>
      </c>
      <c r="R246" s="2" t="inlineStr"/>
    </row>
    <row r="247" ht="15" customHeight="1">
      <c r="A247" t="inlineStr">
        <is>
          <t>A 17594-2025</t>
        </is>
      </c>
      <c r="B247" s="1" t="n">
        <v>45757</v>
      </c>
      <c r="C247" s="1" t="n">
        <v>45901</v>
      </c>
      <c r="D247" t="inlineStr">
        <is>
          <t>DALARNAS LÄN</t>
        </is>
      </c>
      <c r="E247" t="inlineStr">
        <is>
          <t>HEDEMORA</t>
        </is>
      </c>
      <c r="G247" t="n">
        <v>0.6</v>
      </c>
      <c r="H247" t="n">
        <v>0</v>
      </c>
      <c r="I247" t="n">
        <v>0</v>
      </c>
      <c r="J247" t="n">
        <v>0</v>
      </c>
      <c r="K247" t="n">
        <v>0</v>
      </c>
      <c r="L247" t="n">
        <v>0</v>
      </c>
      <c r="M247" t="n">
        <v>0</v>
      </c>
      <c r="N247" t="n">
        <v>0</v>
      </c>
      <c r="O247" t="n">
        <v>0</v>
      </c>
      <c r="P247" t="n">
        <v>0</v>
      </c>
      <c r="Q247" t="n">
        <v>0</v>
      </c>
      <c r="R247" s="2" t="inlineStr"/>
    </row>
    <row r="248" ht="15" customHeight="1">
      <c r="A248" t="inlineStr">
        <is>
          <t>A 63908-2021</t>
        </is>
      </c>
      <c r="B248" s="1" t="n">
        <v>44509.6580787037</v>
      </c>
      <c r="C248" s="1" t="n">
        <v>45901</v>
      </c>
      <c r="D248" t="inlineStr">
        <is>
          <t>DALARNAS LÄN</t>
        </is>
      </c>
      <c r="E248" t="inlineStr">
        <is>
          <t>HEDEMORA</t>
        </is>
      </c>
      <c r="G248" t="n">
        <v>1.4</v>
      </c>
      <c r="H248" t="n">
        <v>0</v>
      </c>
      <c r="I248" t="n">
        <v>0</v>
      </c>
      <c r="J248" t="n">
        <v>0</v>
      </c>
      <c r="K248" t="n">
        <v>0</v>
      </c>
      <c r="L248" t="n">
        <v>0</v>
      </c>
      <c r="M248" t="n">
        <v>0</v>
      </c>
      <c r="N248" t="n">
        <v>0</v>
      </c>
      <c r="O248" t="n">
        <v>0</v>
      </c>
      <c r="P248" t="n">
        <v>0</v>
      </c>
      <c r="Q248" t="n">
        <v>0</v>
      </c>
      <c r="R248" s="2" t="inlineStr"/>
    </row>
    <row r="249" ht="15" customHeight="1">
      <c r="A249" t="inlineStr">
        <is>
          <t>A 54423-2023</t>
        </is>
      </c>
      <c r="B249" s="1" t="n">
        <v>45233.41666666666</v>
      </c>
      <c r="C249" s="1" t="n">
        <v>45901</v>
      </c>
      <c r="D249" t="inlineStr">
        <is>
          <t>DALARNAS LÄN</t>
        </is>
      </c>
      <c r="E249" t="inlineStr">
        <is>
          <t>HEDEMORA</t>
        </is>
      </c>
      <c r="G249" t="n">
        <v>3.4</v>
      </c>
      <c r="H249" t="n">
        <v>0</v>
      </c>
      <c r="I249" t="n">
        <v>0</v>
      </c>
      <c r="J249" t="n">
        <v>0</v>
      </c>
      <c r="K249" t="n">
        <v>0</v>
      </c>
      <c r="L249" t="n">
        <v>0</v>
      </c>
      <c r="M249" t="n">
        <v>0</v>
      </c>
      <c r="N249" t="n">
        <v>0</v>
      </c>
      <c r="O249" t="n">
        <v>0</v>
      </c>
      <c r="P249" t="n">
        <v>0</v>
      </c>
      <c r="Q249" t="n">
        <v>0</v>
      </c>
      <c r="R249" s="2" t="inlineStr"/>
    </row>
    <row r="250" ht="15" customHeight="1">
      <c r="A250" t="inlineStr">
        <is>
          <t>A 33286-2025</t>
        </is>
      </c>
      <c r="B250" s="1" t="n">
        <v>45840.81065972222</v>
      </c>
      <c r="C250" s="1" t="n">
        <v>45901</v>
      </c>
      <c r="D250" t="inlineStr">
        <is>
          <t>DALARNAS LÄN</t>
        </is>
      </c>
      <c r="E250" t="inlineStr">
        <is>
          <t>HEDEMORA</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33287-2025</t>
        </is>
      </c>
      <c r="B251" s="1" t="n">
        <v>45840.81216435185</v>
      </c>
      <c r="C251" s="1" t="n">
        <v>45901</v>
      </c>
      <c r="D251" t="inlineStr">
        <is>
          <t>DALARNAS LÄN</t>
        </is>
      </c>
      <c r="E251" t="inlineStr">
        <is>
          <t>HEDEMORA</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38724-2025</t>
        </is>
      </c>
      <c r="B252" s="1" t="n">
        <v>45887.29802083333</v>
      </c>
      <c r="C252" s="1" t="n">
        <v>45901</v>
      </c>
      <c r="D252" t="inlineStr">
        <is>
          <t>DALARNAS LÄN</t>
        </is>
      </c>
      <c r="E252" t="inlineStr">
        <is>
          <t>HEDEMORA</t>
        </is>
      </c>
      <c r="G252" t="n">
        <v>5</v>
      </c>
      <c r="H252" t="n">
        <v>0</v>
      </c>
      <c r="I252" t="n">
        <v>0</v>
      </c>
      <c r="J252" t="n">
        <v>0</v>
      </c>
      <c r="K252" t="n">
        <v>0</v>
      </c>
      <c r="L252" t="n">
        <v>0</v>
      </c>
      <c r="M252" t="n">
        <v>0</v>
      </c>
      <c r="N252" t="n">
        <v>0</v>
      </c>
      <c r="O252" t="n">
        <v>0</v>
      </c>
      <c r="P252" t="n">
        <v>0</v>
      </c>
      <c r="Q252" t="n">
        <v>0</v>
      </c>
      <c r="R252" s="2" t="inlineStr"/>
    </row>
    <row r="253" ht="15" customHeight="1">
      <c r="A253" t="inlineStr">
        <is>
          <t>A 38725-2025</t>
        </is>
      </c>
      <c r="B253" s="1" t="n">
        <v>45887.30237268518</v>
      </c>
      <c r="C253" s="1" t="n">
        <v>45901</v>
      </c>
      <c r="D253" t="inlineStr">
        <is>
          <t>DALARNAS LÄN</t>
        </is>
      </c>
      <c r="E253" t="inlineStr">
        <is>
          <t>HEDEMORA</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62188-2023</t>
        </is>
      </c>
      <c r="B254" s="1" t="n">
        <v>45267</v>
      </c>
      <c r="C254" s="1" t="n">
        <v>45901</v>
      </c>
      <c r="D254" t="inlineStr">
        <is>
          <t>DALARNAS LÄN</t>
        </is>
      </c>
      <c r="E254" t="inlineStr">
        <is>
          <t>HEDEMORA</t>
        </is>
      </c>
      <c r="G254" t="n">
        <v>2.1</v>
      </c>
      <c r="H254" t="n">
        <v>0</v>
      </c>
      <c r="I254" t="n">
        <v>0</v>
      </c>
      <c r="J254" t="n">
        <v>0</v>
      </c>
      <c r="K254" t="n">
        <v>0</v>
      </c>
      <c r="L254" t="n">
        <v>0</v>
      </c>
      <c r="M254" t="n">
        <v>0</v>
      </c>
      <c r="N254" t="n">
        <v>0</v>
      </c>
      <c r="O254" t="n">
        <v>0</v>
      </c>
      <c r="P254" t="n">
        <v>0</v>
      </c>
      <c r="Q254" t="n">
        <v>0</v>
      </c>
      <c r="R254" s="2" t="inlineStr"/>
    </row>
    <row r="255" ht="15" customHeight="1">
      <c r="A255" t="inlineStr">
        <is>
          <t>A 30572-2021</t>
        </is>
      </c>
      <c r="B255" s="1" t="n">
        <v>44364.83369212963</v>
      </c>
      <c r="C255" s="1" t="n">
        <v>45901</v>
      </c>
      <c r="D255" t="inlineStr">
        <is>
          <t>DALARNAS LÄN</t>
        </is>
      </c>
      <c r="E255" t="inlineStr">
        <is>
          <t>HEDEMORA</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60408-2021</t>
        </is>
      </c>
      <c r="B256" s="1" t="n">
        <v>44495</v>
      </c>
      <c r="C256" s="1" t="n">
        <v>45901</v>
      </c>
      <c r="D256" t="inlineStr">
        <is>
          <t>DALARNAS LÄN</t>
        </is>
      </c>
      <c r="E256" t="inlineStr">
        <is>
          <t>HEDEMORA</t>
        </is>
      </c>
      <c r="G256" t="n">
        <v>0.7</v>
      </c>
      <c r="H256" t="n">
        <v>0</v>
      </c>
      <c r="I256" t="n">
        <v>0</v>
      </c>
      <c r="J256" t="n">
        <v>0</v>
      </c>
      <c r="K256" t="n">
        <v>0</v>
      </c>
      <c r="L256" t="n">
        <v>0</v>
      </c>
      <c r="M256" t="n">
        <v>0</v>
      </c>
      <c r="N256" t="n">
        <v>0</v>
      </c>
      <c r="O256" t="n">
        <v>0</v>
      </c>
      <c r="P256" t="n">
        <v>0</v>
      </c>
      <c r="Q256" t="n">
        <v>0</v>
      </c>
      <c r="R256" s="2" t="inlineStr"/>
    </row>
    <row r="257" ht="15" customHeight="1">
      <c r="A257" t="inlineStr">
        <is>
          <t>A 62401-2023</t>
        </is>
      </c>
      <c r="B257" s="1" t="n">
        <v>45268</v>
      </c>
      <c r="C257" s="1" t="n">
        <v>45901</v>
      </c>
      <c r="D257" t="inlineStr">
        <is>
          <t>DALARNAS LÄN</t>
        </is>
      </c>
      <c r="E257" t="inlineStr">
        <is>
          <t>HEDEMORA</t>
        </is>
      </c>
      <c r="G257" t="n">
        <v>1.6</v>
      </c>
      <c r="H257" t="n">
        <v>0</v>
      </c>
      <c r="I257" t="n">
        <v>0</v>
      </c>
      <c r="J257" t="n">
        <v>0</v>
      </c>
      <c r="K257" t="n">
        <v>0</v>
      </c>
      <c r="L257" t="n">
        <v>0</v>
      </c>
      <c r="M257" t="n">
        <v>0</v>
      </c>
      <c r="N257" t="n">
        <v>0</v>
      </c>
      <c r="O257" t="n">
        <v>0</v>
      </c>
      <c r="P257" t="n">
        <v>0</v>
      </c>
      <c r="Q257" t="n">
        <v>0</v>
      </c>
      <c r="R257" s="2" t="inlineStr"/>
    </row>
    <row r="258" ht="15" customHeight="1">
      <c r="A258" t="inlineStr">
        <is>
          <t>A 34185-2025</t>
        </is>
      </c>
      <c r="B258" s="1" t="n">
        <v>45845</v>
      </c>
      <c r="C258" s="1" t="n">
        <v>45901</v>
      </c>
      <c r="D258" t="inlineStr">
        <is>
          <t>DALARNAS LÄN</t>
        </is>
      </c>
      <c r="E258" t="inlineStr">
        <is>
          <t>HEDEMORA</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54120-2024</t>
        </is>
      </c>
      <c r="B259" s="1" t="n">
        <v>45616.57304398148</v>
      </c>
      <c r="C259" s="1" t="n">
        <v>45901</v>
      </c>
      <c r="D259" t="inlineStr">
        <is>
          <t>DALARNAS LÄN</t>
        </is>
      </c>
      <c r="E259" t="inlineStr">
        <is>
          <t>HEDEMORA</t>
        </is>
      </c>
      <c r="G259" t="n">
        <v>7.7</v>
      </c>
      <c r="H259" t="n">
        <v>0</v>
      </c>
      <c r="I259" t="n">
        <v>0</v>
      </c>
      <c r="J259" t="n">
        <v>0</v>
      </c>
      <c r="K259" t="n">
        <v>0</v>
      </c>
      <c r="L259" t="n">
        <v>0</v>
      </c>
      <c r="M259" t="n">
        <v>0</v>
      </c>
      <c r="N259" t="n">
        <v>0</v>
      </c>
      <c r="O259" t="n">
        <v>0</v>
      </c>
      <c r="P259" t="n">
        <v>0</v>
      </c>
      <c r="Q259" t="n">
        <v>0</v>
      </c>
      <c r="R259" s="2" t="inlineStr"/>
    </row>
    <row r="260" ht="15" customHeight="1">
      <c r="A260" t="inlineStr">
        <is>
          <t>A 34734-2025</t>
        </is>
      </c>
      <c r="B260" s="1" t="n">
        <v>45848</v>
      </c>
      <c r="C260" s="1" t="n">
        <v>45901</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18572-2025</t>
        </is>
      </c>
      <c r="B261" s="1" t="n">
        <v>45763</v>
      </c>
      <c r="C261" s="1" t="n">
        <v>45901</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21092-2023</t>
        </is>
      </c>
      <c r="B262" s="1" t="n">
        <v>45061</v>
      </c>
      <c r="C262" s="1" t="n">
        <v>45901</v>
      </c>
      <c r="D262" t="inlineStr">
        <is>
          <t>DALARNAS LÄN</t>
        </is>
      </c>
      <c r="E262" t="inlineStr">
        <is>
          <t>HEDEMORA</t>
        </is>
      </c>
      <c r="F262" t="inlineStr">
        <is>
          <t>Sveaskog</t>
        </is>
      </c>
      <c r="G262" t="n">
        <v>0.1</v>
      </c>
      <c r="H262" t="n">
        <v>0</v>
      </c>
      <c r="I262" t="n">
        <v>0</v>
      </c>
      <c r="J262" t="n">
        <v>0</v>
      </c>
      <c r="K262" t="n">
        <v>0</v>
      </c>
      <c r="L262" t="n">
        <v>0</v>
      </c>
      <c r="M262" t="n">
        <v>0</v>
      </c>
      <c r="N262" t="n">
        <v>0</v>
      </c>
      <c r="O262" t="n">
        <v>0</v>
      </c>
      <c r="P262" t="n">
        <v>0</v>
      </c>
      <c r="Q262" t="n">
        <v>0</v>
      </c>
      <c r="R262" s="2" t="inlineStr"/>
    </row>
    <row r="263" ht="15" customHeight="1">
      <c r="A263" t="inlineStr">
        <is>
          <t>A 39390-2025</t>
        </is>
      </c>
      <c r="B263" s="1" t="n">
        <v>45889.6240625</v>
      </c>
      <c r="C263" s="1" t="n">
        <v>45901</v>
      </c>
      <c r="D263" t="inlineStr">
        <is>
          <t>DALARNAS LÄN</t>
        </is>
      </c>
      <c r="E263" t="inlineStr">
        <is>
          <t>HEDEMORA</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62398-2023</t>
        </is>
      </c>
      <c r="B264" s="1" t="n">
        <v>45268</v>
      </c>
      <c r="C264" s="1" t="n">
        <v>45901</v>
      </c>
      <c r="D264" t="inlineStr">
        <is>
          <t>DALARNAS LÄN</t>
        </is>
      </c>
      <c r="E264" t="inlineStr">
        <is>
          <t>HEDEMORA</t>
        </is>
      </c>
      <c r="G264" t="n">
        <v>2.1</v>
      </c>
      <c r="H264" t="n">
        <v>0</v>
      </c>
      <c r="I264" t="n">
        <v>0</v>
      </c>
      <c r="J264" t="n">
        <v>0</v>
      </c>
      <c r="K264" t="n">
        <v>0</v>
      </c>
      <c r="L264" t="n">
        <v>0</v>
      </c>
      <c r="M264" t="n">
        <v>0</v>
      </c>
      <c r="N264" t="n">
        <v>0</v>
      </c>
      <c r="O264" t="n">
        <v>0</v>
      </c>
      <c r="P264" t="n">
        <v>0</v>
      </c>
      <c r="Q264" t="n">
        <v>0</v>
      </c>
      <c r="R264" s="2" t="inlineStr"/>
    </row>
    <row r="265" ht="15" customHeight="1">
      <c r="A265" t="inlineStr">
        <is>
          <t>A 39389-2025</t>
        </is>
      </c>
      <c r="B265" s="1" t="n">
        <v>45889.62181712963</v>
      </c>
      <c r="C265" s="1" t="n">
        <v>45901</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39393-2025</t>
        </is>
      </c>
      <c r="B266" s="1" t="n">
        <v>45889.62287037037</v>
      </c>
      <c r="C266" s="1" t="n">
        <v>45901</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45901</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48320-2024</t>
        </is>
      </c>
      <c r="B268" s="1" t="n">
        <v>45590.4999537037</v>
      </c>
      <c r="C268" s="1" t="n">
        <v>45901</v>
      </c>
      <c r="D268" t="inlineStr">
        <is>
          <t>DALARNAS LÄN</t>
        </is>
      </c>
      <c r="E268" t="inlineStr">
        <is>
          <t>HEDEMORA</t>
        </is>
      </c>
      <c r="F268" t="inlineStr">
        <is>
          <t>Sveaskog</t>
        </is>
      </c>
      <c r="G268" t="n">
        <v>4.9</v>
      </c>
      <c r="H268" t="n">
        <v>0</v>
      </c>
      <c r="I268" t="n">
        <v>0</v>
      </c>
      <c r="J268" t="n">
        <v>0</v>
      </c>
      <c r="K268" t="n">
        <v>0</v>
      </c>
      <c r="L268" t="n">
        <v>0</v>
      </c>
      <c r="M268" t="n">
        <v>0</v>
      </c>
      <c r="N268" t="n">
        <v>0</v>
      </c>
      <c r="O268" t="n">
        <v>0</v>
      </c>
      <c r="P268" t="n">
        <v>0</v>
      </c>
      <c r="Q268" t="n">
        <v>0</v>
      </c>
      <c r="R268" s="2" t="inlineStr"/>
    </row>
    <row r="269" ht="15" customHeight="1">
      <c r="A269" t="inlineStr">
        <is>
          <t>A 35103-2025</t>
        </is>
      </c>
      <c r="B269" s="1" t="n">
        <v>45852.56914351852</v>
      </c>
      <c r="C269" s="1" t="n">
        <v>45901</v>
      </c>
      <c r="D269" t="inlineStr">
        <is>
          <t>DALARNAS LÄN</t>
        </is>
      </c>
      <c r="E269" t="inlineStr">
        <is>
          <t>HEDEMORA</t>
        </is>
      </c>
      <c r="G269" t="n">
        <v>6.2</v>
      </c>
      <c r="H269" t="n">
        <v>0</v>
      </c>
      <c r="I269" t="n">
        <v>0</v>
      </c>
      <c r="J269" t="n">
        <v>0</v>
      </c>
      <c r="K269" t="n">
        <v>0</v>
      </c>
      <c r="L269" t="n">
        <v>0</v>
      </c>
      <c r="M269" t="n">
        <v>0</v>
      </c>
      <c r="N269" t="n">
        <v>0</v>
      </c>
      <c r="O269" t="n">
        <v>0</v>
      </c>
      <c r="P269" t="n">
        <v>0</v>
      </c>
      <c r="Q269" t="n">
        <v>0</v>
      </c>
      <c r="R269" s="2" t="inlineStr"/>
    </row>
    <row r="270" ht="15" customHeight="1">
      <c r="A270" t="inlineStr">
        <is>
          <t>A 36900-2022</t>
        </is>
      </c>
      <c r="B270" s="1" t="n">
        <v>44805.71435185185</v>
      </c>
      <c r="C270" s="1" t="n">
        <v>45901</v>
      </c>
      <c r="D270" t="inlineStr">
        <is>
          <t>DALARNAS LÄN</t>
        </is>
      </c>
      <c r="E270" t="inlineStr">
        <is>
          <t>HEDEMORA</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53923-2024</t>
        </is>
      </c>
      <c r="B271" s="1" t="n">
        <v>45615.79806712963</v>
      </c>
      <c r="C271" s="1" t="n">
        <v>45901</v>
      </c>
      <c r="D271" t="inlineStr">
        <is>
          <t>DALARNAS LÄN</t>
        </is>
      </c>
      <c r="E271" t="inlineStr">
        <is>
          <t>HEDEMORA</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385-2024</t>
        </is>
      </c>
      <c r="B272" s="1" t="n">
        <v>45296</v>
      </c>
      <c r="C272" s="1" t="n">
        <v>45901</v>
      </c>
      <c r="D272" t="inlineStr">
        <is>
          <t>DALARNAS LÄN</t>
        </is>
      </c>
      <c r="E272" t="inlineStr">
        <is>
          <t>HEDEMORA</t>
        </is>
      </c>
      <c r="G272" t="n">
        <v>1.7</v>
      </c>
      <c r="H272" t="n">
        <v>0</v>
      </c>
      <c r="I272" t="n">
        <v>0</v>
      </c>
      <c r="J272" t="n">
        <v>0</v>
      </c>
      <c r="K272" t="n">
        <v>0</v>
      </c>
      <c r="L272" t="n">
        <v>0</v>
      </c>
      <c r="M272" t="n">
        <v>0</v>
      </c>
      <c r="N272" t="n">
        <v>0</v>
      </c>
      <c r="O272" t="n">
        <v>0</v>
      </c>
      <c r="P272" t="n">
        <v>0</v>
      </c>
      <c r="Q272" t="n">
        <v>0</v>
      </c>
      <c r="R272" s="2" t="inlineStr"/>
    </row>
    <row r="273" ht="15" customHeight="1">
      <c r="A273" t="inlineStr">
        <is>
          <t>A 26431-2024</t>
        </is>
      </c>
      <c r="B273" s="1" t="n">
        <v>45469.48282407408</v>
      </c>
      <c r="C273" s="1" t="n">
        <v>45901</v>
      </c>
      <c r="D273" t="inlineStr">
        <is>
          <t>DALARNAS LÄN</t>
        </is>
      </c>
      <c r="E273" t="inlineStr">
        <is>
          <t>HEDEMORA</t>
        </is>
      </c>
      <c r="G273" t="n">
        <v>1.6</v>
      </c>
      <c r="H273" t="n">
        <v>0</v>
      </c>
      <c r="I273" t="n">
        <v>0</v>
      </c>
      <c r="J273" t="n">
        <v>0</v>
      </c>
      <c r="K273" t="n">
        <v>0</v>
      </c>
      <c r="L273" t="n">
        <v>0</v>
      </c>
      <c r="M273" t="n">
        <v>0</v>
      </c>
      <c r="N273" t="n">
        <v>0</v>
      </c>
      <c r="O273" t="n">
        <v>0</v>
      </c>
      <c r="P273" t="n">
        <v>0</v>
      </c>
      <c r="Q273" t="n">
        <v>0</v>
      </c>
      <c r="R273" s="2" t="inlineStr"/>
      <c r="U273">
        <f>HYPERLINK("https://klasma.github.io/Logging_2083/knärot/A 26431-2024 karta knärot.png", "A 26431-2024")</f>
        <v/>
      </c>
      <c r="V273">
        <f>HYPERLINK("https://klasma.github.io/Logging_2083/klagomål/A 26431-2024 FSC-klagomål.docx", "A 26431-2024")</f>
        <v/>
      </c>
      <c r="W273">
        <f>HYPERLINK("https://klasma.github.io/Logging_2083/klagomålsmail/A 26431-2024 FSC-klagomål mail.docx", "A 26431-2024")</f>
        <v/>
      </c>
      <c r="X273">
        <f>HYPERLINK("https://klasma.github.io/Logging_2083/tillsyn/A 26431-2024 tillsynsbegäran.docx", "A 26431-2024")</f>
        <v/>
      </c>
      <c r="Y273">
        <f>HYPERLINK("https://klasma.github.io/Logging_2083/tillsynsmail/A 26431-2024 tillsynsbegäran mail.docx", "A 26431-2024")</f>
        <v/>
      </c>
    </row>
    <row r="274" ht="15" customHeight="1">
      <c r="A274" t="inlineStr">
        <is>
          <t>A 40419-2025</t>
        </is>
      </c>
      <c r="B274" s="1" t="n">
        <v>45895.57958333333</v>
      </c>
      <c r="C274" s="1" t="n">
        <v>45901</v>
      </c>
      <c r="D274" t="inlineStr">
        <is>
          <t>DALARNAS LÄN</t>
        </is>
      </c>
      <c r="E274" t="inlineStr">
        <is>
          <t>HEDEMORA</t>
        </is>
      </c>
      <c r="G274" t="n">
        <v>3.1</v>
      </c>
      <c r="H274" t="n">
        <v>0</v>
      </c>
      <c r="I274" t="n">
        <v>0</v>
      </c>
      <c r="J274" t="n">
        <v>0</v>
      </c>
      <c r="K274" t="n">
        <v>0</v>
      </c>
      <c r="L274" t="n">
        <v>0</v>
      </c>
      <c r="M274" t="n">
        <v>0</v>
      </c>
      <c r="N274" t="n">
        <v>0</v>
      </c>
      <c r="O274" t="n">
        <v>0</v>
      </c>
      <c r="P274" t="n">
        <v>0</v>
      </c>
      <c r="Q274" t="n">
        <v>0</v>
      </c>
      <c r="R274" s="2" t="inlineStr"/>
    </row>
    <row r="275" ht="15" customHeight="1">
      <c r="A275" t="inlineStr">
        <is>
          <t>A 40421-2025</t>
        </is>
      </c>
      <c r="B275" s="1" t="n">
        <v>45895.58449074074</v>
      </c>
      <c r="C275" s="1" t="n">
        <v>45901</v>
      </c>
      <c r="D275" t="inlineStr">
        <is>
          <t>DALARNAS LÄN</t>
        </is>
      </c>
      <c r="E275" t="inlineStr">
        <is>
          <t>HEDEMORA</t>
        </is>
      </c>
      <c r="G275" t="n">
        <v>1.7</v>
      </c>
      <c r="H275" t="n">
        <v>0</v>
      </c>
      <c r="I275" t="n">
        <v>0</v>
      </c>
      <c r="J275" t="n">
        <v>0</v>
      </c>
      <c r="K275" t="n">
        <v>0</v>
      </c>
      <c r="L275" t="n">
        <v>0</v>
      </c>
      <c r="M275" t="n">
        <v>0</v>
      </c>
      <c r="N275" t="n">
        <v>0</v>
      </c>
      <c r="O275" t="n">
        <v>0</v>
      </c>
      <c r="P275" t="n">
        <v>0</v>
      </c>
      <c r="Q275" t="n">
        <v>0</v>
      </c>
      <c r="R275" s="2" t="inlineStr"/>
    </row>
    <row r="276" ht="15" customHeight="1">
      <c r="A276" t="inlineStr">
        <is>
          <t>A 26452-2024</t>
        </is>
      </c>
      <c r="B276" s="1" t="n">
        <v>45469.51145833333</v>
      </c>
      <c r="C276" s="1" t="n">
        <v>45901</v>
      </c>
      <c r="D276" t="inlineStr">
        <is>
          <t>DALARNAS LÄN</t>
        </is>
      </c>
      <c r="E276" t="inlineStr">
        <is>
          <t>HEDEMORA</t>
        </is>
      </c>
      <c r="G276" t="n">
        <v>2.3</v>
      </c>
      <c r="H276" t="n">
        <v>0</v>
      </c>
      <c r="I276" t="n">
        <v>0</v>
      </c>
      <c r="J276" t="n">
        <v>0</v>
      </c>
      <c r="K276" t="n">
        <v>0</v>
      </c>
      <c r="L276" t="n">
        <v>0</v>
      </c>
      <c r="M276" t="n">
        <v>0</v>
      </c>
      <c r="N276" t="n">
        <v>0</v>
      </c>
      <c r="O276" t="n">
        <v>0</v>
      </c>
      <c r="P276" t="n">
        <v>0</v>
      </c>
      <c r="Q276" t="n">
        <v>0</v>
      </c>
      <c r="R276" s="2" t="inlineStr"/>
    </row>
    <row r="277" ht="15" customHeight="1">
      <c r="A277" t="inlineStr">
        <is>
          <t>A 40456-2025</t>
        </is>
      </c>
      <c r="B277" s="1" t="n">
        <v>45895.64342592593</v>
      </c>
      <c r="C277" s="1" t="n">
        <v>45901</v>
      </c>
      <c r="D277" t="inlineStr">
        <is>
          <t>DALARNAS LÄN</t>
        </is>
      </c>
      <c r="E277" t="inlineStr">
        <is>
          <t>HEDEMORA</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23501-2023</t>
        </is>
      </c>
      <c r="B278" s="1" t="n">
        <v>45076.73979166667</v>
      </c>
      <c r="C278" s="1" t="n">
        <v>45901</v>
      </c>
      <c r="D278" t="inlineStr">
        <is>
          <t>DALARNAS LÄN</t>
        </is>
      </c>
      <c r="E278" t="inlineStr">
        <is>
          <t>HEDEMORA</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15048-2025</t>
        </is>
      </c>
      <c r="B279" s="1" t="n">
        <v>45743.69820601852</v>
      </c>
      <c r="C279" s="1" t="n">
        <v>45901</v>
      </c>
      <c r="D279" t="inlineStr">
        <is>
          <t>DALARNAS LÄN</t>
        </is>
      </c>
      <c r="E279" t="inlineStr">
        <is>
          <t>HEDEMORA</t>
        </is>
      </c>
      <c r="F279" t="inlineStr">
        <is>
          <t>Sveaskog</t>
        </is>
      </c>
      <c r="G279" t="n">
        <v>9.1</v>
      </c>
      <c r="H279" t="n">
        <v>0</v>
      </c>
      <c r="I279" t="n">
        <v>0</v>
      </c>
      <c r="J279" t="n">
        <v>0</v>
      </c>
      <c r="K279" t="n">
        <v>0</v>
      </c>
      <c r="L279" t="n">
        <v>0</v>
      </c>
      <c r="M279" t="n">
        <v>0</v>
      </c>
      <c r="N279" t="n">
        <v>0</v>
      </c>
      <c r="O279" t="n">
        <v>0</v>
      </c>
      <c r="P279" t="n">
        <v>0</v>
      </c>
      <c r="Q279" t="n">
        <v>0</v>
      </c>
      <c r="R279" s="2" t="inlineStr"/>
    </row>
    <row r="280" ht="15" customHeight="1">
      <c r="A280" t="inlineStr">
        <is>
          <t>A 40919-2023</t>
        </is>
      </c>
      <c r="B280" s="1" t="n">
        <v>45173.42707175926</v>
      </c>
      <c r="C280" s="1" t="n">
        <v>45901</v>
      </c>
      <c r="D280" t="inlineStr">
        <is>
          <t>DALARNAS LÄN</t>
        </is>
      </c>
      <c r="E280" t="inlineStr">
        <is>
          <t>HEDEMORA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48254-2023</t>
        </is>
      </c>
      <c r="B281" s="1" t="n">
        <v>45205.53241898148</v>
      </c>
      <c r="C281" s="1" t="n">
        <v>45901</v>
      </c>
      <c r="D281" t="inlineStr">
        <is>
          <t>DALARNAS LÄN</t>
        </is>
      </c>
      <c r="E281" t="inlineStr">
        <is>
          <t>HEDEMORA</t>
        </is>
      </c>
      <c r="F281" t="inlineStr">
        <is>
          <t>Sveaskog</t>
        </is>
      </c>
      <c r="G281" t="n">
        <v>1.5</v>
      </c>
      <c r="H281" t="n">
        <v>0</v>
      </c>
      <c r="I281" t="n">
        <v>0</v>
      </c>
      <c r="J281" t="n">
        <v>0</v>
      </c>
      <c r="K281" t="n">
        <v>0</v>
      </c>
      <c r="L281" t="n">
        <v>0</v>
      </c>
      <c r="M281" t="n">
        <v>0</v>
      </c>
      <c r="N281" t="n">
        <v>0</v>
      </c>
      <c r="O281" t="n">
        <v>0</v>
      </c>
      <c r="P281" t="n">
        <v>0</v>
      </c>
      <c r="Q281" t="n">
        <v>0</v>
      </c>
      <c r="R281" s="2" t="inlineStr"/>
      <c r="U281">
        <f>HYPERLINK("https://klasma.github.io/Logging_2083/knärot/A 48254-2023 karta knärot.png", "A 48254-2023")</f>
        <v/>
      </c>
      <c r="V281">
        <f>HYPERLINK("https://klasma.github.io/Logging_2083/klagomål/A 48254-2023 FSC-klagomål.docx", "A 48254-2023")</f>
        <v/>
      </c>
      <c r="W281">
        <f>HYPERLINK("https://klasma.github.io/Logging_2083/klagomålsmail/A 48254-2023 FSC-klagomål mail.docx", "A 48254-2023")</f>
        <v/>
      </c>
      <c r="X281">
        <f>HYPERLINK("https://klasma.github.io/Logging_2083/tillsyn/A 48254-2023 tillsynsbegäran.docx", "A 48254-2023")</f>
        <v/>
      </c>
      <c r="Y281">
        <f>HYPERLINK("https://klasma.github.io/Logging_2083/tillsynsmail/A 48254-2023 tillsynsbegäran mail.docx", "A 48254-2023")</f>
        <v/>
      </c>
    </row>
    <row r="282" ht="15" customHeight="1">
      <c r="A282" t="inlineStr">
        <is>
          <t>A 15054-2025</t>
        </is>
      </c>
      <c r="B282" s="1" t="n">
        <v>45743.70199074074</v>
      </c>
      <c r="C282" s="1" t="n">
        <v>45901</v>
      </c>
      <c r="D282" t="inlineStr">
        <is>
          <t>DALARNAS LÄN</t>
        </is>
      </c>
      <c r="E282" t="inlineStr">
        <is>
          <t>HEDEMORA</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25643-2024</t>
        </is>
      </c>
      <c r="B283" s="1" t="n">
        <v>45463.66436342592</v>
      </c>
      <c r="C283" s="1" t="n">
        <v>45901</v>
      </c>
      <c r="D283" t="inlineStr">
        <is>
          <t>DALARNAS LÄN</t>
        </is>
      </c>
      <c r="E283" t="inlineStr">
        <is>
          <t>HEDEMORA</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20666-2024</t>
        </is>
      </c>
      <c r="B284" s="1" t="n">
        <v>45436</v>
      </c>
      <c r="C284" s="1" t="n">
        <v>45901</v>
      </c>
      <c r="D284" t="inlineStr">
        <is>
          <t>DALARNAS LÄN</t>
        </is>
      </c>
      <c r="E284" t="inlineStr">
        <is>
          <t>HEDEMORA</t>
        </is>
      </c>
      <c r="G284" t="n">
        <v>5.1</v>
      </c>
      <c r="H284" t="n">
        <v>0</v>
      </c>
      <c r="I284" t="n">
        <v>0</v>
      </c>
      <c r="J284" t="n">
        <v>0</v>
      </c>
      <c r="K284" t="n">
        <v>0</v>
      </c>
      <c r="L284" t="n">
        <v>0</v>
      </c>
      <c r="M284" t="n">
        <v>0</v>
      </c>
      <c r="N284" t="n">
        <v>0</v>
      </c>
      <c r="O284" t="n">
        <v>0</v>
      </c>
      <c r="P284" t="n">
        <v>0</v>
      </c>
      <c r="Q284" t="n">
        <v>0</v>
      </c>
      <c r="R284" s="2" t="inlineStr"/>
    </row>
    <row r="285" ht="15" customHeight="1">
      <c r="A285" t="inlineStr">
        <is>
          <t>A 32071-2021</t>
        </is>
      </c>
      <c r="B285" s="1" t="n">
        <v>44370.90546296296</v>
      </c>
      <c r="C285" s="1" t="n">
        <v>45901</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21763-2024</t>
        </is>
      </c>
      <c r="B286" s="1" t="n">
        <v>45442.60204861111</v>
      </c>
      <c r="C286" s="1" t="n">
        <v>45901</v>
      </c>
      <c r="D286" t="inlineStr">
        <is>
          <t>DALARNAS LÄN</t>
        </is>
      </c>
      <c r="E286" t="inlineStr">
        <is>
          <t>HEDEMORA</t>
        </is>
      </c>
      <c r="G286" t="n">
        <v>1.6</v>
      </c>
      <c r="H286" t="n">
        <v>0</v>
      </c>
      <c r="I286" t="n">
        <v>0</v>
      </c>
      <c r="J286" t="n">
        <v>0</v>
      </c>
      <c r="K286" t="n">
        <v>0</v>
      </c>
      <c r="L286" t="n">
        <v>0</v>
      </c>
      <c r="M286" t="n">
        <v>0</v>
      </c>
      <c r="N286" t="n">
        <v>0</v>
      </c>
      <c r="O286" t="n">
        <v>0</v>
      </c>
      <c r="P286" t="n">
        <v>0</v>
      </c>
      <c r="Q286" t="n">
        <v>0</v>
      </c>
      <c r="R286" s="2" t="inlineStr"/>
    </row>
    <row r="287" ht="15" customHeight="1">
      <c r="A287" t="inlineStr">
        <is>
          <t>A 1917-2022</t>
        </is>
      </c>
      <c r="B287" s="1" t="n">
        <v>44574</v>
      </c>
      <c r="C287" s="1" t="n">
        <v>45901</v>
      </c>
      <c r="D287" t="inlineStr">
        <is>
          <t>DALARNAS LÄN</t>
        </is>
      </c>
      <c r="E287" t="inlineStr">
        <is>
          <t>HEDEMORA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14953-2025</t>
        </is>
      </c>
      <c r="B288" s="1" t="n">
        <v>45743.5819675926</v>
      </c>
      <c r="C288" s="1" t="n">
        <v>45901</v>
      </c>
      <c r="D288" t="inlineStr">
        <is>
          <t>DALARNAS LÄN</t>
        </is>
      </c>
      <c r="E288" t="inlineStr">
        <is>
          <t>HEDEMORA</t>
        </is>
      </c>
      <c r="G288" t="n">
        <v>6.6</v>
      </c>
      <c r="H288" t="n">
        <v>0</v>
      </c>
      <c r="I288" t="n">
        <v>0</v>
      </c>
      <c r="J288" t="n">
        <v>0</v>
      </c>
      <c r="K288" t="n">
        <v>0</v>
      </c>
      <c r="L288" t="n">
        <v>0</v>
      </c>
      <c r="M288" t="n">
        <v>0</v>
      </c>
      <c r="N288" t="n">
        <v>0</v>
      </c>
      <c r="O288" t="n">
        <v>0</v>
      </c>
      <c r="P288" t="n">
        <v>0</v>
      </c>
      <c r="Q288" t="n">
        <v>0</v>
      </c>
      <c r="R288" s="2" t="inlineStr"/>
    </row>
    <row r="289" ht="15" customHeight="1">
      <c r="A289" t="inlineStr">
        <is>
          <t>A 8342-2025</t>
        </is>
      </c>
      <c r="B289" s="1" t="n">
        <v>45708.67251157408</v>
      </c>
      <c r="C289" s="1" t="n">
        <v>45901</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15833-2025</t>
        </is>
      </c>
      <c r="B290" s="1" t="n">
        <v>45748.85107638889</v>
      </c>
      <c r="C290" s="1" t="n">
        <v>45901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12136-2025</t>
        </is>
      </c>
      <c r="B291" s="1" t="n">
        <v>45729.39300925926</v>
      </c>
      <c r="C291" s="1" t="n">
        <v>45901</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45901</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49636-2021</t>
        </is>
      </c>
      <c r="B293" s="1" t="n">
        <v>44455</v>
      </c>
      <c r="C293" s="1" t="n">
        <v>45901</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50333-2023</t>
        </is>
      </c>
      <c r="B294" s="1" t="n">
        <v>45216</v>
      </c>
      <c r="C294" s="1" t="n">
        <v>45901</v>
      </c>
      <c r="D294" t="inlineStr">
        <is>
          <t>DALARNAS LÄN</t>
        </is>
      </c>
      <c r="E294" t="inlineStr">
        <is>
          <t>HEDEMORA</t>
        </is>
      </c>
      <c r="G294" t="n">
        <v>1.1</v>
      </c>
      <c r="H294" t="n">
        <v>0</v>
      </c>
      <c r="I294" t="n">
        <v>0</v>
      </c>
      <c r="J294" t="n">
        <v>0</v>
      </c>
      <c r="K294" t="n">
        <v>0</v>
      </c>
      <c r="L294" t="n">
        <v>0</v>
      </c>
      <c r="M294" t="n">
        <v>0</v>
      </c>
      <c r="N294" t="n">
        <v>0</v>
      </c>
      <c r="O294" t="n">
        <v>0</v>
      </c>
      <c r="P294" t="n">
        <v>0</v>
      </c>
      <c r="Q294" t="n">
        <v>0</v>
      </c>
      <c r="R294" s="2" t="inlineStr"/>
    </row>
    <row r="295" ht="15" customHeight="1">
      <c r="A295" t="inlineStr">
        <is>
          <t>A 60475-2022</t>
        </is>
      </c>
      <c r="B295" s="1" t="n">
        <v>44911.41222222222</v>
      </c>
      <c r="C295" s="1" t="n">
        <v>45901</v>
      </c>
      <c r="D295" t="inlineStr">
        <is>
          <t>DALARNAS LÄN</t>
        </is>
      </c>
      <c r="E295" t="inlineStr">
        <is>
          <t>HEDEMORA</t>
        </is>
      </c>
      <c r="G295" t="n">
        <v>1</v>
      </c>
      <c r="H295" t="n">
        <v>0</v>
      </c>
      <c r="I295" t="n">
        <v>0</v>
      </c>
      <c r="J295" t="n">
        <v>0</v>
      </c>
      <c r="K295" t="n">
        <v>0</v>
      </c>
      <c r="L295" t="n">
        <v>0</v>
      </c>
      <c r="M295" t="n">
        <v>0</v>
      </c>
      <c r="N295" t="n">
        <v>0</v>
      </c>
      <c r="O295" t="n">
        <v>0</v>
      </c>
      <c r="P295" t="n">
        <v>0</v>
      </c>
      <c r="Q295" t="n">
        <v>0</v>
      </c>
      <c r="R295" s="2" t="inlineStr"/>
    </row>
    <row r="296" ht="15" customHeight="1">
      <c r="A296" t="inlineStr">
        <is>
          <t>A 30205-2022</t>
        </is>
      </c>
      <c r="B296" s="1" t="n">
        <v>44757.74415509259</v>
      </c>
      <c r="C296" s="1" t="n">
        <v>45901</v>
      </c>
      <c r="D296" t="inlineStr">
        <is>
          <t>DALARNAS LÄN</t>
        </is>
      </c>
      <c r="E296" t="inlineStr">
        <is>
          <t>HEDEMORA</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54310-2021</t>
        </is>
      </c>
      <c r="B297" s="1" t="n">
        <v>44472.54035879629</v>
      </c>
      <c r="C297" s="1" t="n">
        <v>45901</v>
      </c>
      <c r="D297" t="inlineStr">
        <is>
          <t>DALARNAS LÄN</t>
        </is>
      </c>
      <c r="E297" t="inlineStr">
        <is>
          <t>HEDEMORA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22270-2023</t>
        </is>
      </c>
      <c r="B298" s="1" t="n">
        <v>45070.39284722223</v>
      </c>
      <c r="C298" s="1" t="n">
        <v>45901</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53576-2023</t>
        </is>
      </c>
      <c r="B299" s="1" t="n">
        <v>45230.50288194444</v>
      </c>
      <c r="C299" s="1" t="n">
        <v>45901</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19990-2025</t>
        </is>
      </c>
      <c r="B300" s="1" t="n">
        <v>45771.73082175926</v>
      </c>
      <c r="C300" s="1" t="n">
        <v>45901</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26449-2024</t>
        </is>
      </c>
      <c r="B301" s="1" t="n">
        <v>45469.50783564815</v>
      </c>
      <c r="C301" s="1" t="n">
        <v>45901</v>
      </c>
      <c r="D301" t="inlineStr">
        <is>
          <t>DALARNAS LÄN</t>
        </is>
      </c>
      <c r="E301" t="inlineStr">
        <is>
          <t>HEDEMORA</t>
        </is>
      </c>
      <c r="G301" t="n">
        <v>4.5</v>
      </c>
      <c r="H301" t="n">
        <v>0</v>
      </c>
      <c r="I301" t="n">
        <v>0</v>
      </c>
      <c r="J301" t="n">
        <v>0</v>
      </c>
      <c r="K301" t="n">
        <v>0</v>
      </c>
      <c r="L301" t="n">
        <v>0</v>
      </c>
      <c r="M301" t="n">
        <v>0</v>
      </c>
      <c r="N301" t="n">
        <v>0</v>
      </c>
      <c r="O301" t="n">
        <v>0</v>
      </c>
      <c r="P301" t="n">
        <v>0</v>
      </c>
      <c r="Q301" t="n">
        <v>0</v>
      </c>
      <c r="R301" s="2" t="inlineStr"/>
    </row>
    <row r="302" ht="15" customHeight="1">
      <c r="A302" t="inlineStr">
        <is>
          <t>A 25155-2023</t>
        </is>
      </c>
      <c r="B302" s="1" t="n">
        <v>45086</v>
      </c>
      <c r="C302" s="1" t="n">
        <v>45901</v>
      </c>
      <c r="D302" t="inlineStr">
        <is>
          <t>DALARNAS LÄN</t>
        </is>
      </c>
      <c r="E302" t="inlineStr">
        <is>
          <t>HEDEMORA</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27610-2024</t>
        </is>
      </c>
      <c r="B303" s="1" t="n">
        <v>45474.73221064815</v>
      </c>
      <c r="C303" s="1" t="n">
        <v>45901</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25150-2023</t>
        </is>
      </c>
      <c r="B304" s="1" t="n">
        <v>45086</v>
      </c>
      <c r="C304" s="1" t="n">
        <v>45901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41523-2023</t>
        </is>
      </c>
      <c r="B305" s="1" t="n">
        <v>45172</v>
      </c>
      <c r="C305" s="1" t="n">
        <v>45901</v>
      </c>
      <c r="D305" t="inlineStr">
        <is>
          <t>DALARNAS LÄN</t>
        </is>
      </c>
      <c r="E305" t="inlineStr">
        <is>
          <t>HEDEMORA</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48323-2021</t>
        </is>
      </c>
      <c r="B306" s="1" t="n">
        <v>44450.84762731481</v>
      </c>
      <c r="C306" s="1" t="n">
        <v>45901</v>
      </c>
      <c r="D306" t="inlineStr">
        <is>
          <t>DALARNAS LÄN</t>
        </is>
      </c>
      <c r="E306" t="inlineStr">
        <is>
          <t>HEDEMORA</t>
        </is>
      </c>
      <c r="G306" t="n">
        <v>0.9</v>
      </c>
      <c r="H306" t="n">
        <v>0</v>
      </c>
      <c r="I306" t="n">
        <v>0</v>
      </c>
      <c r="J306" t="n">
        <v>0</v>
      </c>
      <c r="K306" t="n">
        <v>0</v>
      </c>
      <c r="L306" t="n">
        <v>0</v>
      </c>
      <c r="M306" t="n">
        <v>0</v>
      </c>
      <c r="N306" t="n">
        <v>0</v>
      </c>
      <c r="O306" t="n">
        <v>0</v>
      </c>
      <c r="P306" t="n">
        <v>0</v>
      </c>
      <c r="Q306" t="n">
        <v>0</v>
      </c>
      <c r="R306" s="2" t="inlineStr"/>
    </row>
    <row r="307" ht="15" customHeight="1">
      <c r="A307" t="inlineStr">
        <is>
          <t>A 19689-2025</t>
        </is>
      </c>
      <c r="B307" s="1" t="n">
        <v>45770.88462962963</v>
      </c>
      <c r="C307" s="1" t="n">
        <v>45901</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30939-2023</t>
        </is>
      </c>
      <c r="B308" s="1" t="n">
        <v>45113.45597222223</v>
      </c>
      <c r="C308" s="1" t="n">
        <v>45901</v>
      </c>
      <c r="D308" t="inlineStr">
        <is>
          <t>DALARNAS LÄN</t>
        </is>
      </c>
      <c r="E308" t="inlineStr">
        <is>
          <t>HEDEMORA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68553-2021</t>
        </is>
      </c>
      <c r="B309" s="1" t="n">
        <v>44529</v>
      </c>
      <c r="C309" s="1" t="n">
        <v>45901</v>
      </c>
      <c r="D309" t="inlineStr">
        <is>
          <t>DALARNAS LÄN</t>
        </is>
      </c>
      <c r="E309" t="inlineStr">
        <is>
          <t>HEDEMORA</t>
        </is>
      </c>
      <c r="G309" t="n">
        <v>3</v>
      </c>
      <c r="H309" t="n">
        <v>0</v>
      </c>
      <c r="I309" t="n">
        <v>0</v>
      </c>
      <c r="J309" t="n">
        <v>0</v>
      </c>
      <c r="K309" t="n">
        <v>0</v>
      </c>
      <c r="L309" t="n">
        <v>0</v>
      </c>
      <c r="M309" t="n">
        <v>0</v>
      </c>
      <c r="N309" t="n">
        <v>0</v>
      </c>
      <c r="O309" t="n">
        <v>0</v>
      </c>
      <c r="P309" t="n">
        <v>0</v>
      </c>
      <c r="Q309" t="n">
        <v>0</v>
      </c>
      <c r="R309" s="2" t="inlineStr"/>
    </row>
    <row r="310" ht="15" customHeight="1">
      <c r="A310" t="inlineStr">
        <is>
          <t>A 60078-2022</t>
        </is>
      </c>
      <c r="B310" s="1" t="n">
        <v>44909.58811342593</v>
      </c>
      <c r="C310" s="1" t="n">
        <v>45901</v>
      </c>
      <c r="D310" t="inlineStr">
        <is>
          <t>DALARNAS LÄN</t>
        </is>
      </c>
      <c r="E310" t="inlineStr">
        <is>
          <t>HEDEMORA</t>
        </is>
      </c>
      <c r="G310" t="n">
        <v>0.5</v>
      </c>
      <c r="H310" t="n">
        <v>0</v>
      </c>
      <c r="I310" t="n">
        <v>0</v>
      </c>
      <c r="J310" t="n">
        <v>0</v>
      </c>
      <c r="K310" t="n">
        <v>0</v>
      </c>
      <c r="L310" t="n">
        <v>0</v>
      </c>
      <c r="M310" t="n">
        <v>0</v>
      </c>
      <c r="N310" t="n">
        <v>0</v>
      </c>
      <c r="O310" t="n">
        <v>0</v>
      </c>
      <c r="P310" t="n">
        <v>0</v>
      </c>
      <c r="Q310" t="n">
        <v>0</v>
      </c>
      <c r="R310" s="2" t="inlineStr"/>
    </row>
    <row r="311" ht="15" customHeight="1">
      <c r="A311" t="inlineStr">
        <is>
          <t>A 17600-2025</t>
        </is>
      </c>
      <c r="B311" s="1" t="n">
        <v>45757.71063657408</v>
      </c>
      <c r="C311" s="1" t="n">
        <v>45901</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29123-2021</t>
        </is>
      </c>
      <c r="B312" s="1" t="n">
        <v>44358</v>
      </c>
      <c r="C312" s="1" t="n">
        <v>45901</v>
      </c>
      <c r="D312" t="inlineStr">
        <is>
          <t>DALARNAS LÄN</t>
        </is>
      </c>
      <c r="E312" t="inlineStr">
        <is>
          <t>HEDEMORA</t>
        </is>
      </c>
      <c r="G312" t="n">
        <v>5.6</v>
      </c>
      <c r="H312" t="n">
        <v>0</v>
      </c>
      <c r="I312" t="n">
        <v>0</v>
      </c>
      <c r="J312" t="n">
        <v>0</v>
      </c>
      <c r="K312" t="n">
        <v>0</v>
      </c>
      <c r="L312" t="n">
        <v>0</v>
      </c>
      <c r="M312" t="n">
        <v>0</v>
      </c>
      <c r="N312" t="n">
        <v>0</v>
      </c>
      <c r="O312" t="n">
        <v>0</v>
      </c>
      <c r="P312" t="n">
        <v>0</v>
      </c>
      <c r="Q312" t="n">
        <v>0</v>
      </c>
      <c r="R312" s="2" t="inlineStr"/>
    </row>
    <row r="313" ht="15" customHeight="1">
      <c r="A313" t="inlineStr">
        <is>
          <t>A 28029-2023</t>
        </is>
      </c>
      <c r="B313" s="1" t="n">
        <v>45099</v>
      </c>
      <c r="C313" s="1" t="n">
        <v>45901</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44960-2021</t>
        </is>
      </c>
      <c r="B314" s="1" t="n">
        <v>44438.72253472222</v>
      </c>
      <c r="C314" s="1" t="n">
        <v>45901</v>
      </c>
      <c r="D314" t="inlineStr">
        <is>
          <t>DALARNAS LÄN</t>
        </is>
      </c>
      <c r="E314" t="inlineStr">
        <is>
          <t>HEDEMORA</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53568-2023</t>
        </is>
      </c>
      <c r="B315" s="1" t="n">
        <v>45230.49392361111</v>
      </c>
      <c r="C315" s="1" t="n">
        <v>45901</v>
      </c>
      <c r="D315" t="inlineStr">
        <is>
          <t>DALARNAS LÄN</t>
        </is>
      </c>
      <c r="E315" t="inlineStr">
        <is>
          <t>HEDEMORA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29303-2023</t>
        </is>
      </c>
      <c r="B316" s="1" t="n">
        <v>45105</v>
      </c>
      <c r="C316" s="1" t="n">
        <v>45901</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59471-2020</t>
        </is>
      </c>
      <c r="B317" s="1" t="n">
        <v>44148</v>
      </c>
      <c r="C317" s="1" t="n">
        <v>45901</v>
      </c>
      <c r="D317" t="inlineStr">
        <is>
          <t>DALARNAS LÄN</t>
        </is>
      </c>
      <c r="E317" t="inlineStr">
        <is>
          <t>HEDEMORA</t>
        </is>
      </c>
      <c r="G317" t="n">
        <v>1.2</v>
      </c>
      <c r="H317" t="n">
        <v>0</v>
      </c>
      <c r="I317" t="n">
        <v>0</v>
      </c>
      <c r="J317" t="n">
        <v>0</v>
      </c>
      <c r="K317" t="n">
        <v>0</v>
      </c>
      <c r="L317" t="n">
        <v>0</v>
      </c>
      <c r="M317" t="n">
        <v>0</v>
      </c>
      <c r="N317" t="n">
        <v>0</v>
      </c>
      <c r="O317" t="n">
        <v>0</v>
      </c>
      <c r="P317" t="n">
        <v>0</v>
      </c>
      <c r="Q317" t="n">
        <v>0</v>
      </c>
      <c r="R317" s="2" t="inlineStr"/>
    </row>
    <row r="318" ht="15" customHeight="1">
      <c r="A318" t="inlineStr">
        <is>
          <t>A 49904-2021</t>
        </is>
      </c>
      <c r="B318" s="1" t="n">
        <v>44455.77041666667</v>
      </c>
      <c r="C318" s="1" t="n">
        <v>45901</v>
      </c>
      <c r="D318" t="inlineStr">
        <is>
          <t>DALARNAS LÄN</t>
        </is>
      </c>
      <c r="E318" t="inlineStr">
        <is>
          <t>HEDEMORA</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58018-2022</t>
        </is>
      </c>
      <c r="B319" s="1" t="n">
        <v>44900.53383101852</v>
      </c>
      <c r="C319" s="1" t="n">
        <v>45901</v>
      </c>
      <c r="D319" t="inlineStr">
        <is>
          <t>DALARNAS LÄN</t>
        </is>
      </c>
      <c r="E319" t="inlineStr">
        <is>
          <t>HEDEMORA</t>
        </is>
      </c>
      <c r="G319" t="n">
        <v>3.6</v>
      </c>
      <c r="H319" t="n">
        <v>0</v>
      </c>
      <c r="I319" t="n">
        <v>0</v>
      </c>
      <c r="J319" t="n">
        <v>0</v>
      </c>
      <c r="K319" t="n">
        <v>0</v>
      </c>
      <c r="L319" t="n">
        <v>0</v>
      </c>
      <c r="M319" t="n">
        <v>0</v>
      </c>
      <c r="N319" t="n">
        <v>0</v>
      </c>
      <c r="O319" t="n">
        <v>0</v>
      </c>
      <c r="P319" t="n">
        <v>0</v>
      </c>
      <c r="Q319" t="n">
        <v>0</v>
      </c>
      <c r="R319" s="2" t="inlineStr"/>
    </row>
    <row r="320" ht="15" customHeight="1">
      <c r="A320" t="inlineStr">
        <is>
          <t>A 29050-2023</t>
        </is>
      </c>
      <c r="B320" s="1" t="n">
        <v>45104</v>
      </c>
      <c r="C320" s="1" t="n">
        <v>45901</v>
      </c>
      <c r="D320" t="inlineStr">
        <is>
          <t>DALARNAS LÄN</t>
        </is>
      </c>
      <c r="E320" t="inlineStr">
        <is>
          <t>HEDEMORA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63929-2023</t>
        </is>
      </c>
      <c r="B321" s="1" t="n">
        <v>45278.60274305556</v>
      </c>
      <c r="C321" s="1" t="n">
        <v>45901</v>
      </c>
      <c r="D321" t="inlineStr">
        <is>
          <t>DALARNAS LÄN</t>
        </is>
      </c>
      <c r="E321" t="inlineStr">
        <is>
          <t>HEDEMORA</t>
        </is>
      </c>
      <c r="G321" t="n">
        <v>0.4</v>
      </c>
      <c r="H321" t="n">
        <v>0</v>
      </c>
      <c r="I321" t="n">
        <v>0</v>
      </c>
      <c r="J321" t="n">
        <v>0</v>
      </c>
      <c r="K321" t="n">
        <v>0</v>
      </c>
      <c r="L321" t="n">
        <v>0</v>
      </c>
      <c r="M321" t="n">
        <v>0</v>
      </c>
      <c r="N321" t="n">
        <v>0</v>
      </c>
      <c r="O321" t="n">
        <v>0</v>
      </c>
      <c r="P321" t="n">
        <v>0</v>
      </c>
      <c r="Q321" t="n">
        <v>0</v>
      </c>
      <c r="R321" s="2" t="inlineStr"/>
    </row>
    <row r="322" ht="15" customHeight="1">
      <c r="A322" t="inlineStr">
        <is>
          <t>A 61883-2022</t>
        </is>
      </c>
      <c r="B322" s="1" t="n">
        <v>44917.67262731482</v>
      </c>
      <c r="C322" s="1" t="n">
        <v>45901</v>
      </c>
      <c r="D322" t="inlineStr">
        <is>
          <t>DALARNAS LÄN</t>
        </is>
      </c>
      <c r="E322" t="inlineStr">
        <is>
          <t>HEDEMORA</t>
        </is>
      </c>
      <c r="G322" t="n">
        <v>2.3</v>
      </c>
      <c r="H322" t="n">
        <v>0</v>
      </c>
      <c r="I322" t="n">
        <v>0</v>
      </c>
      <c r="J322" t="n">
        <v>0</v>
      </c>
      <c r="K322" t="n">
        <v>0</v>
      </c>
      <c r="L322" t="n">
        <v>0</v>
      </c>
      <c r="M322" t="n">
        <v>0</v>
      </c>
      <c r="N322" t="n">
        <v>0</v>
      </c>
      <c r="O322" t="n">
        <v>0</v>
      </c>
      <c r="P322" t="n">
        <v>0</v>
      </c>
      <c r="Q322" t="n">
        <v>0</v>
      </c>
      <c r="R322" s="2" t="inlineStr"/>
    </row>
    <row r="323" ht="15" customHeight="1">
      <c r="A323" t="inlineStr">
        <is>
          <t>A 37449-2024</t>
        </is>
      </c>
      <c r="B323" s="1" t="n">
        <v>45540</v>
      </c>
      <c r="C323" s="1" t="n">
        <v>45901</v>
      </c>
      <c r="D323" t="inlineStr">
        <is>
          <t>DALARNAS LÄN</t>
        </is>
      </c>
      <c r="E323" t="inlineStr">
        <is>
          <t>HEDEMORA</t>
        </is>
      </c>
      <c r="F323" t="inlineStr">
        <is>
          <t>Bergvik skog väst AB</t>
        </is>
      </c>
      <c r="G323" t="n">
        <v>10.1</v>
      </c>
      <c r="H323" t="n">
        <v>0</v>
      </c>
      <c r="I323" t="n">
        <v>0</v>
      </c>
      <c r="J323" t="n">
        <v>0</v>
      </c>
      <c r="K323" t="n">
        <v>0</v>
      </c>
      <c r="L323" t="n">
        <v>0</v>
      </c>
      <c r="M323" t="n">
        <v>0</v>
      </c>
      <c r="N323" t="n">
        <v>0</v>
      </c>
      <c r="O323" t="n">
        <v>0</v>
      </c>
      <c r="P323" t="n">
        <v>0</v>
      </c>
      <c r="Q323" t="n">
        <v>0</v>
      </c>
      <c r="R323" s="2" t="inlineStr"/>
    </row>
    <row r="324" ht="15" customHeight="1">
      <c r="A324" t="inlineStr">
        <is>
          <t>A 29301-2023</t>
        </is>
      </c>
      <c r="B324" s="1" t="n">
        <v>45105</v>
      </c>
      <c r="C324" s="1" t="n">
        <v>45901</v>
      </c>
      <c r="D324" t="inlineStr">
        <is>
          <t>DALARNAS LÄN</t>
        </is>
      </c>
      <c r="E324" t="inlineStr">
        <is>
          <t>HEDEMORA</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45901</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5766-2025</t>
        </is>
      </c>
      <c r="B326" s="1" t="n">
        <v>45694.57893518519</v>
      </c>
      <c r="C326" s="1" t="n">
        <v>45901</v>
      </c>
      <c r="D326" t="inlineStr">
        <is>
          <t>DALARNAS LÄN</t>
        </is>
      </c>
      <c r="E326" t="inlineStr">
        <is>
          <t>HEDEMORA</t>
        </is>
      </c>
      <c r="G326" t="n">
        <v>4.9</v>
      </c>
      <c r="H326" t="n">
        <v>0</v>
      </c>
      <c r="I326" t="n">
        <v>0</v>
      </c>
      <c r="J326" t="n">
        <v>0</v>
      </c>
      <c r="K326" t="n">
        <v>0</v>
      </c>
      <c r="L326" t="n">
        <v>0</v>
      </c>
      <c r="M326" t="n">
        <v>0</v>
      </c>
      <c r="N326" t="n">
        <v>0</v>
      </c>
      <c r="O326" t="n">
        <v>0</v>
      </c>
      <c r="P326" t="n">
        <v>0</v>
      </c>
      <c r="Q326" t="n">
        <v>0</v>
      </c>
      <c r="R326" s="2" t="inlineStr"/>
    </row>
    <row r="327" ht="15" customHeight="1">
      <c r="A327" t="inlineStr">
        <is>
          <t>A 7172-2025</t>
        </is>
      </c>
      <c r="B327" s="1" t="n">
        <v>45702.41383101852</v>
      </c>
      <c r="C327" s="1" t="n">
        <v>45901</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25691-2022</t>
        </is>
      </c>
      <c r="B328" s="1" t="n">
        <v>44733</v>
      </c>
      <c r="C328" s="1" t="n">
        <v>45901</v>
      </c>
      <c r="D328" t="inlineStr">
        <is>
          <t>DALARNAS LÄN</t>
        </is>
      </c>
      <c r="E328" t="inlineStr">
        <is>
          <t>HEDEMORA</t>
        </is>
      </c>
      <c r="G328" t="n">
        <v>0.7</v>
      </c>
      <c r="H328" t="n">
        <v>0</v>
      </c>
      <c r="I328" t="n">
        <v>0</v>
      </c>
      <c r="J328" t="n">
        <v>0</v>
      </c>
      <c r="K328" t="n">
        <v>0</v>
      </c>
      <c r="L328" t="n">
        <v>0</v>
      </c>
      <c r="M328" t="n">
        <v>0</v>
      </c>
      <c r="N328" t="n">
        <v>0</v>
      </c>
      <c r="O328" t="n">
        <v>0</v>
      </c>
      <c r="P328" t="n">
        <v>0</v>
      </c>
      <c r="Q328" t="n">
        <v>0</v>
      </c>
      <c r="R328" s="2" t="inlineStr"/>
    </row>
    <row r="329" ht="15" customHeight="1">
      <c r="A329" t="inlineStr">
        <is>
          <t>A 61849-2022</t>
        </is>
      </c>
      <c r="B329" s="1" t="n">
        <v>44917</v>
      </c>
      <c r="C329" s="1" t="n">
        <v>45901</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53584-2023</t>
        </is>
      </c>
      <c r="B330" s="1" t="n">
        <v>45230</v>
      </c>
      <c r="C330" s="1" t="n">
        <v>45901</v>
      </c>
      <c r="D330" t="inlineStr">
        <is>
          <t>DALARNAS LÄN</t>
        </is>
      </c>
      <c r="E330" t="inlineStr">
        <is>
          <t>HEDEMORA</t>
        </is>
      </c>
      <c r="G330" t="n">
        <v>6.6</v>
      </c>
      <c r="H330" t="n">
        <v>0</v>
      </c>
      <c r="I330" t="n">
        <v>0</v>
      </c>
      <c r="J330" t="n">
        <v>0</v>
      </c>
      <c r="K330" t="n">
        <v>0</v>
      </c>
      <c r="L330" t="n">
        <v>0</v>
      </c>
      <c r="M330" t="n">
        <v>0</v>
      </c>
      <c r="N330" t="n">
        <v>0</v>
      </c>
      <c r="O330" t="n">
        <v>0</v>
      </c>
      <c r="P330" t="n">
        <v>0</v>
      </c>
      <c r="Q330" t="n">
        <v>0</v>
      </c>
      <c r="R330" s="2" t="inlineStr"/>
    </row>
    <row r="331" ht="15" customHeight="1">
      <c r="A331" t="inlineStr">
        <is>
          <t>A 36299-2024</t>
        </is>
      </c>
      <c r="B331" s="1" t="n">
        <v>45534.6090625</v>
      </c>
      <c r="C331" s="1" t="n">
        <v>45901</v>
      </c>
      <c r="D331" t="inlineStr">
        <is>
          <t>DALARNAS LÄN</t>
        </is>
      </c>
      <c r="E331" t="inlineStr">
        <is>
          <t>HEDEMORA</t>
        </is>
      </c>
      <c r="F331" t="inlineStr">
        <is>
          <t>Sveaskog</t>
        </is>
      </c>
      <c r="G331" t="n">
        <v>5.3</v>
      </c>
      <c r="H331" t="n">
        <v>0</v>
      </c>
      <c r="I331" t="n">
        <v>0</v>
      </c>
      <c r="J331" t="n">
        <v>0</v>
      </c>
      <c r="K331" t="n">
        <v>0</v>
      </c>
      <c r="L331" t="n">
        <v>0</v>
      </c>
      <c r="M331" t="n">
        <v>0</v>
      </c>
      <c r="N331" t="n">
        <v>0</v>
      </c>
      <c r="O331" t="n">
        <v>0</v>
      </c>
      <c r="P331" t="n">
        <v>0</v>
      </c>
      <c r="Q331" t="n">
        <v>0</v>
      </c>
      <c r="R331" s="2" t="inlineStr"/>
    </row>
    <row r="332" ht="15" customHeight="1">
      <c r="A332" t="inlineStr">
        <is>
          <t>A 20272-2025</t>
        </is>
      </c>
      <c r="B332" s="1" t="n">
        <v>45773.71663194444</v>
      </c>
      <c r="C332" s="1" t="n">
        <v>45901</v>
      </c>
      <c r="D332" t="inlineStr">
        <is>
          <t>DALARNAS LÄN</t>
        </is>
      </c>
      <c r="E332" t="inlineStr">
        <is>
          <t>HEDEMORA</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19688-2025</t>
        </is>
      </c>
      <c r="B333" s="1" t="n">
        <v>45770.88217592592</v>
      </c>
      <c r="C333" s="1" t="n">
        <v>45901</v>
      </c>
      <c r="D333" t="inlineStr">
        <is>
          <t>DALARNAS LÄN</t>
        </is>
      </c>
      <c r="E333" t="inlineStr">
        <is>
          <t>HEDEMORA</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45901</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46825-2024</t>
        </is>
      </c>
      <c r="B335" s="1" t="n">
        <v>45583.58040509259</v>
      </c>
      <c r="C335" s="1" t="n">
        <v>45901</v>
      </c>
      <c r="D335" t="inlineStr">
        <is>
          <t>DALARNAS LÄN</t>
        </is>
      </c>
      <c r="E335" t="inlineStr">
        <is>
          <t>HEDEMORA</t>
        </is>
      </c>
      <c r="G335" t="n">
        <v>1.1</v>
      </c>
      <c r="H335" t="n">
        <v>0</v>
      </c>
      <c r="I335" t="n">
        <v>0</v>
      </c>
      <c r="J335" t="n">
        <v>0</v>
      </c>
      <c r="K335" t="n">
        <v>0</v>
      </c>
      <c r="L335" t="n">
        <v>0</v>
      </c>
      <c r="M335" t="n">
        <v>0</v>
      </c>
      <c r="N335" t="n">
        <v>0</v>
      </c>
      <c r="O335" t="n">
        <v>0</v>
      </c>
      <c r="P335" t="n">
        <v>0</v>
      </c>
      <c r="Q335" t="n">
        <v>0</v>
      </c>
      <c r="R335" s="2" t="inlineStr"/>
    </row>
    <row r="336" ht="15" customHeight="1">
      <c r="A336" t="inlineStr">
        <is>
          <t>A 52942-2024</t>
        </is>
      </c>
      <c r="B336" s="1" t="n">
        <v>45610.8215625</v>
      </c>
      <c r="C336" s="1" t="n">
        <v>45901</v>
      </c>
      <c r="D336" t="inlineStr">
        <is>
          <t>DALARNAS LÄN</t>
        </is>
      </c>
      <c r="E336" t="inlineStr">
        <is>
          <t>HEDEMORA</t>
        </is>
      </c>
      <c r="F336" t="inlineStr">
        <is>
          <t>Sveaskog</t>
        </is>
      </c>
      <c r="G336" t="n">
        <v>14.5</v>
      </c>
      <c r="H336" t="n">
        <v>0</v>
      </c>
      <c r="I336" t="n">
        <v>0</v>
      </c>
      <c r="J336" t="n">
        <v>0</v>
      </c>
      <c r="K336" t="n">
        <v>0</v>
      </c>
      <c r="L336" t="n">
        <v>0</v>
      </c>
      <c r="M336" t="n">
        <v>0</v>
      </c>
      <c r="N336" t="n">
        <v>0</v>
      </c>
      <c r="O336" t="n">
        <v>0</v>
      </c>
      <c r="P336" t="n">
        <v>0</v>
      </c>
      <c r="Q336" t="n">
        <v>0</v>
      </c>
      <c r="R336" s="2" t="inlineStr"/>
    </row>
    <row r="337" ht="15" customHeight="1">
      <c r="A337" t="inlineStr">
        <is>
          <t>A 26612-2021</t>
        </is>
      </c>
      <c r="B337" s="1" t="n">
        <v>44348.64942129629</v>
      </c>
      <c r="C337" s="1" t="n">
        <v>45901</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22273-2023</t>
        </is>
      </c>
      <c r="B338" s="1" t="n">
        <v>45070</v>
      </c>
      <c r="C338" s="1" t="n">
        <v>45901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24427-2022</t>
        </is>
      </c>
      <c r="B339" s="1" t="n">
        <v>44726</v>
      </c>
      <c r="C339" s="1" t="n">
        <v>45901</v>
      </c>
      <c r="D339" t="inlineStr">
        <is>
          <t>DALARNAS LÄN</t>
        </is>
      </c>
      <c r="E339" t="inlineStr">
        <is>
          <t>HEDEMORA</t>
        </is>
      </c>
      <c r="G339" t="n">
        <v>1.7</v>
      </c>
      <c r="H339" t="n">
        <v>0</v>
      </c>
      <c r="I339" t="n">
        <v>0</v>
      </c>
      <c r="J339" t="n">
        <v>0</v>
      </c>
      <c r="K339" t="n">
        <v>0</v>
      </c>
      <c r="L339" t="n">
        <v>0</v>
      </c>
      <c r="M339" t="n">
        <v>0</v>
      </c>
      <c r="N339" t="n">
        <v>0</v>
      </c>
      <c r="O339" t="n">
        <v>0</v>
      </c>
      <c r="P339" t="n">
        <v>0</v>
      </c>
      <c r="Q339" t="n">
        <v>0</v>
      </c>
      <c r="R339" s="2" t="inlineStr"/>
    </row>
    <row r="340" ht="15" customHeight="1">
      <c r="A340" t="inlineStr">
        <is>
          <t>A 40801-2024</t>
        </is>
      </c>
      <c r="B340" s="1" t="n">
        <v>45558.52905092593</v>
      </c>
      <c r="C340" s="1" t="n">
        <v>45901</v>
      </c>
      <c r="D340" t="inlineStr">
        <is>
          <t>DALARNAS LÄN</t>
        </is>
      </c>
      <c r="E340" t="inlineStr">
        <is>
          <t>HEDEMORA</t>
        </is>
      </c>
      <c r="G340" t="n">
        <v>2.2</v>
      </c>
      <c r="H340" t="n">
        <v>0</v>
      </c>
      <c r="I340" t="n">
        <v>0</v>
      </c>
      <c r="J340" t="n">
        <v>0</v>
      </c>
      <c r="K340" t="n">
        <v>0</v>
      </c>
      <c r="L340" t="n">
        <v>0</v>
      </c>
      <c r="M340" t="n">
        <v>0</v>
      </c>
      <c r="N340" t="n">
        <v>0</v>
      </c>
      <c r="O340" t="n">
        <v>0</v>
      </c>
      <c r="P340" t="n">
        <v>0</v>
      </c>
      <c r="Q340" t="n">
        <v>0</v>
      </c>
      <c r="R340" s="2" t="inlineStr"/>
    </row>
    <row r="341" ht="15" customHeight="1">
      <c r="A341" t="inlineStr">
        <is>
          <t>A 36306-2024</t>
        </is>
      </c>
      <c r="B341" s="1" t="n">
        <v>45534.61327546297</v>
      </c>
      <c r="C341" s="1" t="n">
        <v>45901</v>
      </c>
      <c r="D341" t="inlineStr">
        <is>
          <t>DALARNAS LÄN</t>
        </is>
      </c>
      <c r="E341" t="inlineStr">
        <is>
          <t>HEDEMORA</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29591-2024</t>
        </is>
      </c>
      <c r="B342" s="1" t="n">
        <v>45484.58222222222</v>
      </c>
      <c r="C342" s="1" t="n">
        <v>45901</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53588-2023</t>
        </is>
      </c>
      <c r="B343" s="1" t="n">
        <v>45230.53109953704</v>
      </c>
      <c r="C343" s="1" t="n">
        <v>45901</v>
      </c>
      <c r="D343" t="inlineStr">
        <is>
          <t>DALARNAS LÄN</t>
        </is>
      </c>
      <c r="E343" t="inlineStr">
        <is>
          <t>HEDEMORA</t>
        </is>
      </c>
      <c r="G343" t="n">
        <v>0.6</v>
      </c>
      <c r="H343" t="n">
        <v>0</v>
      </c>
      <c r="I343" t="n">
        <v>0</v>
      </c>
      <c r="J343" t="n">
        <v>0</v>
      </c>
      <c r="K343" t="n">
        <v>0</v>
      </c>
      <c r="L343" t="n">
        <v>0</v>
      </c>
      <c r="M343" t="n">
        <v>0</v>
      </c>
      <c r="N343" t="n">
        <v>0</v>
      </c>
      <c r="O343" t="n">
        <v>0</v>
      </c>
      <c r="P343" t="n">
        <v>0</v>
      </c>
      <c r="Q343" t="n">
        <v>0</v>
      </c>
      <c r="R343" s="2" t="inlineStr"/>
    </row>
    <row r="344" ht="15" customHeight="1">
      <c r="A344" t="inlineStr">
        <is>
          <t>A 60808-2024</t>
        </is>
      </c>
      <c r="B344" s="1" t="n">
        <v>45644.61251157407</v>
      </c>
      <c r="C344" s="1" t="n">
        <v>45901</v>
      </c>
      <c r="D344" t="inlineStr">
        <is>
          <t>DALARNAS LÄN</t>
        </is>
      </c>
      <c r="E344" t="inlineStr">
        <is>
          <t>HEDEMORA</t>
        </is>
      </c>
      <c r="G344" t="n">
        <v>6</v>
      </c>
      <c r="H344" t="n">
        <v>0</v>
      </c>
      <c r="I344" t="n">
        <v>0</v>
      </c>
      <c r="J344" t="n">
        <v>0</v>
      </c>
      <c r="K344" t="n">
        <v>0</v>
      </c>
      <c r="L344" t="n">
        <v>0</v>
      </c>
      <c r="M344" t="n">
        <v>0</v>
      </c>
      <c r="N344" t="n">
        <v>0</v>
      </c>
      <c r="O344" t="n">
        <v>0</v>
      </c>
      <c r="P344" t="n">
        <v>0</v>
      </c>
      <c r="Q344" t="n">
        <v>0</v>
      </c>
      <c r="R344" s="2" t="inlineStr"/>
    </row>
    <row r="345">
      <c r="A345" t="inlineStr">
        <is>
          <t>A 55832-2024</t>
        </is>
      </c>
      <c r="B345" s="1" t="n">
        <v>45623.48604166666</v>
      </c>
      <c r="C345" s="1" t="n">
        <v>45901</v>
      </c>
      <c r="D345" t="inlineStr">
        <is>
          <t>DALARNAS LÄN</t>
        </is>
      </c>
      <c r="E345" t="inlineStr">
        <is>
          <t>HEDEMORA</t>
        </is>
      </c>
      <c r="G345" t="n">
        <v>3</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2025-09-01T08:30:15Z</dcterms:created>
  <dcterms:modified xmlns:dcterms="http://purl.org/dc/terms/" xmlns:xsi="http://www.w3.org/2001/XMLSchema-instance" xsi:type="dcterms:W3CDTF">2025-09-01T08:30:16Z</dcterms:modified>
</cp:coreProperties>
</file>