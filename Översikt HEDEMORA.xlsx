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45573</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45573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45573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45573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45573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45573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45573</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45573</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45573</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45573</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45573</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45573</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45573</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45573</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45573</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45573</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45573</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45573</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45573</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45573</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45573</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49872-2021</t>
        </is>
      </c>
      <c r="B23" s="1" t="n">
        <v>44455</v>
      </c>
      <c r="C23" s="1" t="n">
        <v>45573</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45573</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45573</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992-2024</t>
        </is>
      </c>
      <c r="B26" s="1" t="n">
        <v>45301</v>
      </c>
      <c r="C26" s="1" t="n">
        <v>45573</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45573</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45573</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45573</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45573</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45573</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45573</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45573</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45573</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45573</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45573</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45573</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45573</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45573</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45573</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45573</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45573</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45573</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45573</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45573</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45573</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45573</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45573</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45573</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45573</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45573</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45573</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45573</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45573</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45573</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45573</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45573</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45573</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45573</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45573</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45573</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45573</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45573</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45573</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45573</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45573</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45573</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55144-2022</t>
        </is>
      </c>
      <c r="B68" s="1" t="n">
        <v>44886</v>
      </c>
      <c r="C68" s="1" t="n">
        <v>45573</v>
      </c>
      <c r="D68" t="inlineStr">
        <is>
          <t>DALARNAS LÄN</t>
        </is>
      </c>
      <c r="E68" t="inlineStr">
        <is>
          <t>HEDEMORA</t>
        </is>
      </c>
      <c r="F68" t="inlineStr">
        <is>
          <t>Sveaskog</t>
        </is>
      </c>
      <c r="G68" t="n">
        <v>2.6</v>
      </c>
      <c r="H68" t="n">
        <v>1</v>
      </c>
      <c r="I68" t="n">
        <v>0</v>
      </c>
      <c r="J68" t="n">
        <v>0</v>
      </c>
      <c r="K68" t="n">
        <v>0</v>
      </c>
      <c r="L68" t="n">
        <v>0</v>
      </c>
      <c r="M68" t="n">
        <v>0</v>
      </c>
      <c r="N68" t="n">
        <v>0</v>
      </c>
      <c r="O68" t="n">
        <v>0</v>
      </c>
      <c r="P68" t="n">
        <v>0</v>
      </c>
      <c r="Q68" t="n">
        <v>1</v>
      </c>
      <c r="R68" s="2" t="inlineStr">
        <is>
          <t>Fläcknycklar</t>
        </is>
      </c>
      <c r="S68">
        <f>HYPERLINK("https://klasma.github.io/Logging_2083/artfynd/A 55144-2022 artfynd.xlsx", "A 55144-2022")</f>
        <v/>
      </c>
      <c r="T68">
        <f>HYPERLINK("https://klasma.github.io/Logging_2083/kartor/A 55144-2022 karta.png", "A 55144-2022")</f>
        <v/>
      </c>
      <c r="V68">
        <f>HYPERLINK("https://klasma.github.io/Logging_2083/klagomål/A 55144-2022 FSC-klagomål.docx", "A 55144-2022")</f>
        <v/>
      </c>
      <c r="W68">
        <f>HYPERLINK("https://klasma.github.io/Logging_2083/klagomålsmail/A 55144-2022 FSC-klagomål mail.docx", "A 55144-2022")</f>
        <v/>
      </c>
      <c r="X68">
        <f>HYPERLINK("https://klasma.github.io/Logging_2083/tillsyn/A 55144-2022 tillsynsbegäran.docx", "A 55144-2022")</f>
        <v/>
      </c>
      <c r="Y68">
        <f>HYPERLINK("https://klasma.github.io/Logging_2083/tillsynsmail/A 55144-2022 tillsynsbegäran mail.docx", "A 55144-2022")</f>
        <v/>
      </c>
    </row>
    <row r="69" ht="15" customHeight="1">
      <c r="A69" t="inlineStr">
        <is>
          <t>A 11742-2023</t>
        </is>
      </c>
      <c r="B69" s="1" t="n">
        <v>44994</v>
      </c>
      <c r="C69" s="1" t="n">
        <v>45573</v>
      </c>
      <c r="D69" t="inlineStr">
        <is>
          <t>DALARNAS LÄN</t>
        </is>
      </c>
      <c r="E69" t="inlineStr">
        <is>
          <t>HEDEMORA</t>
        </is>
      </c>
      <c r="G69" t="n">
        <v>6</v>
      </c>
      <c r="H69" t="n">
        <v>0</v>
      </c>
      <c r="I69" t="n">
        <v>0</v>
      </c>
      <c r="J69" t="n">
        <v>1</v>
      </c>
      <c r="K69" t="n">
        <v>0</v>
      </c>
      <c r="L69" t="n">
        <v>0</v>
      </c>
      <c r="M69" t="n">
        <v>0</v>
      </c>
      <c r="N69" t="n">
        <v>0</v>
      </c>
      <c r="O69" t="n">
        <v>1</v>
      </c>
      <c r="P69" t="n">
        <v>0</v>
      </c>
      <c r="Q69" t="n">
        <v>1</v>
      </c>
      <c r="R69" s="2" t="inlineStr">
        <is>
          <t>Tallticka</t>
        </is>
      </c>
      <c r="S69">
        <f>HYPERLINK("https://klasma.github.io/Logging_2083/artfynd/A 11742-2023 artfynd.xlsx", "A 11742-2023")</f>
        <v/>
      </c>
      <c r="T69">
        <f>HYPERLINK("https://klasma.github.io/Logging_2083/kartor/A 11742-2023 karta.png", "A 11742-2023")</f>
        <v/>
      </c>
      <c r="V69">
        <f>HYPERLINK("https://klasma.github.io/Logging_2083/klagomål/A 11742-2023 FSC-klagomål.docx", "A 11742-2023")</f>
        <v/>
      </c>
      <c r="W69">
        <f>HYPERLINK("https://klasma.github.io/Logging_2083/klagomålsmail/A 11742-2023 FSC-klagomål mail.docx", "A 11742-2023")</f>
        <v/>
      </c>
      <c r="X69">
        <f>HYPERLINK("https://klasma.github.io/Logging_2083/tillsyn/A 11742-2023 tillsynsbegäran.docx", "A 11742-2023")</f>
        <v/>
      </c>
      <c r="Y69">
        <f>HYPERLINK("https://klasma.github.io/Logging_2083/tillsynsmail/A 11742-2023 tillsynsbegäran mail.docx", "A 11742-2023")</f>
        <v/>
      </c>
    </row>
    <row r="70" ht="15" customHeight="1">
      <c r="A70" t="inlineStr">
        <is>
          <t>A 13986-2023</t>
        </is>
      </c>
      <c r="B70" s="1" t="n">
        <v>45008</v>
      </c>
      <c r="C70" s="1" t="n">
        <v>45573</v>
      </c>
      <c r="D70" t="inlineStr">
        <is>
          <t>DALARNAS LÄN</t>
        </is>
      </c>
      <c r="E70" t="inlineStr">
        <is>
          <t>HEDEMORA</t>
        </is>
      </c>
      <c r="G70" t="n">
        <v>0.8</v>
      </c>
      <c r="H70" t="n">
        <v>1</v>
      </c>
      <c r="I70" t="n">
        <v>0</v>
      </c>
      <c r="J70" t="n">
        <v>0</v>
      </c>
      <c r="K70" t="n">
        <v>1</v>
      </c>
      <c r="L70" t="n">
        <v>0</v>
      </c>
      <c r="M70" t="n">
        <v>0</v>
      </c>
      <c r="N70" t="n">
        <v>0</v>
      </c>
      <c r="O70" t="n">
        <v>1</v>
      </c>
      <c r="P70" t="n">
        <v>1</v>
      </c>
      <c r="Q70" t="n">
        <v>1</v>
      </c>
      <c r="R70" s="2" t="inlineStr">
        <is>
          <t>Knärot</t>
        </is>
      </c>
      <c r="S70">
        <f>HYPERLINK("https://klasma.github.io/Logging_2083/artfynd/A 13986-2023 artfynd.xlsx", "A 13986-2023")</f>
        <v/>
      </c>
      <c r="T70">
        <f>HYPERLINK("https://klasma.github.io/Logging_2083/kartor/A 13986-2023 karta.png", "A 13986-2023")</f>
        <v/>
      </c>
      <c r="U70">
        <f>HYPERLINK("https://klasma.github.io/Logging_2083/knärot/A 13986-2023 karta knärot.png", "A 13986-2023")</f>
        <v/>
      </c>
      <c r="V70">
        <f>HYPERLINK("https://klasma.github.io/Logging_2083/klagomål/A 13986-2023 FSC-klagomål.docx", "A 13986-2023")</f>
        <v/>
      </c>
      <c r="W70">
        <f>HYPERLINK("https://klasma.github.io/Logging_2083/klagomålsmail/A 13986-2023 FSC-klagomål mail.docx", "A 13986-2023")</f>
        <v/>
      </c>
      <c r="X70">
        <f>HYPERLINK("https://klasma.github.io/Logging_2083/tillsyn/A 13986-2023 tillsynsbegäran.docx", "A 13986-2023")</f>
        <v/>
      </c>
      <c r="Y70">
        <f>HYPERLINK("https://klasma.github.io/Logging_2083/tillsynsmail/A 13986-2023 tillsynsbegäran mail.docx", "A 13986-2023")</f>
        <v/>
      </c>
    </row>
    <row r="71" ht="15" customHeight="1">
      <c r="A71" t="inlineStr">
        <is>
          <t>A 20231-2023</t>
        </is>
      </c>
      <c r="B71" s="1" t="n">
        <v>45055</v>
      </c>
      <c r="C71" s="1" t="n">
        <v>45573</v>
      </c>
      <c r="D71" t="inlineStr">
        <is>
          <t>DALARNAS LÄN</t>
        </is>
      </c>
      <c r="E71" t="inlineStr">
        <is>
          <t>HEDEMORA</t>
        </is>
      </c>
      <c r="F71" t="inlineStr">
        <is>
          <t>Bergvik skog väst AB</t>
        </is>
      </c>
      <c r="G71" t="n">
        <v>3.9</v>
      </c>
      <c r="H71" t="n">
        <v>1</v>
      </c>
      <c r="I71" t="n">
        <v>0</v>
      </c>
      <c r="J71" t="n">
        <v>1</v>
      </c>
      <c r="K71" t="n">
        <v>0</v>
      </c>
      <c r="L71" t="n">
        <v>0</v>
      </c>
      <c r="M71" t="n">
        <v>0</v>
      </c>
      <c r="N71" t="n">
        <v>0</v>
      </c>
      <c r="O71" t="n">
        <v>1</v>
      </c>
      <c r="P71" t="n">
        <v>0</v>
      </c>
      <c r="Q71" t="n">
        <v>1</v>
      </c>
      <c r="R71" s="2" t="inlineStr">
        <is>
          <t>Tretåig hackspett</t>
        </is>
      </c>
      <c r="S71">
        <f>HYPERLINK("https://klasma.github.io/Logging_2083/artfynd/A 20231-2023 artfynd.xlsx", "A 20231-2023")</f>
        <v/>
      </c>
      <c r="T71">
        <f>HYPERLINK("https://klasma.github.io/Logging_2083/kartor/A 20231-2023 karta.png", "A 20231-2023")</f>
        <v/>
      </c>
      <c r="V71">
        <f>HYPERLINK("https://klasma.github.io/Logging_2083/klagomål/A 20231-2023 FSC-klagomål.docx", "A 20231-2023")</f>
        <v/>
      </c>
      <c r="W71">
        <f>HYPERLINK("https://klasma.github.io/Logging_2083/klagomålsmail/A 20231-2023 FSC-klagomål mail.docx", "A 20231-2023")</f>
        <v/>
      </c>
      <c r="X71">
        <f>HYPERLINK("https://klasma.github.io/Logging_2083/tillsyn/A 20231-2023 tillsynsbegäran.docx", "A 20231-2023")</f>
        <v/>
      </c>
      <c r="Y71">
        <f>HYPERLINK("https://klasma.github.io/Logging_2083/tillsynsmail/A 20231-2023 tillsynsbegäran mail.docx", "A 20231-2023")</f>
        <v/>
      </c>
      <c r="Z71">
        <f>HYPERLINK("https://klasma.github.io/Logging_2083/fåglar/A 20231-2023 prioriterade fågelarter.docx", "A 20231-2023")</f>
        <v/>
      </c>
    </row>
    <row r="72" ht="15" customHeight="1">
      <c r="A72" t="inlineStr">
        <is>
          <t>A 21147-2023</t>
        </is>
      </c>
      <c r="B72" s="1" t="n">
        <v>45057</v>
      </c>
      <c r="C72" s="1" t="n">
        <v>45573</v>
      </c>
      <c r="D72" t="inlineStr">
        <is>
          <t>DALARNAS LÄN</t>
        </is>
      </c>
      <c r="E72" t="inlineStr">
        <is>
          <t>HEDEMORA</t>
        </is>
      </c>
      <c r="G72" t="n">
        <v>10</v>
      </c>
      <c r="H72" t="n">
        <v>1</v>
      </c>
      <c r="I72" t="n">
        <v>0</v>
      </c>
      <c r="J72" t="n">
        <v>0</v>
      </c>
      <c r="K72" t="n">
        <v>0</v>
      </c>
      <c r="L72" t="n">
        <v>0</v>
      </c>
      <c r="M72" t="n">
        <v>0</v>
      </c>
      <c r="N72" t="n">
        <v>0</v>
      </c>
      <c r="O72" t="n">
        <v>0</v>
      </c>
      <c r="P72" t="n">
        <v>0</v>
      </c>
      <c r="Q72" t="n">
        <v>1</v>
      </c>
      <c r="R72" s="2" t="inlineStr">
        <is>
          <t>Blåsippa</t>
        </is>
      </c>
      <c r="S72">
        <f>HYPERLINK("https://klasma.github.io/Logging_2083/artfynd/A 21147-2023 artfynd.xlsx", "A 21147-2023")</f>
        <v/>
      </c>
      <c r="T72">
        <f>HYPERLINK("https://klasma.github.io/Logging_2083/kartor/A 21147-2023 karta.png", "A 21147-2023")</f>
        <v/>
      </c>
      <c r="V72">
        <f>HYPERLINK("https://klasma.github.io/Logging_2083/klagomål/A 21147-2023 FSC-klagomål.docx", "A 21147-2023")</f>
        <v/>
      </c>
      <c r="W72">
        <f>HYPERLINK("https://klasma.github.io/Logging_2083/klagomålsmail/A 21147-2023 FSC-klagomål mail.docx", "A 21147-2023")</f>
        <v/>
      </c>
      <c r="X72">
        <f>HYPERLINK("https://klasma.github.io/Logging_2083/tillsyn/A 21147-2023 tillsynsbegäran.docx", "A 21147-2023")</f>
        <v/>
      </c>
      <c r="Y72">
        <f>HYPERLINK("https://klasma.github.io/Logging_2083/tillsynsmail/A 21147-2023 tillsynsbegäran mail.docx", "A 21147-2023")</f>
        <v/>
      </c>
    </row>
    <row r="73" ht="15" customHeight="1">
      <c r="A73" t="inlineStr">
        <is>
          <t>A 23815-2023</t>
        </is>
      </c>
      <c r="B73" s="1" t="n">
        <v>45078</v>
      </c>
      <c r="C73" s="1" t="n">
        <v>45573</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28028-2023</t>
        </is>
      </c>
      <c r="B74" s="1" t="n">
        <v>45099</v>
      </c>
      <c r="C74" s="1" t="n">
        <v>45573</v>
      </c>
      <c r="D74" t="inlineStr">
        <is>
          <t>DALARNAS LÄN</t>
        </is>
      </c>
      <c r="E74" t="inlineStr">
        <is>
          <t>HEDEMORA</t>
        </is>
      </c>
      <c r="G74" t="n">
        <v>0.8</v>
      </c>
      <c r="H74" t="n">
        <v>1</v>
      </c>
      <c r="I74" t="n">
        <v>0</v>
      </c>
      <c r="J74" t="n">
        <v>0</v>
      </c>
      <c r="K74" t="n">
        <v>0</v>
      </c>
      <c r="L74" t="n">
        <v>0</v>
      </c>
      <c r="M74" t="n">
        <v>0</v>
      </c>
      <c r="N74" t="n">
        <v>0</v>
      </c>
      <c r="O74" t="n">
        <v>0</v>
      </c>
      <c r="P74" t="n">
        <v>0</v>
      </c>
      <c r="Q74" t="n">
        <v>1</v>
      </c>
      <c r="R74" s="2" t="inlineStr">
        <is>
          <t>Blåsippa</t>
        </is>
      </c>
      <c r="S74">
        <f>HYPERLINK("https://klasma.github.io/Logging_2083/artfynd/A 28028-2023 artfynd.xlsx", "A 28028-2023")</f>
        <v/>
      </c>
      <c r="T74">
        <f>HYPERLINK("https://klasma.github.io/Logging_2083/kartor/A 28028-2023 karta.png", "A 28028-2023")</f>
        <v/>
      </c>
      <c r="V74">
        <f>HYPERLINK("https://klasma.github.io/Logging_2083/klagomål/A 28028-2023 FSC-klagomål.docx", "A 28028-2023")</f>
        <v/>
      </c>
      <c r="W74">
        <f>HYPERLINK("https://klasma.github.io/Logging_2083/klagomålsmail/A 28028-2023 FSC-klagomål mail.docx", "A 28028-2023")</f>
        <v/>
      </c>
      <c r="X74">
        <f>HYPERLINK("https://klasma.github.io/Logging_2083/tillsyn/A 28028-2023 tillsynsbegäran.docx", "A 28028-2023")</f>
        <v/>
      </c>
      <c r="Y74">
        <f>HYPERLINK("https://klasma.github.io/Logging_2083/tillsynsmail/A 28028-2023 tillsynsbegäran mail.docx", "A 28028-2023")</f>
        <v/>
      </c>
    </row>
    <row r="75" ht="15" customHeight="1">
      <c r="A75" t="inlineStr">
        <is>
          <t>A 30936-2023</t>
        </is>
      </c>
      <c r="B75" s="1" t="n">
        <v>45113</v>
      </c>
      <c r="C75" s="1" t="n">
        <v>45573</v>
      </c>
      <c r="D75" t="inlineStr">
        <is>
          <t>DALARNAS LÄN</t>
        </is>
      </c>
      <c r="E75" t="inlineStr">
        <is>
          <t>HEDEMORA</t>
        </is>
      </c>
      <c r="F75" t="inlineStr">
        <is>
          <t>Sveaskog</t>
        </is>
      </c>
      <c r="G75" t="n">
        <v>9.199999999999999</v>
      </c>
      <c r="H75" t="n">
        <v>0</v>
      </c>
      <c r="I75" t="n">
        <v>0</v>
      </c>
      <c r="J75" t="n">
        <v>1</v>
      </c>
      <c r="K75" t="n">
        <v>0</v>
      </c>
      <c r="L75" t="n">
        <v>0</v>
      </c>
      <c r="M75" t="n">
        <v>0</v>
      </c>
      <c r="N75" t="n">
        <v>0</v>
      </c>
      <c r="O75" t="n">
        <v>1</v>
      </c>
      <c r="P75" t="n">
        <v>0</v>
      </c>
      <c r="Q75" t="n">
        <v>1</v>
      </c>
      <c r="R75" s="2" t="inlineStr">
        <is>
          <t>Kolflarnlav</t>
        </is>
      </c>
      <c r="S75">
        <f>HYPERLINK("https://klasma.github.io/Logging_2083/artfynd/A 30936-2023 artfynd.xlsx", "A 30936-2023")</f>
        <v/>
      </c>
      <c r="T75">
        <f>HYPERLINK("https://klasma.github.io/Logging_2083/kartor/A 30936-2023 karta.png", "A 30936-2023")</f>
        <v/>
      </c>
      <c r="V75">
        <f>HYPERLINK("https://klasma.github.io/Logging_2083/klagomål/A 30936-2023 FSC-klagomål.docx", "A 30936-2023")</f>
        <v/>
      </c>
      <c r="W75">
        <f>HYPERLINK("https://klasma.github.io/Logging_2083/klagomålsmail/A 30936-2023 FSC-klagomål mail.docx", "A 30936-2023")</f>
        <v/>
      </c>
      <c r="X75">
        <f>HYPERLINK("https://klasma.github.io/Logging_2083/tillsyn/A 30936-2023 tillsynsbegäran.docx", "A 30936-2023")</f>
        <v/>
      </c>
      <c r="Y75">
        <f>HYPERLINK("https://klasma.github.io/Logging_2083/tillsynsmail/A 30936-2023 tillsynsbegäran mail.docx", "A 30936-2023")</f>
        <v/>
      </c>
    </row>
    <row r="76" ht="15" customHeight="1">
      <c r="A76" t="inlineStr">
        <is>
          <t>A 33023-2023</t>
        </is>
      </c>
      <c r="B76" s="1" t="n">
        <v>45125</v>
      </c>
      <c r="C76" s="1" t="n">
        <v>45573</v>
      </c>
      <c r="D76" t="inlineStr">
        <is>
          <t>DALARNAS LÄN</t>
        </is>
      </c>
      <c r="E76" t="inlineStr">
        <is>
          <t>HEDEMORA</t>
        </is>
      </c>
      <c r="F76" t="inlineStr">
        <is>
          <t>Sveaskog</t>
        </is>
      </c>
      <c r="G76" t="n">
        <v>3.9</v>
      </c>
      <c r="H76" t="n">
        <v>1</v>
      </c>
      <c r="I76" t="n">
        <v>0</v>
      </c>
      <c r="J76" t="n">
        <v>0</v>
      </c>
      <c r="K76" t="n">
        <v>0</v>
      </c>
      <c r="L76" t="n">
        <v>0</v>
      </c>
      <c r="M76" t="n">
        <v>0</v>
      </c>
      <c r="N76" t="n">
        <v>0</v>
      </c>
      <c r="O76" t="n">
        <v>0</v>
      </c>
      <c r="P76" t="n">
        <v>0</v>
      </c>
      <c r="Q76" t="n">
        <v>1</v>
      </c>
      <c r="R76" s="2" t="inlineStr">
        <is>
          <t>Revlummer</t>
        </is>
      </c>
      <c r="S76">
        <f>HYPERLINK("https://klasma.github.io/Logging_2083/artfynd/A 33023-2023 artfynd.xlsx", "A 33023-2023")</f>
        <v/>
      </c>
      <c r="T76">
        <f>HYPERLINK("https://klasma.github.io/Logging_2083/kartor/A 33023-2023 karta.png", "A 33023-2023")</f>
        <v/>
      </c>
      <c r="V76">
        <f>HYPERLINK("https://klasma.github.io/Logging_2083/klagomål/A 33023-2023 FSC-klagomål.docx", "A 33023-2023")</f>
        <v/>
      </c>
      <c r="W76">
        <f>HYPERLINK("https://klasma.github.io/Logging_2083/klagomålsmail/A 33023-2023 FSC-klagomål mail.docx", "A 33023-2023")</f>
        <v/>
      </c>
      <c r="X76">
        <f>HYPERLINK("https://klasma.github.io/Logging_2083/tillsyn/A 33023-2023 tillsynsbegäran.docx", "A 33023-2023")</f>
        <v/>
      </c>
      <c r="Y76">
        <f>HYPERLINK("https://klasma.github.io/Logging_2083/tillsynsmail/A 33023-2023 tillsynsbegäran mail.docx", "A 33023-2023")</f>
        <v/>
      </c>
    </row>
    <row r="77" ht="15" customHeight="1">
      <c r="A77" t="inlineStr">
        <is>
          <t>A 35321-2023</t>
        </is>
      </c>
      <c r="B77" s="1" t="n">
        <v>45146</v>
      </c>
      <c r="C77" s="1" t="n">
        <v>45573</v>
      </c>
      <c r="D77" t="inlineStr">
        <is>
          <t>DALARNAS LÄN</t>
        </is>
      </c>
      <c r="E77" t="inlineStr">
        <is>
          <t>HEDEMORA</t>
        </is>
      </c>
      <c r="G77" t="n">
        <v>3.5</v>
      </c>
      <c r="H77" t="n">
        <v>1</v>
      </c>
      <c r="I77" t="n">
        <v>0</v>
      </c>
      <c r="J77" t="n">
        <v>1</v>
      </c>
      <c r="K77" t="n">
        <v>0</v>
      </c>
      <c r="L77" t="n">
        <v>0</v>
      </c>
      <c r="M77" t="n">
        <v>0</v>
      </c>
      <c r="N77" t="n">
        <v>0</v>
      </c>
      <c r="O77" t="n">
        <v>1</v>
      </c>
      <c r="P77" t="n">
        <v>0</v>
      </c>
      <c r="Q77" t="n">
        <v>1</v>
      </c>
      <c r="R77" s="2" t="inlineStr">
        <is>
          <t>Havsörn</t>
        </is>
      </c>
      <c r="S77">
        <f>HYPERLINK("https://klasma.github.io/Logging_2083/artfynd/A 35321-2023 artfynd.xlsx", "A 35321-2023")</f>
        <v/>
      </c>
      <c r="T77">
        <f>HYPERLINK("https://klasma.github.io/Logging_2083/kartor/A 35321-2023 karta.png", "A 35321-2023")</f>
        <v/>
      </c>
      <c r="V77">
        <f>HYPERLINK("https://klasma.github.io/Logging_2083/klagomål/A 35321-2023 FSC-klagomål.docx", "A 35321-2023")</f>
        <v/>
      </c>
      <c r="W77">
        <f>HYPERLINK("https://klasma.github.io/Logging_2083/klagomålsmail/A 35321-2023 FSC-klagomål mail.docx", "A 35321-2023")</f>
        <v/>
      </c>
      <c r="X77">
        <f>HYPERLINK("https://klasma.github.io/Logging_2083/tillsyn/A 35321-2023 tillsynsbegäran.docx", "A 35321-2023")</f>
        <v/>
      </c>
      <c r="Y77">
        <f>HYPERLINK("https://klasma.github.io/Logging_2083/tillsynsmail/A 35321-2023 tillsynsbegäran mail.docx", "A 35321-2023")</f>
        <v/>
      </c>
      <c r="Z77">
        <f>HYPERLINK("https://klasma.github.io/Logging_2083/fåglar/A 35321-2023 prioriterade fågelarter.docx", "A 35321-2023")</f>
        <v/>
      </c>
    </row>
    <row r="78" ht="15" customHeight="1">
      <c r="A78" t="inlineStr">
        <is>
          <t>A 36849-2023</t>
        </is>
      </c>
      <c r="B78" s="1" t="n">
        <v>45154</v>
      </c>
      <c r="C78" s="1" t="n">
        <v>45573</v>
      </c>
      <c r="D78" t="inlineStr">
        <is>
          <t>DALARNAS LÄN</t>
        </is>
      </c>
      <c r="E78" t="inlineStr">
        <is>
          <t>HEDEMORA</t>
        </is>
      </c>
      <c r="G78" t="n">
        <v>5.8</v>
      </c>
      <c r="H78" t="n">
        <v>1</v>
      </c>
      <c r="I78" t="n">
        <v>0</v>
      </c>
      <c r="J78" t="n">
        <v>0</v>
      </c>
      <c r="K78" t="n">
        <v>1</v>
      </c>
      <c r="L78" t="n">
        <v>0</v>
      </c>
      <c r="M78" t="n">
        <v>0</v>
      </c>
      <c r="N78" t="n">
        <v>0</v>
      </c>
      <c r="O78" t="n">
        <v>1</v>
      </c>
      <c r="P78" t="n">
        <v>1</v>
      </c>
      <c r="Q78" t="n">
        <v>1</v>
      </c>
      <c r="R78" s="2" t="inlineStr">
        <is>
          <t>Knärot</t>
        </is>
      </c>
      <c r="S78">
        <f>HYPERLINK("https://klasma.github.io/Logging_2083/artfynd/A 36849-2023 artfynd.xlsx", "A 36849-2023")</f>
        <v/>
      </c>
      <c r="T78">
        <f>HYPERLINK("https://klasma.github.io/Logging_2083/kartor/A 36849-2023 karta.png", "A 36849-2023")</f>
        <v/>
      </c>
      <c r="U78">
        <f>HYPERLINK("https://klasma.github.io/Logging_2083/knärot/A 36849-2023 karta knärot.png", "A 36849-2023")</f>
        <v/>
      </c>
      <c r="V78">
        <f>HYPERLINK("https://klasma.github.io/Logging_2083/klagomål/A 36849-2023 FSC-klagomål.docx", "A 36849-2023")</f>
        <v/>
      </c>
      <c r="W78">
        <f>HYPERLINK("https://klasma.github.io/Logging_2083/klagomålsmail/A 36849-2023 FSC-klagomål mail.docx", "A 36849-2023")</f>
        <v/>
      </c>
      <c r="X78">
        <f>HYPERLINK("https://klasma.github.io/Logging_2083/tillsyn/A 36849-2023 tillsynsbegäran.docx", "A 36849-2023")</f>
        <v/>
      </c>
      <c r="Y78">
        <f>HYPERLINK("https://klasma.github.io/Logging_2083/tillsynsmail/A 36849-2023 tillsynsbegäran mail.docx", "A 36849-2023")</f>
        <v/>
      </c>
    </row>
    <row r="79" ht="15" customHeight="1">
      <c r="A79" t="inlineStr">
        <is>
          <t>A 37654-2023</t>
        </is>
      </c>
      <c r="B79" s="1" t="n">
        <v>45159</v>
      </c>
      <c r="C79" s="1" t="n">
        <v>45573</v>
      </c>
      <c r="D79" t="inlineStr">
        <is>
          <t>DALARNAS LÄN</t>
        </is>
      </c>
      <c r="E79" t="inlineStr">
        <is>
          <t>HEDEMORA</t>
        </is>
      </c>
      <c r="G79" t="n">
        <v>6.2</v>
      </c>
      <c r="H79" t="n">
        <v>1</v>
      </c>
      <c r="I79" t="n">
        <v>0</v>
      </c>
      <c r="J79" t="n">
        <v>0</v>
      </c>
      <c r="K79" t="n">
        <v>1</v>
      </c>
      <c r="L79" t="n">
        <v>0</v>
      </c>
      <c r="M79" t="n">
        <v>0</v>
      </c>
      <c r="N79" t="n">
        <v>0</v>
      </c>
      <c r="O79" t="n">
        <v>1</v>
      </c>
      <c r="P79" t="n">
        <v>1</v>
      </c>
      <c r="Q79" t="n">
        <v>1</v>
      </c>
      <c r="R79" s="2" t="inlineStr">
        <is>
          <t>Knärot</t>
        </is>
      </c>
      <c r="S79">
        <f>HYPERLINK("https://klasma.github.io/Logging_2083/artfynd/A 37654-2023 artfynd.xlsx", "A 37654-2023")</f>
        <v/>
      </c>
      <c r="T79">
        <f>HYPERLINK("https://klasma.github.io/Logging_2083/kartor/A 37654-2023 karta.png", "A 37654-2023")</f>
        <v/>
      </c>
      <c r="U79">
        <f>HYPERLINK("https://klasma.github.io/Logging_2083/knärot/A 37654-2023 karta knärot.png", "A 37654-2023")</f>
        <v/>
      </c>
      <c r="V79">
        <f>HYPERLINK("https://klasma.github.io/Logging_2083/klagomål/A 37654-2023 FSC-klagomål.docx", "A 37654-2023")</f>
        <v/>
      </c>
      <c r="W79">
        <f>HYPERLINK("https://klasma.github.io/Logging_2083/klagomålsmail/A 37654-2023 FSC-klagomål mail.docx", "A 37654-2023")</f>
        <v/>
      </c>
      <c r="X79">
        <f>HYPERLINK("https://klasma.github.io/Logging_2083/tillsyn/A 37654-2023 tillsynsbegäran.docx", "A 37654-2023")</f>
        <v/>
      </c>
      <c r="Y79">
        <f>HYPERLINK("https://klasma.github.io/Logging_2083/tillsynsmail/A 37654-2023 tillsynsbegäran mail.docx", "A 37654-2023")</f>
        <v/>
      </c>
    </row>
    <row r="80" ht="15" customHeight="1">
      <c r="A80" t="inlineStr">
        <is>
          <t>A 41477-2023</t>
        </is>
      </c>
      <c r="B80" s="1" t="n">
        <v>45171</v>
      </c>
      <c r="C80" s="1" t="n">
        <v>45573</v>
      </c>
      <c r="D80" t="inlineStr">
        <is>
          <t>DALARNAS LÄN</t>
        </is>
      </c>
      <c r="E80" t="inlineStr">
        <is>
          <t>HEDEMORA</t>
        </is>
      </c>
      <c r="F80" t="inlineStr">
        <is>
          <t>Bergvik skog väst AB</t>
        </is>
      </c>
      <c r="G80" t="n">
        <v>9.1</v>
      </c>
      <c r="H80" t="n">
        <v>0</v>
      </c>
      <c r="I80" t="n">
        <v>1</v>
      </c>
      <c r="J80" t="n">
        <v>0</v>
      </c>
      <c r="K80" t="n">
        <v>0</v>
      </c>
      <c r="L80" t="n">
        <v>0</v>
      </c>
      <c r="M80" t="n">
        <v>0</v>
      </c>
      <c r="N80" t="n">
        <v>0</v>
      </c>
      <c r="O80" t="n">
        <v>0</v>
      </c>
      <c r="P80" t="n">
        <v>0</v>
      </c>
      <c r="Q80" t="n">
        <v>1</v>
      </c>
      <c r="R80" s="2" t="inlineStr">
        <is>
          <t>Ögonpyrola</t>
        </is>
      </c>
      <c r="S80">
        <f>HYPERLINK("https://klasma.github.io/Logging_2083/artfynd/A 41477-2023 artfynd.xlsx", "A 41477-2023")</f>
        <v/>
      </c>
      <c r="T80">
        <f>HYPERLINK("https://klasma.github.io/Logging_2083/kartor/A 41477-2023 karta.png", "A 41477-2023")</f>
        <v/>
      </c>
      <c r="V80">
        <f>HYPERLINK("https://klasma.github.io/Logging_2083/klagomål/A 41477-2023 FSC-klagomål.docx", "A 41477-2023")</f>
        <v/>
      </c>
      <c r="W80">
        <f>HYPERLINK("https://klasma.github.io/Logging_2083/klagomålsmail/A 41477-2023 FSC-klagomål mail.docx", "A 41477-2023")</f>
        <v/>
      </c>
      <c r="X80">
        <f>HYPERLINK("https://klasma.github.io/Logging_2083/tillsyn/A 41477-2023 tillsynsbegäran.docx", "A 41477-2023")</f>
        <v/>
      </c>
      <c r="Y80">
        <f>HYPERLINK("https://klasma.github.io/Logging_2083/tillsynsmail/A 41477-2023 tillsynsbegäran mail.docx", "A 41477-2023")</f>
        <v/>
      </c>
    </row>
    <row r="81" ht="15" customHeight="1">
      <c r="A81" t="inlineStr">
        <is>
          <t>A 41078-2023</t>
        </is>
      </c>
      <c r="B81" s="1" t="n">
        <v>45173</v>
      </c>
      <c r="C81" s="1" t="n">
        <v>45573</v>
      </c>
      <c r="D81" t="inlineStr">
        <is>
          <t>DALARNAS LÄN</t>
        </is>
      </c>
      <c r="E81" t="inlineStr">
        <is>
          <t>HEDEMORA</t>
        </is>
      </c>
      <c r="G81" t="n">
        <v>10.3</v>
      </c>
      <c r="H81" t="n">
        <v>0</v>
      </c>
      <c r="I81" t="n">
        <v>1</v>
      </c>
      <c r="J81" t="n">
        <v>0</v>
      </c>
      <c r="K81" t="n">
        <v>0</v>
      </c>
      <c r="L81" t="n">
        <v>0</v>
      </c>
      <c r="M81" t="n">
        <v>0</v>
      </c>
      <c r="N81" t="n">
        <v>0</v>
      </c>
      <c r="O81" t="n">
        <v>0</v>
      </c>
      <c r="P81" t="n">
        <v>0</v>
      </c>
      <c r="Q81" t="n">
        <v>1</v>
      </c>
      <c r="R81" s="2" t="inlineStr">
        <is>
          <t>Bronshjon</t>
        </is>
      </c>
      <c r="S81">
        <f>HYPERLINK("https://klasma.github.io/Logging_2083/artfynd/A 41078-2023 artfynd.xlsx", "A 41078-2023")</f>
        <v/>
      </c>
      <c r="T81">
        <f>HYPERLINK("https://klasma.github.io/Logging_2083/kartor/A 41078-2023 karta.png", "A 41078-2023")</f>
        <v/>
      </c>
      <c r="V81">
        <f>HYPERLINK("https://klasma.github.io/Logging_2083/klagomål/A 41078-2023 FSC-klagomål.docx", "A 41078-2023")</f>
        <v/>
      </c>
      <c r="W81">
        <f>HYPERLINK("https://klasma.github.io/Logging_2083/klagomålsmail/A 41078-2023 FSC-klagomål mail.docx", "A 41078-2023")</f>
        <v/>
      </c>
      <c r="X81">
        <f>HYPERLINK("https://klasma.github.io/Logging_2083/tillsyn/A 41078-2023 tillsynsbegäran.docx", "A 41078-2023")</f>
        <v/>
      </c>
      <c r="Y81">
        <f>HYPERLINK("https://klasma.github.io/Logging_2083/tillsynsmail/A 41078-2023 tillsynsbegäran mail.docx", "A 41078-2023")</f>
        <v/>
      </c>
    </row>
    <row r="82" ht="15" customHeight="1">
      <c r="A82" t="inlineStr">
        <is>
          <t>A 59376-2023</t>
        </is>
      </c>
      <c r="B82" s="1" t="n">
        <v>45253</v>
      </c>
      <c r="C82" s="1" t="n">
        <v>45573</v>
      </c>
      <c r="D82" t="inlineStr">
        <is>
          <t>DALARNAS LÄN</t>
        </is>
      </c>
      <c r="E82" t="inlineStr">
        <is>
          <t>HEDEMORA</t>
        </is>
      </c>
      <c r="F82" t="inlineStr">
        <is>
          <t>Sveaskog</t>
        </is>
      </c>
      <c r="G82" t="n">
        <v>2.4</v>
      </c>
      <c r="H82" t="n">
        <v>1</v>
      </c>
      <c r="I82" t="n">
        <v>0</v>
      </c>
      <c r="J82" t="n">
        <v>1</v>
      </c>
      <c r="K82" t="n">
        <v>0</v>
      </c>
      <c r="L82" t="n">
        <v>0</v>
      </c>
      <c r="M82" t="n">
        <v>0</v>
      </c>
      <c r="N82" t="n">
        <v>0</v>
      </c>
      <c r="O82" t="n">
        <v>1</v>
      </c>
      <c r="P82" t="n">
        <v>0</v>
      </c>
      <c r="Q82" t="n">
        <v>1</v>
      </c>
      <c r="R82" s="2" t="inlineStr">
        <is>
          <t>Spillkråka</t>
        </is>
      </c>
      <c r="S82">
        <f>HYPERLINK("https://klasma.github.io/Logging_2083/artfynd/A 59376-2023 artfynd.xlsx", "A 59376-2023")</f>
        <v/>
      </c>
      <c r="T82">
        <f>HYPERLINK("https://klasma.github.io/Logging_2083/kartor/A 59376-2023 karta.png", "A 59376-2023")</f>
        <v/>
      </c>
      <c r="V82">
        <f>HYPERLINK("https://klasma.github.io/Logging_2083/klagomål/A 59376-2023 FSC-klagomål.docx", "A 59376-2023")</f>
        <v/>
      </c>
      <c r="W82">
        <f>HYPERLINK("https://klasma.github.io/Logging_2083/klagomålsmail/A 59376-2023 FSC-klagomål mail.docx", "A 59376-2023")</f>
        <v/>
      </c>
      <c r="X82">
        <f>HYPERLINK("https://klasma.github.io/Logging_2083/tillsyn/A 59376-2023 tillsynsbegäran.docx", "A 59376-2023")</f>
        <v/>
      </c>
      <c r="Y82">
        <f>HYPERLINK("https://klasma.github.io/Logging_2083/tillsynsmail/A 59376-2023 tillsynsbegäran mail.docx", "A 59376-2023")</f>
        <v/>
      </c>
      <c r="Z82">
        <f>HYPERLINK("https://klasma.github.io/Logging_2083/fåglar/A 59376-2023 prioriterade fågelarter.docx", "A 59376-2023")</f>
        <v/>
      </c>
    </row>
    <row r="83" ht="15" customHeight="1">
      <c r="A83" t="inlineStr">
        <is>
          <t>A 59377-2023</t>
        </is>
      </c>
      <c r="B83" s="1" t="n">
        <v>45253</v>
      </c>
      <c r="C83" s="1" t="n">
        <v>45573</v>
      </c>
      <c r="D83" t="inlineStr">
        <is>
          <t>DALARNAS LÄN</t>
        </is>
      </c>
      <c r="E83" t="inlineStr">
        <is>
          <t>HEDEMORA</t>
        </is>
      </c>
      <c r="F83" t="inlineStr">
        <is>
          <t>Sveaskog</t>
        </is>
      </c>
      <c r="G83" t="n">
        <v>4.6</v>
      </c>
      <c r="H83" t="n">
        <v>0</v>
      </c>
      <c r="I83" t="n">
        <v>0</v>
      </c>
      <c r="J83" t="n">
        <v>1</v>
      </c>
      <c r="K83" t="n">
        <v>0</v>
      </c>
      <c r="L83" t="n">
        <v>0</v>
      </c>
      <c r="M83" t="n">
        <v>0</v>
      </c>
      <c r="N83" t="n">
        <v>0</v>
      </c>
      <c r="O83" t="n">
        <v>1</v>
      </c>
      <c r="P83" t="n">
        <v>0</v>
      </c>
      <c r="Q83" t="n">
        <v>1</v>
      </c>
      <c r="R83" s="2" t="inlineStr">
        <is>
          <t>Ullticka</t>
        </is>
      </c>
      <c r="S83">
        <f>HYPERLINK("https://klasma.github.io/Logging_2083/artfynd/A 59377-2023 artfynd.xlsx", "A 59377-2023")</f>
        <v/>
      </c>
      <c r="T83">
        <f>HYPERLINK("https://klasma.github.io/Logging_2083/kartor/A 59377-2023 karta.png", "A 59377-2023")</f>
        <v/>
      </c>
      <c r="V83">
        <f>HYPERLINK("https://klasma.github.io/Logging_2083/klagomål/A 59377-2023 FSC-klagomål.docx", "A 59377-2023")</f>
        <v/>
      </c>
      <c r="W83">
        <f>HYPERLINK("https://klasma.github.io/Logging_2083/klagomålsmail/A 59377-2023 FSC-klagomål mail.docx", "A 59377-2023")</f>
        <v/>
      </c>
      <c r="X83">
        <f>HYPERLINK("https://klasma.github.io/Logging_2083/tillsyn/A 59377-2023 tillsynsbegäran.docx", "A 59377-2023")</f>
        <v/>
      </c>
      <c r="Y83">
        <f>HYPERLINK("https://klasma.github.io/Logging_2083/tillsynsmail/A 59377-2023 tillsynsbegäran mail.docx", "A 59377-2023")</f>
        <v/>
      </c>
    </row>
    <row r="84" ht="15" customHeight="1">
      <c r="A84" t="inlineStr">
        <is>
          <t>A 59751-2023</t>
        </is>
      </c>
      <c r="B84" s="1" t="n">
        <v>45257</v>
      </c>
      <c r="C84" s="1" t="n">
        <v>45573</v>
      </c>
      <c r="D84" t="inlineStr">
        <is>
          <t>DALARNAS LÄN</t>
        </is>
      </c>
      <c r="E84" t="inlineStr">
        <is>
          <t>HEDEMORA</t>
        </is>
      </c>
      <c r="F84" t="inlineStr">
        <is>
          <t>Sveaskog</t>
        </is>
      </c>
      <c r="G84" t="n">
        <v>0.7</v>
      </c>
      <c r="H84" t="n">
        <v>0</v>
      </c>
      <c r="I84" t="n">
        <v>1</v>
      </c>
      <c r="J84" t="n">
        <v>0</v>
      </c>
      <c r="K84" t="n">
        <v>0</v>
      </c>
      <c r="L84" t="n">
        <v>0</v>
      </c>
      <c r="M84" t="n">
        <v>0</v>
      </c>
      <c r="N84" t="n">
        <v>0</v>
      </c>
      <c r="O84" t="n">
        <v>0</v>
      </c>
      <c r="P84" t="n">
        <v>0</v>
      </c>
      <c r="Q84" t="n">
        <v>1</v>
      </c>
      <c r="R84" s="2" t="inlineStr">
        <is>
          <t>Svavelriska</t>
        </is>
      </c>
      <c r="S84">
        <f>HYPERLINK("https://klasma.github.io/Logging_2083/artfynd/A 59751-2023 artfynd.xlsx", "A 59751-2023")</f>
        <v/>
      </c>
      <c r="T84">
        <f>HYPERLINK("https://klasma.github.io/Logging_2083/kartor/A 59751-2023 karta.png", "A 59751-2023")</f>
        <v/>
      </c>
      <c r="V84">
        <f>HYPERLINK("https://klasma.github.io/Logging_2083/klagomål/A 59751-2023 FSC-klagomål.docx", "A 59751-2023")</f>
        <v/>
      </c>
      <c r="W84">
        <f>HYPERLINK("https://klasma.github.io/Logging_2083/klagomålsmail/A 59751-2023 FSC-klagomål mail.docx", "A 59751-2023")</f>
        <v/>
      </c>
      <c r="X84">
        <f>HYPERLINK("https://klasma.github.io/Logging_2083/tillsyn/A 59751-2023 tillsynsbegäran.docx", "A 59751-2023")</f>
        <v/>
      </c>
      <c r="Y84">
        <f>HYPERLINK("https://klasma.github.io/Logging_2083/tillsynsmail/A 59751-2023 tillsynsbegäran mail.docx", "A 59751-2023")</f>
        <v/>
      </c>
    </row>
    <row r="85" ht="15" customHeight="1">
      <c r="A85" t="inlineStr">
        <is>
          <t>A 63542-2023</t>
        </is>
      </c>
      <c r="B85" s="1" t="n">
        <v>45275</v>
      </c>
      <c r="C85" s="1" t="n">
        <v>45573</v>
      </c>
      <c r="D85" t="inlineStr">
        <is>
          <t>DALARNAS LÄN</t>
        </is>
      </c>
      <c r="E85" t="inlineStr">
        <is>
          <t>HEDEMORA</t>
        </is>
      </c>
      <c r="G85" t="n">
        <v>2.1</v>
      </c>
      <c r="H85" t="n">
        <v>1</v>
      </c>
      <c r="I85" t="n">
        <v>0</v>
      </c>
      <c r="J85" t="n">
        <v>1</v>
      </c>
      <c r="K85" t="n">
        <v>0</v>
      </c>
      <c r="L85" t="n">
        <v>0</v>
      </c>
      <c r="M85" t="n">
        <v>0</v>
      </c>
      <c r="N85" t="n">
        <v>0</v>
      </c>
      <c r="O85" t="n">
        <v>1</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21535-2024</t>
        </is>
      </c>
      <c r="B86" s="1" t="n">
        <v>45441</v>
      </c>
      <c r="C86" s="1" t="n">
        <v>45573</v>
      </c>
      <c r="D86" t="inlineStr">
        <is>
          <t>DALARNAS LÄN</t>
        </is>
      </c>
      <c r="E86" t="inlineStr">
        <is>
          <t>HEDEMORA</t>
        </is>
      </c>
      <c r="F86" t="inlineStr">
        <is>
          <t>Sveaskog</t>
        </is>
      </c>
      <c r="G86" t="n">
        <v>3.4</v>
      </c>
      <c r="H86" t="n">
        <v>1</v>
      </c>
      <c r="I86" t="n">
        <v>0</v>
      </c>
      <c r="J86" t="n">
        <v>0</v>
      </c>
      <c r="K86" t="n">
        <v>1</v>
      </c>
      <c r="L86" t="n">
        <v>0</v>
      </c>
      <c r="M86" t="n">
        <v>0</v>
      </c>
      <c r="N86" t="n">
        <v>0</v>
      </c>
      <c r="O86" t="n">
        <v>1</v>
      </c>
      <c r="P86" t="n">
        <v>1</v>
      </c>
      <c r="Q86" t="n">
        <v>1</v>
      </c>
      <c r="R86" s="2" t="inlineStr">
        <is>
          <t>Knärot</t>
        </is>
      </c>
      <c r="S86">
        <f>HYPERLINK("https://klasma.github.io/Logging_2083/artfynd/A 21535-2024 artfynd.xlsx", "A 21535-2024")</f>
        <v/>
      </c>
      <c r="T86">
        <f>HYPERLINK("https://klasma.github.io/Logging_2083/kartor/A 21535-2024 karta.png", "A 21535-2024")</f>
        <v/>
      </c>
      <c r="U86">
        <f>HYPERLINK("https://klasma.github.io/Logging_2083/knärot/A 21535-2024 karta knärot.png", "A 21535-2024")</f>
        <v/>
      </c>
      <c r="V86">
        <f>HYPERLINK("https://klasma.github.io/Logging_2083/klagomål/A 21535-2024 FSC-klagomål.docx", "A 21535-2024")</f>
        <v/>
      </c>
      <c r="W86">
        <f>HYPERLINK("https://klasma.github.io/Logging_2083/klagomålsmail/A 21535-2024 FSC-klagomål mail.docx", "A 21535-2024")</f>
        <v/>
      </c>
      <c r="X86">
        <f>HYPERLINK("https://klasma.github.io/Logging_2083/tillsyn/A 21535-2024 tillsynsbegäran.docx", "A 21535-2024")</f>
        <v/>
      </c>
      <c r="Y86">
        <f>HYPERLINK("https://klasma.github.io/Logging_2083/tillsynsmail/A 21535-2024 tillsynsbegäran mail.docx", "A 21535-2024")</f>
        <v/>
      </c>
    </row>
    <row r="87" ht="15" customHeight="1">
      <c r="A87" t="inlineStr">
        <is>
          <t>A 19016-2019</t>
        </is>
      </c>
      <c r="B87" s="1" t="n">
        <v>43563</v>
      </c>
      <c r="C87" s="1" t="n">
        <v>45573</v>
      </c>
      <c r="D87" t="inlineStr">
        <is>
          <t>DALARNAS LÄN</t>
        </is>
      </c>
      <c r="E87" t="inlineStr">
        <is>
          <t>HEDEMORA</t>
        </is>
      </c>
      <c r="G87" t="n">
        <v>1</v>
      </c>
      <c r="H87" t="n">
        <v>0</v>
      </c>
      <c r="I87" t="n">
        <v>0</v>
      </c>
      <c r="J87" t="n">
        <v>0</v>
      </c>
      <c r="K87" t="n">
        <v>0</v>
      </c>
      <c r="L87" t="n">
        <v>0</v>
      </c>
      <c r="M87" t="n">
        <v>0</v>
      </c>
      <c r="N87" t="n">
        <v>0</v>
      </c>
      <c r="O87" t="n">
        <v>0</v>
      </c>
      <c r="P87" t="n">
        <v>0</v>
      </c>
      <c r="Q87" t="n">
        <v>0</v>
      </c>
      <c r="R87" s="2" t="inlineStr"/>
    </row>
    <row r="88" ht="15" customHeight="1">
      <c r="A88" t="inlineStr">
        <is>
          <t>A 21235-2019</t>
        </is>
      </c>
      <c r="B88" s="1" t="n">
        <v>43579</v>
      </c>
      <c r="C88" s="1" t="n">
        <v>45573</v>
      </c>
      <c r="D88" t="inlineStr">
        <is>
          <t>DALARNAS LÄN</t>
        </is>
      </c>
      <c r="E88" t="inlineStr">
        <is>
          <t>HEDEMORA</t>
        </is>
      </c>
      <c r="G88" t="n">
        <v>3.7</v>
      </c>
      <c r="H88" t="n">
        <v>0</v>
      </c>
      <c r="I88" t="n">
        <v>0</v>
      </c>
      <c r="J88" t="n">
        <v>0</v>
      </c>
      <c r="K88" t="n">
        <v>0</v>
      </c>
      <c r="L88" t="n">
        <v>0</v>
      </c>
      <c r="M88" t="n">
        <v>0</v>
      </c>
      <c r="N88" t="n">
        <v>0</v>
      </c>
      <c r="O88" t="n">
        <v>0</v>
      </c>
      <c r="P88" t="n">
        <v>0</v>
      </c>
      <c r="Q88" t="n">
        <v>0</v>
      </c>
      <c r="R88" s="2" t="inlineStr"/>
    </row>
    <row r="89" ht="15" customHeight="1">
      <c r="A89" t="inlineStr">
        <is>
          <t>A 21212-2019</t>
        </is>
      </c>
      <c r="B89" s="1" t="n">
        <v>43579</v>
      </c>
      <c r="C89" s="1" t="n">
        <v>45573</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22494-2019</t>
        </is>
      </c>
      <c r="B90" s="1" t="n">
        <v>43587</v>
      </c>
      <c r="C90" s="1" t="n">
        <v>45573</v>
      </c>
      <c r="D90" t="inlineStr">
        <is>
          <t>DALARNAS LÄN</t>
        </is>
      </c>
      <c r="E90" t="inlineStr">
        <is>
          <t>HEDEMORA</t>
        </is>
      </c>
      <c r="G90" t="n">
        <v>5.3</v>
      </c>
      <c r="H90" t="n">
        <v>0</v>
      </c>
      <c r="I90" t="n">
        <v>0</v>
      </c>
      <c r="J90" t="n">
        <v>0</v>
      </c>
      <c r="K90" t="n">
        <v>0</v>
      </c>
      <c r="L90" t="n">
        <v>0</v>
      </c>
      <c r="M90" t="n">
        <v>0</v>
      </c>
      <c r="N90" t="n">
        <v>0</v>
      </c>
      <c r="O90" t="n">
        <v>0</v>
      </c>
      <c r="P90" t="n">
        <v>0</v>
      </c>
      <c r="Q90" t="n">
        <v>0</v>
      </c>
      <c r="R90" s="2" t="inlineStr"/>
    </row>
    <row r="91" ht="15" customHeight="1">
      <c r="A91" t="inlineStr">
        <is>
          <t>A 22810-2019</t>
        </is>
      </c>
      <c r="B91" s="1" t="n">
        <v>43590</v>
      </c>
      <c r="C91" s="1" t="n">
        <v>45573</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23492-2019</t>
        </is>
      </c>
      <c r="B92" s="1" t="n">
        <v>43594</v>
      </c>
      <c r="C92" s="1" t="n">
        <v>45573</v>
      </c>
      <c r="D92" t="inlineStr">
        <is>
          <t>DALARNAS LÄN</t>
        </is>
      </c>
      <c r="E92" t="inlineStr">
        <is>
          <t>HEDEMORA</t>
        </is>
      </c>
      <c r="G92" t="n">
        <v>3.2</v>
      </c>
      <c r="H92" t="n">
        <v>0</v>
      </c>
      <c r="I92" t="n">
        <v>0</v>
      </c>
      <c r="J92" t="n">
        <v>0</v>
      </c>
      <c r="K92" t="n">
        <v>0</v>
      </c>
      <c r="L92" t="n">
        <v>0</v>
      </c>
      <c r="M92" t="n">
        <v>0</v>
      </c>
      <c r="N92" t="n">
        <v>0</v>
      </c>
      <c r="O92" t="n">
        <v>0</v>
      </c>
      <c r="P92" t="n">
        <v>0</v>
      </c>
      <c r="Q92" t="n">
        <v>0</v>
      </c>
      <c r="R92" s="2" t="inlineStr"/>
    </row>
    <row r="93" ht="15" customHeight="1">
      <c r="A93" t="inlineStr">
        <is>
          <t>A 23804-2019</t>
        </is>
      </c>
      <c r="B93" s="1" t="n">
        <v>43595</v>
      </c>
      <c r="C93" s="1" t="n">
        <v>45573</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23808-2019</t>
        </is>
      </c>
      <c r="B94" s="1" t="n">
        <v>43595</v>
      </c>
      <c r="C94" s="1" t="n">
        <v>45573</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24904-2019</t>
        </is>
      </c>
      <c r="B95" s="1" t="n">
        <v>43602</v>
      </c>
      <c r="C95" s="1" t="n">
        <v>45573</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26162-2019</t>
        </is>
      </c>
      <c r="B96" s="1" t="n">
        <v>43609</v>
      </c>
      <c r="C96" s="1" t="n">
        <v>45573</v>
      </c>
      <c r="D96" t="inlineStr">
        <is>
          <t>DALARNAS LÄN</t>
        </is>
      </c>
      <c r="E96" t="inlineStr">
        <is>
          <t>HEDEMORA</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26167-2019</t>
        </is>
      </c>
      <c r="B97" s="1" t="n">
        <v>43609</v>
      </c>
      <c r="C97" s="1" t="n">
        <v>45573</v>
      </c>
      <c r="D97" t="inlineStr">
        <is>
          <t>DALARNAS LÄN</t>
        </is>
      </c>
      <c r="E97" t="inlineStr">
        <is>
          <t>HEDEMORA</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27393-2019</t>
        </is>
      </c>
      <c r="B98" s="1" t="n">
        <v>43616</v>
      </c>
      <c r="C98" s="1" t="n">
        <v>45573</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27949-2019</t>
        </is>
      </c>
      <c r="B99" s="1" t="n">
        <v>43620</v>
      </c>
      <c r="C99" s="1" t="n">
        <v>45573</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28696-2019</t>
        </is>
      </c>
      <c r="B100" s="1" t="n">
        <v>43627</v>
      </c>
      <c r="C100" s="1" t="n">
        <v>45573</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30497-2019</t>
        </is>
      </c>
      <c r="B101" s="1" t="n">
        <v>43635</v>
      </c>
      <c r="C101" s="1" t="n">
        <v>45573</v>
      </c>
      <c r="D101" t="inlineStr">
        <is>
          <t>DALARNAS LÄN</t>
        </is>
      </c>
      <c r="E101" t="inlineStr">
        <is>
          <t>HEDEMORA</t>
        </is>
      </c>
      <c r="G101" t="n">
        <v>2.2</v>
      </c>
      <c r="H101" t="n">
        <v>0</v>
      </c>
      <c r="I101" t="n">
        <v>0</v>
      </c>
      <c r="J101" t="n">
        <v>0</v>
      </c>
      <c r="K101" t="n">
        <v>0</v>
      </c>
      <c r="L101" t="n">
        <v>0</v>
      </c>
      <c r="M101" t="n">
        <v>0</v>
      </c>
      <c r="N101" t="n">
        <v>0</v>
      </c>
      <c r="O101" t="n">
        <v>0</v>
      </c>
      <c r="P101" t="n">
        <v>0</v>
      </c>
      <c r="Q101" t="n">
        <v>0</v>
      </c>
      <c r="R101" s="2" t="inlineStr"/>
    </row>
    <row r="102" ht="15" customHeight="1">
      <c r="A102" t="inlineStr">
        <is>
          <t>A 30687-2019</t>
        </is>
      </c>
      <c r="B102" s="1" t="n">
        <v>43636</v>
      </c>
      <c r="C102" s="1" t="n">
        <v>45573</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34027-2019</t>
        </is>
      </c>
      <c r="B103" s="1" t="n">
        <v>43654</v>
      </c>
      <c r="C103" s="1" t="n">
        <v>45573</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35855-2019</t>
        </is>
      </c>
      <c r="B104" s="1" t="n">
        <v>43665</v>
      </c>
      <c r="C104" s="1" t="n">
        <v>45573</v>
      </c>
      <c r="D104" t="inlineStr">
        <is>
          <t>DALARNAS LÄN</t>
        </is>
      </c>
      <c r="E104" t="inlineStr">
        <is>
          <t>HEDEMORA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40919-2019</t>
        </is>
      </c>
      <c r="B105" s="1" t="n">
        <v>43697</v>
      </c>
      <c r="C105" s="1" t="n">
        <v>45573</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41399-2019</t>
        </is>
      </c>
      <c r="B106" s="1" t="n">
        <v>43698</v>
      </c>
      <c r="C106" s="1" t="n">
        <v>45573</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43530-2019</t>
        </is>
      </c>
      <c r="B107" s="1" t="n">
        <v>43706</v>
      </c>
      <c r="C107" s="1" t="n">
        <v>45573</v>
      </c>
      <c r="D107" t="inlineStr">
        <is>
          <t>DALARNAS LÄN</t>
        </is>
      </c>
      <c r="E107" t="inlineStr">
        <is>
          <t>HEDEMORA</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46775-2019</t>
        </is>
      </c>
      <c r="B108" s="1" t="n">
        <v>43720</v>
      </c>
      <c r="C108" s="1" t="n">
        <v>45573</v>
      </c>
      <c r="D108" t="inlineStr">
        <is>
          <t>DALARNAS LÄN</t>
        </is>
      </c>
      <c r="E108" t="inlineStr">
        <is>
          <t>HEDEMORA</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46795-2019</t>
        </is>
      </c>
      <c r="B109" s="1" t="n">
        <v>43720</v>
      </c>
      <c r="C109" s="1" t="n">
        <v>45573</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47882-2019</t>
        </is>
      </c>
      <c r="B110" s="1" t="n">
        <v>43725</v>
      </c>
      <c r="C110" s="1" t="n">
        <v>45573</v>
      </c>
      <c r="D110" t="inlineStr">
        <is>
          <t>DALARNAS LÄN</t>
        </is>
      </c>
      <c r="E110" t="inlineStr">
        <is>
          <t>HEDEMORA</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49197-2019</t>
        </is>
      </c>
      <c r="B111" s="1" t="n">
        <v>43731</v>
      </c>
      <c r="C111" s="1" t="n">
        <v>45573</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49300-2019</t>
        </is>
      </c>
      <c r="B112" s="1" t="n">
        <v>43731</v>
      </c>
      <c r="C112" s="1" t="n">
        <v>45573</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49324-2019</t>
        </is>
      </c>
      <c r="B113" s="1" t="n">
        <v>43731</v>
      </c>
      <c r="C113" s="1" t="n">
        <v>45573</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50183-2019</t>
        </is>
      </c>
      <c r="B114" s="1" t="n">
        <v>43734</v>
      </c>
      <c r="C114" s="1" t="n">
        <v>45573</v>
      </c>
      <c r="D114" t="inlineStr">
        <is>
          <t>DALARNAS LÄN</t>
        </is>
      </c>
      <c r="E114" t="inlineStr">
        <is>
          <t>HEDEMORA</t>
        </is>
      </c>
      <c r="G114" t="n">
        <v>1.8</v>
      </c>
      <c r="H114" t="n">
        <v>0</v>
      </c>
      <c r="I114" t="n">
        <v>0</v>
      </c>
      <c r="J114" t="n">
        <v>0</v>
      </c>
      <c r="K114" t="n">
        <v>0</v>
      </c>
      <c r="L114" t="n">
        <v>0</v>
      </c>
      <c r="M114" t="n">
        <v>0</v>
      </c>
      <c r="N114" t="n">
        <v>0</v>
      </c>
      <c r="O114" t="n">
        <v>0</v>
      </c>
      <c r="P114" t="n">
        <v>0</v>
      </c>
      <c r="Q114" t="n">
        <v>0</v>
      </c>
      <c r="R114" s="2" t="inlineStr"/>
    </row>
    <row r="115" ht="15" customHeight="1">
      <c r="A115" t="inlineStr">
        <is>
          <t>A 51877-2019</t>
        </is>
      </c>
      <c r="B115" s="1" t="n">
        <v>43741</v>
      </c>
      <c r="C115" s="1" t="n">
        <v>45573</v>
      </c>
      <c r="D115" t="inlineStr">
        <is>
          <t>DALARNAS LÄN</t>
        </is>
      </c>
      <c r="E115" t="inlineStr">
        <is>
          <t>HEDEMORA</t>
        </is>
      </c>
      <c r="G115" t="n">
        <v>3.3</v>
      </c>
      <c r="H115" t="n">
        <v>0</v>
      </c>
      <c r="I115" t="n">
        <v>0</v>
      </c>
      <c r="J115" t="n">
        <v>0</v>
      </c>
      <c r="K115" t="n">
        <v>0</v>
      </c>
      <c r="L115" t="n">
        <v>0</v>
      </c>
      <c r="M115" t="n">
        <v>0</v>
      </c>
      <c r="N115" t="n">
        <v>0</v>
      </c>
      <c r="O115" t="n">
        <v>0</v>
      </c>
      <c r="P115" t="n">
        <v>0</v>
      </c>
      <c r="Q115" t="n">
        <v>0</v>
      </c>
      <c r="R115" s="2" t="inlineStr"/>
    </row>
    <row r="116" ht="15" customHeight="1">
      <c r="A116" t="inlineStr">
        <is>
          <t>A 53323-2019</t>
        </is>
      </c>
      <c r="B116" s="1" t="n">
        <v>43748</v>
      </c>
      <c r="C116" s="1" t="n">
        <v>45573</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54358-2019</t>
        </is>
      </c>
      <c r="B117" s="1" t="n">
        <v>43754</v>
      </c>
      <c r="C117" s="1" t="n">
        <v>45573</v>
      </c>
      <c r="D117" t="inlineStr">
        <is>
          <t>DALARNAS LÄN</t>
        </is>
      </c>
      <c r="E117" t="inlineStr">
        <is>
          <t>HEDEMORA</t>
        </is>
      </c>
      <c r="G117" t="n">
        <v>5.2</v>
      </c>
      <c r="H117" t="n">
        <v>0</v>
      </c>
      <c r="I117" t="n">
        <v>0</v>
      </c>
      <c r="J117" t="n">
        <v>0</v>
      </c>
      <c r="K117" t="n">
        <v>0</v>
      </c>
      <c r="L117" t="n">
        <v>0</v>
      </c>
      <c r="M117" t="n">
        <v>0</v>
      </c>
      <c r="N117" t="n">
        <v>0</v>
      </c>
      <c r="O117" t="n">
        <v>0</v>
      </c>
      <c r="P117" t="n">
        <v>0</v>
      </c>
      <c r="Q117" t="n">
        <v>0</v>
      </c>
      <c r="R117" s="2" t="inlineStr"/>
    </row>
    <row r="118" ht="15" customHeight="1">
      <c r="A118" t="inlineStr">
        <is>
          <t>A 60139-2019</t>
        </is>
      </c>
      <c r="B118" s="1" t="n">
        <v>43779</v>
      </c>
      <c r="C118" s="1" t="n">
        <v>45573</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60319-2019</t>
        </is>
      </c>
      <c r="B119" s="1" t="n">
        <v>43780</v>
      </c>
      <c r="C119" s="1" t="n">
        <v>45573</v>
      </c>
      <c r="D119" t="inlineStr">
        <is>
          <t>DALARNAS LÄN</t>
        </is>
      </c>
      <c r="E119" t="inlineStr">
        <is>
          <t>HEDEMORA</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60318-2019</t>
        </is>
      </c>
      <c r="B120" s="1" t="n">
        <v>43780</v>
      </c>
      <c r="C120" s="1" t="n">
        <v>45573</v>
      </c>
      <c r="D120" t="inlineStr">
        <is>
          <t>DALARNAS LÄN</t>
        </is>
      </c>
      <c r="E120" t="inlineStr">
        <is>
          <t>HEDEMORA</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60461-2019</t>
        </is>
      </c>
      <c r="B121" s="1" t="n">
        <v>43780</v>
      </c>
      <c r="C121" s="1" t="n">
        <v>45573</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60543-2019</t>
        </is>
      </c>
      <c r="B122" s="1" t="n">
        <v>43781</v>
      </c>
      <c r="C122" s="1" t="n">
        <v>45573</v>
      </c>
      <c r="D122" t="inlineStr">
        <is>
          <t>DALARNAS LÄN</t>
        </is>
      </c>
      <c r="E122" t="inlineStr">
        <is>
          <t>HEDEMORA</t>
        </is>
      </c>
      <c r="G122" t="n">
        <v>4.6</v>
      </c>
      <c r="H122" t="n">
        <v>0</v>
      </c>
      <c r="I122" t="n">
        <v>0</v>
      </c>
      <c r="J122" t="n">
        <v>0</v>
      </c>
      <c r="K122" t="n">
        <v>0</v>
      </c>
      <c r="L122" t="n">
        <v>0</v>
      </c>
      <c r="M122" t="n">
        <v>0</v>
      </c>
      <c r="N122" t="n">
        <v>0</v>
      </c>
      <c r="O122" t="n">
        <v>0</v>
      </c>
      <c r="P122" t="n">
        <v>0</v>
      </c>
      <c r="Q122" t="n">
        <v>0</v>
      </c>
      <c r="R122" s="2" t="inlineStr"/>
    </row>
    <row r="123" ht="15" customHeight="1">
      <c r="A123" t="inlineStr">
        <is>
          <t>A 60529-2019</t>
        </is>
      </c>
      <c r="B123" s="1" t="n">
        <v>43781</v>
      </c>
      <c r="C123" s="1" t="n">
        <v>45573</v>
      </c>
      <c r="D123" t="inlineStr">
        <is>
          <t>DALARNAS LÄN</t>
        </is>
      </c>
      <c r="E123" t="inlineStr">
        <is>
          <t>HEDEMORA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60556-2019</t>
        </is>
      </c>
      <c r="B124" s="1" t="n">
        <v>43781</v>
      </c>
      <c r="C124" s="1" t="n">
        <v>45573</v>
      </c>
      <c r="D124" t="inlineStr">
        <is>
          <t>DALARNAS LÄN</t>
        </is>
      </c>
      <c r="E124" t="inlineStr">
        <is>
          <t>HEDEMORA</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61007-2019</t>
        </is>
      </c>
      <c r="B125" s="1" t="n">
        <v>43782</v>
      </c>
      <c r="C125" s="1" t="n">
        <v>45573</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61382-2019</t>
        </is>
      </c>
      <c r="B126" s="1" t="n">
        <v>43783</v>
      </c>
      <c r="C126" s="1" t="n">
        <v>45573</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63101-2019</t>
        </is>
      </c>
      <c r="B127" s="1" t="n">
        <v>43791</v>
      </c>
      <c r="C127" s="1" t="n">
        <v>45573</v>
      </c>
      <c r="D127" t="inlineStr">
        <is>
          <t>DALARNAS LÄN</t>
        </is>
      </c>
      <c r="E127" t="inlineStr">
        <is>
          <t>HEDEMORA</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65308-2019</t>
        </is>
      </c>
      <c r="B128" s="1" t="n">
        <v>43802</v>
      </c>
      <c r="C128" s="1" t="n">
        <v>45573</v>
      </c>
      <c r="D128" t="inlineStr">
        <is>
          <t>DALARNAS LÄN</t>
        </is>
      </c>
      <c r="E128" t="inlineStr">
        <is>
          <t>HEDEMORA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65315-2019</t>
        </is>
      </c>
      <c r="B129" s="1" t="n">
        <v>43802</v>
      </c>
      <c r="C129" s="1" t="n">
        <v>45573</v>
      </c>
      <c r="D129" t="inlineStr">
        <is>
          <t>DALARNAS LÄN</t>
        </is>
      </c>
      <c r="E129" t="inlineStr">
        <is>
          <t>HEDEMORA</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68856-2019</t>
        </is>
      </c>
      <c r="B130" s="1" t="n">
        <v>43820</v>
      </c>
      <c r="C130" s="1" t="n">
        <v>45573</v>
      </c>
      <c r="D130" t="inlineStr">
        <is>
          <t>DALARNAS LÄN</t>
        </is>
      </c>
      <c r="E130" t="inlineStr">
        <is>
          <t>HEDEMORA</t>
        </is>
      </c>
      <c r="G130" t="n">
        <v>17.6</v>
      </c>
      <c r="H130" t="n">
        <v>0</v>
      </c>
      <c r="I130" t="n">
        <v>0</v>
      </c>
      <c r="J130" t="n">
        <v>0</v>
      </c>
      <c r="K130" t="n">
        <v>0</v>
      </c>
      <c r="L130" t="n">
        <v>0</v>
      </c>
      <c r="M130" t="n">
        <v>0</v>
      </c>
      <c r="N130" t="n">
        <v>0</v>
      </c>
      <c r="O130" t="n">
        <v>0</v>
      </c>
      <c r="P130" t="n">
        <v>0</v>
      </c>
      <c r="Q130" t="n">
        <v>0</v>
      </c>
      <c r="R130" s="2" t="inlineStr"/>
    </row>
    <row r="131" ht="15" customHeight="1">
      <c r="A131" t="inlineStr">
        <is>
          <t>A 1215-2020</t>
        </is>
      </c>
      <c r="B131" s="1" t="n">
        <v>43840</v>
      </c>
      <c r="C131" s="1" t="n">
        <v>45573</v>
      </c>
      <c r="D131" t="inlineStr">
        <is>
          <t>DALARNAS LÄN</t>
        </is>
      </c>
      <c r="E131" t="inlineStr">
        <is>
          <t>HEDEMORA</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2390-2020</t>
        </is>
      </c>
      <c r="B132" s="1" t="n">
        <v>43847</v>
      </c>
      <c r="C132" s="1" t="n">
        <v>45573</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2846-2020</t>
        </is>
      </c>
      <c r="B133" s="1" t="n">
        <v>43850</v>
      </c>
      <c r="C133" s="1" t="n">
        <v>45573</v>
      </c>
      <c r="D133" t="inlineStr">
        <is>
          <t>DALARNAS LÄN</t>
        </is>
      </c>
      <c r="E133" t="inlineStr">
        <is>
          <t>HEDEMORA</t>
        </is>
      </c>
      <c r="G133" t="n">
        <v>4.2</v>
      </c>
      <c r="H133" t="n">
        <v>0</v>
      </c>
      <c r="I133" t="n">
        <v>0</v>
      </c>
      <c r="J133" t="n">
        <v>0</v>
      </c>
      <c r="K133" t="n">
        <v>0</v>
      </c>
      <c r="L133" t="n">
        <v>0</v>
      </c>
      <c r="M133" t="n">
        <v>0</v>
      </c>
      <c r="N133" t="n">
        <v>0</v>
      </c>
      <c r="O133" t="n">
        <v>0</v>
      </c>
      <c r="P133" t="n">
        <v>0</v>
      </c>
      <c r="Q133" t="n">
        <v>0</v>
      </c>
      <c r="R133" s="2" t="inlineStr"/>
    </row>
    <row r="134" ht="15" customHeight="1">
      <c r="A134" t="inlineStr">
        <is>
          <t>A 2915-2020</t>
        </is>
      </c>
      <c r="B134" s="1" t="n">
        <v>43850</v>
      </c>
      <c r="C134" s="1" t="n">
        <v>45573</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3127-2020</t>
        </is>
      </c>
      <c r="B135" s="1" t="n">
        <v>43851</v>
      </c>
      <c r="C135" s="1" t="n">
        <v>45573</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5353-2020</t>
        </is>
      </c>
      <c r="B136" s="1" t="n">
        <v>43860</v>
      </c>
      <c r="C136" s="1" t="n">
        <v>45573</v>
      </c>
      <c r="D136" t="inlineStr">
        <is>
          <t>DALARNAS LÄN</t>
        </is>
      </c>
      <c r="E136" t="inlineStr">
        <is>
          <t>HEDEMORA</t>
        </is>
      </c>
      <c r="G136" t="n">
        <v>2.4</v>
      </c>
      <c r="H136" t="n">
        <v>0</v>
      </c>
      <c r="I136" t="n">
        <v>0</v>
      </c>
      <c r="J136" t="n">
        <v>0</v>
      </c>
      <c r="K136" t="n">
        <v>0</v>
      </c>
      <c r="L136" t="n">
        <v>0</v>
      </c>
      <c r="M136" t="n">
        <v>0</v>
      </c>
      <c r="N136" t="n">
        <v>0</v>
      </c>
      <c r="O136" t="n">
        <v>0</v>
      </c>
      <c r="P136" t="n">
        <v>0</v>
      </c>
      <c r="Q136" t="n">
        <v>0</v>
      </c>
      <c r="R136" s="2" t="inlineStr"/>
    </row>
    <row r="137" ht="15" customHeight="1">
      <c r="A137" t="inlineStr">
        <is>
          <t>A 5752-2020</t>
        </is>
      </c>
      <c r="B137" s="1" t="n">
        <v>43864</v>
      </c>
      <c r="C137" s="1" t="n">
        <v>45573</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5763-2020</t>
        </is>
      </c>
      <c r="B138" s="1" t="n">
        <v>43864</v>
      </c>
      <c r="C138" s="1" t="n">
        <v>45573</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5950-2020</t>
        </is>
      </c>
      <c r="B139" s="1" t="n">
        <v>43864</v>
      </c>
      <c r="C139" s="1" t="n">
        <v>45573</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6795-2020</t>
        </is>
      </c>
      <c r="B140" s="1" t="n">
        <v>43867</v>
      </c>
      <c r="C140" s="1" t="n">
        <v>45573</v>
      </c>
      <c r="D140" t="inlineStr">
        <is>
          <t>DALARNAS LÄN</t>
        </is>
      </c>
      <c r="E140" t="inlineStr">
        <is>
          <t>HEDEMORA</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6794-2020</t>
        </is>
      </c>
      <c r="B141" s="1" t="n">
        <v>43867</v>
      </c>
      <c r="C141" s="1" t="n">
        <v>45573</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7209-2020</t>
        </is>
      </c>
      <c r="B142" s="1" t="n">
        <v>43871</v>
      </c>
      <c r="C142" s="1" t="n">
        <v>45573</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7434-2020</t>
        </is>
      </c>
      <c r="B143" s="1" t="n">
        <v>43871</v>
      </c>
      <c r="C143" s="1" t="n">
        <v>45573</v>
      </c>
      <c r="D143" t="inlineStr">
        <is>
          <t>DALARNAS LÄN</t>
        </is>
      </c>
      <c r="E143" t="inlineStr">
        <is>
          <t>HEDEMORA</t>
        </is>
      </c>
      <c r="G143" t="n">
        <v>4.3</v>
      </c>
      <c r="H143" t="n">
        <v>0</v>
      </c>
      <c r="I143" t="n">
        <v>0</v>
      </c>
      <c r="J143" t="n">
        <v>0</v>
      </c>
      <c r="K143" t="n">
        <v>0</v>
      </c>
      <c r="L143" t="n">
        <v>0</v>
      </c>
      <c r="M143" t="n">
        <v>0</v>
      </c>
      <c r="N143" t="n">
        <v>0</v>
      </c>
      <c r="O143" t="n">
        <v>0</v>
      </c>
      <c r="P143" t="n">
        <v>0</v>
      </c>
      <c r="Q143" t="n">
        <v>0</v>
      </c>
      <c r="R143" s="2" t="inlineStr"/>
    </row>
    <row r="144" ht="15" customHeight="1">
      <c r="A144" t="inlineStr">
        <is>
          <t>A 8181-2020</t>
        </is>
      </c>
      <c r="B144" s="1" t="n">
        <v>43874</v>
      </c>
      <c r="C144" s="1" t="n">
        <v>45573</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8489-2020</t>
        </is>
      </c>
      <c r="B145" s="1" t="n">
        <v>43875</v>
      </c>
      <c r="C145" s="1" t="n">
        <v>45573</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8494-2020</t>
        </is>
      </c>
      <c r="B146" s="1" t="n">
        <v>43875</v>
      </c>
      <c r="C146" s="1" t="n">
        <v>45573</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9042-2020</t>
        </is>
      </c>
      <c r="B147" s="1" t="n">
        <v>43879</v>
      </c>
      <c r="C147" s="1" t="n">
        <v>45573</v>
      </c>
      <c r="D147" t="inlineStr">
        <is>
          <t>DALARNAS LÄN</t>
        </is>
      </c>
      <c r="E147" t="inlineStr">
        <is>
          <t>HEDEMORA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9054-2020</t>
        </is>
      </c>
      <c r="B148" s="1" t="n">
        <v>43879</v>
      </c>
      <c r="C148" s="1" t="n">
        <v>45573</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9491-2020</t>
        </is>
      </c>
      <c r="B149" s="1" t="n">
        <v>43880</v>
      </c>
      <c r="C149" s="1" t="n">
        <v>45573</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9714-2020</t>
        </is>
      </c>
      <c r="B150" s="1" t="n">
        <v>43881</v>
      </c>
      <c r="C150" s="1" t="n">
        <v>45573</v>
      </c>
      <c r="D150" t="inlineStr">
        <is>
          <t>DALARNAS LÄN</t>
        </is>
      </c>
      <c r="E150" t="inlineStr">
        <is>
          <t>HEDEMORA</t>
        </is>
      </c>
      <c r="G150" t="n">
        <v>0.6</v>
      </c>
      <c r="H150" t="n">
        <v>0</v>
      </c>
      <c r="I150" t="n">
        <v>0</v>
      </c>
      <c r="J150" t="n">
        <v>0</v>
      </c>
      <c r="K150" t="n">
        <v>0</v>
      </c>
      <c r="L150" t="n">
        <v>0</v>
      </c>
      <c r="M150" t="n">
        <v>0</v>
      </c>
      <c r="N150" t="n">
        <v>0</v>
      </c>
      <c r="O150" t="n">
        <v>0</v>
      </c>
      <c r="P150" t="n">
        <v>0</v>
      </c>
      <c r="Q150" t="n">
        <v>0</v>
      </c>
      <c r="R150" s="2" t="inlineStr"/>
    </row>
    <row r="151" ht="15" customHeight="1">
      <c r="A151" t="inlineStr">
        <is>
          <t>A 10507-2020</t>
        </is>
      </c>
      <c r="B151" s="1" t="n">
        <v>43886</v>
      </c>
      <c r="C151" s="1" t="n">
        <v>45573</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11894-2020</t>
        </is>
      </c>
      <c r="B152" s="1" t="n">
        <v>43894</v>
      </c>
      <c r="C152" s="1" t="n">
        <v>45573</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13872-2020</t>
        </is>
      </c>
      <c r="B153" s="1" t="n">
        <v>43906</v>
      </c>
      <c r="C153" s="1" t="n">
        <v>45573</v>
      </c>
      <c r="D153" t="inlineStr">
        <is>
          <t>DALARNAS LÄN</t>
        </is>
      </c>
      <c r="E153" t="inlineStr">
        <is>
          <t>HEDEMORA</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14117-2020</t>
        </is>
      </c>
      <c r="B154" s="1" t="n">
        <v>43907</v>
      </c>
      <c r="C154" s="1" t="n">
        <v>45573</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14554-2020</t>
        </is>
      </c>
      <c r="B155" s="1" t="n">
        <v>43908</v>
      </c>
      <c r="C155" s="1" t="n">
        <v>45573</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c r="U155">
        <f>HYPERLINK("https://klasma.github.io/Logging_2083/knärot/A 14554-2020 karta knärot.png", "A 14554-2020")</f>
        <v/>
      </c>
      <c r="V155">
        <f>HYPERLINK("https://klasma.github.io/Logging_2083/klagomål/A 14554-2020 FSC-klagomål.docx", "A 14554-2020")</f>
        <v/>
      </c>
      <c r="W155">
        <f>HYPERLINK("https://klasma.github.io/Logging_2083/klagomålsmail/A 14554-2020 FSC-klagomål mail.docx", "A 14554-2020")</f>
        <v/>
      </c>
      <c r="X155">
        <f>HYPERLINK("https://klasma.github.io/Logging_2083/tillsyn/A 14554-2020 tillsynsbegäran.docx", "A 14554-2020")</f>
        <v/>
      </c>
      <c r="Y155">
        <f>HYPERLINK("https://klasma.github.io/Logging_2083/tillsynsmail/A 14554-2020 tillsynsbegäran mail.docx", "A 14554-2020")</f>
        <v/>
      </c>
    </row>
    <row r="156" ht="15" customHeight="1">
      <c r="A156" t="inlineStr">
        <is>
          <t>A 16641-2020</t>
        </is>
      </c>
      <c r="B156" s="1" t="n">
        <v>43910</v>
      </c>
      <c r="C156" s="1" t="n">
        <v>45573</v>
      </c>
      <c r="D156" t="inlineStr">
        <is>
          <t>DALARNAS LÄN</t>
        </is>
      </c>
      <c r="E156" t="inlineStr">
        <is>
          <t>HEDEMORA</t>
        </is>
      </c>
      <c r="G156" t="n">
        <v>3.3</v>
      </c>
      <c r="H156" t="n">
        <v>0</v>
      </c>
      <c r="I156" t="n">
        <v>0</v>
      </c>
      <c r="J156" t="n">
        <v>0</v>
      </c>
      <c r="K156" t="n">
        <v>0</v>
      </c>
      <c r="L156" t="n">
        <v>0</v>
      </c>
      <c r="M156" t="n">
        <v>0</v>
      </c>
      <c r="N156" t="n">
        <v>0</v>
      </c>
      <c r="O156" t="n">
        <v>0</v>
      </c>
      <c r="P156" t="n">
        <v>0</v>
      </c>
      <c r="Q156" t="n">
        <v>0</v>
      </c>
      <c r="R156" s="2" t="inlineStr"/>
    </row>
    <row r="157" ht="15" customHeight="1">
      <c r="A157" t="inlineStr">
        <is>
          <t>A 17585-2020</t>
        </is>
      </c>
      <c r="B157" s="1" t="n">
        <v>43923</v>
      </c>
      <c r="C157" s="1" t="n">
        <v>45573</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18955-2020</t>
        </is>
      </c>
      <c r="B158" s="1" t="n">
        <v>43935</v>
      </c>
      <c r="C158" s="1" t="n">
        <v>45573</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18824-2020</t>
        </is>
      </c>
      <c r="B159" s="1" t="n">
        <v>43935</v>
      </c>
      <c r="C159" s="1" t="n">
        <v>45573</v>
      </c>
      <c r="D159" t="inlineStr">
        <is>
          <t>DALARNAS LÄN</t>
        </is>
      </c>
      <c r="E159" t="inlineStr">
        <is>
          <t>HEDEMORA</t>
        </is>
      </c>
      <c r="F159" t="inlineStr">
        <is>
          <t>Sveaskog</t>
        </is>
      </c>
      <c r="G159" t="n">
        <v>22.7</v>
      </c>
      <c r="H159" t="n">
        <v>0</v>
      </c>
      <c r="I159" t="n">
        <v>0</v>
      </c>
      <c r="J159" t="n">
        <v>0</v>
      </c>
      <c r="K159" t="n">
        <v>0</v>
      </c>
      <c r="L159" t="n">
        <v>0</v>
      </c>
      <c r="M159" t="n">
        <v>0</v>
      </c>
      <c r="N159" t="n">
        <v>0</v>
      </c>
      <c r="O159" t="n">
        <v>0</v>
      </c>
      <c r="P159" t="n">
        <v>0</v>
      </c>
      <c r="Q159" t="n">
        <v>0</v>
      </c>
      <c r="R159" s="2" t="inlineStr"/>
    </row>
    <row r="160" ht="15" customHeight="1">
      <c r="A160" t="inlineStr">
        <is>
          <t>A 20804-2020</t>
        </is>
      </c>
      <c r="B160" s="1" t="n">
        <v>43949</v>
      </c>
      <c r="C160" s="1" t="n">
        <v>45573</v>
      </c>
      <c r="D160" t="inlineStr">
        <is>
          <t>DALARNAS LÄN</t>
        </is>
      </c>
      <c r="E160" t="inlineStr">
        <is>
          <t>HEDEMORA</t>
        </is>
      </c>
      <c r="G160" t="n">
        <v>4.7</v>
      </c>
      <c r="H160" t="n">
        <v>0</v>
      </c>
      <c r="I160" t="n">
        <v>0</v>
      </c>
      <c r="J160" t="n">
        <v>0</v>
      </c>
      <c r="K160" t="n">
        <v>0</v>
      </c>
      <c r="L160" t="n">
        <v>0</v>
      </c>
      <c r="M160" t="n">
        <v>0</v>
      </c>
      <c r="N160" t="n">
        <v>0</v>
      </c>
      <c r="O160" t="n">
        <v>0</v>
      </c>
      <c r="P160" t="n">
        <v>0</v>
      </c>
      <c r="Q160" t="n">
        <v>0</v>
      </c>
      <c r="R160" s="2" t="inlineStr"/>
    </row>
    <row r="161" ht="15" customHeight="1">
      <c r="A161" t="inlineStr">
        <is>
          <t>A 21254-2020</t>
        </is>
      </c>
      <c r="B161" s="1" t="n">
        <v>43955</v>
      </c>
      <c r="C161" s="1" t="n">
        <v>45573</v>
      </c>
      <c r="D161" t="inlineStr">
        <is>
          <t>DALARNAS LÄN</t>
        </is>
      </c>
      <c r="E161" t="inlineStr">
        <is>
          <t>HEDEMORA</t>
        </is>
      </c>
      <c r="F161" t="inlineStr">
        <is>
          <t>Sveaskog</t>
        </is>
      </c>
      <c r="G161" t="n">
        <v>8.4</v>
      </c>
      <c r="H161" t="n">
        <v>0</v>
      </c>
      <c r="I161" t="n">
        <v>0</v>
      </c>
      <c r="J161" t="n">
        <v>0</v>
      </c>
      <c r="K161" t="n">
        <v>0</v>
      </c>
      <c r="L161" t="n">
        <v>0</v>
      </c>
      <c r="M161" t="n">
        <v>0</v>
      </c>
      <c r="N161" t="n">
        <v>0</v>
      </c>
      <c r="O161" t="n">
        <v>0</v>
      </c>
      <c r="P161" t="n">
        <v>0</v>
      </c>
      <c r="Q161" t="n">
        <v>0</v>
      </c>
      <c r="R161" s="2" t="inlineStr"/>
    </row>
    <row r="162" ht="15" customHeight="1">
      <c r="A162" t="inlineStr">
        <is>
          <t>A 21252-2020</t>
        </is>
      </c>
      <c r="B162" s="1" t="n">
        <v>43955</v>
      </c>
      <c r="C162" s="1" t="n">
        <v>45573</v>
      </c>
      <c r="D162" t="inlineStr">
        <is>
          <t>DALARNAS LÄN</t>
        </is>
      </c>
      <c r="E162" t="inlineStr">
        <is>
          <t>HEDEMORA</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21458-2020</t>
        </is>
      </c>
      <c r="B163" s="1" t="n">
        <v>43956</v>
      </c>
      <c r="C163" s="1" t="n">
        <v>45573</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22374-2020</t>
        </is>
      </c>
      <c r="B164" s="1" t="n">
        <v>43962</v>
      </c>
      <c r="C164" s="1" t="n">
        <v>45573</v>
      </c>
      <c r="D164" t="inlineStr">
        <is>
          <t>DALARNAS LÄN</t>
        </is>
      </c>
      <c r="E164" t="inlineStr">
        <is>
          <t>HEDEMORA</t>
        </is>
      </c>
      <c r="F164" t="inlineStr">
        <is>
          <t>Kommuner</t>
        </is>
      </c>
      <c r="G164" t="n">
        <v>9.1</v>
      </c>
      <c r="H164" t="n">
        <v>0</v>
      </c>
      <c r="I164" t="n">
        <v>0</v>
      </c>
      <c r="J164" t="n">
        <v>0</v>
      </c>
      <c r="K164" t="n">
        <v>0</v>
      </c>
      <c r="L164" t="n">
        <v>0</v>
      </c>
      <c r="M164" t="n">
        <v>0</v>
      </c>
      <c r="N164" t="n">
        <v>0</v>
      </c>
      <c r="O164" t="n">
        <v>0</v>
      </c>
      <c r="P164" t="n">
        <v>0</v>
      </c>
      <c r="Q164" t="n">
        <v>0</v>
      </c>
      <c r="R164" s="2" t="inlineStr"/>
    </row>
    <row r="165" ht="15" customHeight="1">
      <c r="A165" t="inlineStr">
        <is>
          <t>A 23402-2020</t>
        </is>
      </c>
      <c r="B165" s="1" t="n">
        <v>43968</v>
      </c>
      <c r="C165" s="1" t="n">
        <v>45573</v>
      </c>
      <c r="D165" t="inlineStr">
        <is>
          <t>DALARNAS LÄN</t>
        </is>
      </c>
      <c r="E165" t="inlineStr">
        <is>
          <t>HEDEMORA</t>
        </is>
      </c>
      <c r="G165" t="n">
        <v>2.9</v>
      </c>
      <c r="H165" t="n">
        <v>0</v>
      </c>
      <c r="I165" t="n">
        <v>0</v>
      </c>
      <c r="J165" t="n">
        <v>0</v>
      </c>
      <c r="K165" t="n">
        <v>0</v>
      </c>
      <c r="L165" t="n">
        <v>0</v>
      </c>
      <c r="M165" t="n">
        <v>0</v>
      </c>
      <c r="N165" t="n">
        <v>0</v>
      </c>
      <c r="O165" t="n">
        <v>0</v>
      </c>
      <c r="P165" t="n">
        <v>0</v>
      </c>
      <c r="Q165" t="n">
        <v>0</v>
      </c>
      <c r="R165" s="2" t="inlineStr"/>
    </row>
    <row r="166" ht="15" customHeight="1">
      <c r="A166" t="inlineStr">
        <is>
          <t>A 23401-2020</t>
        </is>
      </c>
      <c r="B166" s="1" t="n">
        <v>43968</v>
      </c>
      <c r="C166" s="1" t="n">
        <v>45573</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23872-2020</t>
        </is>
      </c>
      <c r="B167" s="1" t="n">
        <v>43971</v>
      </c>
      <c r="C167" s="1" t="n">
        <v>45573</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24759-2020</t>
        </is>
      </c>
      <c r="B168" s="1" t="n">
        <v>43978</v>
      </c>
      <c r="C168" s="1" t="n">
        <v>45573</v>
      </c>
      <c r="D168" t="inlineStr">
        <is>
          <t>DALARNAS LÄN</t>
        </is>
      </c>
      <c r="E168" t="inlineStr">
        <is>
          <t>HEDEMORA</t>
        </is>
      </c>
      <c r="F168" t="inlineStr">
        <is>
          <t>Sveaskog</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25623-2020</t>
        </is>
      </c>
      <c r="B169" s="1" t="n">
        <v>43983</v>
      </c>
      <c r="C169" s="1" t="n">
        <v>45573</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25657-2020</t>
        </is>
      </c>
      <c r="B170" s="1" t="n">
        <v>43983</v>
      </c>
      <c r="C170" s="1" t="n">
        <v>45573</v>
      </c>
      <c r="D170" t="inlineStr">
        <is>
          <t>DALARNAS LÄN</t>
        </is>
      </c>
      <c r="E170" t="inlineStr">
        <is>
          <t>HEDEMORA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27050-2020</t>
        </is>
      </c>
      <c r="B171" s="1" t="n">
        <v>43991</v>
      </c>
      <c r="C171" s="1" t="n">
        <v>45573</v>
      </c>
      <c r="D171" t="inlineStr">
        <is>
          <t>DALARNAS LÄN</t>
        </is>
      </c>
      <c r="E171" t="inlineStr">
        <is>
          <t>HEDEMORA</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27076-2020</t>
        </is>
      </c>
      <c r="B172" s="1" t="n">
        <v>43991</v>
      </c>
      <c r="C172" s="1" t="n">
        <v>45573</v>
      </c>
      <c r="D172" t="inlineStr">
        <is>
          <t>DALARNAS LÄN</t>
        </is>
      </c>
      <c r="E172" t="inlineStr">
        <is>
          <t>HEDEMORA</t>
        </is>
      </c>
      <c r="F172" t="inlineStr">
        <is>
          <t>Övriga Aktiebolag</t>
        </is>
      </c>
      <c r="G172" t="n">
        <v>10.4</v>
      </c>
      <c r="H172" t="n">
        <v>0</v>
      </c>
      <c r="I172" t="n">
        <v>0</v>
      </c>
      <c r="J172" t="n">
        <v>0</v>
      </c>
      <c r="K172" t="n">
        <v>0</v>
      </c>
      <c r="L172" t="n">
        <v>0</v>
      </c>
      <c r="M172" t="n">
        <v>0</v>
      </c>
      <c r="N172" t="n">
        <v>0</v>
      </c>
      <c r="O172" t="n">
        <v>0</v>
      </c>
      <c r="P172" t="n">
        <v>0</v>
      </c>
      <c r="Q172" t="n">
        <v>0</v>
      </c>
      <c r="R172" s="2" t="inlineStr"/>
    </row>
    <row r="173" ht="15" customHeight="1">
      <c r="A173" t="inlineStr">
        <is>
          <t>A 31502-2020</t>
        </is>
      </c>
      <c r="B173" s="1" t="n">
        <v>44013</v>
      </c>
      <c r="C173" s="1" t="n">
        <v>45573</v>
      </c>
      <c r="D173" t="inlineStr">
        <is>
          <t>DALARNAS LÄN</t>
        </is>
      </c>
      <c r="E173" t="inlineStr">
        <is>
          <t>HEDEMORA</t>
        </is>
      </c>
      <c r="F173" t="inlineStr">
        <is>
          <t>Bergvik skog väst AB</t>
        </is>
      </c>
      <c r="G173" t="n">
        <v>10.2</v>
      </c>
      <c r="H173" t="n">
        <v>0</v>
      </c>
      <c r="I173" t="n">
        <v>0</v>
      </c>
      <c r="J173" t="n">
        <v>0</v>
      </c>
      <c r="K173" t="n">
        <v>0</v>
      </c>
      <c r="L173" t="n">
        <v>0</v>
      </c>
      <c r="M173" t="n">
        <v>0</v>
      </c>
      <c r="N173" t="n">
        <v>0</v>
      </c>
      <c r="O173" t="n">
        <v>0</v>
      </c>
      <c r="P173" t="n">
        <v>0</v>
      </c>
      <c r="Q173" t="n">
        <v>0</v>
      </c>
      <c r="R173" s="2" t="inlineStr"/>
    </row>
    <row r="174" ht="15" customHeight="1">
      <c r="A174" t="inlineStr">
        <is>
          <t>A 31579-2020</t>
        </is>
      </c>
      <c r="B174" s="1" t="n">
        <v>44013</v>
      </c>
      <c r="C174" s="1" t="n">
        <v>45573</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32508-2020</t>
        </is>
      </c>
      <c r="B175" s="1" t="n">
        <v>44018</v>
      </c>
      <c r="C175" s="1" t="n">
        <v>45573</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35786-2020</t>
        </is>
      </c>
      <c r="B176" s="1" t="n">
        <v>44046</v>
      </c>
      <c r="C176" s="1" t="n">
        <v>45573</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40865-2020</t>
        </is>
      </c>
      <c r="B177" s="1" t="n">
        <v>44070</v>
      </c>
      <c r="C177" s="1" t="n">
        <v>45573</v>
      </c>
      <c r="D177" t="inlineStr">
        <is>
          <t>DALARNAS LÄN</t>
        </is>
      </c>
      <c r="E177" t="inlineStr">
        <is>
          <t>HEDEMORA</t>
        </is>
      </c>
      <c r="G177" t="n">
        <v>6.1</v>
      </c>
      <c r="H177" t="n">
        <v>0</v>
      </c>
      <c r="I177" t="n">
        <v>0</v>
      </c>
      <c r="J177" t="n">
        <v>0</v>
      </c>
      <c r="K177" t="n">
        <v>0</v>
      </c>
      <c r="L177" t="n">
        <v>0</v>
      </c>
      <c r="M177" t="n">
        <v>0</v>
      </c>
      <c r="N177" t="n">
        <v>0</v>
      </c>
      <c r="O177" t="n">
        <v>0</v>
      </c>
      <c r="P177" t="n">
        <v>0</v>
      </c>
      <c r="Q177" t="n">
        <v>0</v>
      </c>
      <c r="R177" s="2" t="inlineStr"/>
    </row>
    <row r="178" ht="15" customHeight="1">
      <c r="A178" t="inlineStr">
        <is>
          <t>A 40868-2020</t>
        </is>
      </c>
      <c r="B178" s="1" t="n">
        <v>44070</v>
      </c>
      <c r="C178" s="1" t="n">
        <v>45573</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42929-2020</t>
        </is>
      </c>
      <c r="B179" s="1" t="n">
        <v>44078</v>
      </c>
      <c r="C179" s="1" t="n">
        <v>45573</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44110-2020</t>
        </is>
      </c>
      <c r="B180" s="1" t="n">
        <v>44083</v>
      </c>
      <c r="C180" s="1" t="n">
        <v>45573</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44098-2020</t>
        </is>
      </c>
      <c r="B181" s="1" t="n">
        <v>44083</v>
      </c>
      <c r="C181" s="1" t="n">
        <v>45573</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45616-2020</t>
        </is>
      </c>
      <c r="B182" s="1" t="n">
        <v>44084</v>
      </c>
      <c r="C182" s="1" t="n">
        <v>45573</v>
      </c>
      <c r="D182" t="inlineStr">
        <is>
          <t>DALARNAS LÄN</t>
        </is>
      </c>
      <c r="E182" t="inlineStr">
        <is>
          <t>HEDEMORA</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45392-2020</t>
        </is>
      </c>
      <c r="B183" s="1" t="n">
        <v>44085</v>
      </c>
      <c r="C183" s="1" t="n">
        <v>45573</v>
      </c>
      <c r="D183" t="inlineStr">
        <is>
          <t>DALARNAS LÄN</t>
        </is>
      </c>
      <c r="E183" t="inlineStr">
        <is>
          <t>HEDEMORA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46393-2020</t>
        </is>
      </c>
      <c r="B184" s="1" t="n">
        <v>44093</v>
      </c>
      <c r="C184" s="1" t="n">
        <v>45573</v>
      </c>
      <c r="D184" t="inlineStr">
        <is>
          <t>DALARNAS LÄN</t>
        </is>
      </c>
      <c r="E184" t="inlineStr">
        <is>
          <t>HEDEMORA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46391-2020</t>
        </is>
      </c>
      <c r="B185" s="1" t="n">
        <v>44093</v>
      </c>
      <c r="C185" s="1" t="n">
        <v>45573</v>
      </c>
      <c r="D185" t="inlineStr">
        <is>
          <t>DALARNAS LÄN</t>
        </is>
      </c>
      <c r="E185" t="inlineStr">
        <is>
          <t>HEDEMORA</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46392-2020</t>
        </is>
      </c>
      <c r="B186" s="1" t="n">
        <v>44093</v>
      </c>
      <c r="C186" s="1" t="n">
        <v>45573</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49271-2020</t>
        </is>
      </c>
      <c r="B187" s="1" t="n">
        <v>44105</v>
      </c>
      <c r="C187" s="1" t="n">
        <v>45573</v>
      </c>
      <c r="D187" t="inlineStr">
        <is>
          <t>DALARNAS LÄN</t>
        </is>
      </c>
      <c r="E187" t="inlineStr">
        <is>
          <t>HEDEMORA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49760-2020</t>
        </is>
      </c>
      <c r="B188" s="1" t="n">
        <v>44106</v>
      </c>
      <c r="C188" s="1" t="n">
        <v>45573</v>
      </c>
      <c r="D188" t="inlineStr">
        <is>
          <t>DALARNAS LÄN</t>
        </is>
      </c>
      <c r="E188" t="inlineStr">
        <is>
          <t>HEDEMORA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49758-2020</t>
        </is>
      </c>
      <c r="B189" s="1" t="n">
        <v>44106</v>
      </c>
      <c r="C189" s="1" t="n">
        <v>45573</v>
      </c>
      <c r="D189" t="inlineStr">
        <is>
          <t>DALARNAS LÄN</t>
        </is>
      </c>
      <c r="E189" t="inlineStr">
        <is>
          <t>HEDEMORA</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51495-2020</t>
        </is>
      </c>
      <c r="B190" s="1" t="n">
        <v>44113</v>
      </c>
      <c r="C190" s="1" t="n">
        <v>45573</v>
      </c>
      <c r="D190" t="inlineStr">
        <is>
          <t>DALARNAS LÄN</t>
        </is>
      </c>
      <c r="E190" t="inlineStr">
        <is>
          <t>HEDEMORA</t>
        </is>
      </c>
      <c r="F190" t="inlineStr">
        <is>
          <t>Sveaskog</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54347-2020</t>
        </is>
      </c>
      <c r="B191" s="1" t="n">
        <v>44126</v>
      </c>
      <c r="C191" s="1" t="n">
        <v>45573</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57071-2020</t>
        </is>
      </c>
      <c r="B192" s="1" t="n">
        <v>44138</v>
      </c>
      <c r="C192" s="1" t="n">
        <v>45573</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57781-2020</t>
        </is>
      </c>
      <c r="B193" s="1" t="n">
        <v>44141</v>
      </c>
      <c r="C193" s="1" t="n">
        <v>45573</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57936-2020</t>
        </is>
      </c>
      <c r="B194" s="1" t="n">
        <v>44141</v>
      </c>
      <c r="C194" s="1" t="n">
        <v>45573</v>
      </c>
      <c r="D194" t="inlineStr">
        <is>
          <t>DALARNAS LÄN</t>
        </is>
      </c>
      <c r="E194" t="inlineStr">
        <is>
          <t>HEDEMORA</t>
        </is>
      </c>
      <c r="F194" t="inlineStr">
        <is>
          <t>Sveaskog</t>
        </is>
      </c>
      <c r="G194" t="n">
        <v>8</v>
      </c>
      <c r="H194" t="n">
        <v>0</v>
      </c>
      <c r="I194" t="n">
        <v>0</v>
      </c>
      <c r="J194" t="n">
        <v>0</v>
      </c>
      <c r="K194" t="n">
        <v>0</v>
      </c>
      <c r="L194" t="n">
        <v>0</v>
      </c>
      <c r="M194" t="n">
        <v>0</v>
      </c>
      <c r="N194" t="n">
        <v>0</v>
      </c>
      <c r="O194" t="n">
        <v>0</v>
      </c>
      <c r="P194" t="n">
        <v>0</v>
      </c>
      <c r="Q194" t="n">
        <v>0</v>
      </c>
      <c r="R194" s="2" t="inlineStr"/>
    </row>
    <row r="195" ht="15" customHeight="1">
      <c r="A195" t="inlineStr">
        <is>
          <t>A 57779-2020</t>
        </is>
      </c>
      <c r="B195" s="1" t="n">
        <v>44141</v>
      </c>
      <c r="C195" s="1" t="n">
        <v>45573</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58111-2020</t>
        </is>
      </c>
      <c r="B196" s="1" t="n">
        <v>44144</v>
      </c>
      <c r="C196" s="1" t="n">
        <v>45573</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59471-2020</t>
        </is>
      </c>
      <c r="B197" s="1" t="n">
        <v>44148</v>
      </c>
      <c r="C197" s="1" t="n">
        <v>45573</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62373-2020</t>
        </is>
      </c>
      <c r="B198" s="1" t="n">
        <v>44160</v>
      </c>
      <c r="C198" s="1" t="n">
        <v>45573</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c r="U198">
        <f>HYPERLINK("https://klasma.github.io/Logging_2083/knärot/A 62373-2020 karta knärot.png", "A 62373-2020")</f>
        <v/>
      </c>
      <c r="V198">
        <f>HYPERLINK("https://klasma.github.io/Logging_2083/klagomål/A 62373-2020 FSC-klagomål.docx", "A 62373-2020")</f>
        <v/>
      </c>
      <c r="W198">
        <f>HYPERLINK("https://klasma.github.io/Logging_2083/klagomålsmail/A 62373-2020 FSC-klagomål mail.docx", "A 62373-2020")</f>
        <v/>
      </c>
      <c r="X198">
        <f>HYPERLINK("https://klasma.github.io/Logging_2083/tillsyn/A 62373-2020 tillsynsbegäran.docx", "A 62373-2020")</f>
        <v/>
      </c>
      <c r="Y198">
        <f>HYPERLINK("https://klasma.github.io/Logging_2083/tillsynsmail/A 62373-2020 tillsynsbegäran mail.docx", "A 62373-2020")</f>
        <v/>
      </c>
    </row>
    <row r="199" ht="15" customHeight="1">
      <c r="A199" t="inlineStr">
        <is>
          <t>A 62412-2020</t>
        </is>
      </c>
      <c r="B199" s="1" t="n">
        <v>44160</v>
      </c>
      <c r="C199" s="1" t="n">
        <v>45573</v>
      </c>
      <c r="D199" t="inlineStr">
        <is>
          <t>DALARNAS LÄN</t>
        </is>
      </c>
      <c r="E199" t="inlineStr">
        <is>
          <t>HEDEMORA</t>
        </is>
      </c>
      <c r="G199" t="n">
        <v>2.4</v>
      </c>
      <c r="H199" t="n">
        <v>0</v>
      </c>
      <c r="I199" t="n">
        <v>0</v>
      </c>
      <c r="J199" t="n">
        <v>0</v>
      </c>
      <c r="K199" t="n">
        <v>0</v>
      </c>
      <c r="L199" t="n">
        <v>0</v>
      </c>
      <c r="M199" t="n">
        <v>0</v>
      </c>
      <c r="N199" t="n">
        <v>0</v>
      </c>
      <c r="O199" t="n">
        <v>0</v>
      </c>
      <c r="P199" t="n">
        <v>0</v>
      </c>
      <c r="Q199" t="n">
        <v>0</v>
      </c>
      <c r="R199" s="2" t="inlineStr"/>
    </row>
    <row r="200" ht="15" customHeight="1">
      <c r="A200" t="inlineStr">
        <is>
          <t>A 66064-2020</t>
        </is>
      </c>
      <c r="B200" s="1" t="n">
        <v>44175</v>
      </c>
      <c r="C200" s="1" t="n">
        <v>45573</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67062-2020</t>
        </is>
      </c>
      <c r="B201" s="1" t="n">
        <v>44180</v>
      </c>
      <c r="C201" s="1" t="n">
        <v>45573</v>
      </c>
      <c r="D201" t="inlineStr">
        <is>
          <t>DALARNAS LÄN</t>
        </is>
      </c>
      <c r="E201" t="inlineStr">
        <is>
          <t>HEDEMORA</t>
        </is>
      </c>
      <c r="G201" t="n">
        <v>2.9</v>
      </c>
      <c r="H201" t="n">
        <v>0</v>
      </c>
      <c r="I201" t="n">
        <v>0</v>
      </c>
      <c r="J201" t="n">
        <v>0</v>
      </c>
      <c r="K201" t="n">
        <v>0</v>
      </c>
      <c r="L201" t="n">
        <v>0</v>
      </c>
      <c r="M201" t="n">
        <v>0</v>
      </c>
      <c r="N201" t="n">
        <v>0</v>
      </c>
      <c r="O201" t="n">
        <v>0</v>
      </c>
      <c r="P201" t="n">
        <v>0</v>
      </c>
      <c r="Q201" t="n">
        <v>0</v>
      </c>
      <c r="R201" s="2" t="inlineStr"/>
    </row>
    <row r="202" ht="15" customHeight="1">
      <c r="A202" t="inlineStr">
        <is>
          <t>A 653-2021</t>
        </is>
      </c>
      <c r="B202" s="1" t="n">
        <v>44203</v>
      </c>
      <c r="C202" s="1" t="n">
        <v>45573</v>
      </c>
      <c r="D202" t="inlineStr">
        <is>
          <t>DALARNAS LÄN</t>
        </is>
      </c>
      <c r="E202" t="inlineStr">
        <is>
          <t>HEDEMORA</t>
        </is>
      </c>
      <c r="G202" t="n">
        <v>3.8</v>
      </c>
      <c r="H202" t="n">
        <v>0</v>
      </c>
      <c r="I202" t="n">
        <v>0</v>
      </c>
      <c r="J202" t="n">
        <v>0</v>
      </c>
      <c r="K202" t="n">
        <v>0</v>
      </c>
      <c r="L202" t="n">
        <v>0</v>
      </c>
      <c r="M202" t="n">
        <v>0</v>
      </c>
      <c r="N202" t="n">
        <v>0</v>
      </c>
      <c r="O202" t="n">
        <v>0</v>
      </c>
      <c r="P202" t="n">
        <v>0</v>
      </c>
      <c r="Q202" t="n">
        <v>0</v>
      </c>
      <c r="R202" s="2" t="inlineStr"/>
    </row>
    <row r="203" ht="15" customHeight="1">
      <c r="A203" t="inlineStr">
        <is>
          <t>A 1916-2021</t>
        </is>
      </c>
      <c r="B203" s="1" t="n">
        <v>44210</v>
      </c>
      <c r="C203" s="1" t="n">
        <v>45573</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1973-2021</t>
        </is>
      </c>
      <c r="B204" s="1" t="n">
        <v>44210</v>
      </c>
      <c r="C204" s="1" t="n">
        <v>45573</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1978-2021</t>
        </is>
      </c>
      <c r="B205" s="1" t="n">
        <v>44210</v>
      </c>
      <c r="C205" s="1" t="n">
        <v>45573</v>
      </c>
      <c r="D205" t="inlineStr">
        <is>
          <t>DALARNAS LÄN</t>
        </is>
      </c>
      <c r="E205" t="inlineStr">
        <is>
          <t>HEDEMORA</t>
        </is>
      </c>
      <c r="G205" t="n">
        <v>1</v>
      </c>
      <c r="H205" t="n">
        <v>0</v>
      </c>
      <c r="I205" t="n">
        <v>0</v>
      </c>
      <c r="J205" t="n">
        <v>0</v>
      </c>
      <c r="K205" t="n">
        <v>0</v>
      </c>
      <c r="L205" t="n">
        <v>0</v>
      </c>
      <c r="M205" t="n">
        <v>0</v>
      </c>
      <c r="N205" t="n">
        <v>0</v>
      </c>
      <c r="O205" t="n">
        <v>0</v>
      </c>
      <c r="P205" t="n">
        <v>0</v>
      </c>
      <c r="Q205" t="n">
        <v>0</v>
      </c>
      <c r="R205" s="2" t="inlineStr"/>
    </row>
    <row r="206" ht="15" customHeight="1">
      <c r="A206" t="inlineStr">
        <is>
          <t>A 3314-2021</t>
        </is>
      </c>
      <c r="B206" s="1" t="n">
        <v>44217</v>
      </c>
      <c r="C206" s="1" t="n">
        <v>45573</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6185-2021</t>
        </is>
      </c>
      <c r="B207" s="1" t="n">
        <v>44233</v>
      </c>
      <c r="C207" s="1" t="n">
        <v>45573</v>
      </c>
      <c r="D207" t="inlineStr">
        <is>
          <t>DALARNAS LÄN</t>
        </is>
      </c>
      <c r="E207" t="inlineStr">
        <is>
          <t>HEDEMORA</t>
        </is>
      </c>
      <c r="G207" t="n">
        <v>3.3</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45573</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14456-2021</t>
        </is>
      </c>
      <c r="B209" s="1" t="n">
        <v>44279</v>
      </c>
      <c r="C209" s="1" t="n">
        <v>45573</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15125-2021</t>
        </is>
      </c>
      <c r="B210" s="1" t="n">
        <v>44283</v>
      </c>
      <c r="C210" s="1" t="n">
        <v>45573</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15290-2021</t>
        </is>
      </c>
      <c r="B211" s="1" t="n">
        <v>44284</v>
      </c>
      <c r="C211" s="1" t="n">
        <v>45573</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17464-2021</t>
        </is>
      </c>
      <c r="B212" s="1" t="n">
        <v>44299</v>
      </c>
      <c r="C212" s="1" t="n">
        <v>45573</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18522-2021</t>
        </is>
      </c>
      <c r="B213" s="1" t="n">
        <v>44306</v>
      </c>
      <c r="C213" s="1" t="n">
        <v>45573</v>
      </c>
      <c r="D213" t="inlineStr">
        <is>
          <t>DALARNAS LÄN</t>
        </is>
      </c>
      <c r="E213" t="inlineStr">
        <is>
          <t>HEDEMORA</t>
        </is>
      </c>
      <c r="G213" t="n">
        <v>7</v>
      </c>
      <c r="H213" t="n">
        <v>0</v>
      </c>
      <c r="I213" t="n">
        <v>0</v>
      </c>
      <c r="J213" t="n">
        <v>0</v>
      </c>
      <c r="K213" t="n">
        <v>0</v>
      </c>
      <c r="L213" t="n">
        <v>0</v>
      </c>
      <c r="M213" t="n">
        <v>0</v>
      </c>
      <c r="N213" t="n">
        <v>0</v>
      </c>
      <c r="O213" t="n">
        <v>0</v>
      </c>
      <c r="P213" t="n">
        <v>0</v>
      </c>
      <c r="Q213" t="n">
        <v>0</v>
      </c>
      <c r="R213" s="2" t="inlineStr"/>
    </row>
    <row r="214" ht="15" customHeight="1">
      <c r="A214" t="inlineStr">
        <is>
          <t>A 20330-2021</t>
        </is>
      </c>
      <c r="B214" s="1" t="n">
        <v>44315</v>
      </c>
      <c r="C214" s="1" t="n">
        <v>45573</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20353-2021</t>
        </is>
      </c>
      <c r="B215" s="1" t="n">
        <v>44315</v>
      </c>
      <c r="C215" s="1" t="n">
        <v>45573</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21171-2021</t>
        </is>
      </c>
      <c r="B216" s="1" t="n">
        <v>44320</v>
      </c>
      <c r="C216" s="1" t="n">
        <v>45573</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21408-2021</t>
        </is>
      </c>
      <c r="B217" s="1" t="n">
        <v>44321</v>
      </c>
      <c r="C217" s="1" t="n">
        <v>45573</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25641-2021</t>
        </is>
      </c>
      <c r="B218" s="1" t="n">
        <v>44343</v>
      </c>
      <c r="C218" s="1" t="n">
        <v>45573</v>
      </c>
      <c r="D218" t="inlineStr">
        <is>
          <t>DALARNAS LÄN</t>
        </is>
      </c>
      <c r="E218" t="inlineStr">
        <is>
          <t>HEDEMORA</t>
        </is>
      </c>
      <c r="G218" t="n">
        <v>11.2</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v>
      </c>
      <c r="C219" s="1" t="n">
        <v>45573</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28067-2021</t>
        </is>
      </c>
      <c r="B220" s="1" t="n">
        <v>44355</v>
      </c>
      <c r="C220" s="1" t="n">
        <v>45573</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29123-2021</t>
        </is>
      </c>
      <c r="B221" s="1" t="n">
        <v>44358</v>
      </c>
      <c r="C221" s="1" t="n">
        <v>45573</v>
      </c>
      <c r="D221" t="inlineStr">
        <is>
          <t>DALARNAS LÄN</t>
        </is>
      </c>
      <c r="E221" t="inlineStr">
        <is>
          <t>HEDEMORA</t>
        </is>
      </c>
      <c r="G221" t="n">
        <v>5.6</v>
      </c>
      <c r="H221" t="n">
        <v>0</v>
      </c>
      <c r="I221" t="n">
        <v>0</v>
      </c>
      <c r="J221" t="n">
        <v>0</v>
      </c>
      <c r="K221" t="n">
        <v>0</v>
      </c>
      <c r="L221" t="n">
        <v>0</v>
      </c>
      <c r="M221" t="n">
        <v>0</v>
      </c>
      <c r="N221" t="n">
        <v>0</v>
      </c>
      <c r="O221" t="n">
        <v>0</v>
      </c>
      <c r="P221" t="n">
        <v>0</v>
      </c>
      <c r="Q221" t="n">
        <v>0</v>
      </c>
      <c r="R221" s="2" t="inlineStr"/>
    </row>
    <row r="222" ht="15" customHeight="1">
      <c r="A222" t="inlineStr">
        <is>
          <t>A 29208-2021</t>
        </is>
      </c>
      <c r="B222" s="1" t="n">
        <v>44359</v>
      </c>
      <c r="C222" s="1" t="n">
        <v>45573</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30571-2021</t>
        </is>
      </c>
      <c r="B223" s="1" t="n">
        <v>44364</v>
      </c>
      <c r="C223" s="1" t="n">
        <v>45573</v>
      </c>
      <c r="D223" t="inlineStr">
        <is>
          <t>DALARNAS LÄN</t>
        </is>
      </c>
      <c r="E223" t="inlineStr">
        <is>
          <t>HEDEMORA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v>
      </c>
      <c r="C224" s="1" t="n">
        <v>45573</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30573-2021</t>
        </is>
      </c>
      <c r="B225" s="1" t="n">
        <v>44364</v>
      </c>
      <c r="C225" s="1" t="n">
        <v>45573</v>
      </c>
      <c r="D225" t="inlineStr">
        <is>
          <t>DALARNAS LÄN</t>
        </is>
      </c>
      <c r="E225" t="inlineStr">
        <is>
          <t>HEDEMORA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30574-2021</t>
        </is>
      </c>
      <c r="B226" s="1" t="n">
        <v>44364</v>
      </c>
      <c r="C226" s="1" t="n">
        <v>45573</v>
      </c>
      <c r="D226" t="inlineStr">
        <is>
          <t>DALARNAS LÄN</t>
        </is>
      </c>
      <c r="E226" t="inlineStr">
        <is>
          <t>HEDEMORA</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32071-2021</t>
        </is>
      </c>
      <c r="B227" s="1" t="n">
        <v>44370</v>
      </c>
      <c r="C227" s="1" t="n">
        <v>45573</v>
      </c>
      <c r="D227" t="inlineStr">
        <is>
          <t>DALARNAS LÄN</t>
        </is>
      </c>
      <c r="E227" t="inlineStr">
        <is>
          <t>HEDEMORA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32073-2021</t>
        </is>
      </c>
      <c r="B228" s="1" t="n">
        <v>44370</v>
      </c>
      <c r="C228" s="1" t="n">
        <v>45573</v>
      </c>
      <c r="D228" t="inlineStr">
        <is>
          <t>DALARNAS LÄN</t>
        </is>
      </c>
      <c r="E228" t="inlineStr">
        <is>
          <t>HEDEMORA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35792-2021</t>
        </is>
      </c>
      <c r="B229" s="1" t="n">
        <v>44386</v>
      </c>
      <c r="C229" s="1" t="n">
        <v>45573</v>
      </c>
      <c r="D229" t="inlineStr">
        <is>
          <t>DALARNAS LÄN</t>
        </is>
      </c>
      <c r="E229" t="inlineStr">
        <is>
          <t>HEDEMORA</t>
        </is>
      </c>
      <c r="F229" t="inlineStr">
        <is>
          <t>Bergvik skog väst AB</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36943-2021</t>
        </is>
      </c>
      <c r="B230" s="1" t="n">
        <v>44393</v>
      </c>
      <c r="C230" s="1" t="n">
        <v>45573</v>
      </c>
      <c r="D230" t="inlineStr">
        <is>
          <t>DALARNAS LÄN</t>
        </is>
      </c>
      <c r="E230" t="inlineStr">
        <is>
          <t>HEDEMORA</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39411-2021</t>
        </is>
      </c>
      <c r="B231" s="1" t="n">
        <v>44414</v>
      </c>
      <c r="C231" s="1" t="n">
        <v>45573</v>
      </c>
      <c r="D231" t="inlineStr">
        <is>
          <t>DALARNAS LÄN</t>
        </is>
      </c>
      <c r="E231" t="inlineStr">
        <is>
          <t>HEDEMORA</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40930-2021</t>
        </is>
      </c>
      <c r="B232" s="1" t="n">
        <v>44421</v>
      </c>
      <c r="C232" s="1" t="n">
        <v>45573</v>
      </c>
      <c r="D232" t="inlineStr">
        <is>
          <t>DALARNAS LÄN</t>
        </is>
      </c>
      <c r="E232" t="inlineStr">
        <is>
          <t>HEDEMORA</t>
        </is>
      </c>
      <c r="G232" t="n">
        <v>6.5</v>
      </c>
      <c r="H232" t="n">
        <v>0</v>
      </c>
      <c r="I232" t="n">
        <v>0</v>
      </c>
      <c r="J232" t="n">
        <v>0</v>
      </c>
      <c r="K232" t="n">
        <v>0</v>
      </c>
      <c r="L232" t="n">
        <v>0</v>
      </c>
      <c r="M232" t="n">
        <v>0</v>
      </c>
      <c r="N232" t="n">
        <v>0</v>
      </c>
      <c r="O232" t="n">
        <v>0</v>
      </c>
      <c r="P232" t="n">
        <v>0</v>
      </c>
      <c r="Q232" t="n">
        <v>0</v>
      </c>
      <c r="R232" s="2" t="inlineStr"/>
    </row>
    <row r="233" ht="15" customHeight="1">
      <c r="A233" t="inlineStr">
        <is>
          <t>A 40938-2021</t>
        </is>
      </c>
      <c r="B233" s="1" t="n">
        <v>44421</v>
      </c>
      <c r="C233" s="1" t="n">
        <v>45573</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41047-2021</t>
        </is>
      </c>
      <c r="B234" s="1" t="n">
        <v>44421</v>
      </c>
      <c r="C234" s="1" t="n">
        <v>45573</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c r="U234">
        <f>HYPERLINK("https://klasma.github.io/Logging_2083/knärot/A 41047-2021 karta knärot.png", "A 41047-2021")</f>
        <v/>
      </c>
      <c r="V234">
        <f>HYPERLINK("https://klasma.github.io/Logging_2083/klagomål/A 41047-2021 FSC-klagomål.docx", "A 41047-2021")</f>
        <v/>
      </c>
      <c r="W234">
        <f>HYPERLINK("https://klasma.github.io/Logging_2083/klagomålsmail/A 41047-2021 FSC-klagomål mail.docx", "A 41047-2021")</f>
        <v/>
      </c>
      <c r="X234">
        <f>HYPERLINK("https://klasma.github.io/Logging_2083/tillsyn/A 41047-2021 tillsynsbegäran.docx", "A 41047-2021")</f>
        <v/>
      </c>
      <c r="Y234">
        <f>HYPERLINK("https://klasma.github.io/Logging_2083/tillsynsmail/A 41047-2021 tillsynsbegäran mail.docx", "A 41047-2021")</f>
        <v/>
      </c>
    </row>
    <row r="235" ht="15" customHeight="1">
      <c r="A235" t="inlineStr">
        <is>
          <t>A 44065-2021</t>
        </is>
      </c>
      <c r="B235" s="1" t="n">
        <v>44434</v>
      </c>
      <c r="C235" s="1" t="n">
        <v>45573</v>
      </c>
      <c r="D235" t="inlineStr">
        <is>
          <t>DALARNAS LÄN</t>
        </is>
      </c>
      <c r="E235" t="inlineStr">
        <is>
          <t>HEDEMORA</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v>
      </c>
      <c r="C236" s="1" t="n">
        <v>45573</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44957-2021</t>
        </is>
      </c>
      <c r="B237" s="1" t="n">
        <v>44438</v>
      </c>
      <c r="C237" s="1" t="n">
        <v>45573</v>
      </c>
      <c r="D237" t="inlineStr">
        <is>
          <t>DALARNAS LÄN</t>
        </is>
      </c>
      <c r="E237" t="inlineStr">
        <is>
          <t>HEDEMORA</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44966-2021</t>
        </is>
      </c>
      <c r="B238" s="1" t="n">
        <v>44438</v>
      </c>
      <c r="C238" s="1" t="n">
        <v>45573</v>
      </c>
      <c r="D238" t="inlineStr">
        <is>
          <t>DALARNAS LÄN</t>
        </is>
      </c>
      <c r="E238" t="inlineStr">
        <is>
          <t>HEDEMORA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46235-2021</t>
        </is>
      </c>
      <c r="B239" s="1" t="n">
        <v>44442</v>
      </c>
      <c r="C239" s="1" t="n">
        <v>45573</v>
      </c>
      <c r="D239" t="inlineStr">
        <is>
          <t>DALARNAS LÄN</t>
        </is>
      </c>
      <c r="E239" t="inlineStr">
        <is>
          <t>HEDEMORA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48323-2021</t>
        </is>
      </c>
      <c r="B240" s="1" t="n">
        <v>44450</v>
      </c>
      <c r="C240" s="1" t="n">
        <v>45573</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49636-2021</t>
        </is>
      </c>
      <c r="B241" s="1" t="n">
        <v>44455</v>
      </c>
      <c r="C241" s="1" t="n">
        <v>45573</v>
      </c>
      <c r="D241" t="inlineStr">
        <is>
          <t>DALARNAS LÄN</t>
        </is>
      </c>
      <c r="E241" t="inlineStr">
        <is>
          <t>HEDEMORA</t>
        </is>
      </c>
      <c r="G241" t="n">
        <v>1.3</v>
      </c>
      <c r="H241" t="n">
        <v>0</v>
      </c>
      <c r="I241" t="n">
        <v>0</v>
      </c>
      <c r="J241" t="n">
        <v>0</v>
      </c>
      <c r="K241" t="n">
        <v>0</v>
      </c>
      <c r="L241" t="n">
        <v>0</v>
      </c>
      <c r="M241" t="n">
        <v>0</v>
      </c>
      <c r="N241" t="n">
        <v>0</v>
      </c>
      <c r="O241" t="n">
        <v>0</v>
      </c>
      <c r="P241" t="n">
        <v>0</v>
      </c>
      <c r="Q241" t="n">
        <v>0</v>
      </c>
      <c r="R241" s="2" t="inlineStr"/>
    </row>
    <row r="242" ht="15" customHeight="1">
      <c r="A242" t="inlineStr">
        <is>
          <t>A 50441-2021</t>
        </is>
      </c>
      <c r="B242" s="1" t="n">
        <v>44456</v>
      </c>
      <c r="C242" s="1" t="n">
        <v>45573</v>
      </c>
      <c r="D242" t="inlineStr">
        <is>
          <t>DALARNAS LÄN</t>
        </is>
      </c>
      <c r="E242" t="inlineStr">
        <is>
          <t>HEDEMORA</t>
        </is>
      </c>
      <c r="F242" t="inlineStr">
        <is>
          <t>Bergvik skog väst AB</t>
        </is>
      </c>
      <c r="G242" t="n">
        <v>6.4</v>
      </c>
      <c r="H242" t="n">
        <v>0</v>
      </c>
      <c r="I242" t="n">
        <v>0</v>
      </c>
      <c r="J242" t="n">
        <v>0</v>
      </c>
      <c r="K242" t="n">
        <v>0</v>
      </c>
      <c r="L242" t="n">
        <v>0</v>
      </c>
      <c r="M242" t="n">
        <v>0</v>
      </c>
      <c r="N242" t="n">
        <v>0</v>
      </c>
      <c r="O242" t="n">
        <v>0</v>
      </c>
      <c r="P242" t="n">
        <v>0</v>
      </c>
      <c r="Q242" t="n">
        <v>0</v>
      </c>
      <c r="R242" s="2" t="inlineStr"/>
    </row>
    <row r="243" ht="15" customHeight="1">
      <c r="A243" t="inlineStr">
        <is>
          <t>A 51106-2021</t>
        </is>
      </c>
      <c r="B243" s="1" t="n">
        <v>44461</v>
      </c>
      <c r="C243" s="1" t="n">
        <v>45573</v>
      </c>
      <c r="D243" t="inlineStr">
        <is>
          <t>DALARNAS LÄN</t>
        </is>
      </c>
      <c r="E243" t="inlineStr">
        <is>
          <t>HEDEMORA</t>
        </is>
      </c>
      <c r="G243" t="n">
        <v>2.2</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45573</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52215-2021</t>
        </is>
      </c>
      <c r="B245" s="1" t="n">
        <v>44462</v>
      </c>
      <c r="C245" s="1" t="n">
        <v>45573</v>
      </c>
      <c r="D245" t="inlineStr">
        <is>
          <t>DALARNAS LÄN</t>
        </is>
      </c>
      <c r="E245" t="inlineStr">
        <is>
          <t>HEDEMORA</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52221-2021</t>
        </is>
      </c>
      <c r="B246" s="1" t="n">
        <v>44462</v>
      </c>
      <c r="C246" s="1" t="n">
        <v>45573</v>
      </c>
      <c r="D246" t="inlineStr">
        <is>
          <t>DALARNAS LÄN</t>
        </is>
      </c>
      <c r="E246" t="inlineStr">
        <is>
          <t>HEDEMORA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52425-2021</t>
        </is>
      </c>
      <c r="B247" s="1" t="n">
        <v>44466</v>
      </c>
      <c r="C247" s="1" t="n">
        <v>45573</v>
      </c>
      <c r="D247" t="inlineStr">
        <is>
          <t>DALARNAS LÄN</t>
        </is>
      </c>
      <c r="E247" t="inlineStr">
        <is>
          <t>HEDEMORA</t>
        </is>
      </c>
      <c r="G247" t="n">
        <v>2.3</v>
      </c>
      <c r="H247" t="n">
        <v>0</v>
      </c>
      <c r="I247" t="n">
        <v>0</v>
      </c>
      <c r="J247" t="n">
        <v>0</v>
      </c>
      <c r="K247" t="n">
        <v>0</v>
      </c>
      <c r="L247" t="n">
        <v>0</v>
      </c>
      <c r="M247" t="n">
        <v>0</v>
      </c>
      <c r="N247" t="n">
        <v>0</v>
      </c>
      <c r="O247" t="n">
        <v>0</v>
      </c>
      <c r="P247" t="n">
        <v>0</v>
      </c>
      <c r="Q247" t="n">
        <v>0</v>
      </c>
      <c r="R247" s="2" t="inlineStr"/>
    </row>
    <row r="248" ht="15" customHeight="1">
      <c r="A248" t="inlineStr">
        <is>
          <t>A 52511-2021</t>
        </is>
      </c>
      <c r="B248" s="1" t="n">
        <v>44466</v>
      </c>
      <c r="C248" s="1" t="n">
        <v>45573</v>
      </c>
      <c r="D248" t="inlineStr">
        <is>
          <t>DALARNAS LÄN</t>
        </is>
      </c>
      <c r="E248" t="inlineStr">
        <is>
          <t>HEDEMORA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53443-2021</t>
        </is>
      </c>
      <c r="B249" s="1" t="n">
        <v>44468</v>
      </c>
      <c r="C249" s="1" t="n">
        <v>45573</v>
      </c>
      <c r="D249" t="inlineStr">
        <is>
          <t>DALARNAS LÄN</t>
        </is>
      </c>
      <c r="E249" t="inlineStr">
        <is>
          <t>HEDEMORA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54310-2021</t>
        </is>
      </c>
      <c r="B250" s="1" t="n">
        <v>44472</v>
      </c>
      <c r="C250" s="1" t="n">
        <v>45573</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55195-2021</t>
        </is>
      </c>
      <c r="B251" s="1" t="n">
        <v>44475</v>
      </c>
      <c r="C251" s="1" t="n">
        <v>45573</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57117-2021</t>
        </is>
      </c>
      <c r="B252" s="1" t="n">
        <v>44482</v>
      </c>
      <c r="C252" s="1" t="n">
        <v>45573</v>
      </c>
      <c r="D252" t="inlineStr">
        <is>
          <t>DALARNAS LÄN</t>
        </is>
      </c>
      <c r="E252" t="inlineStr">
        <is>
          <t>HEDEMORA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59491-2021</t>
        </is>
      </c>
      <c r="B253" s="1" t="n">
        <v>44491</v>
      </c>
      <c r="C253" s="1" t="n">
        <v>45573</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59495-2021</t>
        </is>
      </c>
      <c r="B254" s="1" t="n">
        <v>44491</v>
      </c>
      <c r="C254" s="1" t="n">
        <v>45573</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60418-2021</t>
        </is>
      </c>
      <c r="B255" s="1" t="n">
        <v>44495</v>
      </c>
      <c r="C255" s="1" t="n">
        <v>45573</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45573</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62305-2021</t>
        </is>
      </c>
      <c r="B257" s="1" t="n">
        <v>44502</v>
      </c>
      <c r="C257" s="1" t="n">
        <v>45573</v>
      </c>
      <c r="D257" t="inlineStr">
        <is>
          <t>DALARNAS LÄN</t>
        </is>
      </c>
      <c r="E257" t="inlineStr">
        <is>
          <t>HEDEMORA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63908-2021</t>
        </is>
      </c>
      <c r="B258" s="1" t="n">
        <v>44509</v>
      </c>
      <c r="C258" s="1" t="n">
        <v>45573</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64473-2021</t>
        </is>
      </c>
      <c r="B259" s="1" t="n">
        <v>44511</v>
      </c>
      <c r="C259" s="1" t="n">
        <v>45573</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67282-2021</t>
        </is>
      </c>
      <c r="B260" s="1" t="n">
        <v>44523</v>
      </c>
      <c r="C260" s="1" t="n">
        <v>45573</v>
      </c>
      <c r="D260" t="inlineStr">
        <is>
          <t>DALARNAS LÄN</t>
        </is>
      </c>
      <c r="E260" t="inlineStr">
        <is>
          <t>HEDEMORA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67288-2021</t>
        </is>
      </c>
      <c r="B261" s="1" t="n">
        <v>44523</v>
      </c>
      <c r="C261" s="1" t="n">
        <v>45573</v>
      </c>
      <c r="D261" t="inlineStr">
        <is>
          <t>DALARNAS LÄN</t>
        </is>
      </c>
      <c r="E261" t="inlineStr">
        <is>
          <t>HEDEMORA</t>
        </is>
      </c>
      <c r="F261" t="inlineStr">
        <is>
          <t>Övriga Aktiebolag</t>
        </is>
      </c>
      <c r="G261" t="n">
        <v>1.6</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45573</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68457-2021</t>
        </is>
      </c>
      <c r="B263" s="1" t="n">
        <v>44529</v>
      </c>
      <c r="C263" s="1" t="n">
        <v>45573</v>
      </c>
      <c r="D263" t="inlineStr">
        <is>
          <t>DALARNAS LÄN</t>
        </is>
      </c>
      <c r="E263" t="inlineStr">
        <is>
          <t>HEDEMORA</t>
        </is>
      </c>
      <c r="G263" t="n">
        <v>1.9</v>
      </c>
      <c r="H263" t="n">
        <v>0</v>
      </c>
      <c r="I263" t="n">
        <v>0</v>
      </c>
      <c r="J263" t="n">
        <v>0</v>
      </c>
      <c r="K263" t="n">
        <v>0</v>
      </c>
      <c r="L263" t="n">
        <v>0</v>
      </c>
      <c r="M263" t="n">
        <v>0</v>
      </c>
      <c r="N263" t="n">
        <v>0</v>
      </c>
      <c r="O263" t="n">
        <v>0</v>
      </c>
      <c r="P263" t="n">
        <v>0</v>
      </c>
      <c r="Q263" t="n">
        <v>0</v>
      </c>
      <c r="R263" s="2" t="inlineStr"/>
    </row>
    <row r="264" ht="15" customHeight="1">
      <c r="A264" t="inlineStr">
        <is>
          <t>A 69624-2021</t>
        </is>
      </c>
      <c r="B264" s="1" t="n">
        <v>44532</v>
      </c>
      <c r="C264" s="1" t="n">
        <v>45573</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45573</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73464-2021</t>
        </is>
      </c>
      <c r="B266" s="1" t="n">
        <v>44551</v>
      </c>
      <c r="C266" s="1" t="n">
        <v>45573</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295-2022</t>
        </is>
      </c>
      <c r="B267" s="1" t="n">
        <v>44565</v>
      </c>
      <c r="C267" s="1" t="n">
        <v>45573</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769-2022</t>
        </is>
      </c>
      <c r="B268" s="1" t="n">
        <v>44570</v>
      </c>
      <c r="C268" s="1" t="n">
        <v>45573</v>
      </c>
      <c r="D268" t="inlineStr">
        <is>
          <t>DALARNAS LÄN</t>
        </is>
      </c>
      <c r="E268" t="inlineStr">
        <is>
          <t>HEDEMORA</t>
        </is>
      </c>
      <c r="G268" t="n">
        <v>5.9</v>
      </c>
      <c r="H268" t="n">
        <v>0</v>
      </c>
      <c r="I268" t="n">
        <v>0</v>
      </c>
      <c r="J268" t="n">
        <v>0</v>
      </c>
      <c r="K268" t="n">
        <v>0</v>
      </c>
      <c r="L268" t="n">
        <v>0</v>
      </c>
      <c r="M268" t="n">
        <v>0</v>
      </c>
      <c r="N268" t="n">
        <v>0</v>
      </c>
      <c r="O268" t="n">
        <v>0</v>
      </c>
      <c r="P268" t="n">
        <v>0</v>
      </c>
      <c r="Q268" t="n">
        <v>0</v>
      </c>
      <c r="R268" s="2" t="inlineStr"/>
    </row>
    <row r="269" ht="15" customHeight="1">
      <c r="A269" t="inlineStr">
        <is>
          <t>A 1666-2022</t>
        </is>
      </c>
      <c r="B269" s="1" t="n">
        <v>44574</v>
      </c>
      <c r="C269" s="1" t="n">
        <v>45573</v>
      </c>
      <c r="D269" t="inlineStr">
        <is>
          <t>DALARNAS LÄN</t>
        </is>
      </c>
      <c r="E269" t="inlineStr">
        <is>
          <t>HEDEMORA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1917-2022</t>
        </is>
      </c>
      <c r="B270" s="1" t="n">
        <v>44574</v>
      </c>
      <c r="C270" s="1" t="n">
        <v>45573</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1973-2022</t>
        </is>
      </c>
      <c r="B271" s="1" t="n">
        <v>44575</v>
      </c>
      <c r="C271" s="1" t="n">
        <v>45573</v>
      </c>
      <c r="D271" t="inlineStr">
        <is>
          <t>DALARNAS LÄN</t>
        </is>
      </c>
      <c r="E271" t="inlineStr">
        <is>
          <t>HEDEMORA</t>
        </is>
      </c>
      <c r="G271" t="n">
        <v>1.2</v>
      </c>
      <c r="H271" t="n">
        <v>0</v>
      </c>
      <c r="I271" t="n">
        <v>0</v>
      </c>
      <c r="J271" t="n">
        <v>0</v>
      </c>
      <c r="K271" t="n">
        <v>0</v>
      </c>
      <c r="L271" t="n">
        <v>0</v>
      </c>
      <c r="M271" t="n">
        <v>0</v>
      </c>
      <c r="N271" t="n">
        <v>0</v>
      </c>
      <c r="O271" t="n">
        <v>0</v>
      </c>
      <c r="P271" t="n">
        <v>0</v>
      </c>
      <c r="Q271" t="n">
        <v>0</v>
      </c>
      <c r="R271" s="2" t="inlineStr"/>
    </row>
    <row r="272" ht="15" customHeight="1">
      <c r="A272" t="inlineStr">
        <is>
          <t>A 1976-2022</t>
        </is>
      </c>
      <c r="B272" s="1" t="n">
        <v>44575</v>
      </c>
      <c r="C272" s="1" t="n">
        <v>45573</v>
      </c>
      <c r="D272" t="inlineStr">
        <is>
          <t>DALARNAS LÄN</t>
        </is>
      </c>
      <c r="E272" t="inlineStr">
        <is>
          <t>HEDEMORA</t>
        </is>
      </c>
      <c r="G272" t="n">
        <v>3.2</v>
      </c>
      <c r="H272" t="n">
        <v>0</v>
      </c>
      <c r="I272" t="n">
        <v>0</v>
      </c>
      <c r="J272" t="n">
        <v>0</v>
      </c>
      <c r="K272" t="n">
        <v>0</v>
      </c>
      <c r="L272" t="n">
        <v>0</v>
      </c>
      <c r="M272" t="n">
        <v>0</v>
      </c>
      <c r="N272" t="n">
        <v>0</v>
      </c>
      <c r="O272" t="n">
        <v>0</v>
      </c>
      <c r="P272" t="n">
        <v>0</v>
      </c>
      <c r="Q272" t="n">
        <v>0</v>
      </c>
      <c r="R272" s="2" t="inlineStr"/>
    </row>
    <row r="273" ht="15" customHeight="1">
      <c r="A273" t="inlineStr">
        <is>
          <t>A 4030-2022</t>
        </is>
      </c>
      <c r="B273" s="1" t="n">
        <v>44588</v>
      </c>
      <c r="C273" s="1" t="n">
        <v>45573</v>
      </c>
      <c r="D273" t="inlineStr">
        <is>
          <t>DALARNAS LÄN</t>
        </is>
      </c>
      <c r="E273" t="inlineStr">
        <is>
          <t>HEDEMORA</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7515-2022</t>
        </is>
      </c>
      <c r="B274" s="1" t="n">
        <v>44607</v>
      </c>
      <c r="C274" s="1" t="n">
        <v>45573</v>
      </c>
      <c r="D274" t="inlineStr">
        <is>
          <t>DALARNAS LÄN</t>
        </is>
      </c>
      <c r="E274" t="inlineStr">
        <is>
          <t>HEDEMORA</t>
        </is>
      </c>
      <c r="G274" t="n">
        <v>3.8</v>
      </c>
      <c r="H274" t="n">
        <v>0</v>
      </c>
      <c r="I274" t="n">
        <v>0</v>
      </c>
      <c r="J274" t="n">
        <v>0</v>
      </c>
      <c r="K274" t="n">
        <v>0</v>
      </c>
      <c r="L274" t="n">
        <v>0</v>
      </c>
      <c r="M274" t="n">
        <v>0</v>
      </c>
      <c r="N274" t="n">
        <v>0</v>
      </c>
      <c r="O274" t="n">
        <v>0</v>
      </c>
      <c r="P274" t="n">
        <v>0</v>
      </c>
      <c r="Q274" t="n">
        <v>0</v>
      </c>
      <c r="R274" s="2" t="inlineStr"/>
    </row>
    <row r="275" ht="15" customHeight="1">
      <c r="A275" t="inlineStr">
        <is>
          <t>A 10408-2022</t>
        </is>
      </c>
      <c r="B275" s="1" t="n">
        <v>44623</v>
      </c>
      <c r="C275" s="1" t="n">
        <v>45573</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11046-2022</t>
        </is>
      </c>
      <c r="B276" s="1" t="n">
        <v>44628</v>
      </c>
      <c r="C276" s="1" t="n">
        <v>45573</v>
      </c>
      <c r="D276" t="inlineStr">
        <is>
          <t>DALARNAS LÄN</t>
        </is>
      </c>
      <c r="E276" t="inlineStr">
        <is>
          <t>HEDEMORA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15635-2022</t>
        </is>
      </c>
      <c r="B277" s="1" t="n">
        <v>44662</v>
      </c>
      <c r="C277" s="1" t="n">
        <v>45573</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16122-2022</t>
        </is>
      </c>
      <c r="B278" s="1" t="n">
        <v>44665</v>
      </c>
      <c r="C278" s="1" t="n">
        <v>45573</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16779-2022</t>
        </is>
      </c>
      <c r="B279" s="1" t="n">
        <v>44673</v>
      </c>
      <c r="C279" s="1" t="n">
        <v>45573</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v>
      </c>
      <c r="C280" s="1" t="n">
        <v>45573</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18098-2022</t>
        </is>
      </c>
      <c r="B281" s="1" t="n">
        <v>44684</v>
      </c>
      <c r="C281" s="1" t="n">
        <v>45573</v>
      </c>
      <c r="D281" t="inlineStr">
        <is>
          <t>DALARNAS LÄN</t>
        </is>
      </c>
      <c r="E281" t="inlineStr">
        <is>
          <t>HEDEMORA</t>
        </is>
      </c>
      <c r="G281" t="n">
        <v>4.9</v>
      </c>
      <c r="H281" t="n">
        <v>0</v>
      </c>
      <c r="I281" t="n">
        <v>0</v>
      </c>
      <c r="J281" t="n">
        <v>0</v>
      </c>
      <c r="K281" t="n">
        <v>0</v>
      </c>
      <c r="L281" t="n">
        <v>0</v>
      </c>
      <c r="M281" t="n">
        <v>0</v>
      </c>
      <c r="N281" t="n">
        <v>0</v>
      </c>
      <c r="O281" t="n">
        <v>0</v>
      </c>
      <c r="P281" t="n">
        <v>0</v>
      </c>
      <c r="Q281" t="n">
        <v>0</v>
      </c>
      <c r="R281" s="2" t="inlineStr"/>
    </row>
    <row r="282" ht="15" customHeight="1">
      <c r="A282" t="inlineStr">
        <is>
          <t>A 20177-2022</t>
        </is>
      </c>
      <c r="B282" s="1" t="n">
        <v>44698</v>
      </c>
      <c r="C282" s="1" t="n">
        <v>45573</v>
      </c>
      <c r="D282" t="inlineStr">
        <is>
          <t>DALARNAS LÄN</t>
        </is>
      </c>
      <c r="E282" t="inlineStr">
        <is>
          <t>HEDEMORA</t>
        </is>
      </c>
      <c r="G282" t="n">
        <v>3.9</v>
      </c>
      <c r="H282" t="n">
        <v>0</v>
      </c>
      <c r="I282" t="n">
        <v>0</v>
      </c>
      <c r="J282" t="n">
        <v>0</v>
      </c>
      <c r="K282" t="n">
        <v>0</v>
      </c>
      <c r="L282" t="n">
        <v>0</v>
      </c>
      <c r="M282" t="n">
        <v>0</v>
      </c>
      <c r="N282" t="n">
        <v>0</v>
      </c>
      <c r="O282" t="n">
        <v>0</v>
      </c>
      <c r="P282" t="n">
        <v>0</v>
      </c>
      <c r="Q282" t="n">
        <v>0</v>
      </c>
      <c r="R282" s="2" t="inlineStr"/>
    </row>
    <row r="283" ht="15" customHeight="1">
      <c r="A283" t="inlineStr">
        <is>
          <t>A 21520-2022</t>
        </is>
      </c>
      <c r="B283" s="1" t="n">
        <v>44706</v>
      </c>
      <c r="C283" s="1" t="n">
        <v>45573</v>
      </c>
      <c r="D283" t="inlineStr">
        <is>
          <t>DALARNAS LÄN</t>
        </is>
      </c>
      <c r="E283" t="inlineStr">
        <is>
          <t>HEDEMORA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22968-2022</t>
        </is>
      </c>
      <c r="B284" s="1" t="n">
        <v>44716</v>
      </c>
      <c r="C284" s="1" t="n">
        <v>45573</v>
      </c>
      <c r="D284" t="inlineStr">
        <is>
          <t>DALARNAS LÄN</t>
        </is>
      </c>
      <c r="E284" t="inlineStr">
        <is>
          <t>HEDEMORA</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22970-2022</t>
        </is>
      </c>
      <c r="B285" s="1" t="n">
        <v>44716</v>
      </c>
      <c r="C285" s="1" t="n">
        <v>45573</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22969-2022</t>
        </is>
      </c>
      <c r="B286" s="1" t="n">
        <v>44716</v>
      </c>
      <c r="C286" s="1" t="n">
        <v>45573</v>
      </c>
      <c r="D286" t="inlineStr">
        <is>
          <t>DALARNAS LÄN</t>
        </is>
      </c>
      <c r="E286" t="inlineStr">
        <is>
          <t>HEDEMORA</t>
        </is>
      </c>
      <c r="F286" t="inlineStr">
        <is>
          <t>Sveaskog</t>
        </is>
      </c>
      <c r="G286" t="n">
        <v>9</v>
      </c>
      <c r="H286" t="n">
        <v>0</v>
      </c>
      <c r="I286" t="n">
        <v>0</v>
      </c>
      <c r="J286" t="n">
        <v>0</v>
      </c>
      <c r="K286" t="n">
        <v>0</v>
      </c>
      <c r="L286" t="n">
        <v>0</v>
      </c>
      <c r="M286" t="n">
        <v>0</v>
      </c>
      <c r="N286" t="n">
        <v>0</v>
      </c>
      <c r="O286" t="n">
        <v>0</v>
      </c>
      <c r="P286" t="n">
        <v>0</v>
      </c>
      <c r="Q286" t="n">
        <v>0</v>
      </c>
      <c r="R286" s="2" t="inlineStr"/>
    </row>
    <row r="287" ht="15" customHeight="1">
      <c r="A287" t="inlineStr">
        <is>
          <t>A 23329-2022</t>
        </is>
      </c>
      <c r="B287" s="1" t="n">
        <v>44720</v>
      </c>
      <c r="C287" s="1" t="n">
        <v>45573</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23843-2022</t>
        </is>
      </c>
      <c r="B288" s="1" t="n">
        <v>44722</v>
      </c>
      <c r="C288" s="1" t="n">
        <v>45573</v>
      </c>
      <c r="D288" t="inlineStr">
        <is>
          <t>DALARNAS LÄN</t>
        </is>
      </c>
      <c r="E288" t="inlineStr">
        <is>
          <t>HEDEMORA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23839-2022</t>
        </is>
      </c>
      <c r="B289" s="1" t="n">
        <v>44722</v>
      </c>
      <c r="C289" s="1" t="n">
        <v>45573</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24427-2022</t>
        </is>
      </c>
      <c r="B290" s="1" t="n">
        <v>44726</v>
      </c>
      <c r="C290" s="1" t="n">
        <v>45573</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24446-2022</t>
        </is>
      </c>
      <c r="B291" s="1" t="n">
        <v>44726</v>
      </c>
      <c r="C291" s="1" t="n">
        <v>45573</v>
      </c>
      <c r="D291" t="inlineStr">
        <is>
          <t>DALARNAS LÄN</t>
        </is>
      </c>
      <c r="E291" t="inlineStr">
        <is>
          <t>HEDEMORA</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24706-2022</t>
        </is>
      </c>
      <c r="B292" s="1" t="n">
        <v>44727</v>
      </c>
      <c r="C292" s="1" t="n">
        <v>45573</v>
      </c>
      <c r="D292" t="inlineStr">
        <is>
          <t>DALARNAS LÄN</t>
        </is>
      </c>
      <c r="E292" t="inlineStr">
        <is>
          <t>HEDEMORA</t>
        </is>
      </c>
      <c r="G292" t="n">
        <v>25.4</v>
      </c>
      <c r="H292" t="n">
        <v>0</v>
      </c>
      <c r="I292" t="n">
        <v>0</v>
      </c>
      <c r="J292" t="n">
        <v>0</v>
      </c>
      <c r="K292" t="n">
        <v>0</v>
      </c>
      <c r="L292" t="n">
        <v>0</v>
      </c>
      <c r="M292" t="n">
        <v>0</v>
      </c>
      <c r="N292" t="n">
        <v>0</v>
      </c>
      <c r="O292" t="n">
        <v>0</v>
      </c>
      <c r="P292" t="n">
        <v>0</v>
      </c>
      <c r="Q292" t="n">
        <v>0</v>
      </c>
      <c r="R292" s="2" t="inlineStr"/>
    </row>
    <row r="293" ht="15" customHeight="1">
      <c r="A293" t="inlineStr">
        <is>
          <t>A 25754-2022</t>
        </is>
      </c>
      <c r="B293" s="1" t="n">
        <v>44732</v>
      </c>
      <c r="C293" s="1" t="n">
        <v>45573</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25567-2022</t>
        </is>
      </c>
      <c r="B294" s="1" t="n">
        <v>44732</v>
      </c>
      <c r="C294" s="1" t="n">
        <v>45573</v>
      </c>
      <c r="D294" t="inlineStr">
        <is>
          <t>DALARNAS LÄN</t>
        </is>
      </c>
      <c r="E294" t="inlineStr">
        <is>
          <t>HEDEMORA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25577-2022</t>
        </is>
      </c>
      <c r="B295" s="1" t="n">
        <v>44732</v>
      </c>
      <c r="C295" s="1" t="n">
        <v>45573</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25692-2022</t>
        </is>
      </c>
      <c r="B296" s="1" t="n">
        <v>44732</v>
      </c>
      <c r="C296" s="1" t="n">
        <v>45573</v>
      </c>
      <c r="D296" t="inlineStr">
        <is>
          <t>DALARNAS LÄN</t>
        </is>
      </c>
      <c r="E296" t="inlineStr">
        <is>
          <t>HEDEMORA</t>
        </is>
      </c>
      <c r="F296" t="inlineStr">
        <is>
          <t>Bergvik skog väst AB</t>
        </is>
      </c>
      <c r="G296" t="n">
        <v>22.3</v>
      </c>
      <c r="H296" t="n">
        <v>0</v>
      </c>
      <c r="I296" t="n">
        <v>0</v>
      </c>
      <c r="J296" t="n">
        <v>0</v>
      </c>
      <c r="K296" t="n">
        <v>0</v>
      </c>
      <c r="L296" t="n">
        <v>0</v>
      </c>
      <c r="M296" t="n">
        <v>0</v>
      </c>
      <c r="N296" t="n">
        <v>0</v>
      </c>
      <c r="O296" t="n">
        <v>0</v>
      </c>
      <c r="P296" t="n">
        <v>0</v>
      </c>
      <c r="Q296" t="n">
        <v>0</v>
      </c>
      <c r="R296" s="2" t="inlineStr"/>
    </row>
    <row r="297" ht="15" customHeight="1">
      <c r="A297" t="inlineStr">
        <is>
          <t>A 25691-2022</t>
        </is>
      </c>
      <c r="B297" s="1" t="n">
        <v>44733</v>
      </c>
      <c r="C297" s="1" t="n">
        <v>45573</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27238-2022</t>
        </is>
      </c>
      <c r="B298" s="1" t="n">
        <v>44741</v>
      </c>
      <c r="C298" s="1" t="n">
        <v>45573</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28173-2022</t>
        </is>
      </c>
      <c r="B299" s="1" t="n">
        <v>44746</v>
      </c>
      <c r="C299" s="1" t="n">
        <v>45573</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28105-2022</t>
        </is>
      </c>
      <c r="B300" s="1" t="n">
        <v>44746</v>
      </c>
      <c r="C300" s="1" t="n">
        <v>45573</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29284-2022</t>
        </is>
      </c>
      <c r="B301" s="1" t="n">
        <v>44750</v>
      </c>
      <c r="C301" s="1" t="n">
        <v>45573</v>
      </c>
      <c r="D301" t="inlineStr">
        <is>
          <t>DALARNAS LÄN</t>
        </is>
      </c>
      <c r="E301" t="inlineStr">
        <is>
          <t>HEDEMORA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29283-2022</t>
        </is>
      </c>
      <c r="B302" s="1" t="n">
        <v>44750</v>
      </c>
      <c r="C302" s="1" t="n">
        <v>45573</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30163-2022</t>
        </is>
      </c>
      <c r="B303" s="1" t="n">
        <v>44757</v>
      </c>
      <c r="C303" s="1" t="n">
        <v>45573</v>
      </c>
      <c r="D303" t="inlineStr">
        <is>
          <t>DALARNAS LÄN</t>
        </is>
      </c>
      <c r="E303" t="inlineStr">
        <is>
          <t>HEDEMORA</t>
        </is>
      </c>
      <c r="F303" t="inlineStr">
        <is>
          <t>Sveaskog</t>
        </is>
      </c>
      <c r="G303" t="n">
        <v>9.4</v>
      </c>
      <c r="H303" t="n">
        <v>0</v>
      </c>
      <c r="I303" t="n">
        <v>0</v>
      </c>
      <c r="J303" t="n">
        <v>0</v>
      </c>
      <c r="K303" t="n">
        <v>0</v>
      </c>
      <c r="L303" t="n">
        <v>0</v>
      </c>
      <c r="M303" t="n">
        <v>0</v>
      </c>
      <c r="N303" t="n">
        <v>0</v>
      </c>
      <c r="O303" t="n">
        <v>0</v>
      </c>
      <c r="P303" t="n">
        <v>0</v>
      </c>
      <c r="Q303" t="n">
        <v>0</v>
      </c>
      <c r="R303" s="2" t="inlineStr"/>
    </row>
    <row r="304" ht="15" customHeight="1">
      <c r="A304" t="inlineStr">
        <is>
          <t>A 30162-2022</t>
        </is>
      </c>
      <c r="B304" s="1" t="n">
        <v>44757</v>
      </c>
      <c r="C304" s="1" t="n">
        <v>45573</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v>
      </c>
      <c r="C305" s="1" t="n">
        <v>45573</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32731-2022</t>
        </is>
      </c>
      <c r="B306" s="1" t="n">
        <v>44783</v>
      </c>
      <c r="C306" s="1" t="n">
        <v>45573</v>
      </c>
      <c r="D306" t="inlineStr">
        <is>
          <t>DALARNAS LÄN</t>
        </is>
      </c>
      <c r="E306" t="inlineStr">
        <is>
          <t>HEDEMORA</t>
        </is>
      </c>
      <c r="F306" t="inlineStr">
        <is>
          <t>Sveaskog</t>
        </is>
      </c>
      <c r="G306" t="n">
        <v>4.9</v>
      </c>
      <c r="H306" t="n">
        <v>0</v>
      </c>
      <c r="I306" t="n">
        <v>0</v>
      </c>
      <c r="J306" t="n">
        <v>0</v>
      </c>
      <c r="K306" t="n">
        <v>0</v>
      </c>
      <c r="L306" t="n">
        <v>0</v>
      </c>
      <c r="M306" t="n">
        <v>0</v>
      </c>
      <c r="N306" t="n">
        <v>0</v>
      </c>
      <c r="O306" t="n">
        <v>0</v>
      </c>
      <c r="P306" t="n">
        <v>0</v>
      </c>
      <c r="Q306" t="n">
        <v>0</v>
      </c>
      <c r="R306" s="2" t="inlineStr"/>
    </row>
    <row r="307" ht="15" customHeight="1">
      <c r="A307" t="inlineStr">
        <is>
          <t>A 32738-2022</t>
        </is>
      </c>
      <c r="B307" s="1" t="n">
        <v>44783</v>
      </c>
      <c r="C307" s="1" t="n">
        <v>45573</v>
      </c>
      <c r="D307" t="inlineStr">
        <is>
          <t>DALARNAS LÄN</t>
        </is>
      </c>
      <c r="E307" t="inlineStr">
        <is>
          <t>HEDEMORA</t>
        </is>
      </c>
      <c r="G307" t="n">
        <v>2.6</v>
      </c>
      <c r="H307" t="n">
        <v>0</v>
      </c>
      <c r="I307" t="n">
        <v>0</v>
      </c>
      <c r="J307" t="n">
        <v>0</v>
      </c>
      <c r="K307" t="n">
        <v>0</v>
      </c>
      <c r="L307" t="n">
        <v>0</v>
      </c>
      <c r="M307" t="n">
        <v>0</v>
      </c>
      <c r="N307" t="n">
        <v>0</v>
      </c>
      <c r="O307" t="n">
        <v>0</v>
      </c>
      <c r="P307" t="n">
        <v>0</v>
      </c>
      <c r="Q307" t="n">
        <v>0</v>
      </c>
      <c r="R307" s="2" t="inlineStr"/>
    </row>
    <row r="308" ht="15" customHeight="1">
      <c r="A308" t="inlineStr">
        <is>
          <t>A 32748-2022</t>
        </is>
      </c>
      <c r="B308" s="1" t="n">
        <v>44783</v>
      </c>
      <c r="C308" s="1" t="n">
        <v>45573</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33071-2022</t>
        </is>
      </c>
      <c r="B309" s="1" t="n">
        <v>44785</v>
      </c>
      <c r="C309" s="1" t="n">
        <v>45573</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34237-2022</t>
        </is>
      </c>
      <c r="B310" s="1" t="n">
        <v>44791</v>
      </c>
      <c r="C310" s="1" t="n">
        <v>45573</v>
      </c>
      <c r="D310" t="inlineStr">
        <is>
          <t>DALARNAS LÄN</t>
        </is>
      </c>
      <c r="E310" t="inlineStr">
        <is>
          <t>HEDEMORA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34409-2022</t>
        </is>
      </c>
      <c r="B311" s="1" t="n">
        <v>44792</v>
      </c>
      <c r="C311" s="1" t="n">
        <v>45573</v>
      </c>
      <c r="D311" t="inlineStr">
        <is>
          <t>DALARNAS LÄN</t>
        </is>
      </c>
      <c r="E311" t="inlineStr">
        <is>
          <t>HEDEMORA</t>
        </is>
      </c>
      <c r="G311" t="n">
        <v>13.7</v>
      </c>
      <c r="H311" t="n">
        <v>0</v>
      </c>
      <c r="I311" t="n">
        <v>0</v>
      </c>
      <c r="J311" t="n">
        <v>0</v>
      </c>
      <c r="K311" t="n">
        <v>0</v>
      </c>
      <c r="L311" t="n">
        <v>0</v>
      </c>
      <c r="M311" t="n">
        <v>0</v>
      </c>
      <c r="N311" t="n">
        <v>0</v>
      </c>
      <c r="O311" t="n">
        <v>0</v>
      </c>
      <c r="P311" t="n">
        <v>0</v>
      </c>
      <c r="Q311" t="n">
        <v>0</v>
      </c>
      <c r="R311" s="2" t="inlineStr"/>
    </row>
    <row r="312" ht="15" customHeight="1">
      <c r="A312" t="inlineStr">
        <is>
          <t>A 35806-2022</t>
        </is>
      </c>
      <c r="B312" s="1" t="n">
        <v>44802</v>
      </c>
      <c r="C312" s="1" t="n">
        <v>45573</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36865-2022</t>
        </is>
      </c>
      <c r="B313" s="1" t="n">
        <v>44805</v>
      </c>
      <c r="C313" s="1" t="n">
        <v>45573</v>
      </c>
      <c r="D313" t="inlineStr">
        <is>
          <t>DALARNAS LÄN</t>
        </is>
      </c>
      <c r="E313" t="inlineStr">
        <is>
          <t>HEDEMORA</t>
        </is>
      </c>
      <c r="G313" t="n">
        <v>2.1</v>
      </c>
      <c r="H313" t="n">
        <v>0</v>
      </c>
      <c r="I313" t="n">
        <v>0</v>
      </c>
      <c r="J313" t="n">
        <v>0</v>
      </c>
      <c r="K313" t="n">
        <v>0</v>
      </c>
      <c r="L313" t="n">
        <v>0</v>
      </c>
      <c r="M313" t="n">
        <v>0</v>
      </c>
      <c r="N313" t="n">
        <v>0</v>
      </c>
      <c r="O313" t="n">
        <v>0</v>
      </c>
      <c r="P313" t="n">
        <v>0</v>
      </c>
      <c r="Q313" t="n">
        <v>0</v>
      </c>
      <c r="R313" s="2" t="inlineStr"/>
    </row>
    <row r="314" ht="15" customHeight="1">
      <c r="A314" t="inlineStr">
        <is>
          <t>A 36900-2022</t>
        </is>
      </c>
      <c r="B314" s="1" t="n">
        <v>44805</v>
      </c>
      <c r="C314" s="1" t="n">
        <v>45573</v>
      </c>
      <c r="D314" t="inlineStr">
        <is>
          <t>DALARNAS LÄN</t>
        </is>
      </c>
      <c r="E314" t="inlineStr">
        <is>
          <t>HEDEMORA</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39046-2022</t>
        </is>
      </c>
      <c r="B315" s="1" t="n">
        <v>44817</v>
      </c>
      <c r="C315" s="1" t="n">
        <v>45573</v>
      </c>
      <c r="D315" t="inlineStr">
        <is>
          <t>DALARNAS LÄN</t>
        </is>
      </c>
      <c r="E315" t="inlineStr">
        <is>
          <t>HEDEMORA</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45573</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39511-2022</t>
        </is>
      </c>
      <c r="B317" s="1" t="n">
        <v>44817</v>
      </c>
      <c r="C317" s="1" t="n">
        <v>45573</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39506-2022</t>
        </is>
      </c>
      <c r="B318" s="1" t="n">
        <v>44817</v>
      </c>
      <c r="C318" s="1" t="n">
        <v>45573</v>
      </c>
      <c r="D318" t="inlineStr">
        <is>
          <t>DALARNAS LÄN</t>
        </is>
      </c>
      <c r="E318" t="inlineStr">
        <is>
          <t>HEDEMORA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39667-2022</t>
        </is>
      </c>
      <c r="B319" s="1" t="n">
        <v>44818</v>
      </c>
      <c r="C319" s="1" t="n">
        <v>45573</v>
      </c>
      <c r="D319" t="inlineStr">
        <is>
          <t>DALARNAS LÄN</t>
        </is>
      </c>
      <c r="E319" t="inlineStr">
        <is>
          <t>HEDEMORA</t>
        </is>
      </c>
      <c r="F319" t="inlineStr">
        <is>
          <t>Sveaskog</t>
        </is>
      </c>
      <c r="G319" t="n">
        <v>20.4</v>
      </c>
      <c r="H319" t="n">
        <v>0</v>
      </c>
      <c r="I319" t="n">
        <v>0</v>
      </c>
      <c r="J319" t="n">
        <v>0</v>
      </c>
      <c r="K319" t="n">
        <v>0</v>
      </c>
      <c r="L319" t="n">
        <v>0</v>
      </c>
      <c r="M319" t="n">
        <v>0</v>
      </c>
      <c r="N319" t="n">
        <v>0</v>
      </c>
      <c r="O319" t="n">
        <v>0</v>
      </c>
      <c r="P319" t="n">
        <v>0</v>
      </c>
      <c r="Q319" t="n">
        <v>0</v>
      </c>
      <c r="R319" s="2" t="inlineStr"/>
    </row>
    <row r="320" ht="15" customHeight="1">
      <c r="A320" t="inlineStr">
        <is>
          <t>A 40030-2022</t>
        </is>
      </c>
      <c r="B320" s="1" t="n">
        <v>44820</v>
      </c>
      <c r="C320" s="1" t="n">
        <v>45573</v>
      </c>
      <c r="D320" t="inlineStr">
        <is>
          <t>DALARNAS LÄN</t>
        </is>
      </c>
      <c r="E320" t="inlineStr">
        <is>
          <t>HEDEMORA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40025-2022</t>
        </is>
      </c>
      <c r="B321" s="1" t="n">
        <v>44820</v>
      </c>
      <c r="C321" s="1" t="n">
        <v>45573</v>
      </c>
      <c r="D321" t="inlineStr">
        <is>
          <t>DALARNAS LÄN</t>
        </is>
      </c>
      <c r="E321" t="inlineStr">
        <is>
          <t>HEDEMORA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41845-2022</t>
        </is>
      </c>
      <c r="B322" s="1" t="n">
        <v>44828</v>
      </c>
      <c r="C322" s="1" t="n">
        <v>45573</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45276-2022</t>
        </is>
      </c>
      <c r="B323" s="1" t="n">
        <v>44844</v>
      </c>
      <c r="C323" s="1" t="n">
        <v>45573</v>
      </c>
      <c r="D323" t="inlineStr">
        <is>
          <t>DALARNAS LÄN</t>
        </is>
      </c>
      <c r="E323" t="inlineStr">
        <is>
          <t>HEDEMORA</t>
        </is>
      </c>
      <c r="F323" t="inlineStr">
        <is>
          <t>Sveaskog</t>
        </is>
      </c>
      <c r="G323" t="n">
        <v>13.7</v>
      </c>
      <c r="H323" t="n">
        <v>0</v>
      </c>
      <c r="I323" t="n">
        <v>0</v>
      </c>
      <c r="J323" t="n">
        <v>0</v>
      </c>
      <c r="K323" t="n">
        <v>0</v>
      </c>
      <c r="L323" t="n">
        <v>0</v>
      </c>
      <c r="M323" t="n">
        <v>0</v>
      </c>
      <c r="N323" t="n">
        <v>0</v>
      </c>
      <c r="O323" t="n">
        <v>0</v>
      </c>
      <c r="P323" t="n">
        <v>0</v>
      </c>
      <c r="Q323" t="n">
        <v>0</v>
      </c>
      <c r="R323" s="2" t="inlineStr"/>
    </row>
    <row r="324" ht="15" customHeight="1">
      <c r="A324" t="inlineStr">
        <is>
          <t>A 45741-2022</t>
        </is>
      </c>
      <c r="B324" s="1" t="n">
        <v>44846</v>
      </c>
      <c r="C324" s="1" t="n">
        <v>45573</v>
      </c>
      <c r="D324" t="inlineStr">
        <is>
          <t>DALARNAS LÄN</t>
        </is>
      </c>
      <c r="E324" t="inlineStr">
        <is>
          <t>HEDEMORA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48639-2022</t>
        </is>
      </c>
      <c r="B325" s="1" t="n">
        <v>44859</v>
      </c>
      <c r="C325" s="1" t="n">
        <v>45573</v>
      </c>
      <c r="D325" t="inlineStr">
        <is>
          <t>DALARNAS LÄN</t>
        </is>
      </c>
      <c r="E325" t="inlineStr">
        <is>
          <t>HEDEMORA</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49160-2022</t>
        </is>
      </c>
      <c r="B326" s="1" t="n">
        <v>44860</v>
      </c>
      <c r="C326" s="1" t="n">
        <v>45573</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49768-2022</t>
        </is>
      </c>
      <c r="B327" s="1" t="n">
        <v>44862</v>
      </c>
      <c r="C327" s="1" t="n">
        <v>45573</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49890-2022</t>
        </is>
      </c>
      <c r="B328" s="1" t="n">
        <v>44864</v>
      </c>
      <c r="C328" s="1" t="n">
        <v>45573</v>
      </c>
      <c r="D328" t="inlineStr">
        <is>
          <t>DALARNAS LÄN</t>
        </is>
      </c>
      <c r="E328" t="inlineStr">
        <is>
          <t>HEDEMORA</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51181-2022</t>
        </is>
      </c>
      <c r="B329" s="1" t="n">
        <v>44868</v>
      </c>
      <c r="C329" s="1" t="n">
        <v>45573</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51167-2022</t>
        </is>
      </c>
      <c r="B330" s="1" t="n">
        <v>44868</v>
      </c>
      <c r="C330" s="1" t="n">
        <v>45573</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51520-2022</t>
        </is>
      </c>
      <c r="B331" s="1" t="n">
        <v>44869</v>
      </c>
      <c r="C331" s="1" t="n">
        <v>45573</v>
      </c>
      <c r="D331" t="inlineStr">
        <is>
          <t>DALARNAS LÄN</t>
        </is>
      </c>
      <c r="E331" t="inlineStr">
        <is>
          <t>HEDEMORA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52822-2022</t>
        </is>
      </c>
      <c r="B332" s="1" t="n">
        <v>44875</v>
      </c>
      <c r="C332" s="1" t="n">
        <v>45573</v>
      </c>
      <c r="D332" t="inlineStr">
        <is>
          <t>DALARNAS LÄN</t>
        </is>
      </c>
      <c r="E332" t="inlineStr">
        <is>
          <t>HEDEMORA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53875-2022</t>
        </is>
      </c>
      <c r="B333" s="1" t="n">
        <v>44880</v>
      </c>
      <c r="C333" s="1" t="n">
        <v>45573</v>
      </c>
      <c r="D333" t="inlineStr">
        <is>
          <t>DALARNAS LÄN</t>
        </is>
      </c>
      <c r="E333" t="inlineStr">
        <is>
          <t>HEDEMORA</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53894-2022</t>
        </is>
      </c>
      <c r="B334" s="1" t="n">
        <v>44880</v>
      </c>
      <c r="C334" s="1" t="n">
        <v>45573</v>
      </c>
      <c r="D334" t="inlineStr">
        <is>
          <t>DALARNAS LÄN</t>
        </is>
      </c>
      <c r="E334" t="inlineStr">
        <is>
          <t>HEDEMORA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53896-2022</t>
        </is>
      </c>
      <c r="B335" s="1" t="n">
        <v>44880</v>
      </c>
      <c r="C335" s="1" t="n">
        <v>45573</v>
      </c>
      <c r="D335" t="inlineStr">
        <is>
          <t>DALARNAS LÄN</t>
        </is>
      </c>
      <c r="E335" t="inlineStr">
        <is>
          <t>HEDEMORA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53895-2022</t>
        </is>
      </c>
      <c r="B336" s="1" t="n">
        <v>44880</v>
      </c>
      <c r="C336" s="1" t="n">
        <v>45573</v>
      </c>
      <c r="D336" t="inlineStr">
        <is>
          <t>DALARNAS LÄN</t>
        </is>
      </c>
      <c r="E336" t="inlineStr">
        <is>
          <t>HEDEMORA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53915-2022</t>
        </is>
      </c>
      <c r="B337" s="1" t="n">
        <v>44880</v>
      </c>
      <c r="C337" s="1" t="n">
        <v>45573</v>
      </c>
      <c r="D337" t="inlineStr">
        <is>
          <t>DALARNAS LÄN</t>
        </is>
      </c>
      <c r="E337" t="inlineStr">
        <is>
          <t>HEDEMORA</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54198-2022</t>
        </is>
      </c>
      <c r="B338" s="1" t="n">
        <v>44881</v>
      </c>
      <c r="C338" s="1" t="n">
        <v>45573</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54197-2022</t>
        </is>
      </c>
      <c r="B339" s="1" t="n">
        <v>44881</v>
      </c>
      <c r="C339" s="1" t="n">
        <v>45573</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54196-2022</t>
        </is>
      </c>
      <c r="B340" s="1" t="n">
        <v>44881</v>
      </c>
      <c r="C340" s="1" t="n">
        <v>45573</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54849-2022</t>
        </is>
      </c>
      <c r="B341" s="1" t="n">
        <v>44883</v>
      </c>
      <c r="C341" s="1" t="n">
        <v>45573</v>
      </c>
      <c r="D341" t="inlineStr">
        <is>
          <t>DALARNAS LÄN</t>
        </is>
      </c>
      <c r="E341" t="inlineStr">
        <is>
          <t>HEDEMORA</t>
        </is>
      </c>
      <c r="F341" t="inlineStr">
        <is>
          <t>Sveaskog</t>
        </is>
      </c>
      <c r="G341" t="n">
        <v>8.5</v>
      </c>
      <c r="H341" t="n">
        <v>0</v>
      </c>
      <c r="I341" t="n">
        <v>0</v>
      </c>
      <c r="J341" t="n">
        <v>0</v>
      </c>
      <c r="K341" t="n">
        <v>0</v>
      </c>
      <c r="L341" t="n">
        <v>0</v>
      </c>
      <c r="M341" t="n">
        <v>0</v>
      </c>
      <c r="N341" t="n">
        <v>0</v>
      </c>
      <c r="O341" t="n">
        <v>0</v>
      </c>
      <c r="P341" t="n">
        <v>0</v>
      </c>
      <c r="Q341" t="n">
        <v>0</v>
      </c>
      <c r="R341" s="2" t="inlineStr"/>
    </row>
    <row r="342" ht="15" customHeight="1">
      <c r="A342" t="inlineStr">
        <is>
          <t>A 55143-2022</t>
        </is>
      </c>
      <c r="B342" s="1" t="n">
        <v>44886</v>
      </c>
      <c r="C342" s="1" t="n">
        <v>45573</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55145-2022</t>
        </is>
      </c>
      <c r="B343" s="1" t="n">
        <v>44886</v>
      </c>
      <c r="C343" s="1" t="n">
        <v>45573</v>
      </c>
      <c r="D343" t="inlineStr">
        <is>
          <t>DALARNAS LÄN</t>
        </is>
      </c>
      <c r="E343" t="inlineStr">
        <is>
          <t>HEDEMORA</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55142-2022</t>
        </is>
      </c>
      <c r="B344" s="1" t="n">
        <v>44886</v>
      </c>
      <c r="C344" s="1" t="n">
        <v>45573</v>
      </c>
      <c r="D344" t="inlineStr">
        <is>
          <t>DALARNAS LÄN</t>
        </is>
      </c>
      <c r="E344" t="inlineStr">
        <is>
          <t>HEDEMORA</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57143-2022</t>
        </is>
      </c>
      <c r="B345" s="1" t="n">
        <v>44895</v>
      </c>
      <c r="C345" s="1" t="n">
        <v>45573</v>
      </c>
      <c r="D345" t="inlineStr">
        <is>
          <t>DALARNAS LÄN</t>
        </is>
      </c>
      <c r="E345" t="inlineStr">
        <is>
          <t>HEDEMORA</t>
        </is>
      </c>
      <c r="F345" t="inlineStr">
        <is>
          <t>Bergvik skog väst AB</t>
        </is>
      </c>
      <c r="G345" t="n">
        <v>9.9</v>
      </c>
      <c r="H345" t="n">
        <v>0</v>
      </c>
      <c r="I345" t="n">
        <v>0</v>
      </c>
      <c r="J345" t="n">
        <v>0</v>
      </c>
      <c r="K345" t="n">
        <v>0</v>
      </c>
      <c r="L345" t="n">
        <v>0</v>
      </c>
      <c r="M345" t="n">
        <v>0</v>
      </c>
      <c r="N345" t="n">
        <v>0</v>
      </c>
      <c r="O345" t="n">
        <v>0</v>
      </c>
      <c r="P345" t="n">
        <v>0</v>
      </c>
      <c r="Q345" t="n">
        <v>0</v>
      </c>
      <c r="R345" s="2" t="inlineStr"/>
    </row>
    <row r="346" ht="15" customHeight="1">
      <c r="A346" t="inlineStr">
        <is>
          <t>A 58005-2022</t>
        </is>
      </c>
      <c r="B346" s="1" t="n">
        <v>44900</v>
      </c>
      <c r="C346" s="1" t="n">
        <v>45573</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58018-2022</t>
        </is>
      </c>
      <c r="B347" s="1" t="n">
        <v>44900</v>
      </c>
      <c r="C347" s="1" t="n">
        <v>45573</v>
      </c>
      <c r="D347" t="inlineStr">
        <is>
          <t>DALARNAS LÄN</t>
        </is>
      </c>
      <c r="E347" t="inlineStr">
        <is>
          <t>HEDEMORA</t>
        </is>
      </c>
      <c r="G347" t="n">
        <v>3.6</v>
      </c>
      <c r="H347" t="n">
        <v>0</v>
      </c>
      <c r="I347" t="n">
        <v>0</v>
      </c>
      <c r="J347" t="n">
        <v>0</v>
      </c>
      <c r="K347" t="n">
        <v>0</v>
      </c>
      <c r="L347" t="n">
        <v>0</v>
      </c>
      <c r="M347" t="n">
        <v>0</v>
      </c>
      <c r="N347" t="n">
        <v>0</v>
      </c>
      <c r="O347" t="n">
        <v>0</v>
      </c>
      <c r="P347" t="n">
        <v>0</v>
      </c>
      <c r="Q347" t="n">
        <v>0</v>
      </c>
      <c r="R347" s="2" t="inlineStr"/>
    </row>
    <row r="348" ht="15" customHeight="1">
      <c r="A348" t="inlineStr">
        <is>
          <t>A 59088-2022</t>
        </is>
      </c>
      <c r="B348" s="1" t="n">
        <v>44904</v>
      </c>
      <c r="C348" s="1" t="n">
        <v>45573</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59280-2022</t>
        </is>
      </c>
      <c r="B349" s="1" t="n">
        <v>44904</v>
      </c>
      <c r="C349" s="1" t="n">
        <v>45573</v>
      </c>
      <c r="D349" t="inlineStr">
        <is>
          <t>DALARNAS LÄN</t>
        </is>
      </c>
      <c r="E349" t="inlineStr">
        <is>
          <t>HEDEMORA</t>
        </is>
      </c>
      <c r="G349" t="n">
        <v>1.3</v>
      </c>
      <c r="H349" t="n">
        <v>0</v>
      </c>
      <c r="I349" t="n">
        <v>0</v>
      </c>
      <c r="J349" t="n">
        <v>0</v>
      </c>
      <c r="K349" t="n">
        <v>0</v>
      </c>
      <c r="L349" t="n">
        <v>0</v>
      </c>
      <c r="M349" t="n">
        <v>0</v>
      </c>
      <c r="N349" t="n">
        <v>0</v>
      </c>
      <c r="O349" t="n">
        <v>0</v>
      </c>
      <c r="P349" t="n">
        <v>0</v>
      </c>
      <c r="Q349" t="n">
        <v>0</v>
      </c>
      <c r="R349" s="2" t="inlineStr"/>
    </row>
    <row r="350" ht="15" customHeight="1">
      <c r="A350" t="inlineStr">
        <is>
          <t>A 60077-2022</t>
        </is>
      </c>
      <c r="B350" s="1" t="n">
        <v>44909</v>
      </c>
      <c r="C350" s="1" t="n">
        <v>45573</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60078-2022</t>
        </is>
      </c>
      <c r="B351" s="1" t="n">
        <v>44909</v>
      </c>
      <c r="C351" s="1" t="n">
        <v>45573</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v>
      </c>
      <c r="C352" s="1" t="n">
        <v>45573</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60774-2022</t>
        </is>
      </c>
      <c r="B353" s="1" t="n">
        <v>44914</v>
      </c>
      <c r="C353" s="1" t="n">
        <v>45573</v>
      </c>
      <c r="D353" t="inlineStr">
        <is>
          <t>DALARNAS LÄN</t>
        </is>
      </c>
      <c r="E353" t="inlineStr">
        <is>
          <t>HEDEMORA</t>
        </is>
      </c>
      <c r="G353" t="n">
        <v>11.5</v>
      </c>
      <c r="H353" t="n">
        <v>0</v>
      </c>
      <c r="I353" t="n">
        <v>0</v>
      </c>
      <c r="J353" t="n">
        <v>0</v>
      </c>
      <c r="K353" t="n">
        <v>0</v>
      </c>
      <c r="L353" t="n">
        <v>0</v>
      </c>
      <c r="M353" t="n">
        <v>0</v>
      </c>
      <c r="N353" t="n">
        <v>0</v>
      </c>
      <c r="O353" t="n">
        <v>0</v>
      </c>
      <c r="P353" t="n">
        <v>0</v>
      </c>
      <c r="Q353" t="n">
        <v>0</v>
      </c>
      <c r="R353" s="2" t="inlineStr"/>
    </row>
    <row r="354" ht="15" customHeight="1">
      <c r="A354" t="inlineStr">
        <is>
          <t>A 61849-2022</t>
        </is>
      </c>
      <c r="B354" s="1" t="n">
        <v>44917</v>
      </c>
      <c r="C354" s="1" t="n">
        <v>45573</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61883-2022</t>
        </is>
      </c>
      <c r="B355" s="1" t="n">
        <v>44917</v>
      </c>
      <c r="C355" s="1" t="n">
        <v>45573</v>
      </c>
      <c r="D355" t="inlineStr">
        <is>
          <t>DALARNAS LÄN</t>
        </is>
      </c>
      <c r="E355" t="inlineStr">
        <is>
          <t>HEDEMORA</t>
        </is>
      </c>
      <c r="G355" t="n">
        <v>2.3</v>
      </c>
      <c r="H355" t="n">
        <v>0</v>
      </c>
      <c r="I355" t="n">
        <v>0</v>
      </c>
      <c r="J355" t="n">
        <v>0</v>
      </c>
      <c r="K355" t="n">
        <v>0</v>
      </c>
      <c r="L355" t="n">
        <v>0</v>
      </c>
      <c r="M355" t="n">
        <v>0</v>
      </c>
      <c r="N355" t="n">
        <v>0</v>
      </c>
      <c r="O355" t="n">
        <v>0</v>
      </c>
      <c r="P355" t="n">
        <v>0</v>
      </c>
      <c r="Q355" t="n">
        <v>0</v>
      </c>
      <c r="R355" s="2" t="inlineStr"/>
    </row>
    <row r="356" ht="15" customHeight="1">
      <c r="A356" t="inlineStr">
        <is>
          <t>A 61886-2022</t>
        </is>
      </c>
      <c r="B356" s="1" t="n">
        <v>44917</v>
      </c>
      <c r="C356" s="1" t="n">
        <v>45573</v>
      </c>
      <c r="D356" t="inlineStr">
        <is>
          <t>DALARNAS LÄN</t>
        </is>
      </c>
      <c r="E356" t="inlineStr">
        <is>
          <t>HEDEMORA</t>
        </is>
      </c>
      <c r="G356" t="n">
        <v>1.9</v>
      </c>
      <c r="H356" t="n">
        <v>0</v>
      </c>
      <c r="I356" t="n">
        <v>0</v>
      </c>
      <c r="J356" t="n">
        <v>0</v>
      </c>
      <c r="K356" t="n">
        <v>0</v>
      </c>
      <c r="L356" t="n">
        <v>0</v>
      </c>
      <c r="M356" t="n">
        <v>0</v>
      </c>
      <c r="N356" t="n">
        <v>0</v>
      </c>
      <c r="O356" t="n">
        <v>0</v>
      </c>
      <c r="P356" t="n">
        <v>0</v>
      </c>
      <c r="Q356" t="n">
        <v>0</v>
      </c>
      <c r="R356" s="2" t="inlineStr"/>
    </row>
    <row r="357" ht="15" customHeight="1">
      <c r="A357" t="inlineStr">
        <is>
          <t>A 62051-2022</t>
        </is>
      </c>
      <c r="B357" s="1" t="n">
        <v>44918</v>
      </c>
      <c r="C357" s="1" t="n">
        <v>45573</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ht="15" customHeight="1">
      <c r="A358" t="inlineStr">
        <is>
          <t>A 62046-2022</t>
        </is>
      </c>
      <c r="B358" s="1" t="n">
        <v>44918</v>
      </c>
      <c r="C358" s="1" t="n">
        <v>45573</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ht="15" customHeight="1">
      <c r="A359" t="inlineStr">
        <is>
          <t>A 566-2023</t>
        </is>
      </c>
      <c r="B359" s="1" t="n">
        <v>44925</v>
      </c>
      <c r="C359" s="1" t="n">
        <v>45573</v>
      </c>
      <c r="D359" t="inlineStr">
        <is>
          <t>DALARNAS LÄN</t>
        </is>
      </c>
      <c r="E359" t="inlineStr">
        <is>
          <t>HEDEMORA</t>
        </is>
      </c>
      <c r="G359" t="n">
        <v>13.7</v>
      </c>
      <c r="H359" t="n">
        <v>0</v>
      </c>
      <c r="I359" t="n">
        <v>0</v>
      </c>
      <c r="J359" t="n">
        <v>0</v>
      </c>
      <c r="K359" t="n">
        <v>0</v>
      </c>
      <c r="L359" t="n">
        <v>0</v>
      </c>
      <c r="M359" t="n">
        <v>0</v>
      </c>
      <c r="N359" t="n">
        <v>0</v>
      </c>
      <c r="O359" t="n">
        <v>0</v>
      </c>
      <c r="P359" t="n">
        <v>0</v>
      </c>
      <c r="Q359" t="n">
        <v>0</v>
      </c>
      <c r="R359" s="2" t="inlineStr"/>
    </row>
    <row r="360" ht="15" customHeight="1">
      <c r="A360" t="inlineStr">
        <is>
          <t>A 1140-2023</t>
        </is>
      </c>
      <c r="B360" s="1" t="n">
        <v>44935</v>
      </c>
      <c r="C360" s="1" t="n">
        <v>45573</v>
      </c>
      <c r="D360" t="inlineStr">
        <is>
          <t>DALARNAS LÄN</t>
        </is>
      </c>
      <c r="E360" t="inlineStr">
        <is>
          <t>HEDEMORA</t>
        </is>
      </c>
      <c r="G360" t="n">
        <v>3.5</v>
      </c>
      <c r="H360" t="n">
        <v>0</v>
      </c>
      <c r="I360" t="n">
        <v>0</v>
      </c>
      <c r="J360" t="n">
        <v>0</v>
      </c>
      <c r="K360" t="n">
        <v>0</v>
      </c>
      <c r="L360" t="n">
        <v>0</v>
      </c>
      <c r="M360" t="n">
        <v>0</v>
      </c>
      <c r="N360" t="n">
        <v>0</v>
      </c>
      <c r="O360" t="n">
        <v>0</v>
      </c>
      <c r="P360" t="n">
        <v>0</v>
      </c>
      <c r="Q360" t="n">
        <v>0</v>
      </c>
      <c r="R360" s="2" t="inlineStr"/>
    </row>
    <row r="361" ht="15" customHeight="1">
      <c r="A361" t="inlineStr">
        <is>
          <t>A 2996-2023</t>
        </is>
      </c>
      <c r="B361" s="1" t="n">
        <v>44945</v>
      </c>
      <c r="C361" s="1" t="n">
        <v>45573</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5010-2023</t>
        </is>
      </c>
      <c r="B362" s="1" t="n">
        <v>44956</v>
      </c>
      <c r="C362" s="1" t="n">
        <v>45573</v>
      </c>
      <c r="D362" t="inlineStr">
        <is>
          <t>DALARNAS LÄN</t>
        </is>
      </c>
      <c r="E362" t="inlineStr">
        <is>
          <t>HEDEMORA</t>
        </is>
      </c>
      <c r="F362" t="inlineStr">
        <is>
          <t>Bergvik skog väst AB</t>
        </is>
      </c>
      <c r="G362" t="n">
        <v>5</v>
      </c>
      <c r="H362" t="n">
        <v>0</v>
      </c>
      <c r="I362" t="n">
        <v>0</v>
      </c>
      <c r="J362" t="n">
        <v>0</v>
      </c>
      <c r="K362" t="n">
        <v>0</v>
      </c>
      <c r="L362" t="n">
        <v>0</v>
      </c>
      <c r="M362" t="n">
        <v>0</v>
      </c>
      <c r="N362" t="n">
        <v>0</v>
      </c>
      <c r="O362" t="n">
        <v>0</v>
      </c>
      <c r="P362" t="n">
        <v>0</v>
      </c>
      <c r="Q362" t="n">
        <v>0</v>
      </c>
      <c r="R362" s="2" t="inlineStr"/>
    </row>
    <row r="363" ht="15" customHeight="1">
      <c r="A363" t="inlineStr">
        <is>
          <t>A 6556-2023</t>
        </is>
      </c>
      <c r="B363" s="1" t="n">
        <v>44961</v>
      </c>
      <c r="C363" s="1" t="n">
        <v>45573</v>
      </c>
      <c r="D363" t="inlineStr">
        <is>
          <t>DALARNAS LÄN</t>
        </is>
      </c>
      <c r="E363" t="inlineStr">
        <is>
          <t>HEDEMORA</t>
        </is>
      </c>
      <c r="G363" t="n">
        <v>3.7</v>
      </c>
      <c r="H363" t="n">
        <v>0</v>
      </c>
      <c r="I363" t="n">
        <v>0</v>
      </c>
      <c r="J363" t="n">
        <v>0</v>
      </c>
      <c r="K363" t="n">
        <v>0</v>
      </c>
      <c r="L363" t="n">
        <v>0</v>
      </c>
      <c r="M363" t="n">
        <v>0</v>
      </c>
      <c r="N363" t="n">
        <v>0</v>
      </c>
      <c r="O363" t="n">
        <v>0</v>
      </c>
      <c r="P363" t="n">
        <v>0</v>
      </c>
      <c r="Q363" t="n">
        <v>0</v>
      </c>
      <c r="R363" s="2" t="inlineStr"/>
    </row>
    <row r="364" ht="15" customHeight="1">
      <c r="A364" t="inlineStr">
        <is>
          <t>A 6806-2023</t>
        </is>
      </c>
      <c r="B364" s="1" t="n">
        <v>44967</v>
      </c>
      <c r="C364" s="1" t="n">
        <v>45573</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8715-2023</t>
        </is>
      </c>
      <c r="B365" s="1" t="n">
        <v>44978</v>
      </c>
      <c r="C365" s="1" t="n">
        <v>45573</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9635-2023</t>
        </is>
      </c>
      <c r="B366" s="1" t="n">
        <v>44984</v>
      </c>
      <c r="C366" s="1" t="n">
        <v>45573</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9920-2023</t>
        </is>
      </c>
      <c r="B367" s="1" t="n">
        <v>44985</v>
      </c>
      <c r="C367" s="1" t="n">
        <v>45573</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9918-2023</t>
        </is>
      </c>
      <c r="B368" s="1" t="n">
        <v>44985</v>
      </c>
      <c r="C368" s="1" t="n">
        <v>45573</v>
      </c>
      <c r="D368" t="inlineStr">
        <is>
          <t>DALARNAS LÄN</t>
        </is>
      </c>
      <c r="E368" t="inlineStr">
        <is>
          <t>HEDEMORA</t>
        </is>
      </c>
      <c r="G368" t="n">
        <v>1.7</v>
      </c>
      <c r="H368" t="n">
        <v>0</v>
      </c>
      <c r="I368" t="n">
        <v>0</v>
      </c>
      <c r="J368" t="n">
        <v>0</v>
      </c>
      <c r="K368" t="n">
        <v>0</v>
      </c>
      <c r="L368" t="n">
        <v>0</v>
      </c>
      <c r="M368" t="n">
        <v>0</v>
      </c>
      <c r="N368" t="n">
        <v>0</v>
      </c>
      <c r="O368" t="n">
        <v>0</v>
      </c>
      <c r="P368" t="n">
        <v>0</v>
      </c>
      <c r="Q368" t="n">
        <v>0</v>
      </c>
      <c r="R368" s="2" t="inlineStr"/>
    </row>
    <row r="369" ht="15" customHeight="1">
      <c r="A369" t="inlineStr">
        <is>
          <t>A 9922-2023</t>
        </is>
      </c>
      <c r="B369" s="1" t="n">
        <v>44985</v>
      </c>
      <c r="C369" s="1" t="n">
        <v>45573</v>
      </c>
      <c r="D369" t="inlineStr">
        <is>
          <t>DALARNAS LÄN</t>
        </is>
      </c>
      <c r="E369" t="inlineStr">
        <is>
          <t>HEDEMORA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9972-2023</t>
        </is>
      </c>
      <c r="B370" s="1" t="n">
        <v>44985</v>
      </c>
      <c r="C370" s="1" t="n">
        <v>45573</v>
      </c>
      <c r="D370" t="inlineStr">
        <is>
          <t>DALARNAS LÄN</t>
        </is>
      </c>
      <c r="E370" t="inlineStr">
        <is>
          <t>HEDEMORA</t>
        </is>
      </c>
      <c r="G370" t="n">
        <v>4.1</v>
      </c>
      <c r="H370" t="n">
        <v>0</v>
      </c>
      <c r="I370" t="n">
        <v>0</v>
      </c>
      <c r="J370" t="n">
        <v>0</v>
      </c>
      <c r="K370" t="n">
        <v>0</v>
      </c>
      <c r="L370" t="n">
        <v>0</v>
      </c>
      <c r="M370" t="n">
        <v>0</v>
      </c>
      <c r="N370" t="n">
        <v>0</v>
      </c>
      <c r="O370" t="n">
        <v>0</v>
      </c>
      <c r="P370" t="n">
        <v>0</v>
      </c>
      <c r="Q370" t="n">
        <v>0</v>
      </c>
      <c r="R370" s="2" t="inlineStr"/>
    </row>
    <row r="371" ht="15" customHeight="1">
      <c r="A371" t="inlineStr">
        <is>
          <t>A 11920-2023</t>
        </is>
      </c>
      <c r="B371" s="1" t="n">
        <v>44995</v>
      </c>
      <c r="C371" s="1" t="n">
        <v>45573</v>
      </c>
      <c r="D371" t="inlineStr">
        <is>
          <t>DALARNAS LÄN</t>
        </is>
      </c>
      <c r="E371" t="inlineStr">
        <is>
          <t>HEDEMORA</t>
        </is>
      </c>
      <c r="G371" t="n">
        <v>10.6</v>
      </c>
      <c r="H371" t="n">
        <v>0</v>
      </c>
      <c r="I371" t="n">
        <v>0</v>
      </c>
      <c r="J371" t="n">
        <v>0</v>
      </c>
      <c r="K371" t="n">
        <v>0</v>
      </c>
      <c r="L371" t="n">
        <v>0</v>
      </c>
      <c r="M371" t="n">
        <v>0</v>
      </c>
      <c r="N371" t="n">
        <v>0</v>
      </c>
      <c r="O371" t="n">
        <v>0</v>
      </c>
      <c r="P371" t="n">
        <v>0</v>
      </c>
      <c r="Q371" t="n">
        <v>0</v>
      </c>
      <c r="R371" s="2" t="inlineStr"/>
    </row>
    <row r="372" ht="15" customHeight="1">
      <c r="A372" t="inlineStr">
        <is>
          <t>A 12259-2023</t>
        </is>
      </c>
      <c r="B372" s="1" t="n">
        <v>44998</v>
      </c>
      <c r="C372" s="1" t="n">
        <v>45573</v>
      </c>
      <c r="D372" t="inlineStr">
        <is>
          <t>DALARNAS LÄN</t>
        </is>
      </c>
      <c r="E372" t="inlineStr">
        <is>
          <t>HEDEMORA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13457-2023</t>
        </is>
      </c>
      <c r="B373" s="1" t="n">
        <v>45005</v>
      </c>
      <c r="C373" s="1" t="n">
        <v>45573</v>
      </c>
      <c r="D373" t="inlineStr">
        <is>
          <t>DALARNAS LÄN</t>
        </is>
      </c>
      <c r="E373" t="inlineStr">
        <is>
          <t>HEDEMORA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13596-2023</t>
        </is>
      </c>
      <c r="B374" s="1" t="n">
        <v>45005</v>
      </c>
      <c r="C374" s="1" t="n">
        <v>45573</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14787-2023</t>
        </is>
      </c>
      <c r="B375" s="1" t="n">
        <v>45014</v>
      </c>
      <c r="C375" s="1" t="n">
        <v>45573</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14954-2023</t>
        </is>
      </c>
      <c r="B376" s="1" t="n">
        <v>45015</v>
      </c>
      <c r="C376" s="1" t="n">
        <v>45573</v>
      </c>
      <c r="D376" t="inlineStr">
        <is>
          <t>DALARNAS LÄN</t>
        </is>
      </c>
      <c r="E376" t="inlineStr">
        <is>
          <t>HEDEMORA</t>
        </is>
      </c>
      <c r="G376" t="n">
        <v>5.3</v>
      </c>
      <c r="H376" t="n">
        <v>0</v>
      </c>
      <c r="I376" t="n">
        <v>0</v>
      </c>
      <c r="J376" t="n">
        <v>0</v>
      </c>
      <c r="K376" t="n">
        <v>0</v>
      </c>
      <c r="L376" t="n">
        <v>0</v>
      </c>
      <c r="M376" t="n">
        <v>0</v>
      </c>
      <c r="N376" t="n">
        <v>0</v>
      </c>
      <c r="O376" t="n">
        <v>0</v>
      </c>
      <c r="P376" t="n">
        <v>0</v>
      </c>
      <c r="Q376" t="n">
        <v>0</v>
      </c>
      <c r="R376" s="2" t="inlineStr"/>
    </row>
    <row r="377" ht="15" customHeight="1">
      <c r="A377" t="inlineStr">
        <is>
          <t>A 15858-2023</t>
        </is>
      </c>
      <c r="B377" s="1" t="n">
        <v>45022</v>
      </c>
      <c r="C377" s="1" t="n">
        <v>45573</v>
      </c>
      <c r="D377" t="inlineStr">
        <is>
          <t>DALARNAS LÄN</t>
        </is>
      </c>
      <c r="E377" t="inlineStr">
        <is>
          <t>HEDEMORA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15863-2023</t>
        </is>
      </c>
      <c r="B378" s="1" t="n">
        <v>45022</v>
      </c>
      <c r="C378" s="1" t="n">
        <v>45573</v>
      </c>
      <c r="D378" t="inlineStr">
        <is>
          <t>DALARNAS LÄN</t>
        </is>
      </c>
      <c r="E378" t="inlineStr">
        <is>
          <t>HEDEMORA</t>
        </is>
      </c>
      <c r="F378" t="inlineStr">
        <is>
          <t>Bergvik skog väst AB</t>
        </is>
      </c>
      <c r="G378" t="n">
        <v>4.7</v>
      </c>
      <c r="H378" t="n">
        <v>0</v>
      </c>
      <c r="I378" t="n">
        <v>0</v>
      </c>
      <c r="J378" t="n">
        <v>0</v>
      </c>
      <c r="K378" t="n">
        <v>0</v>
      </c>
      <c r="L378" t="n">
        <v>0</v>
      </c>
      <c r="M378" t="n">
        <v>0</v>
      </c>
      <c r="N378" t="n">
        <v>0</v>
      </c>
      <c r="O378" t="n">
        <v>0</v>
      </c>
      <c r="P378" t="n">
        <v>0</v>
      </c>
      <c r="Q378" t="n">
        <v>0</v>
      </c>
      <c r="R378" s="2" t="inlineStr"/>
    </row>
    <row r="379" ht="15" customHeight="1">
      <c r="A379" t="inlineStr">
        <is>
          <t>A 16046-2023</t>
        </is>
      </c>
      <c r="B379" s="1" t="n">
        <v>45027</v>
      </c>
      <c r="C379" s="1" t="n">
        <v>45573</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16589-2023</t>
        </is>
      </c>
      <c r="B380" s="1" t="n">
        <v>45030</v>
      </c>
      <c r="C380" s="1" t="n">
        <v>45573</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16821-2023</t>
        </is>
      </c>
      <c r="B381" s="1" t="n">
        <v>45033</v>
      </c>
      <c r="C381" s="1" t="n">
        <v>45573</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17247-2023</t>
        </is>
      </c>
      <c r="B382" s="1" t="n">
        <v>45035</v>
      </c>
      <c r="C382" s="1" t="n">
        <v>45573</v>
      </c>
      <c r="D382" t="inlineStr">
        <is>
          <t>DALARNAS LÄN</t>
        </is>
      </c>
      <c r="E382" t="inlineStr">
        <is>
          <t>HEDEMORA</t>
        </is>
      </c>
      <c r="G382" t="n">
        <v>2.2</v>
      </c>
      <c r="H382" t="n">
        <v>0</v>
      </c>
      <c r="I382" t="n">
        <v>0</v>
      </c>
      <c r="J382" t="n">
        <v>0</v>
      </c>
      <c r="K382" t="n">
        <v>0</v>
      </c>
      <c r="L382" t="n">
        <v>0</v>
      </c>
      <c r="M382" t="n">
        <v>0</v>
      </c>
      <c r="N382" t="n">
        <v>0</v>
      </c>
      <c r="O382" t="n">
        <v>0</v>
      </c>
      <c r="P382" t="n">
        <v>0</v>
      </c>
      <c r="Q382" t="n">
        <v>0</v>
      </c>
      <c r="R382" s="2" t="inlineStr"/>
    </row>
    <row r="383" ht="15" customHeight="1">
      <c r="A383" t="inlineStr">
        <is>
          <t>A 18470-2023</t>
        </is>
      </c>
      <c r="B383" s="1" t="n">
        <v>45042</v>
      </c>
      <c r="C383" s="1" t="n">
        <v>45573</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20153-2023</t>
        </is>
      </c>
      <c r="B384" s="1" t="n">
        <v>45055</v>
      </c>
      <c r="C384" s="1" t="n">
        <v>45573</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20224-2023</t>
        </is>
      </c>
      <c r="B385" s="1" t="n">
        <v>45055</v>
      </c>
      <c r="C385" s="1" t="n">
        <v>45573</v>
      </c>
      <c r="D385" t="inlineStr">
        <is>
          <t>DALARNAS LÄN</t>
        </is>
      </c>
      <c r="E385" t="inlineStr">
        <is>
          <t>HEDEMORA</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20226-2023</t>
        </is>
      </c>
      <c r="B386" s="1" t="n">
        <v>45055</v>
      </c>
      <c r="C386" s="1" t="n">
        <v>45573</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20237-2023</t>
        </is>
      </c>
      <c r="B387" s="1" t="n">
        <v>45055</v>
      </c>
      <c r="C387" s="1" t="n">
        <v>45573</v>
      </c>
      <c r="D387" t="inlineStr">
        <is>
          <t>DALARNAS LÄN</t>
        </is>
      </c>
      <c r="E387" t="inlineStr">
        <is>
          <t>HEDEMORA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20229-2023</t>
        </is>
      </c>
      <c r="B388" s="1" t="n">
        <v>45055</v>
      </c>
      <c r="C388" s="1" t="n">
        <v>45573</v>
      </c>
      <c r="D388" t="inlineStr">
        <is>
          <t>DALARNAS LÄN</t>
        </is>
      </c>
      <c r="E388" t="inlineStr">
        <is>
          <t>HEDEMORA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20233-2023</t>
        </is>
      </c>
      <c r="B389" s="1" t="n">
        <v>45055</v>
      </c>
      <c r="C389" s="1" t="n">
        <v>45573</v>
      </c>
      <c r="D389" t="inlineStr">
        <is>
          <t>DALARNAS LÄN</t>
        </is>
      </c>
      <c r="E389" t="inlineStr">
        <is>
          <t>HEDEMORA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20239-2023</t>
        </is>
      </c>
      <c r="B390" s="1" t="n">
        <v>45055</v>
      </c>
      <c r="C390" s="1" t="n">
        <v>45573</v>
      </c>
      <c r="D390" t="inlineStr">
        <is>
          <t>DALARNAS LÄN</t>
        </is>
      </c>
      <c r="E390" t="inlineStr">
        <is>
          <t>HEDEMORA</t>
        </is>
      </c>
      <c r="F390" t="inlineStr">
        <is>
          <t>Bergvik skog väst AB</t>
        </is>
      </c>
      <c r="G390" t="n">
        <v>5</v>
      </c>
      <c r="H390" t="n">
        <v>0</v>
      </c>
      <c r="I390" t="n">
        <v>0</v>
      </c>
      <c r="J390" t="n">
        <v>0</v>
      </c>
      <c r="K390" t="n">
        <v>0</v>
      </c>
      <c r="L390" t="n">
        <v>0</v>
      </c>
      <c r="M390" t="n">
        <v>0</v>
      </c>
      <c r="N390" t="n">
        <v>0</v>
      </c>
      <c r="O390" t="n">
        <v>0</v>
      </c>
      <c r="P390" t="n">
        <v>0</v>
      </c>
      <c r="Q390" t="n">
        <v>0</v>
      </c>
      <c r="R390" s="2" t="inlineStr"/>
    </row>
    <row r="391" ht="15" customHeight="1">
      <c r="A391" t="inlineStr">
        <is>
          <t>A 21093-2023</t>
        </is>
      </c>
      <c r="B391" s="1" t="n">
        <v>45061</v>
      </c>
      <c r="C391" s="1" t="n">
        <v>45573</v>
      </c>
      <c r="D391" t="inlineStr">
        <is>
          <t>DALARNAS LÄN</t>
        </is>
      </c>
      <c r="E391" t="inlineStr">
        <is>
          <t>HEDEMORA</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21096-2023</t>
        </is>
      </c>
      <c r="B392" s="1" t="n">
        <v>45061</v>
      </c>
      <c r="C392" s="1" t="n">
        <v>45573</v>
      </c>
      <c r="D392" t="inlineStr">
        <is>
          <t>DALARNAS LÄN</t>
        </is>
      </c>
      <c r="E392" t="inlineStr">
        <is>
          <t>HEDEMORA</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21092-2023</t>
        </is>
      </c>
      <c r="B393" s="1" t="n">
        <v>45061</v>
      </c>
      <c r="C393" s="1" t="n">
        <v>45573</v>
      </c>
      <c r="D393" t="inlineStr">
        <is>
          <t>DALARNAS LÄN</t>
        </is>
      </c>
      <c r="E393" t="inlineStr">
        <is>
          <t>HEDEMORA</t>
        </is>
      </c>
      <c r="F393" t="inlineStr">
        <is>
          <t>Sveaskog</t>
        </is>
      </c>
      <c r="G393" t="n">
        <v>0.1</v>
      </c>
      <c r="H393" t="n">
        <v>0</v>
      </c>
      <c r="I393" t="n">
        <v>0</v>
      </c>
      <c r="J393" t="n">
        <v>0</v>
      </c>
      <c r="K393" t="n">
        <v>0</v>
      </c>
      <c r="L393" t="n">
        <v>0</v>
      </c>
      <c r="M393" t="n">
        <v>0</v>
      </c>
      <c r="N393" t="n">
        <v>0</v>
      </c>
      <c r="O393" t="n">
        <v>0</v>
      </c>
      <c r="P393" t="n">
        <v>0</v>
      </c>
      <c r="Q393" t="n">
        <v>0</v>
      </c>
      <c r="R393" s="2" t="inlineStr"/>
    </row>
    <row r="394" ht="15" customHeight="1">
      <c r="A394" t="inlineStr">
        <is>
          <t>A 21657-2023</t>
        </is>
      </c>
      <c r="B394" s="1" t="n">
        <v>45063</v>
      </c>
      <c r="C394" s="1" t="n">
        <v>45573</v>
      </c>
      <c r="D394" t="inlineStr">
        <is>
          <t>DALARNAS LÄN</t>
        </is>
      </c>
      <c r="E394" t="inlineStr">
        <is>
          <t>HEDEMORA</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21763-2023</t>
        </is>
      </c>
      <c r="B395" s="1" t="n">
        <v>45065</v>
      </c>
      <c r="C395" s="1" t="n">
        <v>45573</v>
      </c>
      <c r="D395" t="inlineStr">
        <is>
          <t>DALARNAS LÄN</t>
        </is>
      </c>
      <c r="E395" t="inlineStr">
        <is>
          <t>HEDEMORA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21762-2023</t>
        </is>
      </c>
      <c r="B396" s="1" t="n">
        <v>45065</v>
      </c>
      <c r="C396" s="1" t="n">
        <v>45573</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22222-2023</t>
        </is>
      </c>
      <c r="B397" s="1" t="n">
        <v>45070</v>
      </c>
      <c r="C397" s="1" t="n">
        <v>45573</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45573</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22270-2023</t>
        </is>
      </c>
      <c r="B399" s="1" t="n">
        <v>45070</v>
      </c>
      <c r="C399" s="1" t="n">
        <v>45573</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22726-2023</t>
        </is>
      </c>
      <c r="B400" s="1" t="n">
        <v>45071</v>
      </c>
      <c r="C400" s="1" t="n">
        <v>45573</v>
      </c>
      <c r="D400" t="inlineStr">
        <is>
          <t>DALARNAS LÄN</t>
        </is>
      </c>
      <c r="E400" t="inlineStr">
        <is>
          <t>HEDEMORA</t>
        </is>
      </c>
      <c r="G400" t="n">
        <v>0.8</v>
      </c>
      <c r="H400" t="n">
        <v>0</v>
      </c>
      <c r="I400" t="n">
        <v>0</v>
      </c>
      <c r="J400" t="n">
        <v>0</v>
      </c>
      <c r="K400" t="n">
        <v>0</v>
      </c>
      <c r="L400" t="n">
        <v>0</v>
      </c>
      <c r="M400" t="n">
        <v>0</v>
      </c>
      <c r="N400" t="n">
        <v>0</v>
      </c>
      <c r="O400" t="n">
        <v>0</v>
      </c>
      <c r="P400" t="n">
        <v>0</v>
      </c>
      <c r="Q400" t="n">
        <v>0</v>
      </c>
      <c r="R400" s="2" t="inlineStr"/>
    </row>
    <row r="401" ht="15" customHeight="1">
      <c r="A401" t="inlineStr">
        <is>
          <t>A 23501-2023</t>
        </is>
      </c>
      <c r="B401" s="1" t="n">
        <v>45076</v>
      </c>
      <c r="C401" s="1" t="n">
        <v>45573</v>
      </c>
      <c r="D401" t="inlineStr">
        <is>
          <t>DALARNAS LÄN</t>
        </is>
      </c>
      <c r="E401" t="inlineStr">
        <is>
          <t>HEDEMORA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23934-2023</t>
        </is>
      </c>
      <c r="B402" s="1" t="n">
        <v>45078</v>
      </c>
      <c r="C402" s="1" t="n">
        <v>45573</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23968-2023</t>
        </is>
      </c>
      <c r="B403" s="1" t="n">
        <v>45078</v>
      </c>
      <c r="C403" s="1" t="n">
        <v>45573</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24569-2023</t>
        </is>
      </c>
      <c r="B404" s="1" t="n">
        <v>45083</v>
      </c>
      <c r="C404" s="1" t="n">
        <v>45573</v>
      </c>
      <c r="D404" t="inlineStr">
        <is>
          <t>DALARNAS LÄN</t>
        </is>
      </c>
      <c r="E404" t="inlineStr">
        <is>
          <t>HEDEMORA</t>
        </is>
      </c>
      <c r="F404" t="inlineStr">
        <is>
          <t>Sveaskog</t>
        </is>
      </c>
      <c r="G404" t="n">
        <v>34.6</v>
      </c>
      <c r="H404" t="n">
        <v>0</v>
      </c>
      <c r="I404" t="n">
        <v>0</v>
      </c>
      <c r="J404" t="n">
        <v>0</v>
      </c>
      <c r="K404" t="n">
        <v>0</v>
      </c>
      <c r="L404" t="n">
        <v>0</v>
      </c>
      <c r="M404" t="n">
        <v>0</v>
      </c>
      <c r="N404" t="n">
        <v>0</v>
      </c>
      <c r="O404" t="n">
        <v>0</v>
      </c>
      <c r="P404" t="n">
        <v>0</v>
      </c>
      <c r="Q404" t="n">
        <v>0</v>
      </c>
      <c r="R404" s="2" t="inlineStr"/>
    </row>
    <row r="405" ht="15" customHeight="1">
      <c r="A405" t="inlineStr">
        <is>
          <t>A 24780-2023</t>
        </is>
      </c>
      <c r="B405" s="1" t="n">
        <v>45084</v>
      </c>
      <c r="C405" s="1" t="n">
        <v>45573</v>
      </c>
      <c r="D405" t="inlineStr">
        <is>
          <t>DALARNAS LÄN</t>
        </is>
      </c>
      <c r="E405" t="inlineStr">
        <is>
          <t>HEDEMORA</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24660-2023</t>
        </is>
      </c>
      <c r="B406" s="1" t="n">
        <v>45084</v>
      </c>
      <c r="C406" s="1" t="n">
        <v>45573</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24792-2023</t>
        </is>
      </c>
      <c r="B407" s="1" t="n">
        <v>45084</v>
      </c>
      <c r="C407" s="1" t="n">
        <v>45573</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24864-2023</t>
        </is>
      </c>
      <c r="B408" s="1" t="n">
        <v>45085</v>
      </c>
      <c r="C408" s="1" t="n">
        <v>45573</v>
      </c>
      <c r="D408" t="inlineStr">
        <is>
          <t>DALARNAS LÄN</t>
        </is>
      </c>
      <c r="E408" t="inlineStr">
        <is>
          <t>HEDEMORA</t>
        </is>
      </c>
      <c r="G408" t="n">
        <v>13.2</v>
      </c>
      <c r="H408" t="n">
        <v>0</v>
      </c>
      <c r="I408" t="n">
        <v>0</v>
      </c>
      <c r="J408" t="n">
        <v>0</v>
      </c>
      <c r="K408" t="n">
        <v>0</v>
      </c>
      <c r="L408" t="n">
        <v>0</v>
      </c>
      <c r="M408" t="n">
        <v>0</v>
      </c>
      <c r="N408" t="n">
        <v>0</v>
      </c>
      <c r="O408" t="n">
        <v>0</v>
      </c>
      <c r="P408" t="n">
        <v>0</v>
      </c>
      <c r="Q408" t="n">
        <v>0</v>
      </c>
      <c r="R408" s="2" t="inlineStr"/>
    </row>
    <row r="409" ht="15" customHeight="1">
      <c r="A409" t="inlineStr">
        <is>
          <t>A 25150-2023</t>
        </is>
      </c>
      <c r="B409" s="1" t="n">
        <v>45086</v>
      </c>
      <c r="C409" s="1" t="n">
        <v>45573</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25155-2023</t>
        </is>
      </c>
      <c r="B410" s="1" t="n">
        <v>45086</v>
      </c>
      <c r="C410" s="1" t="n">
        <v>45573</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26232-2023</t>
        </is>
      </c>
      <c r="B411" s="1" t="n">
        <v>45091</v>
      </c>
      <c r="C411" s="1" t="n">
        <v>45573</v>
      </c>
      <c r="D411" t="inlineStr">
        <is>
          <t>DALARNAS LÄN</t>
        </is>
      </c>
      <c r="E411" t="inlineStr">
        <is>
          <t>HEDEMORA</t>
        </is>
      </c>
      <c r="G411" t="n">
        <v>3.1</v>
      </c>
      <c r="H411" t="n">
        <v>0</v>
      </c>
      <c r="I411" t="n">
        <v>0</v>
      </c>
      <c r="J411" t="n">
        <v>0</v>
      </c>
      <c r="K411" t="n">
        <v>0</v>
      </c>
      <c r="L411" t="n">
        <v>0</v>
      </c>
      <c r="M411" t="n">
        <v>0</v>
      </c>
      <c r="N411" t="n">
        <v>0</v>
      </c>
      <c r="O411" t="n">
        <v>0</v>
      </c>
      <c r="P411" t="n">
        <v>0</v>
      </c>
      <c r="Q411" t="n">
        <v>0</v>
      </c>
      <c r="R411" s="2" t="inlineStr"/>
    </row>
    <row r="412" ht="15" customHeight="1">
      <c r="A412" t="inlineStr">
        <is>
          <t>A 27695-2023</t>
        </is>
      </c>
      <c r="B412" s="1" t="n">
        <v>45097</v>
      </c>
      <c r="C412" s="1" t="n">
        <v>45573</v>
      </c>
      <c r="D412" t="inlineStr">
        <is>
          <t>DALARNAS LÄN</t>
        </is>
      </c>
      <c r="E412" t="inlineStr">
        <is>
          <t>HEDEMORA</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27696-2023</t>
        </is>
      </c>
      <c r="B413" s="1" t="n">
        <v>45097</v>
      </c>
      <c r="C413" s="1" t="n">
        <v>45573</v>
      </c>
      <c r="D413" t="inlineStr">
        <is>
          <t>DALARNAS LÄN</t>
        </is>
      </c>
      <c r="E413" t="inlineStr">
        <is>
          <t>HEDEMORA</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27965-2023</t>
        </is>
      </c>
      <c r="B414" s="1" t="n">
        <v>45098</v>
      </c>
      <c r="C414" s="1" t="n">
        <v>45573</v>
      </c>
      <c r="D414" t="inlineStr">
        <is>
          <t>DALARNAS LÄN</t>
        </is>
      </c>
      <c r="E414" t="inlineStr">
        <is>
          <t>HEDEMORA</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27963-2023</t>
        </is>
      </c>
      <c r="B415" s="1" t="n">
        <v>45098</v>
      </c>
      <c r="C415" s="1" t="n">
        <v>45573</v>
      </c>
      <c r="D415" t="inlineStr">
        <is>
          <t>DALARNAS LÄN</t>
        </is>
      </c>
      <c r="E415" t="inlineStr">
        <is>
          <t>HEDEMORA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28029-2023</t>
        </is>
      </c>
      <c r="B416" s="1" t="n">
        <v>45099</v>
      </c>
      <c r="C416" s="1" t="n">
        <v>45573</v>
      </c>
      <c r="D416" t="inlineStr">
        <is>
          <t>DALARNAS LÄN</t>
        </is>
      </c>
      <c r="E416" t="inlineStr">
        <is>
          <t>HEDEMORA</t>
        </is>
      </c>
      <c r="G416" t="n">
        <v>0.6</v>
      </c>
      <c r="H416" t="n">
        <v>0</v>
      </c>
      <c r="I416" t="n">
        <v>0</v>
      </c>
      <c r="J416" t="n">
        <v>0</v>
      </c>
      <c r="K416" t="n">
        <v>0</v>
      </c>
      <c r="L416" t="n">
        <v>0</v>
      </c>
      <c r="M416" t="n">
        <v>0</v>
      </c>
      <c r="N416" t="n">
        <v>0</v>
      </c>
      <c r="O416" t="n">
        <v>0</v>
      </c>
      <c r="P416" t="n">
        <v>0</v>
      </c>
      <c r="Q416" t="n">
        <v>0</v>
      </c>
      <c r="R416" s="2" t="inlineStr"/>
    </row>
    <row r="417" ht="15" customHeight="1">
      <c r="A417" t="inlineStr">
        <is>
          <t>A 28398-2023</t>
        </is>
      </c>
      <c r="B417" s="1" t="n">
        <v>45100</v>
      </c>
      <c r="C417" s="1" t="n">
        <v>45573</v>
      </c>
      <c r="D417" t="inlineStr">
        <is>
          <t>DALARNAS LÄN</t>
        </is>
      </c>
      <c r="E417" t="inlineStr">
        <is>
          <t>HEDEMORA</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29050-2023</t>
        </is>
      </c>
      <c r="B418" s="1" t="n">
        <v>45104</v>
      </c>
      <c r="C418" s="1" t="n">
        <v>45573</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29301-2023</t>
        </is>
      </c>
      <c r="B419" s="1" t="n">
        <v>45105</v>
      </c>
      <c r="C419" s="1" t="n">
        <v>45573</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29303-2023</t>
        </is>
      </c>
      <c r="B420" s="1" t="n">
        <v>45105</v>
      </c>
      <c r="C420" s="1" t="n">
        <v>45573</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30013-2023</t>
        </is>
      </c>
      <c r="B421" s="1" t="n">
        <v>45109</v>
      </c>
      <c r="C421" s="1" t="n">
        <v>45573</v>
      </c>
      <c r="D421" t="inlineStr">
        <is>
          <t>DALARNAS LÄN</t>
        </is>
      </c>
      <c r="E421" t="inlineStr">
        <is>
          <t>HEDEMORA</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30014-2023</t>
        </is>
      </c>
      <c r="B422" s="1" t="n">
        <v>45109</v>
      </c>
      <c r="C422" s="1" t="n">
        <v>45573</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30430-2023</t>
        </is>
      </c>
      <c r="B423" s="1" t="n">
        <v>45111</v>
      </c>
      <c r="C423" s="1" t="n">
        <v>45573</v>
      </c>
      <c r="D423" t="inlineStr">
        <is>
          <t>DALARNAS LÄN</t>
        </is>
      </c>
      <c r="E423" t="inlineStr">
        <is>
          <t>HEDEMORA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30428-2023</t>
        </is>
      </c>
      <c r="B424" s="1" t="n">
        <v>45111</v>
      </c>
      <c r="C424" s="1" t="n">
        <v>45573</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30939-2023</t>
        </is>
      </c>
      <c r="B425" s="1" t="n">
        <v>45113</v>
      </c>
      <c r="C425" s="1" t="n">
        <v>45573</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31103-2023</t>
        </is>
      </c>
      <c r="B426" s="1" t="n">
        <v>45113</v>
      </c>
      <c r="C426" s="1" t="n">
        <v>45573</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31253-2023</t>
        </is>
      </c>
      <c r="B427" s="1" t="n">
        <v>45114</v>
      </c>
      <c r="C427" s="1" t="n">
        <v>45573</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33469-2023</t>
        </is>
      </c>
      <c r="B428" s="1" t="n">
        <v>45118</v>
      </c>
      <c r="C428" s="1" t="n">
        <v>45573</v>
      </c>
      <c r="D428" t="inlineStr">
        <is>
          <t>DALARNAS LÄN</t>
        </is>
      </c>
      <c r="E428" t="inlineStr">
        <is>
          <t>HEDEMORA</t>
        </is>
      </c>
      <c r="F428" t="inlineStr">
        <is>
          <t>Bergvik skog väst AB</t>
        </is>
      </c>
      <c r="G428" t="n">
        <v>4.5</v>
      </c>
      <c r="H428" t="n">
        <v>0</v>
      </c>
      <c r="I428" t="n">
        <v>0</v>
      </c>
      <c r="J428" t="n">
        <v>0</v>
      </c>
      <c r="K428" t="n">
        <v>0</v>
      </c>
      <c r="L428" t="n">
        <v>0</v>
      </c>
      <c r="M428" t="n">
        <v>0</v>
      </c>
      <c r="N428" t="n">
        <v>0</v>
      </c>
      <c r="O428" t="n">
        <v>0</v>
      </c>
      <c r="P428" t="n">
        <v>0</v>
      </c>
      <c r="Q428" t="n">
        <v>0</v>
      </c>
      <c r="R428" s="2" t="inlineStr"/>
    </row>
    <row r="429" ht="15" customHeight="1">
      <c r="A429" t="inlineStr">
        <is>
          <t>A 33475-2023</t>
        </is>
      </c>
      <c r="B429" s="1" t="n">
        <v>45118</v>
      </c>
      <c r="C429" s="1" t="n">
        <v>45573</v>
      </c>
      <c r="D429" t="inlineStr">
        <is>
          <t>DALARNAS LÄN</t>
        </is>
      </c>
      <c r="E429" t="inlineStr">
        <is>
          <t>HEDEMORA</t>
        </is>
      </c>
      <c r="F429" t="inlineStr">
        <is>
          <t>Bergvik skog väst AB</t>
        </is>
      </c>
      <c r="G429" t="n">
        <v>7.8</v>
      </c>
      <c r="H429" t="n">
        <v>0</v>
      </c>
      <c r="I429" t="n">
        <v>0</v>
      </c>
      <c r="J429" t="n">
        <v>0</v>
      </c>
      <c r="K429" t="n">
        <v>0</v>
      </c>
      <c r="L429" t="n">
        <v>0</v>
      </c>
      <c r="M429" t="n">
        <v>0</v>
      </c>
      <c r="N429" t="n">
        <v>0</v>
      </c>
      <c r="O429" t="n">
        <v>0</v>
      </c>
      <c r="P429" t="n">
        <v>0</v>
      </c>
      <c r="Q429" t="n">
        <v>0</v>
      </c>
      <c r="R429" s="2" t="inlineStr"/>
    </row>
    <row r="430" ht="15" customHeight="1">
      <c r="A430" t="inlineStr">
        <is>
          <t>A 33775-2023</t>
        </is>
      </c>
      <c r="B430" s="1" t="n">
        <v>45120</v>
      </c>
      <c r="C430" s="1" t="n">
        <v>45573</v>
      </c>
      <c r="D430" t="inlineStr">
        <is>
          <t>DALARNAS LÄN</t>
        </is>
      </c>
      <c r="E430" t="inlineStr">
        <is>
          <t>HEDEMORA</t>
        </is>
      </c>
      <c r="G430" t="n">
        <v>3</v>
      </c>
      <c r="H430" t="n">
        <v>0</v>
      </c>
      <c r="I430" t="n">
        <v>0</v>
      </c>
      <c r="J430" t="n">
        <v>0</v>
      </c>
      <c r="K430" t="n">
        <v>0</v>
      </c>
      <c r="L430" t="n">
        <v>0</v>
      </c>
      <c r="M430" t="n">
        <v>0</v>
      </c>
      <c r="N430" t="n">
        <v>0</v>
      </c>
      <c r="O430" t="n">
        <v>0</v>
      </c>
      <c r="P430" t="n">
        <v>0</v>
      </c>
      <c r="Q430" t="n">
        <v>0</v>
      </c>
      <c r="R430" s="2" t="inlineStr"/>
    </row>
    <row r="431" ht="15" customHeight="1">
      <c r="A431" t="inlineStr">
        <is>
          <t>A 32598-2023</t>
        </is>
      </c>
      <c r="B431" s="1" t="n">
        <v>45121</v>
      </c>
      <c r="C431" s="1" t="n">
        <v>45573</v>
      </c>
      <c r="D431" t="inlineStr">
        <is>
          <t>DALARNAS LÄN</t>
        </is>
      </c>
      <c r="E431" t="inlineStr">
        <is>
          <t>HEDEMORA</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32607-2023</t>
        </is>
      </c>
      <c r="B432" s="1" t="n">
        <v>45121</v>
      </c>
      <c r="C432" s="1" t="n">
        <v>45573</v>
      </c>
      <c r="D432" t="inlineStr">
        <is>
          <t>DALARNAS LÄN</t>
        </is>
      </c>
      <c r="E432" t="inlineStr">
        <is>
          <t>HEDEMORA</t>
        </is>
      </c>
      <c r="F432" t="inlineStr">
        <is>
          <t>Sveaskog</t>
        </is>
      </c>
      <c r="G432" t="n">
        <v>5.3</v>
      </c>
      <c r="H432" t="n">
        <v>0</v>
      </c>
      <c r="I432" t="n">
        <v>0</v>
      </c>
      <c r="J432" t="n">
        <v>0</v>
      </c>
      <c r="K432" t="n">
        <v>0</v>
      </c>
      <c r="L432" t="n">
        <v>0</v>
      </c>
      <c r="M432" t="n">
        <v>0</v>
      </c>
      <c r="N432" t="n">
        <v>0</v>
      </c>
      <c r="O432" t="n">
        <v>0</v>
      </c>
      <c r="P432" t="n">
        <v>0</v>
      </c>
      <c r="Q432" t="n">
        <v>0</v>
      </c>
      <c r="R432" s="2" t="inlineStr"/>
    </row>
    <row r="433" ht="15" customHeight="1">
      <c r="A433" t="inlineStr">
        <is>
          <t>A 32720-2023</t>
        </is>
      </c>
      <c r="B433" s="1" t="n">
        <v>45121</v>
      </c>
      <c r="C433" s="1" t="n">
        <v>45573</v>
      </c>
      <c r="D433" t="inlineStr">
        <is>
          <t>DALARNAS LÄN</t>
        </is>
      </c>
      <c r="E433" t="inlineStr">
        <is>
          <t>HEDEMORA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32721-2023</t>
        </is>
      </c>
      <c r="B434" s="1" t="n">
        <v>45121</v>
      </c>
      <c r="C434" s="1" t="n">
        <v>45573</v>
      </c>
      <c r="D434" t="inlineStr">
        <is>
          <t>DALARNAS LÄN</t>
        </is>
      </c>
      <c r="E434" t="inlineStr">
        <is>
          <t>HEDEMORA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32719-2023</t>
        </is>
      </c>
      <c r="B435" s="1" t="n">
        <v>45121</v>
      </c>
      <c r="C435" s="1" t="n">
        <v>45573</v>
      </c>
      <c r="D435" t="inlineStr">
        <is>
          <t>DALARNAS LÄN</t>
        </is>
      </c>
      <c r="E435" t="inlineStr">
        <is>
          <t>HEDEMORA</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33314-2023</t>
        </is>
      </c>
      <c r="B436" s="1" t="n">
        <v>45127</v>
      </c>
      <c r="C436" s="1" t="n">
        <v>45573</v>
      </c>
      <c r="D436" t="inlineStr">
        <is>
          <t>DALARNAS LÄN</t>
        </is>
      </c>
      <c r="E436" t="inlineStr">
        <is>
          <t>HEDEMORA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33313-2023</t>
        </is>
      </c>
      <c r="B437" s="1" t="n">
        <v>45127</v>
      </c>
      <c r="C437" s="1" t="n">
        <v>45573</v>
      </c>
      <c r="D437" t="inlineStr">
        <is>
          <t>DALARNAS LÄN</t>
        </is>
      </c>
      <c r="E437" t="inlineStr">
        <is>
          <t>HEDEMORA</t>
        </is>
      </c>
      <c r="F437" t="inlineStr">
        <is>
          <t>Bergvik skog väst AB</t>
        </is>
      </c>
      <c r="G437" t="n">
        <v>8.6</v>
      </c>
      <c r="H437" t="n">
        <v>0</v>
      </c>
      <c r="I437" t="n">
        <v>0</v>
      </c>
      <c r="J437" t="n">
        <v>0</v>
      </c>
      <c r="K437" t="n">
        <v>0</v>
      </c>
      <c r="L437" t="n">
        <v>0</v>
      </c>
      <c r="M437" t="n">
        <v>0</v>
      </c>
      <c r="N437" t="n">
        <v>0</v>
      </c>
      <c r="O437" t="n">
        <v>0</v>
      </c>
      <c r="P437" t="n">
        <v>0</v>
      </c>
      <c r="Q437" t="n">
        <v>0</v>
      </c>
      <c r="R437" s="2" t="inlineStr"/>
    </row>
    <row r="438" ht="15" customHeight="1">
      <c r="A438" t="inlineStr">
        <is>
          <t>A 33315-2023</t>
        </is>
      </c>
      <c r="B438" s="1" t="n">
        <v>45127</v>
      </c>
      <c r="C438" s="1" t="n">
        <v>45573</v>
      </c>
      <c r="D438" t="inlineStr">
        <is>
          <t>DALARNAS LÄN</t>
        </is>
      </c>
      <c r="E438" t="inlineStr">
        <is>
          <t>HEDEMORA</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35240-2023</t>
        </is>
      </c>
      <c r="B439" s="1" t="n">
        <v>45145</v>
      </c>
      <c r="C439" s="1" t="n">
        <v>45573</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36049-2023</t>
        </is>
      </c>
      <c r="B440" s="1" t="n">
        <v>45149</v>
      </c>
      <c r="C440" s="1" t="n">
        <v>45573</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38032-2023</t>
        </is>
      </c>
      <c r="B441" s="1" t="n">
        <v>45160</v>
      </c>
      <c r="C441" s="1" t="n">
        <v>45573</v>
      </c>
      <c r="D441" t="inlineStr">
        <is>
          <t>DALARNAS LÄN</t>
        </is>
      </c>
      <c r="E441" t="inlineStr">
        <is>
          <t>HEDEMORA</t>
        </is>
      </c>
      <c r="G441" t="n">
        <v>2.8</v>
      </c>
      <c r="H441" t="n">
        <v>0</v>
      </c>
      <c r="I441" t="n">
        <v>0</v>
      </c>
      <c r="J441" t="n">
        <v>0</v>
      </c>
      <c r="K441" t="n">
        <v>0</v>
      </c>
      <c r="L441" t="n">
        <v>0</v>
      </c>
      <c r="M441" t="n">
        <v>0</v>
      </c>
      <c r="N441" t="n">
        <v>0</v>
      </c>
      <c r="O441" t="n">
        <v>0</v>
      </c>
      <c r="P441" t="n">
        <v>0</v>
      </c>
      <c r="Q441" t="n">
        <v>0</v>
      </c>
      <c r="R441" s="2" t="inlineStr"/>
    </row>
    <row r="442" ht="15" customHeight="1">
      <c r="A442" t="inlineStr">
        <is>
          <t>A 38957-2023</t>
        </is>
      </c>
      <c r="B442" s="1" t="n">
        <v>45163</v>
      </c>
      <c r="C442" s="1" t="n">
        <v>45573</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38947-2023</t>
        </is>
      </c>
      <c r="B443" s="1" t="n">
        <v>45163</v>
      </c>
      <c r="C443" s="1" t="n">
        <v>45573</v>
      </c>
      <c r="D443" t="inlineStr">
        <is>
          <t>DALARNAS LÄN</t>
        </is>
      </c>
      <c r="E443" t="inlineStr">
        <is>
          <t>HEDEMORA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38951-2023</t>
        </is>
      </c>
      <c r="B444" s="1" t="n">
        <v>45163</v>
      </c>
      <c r="C444" s="1" t="n">
        <v>45573</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41445-2023</t>
        </is>
      </c>
      <c r="B445" s="1" t="n">
        <v>45170</v>
      </c>
      <c r="C445" s="1" t="n">
        <v>45573</v>
      </c>
      <c r="D445" t="inlineStr">
        <is>
          <t>DALARNAS LÄN</t>
        </is>
      </c>
      <c r="E445" t="inlineStr">
        <is>
          <t>HEDEMORA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40707-2023</t>
        </is>
      </c>
      <c r="B446" s="1" t="n">
        <v>45170</v>
      </c>
      <c r="C446" s="1" t="n">
        <v>45573</v>
      </c>
      <c r="D446" t="inlineStr">
        <is>
          <t>DALARNAS LÄN</t>
        </is>
      </c>
      <c r="E446" t="inlineStr">
        <is>
          <t>HEDEMORA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41458-2023</t>
        </is>
      </c>
      <c r="B447" s="1" t="n">
        <v>45170</v>
      </c>
      <c r="C447" s="1" t="n">
        <v>45573</v>
      </c>
      <c r="D447" t="inlineStr">
        <is>
          <t>DALARNAS LÄN</t>
        </is>
      </c>
      <c r="E447" t="inlineStr">
        <is>
          <t>HEDEMORA</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41294-2023</t>
        </is>
      </c>
      <c r="B448" s="1" t="n">
        <v>45170</v>
      </c>
      <c r="C448" s="1" t="n">
        <v>45573</v>
      </c>
      <c r="D448" t="inlineStr">
        <is>
          <t>DALARNAS LÄN</t>
        </is>
      </c>
      <c r="E448" t="inlineStr">
        <is>
          <t>HEDEMORA</t>
        </is>
      </c>
      <c r="F448" t="inlineStr">
        <is>
          <t>Bergvik skog väst AB</t>
        </is>
      </c>
      <c r="G448" t="n">
        <v>16.2</v>
      </c>
      <c r="H448" t="n">
        <v>0</v>
      </c>
      <c r="I448" t="n">
        <v>0</v>
      </c>
      <c r="J448" t="n">
        <v>0</v>
      </c>
      <c r="K448" t="n">
        <v>0</v>
      </c>
      <c r="L448" t="n">
        <v>0</v>
      </c>
      <c r="M448" t="n">
        <v>0</v>
      </c>
      <c r="N448" t="n">
        <v>0</v>
      </c>
      <c r="O448" t="n">
        <v>0</v>
      </c>
      <c r="P448" t="n">
        <v>0</v>
      </c>
      <c r="Q448" t="n">
        <v>0</v>
      </c>
      <c r="R448" s="2" t="inlineStr"/>
    </row>
    <row r="449" ht="15" customHeight="1">
      <c r="A449" t="inlineStr">
        <is>
          <t>A 41435-2023</t>
        </is>
      </c>
      <c r="B449" s="1" t="n">
        <v>45170</v>
      </c>
      <c r="C449" s="1" t="n">
        <v>45573</v>
      </c>
      <c r="D449" t="inlineStr">
        <is>
          <t>DALARNAS LÄN</t>
        </is>
      </c>
      <c r="E449" t="inlineStr">
        <is>
          <t>HEDEMORA</t>
        </is>
      </c>
      <c r="G449" t="n">
        <v>2.9</v>
      </c>
      <c r="H449" t="n">
        <v>0</v>
      </c>
      <c r="I449" t="n">
        <v>0</v>
      </c>
      <c r="J449" t="n">
        <v>0</v>
      </c>
      <c r="K449" t="n">
        <v>0</v>
      </c>
      <c r="L449" t="n">
        <v>0</v>
      </c>
      <c r="M449" t="n">
        <v>0</v>
      </c>
      <c r="N449" t="n">
        <v>0</v>
      </c>
      <c r="O449" t="n">
        <v>0</v>
      </c>
      <c r="P449" t="n">
        <v>0</v>
      </c>
      <c r="Q449" t="n">
        <v>0</v>
      </c>
      <c r="R449" s="2" t="inlineStr"/>
    </row>
    <row r="450" ht="15" customHeight="1">
      <c r="A450" t="inlineStr">
        <is>
          <t>A 41462-2023</t>
        </is>
      </c>
      <c r="B450" s="1" t="n">
        <v>45170</v>
      </c>
      <c r="C450" s="1" t="n">
        <v>45573</v>
      </c>
      <c r="D450" t="inlineStr">
        <is>
          <t>DALARNAS LÄN</t>
        </is>
      </c>
      <c r="E450" t="inlineStr">
        <is>
          <t>HEDEMORA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41523-2023</t>
        </is>
      </c>
      <c r="B451" s="1" t="n">
        <v>45172</v>
      </c>
      <c r="C451" s="1" t="n">
        <v>45573</v>
      </c>
      <c r="D451" t="inlineStr">
        <is>
          <t>DALARNAS LÄN</t>
        </is>
      </c>
      <c r="E451" t="inlineStr">
        <is>
          <t>HEDEMORA</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40919-2023</t>
        </is>
      </c>
      <c r="B452" s="1" t="n">
        <v>45173</v>
      </c>
      <c r="C452" s="1" t="n">
        <v>45573</v>
      </c>
      <c r="D452" t="inlineStr">
        <is>
          <t>DALARNAS LÄN</t>
        </is>
      </c>
      <c r="E452" t="inlineStr">
        <is>
          <t>HEDEMORA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40923-2023</t>
        </is>
      </c>
      <c r="B453" s="1" t="n">
        <v>45173</v>
      </c>
      <c r="C453" s="1" t="n">
        <v>45573</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40918-2023</t>
        </is>
      </c>
      <c r="B454" s="1" t="n">
        <v>45173</v>
      </c>
      <c r="C454" s="1" t="n">
        <v>45573</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40922-2023</t>
        </is>
      </c>
      <c r="B455" s="1" t="n">
        <v>45173</v>
      </c>
      <c r="C455" s="1" t="n">
        <v>45573</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40921-2023</t>
        </is>
      </c>
      <c r="B456" s="1" t="n">
        <v>45173</v>
      </c>
      <c r="C456" s="1" t="n">
        <v>45573</v>
      </c>
      <c r="D456" t="inlineStr">
        <is>
          <t>DALARNAS LÄN</t>
        </is>
      </c>
      <c r="E456" t="inlineStr">
        <is>
          <t>HEDEMORA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41324-2023</t>
        </is>
      </c>
      <c r="B457" s="1" t="n">
        <v>45174</v>
      </c>
      <c r="C457" s="1" t="n">
        <v>45573</v>
      </c>
      <c r="D457" t="inlineStr">
        <is>
          <t>DALARNAS LÄN</t>
        </is>
      </c>
      <c r="E457" t="inlineStr">
        <is>
          <t>HEDEMORA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41642-2023</t>
        </is>
      </c>
      <c r="B458" s="1" t="n">
        <v>45175</v>
      </c>
      <c r="C458" s="1" t="n">
        <v>45573</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42387-2023</t>
        </is>
      </c>
      <c r="B459" s="1" t="n">
        <v>45180</v>
      </c>
      <c r="C459" s="1" t="n">
        <v>45573</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42618-2023</t>
        </is>
      </c>
      <c r="B460" s="1" t="n">
        <v>45181</v>
      </c>
      <c r="C460" s="1" t="n">
        <v>45573</v>
      </c>
      <c r="D460" t="inlineStr">
        <is>
          <t>DALARNAS LÄN</t>
        </is>
      </c>
      <c r="E460" t="inlineStr">
        <is>
          <t>HEDEMORA</t>
        </is>
      </c>
      <c r="G460" t="n">
        <v>3.8</v>
      </c>
      <c r="H460" t="n">
        <v>0</v>
      </c>
      <c r="I460" t="n">
        <v>0</v>
      </c>
      <c r="J460" t="n">
        <v>0</v>
      </c>
      <c r="K460" t="n">
        <v>0</v>
      </c>
      <c r="L460" t="n">
        <v>0</v>
      </c>
      <c r="M460" t="n">
        <v>0</v>
      </c>
      <c r="N460" t="n">
        <v>0</v>
      </c>
      <c r="O460" t="n">
        <v>0</v>
      </c>
      <c r="P460" t="n">
        <v>0</v>
      </c>
      <c r="Q460" t="n">
        <v>0</v>
      </c>
      <c r="R460" s="2" t="inlineStr"/>
    </row>
    <row r="461" ht="15" customHeight="1">
      <c r="A461" t="inlineStr">
        <is>
          <t>A 43621-2023</t>
        </is>
      </c>
      <c r="B461" s="1" t="n">
        <v>45184</v>
      </c>
      <c r="C461" s="1" t="n">
        <v>45573</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43785-2023</t>
        </is>
      </c>
      <c r="B462" s="1" t="n">
        <v>45187</v>
      </c>
      <c r="C462" s="1" t="n">
        <v>45573</v>
      </c>
      <c r="D462" t="inlineStr">
        <is>
          <t>DALARNAS LÄN</t>
        </is>
      </c>
      <c r="E462" t="inlineStr">
        <is>
          <t>HEDEMORA</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43675-2023</t>
        </is>
      </c>
      <c r="B463" s="1" t="n">
        <v>45187</v>
      </c>
      <c r="C463" s="1" t="n">
        <v>45573</v>
      </c>
      <c r="D463" t="inlineStr">
        <is>
          <t>DALARNAS LÄN</t>
        </is>
      </c>
      <c r="E463" t="inlineStr">
        <is>
          <t>HEDEMORA</t>
        </is>
      </c>
      <c r="G463" t="n">
        <v>1.5</v>
      </c>
      <c r="H463" t="n">
        <v>0</v>
      </c>
      <c r="I463" t="n">
        <v>0</v>
      </c>
      <c r="J463" t="n">
        <v>0</v>
      </c>
      <c r="K463" t="n">
        <v>0</v>
      </c>
      <c r="L463" t="n">
        <v>0</v>
      </c>
      <c r="M463" t="n">
        <v>0</v>
      </c>
      <c r="N463" t="n">
        <v>0</v>
      </c>
      <c r="O463" t="n">
        <v>0</v>
      </c>
      <c r="P463" t="n">
        <v>0</v>
      </c>
      <c r="Q463" t="n">
        <v>0</v>
      </c>
      <c r="R463" s="2" t="inlineStr"/>
      <c r="U463">
        <f>HYPERLINK("https://klasma.github.io/Logging_2083/knärot/A 43675-2023 karta knärot.png", "A 43675-2023")</f>
        <v/>
      </c>
      <c r="V463">
        <f>HYPERLINK("https://klasma.github.io/Logging_2083/klagomål/A 43675-2023 FSC-klagomål.docx", "A 43675-2023")</f>
        <v/>
      </c>
      <c r="W463">
        <f>HYPERLINK("https://klasma.github.io/Logging_2083/klagomålsmail/A 43675-2023 FSC-klagomål mail.docx", "A 43675-2023")</f>
        <v/>
      </c>
      <c r="X463">
        <f>HYPERLINK("https://klasma.github.io/Logging_2083/tillsyn/A 43675-2023 tillsynsbegäran.docx", "A 43675-2023")</f>
        <v/>
      </c>
      <c r="Y463">
        <f>HYPERLINK("https://klasma.github.io/Logging_2083/tillsynsmail/A 43675-2023 tillsynsbegäran mail.docx", "A 43675-2023")</f>
        <v/>
      </c>
    </row>
    <row r="464" ht="15" customHeight="1">
      <c r="A464" t="inlineStr">
        <is>
          <t>A 44587-2023</t>
        </is>
      </c>
      <c r="B464" s="1" t="n">
        <v>45189</v>
      </c>
      <c r="C464" s="1" t="n">
        <v>45573</v>
      </c>
      <c r="D464" t="inlineStr">
        <is>
          <t>DALARNAS LÄN</t>
        </is>
      </c>
      <c r="E464" t="inlineStr">
        <is>
          <t>HEDEMORA</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44750-2023</t>
        </is>
      </c>
      <c r="B465" s="1" t="n">
        <v>45190</v>
      </c>
      <c r="C465" s="1" t="n">
        <v>45573</v>
      </c>
      <c r="D465" t="inlineStr">
        <is>
          <t>DALARNAS LÄN</t>
        </is>
      </c>
      <c r="E465" t="inlineStr">
        <is>
          <t>HEDEMORA</t>
        </is>
      </c>
      <c r="G465" t="n">
        <v>5.4</v>
      </c>
      <c r="H465" t="n">
        <v>0</v>
      </c>
      <c r="I465" t="n">
        <v>0</v>
      </c>
      <c r="J465" t="n">
        <v>0</v>
      </c>
      <c r="K465" t="n">
        <v>0</v>
      </c>
      <c r="L465" t="n">
        <v>0</v>
      </c>
      <c r="M465" t="n">
        <v>0</v>
      </c>
      <c r="N465" t="n">
        <v>0</v>
      </c>
      <c r="O465" t="n">
        <v>0</v>
      </c>
      <c r="P465" t="n">
        <v>0</v>
      </c>
      <c r="Q465" t="n">
        <v>0</v>
      </c>
      <c r="R465" s="2" t="inlineStr"/>
    </row>
    <row r="466" ht="15" customHeight="1">
      <c r="A466" t="inlineStr">
        <is>
          <t>A 46217-2023</t>
        </is>
      </c>
      <c r="B466" s="1" t="n">
        <v>45190</v>
      </c>
      <c r="C466" s="1" t="n">
        <v>45573</v>
      </c>
      <c r="D466" t="inlineStr">
        <is>
          <t>DALARNAS LÄN</t>
        </is>
      </c>
      <c r="E466" t="inlineStr">
        <is>
          <t>HEDEMORA</t>
        </is>
      </c>
      <c r="F466" t="inlineStr">
        <is>
          <t>Bergvik skog väst AB</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45186-2023</t>
        </is>
      </c>
      <c r="B467" s="1" t="n">
        <v>45191</v>
      </c>
      <c r="C467" s="1" t="n">
        <v>45573</v>
      </c>
      <c r="D467" t="inlineStr">
        <is>
          <t>DALARNAS LÄN</t>
        </is>
      </c>
      <c r="E467" t="inlineStr">
        <is>
          <t>HEDEMORA</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45589-2023</t>
        </is>
      </c>
      <c r="B468" s="1" t="n">
        <v>45194</v>
      </c>
      <c r="C468" s="1" t="n">
        <v>45573</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48204-2023</t>
        </is>
      </c>
      <c r="B469" s="1" t="n">
        <v>45205</v>
      </c>
      <c r="C469" s="1" t="n">
        <v>45573</v>
      </c>
      <c r="D469" t="inlineStr">
        <is>
          <t>DALARNAS LÄN</t>
        </is>
      </c>
      <c r="E469" t="inlineStr">
        <is>
          <t>HEDEMORA</t>
        </is>
      </c>
      <c r="F469" t="inlineStr">
        <is>
          <t>Kyrkan</t>
        </is>
      </c>
      <c r="G469" t="n">
        <v>21.8</v>
      </c>
      <c r="H469" t="n">
        <v>0</v>
      </c>
      <c r="I469" t="n">
        <v>0</v>
      </c>
      <c r="J469" t="n">
        <v>0</v>
      </c>
      <c r="K469" t="n">
        <v>0</v>
      </c>
      <c r="L469" t="n">
        <v>0</v>
      </c>
      <c r="M469" t="n">
        <v>0</v>
      </c>
      <c r="N469" t="n">
        <v>0</v>
      </c>
      <c r="O469" t="n">
        <v>0</v>
      </c>
      <c r="P469" t="n">
        <v>0</v>
      </c>
      <c r="Q469" t="n">
        <v>0</v>
      </c>
      <c r="R469" s="2" t="inlineStr"/>
      <c r="U469">
        <f>HYPERLINK("https://klasma.github.io/Logging_2083/knärot/A 48204-2023 karta knärot.png", "A 48204-2023")</f>
        <v/>
      </c>
      <c r="V469">
        <f>HYPERLINK("https://klasma.github.io/Logging_2083/klagomål/A 48204-2023 FSC-klagomål.docx", "A 48204-2023")</f>
        <v/>
      </c>
      <c r="W469">
        <f>HYPERLINK("https://klasma.github.io/Logging_2083/klagomålsmail/A 48204-2023 FSC-klagomål mail.docx", "A 48204-2023")</f>
        <v/>
      </c>
      <c r="X469">
        <f>HYPERLINK("https://klasma.github.io/Logging_2083/tillsyn/A 48204-2023 tillsynsbegäran.docx", "A 48204-2023")</f>
        <v/>
      </c>
      <c r="Y469">
        <f>HYPERLINK("https://klasma.github.io/Logging_2083/tillsynsmail/A 48204-2023 tillsynsbegäran mail.docx", "A 48204-2023")</f>
        <v/>
      </c>
    </row>
    <row r="470" ht="15" customHeight="1">
      <c r="A470" t="inlineStr">
        <is>
          <t>A 48254-2023</t>
        </is>
      </c>
      <c r="B470" s="1" t="n">
        <v>45205</v>
      </c>
      <c r="C470" s="1" t="n">
        <v>45573</v>
      </c>
      <c r="D470" t="inlineStr">
        <is>
          <t>DALARNAS LÄN</t>
        </is>
      </c>
      <c r="E470" t="inlineStr">
        <is>
          <t>HEDEMORA</t>
        </is>
      </c>
      <c r="F470" t="inlineStr">
        <is>
          <t>Sveaskog</t>
        </is>
      </c>
      <c r="G470" t="n">
        <v>1.5</v>
      </c>
      <c r="H470" t="n">
        <v>0</v>
      </c>
      <c r="I470" t="n">
        <v>0</v>
      </c>
      <c r="J470" t="n">
        <v>0</v>
      </c>
      <c r="K470" t="n">
        <v>0</v>
      </c>
      <c r="L470" t="n">
        <v>0</v>
      </c>
      <c r="M470" t="n">
        <v>0</v>
      </c>
      <c r="N470" t="n">
        <v>0</v>
      </c>
      <c r="O470" t="n">
        <v>0</v>
      </c>
      <c r="P470" t="n">
        <v>0</v>
      </c>
      <c r="Q470" t="n">
        <v>0</v>
      </c>
      <c r="R470" s="2" t="inlineStr"/>
      <c r="U470">
        <f>HYPERLINK("https://klasma.github.io/Logging_2083/knärot/A 48254-2023 karta knärot.png", "A 48254-2023")</f>
        <v/>
      </c>
      <c r="V470">
        <f>HYPERLINK("https://klasma.github.io/Logging_2083/klagomål/A 48254-2023 FSC-klagomål.docx", "A 48254-2023")</f>
        <v/>
      </c>
      <c r="W470">
        <f>HYPERLINK("https://klasma.github.io/Logging_2083/klagomålsmail/A 48254-2023 FSC-klagomål mail.docx", "A 48254-2023")</f>
        <v/>
      </c>
      <c r="X470">
        <f>HYPERLINK("https://klasma.github.io/Logging_2083/tillsyn/A 48254-2023 tillsynsbegäran.docx", "A 48254-2023")</f>
        <v/>
      </c>
      <c r="Y470">
        <f>HYPERLINK("https://klasma.github.io/Logging_2083/tillsynsmail/A 48254-2023 tillsynsbegäran mail.docx", "A 48254-2023")</f>
        <v/>
      </c>
    </row>
    <row r="471" ht="15" customHeight="1">
      <c r="A471" t="inlineStr">
        <is>
          <t>A 48834-2023</t>
        </is>
      </c>
      <c r="B471" s="1" t="n">
        <v>45209</v>
      </c>
      <c r="C471" s="1" t="n">
        <v>45573</v>
      </c>
      <c r="D471" t="inlineStr">
        <is>
          <t>DALARNAS LÄN</t>
        </is>
      </c>
      <c r="E471" t="inlineStr">
        <is>
          <t>HEDEMORA</t>
        </is>
      </c>
      <c r="G471" t="n">
        <v>1.9</v>
      </c>
      <c r="H471" t="n">
        <v>0</v>
      </c>
      <c r="I471" t="n">
        <v>0</v>
      </c>
      <c r="J471" t="n">
        <v>0</v>
      </c>
      <c r="K471" t="n">
        <v>0</v>
      </c>
      <c r="L471" t="n">
        <v>0</v>
      </c>
      <c r="M471" t="n">
        <v>0</v>
      </c>
      <c r="N471" t="n">
        <v>0</v>
      </c>
      <c r="O471" t="n">
        <v>0</v>
      </c>
      <c r="P471" t="n">
        <v>0</v>
      </c>
      <c r="Q471" t="n">
        <v>0</v>
      </c>
      <c r="R471" s="2" t="inlineStr"/>
    </row>
    <row r="472" ht="15" customHeight="1">
      <c r="A472" t="inlineStr">
        <is>
          <t>A 48826-2023</t>
        </is>
      </c>
      <c r="B472" s="1" t="n">
        <v>45209</v>
      </c>
      <c r="C472" s="1" t="n">
        <v>45573</v>
      </c>
      <c r="D472" t="inlineStr">
        <is>
          <t>DALARNAS LÄN</t>
        </is>
      </c>
      <c r="E472" t="inlineStr">
        <is>
          <t>HEDEMORA</t>
        </is>
      </c>
      <c r="G472" t="n">
        <v>1</v>
      </c>
      <c r="H472" t="n">
        <v>0</v>
      </c>
      <c r="I472" t="n">
        <v>0</v>
      </c>
      <c r="J472" t="n">
        <v>0</v>
      </c>
      <c r="K472" t="n">
        <v>0</v>
      </c>
      <c r="L472" t="n">
        <v>0</v>
      </c>
      <c r="M472" t="n">
        <v>0</v>
      </c>
      <c r="N472" t="n">
        <v>0</v>
      </c>
      <c r="O472" t="n">
        <v>0</v>
      </c>
      <c r="P472" t="n">
        <v>0</v>
      </c>
      <c r="Q472" t="n">
        <v>0</v>
      </c>
      <c r="R472" s="2" t="inlineStr"/>
    </row>
    <row r="473" ht="15" customHeight="1">
      <c r="A473" t="inlineStr">
        <is>
          <t>A 50333-2023</t>
        </is>
      </c>
      <c r="B473" s="1" t="n">
        <v>45216</v>
      </c>
      <c r="C473" s="1" t="n">
        <v>45573</v>
      </c>
      <c r="D473" t="inlineStr">
        <is>
          <t>DALARNAS LÄN</t>
        </is>
      </c>
      <c r="E473" t="inlineStr">
        <is>
          <t>HEDEMORA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50885-2023</t>
        </is>
      </c>
      <c r="B474" s="1" t="n">
        <v>45218</v>
      </c>
      <c r="C474" s="1" t="n">
        <v>45573</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51879-2023</t>
        </is>
      </c>
      <c r="B475" s="1" t="n">
        <v>45223</v>
      </c>
      <c r="C475" s="1" t="n">
        <v>45573</v>
      </c>
      <c r="D475" t="inlineStr">
        <is>
          <t>DALARNAS LÄN</t>
        </is>
      </c>
      <c r="E475" t="inlineStr">
        <is>
          <t>HEDEMORA</t>
        </is>
      </c>
      <c r="G475" t="n">
        <v>2.1</v>
      </c>
      <c r="H475" t="n">
        <v>0</v>
      </c>
      <c r="I475" t="n">
        <v>0</v>
      </c>
      <c r="J475" t="n">
        <v>0</v>
      </c>
      <c r="K475" t="n">
        <v>0</v>
      </c>
      <c r="L475" t="n">
        <v>0</v>
      </c>
      <c r="M475" t="n">
        <v>0</v>
      </c>
      <c r="N475" t="n">
        <v>0</v>
      </c>
      <c r="O475" t="n">
        <v>0</v>
      </c>
      <c r="P475" t="n">
        <v>0</v>
      </c>
      <c r="Q475" t="n">
        <v>0</v>
      </c>
      <c r="R475" s="2" t="inlineStr"/>
    </row>
    <row r="476" ht="15" customHeight="1">
      <c r="A476" t="inlineStr">
        <is>
          <t>A 53031-2023</t>
        </is>
      </c>
      <c r="B476" s="1" t="n">
        <v>45226</v>
      </c>
      <c r="C476" s="1" t="n">
        <v>45573</v>
      </c>
      <c r="D476" t="inlineStr">
        <is>
          <t>DALARNAS LÄN</t>
        </is>
      </c>
      <c r="E476" t="inlineStr">
        <is>
          <t>HEDEMORA</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52967-2023</t>
        </is>
      </c>
      <c r="B477" s="1" t="n">
        <v>45226</v>
      </c>
      <c r="C477" s="1" t="n">
        <v>45573</v>
      </c>
      <c r="D477" t="inlineStr">
        <is>
          <t>DALARNAS LÄN</t>
        </is>
      </c>
      <c r="E477" t="inlineStr">
        <is>
          <t>HEDEMORA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53743-2023</t>
        </is>
      </c>
      <c r="B478" s="1" t="n">
        <v>45230</v>
      </c>
      <c r="C478" s="1" t="n">
        <v>45573</v>
      </c>
      <c r="D478" t="inlineStr">
        <is>
          <t>DALARNAS LÄN</t>
        </is>
      </c>
      <c r="E478" t="inlineStr">
        <is>
          <t>HEDEMORA</t>
        </is>
      </c>
      <c r="G478" t="n">
        <v>3.8</v>
      </c>
      <c r="H478" t="n">
        <v>0</v>
      </c>
      <c r="I478" t="n">
        <v>0</v>
      </c>
      <c r="J478" t="n">
        <v>0</v>
      </c>
      <c r="K478" t="n">
        <v>0</v>
      </c>
      <c r="L478" t="n">
        <v>0</v>
      </c>
      <c r="M478" t="n">
        <v>0</v>
      </c>
      <c r="N478" t="n">
        <v>0</v>
      </c>
      <c r="O478" t="n">
        <v>0</v>
      </c>
      <c r="P478" t="n">
        <v>0</v>
      </c>
      <c r="Q478" t="n">
        <v>0</v>
      </c>
      <c r="R478" s="2" t="inlineStr"/>
    </row>
    <row r="479" ht="15" customHeight="1">
      <c r="A479" t="inlineStr">
        <is>
          <t>A 53588-2023</t>
        </is>
      </c>
      <c r="B479" s="1" t="n">
        <v>45230</v>
      </c>
      <c r="C479" s="1" t="n">
        <v>45573</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53584-2023</t>
        </is>
      </c>
      <c r="B480" s="1" t="n">
        <v>45230</v>
      </c>
      <c r="C480" s="1" t="n">
        <v>45573</v>
      </c>
      <c r="D480" t="inlineStr">
        <is>
          <t>DALARNAS LÄN</t>
        </is>
      </c>
      <c r="E480" t="inlineStr">
        <is>
          <t>HEDEMORA</t>
        </is>
      </c>
      <c r="G480" t="n">
        <v>6.6</v>
      </c>
      <c r="H480" t="n">
        <v>0</v>
      </c>
      <c r="I480" t="n">
        <v>0</v>
      </c>
      <c r="J480" t="n">
        <v>0</v>
      </c>
      <c r="K480" t="n">
        <v>0</v>
      </c>
      <c r="L480" t="n">
        <v>0</v>
      </c>
      <c r="M480" t="n">
        <v>0</v>
      </c>
      <c r="N480" t="n">
        <v>0</v>
      </c>
      <c r="O480" t="n">
        <v>0</v>
      </c>
      <c r="P480" t="n">
        <v>0</v>
      </c>
      <c r="Q480" t="n">
        <v>0</v>
      </c>
      <c r="R480" s="2" t="inlineStr"/>
    </row>
    <row r="481" ht="15" customHeight="1">
      <c r="A481" t="inlineStr">
        <is>
          <t>A 53576-2023</t>
        </is>
      </c>
      <c r="B481" s="1" t="n">
        <v>45230</v>
      </c>
      <c r="C481" s="1" t="n">
        <v>45573</v>
      </c>
      <c r="D481" t="inlineStr">
        <is>
          <t>DALARNAS LÄN</t>
        </is>
      </c>
      <c r="E481" t="inlineStr">
        <is>
          <t>HEDEMORA</t>
        </is>
      </c>
      <c r="G481" t="n">
        <v>0.9</v>
      </c>
      <c r="H481" t="n">
        <v>0</v>
      </c>
      <c r="I481" t="n">
        <v>0</v>
      </c>
      <c r="J481" t="n">
        <v>0</v>
      </c>
      <c r="K481" t="n">
        <v>0</v>
      </c>
      <c r="L481" t="n">
        <v>0</v>
      </c>
      <c r="M481" t="n">
        <v>0</v>
      </c>
      <c r="N481" t="n">
        <v>0</v>
      </c>
      <c r="O481" t="n">
        <v>0</v>
      </c>
      <c r="P481" t="n">
        <v>0</v>
      </c>
      <c r="Q481" t="n">
        <v>0</v>
      </c>
      <c r="R481" s="2" t="inlineStr"/>
    </row>
    <row r="482" ht="15" customHeight="1">
      <c r="A482" t="inlineStr">
        <is>
          <t>A 53568-2023</t>
        </is>
      </c>
      <c r="B482" s="1" t="n">
        <v>45230</v>
      </c>
      <c r="C482" s="1" t="n">
        <v>45573</v>
      </c>
      <c r="D482" t="inlineStr">
        <is>
          <t>DALARNAS LÄN</t>
        </is>
      </c>
      <c r="E482" t="inlineStr">
        <is>
          <t>HEDEMORA</t>
        </is>
      </c>
      <c r="G482" t="n">
        <v>1.2</v>
      </c>
      <c r="H482" t="n">
        <v>0</v>
      </c>
      <c r="I482" t="n">
        <v>0</v>
      </c>
      <c r="J482" t="n">
        <v>0</v>
      </c>
      <c r="K482" t="n">
        <v>0</v>
      </c>
      <c r="L482" t="n">
        <v>0</v>
      </c>
      <c r="M482" t="n">
        <v>0</v>
      </c>
      <c r="N482" t="n">
        <v>0</v>
      </c>
      <c r="O482" t="n">
        <v>0</v>
      </c>
      <c r="P482" t="n">
        <v>0</v>
      </c>
      <c r="Q482" t="n">
        <v>0</v>
      </c>
      <c r="R482" s="2" t="inlineStr"/>
    </row>
    <row r="483" ht="15" customHeight="1">
      <c r="A483" t="inlineStr">
        <is>
          <t>A 53586-2023</t>
        </is>
      </c>
      <c r="B483" s="1" t="n">
        <v>45230</v>
      </c>
      <c r="C483" s="1" t="n">
        <v>45573</v>
      </c>
      <c r="D483" t="inlineStr">
        <is>
          <t>DALARNAS LÄN</t>
        </is>
      </c>
      <c r="E483" t="inlineStr">
        <is>
          <t>HEDEMORA</t>
        </is>
      </c>
      <c r="G483" t="n">
        <v>2.4</v>
      </c>
      <c r="H483" t="n">
        <v>0</v>
      </c>
      <c r="I483" t="n">
        <v>0</v>
      </c>
      <c r="J483" t="n">
        <v>0</v>
      </c>
      <c r="K483" t="n">
        <v>0</v>
      </c>
      <c r="L483" t="n">
        <v>0</v>
      </c>
      <c r="M483" t="n">
        <v>0</v>
      </c>
      <c r="N483" t="n">
        <v>0</v>
      </c>
      <c r="O483" t="n">
        <v>0</v>
      </c>
      <c r="P483" t="n">
        <v>0</v>
      </c>
      <c r="Q483" t="n">
        <v>0</v>
      </c>
      <c r="R483" s="2" t="inlineStr"/>
    </row>
    <row r="484" ht="15" customHeight="1">
      <c r="A484" t="inlineStr">
        <is>
          <t>A 54423-2023</t>
        </is>
      </c>
      <c r="B484" s="1" t="n">
        <v>45233</v>
      </c>
      <c r="C484" s="1" t="n">
        <v>45573</v>
      </c>
      <c r="D484" t="inlineStr">
        <is>
          <t>DALARNAS LÄN</t>
        </is>
      </c>
      <c r="E484" t="inlineStr">
        <is>
          <t>HEDEMORA</t>
        </is>
      </c>
      <c r="G484" t="n">
        <v>3.4</v>
      </c>
      <c r="H484" t="n">
        <v>0</v>
      </c>
      <c r="I484" t="n">
        <v>0</v>
      </c>
      <c r="J484" t="n">
        <v>0</v>
      </c>
      <c r="K484" t="n">
        <v>0</v>
      </c>
      <c r="L484" t="n">
        <v>0</v>
      </c>
      <c r="M484" t="n">
        <v>0</v>
      </c>
      <c r="N484" t="n">
        <v>0</v>
      </c>
      <c r="O484" t="n">
        <v>0</v>
      </c>
      <c r="P484" t="n">
        <v>0</v>
      </c>
      <c r="Q484" t="n">
        <v>0</v>
      </c>
      <c r="R484" s="2" t="inlineStr"/>
    </row>
    <row r="485" ht="15" customHeight="1">
      <c r="A485" t="inlineStr">
        <is>
          <t>A 54440-2023</t>
        </is>
      </c>
      <c r="B485" s="1" t="n">
        <v>45233</v>
      </c>
      <c r="C485" s="1" t="n">
        <v>45573</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55881-2023</t>
        </is>
      </c>
      <c r="B486" s="1" t="n">
        <v>45239</v>
      </c>
      <c r="C486" s="1" t="n">
        <v>45573</v>
      </c>
      <c r="D486" t="inlineStr">
        <is>
          <t>DALARNAS LÄN</t>
        </is>
      </c>
      <c r="E486" t="inlineStr">
        <is>
          <t>HEDEMORA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55882-2023</t>
        </is>
      </c>
      <c r="B487" s="1" t="n">
        <v>45239</v>
      </c>
      <c r="C487" s="1" t="n">
        <v>45573</v>
      </c>
      <c r="D487" t="inlineStr">
        <is>
          <t>DALARNAS LÄN</t>
        </is>
      </c>
      <c r="E487" t="inlineStr">
        <is>
          <t>HEDEMORA</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55981-2023</t>
        </is>
      </c>
      <c r="B488" s="1" t="n">
        <v>45240</v>
      </c>
      <c r="C488" s="1" t="n">
        <v>45573</v>
      </c>
      <c r="D488" t="inlineStr">
        <is>
          <t>DALARNAS LÄN</t>
        </is>
      </c>
      <c r="E488" t="inlineStr">
        <is>
          <t>HEDEMORA</t>
        </is>
      </c>
      <c r="G488" t="n">
        <v>3.2</v>
      </c>
      <c r="H488" t="n">
        <v>0</v>
      </c>
      <c r="I488" t="n">
        <v>0</v>
      </c>
      <c r="J488" t="n">
        <v>0</v>
      </c>
      <c r="K488" t="n">
        <v>0</v>
      </c>
      <c r="L488" t="n">
        <v>0</v>
      </c>
      <c r="M488" t="n">
        <v>0</v>
      </c>
      <c r="N488" t="n">
        <v>0</v>
      </c>
      <c r="O488" t="n">
        <v>0</v>
      </c>
      <c r="P488" t="n">
        <v>0</v>
      </c>
      <c r="Q488" t="n">
        <v>0</v>
      </c>
      <c r="R488" s="2" t="inlineStr"/>
    </row>
    <row r="489" ht="15" customHeight="1">
      <c r="A489" t="inlineStr">
        <is>
          <t>A 57486-2023</t>
        </is>
      </c>
      <c r="B489" s="1" t="n">
        <v>45246</v>
      </c>
      <c r="C489" s="1" t="n">
        <v>45573</v>
      </c>
      <c r="D489" t="inlineStr">
        <is>
          <t>DALARNAS LÄN</t>
        </is>
      </c>
      <c r="E489" t="inlineStr">
        <is>
          <t>HEDEMORA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58841-2023</t>
        </is>
      </c>
      <c r="B490" s="1" t="n">
        <v>45252</v>
      </c>
      <c r="C490" s="1" t="n">
        <v>45573</v>
      </c>
      <c r="D490" t="inlineStr">
        <is>
          <t>DALARNAS LÄN</t>
        </is>
      </c>
      <c r="E490" t="inlineStr">
        <is>
          <t>HEDEMORA</t>
        </is>
      </c>
      <c r="G490" t="n">
        <v>14.8</v>
      </c>
      <c r="H490" t="n">
        <v>0</v>
      </c>
      <c r="I490" t="n">
        <v>0</v>
      </c>
      <c r="J490" t="n">
        <v>0</v>
      </c>
      <c r="K490" t="n">
        <v>0</v>
      </c>
      <c r="L490" t="n">
        <v>0</v>
      </c>
      <c r="M490" t="n">
        <v>0</v>
      </c>
      <c r="N490" t="n">
        <v>0</v>
      </c>
      <c r="O490" t="n">
        <v>0</v>
      </c>
      <c r="P490" t="n">
        <v>0</v>
      </c>
      <c r="Q490" t="n">
        <v>0</v>
      </c>
      <c r="R490" s="2" t="inlineStr"/>
    </row>
    <row r="491" ht="15" customHeight="1">
      <c r="A491" t="inlineStr">
        <is>
          <t>A 59249-2023</t>
        </is>
      </c>
      <c r="B491" s="1" t="n">
        <v>45253</v>
      </c>
      <c r="C491" s="1" t="n">
        <v>45573</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59235-2023</t>
        </is>
      </c>
      <c r="B492" s="1" t="n">
        <v>45253</v>
      </c>
      <c r="C492" s="1" t="n">
        <v>45573</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59140-2023</t>
        </is>
      </c>
      <c r="B493" s="1" t="n">
        <v>45253</v>
      </c>
      <c r="C493" s="1" t="n">
        <v>45573</v>
      </c>
      <c r="D493" t="inlineStr">
        <is>
          <t>DALARNAS LÄN</t>
        </is>
      </c>
      <c r="E493" t="inlineStr">
        <is>
          <t>HEDEMORA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59232-2023</t>
        </is>
      </c>
      <c r="B494" s="1" t="n">
        <v>45253</v>
      </c>
      <c r="C494" s="1" t="n">
        <v>45573</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59515-2023</t>
        </is>
      </c>
      <c r="B495" s="1" t="n">
        <v>45253</v>
      </c>
      <c r="C495" s="1" t="n">
        <v>45573</v>
      </c>
      <c r="D495" t="inlineStr">
        <is>
          <t>DALARNAS LÄN</t>
        </is>
      </c>
      <c r="E495" t="inlineStr">
        <is>
          <t>HEDEMORA</t>
        </is>
      </c>
      <c r="G495" t="n">
        <v>5.1</v>
      </c>
      <c r="H495" t="n">
        <v>0</v>
      </c>
      <c r="I495" t="n">
        <v>0</v>
      </c>
      <c r="J495" t="n">
        <v>0</v>
      </c>
      <c r="K495" t="n">
        <v>0</v>
      </c>
      <c r="L495" t="n">
        <v>0</v>
      </c>
      <c r="M495" t="n">
        <v>0</v>
      </c>
      <c r="N495" t="n">
        <v>0</v>
      </c>
      <c r="O495" t="n">
        <v>0</v>
      </c>
      <c r="P495" t="n">
        <v>0</v>
      </c>
      <c r="Q495" t="n">
        <v>0</v>
      </c>
      <c r="R495" s="2" t="inlineStr"/>
    </row>
    <row r="496" ht="15" customHeight="1">
      <c r="A496" t="inlineStr">
        <is>
          <t>A 59519-2023</t>
        </is>
      </c>
      <c r="B496" s="1" t="n">
        <v>45253</v>
      </c>
      <c r="C496" s="1" t="n">
        <v>45573</v>
      </c>
      <c r="D496" t="inlineStr">
        <is>
          <t>DALARNAS LÄN</t>
        </is>
      </c>
      <c r="E496" t="inlineStr">
        <is>
          <t>HEDEMORA</t>
        </is>
      </c>
      <c r="G496" t="n">
        <v>1.9</v>
      </c>
      <c r="H496" t="n">
        <v>0</v>
      </c>
      <c r="I496" t="n">
        <v>0</v>
      </c>
      <c r="J496" t="n">
        <v>0</v>
      </c>
      <c r="K496" t="n">
        <v>0</v>
      </c>
      <c r="L496" t="n">
        <v>0</v>
      </c>
      <c r="M496" t="n">
        <v>0</v>
      </c>
      <c r="N496" t="n">
        <v>0</v>
      </c>
      <c r="O496" t="n">
        <v>0</v>
      </c>
      <c r="P496" t="n">
        <v>0</v>
      </c>
      <c r="Q496" t="n">
        <v>0</v>
      </c>
      <c r="R496" s="2" t="inlineStr"/>
    </row>
    <row r="497" ht="15" customHeight="1">
      <c r="A497" t="inlineStr">
        <is>
          <t>A 59632-2023</t>
        </is>
      </c>
      <c r="B497" s="1" t="n">
        <v>45254</v>
      </c>
      <c r="C497" s="1" t="n">
        <v>45573</v>
      </c>
      <c r="D497" t="inlineStr">
        <is>
          <t>DALARNAS LÄN</t>
        </is>
      </c>
      <c r="E497" t="inlineStr">
        <is>
          <t>HEDEMORA</t>
        </is>
      </c>
      <c r="G497" t="n">
        <v>1.4</v>
      </c>
      <c r="H497" t="n">
        <v>0</v>
      </c>
      <c r="I497" t="n">
        <v>0</v>
      </c>
      <c r="J497" t="n">
        <v>0</v>
      </c>
      <c r="K497" t="n">
        <v>0</v>
      </c>
      <c r="L497" t="n">
        <v>0</v>
      </c>
      <c r="M497" t="n">
        <v>0</v>
      </c>
      <c r="N497" t="n">
        <v>0</v>
      </c>
      <c r="O497" t="n">
        <v>0</v>
      </c>
      <c r="P497" t="n">
        <v>0</v>
      </c>
      <c r="Q497" t="n">
        <v>0</v>
      </c>
      <c r="R497" s="2" t="inlineStr"/>
    </row>
    <row r="498" ht="15" customHeight="1">
      <c r="A498" t="inlineStr">
        <is>
          <t>A 59728-2023</t>
        </is>
      </c>
      <c r="B498" s="1" t="n">
        <v>45257</v>
      </c>
      <c r="C498" s="1" t="n">
        <v>45573</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60496-2023</t>
        </is>
      </c>
      <c r="B499" s="1" t="n">
        <v>45259</v>
      </c>
      <c r="C499" s="1" t="n">
        <v>45573</v>
      </c>
      <c r="D499" t="inlineStr">
        <is>
          <t>DALARNAS LÄN</t>
        </is>
      </c>
      <c r="E499" t="inlineStr">
        <is>
          <t>HEDEMORA</t>
        </is>
      </c>
      <c r="G499" t="n">
        <v>0.8</v>
      </c>
      <c r="H499" t="n">
        <v>0</v>
      </c>
      <c r="I499" t="n">
        <v>0</v>
      </c>
      <c r="J499" t="n">
        <v>0</v>
      </c>
      <c r="K499" t="n">
        <v>0</v>
      </c>
      <c r="L499" t="n">
        <v>0</v>
      </c>
      <c r="M499" t="n">
        <v>0</v>
      </c>
      <c r="N499" t="n">
        <v>0</v>
      </c>
      <c r="O499" t="n">
        <v>0</v>
      </c>
      <c r="P499" t="n">
        <v>0</v>
      </c>
      <c r="Q499" t="n">
        <v>0</v>
      </c>
      <c r="R499" s="2" t="inlineStr"/>
      <c r="U499">
        <f>HYPERLINK("https://klasma.github.io/Logging_2083/knärot/A 60496-2023 karta knärot.png", "A 60496-2023")</f>
        <v/>
      </c>
      <c r="V499">
        <f>HYPERLINK("https://klasma.github.io/Logging_2083/klagomål/A 60496-2023 FSC-klagomål.docx", "A 60496-2023")</f>
        <v/>
      </c>
      <c r="W499">
        <f>HYPERLINK("https://klasma.github.io/Logging_2083/klagomålsmail/A 60496-2023 FSC-klagomål mail.docx", "A 60496-2023")</f>
        <v/>
      </c>
      <c r="X499">
        <f>HYPERLINK("https://klasma.github.io/Logging_2083/tillsyn/A 60496-2023 tillsynsbegäran.docx", "A 60496-2023")</f>
        <v/>
      </c>
      <c r="Y499">
        <f>HYPERLINK("https://klasma.github.io/Logging_2083/tillsynsmail/A 60496-2023 tillsynsbegäran mail.docx", "A 60496-2023")</f>
        <v/>
      </c>
    </row>
    <row r="500" ht="15" customHeight="1">
      <c r="A500" t="inlineStr">
        <is>
          <t>A 60767-2023</t>
        </is>
      </c>
      <c r="B500" s="1" t="n">
        <v>45260</v>
      </c>
      <c r="C500" s="1" t="n">
        <v>45573</v>
      </c>
      <c r="D500" t="inlineStr">
        <is>
          <t>DALARNAS LÄN</t>
        </is>
      </c>
      <c r="E500" t="inlineStr">
        <is>
          <t>HEDEMORA</t>
        </is>
      </c>
      <c r="G500" t="n">
        <v>3.9</v>
      </c>
      <c r="H500" t="n">
        <v>0</v>
      </c>
      <c r="I500" t="n">
        <v>0</v>
      </c>
      <c r="J500" t="n">
        <v>0</v>
      </c>
      <c r="K500" t="n">
        <v>0</v>
      </c>
      <c r="L500" t="n">
        <v>0</v>
      </c>
      <c r="M500" t="n">
        <v>0</v>
      </c>
      <c r="N500" t="n">
        <v>0</v>
      </c>
      <c r="O500" t="n">
        <v>0</v>
      </c>
      <c r="P500" t="n">
        <v>0</v>
      </c>
      <c r="Q500" t="n">
        <v>0</v>
      </c>
      <c r="R500" s="2" t="inlineStr"/>
    </row>
    <row r="501" ht="15" customHeight="1">
      <c r="A501" t="inlineStr">
        <is>
          <t>A 60806-2023</t>
        </is>
      </c>
      <c r="B501" s="1" t="n">
        <v>45260</v>
      </c>
      <c r="C501" s="1" t="n">
        <v>45573</v>
      </c>
      <c r="D501" t="inlineStr">
        <is>
          <t>DALARNAS LÄN</t>
        </is>
      </c>
      <c r="E501" t="inlineStr">
        <is>
          <t>HEDEMORA</t>
        </is>
      </c>
      <c r="G501" t="n">
        <v>1.7</v>
      </c>
      <c r="H501" t="n">
        <v>0</v>
      </c>
      <c r="I501" t="n">
        <v>0</v>
      </c>
      <c r="J501" t="n">
        <v>0</v>
      </c>
      <c r="K501" t="n">
        <v>0</v>
      </c>
      <c r="L501" t="n">
        <v>0</v>
      </c>
      <c r="M501" t="n">
        <v>0</v>
      </c>
      <c r="N501" t="n">
        <v>0</v>
      </c>
      <c r="O501" t="n">
        <v>0</v>
      </c>
      <c r="P501" t="n">
        <v>0</v>
      </c>
      <c r="Q501" t="n">
        <v>0</v>
      </c>
      <c r="R501" s="2" t="inlineStr"/>
    </row>
    <row r="502" ht="15" customHeight="1">
      <c r="A502" t="inlineStr">
        <is>
          <t>A 60786-2023</t>
        </is>
      </c>
      <c r="B502" s="1" t="n">
        <v>45260</v>
      </c>
      <c r="C502" s="1" t="n">
        <v>45573</v>
      </c>
      <c r="D502" t="inlineStr">
        <is>
          <t>DALARNAS LÄN</t>
        </is>
      </c>
      <c r="E502" t="inlineStr">
        <is>
          <t>HEDEMORA</t>
        </is>
      </c>
      <c r="G502" t="n">
        <v>7.1</v>
      </c>
      <c r="H502" t="n">
        <v>0</v>
      </c>
      <c r="I502" t="n">
        <v>0</v>
      </c>
      <c r="J502" t="n">
        <v>0</v>
      </c>
      <c r="K502" t="n">
        <v>0</v>
      </c>
      <c r="L502" t="n">
        <v>0</v>
      </c>
      <c r="M502" t="n">
        <v>0</v>
      </c>
      <c r="N502" t="n">
        <v>0</v>
      </c>
      <c r="O502" t="n">
        <v>0</v>
      </c>
      <c r="P502" t="n">
        <v>0</v>
      </c>
      <c r="Q502" t="n">
        <v>0</v>
      </c>
      <c r="R502" s="2" t="inlineStr"/>
    </row>
    <row r="503" ht="15" customHeight="1">
      <c r="A503" t="inlineStr">
        <is>
          <t>A 60811-2023</t>
        </is>
      </c>
      <c r="B503" s="1" t="n">
        <v>45260</v>
      </c>
      <c r="C503" s="1" t="n">
        <v>45573</v>
      </c>
      <c r="D503" t="inlineStr">
        <is>
          <t>DALARNAS LÄN</t>
        </is>
      </c>
      <c r="E503" t="inlineStr">
        <is>
          <t>HEDEMORA</t>
        </is>
      </c>
      <c r="G503" t="n">
        <v>3.9</v>
      </c>
      <c r="H503" t="n">
        <v>0</v>
      </c>
      <c r="I503" t="n">
        <v>0</v>
      </c>
      <c r="J503" t="n">
        <v>0</v>
      </c>
      <c r="K503" t="n">
        <v>0</v>
      </c>
      <c r="L503" t="n">
        <v>0</v>
      </c>
      <c r="M503" t="n">
        <v>0</v>
      </c>
      <c r="N503" t="n">
        <v>0</v>
      </c>
      <c r="O503" t="n">
        <v>0</v>
      </c>
      <c r="P503" t="n">
        <v>0</v>
      </c>
      <c r="Q503" t="n">
        <v>0</v>
      </c>
      <c r="R503" s="2" t="inlineStr"/>
    </row>
    <row r="504" ht="15" customHeight="1">
      <c r="A504" t="inlineStr">
        <is>
          <t>A 61671-2023</t>
        </is>
      </c>
      <c r="B504" s="1" t="n">
        <v>45265</v>
      </c>
      <c r="C504" s="1" t="n">
        <v>45573</v>
      </c>
      <c r="D504" t="inlineStr">
        <is>
          <t>DALARNAS LÄN</t>
        </is>
      </c>
      <c r="E504" t="inlineStr">
        <is>
          <t>HEDEMORA</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62054-2023</t>
        </is>
      </c>
      <c r="B505" s="1" t="n">
        <v>45265</v>
      </c>
      <c r="C505" s="1" t="n">
        <v>45573</v>
      </c>
      <c r="D505" t="inlineStr">
        <is>
          <t>DALARNAS LÄN</t>
        </is>
      </c>
      <c r="E505" t="inlineStr">
        <is>
          <t>HEDEMORA</t>
        </is>
      </c>
      <c r="G505" t="n">
        <v>2.3</v>
      </c>
      <c r="H505" t="n">
        <v>0</v>
      </c>
      <c r="I505" t="n">
        <v>0</v>
      </c>
      <c r="J505" t="n">
        <v>0</v>
      </c>
      <c r="K505" t="n">
        <v>0</v>
      </c>
      <c r="L505" t="n">
        <v>0</v>
      </c>
      <c r="M505" t="n">
        <v>0</v>
      </c>
      <c r="N505" t="n">
        <v>0</v>
      </c>
      <c r="O505" t="n">
        <v>0</v>
      </c>
      <c r="P505" t="n">
        <v>0</v>
      </c>
      <c r="Q505" t="n">
        <v>0</v>
      </c>
      <c r="R505" s="2" t="inlineStr"/>
    </row>
    <row r="506" ht="15" customHeight="1">
      <c r="A506" t="inlineStr">
        <is>
          <t>A 62188-2023</t>
        </is>
      </c>
      <c r="B506" s="1" t="n">
        <v>45267</v>
      </c>
      <c r="C506" s="1" t="n">
        <v>45573</v>
      </c>
      <c r="D506" t="inlineStr">
        <is>
          <t>DALARNAS LÄN</t>
        </is>
      </c>
      <c r="E506" t="inlineStr">
        <is>
          <t>HEDEMORA</t>
        </is>
      </c>
      <c r="G506" t="n">
        <v>2.1</v>
      </c>
      <c r="H506" t="n">
        <v>0</v>
      </c>
      <c r="I506" t="n">
        <v>0</v>
      </c>
      <c r="J506" t="n">
        <v>0</v>
      </c>
      <c r="K506" t="n">
        <v>0</v>
      </c>
      <c r="L506" t="n">
        <v>0</v>
      </c>
      <c r="M506" t="n">
        <v>0</v>
      </c>
      <c r="N506" t="n">
        <v>0</v>
      </c>
      <c r="O506" t="n">
        <v>0</v>
      </c>
      <c r="P506" t="n">
        <v>0</v>
      </c>
      <c r="Q506" t="n">
        <v>0</v>
      </c>
      <c r="R506" s="2" t="inlineStr"/>
    </row>
    <row r="507" ht="15" customHeight="1">
      <c r="A507" t="inlineStr">
        <is>
          <t>A 62386-2023</t>
        </is>
      </c>
      <c r="B507" s="1" t="n">
        <v>45268</v>
      </c>
      <c r="C507" s="1" t="n">
        <v>45573</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62401-2023</t>
        </is>
      </c>
      <c r="B508" s="1" t="n">
        <v>45268</v>
      </c>
      <c r="C508" s="1" t="n">
        <v>45573</v>
      </c>
      <c r="D508" t="inlineStr">
        <is>
          <t>DALARNAS LÄN</t>
        </is>
      </c>
      <c r="E508" t="inlineStr">
        <is>
          <t>HEDEMORA</t>
        </is>
      </c>
      <c r="G508" t="n">
        <v>1.6</v>
      </c>
      <c r="H508" t="n">
        <v>0</v>
      </c>
      <c r="I508" t="n">
        <v>0</v>
      </c>
      <c r="J508" t="n">
        <v>0</v>
      </c>
      <c r="K508" t="n">
        <v>0</v>
      </c>
      <c r="L508" t="n">
        <v>0</v>
      </c>
      <c r="M508" t="n">
        <v>0</v>
      </c>
      <c r="N508" t="n">
        <v>0</v>
      </c>
      <c r="O508" t="n">
        <v>0</v>
      </c>
      <c r="P508" t="n">
        <v>0</v>
      </c>
      <c r="Q508" t="n">
        <v>0</v>
      </c>
      <c r="R508" s="2" t="inlineStr"/>
    </row>
    <row r="509" ht="15" customHeight="1">
      <c r="A509" t="inlineStr">
        <is>
          <t>A 62398-2023</t>
        </is>
      </c>
      <c r="B509" s="1" t="n">
        <v>45268</v>
      </c>
      <c r="C509" s="1" t="n">
        <v>45573</v>
      </c>
      <c r="D509" t="inlineStr">
        <is>
          <t>DALARNAS LÄN</t>
        </is>
      </c>
      <c r="E509" t="inlineStr">
        <is>
          <t>HEDEMORA</t>
        </is>
      </c>
      <c r="G509" t="n">
        <v>2.1</v>
      </c>
      <c r="H509" t="n">
        <v>0</v>
      </c>
      <c r="I509" t="n">
        <v>0</v>
      </c>
      <c r="J509" t="n">
        <v>0</v>
      </c>
      <c r="K509" t="n">
        <v>0</v>
      </c>
      <c r="L509" t="n">
        <v>0</v>
      </c>
      <c r="M509" t="n">
        <v>0</v>
      </c>
      <c r="N509" t="n">
        <v>0</v>
      </c>
      <c r="O509" t="n">
        <v>0</v>
      </c>
      <c r="P509" t="n">
        <v>0</v>
      </c>
      <c r="Q509" t="n">
        <v>0</v>
      </c>
      <c r="R509" s="2" t="inlineStr"/>
    </row>
    <row r="510" ht="15" customHeight="1">
      <c r="A510" t="inlineStr">
        <is>
          <t>A 62374-2023</t>
        </is>
      </c>
      <c r="B510" s="1" t="n">
        <v>45268</v>
      </c>
      <c r="C510" s="1" t="n">
        <v>45573</v>
      </c>
      <c r="D510" t="inlineStr">
        <is>
          <t>DALARNAS LÄN</t>
        </is>
      </c>
      <c r="E510" t="inlineStr">
        <is>
          <t>HEDEMORA</t>
        </is>
      </c>
      <c r="G510" t="n">
        <v>2.5</v>
      </c>
      <c r="H510" t="n">
        <v>0</v>
      </c>
      <c r="I510" t="n">
        <v>0</v>
      </c>
      <c r="J510" t="n">
        <v>0</v>
      </c>
      <c r="K510" t="n">
        <v>0</v>
      </c>
      <c r="L510" t="n">
        <v>0</v>
      </c>
      <c r="M510" t="n">
        <v>0</v>
      </c>
      <c r="N510" t="n">
        <v>0</v>
      </c>
      <c r="O510" t="n">
        <v>0</v>
      </c>
      <c r="P510" t="n">
        <v>0</v>
      </c>
      <c r="Q510" t="n">
        <v>0</v>
      </c>
      <c r="R510" s="2" t="inlineStr"/>
    </row>
    <row r="511" ht="15" customHeight="1">
      <c r="A511" t="inlineStr">
        <is>
          <t>A 63543-2023</t>
        </is>
      </c>
      <c r="B511" s="1" t="n">
        <v>45275</v>
      </c>
      <c r="C511" s="1" t="n">
        <v>45573</v>
      </c>
      <c r="D511" t="inlineStr">
        <is>
          <t>DALARNAS LÄN</t>
        </is>
      </c>
      <c r="E511" t="inlineStr">
        <is>
          <t>HEDEMORA</t>
        </is>
      </c>
      <c r="G511" t="n">
        <v>1.3</v>
      </c>
      <c r="H511" t="n">
        <v>0</v>
      </c>
      <c r="I511" t="n">
        <v>0</v>
      </c>
      <c r="J511" t="n">
        <v>0</v>
      </c>
      <c r="K511" t="n">
        <v>0</v>
      </c>
      <c r="L511" t="n">
        <v>0</v>
      </c>
      <c r="M511" t="n">
        <v>0</v>
      </c>
      <c r="N511" t="n">
        <v>0</v>
      </c>
      <c r="O511" t="n">
        <v>0</v>
      </c>
      <c r="P511" t="n">
        <v>0</v>
      </c>
      <c r="Q511" t="n">
        <v>0</v>
      </c>
      <c r="R511" s="2" t="inlineStr"/>
    </row>
    <row r="512" ht="15" customHeight="1">
      <c r="A512" t="inlineStr">
        <is>
          <t>A 63925-2023</t>
        </is>
      </c>
      <c r="B512" s="1" t="n">
        <v>45278</v>
      </c>
      <c r="C512" s="1" t="n">
        <v>45573</v>
      </c>
      <c r="D512" t="inlineStr">
        <is>
          <t>DALARNAS LÄN</t>
        </is>
      </c>
      <c r="E512" t="inlineStr">
        <is>
          <t>HEDEMORA</t>
        </is>
      </c>
      <c r="G512" t="n">
        <v>5.2</v>
      </c>
      <c r="H512" t="n">
        <v>0</v>
      </c>
      <c r="I512" t="n">
        <v>0</v>
      </c>
      <c r="J512" t="n">
        <v>0</v>
      </c>
      <c r="K512" t="n">
        <v>0</v>
      </c>
      <c r="L512" t="n">
        <v>0</v>
      </c>
      <c r="M512" t="n">
        <v>0</v>
      </c>
      <c r="N512" t="n">
        <v>0</v>
      </c>
      <c r="O512" t="n">
        <v>0</v>
      </c>
      <c r="P512" t="n">
        <v>0</v>
      </c>
      <c r="Q512" t="n">
        <v>0</v>
      </c>
      <c r="R512" s="2" t="inlineStr"/>
    </row>
    <row r="513" ht="15" customHeight="1">
      <c r="A513" t="inlineStr">
        <is>
          <t>A 63929-2023</t>
        </is>
      </c>
      <c r="B513" s="1" t="n">
        <v>45278</v>
      </c>
      <c r="C513" s="1" t="n">
        <v>45573</v>
      </c>
      <c r="D513" t="inlineStr">
        <is>
          <t>DALARNAS LÄN</t>
        </is>
      </c>
      <c r="E513" t="inlineStr">
        <is>
          <t>HEDEMORA</t>
        </is>
      </c>
      <c r="G513" t="n">
        <v>0.4</v>
      </c>
      <c r="H513" t="n">
        <v>0</v>
      </c>
      <c r="I513" t="n">
        <v>0</v>
      </c>
      <c r="J513" t="n">
        <v>0</v>
      </c>
      <c r="K513" t="n">
        <v>0</v>
      </c>
      <c r="L513" t="n">
        <v>0</v>
      </c>
      <c r="M513" t="n">
        <v>0</v>
      </c>
      <c r="N513" t="n">
        <v>0</v>
      </c>
      <c r="O513" t="n">
        <v>0</v>
      </c>
      <c r="P513" t="n">
        <v>0</v>
      </c>
      <c r="Q513" t="n">
        <v>0</v>
      </c>
      <c r="R513" s="2" t="inlineStr"/>
    </row>
    <row r="514" ht="15" customHeight="1">
      <c r="A514" t="inlineStr">
        <is>
          <t>A 63941-2023</t>
        </is>
      </c>
      <c r="B514" s="1" t="n">
        <v>45278</v>
      </c>
      <c r="C514" s="1" t="n">
        <v>45573</v>
      </c>
      <c r="D514" t="inlineStr">
        <is>
          <t>DALARNAS LÄN</t>
        </is>
      </c>
      <c r="E514" t="inlineStr">
        <is>
          <t>HEDEMORA</t>
        </is>
      </c>
      <c r="G514" t="n">
        <v>1.1</v>
      </c>
      <c r="H514" t="n">
        <v>0</v>
      </c>
      <c r="I514" t="n">
        <v>0</v>
      </c>
      <c r="J514" t="n">
        <v>0</v>
      </c>
      <c r="K514" t="n">
        <v>0</v>
      </c>
      <c r="L514" t="n">
        <v>0</v>
      </c>
      <c r="M514" t="n">
        <v>0</v>
      </c>
      <c r="N514" t="n">
        <v>0</v>
      </c>
      <c r="O514" t="n">
        <v>0</v>
      </c>
      <c r="P514" t="n">
        <v>0</v>
      </c>
      <c r="Q514" t="n">
        <v>0</v>
      </c>
      <c r="R514" s="2" t="inlineStr"/>
    </row>
    <row r="515" ht="15" customHeight="1">
      <c r="A515" t="inlineStr">
        <is>
          <t>A 63926-2023</t>
        </is>
      </c>
      <c r="B515" s="1" t="n">
        <v>45278</v>
      </c>
      <c r="C515" s="1" t="n">
        <v>45573</v>
      </c>
      <c r="D515" t="inlineStr">
        <is>
          <t>DALARNAS LÄN</t>
        </is>
      </c>
      <c r="E515" t="inlineStr">
        <is>
          <t>HEDEMORA</t>
        </is>
      </c>
      <c r="G515" t="n">
        <v>5</v>
      </c>
      <c r="H515" t="n">
        <v>0</v>
      </c>
      <c r="I515" t="n">
        <v>0</v>
      </c>
      <c r="J515" t="n">
        <v>0</v>
      </c>
      <c r="K515" t="n">
        <v>0</v>
      </c>
      <c r="L515" t="n">
        <v>0</v>
      </c>
      <c r="M515" t="n">
        <v>0</v>
      </c>
      <c r="N515" t="n">
        <v>0</v>
      </c>
      <c r="O515" t="n">
        <v>0</v>
      </c>
      <c r="P515" t="n">
        <v>0</v>
      </c>
      <c r="Q515" t="n">
        <v>0</v>
      </c>
      <c r="R515" s="2" t="inlineStr"/>
    </row>
    <row r="516" ht="15" customHeight="1">
      <c r="A516" t="inlineStr">
        <is>
          <t>A 63911-2023</t>
        </is>
      </c>
      <c r="B516" s="1" t="n">
        <v>45278</v>
      </c>
      <c r="C516" s="1" t="n">
        <v>45573</v>
      </c>
      <c r="D516" t="inlineStr">
        <is>
          <t>DALARNAS LÄN</t>
        </is>
      </c>
      <c r="E516" t="inlineStr">
        <is>
          <t>HEDEMORA</t>
        </is>
      </c>
      <c r="G516" t="n">
        <v>8.9</v>
      </c>
      <c r="H516" t="n">
        <v>0</v>
      </c>
      <c r="I516" t="n">
        <v>0</v>
      </c>
      <c r="J516" t="n">
        <v>0</v>
      </c>
      <c r="K516" t="n">
        <v>0</v>
      </c>
      <c r="L516" t="n">
        <v>0</v>
      </c>
      <c r="M516" t="n">
        <v>0</v>
      </c>
      <c r="N516" t="n">
        <v>0</v>
      </c>
      <c r="O516" t="n">
        <v>0</v>
      </c>
      <c r="P516" t="n">
        <v>0</v>
      </c>
      <c r="Q516" t="n">
        <v>0</v>
      </c>
      <c r="R516" s="2" t="inlineStr"/>
    </row>
    <row r="517" ht="15" customHeight="1">
      <c r="A517" t="inlineStr">
        <is>
          <t>A 64276-2023</t>
        </is>
      </c>
      <c r="B517" s="1" t="n">
        <v>45280</v>
      </c>
      <c r="C517" s="1" t="n">
        <v>45573</v>
      </c>
      <c r="D517" t="inlineStr">
        <is>
          <t>DALARNAS LÄN</t>
        </is>
      </c>
      <c r="E517" t="inlineStr">
        <is>
          <t>HEDEMORA</t>
        </is>
      </c>
      <c r="G517" t="n">
        <v>3.5</v>
      </c>
      <c r="H517" t="n">
        <v>0</v>
      </c>
      <c r="I517" t="n">
        <v>0</v>
      </c>
      <c r="J517" t="n">
        <v>0</v>
      </c>
      <c r="K517" t="n">
        <v>0</v>
      </c>
      <c r="L517" t="n">
        <v>0</v>
      </c>
      <c r="M517" t="n">
        <v>0</v>
      </c>
      <c r="N517" t="n">
        <v>0</v>
      </c>
      <c r="O517" t="n">
        <v>0</v>
      </c>
      <c r="P517" t="n">
        <v>0</v>
      </c>
      <c r="Q517" t="n">
        <v>0</v>
      </c>
      <c r="R517" s="2" t="inlineStr"/>
    </row>
    <row r="518" ht="15" customHeight="1">
      <c r="A518" t="inlineStr">
        <is>
          <t>A 64965-2023</t>
        </is>
      </c>
      <c r="B518" s="1" t="n">
        <v>45283</v>
      </c>
      <c r="C518" s="1" t="n">
        <v>45573</v>
      </c>
      <c r="D518" t="inlineStr">
        <is>
          <t>DALARNAS LÄN</t>
        </is>
      </c>
      <c r="E518" t="inlineStr">
        <is>
          <t>HEDEMORA</t>
        </is>
      </c>
      <c r="G518" t="n">
        <v>6</v>
      </c>
      <c r="H518" t="n">
        <v>0</v>
      </c>
      <c r="I518" t="n">
        <v>0</v>
      </c>
      <c r="J518" t="n">
        <v>0</v>
      </c>
      <c r="K518" t="n">
        <v>0</v>
      </c>
      <c r="L518" t="n">
        <v>0</v>
      </c>
      <c r="M518" t="n">
        <v>0</v>
      </c>
      <c r="N518" t="n">
        <v>0</v>
      </c>
      <c r="O518" t="n">
        <v>0</v>
      </c>
      <c r="P518" t="n">
        <v>0</v>
      </c>
      <c r="Q518" t="n">
        <v>0</v>
      </c>
      <c r="R518" s="2" t="inlineStr"/>
    </row>
    <row r="519" ht="15" customHeight="1">
      <c r="A519" t="inlineStr">
        <is>
          <t>A 64964-2023</t>
        </is>
      </c>
      <c r="B519" s="1" t="n">
        <v>45283</v>
      </c>
      <c r="C519" s="1" t="n">
        <v>45573</v>
      </c>
      <c r="D519" t="inlineStr">
        <is>
          <t>DALARNAS LÄN</t>
        </is>
      </c>
      <c r="E519" t="inlineStr">
        <is>
          <t>HEDEMORA</t>
        </is>
      </c>
      <c r="G519" t="n">
        <v>0.9</v>
      </c>
      <c r="H519" t="n">
        <v>0</v>
      </c>
      <c r="I519" t="n">
        <v>0</v>
      </c>
      <c r="J519" t="n">
        <v>0</v>
      </c>
      <c r="K519" t="n">
        <v>0</v>
      </c>
      <c r="L519" t="n">
        <v>0</v>
      </c>
      <c r="M519" t="n">
        <v>0</v>
      </c>
      <c r="N519" t="n">
        <v>0</v>
      </c>
      <c r="O519" t="n">
        <v>0</v>
      </c>
      <c r="P519" t="n">
        <v>0</v>
      </c>
      <c r="Q519" t="n">
        <v>0</v>
      </c>
      <c r="R519" s="2" t="inlineStr"/>
    </row>
    <row r="520" ht="15" customHeight="1">
      <c r="A520" t="inlineStr">
        <is>
          <t>A 65057-2023</t>
        </is>
      </c>
      <c r="B520" s="1" t="n">
        <v>45287</v>
      </c>
      <c r="C520" s="1" t="n">
        <v>45573</v>
      </c>
      <c r="D520" t="inlineStr">
        <is>
          <t>DALARNAS LÄN</t>
        </is>
      </c>
      <c r="E520" t="inlineStr">
        <is>
          <t>HEDEMORA</t>
        </is>
      </c>
      <c r="G520" t="n">
        <v>1.8</v>
      </c>
      <c r="H520" t="n">
        <v>0</v>
      </c>
      <c r="I520" t="n">
        <v>0</v>
      </c>
      <c r="J520" t="n">
        <v>0</v>
      </c>
      <c r="K520" t="n">
        <v>0</v>
      </c>
      <c r="L520" t="n">
        <v>0</v>
      </c>
      <c r="M520" t="n">
        <v>0</v>
      </c>
      <c r="N520" t="n">
        <v>0</v>
      </c>
      <c r="O520" t="n">
        <v>0</v>
      </c>
      <c r="P520" t="n">
        <v>0</v>
      </c>
      <c r="Q520" t="n">
        <v>0</v>
      </c>
      <c r="R520" s="2" t="inlineStr"/>
    </row>
    <row r="521" ht="15" customHeight="1">
      <c r="A521" t="inlineStr">
        <is>
          <t>A 385-2024</t>
        </is>
      </c>
      <c r="B521" s="1" t="n">
        <v>45296</v>
      </c>
      <c r="C521" s="1" t="n">
        <v>45573</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1072-2024</t>
        </is>
      </c>
      <c r="B522" s="1" t="n">
        <v>45302</v>
      </c>
      <c r="C522" s="1" t="n">
        <v>45573</v>
      </c>
      <c r="D522" t="inlineStr">
        <is>
          <t>DALARNAS LÄN</t>
        </is>
      </c>
      <c r="E522" t="inlineStr">
        <is>
          <t>HEDEMORA</t>
        </is>
      </c>
      <c r="G522" t="n">
        <v>1.8</v>
      </c>
      <c r="H522" t="n">
        <v>0</v>
      </c>
      <c r="I522" t="n">
        <v>0</v>
      </c>
      <c r="J522" t="n">
        <v>0</v>
      </c>
      <c r="K522" t="n">
        <v>0</v>
      </c>
      <c r="L522" t="n">
        <v>0</v>
      </c>
      <c r="M522" t="n">
        <v>0</v>
      </c>
      <c r="N522" t="n">
        <v>0</v>
      </c>
      <c r="O522" t="n">
        <v>0</v>
      </c>
      <c r="P522" t="n">
        <v>0</v>
      </c>
      <c r="Q522" t="n">
        <v>0</v>
      </c>
      <c r="R522" s="2" t="inlineStr"/>
    </row>
    <row r="523" ht="15" customHeight="1">
      <c r="A523" t="inlineStr">
        <is>
          <t>A 1168-2024</t>
        </is>
      </c>
      <c r="B523" s="1" t="n">
        <v>45302</v>
      </c>
      <c r="C523" s="1" t="n">
        <v>45573</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2915-2024</t>
        </is>
      </c>
      <c r="B524" s="1" t="n">
        <v>45315</v>
      </c>
      <c r="C524" s="1" t="n">
        <v>45573</v>
      </c>
      <c r="D524" t="inlineStr">
        <is>
          <t>DALARNAS LÄN</t>
        </is>
      </c>
      <c r="E524" t="inlineStr">
        <is>
          <t>HEDEMORA</t>
        </is>
      </c>
      <c r="G524" t="n">
        <v>2</v>
      </c>
      <c r="H524" t="n">
        <v>0</v>
      </c>
      <c r="I524" t="n">
        <v>0</v>
      </c>
      <c r="J524" t="n">
        <v>0</v>
      </c>
      <c r="K524" t="n">
        <v>0</v>
      </c>
      <c r="L524" t="n">
        <v>0</v>
      </c>
      <c r="M524" t="n">
        <v>0</v>
      </c>
      <c r="N524" t="n">
        <v>0</v>
      </c>
      <c r="O524" t="n">
        <v>0</v>
      </c>
      <c r="P524" t="n">
        <v>0</v>
      </c>
      <c r="Q524" t="n">
        <v>0</v>
      </c>
      <c r="R524" s="2" t="inlineStr"/>
    </row>
    <row r="525" ht="15" customHeight="1">
      <c r="A525" t="inlineStr">
        <is>
          <t>A 3089-2024</t>
        </is>
      </c>
      <c r="B525" s="1" t="n">
        <v>45316</v>
      </c>
      <c r="C525" s="1" t="n">
        <v>45573</v>
      </c>
      <c r="D525" t="inlineStr">
        <is>
          <t>DALARNAS LÄN</t>
        </is>
      </c>
      <c r="E525" t="inlineStr">
        <is>
          <t>HEDEMORA</t>
        </is>
      </c>
      <c r="G525" t="n">
        <v>5.5</v>
      </c>
      <c r="H525" t="n">
        <v>0</v>
      </c>
      <c r="I525" t="n">
        <v>0</v>
      </c>
      <c r="J525" t="n">
        <v>0</v>
      </c>
      <c r="K525" t="n">
        <v>0</v>
      </c>
      <c r="L525" t="n">
        <v>0</v>
      </c>
      <c r="M525" t="n">
        <v>0</v>
      </c>
      <c r="N525" t="n">
        <v>0</v>
      </c>
      <c r="O525" t="n">
        <v>0</v>
      </c>
      <c r="P525" t="n">
        <v>0</v>
      </c>
      <c r="Q525" t="n">
        <v>0</v>
      </c>
      <c r="R525" s="2" t="inlineStr"/>
    </row>
    <row r="526" ht="15" customHeight="1">
      <c r="A526" t="inlineStr">
        <is>
          <t>A 4391-2024</t>
        </is>
      </c>
      <c r="B526" s="1" t="n">
        <v>45327</v>
      </c>
      <c r="C526" s="1" t="n">
        <v>45573</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6210-2024</t>
        </is>
      </c>
      <c r="B527" s="1" t="n">
        <v>45337</v>
      </c>
      <c r="C527" s="1" t="n">
        <v>45573</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6880-2024</t>
        </is>
      </c>
      <c r="B528" s="1" t="n">
        <v>45342</v>
      </c>
      <c r="C528" s="1" t="n">
        <v>45573</v>
      </c>
      <c r="D528" t="inlineStr">
        <is>
          <t>DALARNAS LÄN</t>
        </is>
      </c>
      <c r="E528" t="inlineStr">
        <is>
          <t>HEDEMORA</t>
        </is>
      </c>
      <c r="G528" t="n">
        <v>4.1</v>
      </c>
      <c r="H528" t="n">
        <v>0</v>
      </c>
      <c r="I528" t="n">
        <v>0</v>
      </c>
      <c r="J528" t="n">
        <v>0</v>
      </c>
      <c r="K528" t="n">
        <v>0</v>
      </c>
      <c r="L528" t="n">
        <v>0</v>
      </c>
      <c r="M528" t="n">
        <v>0</v>
      </c>
      <c r="N528" t="n">
        <v>0</v>
      </c>
      <c r="O528" t="n">
        <v>0</v>
      </c>
      <c r="P528" t="n">
        <v>0</v>
      </c>
      <c r="Q528" t="n">
        <v>0</v>
      </c>
      <c r="R528" s="2" t="inlineStr"/>
    </row>
    <row r="529" ht="15" customHeight="1">
      <c r="A529" t="inlineStr">
        <is>
          <t>A 6881-2024</t>
        </is>
      </c>
      <c r="B529" s="1" t="n">
        <v>45342</v>
      </c>
      <c r="C529" s="1" t="n">
        <v>45573</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7914-2024</t>
        </is>
      </c>
      <c r="B530" s="1" t="n">
        <v>45350</v>
      </c>
      <c r="C530" s="1" t="n">
        <v>45573</v>
      </c>
      <c r="D530" t="inlineStr">
        <is>
          <t>DALARNAS LÄN</t>
        </is>
      </c>
      <c r="E530" t="inlineStr">
        <is>
          <t>HEDEMORA</t>
        </is>
      </c>
      <c r="G530" t="n">
        <v>4.1</v>
      </c>
      <c r="H530" t="n">
        <v>0</v>
      </c>
      <c r="I530" t="n">
        <v>0</v>
      </c>
      <c r="J530" t="n">
        <v>0</v>
      </c>
      <c r="K530" t="n">
        <v>0</v>
      </c>
      <c r="L530" t="n">
        <v>0</v>
      </c>
      <c r="M530" t="n">
        <v>0</v>
      </c>
      <c r="N530" t="n">
        <v>0</v>
      </c>
      <c r="O530" t="n">
        <v>0</v>
      </c>
      <c r="P530" t="n">
        <v>0</v>
      </c>
      <c r="Q530" t="n">
        <v>0</v>
      </c>
      <c r="R530" s="2" t="inlineStr"/>
    </row>
    <row r="531" ht="15" customHeight="1">
      <c r="A531" t="inlineStr">
        <is>
          <t>A 7916-2024</t>
        </is>
      </c>
      <c r="B531" s="1" t="n">
        <v>45350</v>
      </c>
      <c r="C531" s="1" t="n">
        <v>45573</v>
      </c>
      <c r="D531" t="inlineStr">
        <is>
          <t>DALARNAS LÄN</t>
        </is>
      </c>
      <c r="E531" t="inlineStr">
        <is>
          <t>HEDEMORA</t>
        </is>
      </c>
      <c r="G531" t="n">
        <v>5.8</v>
      </c>
      <c r="H531" t="n">
        <v>0</v>
      </c>
      <c r="I531" t="n">
        <v>0</v>
      </c>
      <c r="J531" t="n">
        <v>0</v>
      </c>
      <c r="K531" t="n">
        <v>0</v>
      </c>
      <c r="L531" t="n">
        <v>0</v>
      </c>
      <c r="M531" t="n">
        <v>0</v>
      </c>
      <c r="N531" t="n">
        <v>0</v>
      </c>
      <c r="O531" t="n">
        <v>0</v>
      </c>
      <c r="P531" t="n">
        <v>0</v>
      </c>
      <c r="Q531" t="n">
        <v>0</v>
      </c>
      <c r="R531" s="2" t="inlineStr"/>
    </row>
    <row r="532" ht="15" customHeight="1">
      <c r="A532" t="inlineStr">
        <is>
          <t>A 9314-2024</t>
        </is>
      </c>
      <c r="B532" s="1" t="n">
        <v>45358</v>
      </c>
      <c r="C532" s="1" t="n">
        <v>45573</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9313-2024</t>
        </is>
      </c>
      <c r="B533" s="1" t="n">
        <v>45358</v>
      </c>
      <c r="C533" s="1" t="n">
        <v>45573</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12126-2024</t>
        </is>
      </c>
      <c r="B534" s="1" t="n">
        <v>45377</v>
      </c>
      <c r="C534" s="1" t="n">
        <v>45573</v>
      </c>
      <c r="D534" t="inlineStr">
        <is>
          <t>DALARNAS LÄN</t>
        </is>
      </c>
      <c r="E534" t="inlineStr">
        <is>
          <t>HEDEMORA</t>
        </is>
      </c>
      <c r="G534" t="n">
        <v>1.5</v>
      </c>
      <c r="H534" t="n">
        <v>0</v>
      </c>
      <c r="I534" t="n">
        <v>0</v>
      </c>
      <c r="J534" t="n">
        <v>0</v>
      </c>
      <c r="K534" t="n">
        <v>0</v>
      </c>
      <c r="L534" t="n">
        <v>0</v>
      </c>
      <c r="M534" t="n">
        <v>0</v>
      </c>
      <c r="N534" t="n">
        <v>0</v>
      </c>
      <c r="O534" t="n">
        <v>0</v>
      </c>
      <c r="P534" t="n">
        <v>0</v>
      </c>
      <c r="Q534" t="n">
        <v>0</v>
      </c>
      <c r="R534" s="2" t="inlineStr"/>
    </row>
    <row r="535" ht="15" customHeight="1">
      <c r="A535" t="inlineStr">
        <is>
          <t>A 12030-2024</t>
        </is>
      </c>
      <c r="B535" s="1" t="n">
        <v>45377</v>
      </c>
      <c r="C535" s="1" t="n">
        <v>45573</v>
      </c>
      <c r="D535" t="inlineStr">
        <is>
          <t>DALARNAS LÄN</t>
        </is>
      </c>
      <c r="E535" t="inlineStr">
        <is>
          <t>HEDEMORA</t>
        </is>
      </c>
      <c r="G535" t="n">
        <v>0.7</v>
      </c>
      <c r="H535" t="n">
        <v>0</v>
      </c>
      <c r="I535" t="n">
        <v>0</v>
      </c>
      <c r="J535" t="n">
        <v>0</v>
      </c>
      <c r="K535" t="n">
        <v>0</v>
      </c>
      <c r="L535" t="n">
        <v>0</v>
      </c>
      <c r="M535" t="n">
        <v>0</v>
      </c>
      <c r="N535" t="n">
        <v>0</v>
      </c>
      <c r="O535" t="n">
        <v>0</v>
      </c>
      <c r="P535" t="n">
        <v>0</v>
      </c>
      <c r="Q535" t="n">
        <v>0</v>
      </c>
      <c r="R535" s="2" t="inlineStr"/>
    </row>
    <row r="536" ht="15" customHeight="1">
      <c r="A536" t="inlineStr">
        <is>
          <t>A 13657-2024</t>
        </is>
      </c>
      <c r="B536" s="1" t="n">
        <v>45390</v>
      </c>
      <c r="C536" s="1" t="n">
        <v>45573</v>
      </c>
      <c r="D536" t="inlineStr">
        <is>
          <t>DALARNAS LÄN</t>
        </is>
      </c>
      <c r="E536" t="inlineStr">
        <is>
          <t>HEDEMORA</t>
        </is>
      </c>
      <c r="G536" t="n">
        <v>3.1</v>
      </c>
      <c r="H536" t="n">
        <v>0</v>
      </c>
      <c r="I536" t="n">
        <v>0</v>
      </c>
      <c r="J536" t="n">
        <v>0</v>
      </c>
      <c r="K536" t="n">
        <v>0</v>
      </c>
      <c r="L536" t="n">
        <v>0</v>
      </c>
      <c r="M536" t="n">
        <v>0</v>
      </c>
      <c r="N536" t="n">
        <v>0</v>
      </c>
      <c r="O536" t="n">
        <v>0</v>
      </c>
      <c r="P536" t="n">
        <v>0</v>
      </c>
      <c r="Q536" t="n">
        <v>0</v>
      </c>
      <c r="R536" s="2" t="inlineStr"/>
    </row>
    <row r="537" ht="15" customHeight="1">
      <c r="A537" t="inlineStr">
        <is>
          <t>A 14120-2024</t>
        </is>
      </c>
      <c r="B537" s="1" t="n">
        <v>45392</v>
      </c>
      <c r="C537" s="1" t="n">
        <v>45573</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15345-2024</t>
        </is>
      </c>
      <c r="B538" s="1" t="n">
        <v>45400</v>
      </c>
      <c r="C538" s="1" t="n">
        <v>45573</v>
      </c>
      <c r="D538" t="inlineStr">
        <is>
          <t>DALARNAS LÄN</t>
        </is>
      </c>
      <c r="E538" t="inlineStr">
        <is>
          <t>HEDEMORA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16413-2024</t>
        </is>
      </c>
      <c r="B539" s="1" t="n">
        <v>45407</v>
      </c>
      <c r="C539" s="1" t="n">
        <v>45573</v>
      </c>
      <c r="D539" t="inlineStr">
        <is>
          <t>DALARNAS LÄN</t>
        </is>
      </c>
      <c r="E539" t="inlineStr">
        <is>
          <t>HEDEMORA</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16410-2024</t>
        </is>
      </c>
      <c r="B540" s="1" t="n">
        <v>45407</v>
      </c>
      <c r="C540" s="1" t="n">
        <v>45573</v>
      </c>
      <c r="D540" t="inlineStr">
        <is>
          <t>DALARNAS LÄN</t>
        </is>
      </c>
      <c r="E540" t="inlineStr">
        <is>
          <t>HEDEMORA</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16408-2024</t>
        </is>
      </c>
      <c r="B541" s="1" t="n">
        <v>45407</v>
      </c>
      <c r="C541" s="1" t="n">
        <v>45573</v>
      </c>
      <c r="D541" t="inlineStr">
        <is>
          <t>DALARNAS LÄN</t>
        </is>
      </c>
      <c r="E541" t="inlineStr">
        <is>
          <t>HEDEMORA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18223-2024</t>
        </is>
      </c>
      <c r="B542" s="1" t="n">
        <v>45421</v>
      </c>
      <c r="C542" s="1" t="n">
        <v>45573</v>
      </c>
      <c r="D542" t="inlineStr">
        <is>
          <t>DALARNAS LÄN</t>
        </is>
      </c>
      <c r="E542" t="inlineStr">
        <is>
          <t>HEDEMORA</t>
        </is>
      </c>
      <c r="F542" t="inlineStr">
        <is>
          <t>Sveaskog</t>
        </is>
      </c>
      <c r="G542" t="n">
        <v>29.8</v>
      </c>
      <c r="H542" t="n">
        <v>0</v>
      </c>
      <c r="I542" t="n">
        <v>0</v>
      </c>
      <c r="J542" t="n">
        <v>0</v>
      </c>
      <c r="K542" t="n">
        <v>0</v>
      </c>
      <c r="L542" t="n">
        <v>0</v>
      </c>
      <c r="M542" t="n">
        <v>0</v>
      </c>
      <c r="N542" t="n">
        <v>0</v>
      </c>
      <c r="O542" t="n">
        <v>0</v>
      </c>
      <c r="P542" t="n">
        <v>0</v>
      </c>
      <c r="Q542" t="n">
        <v>0</v>
      </c>
      <c r="R542" s="2" t="inlineStr"/>
    </row>
    <row r="543" ht="15" customHeight="1">
      <c r="A543" t="inlineStr">
        <is>
          <t>A 18699-2024</t>
        </is>
      </c>
      <c r="B543" s="1" t="n">
        <v>45426</v>
      </c>
      <c r="C543" s="1" t="n">
        <v>45573</v>
      </c>
      <c r="D543" t="inlineStr">
        <is>
          <t>DALARNAS LÄN</t>
        </is>
      </c>
      <c r="E543" t="inlineStr">
        <is>
          <t>HEDEMORA</t>
        </is>
      </c>
      <c r="G543" t="n">
        <v>6.6</v>
      </c>
      <c r="H543" t="n">
        <v>0</v>
      </c>
      <c r="I543" t="n">
        <v>0</v>
      </c>
      <c r="J543" t="n">
        <v>0</v>
      </c>
      <c r="K543" t="n">
        <v>0</v>
      </c>
      <c r="L543" t="n">
        <v>0</v>
      </c>
      <c r="M543" t="n">
        <v>0</v>
      </c>
      <c r="N543" t="n">
        <v>0</v>
      </c>
      <c r="O543" t="n">
        <v>0</v>
      </c>
      <c r="P543" t="n">
        <v>0</v>
      </c>
      <c r="Q543" t="n">
        <v>0</v>
      </c>
      <c r="R543" s="2" t="inlineStr"/>
    </row>
    <row r="544" ht="15" customHeight="1">
      <c r="A544" t="inlineStr">
        <is>
          <t>A 19353-2024</t>
        </is>
      </c>
      <c r="B544" s="1" t="n">
        <v>45429</v>
      </c>
      <c r="C544" s="1" t="n">
        <v>45573</v>
      </c>
      <c r="D544" t="inlineStr">
        <is>
          <t>DALARNAS LÄN</t>
        </is>
      </c>
      <c r="E544" t="inlineStr">
        <is>
          <t>HEDEMORA</t>
        </is>
      </c>
      <c r="F544" t="inlineStr">
        <is>
          <t>Sveaskog</t>
        </is>
      </c>
      <c r="G544" t="n">
        <v>16.3</v>
      </c>
      <c r="H544" t="n">
        <v>0</v>
      </c>
      <c r="I544" t="n">
        <v>0</v>
      </c>
      <c r="J544" t="n">
        <v>0</v>
      </c>
      <c r="K544" t="n">
        <v>0</v>
      </c>
      <c r="L544" t="n">
        <v>0</v>
      </c>
      <c r="M544" t="n">
        <v>0</v>
      </c>
      <c r="N544" t="n">
        <v>0</v>
      </c>
      <c r="O544" t="n">
        <v>0</v>
      </c>
      <c r="P544" t="n">
        <v>0</v>
      </c>
      <c r="Q544" t="n">
        <v>0</v>
      </c>
      <c r="R544" s="2" t="inlineStr"/>
    </row>
    <row r="545" ht="15" customHeight="1">
      <c r="A545" t="inlineStr">
        <is>
          <t>A 19397-2024</t>
        </is>
      </c>
      <c r="B545" s="1" t="n">
        <v>45429</v>
      </c>
      <c r="C545" s="1" t="n">
        <v>45573</v>
      </c>
      <c r="D545" t="inlineStr">
        <is>
          <t>DALARNAS LÄN</t>
        </is>
      </c>
      <c r="E545" t="inlineStr">
        <is>
          <t>HEDEMORA</t>
        </is>
      </c>
      <c r="G545" t="n">
        <v>1.8</v>
      </c>
      <c r="H545" t="n">
        <v>0</v>
      </c>
      <c r="I545" t="n">
        <v>0</v>
      </c>
      <c r="J545" t="n">
        <v>0</v>
      </c>
      <c r="K545" t="n">
        <v>0</v>
      </c>
      <c r="L545" t="n">
        <v>0</v>
      </c>
      <c r="M545" t="n">
        <v>0</v>
      </c>
      <c r="N545" t="n">
        <v>0</v>
      </c>
      <c r="O545" t="n">
        <v>0</v>
      </c>
      <c r="P545" t="n">
        <v>0</v>
      </c>
      <c r="Q545" t="n">
        <v>0</v>
      </c>
      <c r="R545" s="2" t="inlineStr"/>
    </row>
    <row r="546" ht="15" customHeight="1">
      <c r="A546" t="inlineStr">
        <is>
          <t>A 19473-2024</t>
        </is>
      </c>
      <c r="B546" s="1" t="n">
        <v>45429</v>
      </c>
      <c r="C546" s="1" t="n">
        <v>45573</v>
      </c>
      <c r="D546" t="inlineStr">
        <is>
          <t>DALARNAS LÄN</t>
        </is>
      </c>
      <c r="E546" t="inlineStr">
        <is>
          <t>HEDEMORA</t>
        </is>
      </c>
      <c r="G546" t="n">
        <v>2.5</v>
      </c>
      <c r="H546" t="n">
        <v>0</v>
      </c>
      <c r="I546" t="n">
        <v>0</v>
      </c>
      <c r="J546" t="n">
        <v>0</v>
      </c>
      <c r="K546" t="n">
        <v>0</v>
      </c>
      <c r="L546" t="n">
        <v>0</v>
      </c>
      <c r="M546" t="n">
        <v>0</v>
      </c>
      <c r="N546" t="n">
        <v>0</v>
      </c>
      <c r="O546" t="n">
        <v>0</v>
      </c>
      <c r="P546" t="n">
        <v>0</v>
      </c>
      <c r="Q546" t="n">
        <v>0</v>
      </c>
      <c r="R546" s="2" t="inlineStr"/>
    </row>
    <row r="547" ht="15" customHeight="1">
      <c r="A547" t="inlineStr">
        <is>
          <t>A 19604-2024</t>
        </is>
      </c>
      <c r="B547" s="1" t="n">
        <v>45431</v>
      </c>
      <c r="C547" s="1" t="n">
        <v>45573</v>
      </c>
      <c r="D547" t="inlineStr">
        <is>
          <t>DALARNAS LÄN</t>
        </is>
      </c>
      <c r="E547" t="inlineStr">
        <is>
          <t>HEDEMORA</t>
        </is>
      </c>
      <c r="F547" t="inlineStr">
        <is>
          <t>Bergvik skog väst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20078-2024</t>
        </is>
      </c>
      <c r="B548" s="1" t="n">
        <v>45434</v>
      </c>
      <c r="C548" s="1" t="n">
        <v>45573</v>
      </c>
      <c r="D548" t="inlineStr">
        <is>
          <t>DALARNAS LÄN</t>
        </is>
      </c>
      <c r="E548" t="inlineStr">
        <is>
          <t>HEDEMORA</t>
        </is>
      </c>
      <c r="G548" t="n">
        <v>6.5</v>
      </c>
      <c r="H548" t="n">
        <v>0</v>
      </c>
      <c r="I548" t="n">
        <v>0</v>
      </c>
      <c r="J548" t="n">
        <v>0</v>
      </c>
      <c r="K548" t="n">
        <v>0</v>
      </c>
      <c r="L548" t="n">
        <v>0</v>
      </c>
      <c r="M548" t="n">
        <v>0</v>
      </c>
      <c r="N548" t="n">
        <v>0</v>
      </c>
      <c r="O548" t="n">
        <v>0</v>
      </c>
      <c r="P548" t="n">
        <v>0</v>
      </c>
      <c r="Q548" t="n">
        <v>0</v>
      </c>
      <c r="R548" s="2" t="inlineStr"/>
    </row>
    <row r="549" ht="15" customHeight="1">
      <c r="A549" t="inlineStr">
        <is>
          <t>A 20235-2024</t>
        </is>
      </c>
      <c r="B549" s="1" t="n">
        <v>45434</v>
      </c>
      <c r="C549" s="1" t="n">
        <v>45573</v>
      </c>
      <c r="D549" t="inlineStr">
        <is>
          <t>DALARNAS LÄN</t>
        </is>
      </c>
      <c r="E549" t="inlineStr">
        <is>
          <t>HEDEMORA</t>
        </is>
      </c>
      <c r="G549" t="n">
        <v>1.3</v>
      </c>
      <c r="H549" t="n">
        <v>0</v>
      </c>
      <c r="I549" t="n">
        <v>0</v>
      </c>
      <c r="J549" t="n">
        <v>0</v>
      </c>
      <c r="K549" t="n">
        <v>0</v>
      </c>
      <c r="L549" t="n">
        <v>0</v>
      </c>
      <c r="M549" t="n">
        <v>0</v>
      </c>
      <c r="N549" t="n">
        <v>0</v>
      </c>
      <c r="O549" t="n">
        <v>0</v>
      </c>
      <c r="P549" t="n">
        <v>0</v>
      </c>
      <c r="Q549" t="n">
        <v>0</v>
      </c>
      <c r="R549" s="2" t="inlineStr"/>
    </row>
    <row r="550" ht="15" customHeight="1">
      <c r="A550" t="inlineStr">
        <is>
          <t>A 20504-2024</t>
        </is>
      </c>
      <c r="B550" s="1" t="n">
        <v>45436</v>
      </c>
      <c r="C550" s="1" t="n">
        <v>45573</v>
      </c>
      <c r="D550" t="inlineStr">
        <is>
          <t>DALARNAS LÄN</t>
        </is>
      </c>
      <c r="E550" t="inlineStr">
        <is>
          <t>HEDEMORA</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20503-2024</t>
        </is>
      </c>
      <c r="B551" s="1" t="n">
        <v>45436</v>
      </c>
      <c r="C551" s="1" t="n">
        <v>45573</v>
      </c>
      <c r="D551" t="inlineStr">
        <is>
          <t>DALARNAS LÄN</t>
        </is>
      </c>
      <c r="E551" t="inlineStr">
        <is>
          <t>HEDEMORA</t>
        </is>
      </c>
      <c r="F551" t="inlineStr">
        <is>
          <t>Sveaskog</t>
        </is>
      </c>
      <c r="G551" t="n">
        <v>5.1</v>
      </c>
      <c r="H551" t="n">
        <v>0</v>
      </c>
      <c r="I551" t="n">
        <v>0</v>
      </c>
      <c r="J551" t="n">
        <v>0</v>
      </c>
      <c r="K551" t="n">
        <v>0</v>
      </c>
      <c r="L551" t="n">
        <v>0</v>
      </c>
      <c r="M551" t="n">
        <v>0</v>
      </c>
      <c r="N551" t="n">
        <v>0</v>
      </c>
      <c r="O551" t="n">
        <v>0</v>
      </c>
      <c r="P551" t="n">
        <v>0</v>
      </c>
      <c r="Q551" t="n">
        <v>0</v>
      </c>
      <c r="R551" s="2" t="inlineStr"/>
    </row>
    <row r="552" ht="15" customHeight="1">
      <c r="A552" t="inlineStr">
        <is>
          <t>A 20666-2024</t>
        </is>
      </c>
      <c r="B552" s="1" t="n">
        <v>45436</v>
      </c>
      <c r="C552" s="1" t="n">
        <v>45573</v>
      </c>
      <c r="D552" t="inlineStr">
        <is>
          <t>DALARNAS LÄN</t>
        </is>
      </c>
      <c r="E552" t="inlineStr">
        <is>
          <t>HEDEMORA</t>
        </is>
      </c>
      <c r="G552" t="n">
        <v>5.1</v>
      </c>
      <c r="H552" t="n">
        <v>0</v>
      </c>
      <c r="I552" t="n">
        <v>0</v>
      </c>
      <c r="J552" t="n">
        <v>0</v>
      </c>
      <c r="K552" t="n">
        <v>0</v>
      </c>
      <c r="L552" t="n">
        <v>0</v>
      </c>
      <c r="M552" t="n">
        <v>0</v>
      </c>
      <c r="N552" t="n">
        <v>0</v>
      </c>
      <c r="O552" t="n">
        <v>0</v>
      </c>
      <c r="P552" t="n">
        <v>0</v>
      </c>
      <c r="Q552" t="n">
        <v>0</v>
      </c>
      <c r="R552" s="2" t="inlineStr"/>
    </row>
    <row r="553" ht="15" customHeight="1">
      <c r="A553" t="inlineStr">
        <is>
          <t>A 20670-2024</t>
        </is>
      </c>
      <c r="B553" s="1" t="n">
        <v>45436</v>
      </c>
      <c r="C553" s="1" t="n">
        <v>45573</v>
      </c>
      <c r="D553" t="inlineStr">
        <is>
          <t>DALARNAS LÄN</t>
        </is>
      </c>
      <c r="E553" t="inlineStr">
        <is>
          <t>HEDEMORA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21270-2024</t>
        </is>
      </c>
      <c r="B554" s="1" t="n">
        <v>45440</v>
      </c>
      <c r="C554" s="1" t="n">
        <v>45573</v>
      </c>
      <c r="D554" t="inlineStr">
        <is>
          <t>DALARNAS LÄN</t>
        </is>
      </c>
      <c r="E554" t="inlineStr">
        <is>
          <t>HEDEMORA</t>
        </is>
      </c>
      <c r="G554" t="n">
        <v>4.7</v>
      </c>
      <c r="H554" t="n">
        <v>0</v>
      </c>
      <c r="I554" t="n">
        <v>0</v>
      </c>
      <c r="J554" t="n">
        <v>0</v>
      </c>
      <c r="K554" t="n">
        <v>0</v>
      </c>
      <c r="L554" t="n">
        <v>0</v>
      </c>
      <c r="M554" t="n">
        <v>0</v>
      </c>
      <c r="N554" t="n">
        <v>0</v>
      </c>
      <c r="O554" t="n">
        <v>0</v>
      </c>
      <c r="P554" t="n">
        <v>0</v>
      </c>
      <c r="Q554" t="n">
        <v>0</v>
      </c>
      <c r="R554" s="2" t="inlineStr"/>
    </row>
    <row r="555" ht="15" customHeight="1">
      <c r="A555" t="inlineStr">
        <is>
          <t>A 21514-2024</t>
        </is>
      </c>
      <c r="B555" s="1" t="n">
        <v>45441</v>
      </c>
      <c r="C555" s="1" t="n">
        <v>45573</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21539-2024</t>
        </is>
      </c>
      <c r="B556" s="1" t="n">
        <v>45441</v>
      </c>
      <c r="C556" s="1" t="n">
        <v>45573</v>
      </c>
      <c r="D556" t="inlineStr">
        <is>
          <t>DALARNAS LÄN</t>
        </is>
      </c>
      <c r="E556" t="inlineStr">
        <is>
          <t>HEDEMORA</t>
        </is>
      </c>
      <c r="F556" t="inlineStr">
        <is>
          <t>Sveaskog</t>
        </is>
      </c>
      <c r="G556" t="n">
        <v>11.9</v>
      </c>
      <c r="H556" t="n">
        <v>0</v>
      </c>
      <c r="I556" t="n">
        <v>0</v>
      </c>
      <c r="J556" t="n">
        <v>0</v>
      </c>
      <c r="K556" t="n">
        <v>0</v>
      </c>
      <c r="L556" t="n">
        <v>0</v>
      </c>
      <c r="M556" t="n">
        <v>0</v>
      </c>
      <c r="N556" t="n">
        <v>0</v>
      </c>
      <c r="O556" t="n">
        <v>0</v>
      </c>
      <c r="P556" t="n">
        <v>0</v>
      </c>
      <c r="Q556" t="n">
        <v>0</v>
      </c>
      <c r="R556" s="2" t="inlineStr"/>
    </row>
    <row r="557" ht="15" customHeight="1">
      <c r="A557" t="inlineStr">
        <is>
          <t>A 21595-2024</t>
        </is>
      </c>
      <c r="B557" s="1" t="n">
        <v>45441</v>
      </c>
      <c r="C557" s="1" t="n">
        <v>45573</v>
      </c>
      <c r="D557" t="inlineStr">
        <is>
          <t>DALARNAS LÄN</t>
        </is>
      </c>
      <c r="E557" t="inlineStr">
        <is>
          <t>HEDEMORA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21538-2024</t>
        </is>
      </c>
      <c r="B558" s="1" t="n">
        <v>45441</v>
      </c>
      <c r="C558" s="1" t="n">
        <v>45573</v>
      </c>
      <c r="D558" t="inlineStr">
        <is>
          <t>DALARNAS LÄN</t>
        </is>
      </c>
      <c r="E558" t="inlineStr">
        <is>
          <t>HEDEMORA</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21763-2024</t>
        </is>
      </c>
      <c r="B559" s="1" t="n">
        <v>45442</v>
      </c>
      <c r="C559" s="1" t="n">
        <v>45573</v>
      </c>
      <c r="D559" t="inlineStr">
        <is>
          <t>DALARNAS LÄN</t>
        </is>
      </c>
      <c r="E559" t="inlineStr">
        <is>
          <t>HEDEMORA</t>
        </is>
      </c>
      <c r="G559" t="n">
        <v>1.6</v>
      </c>
      <c r="H559" t="n">
        <v>0</v>
      </c>
      <c r="I559" t="n">
        <v>0</v>
      </c>
      <c r="J559" t="n">
        <v>0</v>
      </c>
      <c r="K559" t="n">
        <v>0</v>
      </c>
      <c r="L559" t="n">
        <v>0</v>
      </c>
      <c r="M559" t="n">
        <v>0</v>
      </c>
      <c r="N559" t="n">
        <v>0</v>
      </c>
      <c r="O559" t="n">
        <v>0</v>
      </c>
      <c r="P559" t="n">
        <v>0</v>
      </c>
      <c r="Q559" t="n">
        <v>0</v>
      </c>
      <c r="R559" s="2" t="inlineStr"/>
    </row>
    <row r="560" ht="15" customHeight="1">
      <c r="A560" t="inlineStr">
        <is>
          <t>A 21823-2024</t>
        </is>
      </c>
      <c r="B560" s="1" t="n">
        <v>45442</v>
      </c>
      <c r="C560" s="1" t="n">
        <v>45573</v>
      </c>
      <c r="D560" t="inlineStr">
        <is>
          <t>DALARNAS LÄN</t>
        </is>
      </c>
      <c r="E560" t="inlineStr">
        <is>
          <t>HEDEMORA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22588-2024</t>
        </is>
      </c>
      <c r="B561" s="1" t="n">
        <v>45447</v>
      </c>
      <c r="C561" s="1" t="n">
        <v>45573</v>
      </c>
      <c r="D561" t="inlineStr">
        <is>
          <t>DALARNAS LÄN</t>
        </is>
      </c>
      <c r="E561" t="inlineStr">
        <is>
          <t>HEDEMORA</t>
        </is>
      </c>
      <c r="G561" t="n">
        <v>8.4</v>
      </c>
      <c r="H561" t="n">
        <v>0</v>
      </c>
      <c r="I561" t="n">
        <v>0</v>
      </c>
      <c r="J561" t="n">
        <v>0</v>
      </c>
      <c r="K561" t="n">
        <v>0</v>
      </c>
      <c r="L561" t="n">
        <v>0</v>
      </c>
      <c r="M561" t="n">
        <v>0</v>
      </c>
      <c r="N561" t="n">
        <v>0</v>
      </c>
      <c r="O561" t="n">
        <v>0</v>
      </c>
      <c r="P561" t="n">
        <v>0</v>
      </c>
      <c r="Q561" t="n">
        <v>0</v>
      </c>
      <c r="R561" s="2" t="inlineStr"/>
    </row>
    <row r="562" ht="15" customHeight="1">
      <c r="A562" t="inlineStr">
        <is>
          <t>A 22914-2024</t>
        </is>
      </c>
      <c r="B562" s="1" t="n">
        <v>45448</v>
      </c>
      <c r="C562" s="1" t="n">
        <v>45573</v>
      </c>
      <c r="D562" t="inlineStr">
        <is>
          <t>DALARNAS LÄN</t>
        </is>
      </c>
      <c r="E562" t="inlineStr">
        <is>
          <t>HEDEMORA</t>
        </is>
      </c>
      <c r="G562" t="n">
        <v>2</v>
      </c>
      <c r="H562" t="n">
        <v>0</v>
      </c>
      <c r="I562" t="n">
        <v>0</v>
      </c>
      <c r="J562" t="n">
        <v>0</v>
      </c>
      <c r="K562" t="n">
        <v>0</v>
      </c>
      <c r="L562" t="n">
        <v>0</v>
      </c>
      <c r="M562" t="n">
        <v>0</v>
      </c>
      <c r="N562" t="n">
        <v>0</v>
      </c>
      <c r="O562" t="n">
        <v>0</v>
      </c>
      <c r="P562" t="n">
        <v>0</v>
      </c>
      <c r="Q562" t="n">
        <v>0</v>
      </c>
      <c r="R562" s="2" t="inlineStr"/>
    </row>
    <row r="563" ht="15" customHeight="1">
      <c r="A563" t="inlineStr">
        <is>
          <t>A 23826-2024</t>
        </is>
      </c>
      <c r="B563" s="1" t="n">
        <v>45455</v>
      </c>
      <c r="C563" s="1" t="n">
        <v>45573</v>
      </c>
      <c r="D563" t="inlineStr">
        <is>
          <t>DALARNAS LÄN</t>
        </is>
      </c>
      <c r="E563" t="inlineStr">
        <is>
          <t>HEDEMORA</t>
        </is>
      </c>
      <c r="G563" t="n">
        <v>1.2</v>
      </c>
      <c r="H563" t="n">
        <v>0</v>
      </c>
      <c r="I563" t="n">
        <v>0</v>
      </c>
      <c r="J563" t="n">
        <v>0</v>
      </c>
      <c r="K563" t="n">
        <v>0</v>
      </c>
      <c r="L563" t="n">
        <v>0</v>
      </c>
      <c r="M563" t="n">
        <v>0</v>
      </c>
      <c r="N563" t="n">
        <v>0</v>
      </c>
      <c r="O563" t="n">
        <v>0</v>
      </c>
      <c r="P563" t="n">
        <v>0</v>
      </c>
      <c r="Q563" t="n">
        <v>0</v>
      </c>
      <c r="R563" s="2" t="inlineStr"/>
    </row>
    <row r="564" ht="15" customHeight="1">
      <c r="A564" t="inlineStr">
        <is>
          <t>A 24382-2024</t>
        </is>
      </c>
      <c r="B564" s="1" t="n">
        <v>45457</v>
      </c>
      <c r="C564" s="1" t="n">
        <v>45573</v>
      </c>
      <c r="D564" t="inlineStr">
        <is>
          <t>DALARNAS LÄN</t>
        </is>
      </c>
      <c r="E564" t="inlineStr">
        <is>
          <t>HEDEMORA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24486-2024</t>
        </is>
      </c>
      <c r="B565" s="1" t="n">
        <v>45459</v>
      </c>
      <c r="C565" s="1" t="n">
        <v>45573</v>
      </c>
      <c r="D565" t="inlineStr">
        <is>
          <t>DALARNAS LÄN</t>
        </is>
      </c>
      <c r="E565" t="inlineStr">
        <is>
          <t>HEDEMORA</t>
        </is>
      </c>
      <c r="G565" t="n">
        <v>0.3</v>
      </c>
      <c r="H565" t="n">
        <v>0</v>
      </c>
      <c r="I565" t="n">
        <v>0</v>
      </c>
      <c r="J565" t="n">
        <v>0</v>
      </c>
      <c r="K565" t="n">
        <v>0</v>
      </c>
      <c r="L565" t="n">
        <v>0</v>
      </c>
      <c r="M565" t="n">
        <v>0</v>
      </c>
      <c r="N565" t="n">
        <v>0</v>
      </c>
      <c r="O565" t="n">
        <v>0</v>
      </c>
      <c r="P565" t="n">
        <v>0</v>
      </c>
      <c r="Q565" t="n">
        <v>0</v>
      </c>
      <c r="R565" s="2" t="inlineStr"/>
    </row>
    <row r="566" ht="15" customHeight="1">
      <c r="A566" t="inlineStr">
        <is>
          <t>A 25206-2024</t>
        </is>
      </c>
      <c r="B566" s="1" t="n">
        <v>45462</v>
      </c>
      <c r="C566" s="1" t="n">
        <v>45573</v>
      </c>
      <c r="D566" t="inlineStr">
        <is>
          <t>DALARNAS LÄN</t>
        </is>
      </c>
      <c r="E566" t="inlineStr">
        <is>
          <t>HEDEMORA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25195-2024</t>
        </is>
      </c>
      <c r="B567" s="1" t="n">
        <v>45462</v>
      </c>
      <c r="C567" s="1" t="n">
        <v>45573</v>
      </c>
      <c r="D567" t="inlineStr">
        <is>
          <t>DALARNAS LÄN</t>
        </is>
      </c>
      <c r="E567" t="inlineStr">
        <is>
          <t>HEDEMORA</t>
        </is>
      </c>
      <c r="F567" t="inlineStr">
        <is>
          <t>Övriga statliga verk och myndigheter</t>
        </is>
      </c>
      <c r="G567" t="n">
        <v>3.3</v>
      </c>
      <c r="H567" t="n">
        <v>0</v>
      </c>
      <c r="I567" t="n">
        <v>0</v>
      </c>
      <c r="J567" t="n">
        <v>0</v>
      </c>
      <c r="K567" t="n">
        <v>0</v>
      </c>
      <c r="L567" t="n">
        <v>0</v>
      </c>
      <c r="M567" t="n">
        <v>0</v>
      </c>
      <c r="N567" t="n">
        <v>0</v>
      </c>
      <c r="O567" t="n">
        <v>0</v>
      </c>
      <c r="P567" t="n">
        <v>0</v>
      </c>
      <c r="Q567" t="n">
        <v>0</v>
      </c>
      <c r="R567" s="2" t="inlineStr"/>
    </row>
    <row r="568" ht="15" customHeight="1">
      <c r="A568" t="inlineStr">
        <is>
          <t>A 25643-2024</t>
        </is>
      </c>
      <c r="B568" s="1" t="n">
        <v>45463</v>
      </c>
      <c r="C568" s="1" t="n">
        <v>45573</v>
      </c>
      <c r="D568" t="inlineStr">
        <is>
          <t>DALARNAS LÄN</t>
        </is>
      </c>
      <c r="E568" t="inlineStr">
        <is>
          <t>HEDEMORA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25645-2024</t>
        </is>
      </c>
      <c r="B569" s="1" t="n">
        <v>45463</v>
      </c>
      <c r="C569" s="1" t="n">
        <v>45573</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26452-2024</t>
        </is>
      </c>
      <c r="B570" s="1" t="n">
        <v>45469</v>
      </c>
      <c r="C570" s="1" t="n">
        <v>45573</v>
      </c>
      <c r="D570" t="inlineStr">
        <is>
          <t>DALARNAS LÄN</t>
        </is>
      </c>
      <c r="E570" t="inlineStr">
        <is>
          <t>HEDEMORA</t>
        </is>
      </c>
      <c r="G570" t="n">
        <v>2.3</v>
      </c>
      <c r="H570" t="n">
        <v>0</v>
      </c>
      <c r="I570" t="n">
        <v>0</v>
      </c>
      <c r="J570" t="n">
        <v>0</v>
      </c>
      <c r="K570" t="n">
        <v>0</v>
      </c>
      <c r="L570" t="n">
        <v>0</v>
      </c>
      <c r="M570" t="n">
        <v>0</v>
      </c>
      <c r="N570" t="n">
        <v>0</v>
      </c>
      <c r="O570" t="n">
        <v>0</v>
      </c>
      <c r="P570" t="n">
        <v>0</v>
      </c>
      <c r="Q570" t="n">
        <v>0</v>
      </c>
      <c r="R570" s="2" t="inlineStr"/>
    </row>
    <row r="571" ht="15" customHeight="1">
      <c r="A571" t="inlineStr">
        <is>
          <t>A 26449-2024</t>
        </is>
      </c>
      <c r="B571" s="1" t="n">
        <v>45469</v>
      </c>
      <c r="C571" s="1" t="n">
        <v>45573</v>
      </c>
      <c r="D571" t="inlineStr">
        <is>
          <t>DALARNAS LÄN</t>
        </is>
      </c>
      <c r="E571" t="inlineStr">
        <is>
          <t>HEDEMORA</t>
        </is>
      </c>
      <c r="G571" t="n">
        <v>4.5</v>
      </c>
      <c r="H571" t="n">
        <v>0</v>
      </c>
      <c r="I571" t="n">
        <v>0</v>
      </c>
      <c r="J571" t="n">
        <v>0</v>
      </c>
      <c r="K571" t="n">
        <v>0</v>
      </c>
      <c r="L571" t="n">
        <v>0</v>
      </c>
      <c r="M571" t="n">
        <v>0</v>
      </c>
      <c r="N571" t="n">
        <v>0</v>
      </c>
      <c r="O571" t="n">
        <v>0</v>
      </c>
      <c r="P571" t="n">
        <v>0</v>
      </c>
      <c r="Q571" t="n">
        <v>0</v>
      </c>
      <c r="R571" s="2" t="inlineStr"/>
    </row>
    <row r="572" ht="15" customHeight="1">
      <c r="A572" t="inlineStr">
        <is>
          <t>A 26431-2024</t>
        </is>
      </c>
      <c r="B572" s="1" t="n">
        <v>45469</v>
      </c>
      <c r="C572" s="1" t="n">
        <v>45573</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c r="U572">
        <f>HYPERLINK("https://klasma.github.io/Logging_2083/knärot/A 26431-2024 karta knärot.png", "A 26431-2024")</f>
        <v/>
      </c>
      <c r="V572">
        <f>HYPERLINK("https://klasma.github.io/Logging_2083/klagomål/A 26431-2024 FSC-klagomål.docx", "A 26431-2024")</f>
        <v/>
      </c>
      <c r="W572">
        <f>HYPERLINK("https://klasma.github.io/Logging_2083/klagomålsmail/A 26431-2024 FSC-klagomål mail.docx", "A 26431-2024")</f>
        <v/>
      </c>
      <c r="X572">
        <f>HYPERLINK("https://klasma.github.io/Logging_2083/tillsyn/A 26431-2024 tillsynsbegäran.docx", "A 26431-2024")</f>
        <v/>
      </c>
      <c r="Y572">
        <f>HYPERLINK("https://klasma.github.io/Logging_2083/tillsynsmail/A 26431-2024 tillsynsbegäran mail.docx", "A 26431-2024")</f>
        <v/>
      </c>
    </row>
    <row r="573" ht="15" customHeight="1">
      <c r="A573" t="inlineStr">
        <is>
          <t>A 27610-2024</t>
        </is>
      </c>
      <c r="B573" s="1" t="n">
        <v>45474</v>
      </c>
      <c r="C573" s="1" t="n">
        <v>45573</v>
      </c>
      <c r="D573" t="inlineStr">
        <is>
          <t>DALARNAS LÄN</t>
        </is>
      </c>
      <c r="E573" t="inlineStr">
        <is>
          <t>HEDEMORA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27609-2024</t>
        </is>
      </c>
      <c r="B574" s="1" t="n">
        <v>45474</v>
      </c>
      <c r="C574" s="1" t="n">
        <v>45573</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28148-2024</t>
        </is>
      </c>
      <c r="B575" s="1" t="n">
        <v>45476</v>
      </c>
      <c r="C575" s="1" t="n">
        <v>45573</v>
      </c>
      <c r="D575" t="inlineStr">
        <is>
          <t>DALARNAS LÄN</t>
        </is>
      </c>
      <c r="E575" t="inlineStr">
        <is>
          <t>HEDEMORA</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28149-2024</t>
        </is>
      </c>
      <c r="B576" s="1" t="n">
        <v>45476</v>
      </c>
      <c r="C576" s="1" t="n">
        <v>45573</v>
      </c>
      <c r="D576" t="inlineStr">
        <is>
          <t>DALARNAS LÄN</t>
        </is>
      </c>
      <c r="E576" t="inlineStr">
        <is>
          <t>HEDEMORA</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28813-2024</t>
        </is>
      </c>
      <c r="B577" s="1" t="n">
        <v>45478</v>
      </c>
      <c r="C577" s="1" t="n">
        <v>45573</v>
      </c>
      <c r="D577" t="inlineStr">
        <is>
          <t>DALARNAS LÄN</t>
        </is>
      </c>
      <c r="E577" t="inlineStr">
        <is>
          <t>HEDEMORA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29225-2024</t>
        </is>
      </c>
      <c r="B578" s="1" t="n">
        <v>45482</v>
      </c>
      <c r="C578" s="1" t="n">
        <v>45573</v>
      </c>
      <c r="D578" t="inlineStr">
        <is>
          <t>DALARNAS LÄN</t>
        </is>
      </c>
      <c r="E578" t="inlineStr">
        <is>
          <t>HEDEMORA</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29585-2024</t>
        </is>
      </c>
      <c r="B579" s="1" t="n">
        <v>45484</v>
      </c>
      <c r="C579" s="1" t="n">
        <v>45573</v>
      </c>
      <c r="D579" t="inlineStr">
        <is>
          <t>DALARNAS LÄN</t>
        </is>
      </c>
      <c r="E579" t="inlineStr">
        <is>
          <t>HEDEMORA</t>
        </is>
      </c>
      <c r="F579" t="inlineStr">
        <is>
          <t>Bergvik skog väst AB</t>
        </is>
      </c>
      <c r="G579" t="n">
        <v>8.1</v>
      </c>
      <c r="H579" t="n">
        <v>0</v>
      </c>
      <c r="I579" t="n">
        <v>0</v>
      </c>
      <c r="J579" t="n">
        <v>0</v>
      </c>
      <c r="K579" t="n">
        <v>0</v>
      </c>
      <c r="L579" t="n">
        <v>0</v>
      </c>
      <c r="M579" t="n">
        <v>0</v>
      </c>
      <c r="N579" t="n">
        <v>0</v>
      </c>
      <c r="O579" t="n">
        <v>0</v>
      </c>
      <c r="P579" t="n">
        <v>0</v>
      </c>
      <c r="Q579" t="n">
        <v>0</v>
      </c>
      <c r="R579" s="2" t="inlineStr"/>
    </row>
    <row r="580" ht="15" customHeight="1">
      <c r="A580" t="inlineStr">
        <is>
          <t>A 29640-2024</t>
        </is>
      </c>
      <c r="B580" s="1" t="n">
        <v>45484</v>
      </c>
      <c r="C580" s="1" t="n">
        <v>45573</v>
      </c>
      <c r="D580" t="inlineStr">
        <is>
          <t>DALARNAS LÄN</t>
        </is>
      </c>
      <c r="E580" t="inlineStr">
        <is>
          <t>HEDEMORA</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29591-2024</t>
        </is>
      </c>
      <c r="B581" s="1" t="n">
        <v>45484</v>
      </c>
      <c r="C581" s="1" t="n">
        <v>45573</v>
      </c>
      <c r="D581" t="inlineStr">
        <is>
          <t>DALARNAS LÄN</t>
        </is>
      </c>
      <c r="E581" t="inlineStr">
        <is>
          <t>HEDEMORA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29587-2024</t>
        </is>
      </c>
      <c r="B582" s="1" t="n">
        <v>45484</v>
      </c>
      <c r="C582" s="1" t="n">
        <v>45573</v>
      </c>
      <c r="D582" t="inlineStr">
        <is>
          <t>DALARNAS LÄN</t>
        </is>
      </c>
      <c r="E582" t="inlineStr">
        <is>
          <t>HEDEMORA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29833-2024</t>
        </is>
      </c>
      <c r="B583" s="1" t="n">
        <v>45485</v>
      </c>
      <c r="C583" s="1" t="n">
        <v>45573</v>
      </c>
      <c r="D583" t="inlineStr">
        <is>
          <t>DALARNAS LÄN</t>
        </is>
      </c>
      <c r="E583" t="inlineStr">
        <is>
          <t>HEDEMORA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29932-2024</t>
        </is>
      </c>
      <c r="B584" s="1" t="n">
        <v>45488</v>
      </c>
      <c r="C584" s="1" t="n">
        <v>45573</v>
      </c>
      <c r="D584" t="inlineStr">
        <is>
          <t>DALARNAS LÄN</t>
        </is>
      </c>
      <c r="E584" t="inlineStr">
        <is>
          <t>HEDEMORA</t>
        </is>
      </c>
      <c r="G584" t="n">
        <v>11.4</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45573</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45573</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45573</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45573</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45573</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31365-2024</t>
        </is>
      </c>
      <c r="B590" s="1" t="n">
        <v>45505</v>
      </c>
      <c r="C590" s="1" t="n">
        <v>45573</v>
      </c>
      <c r="D590" t="inlineStr">
        <is>
          <t>DALARNAS LÄN</t>
        </is>
      </c>
      <c r="E590" t="inlineStr">
        <is>
          <t>HEDEMORA</t>
        </is>
      </c>
      <c r="G590" t="n">
        <v>0.4</v>
      </c>
      <c r="H590" t="n">
        <v>0</v>
      </c>
      <c r="I590" t="n">
        <v>0</v>
      </c>
      <c r="J590" t="n">
        <v>0</v>
      </c>
      <c r="K590" t="n">
        <v>0</v>
      </c>
      <c r="L590" t="n">
        <v>0</v>
      </c>
      <c r="M590" t="n">
        <v>0</v>
      </c>
      <c r="N590" t="n">
        <v>0</v>
      </c>
      <c r="O590" t="n">
        <v>0</v>
      </c>
      <c r="P590" t="n">
        <v>0</v>
      </c>
      <c r="Q590" t="n">
        <v>0</v>
      </c>
      <c r="R590" s="2" t="inlineStr"/>
    </row>
    <row r="591" ht="15" customHeight="1">
      <c r="A591" t="inlineStr">
        <is>
          <t>A 31364-2024</t>
        </is>
      </c>
      <c r="B591" s="1" t="n">
        <v>45505</v>
      </c>
      <c r="C591" s="1" t="n">
        <v>45573</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45573</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ht="15" customHeight="1">
      <c r="A593" t="inlineStr">
        <is>
          <t>A 31968-2024</t>
        </is>
      </c>
      <c r="B593" s="1" t="n">
        <v>45510</v>
      </c>
      <c r="C593" s="1" t="n">
        <v>45573</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row r="594" ht="15" customHeight="1">
      <c r="A594" t="inlineStr">
        <is>
          <t>A 32625-2024</t>
        </is>
      </c>
      <c r="B594" s="1" t="n">
        <v>45513</v>
      </c>
      <c r="C594" s="1" t="n">
        <v>45573</v>
      </c>
      <c r="D594" t="inlineStr">
        <is>
          <t>DALARNAS LÄN</t>
        </is>
      </c>
      <c r="E594" t="inlineStr">
        <is>
          <t>HEDEMORA</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33020-2024</t>
        </is>
      </c>
      <c r="B595" s="1" t="n">
        <v>45517</v>
      </c>
      <c r="C595" s="1" t="n">
        <v>45573</v>
      </c>
      <c r="D595" t="inlineStr">
        <is>
          <t>DALARNAS LÄN</t>
        </is>
      </c>
      <c r="E595" t="inlineStr">
        <is>
          <t>HEDEMORA</t>
        </is>
      </c>
      <c r="G595" t="n">
        <v>4.6</v>
      </c>
      <c r="H595" t="n">
        <v>0</v>
      </c>
      <c r="I595" t="n">
        <v>0</v>
      </c>
      <c r="J595" t="n">
        <v>0</v>
      </c>
      <c r="K595" t="n">
        <v>0</v>
      </c>
      <c r="L595" t="n">
        <v>0</v>
      </c>
      <c r="M595" t="n">
        <v>0</v>
      </c>
      <c r="N595" t="n">
        <v>0</v>
      </c>
      <c r="O595" t="n">
        <v>0</v>
      </c>
      <c r="P595" t="n">
        <v>0</v>
      </c>
      <c r="Q595" t="n">
        <v>0</v>
      </c>
      <c r="R595" s="2" t="inlineStr"/>
    </row>
    <row r="596" ht="15" customHeight="1">
      <c r="A596" t="inlineStr">
        <is>
          <t>A 33244-2024</t>
        </is>
      </c>
      <c r="B596" s="1" t="n">
        <v>45518</v>
      </c>
      <c r="C596" s="1" t="n">
        <v>45573</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33192-2024</t>
        </is>
      </c>
      <c r="B597" s="1" t="n">
        <v>45518</v>
      </c>
      <c r="C597" s="1" t="n">
        <v>45573</v>
      </c>
      <c r="D597" t="inlineStr">
        <is>
          <t>DALARNAS LÄN</t>
        </is>
      </c>
      <c r="E597" t="inlineStr">
        <is>
          <t>HEDEMORA</t>
        </is>
      </c>
      <c r="G597" t="n">
        <v>1.5</v>
      </c>
      <c r="H597" t="n">
        <v>0</v>
      </c>
      <c r="I597" t="n">
        <v>0</v>
      </c>
      <c r="J597" t="n">
        <v>0</v>
      </c>
      <c r="K597" t="n">
        <v>0</v>
      </c>
      <c r="L597" t="n">
        <v>0</v>
      </c>
      <c r="M597" t="n">
        <v>0</v>
      </c>
      <c r="N597" t="n">
        <v>0</v>
      </c>
      <c r="O597" t="n">
        <v>0</v>
      </c>
      <c r="P597" t="n">
        <v>0</v>
      </c>
      <c r="Q597" t="n">
        <v>0</v>
      </c>
      <c r="R597" s="2" t="inlineStr"/>
    </row>
    <row r="598" ht="15" customHeight="1">
      <c r="A598" t="inlineStr">
        <is>
          <t>A 34537-2024</t>
        </is>
      </c>
      <c r="B598" s="1" t="n">
        <v>45525</v>
      </c>
      <c r="C598" s="1" t="n">
        <v>45573</v>
      </c>
      <c r="D598" t="inlineStr">
        <is>
          <t>DALARNAS LÄN</t>
        </is>
      </c>
      <c r="E598" t="inlineStr">
        <is>
          <t>HEDEMORA</t>
        </is>
      </c>
      <c r="G598" t="n">
        <v>8.4</v>
      </c>
      <c r="H598" t="n">
        <v>0</v>
      </c>
      <c r="I598" t="n">
        <v>0</v>
      </c>
      <c r="J598" t="n">
        <v>0</v>
      </c>
      <c r="K598" t="n">
        <v>0</v>
      </c>
      <c r="L598" t="n">
        <v>0</v>
      </c>
      <c r="M598" t="n">
        <v>0</v>
      </c>
      <c r="N598" t="n">
        <v>0</v>
      </c>
      <c r="O598" t="n">
        <v>0</v>
      </c>
      <c r="P598" t="n">
        <v>0</v>
      </c>
      <c r="Q598" t="n">
        <v>0</v>
      </c>
      <c r="R598" s="2" t="inlineStr"/>
    </row>
    <row r="599" ht="15" customHeight="1">
      <c r="A599" t="inlineStr">
        <is>
          <t>A 34930-2024</t>
        </is>
      </c>
      <c r="B599" s="1" t="n">
        <v>45527</v>
      </c>
      <c r="C599" s="1" t="n">
        <v>45573</v>
      </c>
      <c r="D599" t="inlineStr">
        <is>
          <t>DALARNAS LÄN</t>
        </is>
      </c>
      <c r="E599" t="inlineStr">
        <is>
          <t>HEDEMORA</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34929-2024</t>
        </is>
      </c>
      <c r="B600" s="1" t="n">
        <v>45527</v>
      </c>
      <c r="C600" s="1" t="n">
        <v>45573</v>
      </c>
      <c r="D600" t="inlineStr">
        <is>
          <t>DALARNAS LÄN</t>
        </is>
      </c>
      <c r="E600" t="inlineStr">
        <is>
          <t>HEDEMORA</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34928-2024</t>
        </is>
      </c>
      <c r="B601" s="1" t="n">
        <v>45527</v>
      </c>
      <c r="C601" s="1" t="n">
        <v>45573</v>
      </c>
      <c r="D601" t="inlineStr">
        <is>
          <t>DALARNAS LÄN</t>
        </is>
      </c>
      <c r="E601" t="inlineStr">
        <is>
          <t>HEDEMORA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34932-2024</t>
        </is>
      </c>
      <c r="B602" s="1" t="n">
        <v>45527</v>
      </c>
      <c r="C602" s="1" t="n">
        <v>45573</v>
      </c>
      <c r="D602" t="inlineStr">
        <is>
          <t>DALARNAS LÄN</t>
        </is>
      </c>
      <c r="E602" t="inlineStr">
        <is>
          <t>HEDEMORA</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34931-2024</t>
        </is>
      </c>
      <c r="B603" s="1" t="n">
        <v>45527</v>
      </c>
      <c r="C603" s="1" t="n">
        <v>45573</v>
      </c>
      <c r="D603" t="inlineStr">
        <is>
          <t>DALARNAS LÄN</t>
        </is>
      </c>
      <c r="E603" t="inlineStr">
        <is>
          <t>HEDEMORA</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35847-2024</t>
        </is>
      </c>
      <c r="B604" s="1" t="n">
        <v>45532</v>
      </c>
      <c r="C604" s="1" t="n">
        <v>45573</v>
      </c>
      <c r="D604" t="inlineStr">
        <is>
          <t>DALARNAS LÄN</t>
        </is>
      </c>
      <c r="E604" t="inlineStr">
        <is>
          <t>HEDEMORA</t>
        </is>
      </c>
      <c r="G604" t="n">
        <v>4.4</v>
      </c>
      <c r="H604" t="n">
        <v>0</v>
      </c>
      <c r="I604" t="n">
        <v>0</v>
      </c>
      <c r="J604" t="n">
        <v>0</v>
      </c>
      <c r="K604" t="n">
        <v>0</v>
      </c>
      <c r="L604" t="n">
        <v>0</v>
      </c>
      <c r="M604" t="n">
        <v>0</v>
      </c>
      <c r="N604" t="n">
        <v>0</v>
      </c>
      <c r="O604" t="n">
        <v>0</v>
      </c>
      <c r="P604" t="n">
        <v>0</v>
      </c>
      <c r="Q604" t="n">
        <v>0</v>
      </c>
      <c r="R604" s="2" t="inlineStr"/>
    </row>
    <row r="605" ht="15" customHeight="1">
      <c r="A605" t="inlineStr">
        <is>
          <t>A 36298-2024</t>
        </is>
      </c>
      <c r="B605" s="1" t="n">
        <v>45534</v>
      </c>
      <c r="C605" s="1" t="n">
        <v>45573</v>
      </c>
      <c r="D605" t="inlineStr">
        <is>
          <t>DALARNAS LÄN</t>
        </is>
      </c>
      <c r="E605" t="inlineStr">
        <is>
          <t>HEDEMORA</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36306-2024</t>
        </is>
      </c>
      <c r="B606" s="1" t="n">
        <v>45534</v>
      </c>
      <c r="C606" s="1" t="n">
        <v>45573</v>
      </c>
      <c r="D606" t="inlineStr">
        <is>
          <t>DALARNAS LÄN</t>
        </is>
      </c>
      <c r="E606" t="inlineStr">
        <is>
          <t>HEDEMORA</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36299-2024</t>
        </is>
      </c>
      <c r="B607" s="1" t="n">
        <v>45534</v>
      </c>
      <c r="C607" s="1" t="n">
        <v>45573</v>
      </c>
      <c r="D607" t="inlineStr">
        <is>
          <t>DALARNAS LÄN</t>
        </is>
      </c>
      <c r="E607" t="inlineStr">
        <is>
          <t>HEDEMORA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36304-2024</t>
        </is>
      </c>
      <c r="B608" s="1" t="n">
        <v>45534</v>
      </c>
      <c r="C608" s="1" t="n">
        <v>45573</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36560-2024</t>
        </is>
      </c>
      <c r="B609" s="1" t="n">
        <v>45537</v>
      </c>
      <c r="C609" s="1" t="n">
        <v>45573</v>
      </c>
      <c r="D609" t="inlineStr">
        <is>
          <t>DALARNAS LÄN</t>
        </is>
      </c>
      <c r="E609" t="inlineStr">
        <is>
          <t>HEDEMORA</t>
        </is>
      </c>
      <c r="F609" t="inlineStr">
        <is>
          <t>Sveaskog</t>
        </is>
      </c>
      <c r="G609" t="n">
        <v>5.6</v>
      </c>
      <c r="H609" t="n">
        <v>0</v>
      </c>
      <c r="I609" t="n">
        <v>0</v>
      </c>
      <c r="J609" t="n">
        <v>0</v>
      </c>
      <c r="K609" t="n">
        <v>0</v>
      </c>
      <c r="L609" t="n">
        <v>0</v>
      </c>
      <c r="M609" t="n">
        <v>0</v>
      </c>
      <c r="N609" t="n">
        <v>0</v>
      </c>
      <c r="O609" t="n">
        <v>0</v>
      </c>
      <c r="P609" t="n">
        <v>0</v>
      </c>
      <c r="Q609" t="n">
        <v>0</v>
      </c>
      <c r="R609" s="2" t="inlineStr"/>
    </row>
    <row r="610" ht="15" customHeight="1">
      <c r="A610" t="inlineStr">
        <is>
          <t>A 36507-2024</t>
        </is>
      </c>
      <c r="B610" s="1" t="n">
        <v>45537</v>
      </c>
      <c r="C610" s="1" t="n">
        <v>45573</v>
      </c>
      <c r="D610" t="inlineStr">
        <is>
          <t>DALARNAS LÄN</t>
        </is>
      </c>
      <c r="E610" t="inlineStr">
        <is>
          <t>HEDEMORA</t>
        </is>
      </c>
      <c r="G610" t="n">
        <v>1.7</v>
      </c>
      <c r="H610" t="n">
        <v>0</v>
      </c>
      <c r="I610" t="n">
        <v>0</v>
      </c>
      <c r="J610" t="n">
        <v>0</v>
      </c>
      <c r="K610" t="n">
        <v>0</v>
      </c>
      <c r="L610" t="n">
        <v>0</v>
      </c>
      <c r="M610" t="n">
        <v>0</v>
      </c>
      <c r="N610" t="n">
        <v>0</v>
      </c>
      <c r="O610" t="n">
        <v>0</v>
      </c>
      <c r="P610" t="n">
        <v>0</v>
      </c>
      <c r="Q610" t="n">
        <v>0</v>
      </c>
      <c r="R610" s="2" t="inlineStr"/>
    </row>
    <row r="611" ht="15" customHeight="1">
      <c r="A611" t="inlineStr">
        <is>
          <t>A 36935-2024</t>
        </is>
      </c>
      <c r="B611" s="1" t="n">
        <v>45538</v>
      </c>
      <c r="C611" s="1" t="n">
        <v>45573</v>
      </c>
      <c r="D611" t="inlineStr">
        <is>
          <t>DALARNAS LÄN</t>
        </is>
      </c>
      <c r="E611" t="inlineStr">
        <is>
          <t>HEDEMORA</t>
        </is>
      </c>
      <c r="G611" t="n">
        <v>1.4</v>
      </c>
      <c r="H611" t="n">
        <v>0</v>
      </c>
      <c r="I611" t="n">
        <v>0</v>
      </c>
      <c r="J611" t="n">
        <v>0</v>
      </c>
      <c r="K611" t="n">
        <v>0</v>
      </c>
      <c r="L611" t="n">
        <v>0</v>
      </c>
      <c r="M611" t="n">
        <v>0</v>
      </c>
      <c r="N611" t="n">
        <v>0</v>
      </c>
      <c r="O611" t="n">
        <v>0</v>
      </c>
      <c r="P611" t="n">
        <v>0</v>
      </c>
      <c r="Q611" t="n">
        <v>0</v>
      </c>
      <c r="R611" s="2" t="inlineStr"/>
    </row>
    <row r="612" ht="15" customHeight="1">
      <c r="A612" t="inlineStr">
        <is>
          <t>A 36938-2024</t>
        </is>
      </c>
      <c r="B612" s="1" t="n">
        <v>45538</v>
      </c>
      <c r="C612" s="1" t="n">
        <v>45573</v>
      </c>
      <c r="D612" t="inlineStr">
        <is>
          <t>DALARNAS LÄN</t>
        </is>
      </c>
      <c r="E612" t="inlineStr">
        <is>
          <t>HEDEMORA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37449-2024</t>
        </is>
      </c>
      <c r="B613" s="1" t="n">
        <v>45540</v>
      </c>
      <c r="C613" s="1" t="n">
        <v>45573</v>
      </c>
      <c r="D613" t="inlineStr">
        <is>
          <t>DALARNAS LÄN</t>
        </is>
      </c>
      <c r="E613" t="inlineStr">
        <is>
          <t>HEDEMORA</t>
        </is>
      </c>
      <c r="F613" t="inlineStr">
        <is>
          <t>Bergvik skog väst AB</t>
        </is>
      </c>
      <c r="G613" t="n">
        <v>10.1</v>
      </c>
      <c r="H613" t="n">
        <v>0</v>
      </c>
      <c r="I613" t="n">
        <v>0</v>
      </c>
      <c r="J613" t="n">
        <v>0</v>
      </c>
      <c r="K613" t="n">
        <v>0</v>
      </c>
      <c r="L613" t="n">
        <v>0</v>
      </c>
      <c r="M613" t="n">
        <v>0</v>
      </c>
      <c r="N613" t="n">
        <v>0</v>
      </c>
      <c r="O613" t="n">
        <v>0</v>
      </c>
      <c r="P613" t="n">
        <v>0</v>
      </c>
      <c r="Q613" t="n">
        <v>0</v>
      </c>
      <c r="R613" s="2" t="inlineStr"/>
    </row>
    <row r="614" ht="15" customHeight="1">
      <c r="A614" t="inlineStr">
        <is>
          <t>A 37759-2024</t>
        </is>
      </c>
      <c r="B614" s="1" t="n">
        <v>45541</v>
      </c>
      <c r="C614" s="1" t="n">
        <v>45573</v>
      </c>
      <c r="D614" t="inlineStr">
        <is>
          <t>DALARNAS LÄN</t>
        </is>
      </c>
      <c r="E614" t="inlineStr">
        <is>
          <t>HEDEMORA</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37761-2024</t>
        </is>
      </c>
      <c r="B615" s="1" t="n">
        <v>45541</v>
      </c>
      <c r="C615" s="1" t="n">
        <v>45573</v>
      </c>
      <c r="D615" t="inlineStr">
        <is>
          <t>DALARNAS LÄN</t>
        </is>
      </c>
      <c r="E615" t="inlineStr">
        <is>
          <t>HEDEMORA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37762-2024</t>
        </is>
      </c>
      <c r="B616" s="1" t="n">
        <v>45541</v>
      </c>
      <c r="C616" s="1" t="n">
        <v>45573</v>
      </c>
      <c r="D616" t="inlineStr">
        <is>
          <t>DALARNAS LÄN</t>
        </is>
      </c>
      <c r="E616" t="inlineStr">
        <is>
          <t>HEDEMORA</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37766-2024</t>
        </is>
      </c>
      <c r="B617" s="1" t="n">
        <v>45541</v>
      </c>
      <c r="C617" s="1" t="n">
        <v>45573</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37805-2024</t>
        </is>
      </c>
      <c r="B618" s="1" t="n">
        <v>45543</v>
      </c>
      <c r="C618" s="1" t="n">
        <v>45573</v>
      </c>
      <c r="D618" t="inlineStr">
        <is>
          <t>DALARNAS LÄN</t>
        </is>
      </c>
      <c r="E618" t="inlineStr">
        <is>
          <t>HEDEMORA</t>
        </is>
      </c>
      <c r="F618" t="inlineStr">
        <is>
          <t>Bergvik skog väst AB</t>
        </is>
      </c>
      <c r="G618" t="n">
        <v>9</v>
      </c>
      <c r="H618" t="n">
        <v>0</v>
      </c>
      <c r="I618" t="n">
        <v>0</v>
      </c>
      <c r="J618" t="n">
        <v>0</v>
      </c>
      <c r="K618" t="n">
        <v>0</v>
      </c>
      <c r="L618" t="n">
        <v>0</v>
      </c>
      <c r="M618" t="n">
        <v>0</v>
      </c>
      <c r="N618" t="n">
        <v>0</v>
      </c>
      <c r="O618" t="n">
        <v>0</v>
      </c>
      <c r="P618" t="n">
        <v>0</v>
      </c>
      <c r="Q618" t="n">
        <v>0</v>
      </c>
      <c r="R618" s="2" t="inlineStr"/>
    </row>
    <row r="619" ht="15" customHeight="1">
      <c r="A619" t="inlineStr">
        <is>
          <t>A 37804-2024</t>
        </is>
      </c>
      <c r="B619" s="1" t="n">
        <v>45543</v>
      </c>
      <c r="C619" s="1" t="n">
        <v>45573</v>
      </c>
      <c r="D619" t="inlineStr">
        <is>
          <t>DALARNAS LÄN</t>
        </is>
      </c>
      <c r="E619" t="inlineStr">
        <is>
          <t>HEDEMORA</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37806-2024</t>
        </is>
      </c>
      <c r="B620" s="1" t="n">
        <v>45543</v>
      </c>
      <c r="C620" s="1" t="n">
        <v>45573</v>
      </c>
      <c r="D620" t="inlineStr">
        <is>
          <t>DALARNAS LÄN</t>
        </is>
      </c>
      <c r="E620" t="inlineStr">
        <is>
          <t>HEDEMORA</t>
        </is>
      </c>
      <c r="F620" t="inlineStr">
        <is>
          <t>Bergvik skog väst AB</t>
        </is>
      </c>
      <c r="G620" t="n">
        <v>3.5</v>
      </c>
      <c r="H620" t="n">
        <v>0</v>
      </c>
      <c r="I620" t="n">
        <v>0</v>
      </c>
      <c r="J620" t="n">
        <v>0</v>
      </c>
      <c r="K620" t="n">
        <v>0</v>
      </c>
      <c r="L620" t="n">
        <v>0</v>
      </c>
      <c r="M620" t="n">
        <v>0</v>
      </c>
      <c r="N620" t="n">
        <v>0</v>
      </c>
      <c r="O620" t="n">
        <v>0</v>
      </c>
      <c r="P620" t="n">
        <v>0</v>
      </c>
      <c r="Q620" t="n">
        <v>0</v>
      </c>
      <c r="R620" s="2" t="inlineStr"/>
    </row>
    <row r="621" ht="15" customHeight="1">
      <c r="A621" t="inlineStr">
        <is>
          <t>A 39209-2024</t>
        </is>
      </c>
      <c r="B621" s="1" t="n">
        <v>45548</v>
      </c>
      <c r="C621" s="1" t="n">
        <v>45573</v>
      </c>
      <c r="D621" t="inlineStr">
        <is>
          <t>DALARNAS LÄN</t>
        </is>
      </c>
      <c r="E621" t="inlineStr">
        <is>
          <t>HEDEMORA</t>
        </is>
      </c>
      <c r="G621" t="n">
        <v>2.6</v>
      </c>
      <c r="H621" t="n">
        <v>0</v>
      </c>
      <c r="I621" t="n">
        <v>0</v>
      </c>
      <c r="J621" t="n">
        <v>0</v>
      </c>
      <c r="K621" t="n">
        <v>0</v>
      </c>
      <c r="L621" t="n">
        <v>0</v>
      </c>
      <c r="M621" t="n">
        <v>0</v>
      </c>
      <c r="N621" t="n">
        <v>0</v>
      </c>
      <c r="O621" t="n">
        <v>0</v>
      </c>
      <c r="P621" t="n">
        <v>0</v>
      </c>
      <c r="Q621" t="n">
        <v>0</v>
      </c>
      <c r="R621" s="2" t="inlineStr"/>
    </row>
    <row r="622" ht="15" customHeight="1">
      <c r="A622" t="inlineStr">
        <is>
          <t>A 39530-2024</t>
        </is>
      </c>
      <c r="B622" s="1" t="n">
        <v>45551</v>
      </c>
      <c r="C622" s="1" t="n">
        <v>45573</v>
      </c>
      <c r="D622" t="inlineStr">
        <is>
          <t>DALARNAS LÄN</t>
        </is>
      </c>
      <c r="E622" t="inlineStr">
        <is>
          <t>HEDEMORA</t>
        </is>
      </c>
      <c r="F622" t="inlineStr">
        <is>
          <t>Bergvik skog väst AB</t>
        </is>
      </c>
      <c r="G622" t="n">
        <v>13.8</v>
      </c>
      <c r="H622" t="n">
        <v>0</v>
      </c>
      <c r="I622" t="n">
        <v>0</v>
      </c>
      <c r="J622" t="n">
        <v>0</v>
      </c>
      <c r="K622" t="n">
        <v>0</v>
      </c>
      <c r="L622" t="n">
        <v>0</v>
      </c>
      <c r="M622" t="n">
        <v>0</v>
      </c>
      <c r="N622" t="n">
        <v>0</v>
      </c>
      <c r="O622" t="n">
        <v>0</v>
      </c>
      <c r="P622" t="n">
        <v>0</v>
      </c>
      <c r="Q622" t="n">
        <v>0</v>
      </c>
      <c r="R622" s="2" t="inlineStr"/>
    </row>
    <row r="623" ht="15" customHeight="1">
      <c r="A623" t="inlineStr">
        <is>
          <t>A 39531-2024</t>
        </is>
      </c>
      <c r="B623" s="1" t="n">
        <v>45551</v>
      </c>
      <c r="C623" s="1" t="n">
        <v>45573</v>
      </c>
      <c r="D623" t="inlineStr">
        <is>
          <t>DALARNAS LÄN</t>
        </is>
      </c>
      <c r="E623" t="inlineStr">
        <is>
          <t>HEDEMORA</t>
        </is>
      </c>
      <c r="F623" t="inlineStr">
        <is>
          <t>Bergvik skog väst AB</t>
        </is>
      </c>
      <c r="G623" t="n">
        <v>1.9</v>
      </c>
      <c r="H623" t="n">
        <v>0</v>
      </c>
      <c r="I623" t="n">
        <v>0</v>
      </c>
      <c r="J623" t="n">
        <v>0</v>
      </c>
      <c r="K623" t="n">
        <v>0</v>
      </c>
      <c r="L623" t="n">
        <v>0</v>
      </c>
      <c r="M623" t="n">
        <v>0</v>
      </c>
      <c r="N623" t="n">
        <v>0</v>
      </c>
      <c r="O623" t="n">
        <v>0</v>
      </c>
      <c r="P623" t="n">
        <v>0</v>
      </c>
      <c r="Q623" t="n">
        <v>0</v>
      </c>
      <c r="R623" s="2" t="inlineStr"/>
    </row>
    <row r="624" ht="15" customHeight="1">
      <c r="A624" t="inlineStr">
        <is>
          <t>A 39552-2024</t>
        </is>
      </c>
      <c r="B624" s="1" t="n">
        <v>45551</v>
      </c>
      <c r="C624" s="1" t="n">
        <v>45573</v>
      </c>
      <c r="D624" t="inlineStr">
        <is>
          <t>DALARNAS LÄN</t>
        </is>
      </c>
      <c r="E624" t="inlineStr">
        <is>
          <t>HEDEMORA</t>
        </is>
      </c>
      <c r="F624" t="inlineStr">
        <is>
          <t>Bergvik skog väst AB</t>
        </is>
      </c>
      <c r="G624" t="n">
        <v>24.1</v>
      </c>
      <c r="H624" t="n">
        <v>0</v>
      </c>
      <c r="I624" t="n">
        <v>0</v>
      </c>
      <c r="J624" t="n">
        <v>0</v>
      </c>
      <c r="K624" t="n">
        <v>0</v>
      </c>
      <c r="L624" t="n">
        <v>0</v>
      </c>
      <c r="M624" t="n">
        <v>0</v>
      </c>
      <c r="N624" t="n">
        <v>0</v>
      </c>
      <c r="O624" t="n">
        <v>0</v>
      </c>
      <c r="P624" t="n">
        <v>0</v>
      </c>
      <c r="Q624" t="n">
        <v>0</v>
      </c>
      <c r="R624" s="2" t="inlineStr"/>
    </row>
    <row r="625" ht="15" customHeight="1">
      <c r="A625" t="inlineStr">
        <is>
          <t>A 40801-2024</t>
        </is>
      </c>
      <c r="B625" s="1" t="n">
        <v>45558</v>
      </c>
      <c r="C625" s="1" t="n">
        <v>45573</v>
      </c>
      <c r="D625" t="inlineStr">
        <is>
          <t>DALARNAS LÄN</t>
        </is>
      </c>
      <c r="E625" t="inlineStr">
        <is>
          <t>HEDEMORA</t>
        </is>
      </c>
      <c r="G625" t="n">
        <v>2.2</v>
      </c>
      <c r="H625" t="n">
        <v>0</v>
      </c>
      <c r="I625" t="n">
        <v>0</v>
      </c>
      <c r="J625" t="n">
        <v>0</v>
      </c>
      <c r="K625" t="n">
        <v>0</v>
      </c>
      <c r="L625" t="n">
        <v>0</v>
      </c>
      <c r="M625" t="n">
        <v>0</v>
      </c>
      <c r="N625" t="n">
        <v>0</v>
      </c>
      <c r="O625" t="n">
        <v>0</v>
      </c>
      <c r="P625" t="n">
        <v>0</v>
      </c>
      <c r="Q625" t="n">
        <v>0</v>
      </c>
      <c r="R625" s="2" t="inlineStr"/>
    </row>
    <row r="626" ht="15" customHeight="1">
      <c r="A626" t="inlineStr">
        <is>
          <t>A 42586-2024</t>
        </is>
      </c>
      <c r="B626" s="1" t="n">
        <v>45565</v>
      </c>
      <c r="C626" s="1" t="n">
        <v>45573</v>
      </c>
      <c r="D626" t="inlineStr">
        <is>
          <t>DALARNAS LÄN</t>
        </is>
      </c>
      <c r="E626" t="inlineStr">
        <is>
          <t>HEDEMORA</t>
        </is>
      </c>
      <c r="G626" t="n">
        <v>0.8</v>
      </c>
      <c r="H626" t="n">
        <v>0</v>
      </c>
      <c r="I626" t="n">
        <v>0</v>
      </c>
      <c r="J626" t="n">
        <v>0</v>
      </c>
      <c r="K626" t="n">
        <v>0</v>
      </c>
      <c r="L626" t="n">
        <v>0</v>
      </c>
      <c r="M626" t="n">
        <v>0</v>
      </c>
      <c r="N626" t="n">
        <v>0</v>
      </c>
      <c r="O626" t="n">
        <v>0</v>
      </c>
      <c r="P626" t="n">
        <v>0</v>
      </c>
      <c r="Q626" t="n">
        <v>0</v>
      </c>
      <c r="R626" s="2" t="inlineStr"/>
    </row>
    <row r="627" ht="15" customHeight="1">
      <c r="A627" t="inlineStr">
        <is>
          <t>A 42614-2024</t>
        </is>
      </c>
      <c r="B627" s="1" t="n">
        <v>45565</v>
      </c>
      <c r="C627" s="1" t="n">
        <v>45573</v>
      </c>
      <c r="D627" t="inlineStr">
        <is>
          <t>DALARNAS LÄN</t>
        </is>
      </c>
      <c r="E627" t="inlineStr">
        <is>
          <t>HEDEMORA</t>
        </is>
      </c>
      <c r="F627" t="inlineStr">
        <is>
          <t>Sveaskog</t>
        </is>
      </c>
      <c r="G627" t="n">
        <v>3</v>
      </c>
      <c r="H627" t="n">
        <v>0</v>
      </c>
      <c r="I627" t="n">
        <v>0</v>
      </c>
      <c r="J627" t="n">
        <v>0</v>
      </c>
      <c r="K627" t="n">
        <v>0</v>
      </c>
      <c r="L627" t="n">
        <v>0</v>
      </c>
      <c r="M627" t="n">
        <v>0</v>
      </c>
      <c r="N627" t="n">
        <v>0</v>
      </c>
      <c r="O627" t="n">
        <v>0</v>
      </c>
      <c r="P627" t="n">
        <v>0</v>
      </c>
      <c r="Q627" t="n">
        <v>0</v>
      </c>
      <c r="R627" s="2" t="inlineStr"/>
    </row>
    <row r="628" ht="15" customHeight="1">
      <c r="A628" t="inlineStr">
        <is>
          <t>A 42616-2024</t>
        </is>
      </c>
      <c r="B628" s="1" t="n">
        <v>45565</v>
      </c>
      <c r="C628" s="1" t="n">
        <v>45573</v>
      </c>
      <c r="D628" t="inlineStr">
        <is>
          <t>DALARNAS LÄN</t>
        </is>
      </c>
      <c r="E628" t="inlineStr">
        <is>
          <t>HEDEMORA</t>
        </is>
      </c>
      <c r="F628" t="inlineStr">
        <is>
          <t>Sveaskog</t>
        </is>
      </c>
      <c r="G628" t="n">
        <v>5.8</v>
      </c>
      <c r="H628" t="n">
        <v>0</v>
      </c>
      <c r="I628" t="n">
        <v>0</v>
      </c>
      <c r="J628" t="n">
        <v>0</v>
      </c>
      <c r="K628" t="n">
        <v>0</v>
      </c>
      <c r="L628" t="n">
        <v>0</v>
      </c>
      <c r="M628" t="n">
        <v>0</v>
      </c>
      <c r="N628" t="n">
        <v>0</v>
      </c>
      <c r="O628" t="n">
        <v>0</v>
      </c>
      <c r="P628" t="n">
        <v>0</v>
      </c>
      <c r="Q628" t="n">
        <v>0</v>
      </c>
      <c r="R628" s="2" t="inlineStr"/>
    </row>
    <row r="629" ht="15" customHeight="1">
      <c r="A629" t="inlineStr">
        <is>
          <t>A 42890-2024</t>
        </is>
      </c>
      <c r="B629" s="1" t="n">
        <v>45566</v>
      </c>
      <c r="C629" s="1" t="n">
        <v>45573</v>
      </c>
      <c r="D629" t="inlineStr">
        <is>
          <t>DALARNAS LÄN</t>
        </is>
      </c>
      <c r="E629" t="inlineStr">
        <is>
          <t>HEDEMORA</t>
        </is>
      </c>
      <c r="F629" t="inlineStr">
        <is>
          <t>Sveaskog</t>
        </is>
      </c>
      <c r="G629" t="n">
        <v>4.1</v>
      </c>
      <c r="H629" t="n">
        <v>0</v>
      </c>
      <c r="I629" t="n">
        <v>0</v>
      </c>
      <c r="J629" t="n">
        <v>0</v>
      </c>
      <c r="K629" t="n">
        <v>0</v>
      </c>
      <c r="L629" t="n">
        <v>0</v>
      </c>
      <c r="M629" t="n">
        <v>0</v>
      </c>
      <c r="N629" t="n">
        <v>0</v>
      </c>
      <c r="O629" t="n">
        <v>0</v>
      </c>
      <c r="P629" t="n">
        <v>0</v>
      </c>
      <c r="Q629" t="n">
        <v>0</v>
      </c>
      <c r="R629" s="2" t="inlineStr"/>
    </row>
    <row r="630" ht="15" customHeight="1">
      <c r="A630" t="inlineStr">
        <is>
          <t>A 42894-2024</t>
        </is>
      </c>
      <c r="B630" s="1" t="n">
        <v>45566</v>
      </c>
      <c r="C630" s="1" t="n">
        <v>45573</v>
      </c>
      <c r="D630" t="inlineStr">
        <is>
          <t>DALARNAS LÄN</t>
        </is>
      </c>
      <c r="E630" t="inlineStr">
        <is>
          <t>HEDEMORA</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42892-2024</t>
        </is>
      </c>
      <c r="B631" s="1" t="n">
        <v>45566</v>
      </c>
      <c r="C631" s="1" t="n">
        <v>45573</v>
      </c>
      <c r="D631" t="inlineStr">
        <is>
          <t>DALARNAS LÄN</t>
        </is>
      </c>
      <c r="E631" t="inlineStr">
        <is>
          <t>HEDEMORA</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42891-2024</t>
        </is>
      </c>
      <c r="B632" s="1" t="n">
        <v>45566</v>
      </c>
      <c r="C632" s="1" t="n">
        <v>45573</v>
      </c>
      <c r="D632" t="inlineStr">
        <is>
          <t>DALARNAS LÄN</t>
        </is>
      </c>
      <c r="E632" t="inlineStr">
        <is>
          <t>HEDEMORA</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42895-2024</t>
        </is>
      </c>
      <c r="B633" s="1" t="n">
        <v>45566</v>
      </c>
      <c r="C633" s="1" t="n">
        <v>45573</v>
      </c>
      <c r="D633" t="inlineStr">
        <is>
          <t>DALARNAS LÄN</t>
        </is>
      </c>
      <c r="E633" t="inlineStr">
        <is>
          <t>HEDEMORA</t>
        </is>
      </c>
      <c r="F633" t="inlineStr">
        <is>
          <t>Sveaskog</t>
        </is>
      </c>
      <c r="G633" t="n">
        <v>0.6</v>
      </c>
      <c r="H633" t="n">
        <v>0</v>
      </c>
      <c r="I633" t="n">
        <v>0</v>
      </c>
      <c r="J633" t="n">
        <v>0</v>
      </c>
      <c r="K633" t="n">
        <v>0</v>
      </c>
      <c r="L633" t="n">
        <v>0</v>
      </c>
      <c r="M633" t="n">
        <v>0</v>
      </c>
      <c r="N633" t="n">
        <v>0</v>
      </c>
      <c r="O633" t="n">
        <v>0</v>
      </c>
      <c r="P633" t="n">
        <v>0</v>
      </c>
      <c r="Q633" t="n">
        <v>0</v>
      </c>
      <c r="R633" s="2" t="inlineStr"/>
    </row>
    <row r="634" ht="15" customHeight="1">
      <c r="A634" t="inlineStr">
        <is>
          <t>A 43626-2024</t>
        </is>
      </c>
      <c r="B634" s="1" t="n">
        <v>45569</v>
      </c>
      <c r="C634" s="1" t="n">
        <v>45573</v>
      </c>
      <c r="D634" t="inlineStr">
        <is>
          <t>DALARNAS LÄN</t>
        </is>
      </c>
      <c r="E634" t="inlineStr">
        <is>
          <t>HEDEMORA</t>
        </is>
      </c>
      <c r="G634" t="n">
        <v>4.1</v>
      </c>
      <c r="H634" t="n">
        <v>0</v>
      </c>
      <c r="I634" t="n">
        <v>0</v>
      </c>
      <c r="J634" t="n">
        <v>0</v>
      </c>
      <c r="K634" t="n">
        <v>0</v>
      </c>
      <c r="L634" t="n">
        <v>0</v>
      </c>
      <c r="M634" t="n">
        <v>0</v>
      </c>
      <c r="N634" t="n">
        <v>0</v>
      </c>
      <c r="O634" t="n">
        <v>0</v>
      </c>
      <c r="P634" t="n">
        <v>0</v>
      </c>
      <c r="Q634" t="n">
        <v>0</v>
      </c>
      <c r="R634" s="2" t="inlineStr"/>
    </row>
    <row r="635">
      <c r="A635" t="inlineStr">
        <is>
          <t>A 43621-2024</t>
        </is>
      </c>
      <c r="B635" s="1" t="n">
        <v>45569</v>
      </c>
      <c r="C635" s="1" t="n">
        <v>45573</v>
      </c>
      <c r="D635" t="inlineStr">
        <is>
          <t>DALARNAS LÄN</t>
        </is>
      </c>
      <c r="E635" t="inlineStr">
        <is>
          <t>HEDEMORA</t>
        </is>
      </c>
      <c r="G635" t="n">
        <v>2.4</v>
      </c>
      <c r="H635" t="n">
        <v>0</v>
      </c>
      <c r="I635" t="n">
        <v>0</v>
      </c>
      <c r="J635" t="n">
        <v>0</v>
      </c>
      <c r="K635" t="n">
        <v>0</v>
      </c>
      <c r="L635" t="n">
        <v>0</v>
      </c>
      <c r="M635" t="n">
        <v>0</v>
      </c>
      <c r="N635" t="n">
        <v>0</v>
      </c>
      <c r="O635" t="n">
        <v>0</v>
      </c>
      <c r="P635" t="n">
        <v>0</v>
      </c>
      <c r="Q635" t="n">
        <v>0</v>
      </c>
      <c r="R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2024-10-08T12:42:37Z</dcterms:created>
  <dcterms:modified xmlns:dcterms="http://purl.org/dc/terms/" xmlns:xsi="http://www.w3.org/2001/XMLSchema-instance" xsi:type="dcterms:W3CDTF">2024-10-08T12:42:37Z</dcterms:modified>
</cp:coreProperties>
</file>