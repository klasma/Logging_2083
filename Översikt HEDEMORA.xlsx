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45989</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45989</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45989</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45989</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45277-2025</t>
        </is>
      </c>
      <c r="B9" s="1" t="n">
        <v>45919.71271990741</v>
      </c>
      <c r="C9" s="1" t="n">
        <v>45989</v>
      </c>
      <c r="D9" t="inlineStr">
        <is>
          <t>DALARNAS LÄN</t>
        </is>
      </c>
      <c r="E9" t="inlineStr">
        <is>
          <t>HEDEMORA</t>
        </is>
      </c>
      <c r="G9" t="n">
        <v>6.9</v>
      </c>
      <c r="H9" t="n">
        <v>4</v>
      </c>
      <c r="I9" t="n">
        <v>3</v>
      </c>
      <c r="J9" t="n">
        <v>3</v>
      </c>
      <c r="K9" t="n">
        <v>2</v>
      </c>
      <c r="L9" t="n">
        <v>0</v>
      </c>
      <c r="M9" t="n">
        <v>0</v>
      </c>
      <c r="N9" t="n">
        <v>0</v>
      </c>
      <c r="O9" t="n">
        <v>5</v>
      </c>
      <c r="P9" t="n">
        <v>2</v>
      </c>
      <c r="Q9" t="n">
        <v>9</v>
      </c>
      <c r="R9" s="2" t="inlineStr">
        <is>
          <t>Knärot
Kopparspindling
Spillkråka
Talltita
Ullticka
Bronshjon
Fjällig taggsvamp s.str.
Rödfläckig zontaggsvamp
Blåsippa</t>
        </is>
      </c>
      <c r="S9">
        <f>HYPERLINK("https://klasma.github.io/Logging_2083/artfynd/A 45277-2025 artfynd.xlsx", "A 45277-2025")</f>
        <v/>
      </c>
      <c r="T9">
        <f>HYPERLINK("https://klasma.github.io/Logging_2083/kartor/A 45277-2025 karta.png", "A 45277-2025")</f>
        <v/>
      </c>
      <c r="U9">
        <f>HYPERLINK("https://klasma.github.io/Logging_2083/knärot/A 45277-2025 karta knärot.png", "A 45277-2025")</f>
        <v/>
      </c>
      <c r="V9">
        <f>HYPERLINK("https://klasma.github.io/Logging_2083/klagomål/A 45277-2025 FSC-klagomål.docx", "A 45277-2025")</f>
        <v/>
      </c>
      <c r="W9">
        <f>HYPERLINK("https://klasma.github.io/Logging_2083/klagomålsmail/A 45277-2025 FSC-klagomål mail.docx", "A 45277-2025")</f>
        <v/>
      </c>
      <c r="X9">
        <f>HYPERLINK("https://klasma.github.io/Logging_2083/tillsyn/A 45277-2025 tillsynsbegäran.docx", "A 45277-2025")</f>
        <v/>
      </c>
      <c r="Y9">
        <f>HYPERLINK("https://klasma.github.io/Logging_2083/tillsynsmail/A 45277-2025 tillsynsbegäran mail.docx", "A 45277-2025")</f>
        <v/>
      </c>
      <c r="Z9">
        <f>HYPERLINK("https://klasma.github.io/Logging_2083/fåglar/A 45277-2025 prioriterade fågelarter.docx", "A 45277-2025")</f>
        <v/>
      </c>
    </row>
    <row r="10" ht="15" customHeight="1">
      <c r="A10" t="inlineStr">
        <is>
          <t>A 34929-2024</t>
        </is>
      </c>
      <c r="B10" s="1" t="n">
        <v>45527.44895833333</v>
      </c>
      <c r="C10" s="1" t="n">
        <v>45989</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45989</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45989</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45989</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38724-2025</t>
        </is>
      </c>
      <c r="B14" s="1" t="n">
        <v>45887.29802083333</v>
      </c>
      <c r="C14" s="1" t="n">
        <v>45989</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45989</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45989</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45989</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45989</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45989</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45989</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45989</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45989</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45989</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45989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45989</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45989</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45989</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3152-2022</t>
        </is>
      </c>
      <c r="B30" s="1" t="n">
        <v>44582</v>
      </c>
      <c r="C30" s="1" t="n">
        <v>45989</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54849-2022</t>
        </is>
      </c>
      <c r="B31" s="1" t="n">
        <v>44883</v>
      </c>
      <c r="C31" s="1" t="n">
        <v>45989</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56625-2024</t>
        </is>
      </c>
      <c r="B32" s="1" t="n">
        <v>45625</v>
      </c>
      <c r="C32" s="1" t="n">
        <v>45989</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451-2025</t>
        </is>
      </c>
      <c r="B33" s="1" t="n">
        <v>45664.39991898148</v>
      </c>
      <c r="C33" s="1" t="n">
        <v>45989</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43679-2025</t>
        </is>
      </c>
      <c r="B34" s="1" t="n">
        <v>45912.36710648148</v>
      </c>
      <c r="C34" s="1" t="n">
        <v>45989</v>
      </c>
      <c r="D34" t="inlineStr">
        <is>
          <t>DALARNAS LÄN</t>
        </is>
      </c>
      <c r="E34" t="inlineStr">
        <is>
          <t>HEDEMORA</t>
        </is>
      </c>
      <c r="F34" t="inlineStr">
        <is>
          <t>Sveaskog</t>
        </is>
      </c>
      <c r="G34" t="n">
        <v>6.5</v>
      </c>
      <c r="H34" t="n">
        <v>1</v>
      </c>
      <c r="I34" t="n">
        <v>0</v>
      </c>
      <c r="J34" t="n">
        <v>1</v>
      </c>
      <c r="K34" t="n">
        <v>0</v>
      </c>
      <c r="L34" t="n">
        <v>0</v>
      </c>
      <c r="M34" t="n">
        <v>0</v>
      </c>
      <c r="N34" t="n">
        <v>0</v>
      </c>
      <c r="O34" t="n">
        <v>1</v>
      </c>
      <c r="P34" t="n">
        <v>0</v>
      </c>
      <c r="Q34" t="n">
        <v>2</v>
      </c>
      <c r="R34" s="2" t="inlineStr">
        <is>
          <t>Motaggsvamp
Revlummer</t>
        </is>
      </c>
      <c r="S34">
        <f>HYPERLINK("https://klasma.github.io/Logging_2083/artfynd/A 43679-2025 artfynd.xlsx", "A 43679-2025")</f>
        <v/>
      </c>
      <c r="T34">
        <f>HYPERLINK("https://klasma.github.io/Logging_2083/kartor/A 43679-2025 karta.png", "A 43679-2025")</f>
        <v/>
      </c>
      <c r="U34">
        <f>HYPERLINK("https://klasma.github.io/Logging_2083/knärot/A 43679-2025 karta knärot.png", "A 43679-2025")</f>
        <v/>
      </c>
      <c r="V34">
        <f>HYPERLINK("https://klasma.github.io/Logging_2083/klagomål/A 43679-2025 FSC-klagomål.docx", "A 43679-2025")</f>
        <v/>
      </c>
      <c r="W34">
        <f>HYPERLINK("https://klasma.github.io/Logging_2083/klagomålsmail/A 43679-2025 FSC-klagomål mail.docx", "A 43679-2025")</f>
        <v/>
      </c>
      <c r="X34">
        <f>HYPERLINK("https://klasma.github.io/Logging_2083/tillsyn/A 43679-2025 tillsynsbegäran.docx", "A 43679-2025")</f>
        <v/>
      </c>
      <c r="Y34">
        <f>HYPERLINK("https://klasma.github.io/Logging_2083/tillsynsmail/A 43679-2025 tillsynsbegäran mail.docx", "A 43679-2025")</f>
        <v/>
      </c>
    </row>
    <row r="35" ht="15" customHeight="1">
      <c r="A35" t="inlineStr">
        <is>
          <t>A 43681-2025</t>
        </is>
      </c>
      <c r="B35" s="1" t="n">
        <v>45912.37243055556</v>
      </c>
      <c r="C35" s="1" t="n">
        <v>45989</v>
      </c>
      <c r="D35" t="inlineStr">
        <is>
          <t>DALARNAS LÄN</t>
        </is>
      </c>
      <c r="E35" t="inlineStr">
        <is>
          <t>HEDEMORA</t>
        </is>
      </c>
      <c r="F35" t="inlineStr">
        <is>
          <t>Sveaskog</t>
        </is>
      </c>
      <c r="G35" t="n">
        <v>13.2</v>
      </c>
      <c r="H35" t="n">
        <v>2</v>
      </c>
      <c r="I35" t="n">
        <v>0</v>
      </c>
      <c r="J35" t="n">
        <v>0</v>
      </c>
      <c r="K35" t="n">
        <v>0</v>
      </c>
      <c r="L35" t="n">
        <v>0</v>
      </c>
      <c r="M35" t="n">
        <v>0</v>
      </c>
      <c r="N35" t="n">
        <v>0</v>
      </c>
      <c r="O35" t="n">
        <v>0</v>
      </c>
      <c r="P35" t="n">
        <v>0</v>
      </c>
      <c r="Q35" t="n">
        <v>2</v>
      </c>
      <c r="R35" s="2" t="inlineStr">
        <is>
          <t>Blåsippa
Revlummer</t>
        </is>
      </c>
      <c r="S35">
        <f>HYPERLINK("https://klasma.github.io/Logging_2083/artfynd/A 43681-2025 artfynd.xlsx", "A 43681-2025")</f>
        <v/>
      </c>
      <c r="T35">
        <f>HYPERLINK("https://klasma.github.io/Logging_2083/kartor/A 43681-2025 karta.png", "A 43681-2025")</f>
        <v/>
      </c>
      <c r="U35">
        <f>HYPERLINK("https://klasma.github.io/Logging_2083/knärot/A 43681-2025 karta knärot.png", "A 43681-2025")</f>
        <v/>
      </c>
      <c r="V35">
        <f>HYPERLINK("https://klasma.github.io/Logging_2083/klagomål/A 43681-2025 FSC-klagomål.docx", "A 43681-2025")</f>
        <v/>
      </c>
      <c r="W35">
        <f>HYPERLINK("https://klasma.github.io/Logging_2083/klagomålsmail/A 43681-2025 FSC-klagomål mail.docx", "A 43681-2025")</f>
        <v/>
      </c>
      <c r="X35">
        <f>HYPERLINK("https://klasma.github.io/Logging_2083/tillsyn/A 43681-2025 tillsynsbegäran.docx", "A 43681-2025")</f>
        <v/>
      </c>
      <c r="Y35">
        <f>HYPERLINK("https://klasma.github.io/Logging_2083/tillsynsmail/A 43681-2025 tillsynsbegäran mail.docx", "A 43681-2025")</f>
        <v/>
      </c>
    </row>
    <row r="36" ht="15" customHeight="1">
      <c r="A36" t="inlineStr">
        <is>
          <t>A 1518-2025</t>
        </is>
      </c>
      <c r="B36" s="1" t="n">
        <v>45670</v>
      </c>
      <c r="C36" s="1" t="n">
        <v>45989</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59035-2023</t>
        </is>
      </c>
      <c r="B37" s="1" t="n">
        <v>45252</v>
      </c>
      <c r="C37" s="1" t="n">
        <v>45989</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41332-2025</t>
        </is>
      </c>
      <c r="B38" s="1" t="n">
        <v>45899.35592592593</v>
      </c>
      <c r="C38" s="1" t="n">
        <v>45989</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19352-2024</t>
        </is>
      </c>
      <c r="B39" s="1" t="n">
        <v>45429.29493055555</v>
      </c>
      <c r="C39" s="1" t="n">
        <v>45989</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45989</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45989</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45989</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45989</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45989</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63542-2023</t>
        </is>
      </c>
      <c r="B45" s="1" t="n">
        <v>45275.32708333333</v>
      </c>
      <c r="C45" s="1" t="n">
        <v>45989</v>
      </c>
      <c r="D45" t="inlineStr">
        <is>
          <t>DALARNAS LÄN</t>
        </is>
      </c>
      <c r="E45" t="inlineStr">
        <is>
          <t>HEDEMORA</t>
        </is>
      </c>
      <c r="G45" t="n">
        <v>2.1</v>
      </c>
      <c r="H45" t="n">
        <v>1</v>
      </c>
      <c r="I45" t="n">
        <v>0</v>
      </c>
      <c r="J45" t="n">
        <v>1</v>
      </c>
      <c r="K45" t="n">
        <v>0</v>
      </c>
      <c r="L45" t="n">
        <v>0</v>
      </c>
      <c r="M45" t="n">
        <v>0</v>
      </c>
      <c r="N45" t="n">
        <v>0</v>
      </c>
      <c r="O45" t="n">
        <v>1</v>
      </c>
      <c r="P45" t="n">
        <v>0</v>
      </c>
      <c r="Q45" t="n">
        <v>1</v>
      </c>
      <c r="R45" s="2" t="inlineStr">
        <is>
          <t>Spillkråka</t>
        </is>
      </c>
      <c r="S45">
        <f>HYPERLINK("https://klasma.github.io/Logging_2083/artfynd/A 63542-2023 artfynd.xlsx", "A 63542-2023")</f>
        <v/>
      </c>
      <c r="T45">
        <f>HYPERLINK("https://klasma.github.io/Logging_2083/kartor/A 63542-2023 karta.png", "A 63542-2023")</f>
        <v/>
      </c>
      <c r="V45">
        <f>HYPERLINK("https://klasma.github.io/Logging_2083/klagomål/A 63542-2023 FSC-klagomål.docx", "A 63542-2023")</f>
        <v/>
      </c>
      <c r="W45">
        <f>HYPERLINK("https://klasma.github.io/Logging_2083/klagomålsmail/A 63542-2023 FSC-klagomål mail.docx", "A 63542-2023")</f>
        <v/>
      </c>
      <c r="X45">
        <f>HYPERLINK("https://klasma.github.io/Logging_2083/tillsyn/A 63542-2023 tillsynsbegäran.docx", "A 63542-2023")</f>
        <v/>
      </c>
      <c r="Y45">
        <f>HYPERLINK("https://klasma.github.io/Logging_2083/tillsynsmail/A 63542-2023 tillsynsbegäran mail.docx", "A 63542-2023")</f>
        <v/>
      </c>
      <c r="Z45">
        <f>HYPERLINK("https://klasma.github.io/Logging_2083/fåglar/A 63542-2023 prioriterade fågelarter.docx", "A 63542-2023")</f>
        <v/>
      </c>
    </row>
    <row r="46" ht="15" customHeight="1">
      <c r="A46" t="inlineStr">
        <is>
          <t>A 39396-2025</t>
        </is>
      </c>
      <c r="B46" s="1" t="n">
        <v>45889.63289351852</v>
      </c>
      <c r="C46" s="1" t="n">
        <v>45989</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28181-2025</t>
        </is>
      </c>
      <c r="B47" s="1" t="n">
        <v>45818.39921296296</v>
      </c>
      <c r="C47" s="1" t="n">
        <v>45989</v>
      </c>
      <c r="D47" t="inlineStr">
        <is>
          <t>DALARNAS LÄN</t>
        </is>
      </c>
      <c r="E47" t="inlineStr">
        <is>
          <t>HEDEMORA</t>
        </is>
      </c>
      <c r="F47" t="inlineStr">
        <is>
          <t>Sveaskog</t>
        </is>
      </c>
      <c r="G47" t="n">
        <v>2.4</v>
      </c>
      <c r="H47" t="n">
        <v>1</v>
      </c>
      <c r="I47" t="n">
        <v>1</v>
      </c>
      <c r="J47" t="n">
        <v>0</v>
      </c>
      <c r="K47" t="n">
        <v>0</v>
      </c>
      <c r="L47" t="n">
        <v>0</v>
      </c>
      <c r="M47" t="n">
        <v>0</v>
      </c>
      <c r="N47" t="n">
        <v>0</v>
      </c>
      <c r="O47" t="n">
        <v>0</v>
      </c>
      <c r="P47" t="n">
        <v>0</v>
      </c>
      <c r="Q47" t="n">
        <v>1</v>
      </c>
      <c r="R47" s="2" t="inlineStr">
        <is>
          <t>Plattlummer</t>
        </is>
      </c>
      <c r="S47">
        <f>HYPERLINK("https://klasma.github.io/Logging_2083/artfynd/A 28181-2025 artfynd.xlsx", "A 28181-2025")</f>
        <v/>
      </c>
      <c r="T47">
        <f>HYPERLINK("https://klasma.github.io/Logging_2083/kartor/A 28181-2025 karta.png", "A 28181-2025")</f>
        <v/>
      </c>
      <c r="V47">
        <f>HYPERLINK("https://klasma.github.io/Logging_2083/klagomål/A 28181-2025 FSC-klagomål.docx", "A 28181-2025")</f>
        <v/>
      </c>
      <c r="W47">
        <f>HYPERLINK("https://klasma.github.io/Logging_2083/klagomålsmail/A 28181-2025 FSC-klagomål mail.docx", "A 28181-2025")</f>
        <v/>
      </c>
      <c r="X47">
        <f>HYPERLINK("https://klasma.github.io/Logging_2083/tillsyn/A 28181-2025 tillsynsbegäran.docx", "A 28181-2025")</f>
        <v/>
      </c>
      <c r="Y47">
        <f>HYPERLINK("https://klasma.github.io/Logging_2083/tillsynsmail/A 28181-2025 tillsynsbegäran mail.docx", "A 28181-2025")</f>
        <v/>
      </c>
    </row>
    <row r="48" ht="15" customHeight="1">
      <c r="A48" t="inlineStr">
        <is>
          <t>A 41333-2025</t>
        </is>
      </c>
      <c r="B48" s="1" t="n">
        <v>45899.35854166667</v>
      </c>
      <c r="C48" s="1" t="n">
        <v>45989</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53031-2023</t>
        </is>
      </c>
      <c r="B49" s="1" t="n">
        <v>45226</v>
      </c>
      <c r="C49" s="1" t="n">
        <v>45989</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44598-2025</t>
        </is>
      </c>
      <c r="B50" s="1" t="n">
        <v>45917.43056712963</v>
      </c>
      <c r="C50" s="1" t="n">
        <v>45989</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45989</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15058-2025</t>
        </is>
      </c>
      <c r="B52" s="1" t="n">
        <v>45743.70716435185</v>
      </c>
      <c r="C52" s="1" t="n">
        <v>45989</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45291-2025</t>
        </is>
      </c>
      <c r="B53" s="1" t="n">
        <v>45920.3734837963</v>
      </c>
      <c r="C53" s="1" t="n">
        <v>45989</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52941-2024</t>
        </is>
      </c>
      <c r="B54" s="1" t="n">
        <v>45610.80650462963</v>
      </c>
      <c r="C54" s="1" t="n">
        <v>45989</v>
      </c>
      <c r="D54" t="inlineStr">
        <is>
          <t>DALARNAS LÄN</t>
        </is>
      </c>
      <c r="E54" t="inlineStr">
        <is>
          <t>HEDEMORA</t>
        </is>
      </c>
      <c r="F54" t="inlineStr">
        <is>
          <t>Sveaskog</t>
        </is>
      </c>
      <c r="G54" t="n">
        <v>18.3</v>
      </c>
      <c r="H54" t="n">
        <v>1</v>
      </c>
      <c r="I54" t="n">
        <v>0</v>
      </c>
      <c r="J54" t="n">
        <v>0</v>
      </c>
      <c r="K54" t="n">
        <v>1</v>
      </c>
      <c r="L54" t="n">
        <v>0</v>
      </c>
      <c r="M54" t="n">
        <v>0</v>
      </c>
      <c r="N54" t="n">
        <v>0</v>
      </c>
      <c r="O54" t="n">
        <v>1</v>
      </c>
      <c r="P54" t="n">
        <v>1</v>
      </c>
      <c r="Q54" t="n">
        <v>1</v>
      </c>
      <c r="R54" s="2" t="inlineStr">
        <is>
          <t>Knärot</t>
        </is>
      </c>
      <c r="S54">
        <f>HYPERLINK("https://klasma.github.io/Logging_2083/artfynd/A 52941-2024 artfynd.xlsx", "A 52941-2024")</f>
        <v/>
      </c>
      <c r="T54">
        <f>HYPERLINK("https://klasma.github.io/Logging_2083/kartor/A 52941-2024 karta.png", "A 52941-2024")</f>
        <v/>
      </c>
      <c r="U54">
        <f>HYPERLINK("https://klasma.github.io/Logging_2083/knärot/A 52941-2024 karta knärot.png", "A 52941-2024")</f>
        <v/>
      </c>
      <c r="V54">
        <f>HYPERLINK("https://klasma.github.io/Logging_2083/klagomål/A 52941-2024 FSC-klagomål.docx", "A 52941-2024")</f>
        <v/>
      </c>
      <c r="W54">
        <f>HYPERLINK("https://klasma.github.io/Logging_2083/klagomålsmail/A 52941-2024 FSC-klagomål mail.docx", "A 52941-2024")</f>
        <v/>
      </c>
      <c r="X54">
        <f>HYPERLINK("https://klasma.github.io/Logging_2083/tillsyn/A 52941-2024 tillsynsbegäran.docx", "A 52941-2024")</f>
        <v/>
      </c>
      <c r="Y54">
        <f>HYPERLINK("https://klasma.github.io/Logging_2083/tillsynsmail/A 52941-2024 tillsynsbegäran mail.docx", "A 52941-2024")</f>
        <v/>
      </c>
    </row>
    <row r="55" ht="15" customHeight="1">
      <c r="A55" t="inlineStr">
        <is>
          <t>A 19094-2025</t>
        </is>
      </c>
      <c r="B55" s="1" t="n">
        <v>45767.54942129629</v>
      </c>
      <c r="C55" s="1" t="n">
        <v>45989</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13986-2023</t>
        </is>
      </c>
      <c r="B56" s="1" t="n">
        <v>45008</v>
      </c>
      <c r="C56" s="1" t="n">
        <v>45989</v>
      </c>
      <c r="D56" t="inlineStr">
        <is>
          <t>DALARNAS LÄN</t>
        </is>
      </c>
      <c r="E56" t="inlineStr">
        <is>
          <t>HEDEMORA</t>
        </is>
      </c>
      <c r="G56" t="n">
        <v>0.8</v>
      </c>
      <c r="H56" t="n">
        <v>1</v>
      </c>
      <c r="I56" t="n">
        <v>0</v>
      </c>
      <c r="J56" t="n">
        <v>0</v>
      </c>
      <c r="K56" t="n">
        <v>1</v>
      </c>
      <c r="L56" t="n">
        <v>0</v>
      </c>
      <c r="M56" t="n">
        <v>0</v>
      </c>
      <c r="N56" t="n">
        <v>0</v>
      </c>
      <c r="O56" t="n">
        <v>1</v>
      </c>
      <c r="P56" t="n">
        <v>1</v>
      </c>
      <c r="Q56" t="n">
        <v>1</v>
      </c>
      <c r="R56" s="2" t="inlineStr">
        <is>
          <t>Knärot</t>
        </is>
      </c>
      <c r="S56">
        <f>HYPERLINK("https://klasma.github.io/Logging_2083/artfynd/A 13986-2023 artfynd.xlsx", "A 13986-2023")</f>
        <v/>
      </c>
      <c r="T56">
        <f>HYPERLINK("https://klasma.github.io/Logging_2083/kartor/A 13986-2023 karta.png", "A 13986-2023")</f>
        <v/>
      </c>
      <c r="U56">
        <f>HYPERLINK("https://klasma.github.io/Logging_2083/knärot/A 13986-2023 karta knärot.png", "A 13986-2023")</f>
        <v/>
      </c>
      <c r="V56">
        <f>HYPERLINK("https://klasma.github.io/Logging_2083/klagomål/A 13986-2023 FSC-klagomål.docx", "A 13986-2023")</f>
        <v/>
      </c>
      <c r="W56">
        <f>HYPERLINK("https://klasma.github.io/Logging_2083/klagomålsmail/A 13986-2023 FSC-klagomål mail.docx", "A 13986-2023")</f>
        <v/>
      </c>
      <c r="X56">
        <f>HYPERLINK("https://klasma.github.io/Logging_2083/tillsyn/A 13986-2023 tillsynsbegäran.docx", "A 13986-2023")</f>
        <v/>
      </c>
      <c r="Y56">
        <f>HYPERLINK("https://klasma.github.io/Logging_2083/tillsynsmail/A 13986-2023 tillsynsbegäran mail.docx", "A 13986-2023")</f>
        <v/>
      </c>
    </row>
    <row r="57" ht="15" customHeight="1">
      <c r="A57" t="inlineStr">
        <is>
          <t>A 42614-2024</t>
        </is>
      </c>
      <c r="B57" s="1" t="n">
        <v>45565</v>
      </c>
      <c r="C57" s="1" t="n">
        <v>45989</v>
      </c>
      <c r="D57" t="inlineStr">
        <is>
          <t>DALARNAS LÄN</t>
        </is>
      </c>
      <c r="E57" t="inlineStr">
        <is>
          <t>HEDEMORA</t>
        </is>
      </c>
      <c r="F57" t="inlineStr">
        <is>
          <t>Sveaskog</t>
        </is>
      </c>
      <c r="G57" t="n">
        <v>3</v>
      </c>
      <c r="H57" t="n">
        <v>1</v>
      </c>
      <c r="I57" t="n">
        <v>0</v>
      </c>
      <c r="J57" t="n">
        <v>1</v>
      </c>
      <c r="K57" t="n">
        <v>0</v>
      </c>
      <c r="L57" t="n">
        <v>0</v>
      </c>
      <c r="M57" t="n">
        <v>0</v>
      </c>
      <c r="N57" t="n">
        <v>0</v>
      </c>
      <c r="O57" t="n">
        <v>1</v>
      </c>
      <c r="P57" t="n">
        <v>0</v>
      </c>
      <c r="Q57" t="n">
        <v>1</v>
      </c>
      <c r="R57" s="2" t="inlineStr">
        <is>
          <t>Talltita</t>
        </is>
      </c>
      <c r="S57">
        <f>HYPERLINK("https://klasma.github.io/Logging_2083/artfynd/A 42614-2024 artfynd.xlsx", "A 42614-2024")</f>
        <v/>
      </c>
      <c r="T57">
        <f>HYPERLINK("https://klasma.github.io/Logging_2083/kartor/A 42614-2024 karta.png", "A 42614-2024")</f>
        <v/>
      </c>
      <c r="V57">
        <f>HYPERLINK("https://klasma.github.io/Logging_2083/klagomål/A 42614-2024 FSC-klagomål.docx", "A 42614-2024")</f>
        <v/>
      </c>
      <c r="W57">
        <f>HYPERLINK("https://klasma.github.io/Logging_2083/klagomålsmail/A 42614-2024 FSC-klagomål mail.docx", "A 42614-2024")</f>
        <v/>
      </c>
      <c r="X57">
        <f>HYPERLINK("https://klasma.github.io/Logging_2083/tillsyn/A 42614-2024 tillsynsbegäran.docx", "A 42614-2024")</f>
        <v/>
      </c>
      <c r="Y57">
        <f>HYPERLINK("https://klasma.github.io/Logging_2083/tillsynsmail/A 42614-2024 tillsynsbegäran mail.docx", "A 42614-2024")</f>
        <v/>
      </c>
      <c r="Z57">
        <f>HYPERLINK("https://klasma.github.io/Logging_2083/fåglar/A 42614-2024 prioriterade fågelarter.docx", "A 42614-2024")</f>
        <v/>
      </c>
    </row>
    <row r="58" ht="15" customHeight="1">
      <c r="A58" t="inlineStr">
        <is>
          <t>A 48382-2025</t>
        </is>
      </c>
      <c r="B58" s="1" t="n">
        <v>45933.82043981482</v>
      </c>
      <c r="C58" s="1" t="n">
        <v>45989</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17590-2025</t>
        </is>
      </c>
      <c r="B59" s="1" t="n">
        <v>45757.69396990741</v>
      </c>
      <c r="C59" s="1" t="n">
        <v>45989</v>
      </c>
      <c r="D59" t="inlineStr">
        <is>
          <t>DALARNAS LÄN</t>
        </is>
      </c>
      <c r="E59" t="inlineStr">
        <is>
          <t>HEDEMORA</t>
        </is>
      </c>
      <c r="G59" t="n">
        <v>0.6</v>
      </c>
      <c r="H59" t="n">
        <v>0</v>
      </c>
      <c r="I59" t="n">
        <v>0</v>
      </c>
      <c r="J59" t="n">
        <v>1</v>
      </c>
      <c r="K59" t="n">
        <v>0</v>
      </c>
      <c r="L59" t="n">
        <v>0</v>
      </c>
      <c r="M59" t="n">
        <v>0</v>
      </c>
      <c r="N59" t="n">
        <v>0</v>
      </c>
      <c r="O59" t="n">
        <v>1</v>
      </c>
      <c r="P59" t="n">
        <v>0</v>
      </c>
      <c r="Q59" t="n">
        <v>1</v>
      </c>
      <c r="R59" s="2" t="inlineStr">
        <is>
          <t>Garnlav</t>
        </is>
      </c>
      <c r="S59">
        <f>HYPERLINK("https://klasma.github.io/Logging_2083/artfynd/A 17590-2025 artfynd.xlsx", "A 17590-2025")</f>
        <v/>
      </c>
      <c r="T59">
        <f>HYPERLINK("https://klasma.github.io/Logging_2083/kartor/A 17590-2025 karta.png", "A 17590-2025")</f>
        <v/>
      </c>
      <c r="V59">
        <f>HYPERLINK("https://klasma.github.io/Logging_2083/klagomål/A 17590-2025 FSC-klagomål.docx", "A 17590-2025")</f>
        <v/>
      </c>
      <c r="W59">
        <f>HYPERLINK("https://klasma.github.io/Logging_2083/klagomålsmail/A 17590-2025 FSC-klagomål mail.docx", "A 17590-2025")</f>
        <v/>
      </c>
      <c r="X59">
        <f>HYPERLINK("https://klasma.github.io/Logging_2083/tillsyn/A 17590-2025 tillsynsbegäran.docx", "A 17590-2025")</f>
        <v/>
      </c>
      <c r="Y59">
        <f>HYPERLINK("https://klasma.github.io/Logging_2083/tillsynsmail/A 17590-2025 tillsynsbegäran mail.docx", "A 17590-2025")</f>
        <v/>
      </c>
    </row>
    <row r="60" ht="15" customHeight="1">
      <c r="A60" t="inlineStr">
        <is>
          <t>A 12905-2025</t>
        </is>
      </c>
      <c r="B60" s="1" t="n">
        <v>45733</v>
      </c>
      <c r="C60" s="1" t="n">
        <v>45989</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51111-2021</t>
        </is>
      </c>
      <c r="B61" s="1" t="n">
        <v>44461</v>
      </c>
      <c r="C61" s="1" t="n">
        <v>45989</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33968-2025</t>
        </is>
      </c>
      <c r="B62" s="1" t="n">
        <v>45842</v>
      </c>
      <c r="C62" s="1" t="n">
        <v>45989</v>
      </c>
      <c r="D62" t="inlineStr">
        <is>
          <t>DALARNAS LÄN</t>
        </is>
      </c>
      <c r="E62" t="inlineStr">
        <is>
          <t>HEDEMORA</t>
        </is>
      </c>
      <c r="F62" t="inlineStr">
        <is>
          <t>Sveaskog</t>
        </is>
      </c>
      <c r="G62" t="n">
        <v>1.6</v>
      </c>
      <c r="H62" t="n">
        <v>1</v>
      </c>
      <c r="I62" t="n">
        <v>1</v>
      </c>
      <c r="J62" t="n">
        <v>0</v>
      </c>
      <c r="K62" t="n">
        <v>0</v>
      </c>
      <c r="L62" t="n">
        <v>0</v>
      </c>
      <c r="M62" t="n">
        <v>0</v>
      </c>
      <c r="N62" t="n">
        <v>0</v>
      </c>
      <c r="O62" t="n">
        <v>0</v>
      </c>
      <c r="P62" t="n">
        <v>0</v>
      </c>
      <c r="Q62" t="n">
        <v>1</v>
      </c>
      <c r="R62" s="2" t="inlineStr">
        <is>
          <t>Plattlummer</t>
        </is>
      </c>
      <c r="S62">
        <f>HYPERLINK("https://klasma.github.io/Logging_2083/artfynd/A 33968-2025 artfynd.xlsx", "A 33968-2025")</f>
        <v/>
      </c>
      <c r="T62">
        <f>HYPERLINK("https://klasma.github.io/Logging_2083/kartor/A 33968-2025 karta.png", "A 33968-2025")</f>
        <v/>
      </c>
      <c r="V62">
        <f>HYPERLINK("https://klasma.github.io/Logging_2083/klagomål/A 33968-2025 FSC-klagomål.docx", "A 33968-2025")</f>
        <v/>
      </c>
      <c r="W62">
        <f>HYPERLINK("https://klasma.github.io/Logging_2083/klagomålsmail/A 33968-2025 FSC-klagomål mail.docx", "A 33968-2025")</f>
        <v/>
      </c>
      <c r="X62">
        <f>HYPERLINK("https://klasma.github.io/Logging_2083/tillsyn/A 33968-2025 tillsynsbegäran.docx", "A 33968-2025")</f>
        <v/>
      </c>
      <c r="Y62">
        <f>HYPERLINK("https://klasma.github.io/Logging_2083/tillsynsmail/A 33968-2025 tillsynsbegäran mail.docx", "A 33968-2025")</f>
        <v/>
      </c>
    </row>
    <row r="63" ht="15" customHeight="1">
      <c r="A63" t="inlineStr">
        <is>
          <t>A 60017-2024</t>
        </is>
      </c>
      <c r="B63" s="1" t="n">
        <v>45642</v>
      </c>
      <c r="C63" s="1" t="n">
        <v>45989</v>
      </c>
      <c r="D63" t="inlineStr">
        <is>
          <t>DALARNAS LÄN</t>
        </is>
      </c>
      <c r="E63" t="inlineStr">
        <is>
          <t>HEDEMORA</t>
        </is>
      </c>
      <c r="F63" t="inlineStr">
        <is>
          <t>Sveaskog</t>
        </is>
      </c>
      <c r="G63" t="n">
        <v>0.5</v>
      </c>
      <c r="H63" t="n">
        <v>1</v>
      </c>
      <c r="I63" t="n">
        <v>0</v>
      </c>
      <c r="J63" t="n">
        <v>0</v>
      </c>
      <c r="K63" t="n">
        <v>1</v>
      </c>
      <c r="L63" t="n">
        <v>0</v>
      </c>
      <c r="M63" t="n">
        <v>0</v>
      </c>
      <c r="N63" t="n">
        <v>0</v>
      </c>
      <c r="O63" t="n">
        <v>1</v>
      </c>
      <c r="P63" t="n">
        <v>1</v>
      </c>
      <c r="Q63" t="n">
        <v>1</v>
      </c>
      <c r="R63" s="2" t="inlineStr">
        <is>
          <t>Knärot</t>
        </is>
      </c>
      <c r="S63">
        <f>HYPERLINK("https://klasma.github.io/Logging_2083/artfynd/A 60017-2024 artfynd.xlsx", "A 60017-2024")</f>
        <v/>
      </c>
      <c r="T63">
        <f>HYPERLINK("https://klasma.github.io/Logging_2083/kartor/A 60017-2024 karta.png", "A 60017-2024")</f>
        <v/>
      </c>
      <c r="U63">
        <f>HYPERLINK("https://klasma.github.io/Logging_2083/knärot/A 60017-2024 karta knärot.png", "A 60017-2024")</f>
        <v/>
      </c>
      <c r="V63">
        <f>HYPERLINK("https://klasma.github.io/Logging_2083/klagomål/A 60017-2024 FSC-klagomål.docx", "A 60017-2024")</f>
        <v/>
      </c>
      <c r="W63">
        <f>HYPERLINK("https://klasma.github.io/Logging_2083/klagomålsmail/A 60017-2024 FSC-klagomål mail.docx", "A 60017-2024")</f>
        <v/>
      </c>
      <c r="X63">
        <f>HYPERLINK("https://klasma.github.io/Logging_2083/tillsyn/A 60017-2024 tillsynsbegäran.docx", "A 60017-2024")</f>
        <v/>
      </c>
      <c r="Y63">
        <f>HYPERLINK("https://klasma.github.io/Logging_2083/tillsynsmail/A 60017-2024 tillsynsbegäran mail.docx", "A 60017-2024")</f>
        <v/>
      </c>
    </row>
    <row r="64" ht="15" customHeight="1">
      <c r="A64" t="inlineStr">
        <is>
          <t>A 53924-2024</t>
        </is>
      </c>
      <c r="B64" s="1" t="n">
        <v>45615</v>
      </c>
      <c r="C64" s="1" t="n">
        <v>45989</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41477-2023</t>
        </is>
      </c>
      <c r="B65" s="1" t="n">
        <v>45171</v>
      </c>
      <c r="C65" s="1" t="n">
        <v>45989</v>
      </c>
      <c r="D65" t="inlineStr">
        <is>
          <t>DALARNAS LÄN</t>
        </is>
      </c>
      <c r="E65" t="inlineStr">
        <is>
          <t>HEDEMORA</t>
        </is>
      </c>
      <c r="F65" t="inlineStr">
        <is>
          <t>Bergvik skog väst AB</t>
        </is>
      </c>
      <c r="G65" t="n">
        <v>9.1</v>
      </c>
      <c r="H65" t="n">
        <v>0</v>
      </c>
      <c r="I65" t="n">
        <v>1</v>
      </c>
      <c r="J65" t="n">
        <v>0</v>
      </c>
      <c r="K65" t="n">
        <v>0</v>
      </c>
      <c r="L65" t="n">
        <v>0</v>
      </c>
      <c r="M65" t="n">
        <v>0</v>
      </c>
      <c r="N65" t="n">
        <v>0</v>
      </c>
      <c r="O65" t="n">
        <v>0</v>
      </c>
      <c r="P65" t="n">
        <v>0</v>
      </c>
      <c r="Q65" t="n">
        <v>1</v>
      </c>
      <c r="R65" s="2" t="inlineStr">
        <is>
          <t>Ögonpyrola</t>
        </is>
      </c>
      <c r="S65">
        <f>HYPERLINK("https://klasma.github.io/Logging_2083/artfynd/A 41477-2023 artfynd.xlsx", "A 41477-2023")</f>
        <v/>
      </c>
      <c r="T65">
        <f>HYPERLINK("https://klasma.github.io/Logging_2083/kartor/A 41477-2023 karta.png", "A 41477-2023")</f>
        <v/>
      </c>
      <c r="V65">
        <f>HYPERLINK("https://klasma.github.io/Logging_2083/klagomål/A 41477-2023 FSC-klagomål.docx", "A 41477-2023")</f>
        <v/>
      </c>
      <c r="W65">
        <f>HYPERLINK("https://klasma.github.io/Logging_2083/klagomålsmail/A 41477-2023 FSC-klagomål mail.docx", "A 41477-2023")</f>
        <v/>
      </c>
      <c r="X65">
        <f>HYPERLINK("https://klasma.github.io/Logging_2083/tillsyn/A 41477-2023 tillsynsbegäran.docx", "A 41477-2023")</f>
        <v/>
      </c>
      <c r="Y65">
        <f>HYPERLINK("https://klasma.github.io/Logging_2083/tillsynsmail/A 41477-2023 tillsynsbegäran mail.docx", "A 41477-2023")</f>
        <v/>
      </c>
    </row>
    <row r="66" ht="15" customHeight="1">
      <c r="A66" t="inlineStr">
        <is>
          <t>A 23815-2023</t>
        </is>
      </c>
      <c r="B66" s="1" t="n">
        <v>45078</v>
      </c>
      <c r="C66" s="1" t="n">
        <v>45989</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23815-2023 artfynd.xlsx", "A 23815-2023")</f>
        <v/>
      </c>
      <c r="T66">
        <f>HYPERLINK("https://klasma.github.io/Logging_2083/kartor/A 23815-2023 karta.png", "A 23815-2023")</f>
        <v/>
      </c>
      <c r="U66">
        <f>HYPERLINK("https://klasma.github.io/Logging_2083/knärot/A 23815-2023 karta knärot.png", "A 23815-2023")</f>
        <v/>
      </c>
      <c r="V66">
        <f>HYPERLINK("https://klasma.github.io/Logging_2083/klagomål/A 23815-2023 FSC-klagomål.docx", "A 23815-2023")</f>
        <v/>
      </c>
      <c r="W66">
        <f>HYPERLINK("https://klasma.github.io/Logging_2083/klagomålsmail/A 23815-2023 FSC-klagomål mail.docx", "A 23815-2023")</f>
        <v/>
      </c>
      <c r="X66">
        <f>HYPERLINK("https://klasma.github.io/Logging_2083/tillsyn/A 23815-2023 tillsynsbegäran.docx", "A 23815-2023")</f>
        <v/>
      </c>
      <c r="Y66">
        <f>HYPERLINK("https://klasma.github.io/Logging_2083/tillsynsmail/A 23815-2023 tillsynsbegäran mail.docx", "A 23815-2023")</f>
        <v/>
      </c>
    </row>
    <row r="67" ht="15" customHeight="1">
      <c r="A67" t="inlineStr">
        <is>
          <t>A 15125-2021</t>
        </is>
      </c>
      <c r="B67" s="1" t="n">
        <v>44283</v>
      </c>
      <c r="C67" s="1" t="n">
        <v>45989</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45989</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45989</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45989</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45989</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45989</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45989</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45989</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45989</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45989</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45989</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45989</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45989</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45989</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45989</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45989</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45989</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45989</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45989</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45989</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45989</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45989</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45989</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45989</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45989</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45989</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45989</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45989</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45989</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45989</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45989</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45989</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36865-2022</t>
        </is>
      </c>
      <c r="B99" s="1" t="n">
        <v>44805</v>
      </c>
      <c r="C99" s="1" t="n">
        <v>45989</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45989</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45989</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45989</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45989</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45989</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45989</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45989</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45989</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45989</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45989</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45989</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45989</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45989</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19987-2025</t>
        </is>
      </c>
      <c r="B113" s="1" t="n">
        <v>45771.72193287037</v>
      </c>
      <c r="C113" s="1" t="n">
        <v>45989</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45989</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45989</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45989</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45989</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21514-2024</t>
        </is>
      </c>
      <c r="B118" s="1" t="n">
        <v>45441.57538194444</v>
      </c>
      <c r="C118" s="1" t="n">
        <v>45989</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37759-2024</t>
        </is>
      </c>
      <c r="B119" s="1" t="n">
        <v>45541</v>
      </c>
      <c r="C119" s="1" t="n">
        <v>45989</v>
      </c>
      <c r="D119" t="inlineStr">
        <is>
          <t>DALARNAS LÄN</t>
        </is>
      </c>
      <c r="E119" t="inlineStr">
        <is>
          <t>HEDEMORA</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39497-2022</t>
        </is>
      </c>
      <c r="B120" s="1" t="n">
        <v>44817</v>
      </c>
      <c r="C120" s="1" t="n">
        <v>45989</v>
      </c>
      <c r="D120" t="inlineStr">
        <is>
          <t>DALARNAS LÄN</t>
        </is>
      </c>
      <c r="E120" t="inlineStr">
        <is>
          <t>HEDEMORA</t>
        </is>
      </c>
      <c r="F120" t="inlineStr">
        <is>
          <t>Bergvik skog väst AB</t>
        </is>
      </c>
      <c r="G120" t="n">
        <v>2.3</v>
      </c>
      <c r="H120" t="n">
        <v>0</v>
      </c>
      <c r="I120" t="n">
        <v>0</v>
      </c>
      <c r="J120" t="n">
        <v>0</v>
      </c>
      <c r="K120" t="n">
        <v>0</v>
      </c>
      <c r="L120" t="n">
        <v>0</v>
      </c>
      <c r="M120" t="n">
        <v>0</v>
      </c>
      <c r="N120" t="n">
        <v>0</v>
      </c>
      <c r="O120" t="n">
        <v>0</v>
      </c>
      <c r="P120" t="n">
        <v>0</v>
      </c>
      <c r="Q120" t="n">
        <v>0</v>
      </c>
      <c r="R120" s="2" t="inlineStr"/>
    </row>
    <row r="121" ht="15" customHeight="1">
      <c r="A121" t="inlineStr">
        <is>
          <t>A 55881-2023</t>
        </is>
      </c>
      <c r="B121" s="1" t="n">
        <v>45239</v>
      </c>
      <c r="C121" s="1" t="n">
        <v>45989</v>
      </c>
      <c r="D121" t="inlineStr">
        <is>
          <t>DALARNAS LÄN</t>
        </is>
      </c>
      <c r="E121" t="inlineStr">
        <is>
          <t>HEDEMORA</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25645-2024</t>
        </is>
      </c>
      <c r="B122" s="1" t="n">
        <v>45463.66520833333</v>
      </c>
      <c r="C122" s="1" t="n">
        <v>45989</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31365-2024</t>
        </is>
      </c>
      <c r="B123" s="1" t="n">
        <v>45505.37086805556</v>
      </c>
      <c r="C123" s="1" t="n">
        <v>45989</v>
      </c>
      <c r="D123" t="inlineStr">
        <is>
          <t>DALARNAS LÄN</t>
        </is>
      </c>
      <c r="E123" t="inlineStr">
        <is>
          <t>HEDEMORA</t>
        </is>
      </c>
      <c r="G123" t="n">
        <v>0.4</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45989</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29587-2024</t>
        </is>
      </c>
      <c r="B125" s="1" t="n">
        <v>45484.5799537037</v>
      </c>
      <c r="C125" s="1" t="n">
        <v>45989</v>
      </c>
      <c r="D125" t="inlineStr">
        <is>
          <t>DALARNAS LÄN</t>
        </is>
      </c>
      <c r="E125" t="inlineStr">
        <is>
          <t>HEDEMORA</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31825-2024</t>
        </is>
      </c>
      <c r="B126" s="1" t="n">
        <v>45509.60949074074</v>
      </c>
      <c r="C126" s="1" t="n">
        <v>45989</v>
      </c>
      <c r="D126" t="inlineStr">
        <is>
          <t>DALARNAS LÄN</t>
        </is>
      </c>
      <c r="E126" t="inlineStr">
        <is>
          <t>HEDEMORA</t>
        </is>
      </c>
      <c r="G126" t="n">
        <v>0.1</v>
      </c>
      <c r="H126" t="n">
        <v>0</v>
      </c>
      <c r="I126" t="n">
        <v>0</v>
      </c>
      <c r="J126" t="n">
        <v>0</v>
      </c>
      <c r="K126" t="n">
        <v>0</v>
      </c>
      <c r="L126" t="n">
        <v>0</v>
      </c>
      <c r="M126" t="n">
        <v>0</v>
      </c>
      <c r="N126" t="n">
        <v>0</v>
      </c>
      <c r="O126" t="n">
        <v>0</v>
      </c>
      <c r="P126" t="n">
        <v>0</v>
      </c>
      <c r="Q126" t="n">
        <v>0</v>
      </c>
      <c r="R126" s="2" t="inlineStr"/>
    </row>
    <row r="127" ht="15" customHeight="1">
      <c r="A127" t="inlineStr">
        <is>
          <t>A 40707-2023</t>
        </is>
      </c>
      <c r="B127" s="1" t="n">
        <v>45170.62489583333</v>
      </c>
      <c r="C127" s="1" t="n">
        <v>45989</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60774-2022</t>
        </is>
      </c>
      <c r="B128" s="1" t="n">
        <v>44914.37917824074</v>
      </c>
      <c r="C128" s="1" t="n">
        <v>45989</v>
      </c>
      <c r="D128" t="inlineStr">
        <is>
          <t>DALARNAS LÄN</t>
        </is>
      </c>
      <c r="E128" t="inlineStr">
        <is>
          <t>HEDEMORA</t>
        </is>
      </c>
      <c r="G128" t="n">
        <v>11.5</v>
      </c>
      <c r="H128" t="n">
        <v>0</v>
      </c>
      <c r="I128" t="n">
        <v>0</v>
      </c>
      <c r="J128" t="n">
        <v>0</v>
      </c>
      <c r="K128" t="n">
        <v>0</v>
      </c>
      <c r="L128" t="n">
        <v>0</v>
      </c>
      <c r="M128" t="n">
        <v>0</v>
      </c>
      <c r="N128" t="n">
        <v>0</v>
      </c>
      <c r="O128" t="n">
        <v>0</v>
      </c>
      <c r="P128" t="n">
        <v>0</v>
      </c>
      <c r="Q128" t="n">
        <v>0</v>
      </c>
      <c r="R128" s="2" t="inlineStr"/>
    </row>
    <row r="129" ht="15" customHeight="1">
      <c r="A129" t="inlineStr">
        <is>
          <t>A 2996-2023</t>
        </is>
      </c>
      <c r="B129" s="1" t="n">
        <v>44945</v>
      </c>
      <c r="C129" s="1" t="n">
        <v>45989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25021-2025</t>
        </is>
      </c>
      <c r="B130" s="1" t="n">
        <v>45799.64574074074</v>
      </c>
      <c r="C130" s="1" t="n">
        <v>45989</v>
      </c>
      <c r="D130" t="inlineStr">
        <is>
          <t>DALARNAS LÄN</t>
        </is>
      </c>
      <c r="E130" t="inlineStr">
        <is>
          <t>HEDEMORA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60780-2024</t>
        </is>
      </c>
      <c r="B131" s="1" t="n">
        <v>45644.59017361111</v>
      </c>
      <c r="C131" s="1" t="n">
        <v>45989</v>
      </c>
      <c r="D131" t="inlineStr">
        <is>
          <t>DALARNAS LÄN</t>
        </is>
      </c>
      <c r="E131" t="inlineStr">
        <is>
          <t>HEDEMORA</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45989</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62046-2022</t>
        </is>
      </c>
      <c r="B133" s="1" t="n">
        <v>44918.5633912037</v>
      </c>
      <c r="C133" s="1" t="n">
        <v>45989</v>
      </c>
      <c r="D133" t="inlineStr">
        <is>
          <t>DALARNAS LÄN</t>
        </is>
      </c>
      <c r="E133" t="inlineStr">
        <is>
          <t>HEDEMORA</t>
        </is>
      </c>
      <c r="G133" t="n">
        <v>1.2</v>
      </c>
      <c r="H133" t="n">
        <v>0</v>
      </c>
      <c r="I133" t="n">
        <v>0</v>
      </c>
      <c r="J133" t="n">
        <v>0</v>
      </c>
      <c r="K133" t="n">
        <v>0</v>
      </c>
      <c r="L133" t="n">
        <v>0</v>
      </c>
      <c r="M133" t="n">
        <v>0</v>
      </c>
      <c r="N133" t="n">
        <v>0</v>
      </c>
      <c r="O133" t="n">
        <v>0</v>
      </c>
      <c r="P133" t="n">
        <v>0</v>
      </c>
      <c r="Q133" t="n">
        <v>0</v>
      </c>
      <c r="R133" s="2" t="inlineStr"/>
    </row>
    <row r="134" ht="15" customHeight="1">
      <c r="A134" t="inlineStr">
        <is>
          <t>A 19397-2024</t>
        </is>
      </c>
      <c r="B134" s="1" t="n">
        <v>45429.38474537037</v>
      </c>
      <c r="C134" s="1" t="n">
        <v>45989</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61886-2022</t>
        </is>
      </c>
      <c r="B135" s="1" t="n">
        <v>44917.67582175926</v>
      </c>
      <c r="C135" s="1" t="n">
        <v>45989</v>
      </c>
      <c r="D135" t="inlineStr">
        <is>
          <t>DALARNAS LÄN</t>
        </is>
      </c>
      <c r="E135" t="inlineStr">
        <is>
          <t>HEDEMORA</t>
        </is>
      </c>
      <c r="G135" t="n">
        <v>1.9</v>
      </c>
      <c r="H135" t="n">
        <v>0</v>
      </c>
      <c r="I135" t="n">
        <v>0</v>
      </c>
      <c r="J135" t="n">
        <v>0</v>
      </c>
      <c r="K135" t="n">
        <v>0</v>
      </c>
      <c r="L135" t="n">
        <v>0</v>
      </c>
      <c r="M135" t="n">
        <v>0</v>
      </c>
      <c r="N135" t="n">
        <v>0</v>
      </c>
      <c r="O135" t="n">
        <v>0</v>
      </c>
      <c r="P135" t="n">
        <v>0</v>
      </c>
      <c r="Q135" t="n">
        <v>0</v>
      </c>
      <c r="R135" s="2" t="inlineStr"/>
    </row>
    <row r="136" ht="15" customHeight="1">
      <c r="A136" t="inlineStr">
        <is>
          <t>A 14968-2025</t>
        </is>
      </c>
      <c r="B136" s="1" t="n">
        <v>45743.59052083334</v>
      </c>
      <c r="C136" s="1" t="n">
        <v>45989</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21869-2025</t>
        </is>
      </c>
      <c r="B137" s="1" t="n">
        <v>45784.37449074074</v>
      </c>
      <c r="C137" s="1" t="n">
        <v>45989</v>
      </c>
      <c r="D137" t="inlineStr">
        <is>
          <t>DALARNAS LÄN</t>
        </is>
      </c>
      <c r="E137" t="inlineStr">
        <is>
          <t>HEDEMORA</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36306-2024</t>
        </is>
      </c>
      <c r="B138" s="1" t="n">
        <v>45534.61327546297</v>
      </c>
      <c r="C138" s="1" t="n">
        <v>45989</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26204-2025</t>
        </is>
      </c>
      <c r="B139" s="1" t="n">
        <v>45805.51065972223</v>
      </c>
      <c r="C139" s="1" t="n">
        <v>45989</v>
      </c>
      <c r="D139" t="inlineStr">
        <is>
          <t>DALARNAS LÄN</t>
        </is>
      </c>
      <c r="E139" t="inlineStr">
        <is>
          <t>HEDEMORA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6972-2025</t>
        </is>
      </c>
      <c r="B140" s="1" t="n">
        <v>45701.53790509259</v>
      </c>
      <c r="C140" s="1" t="n">
        <v>45989</v>
      </c>
      <c r="D140" t="inlineStr">
        <is>
          <t>DALARNAS LÄN</t>
        </is>
      </c>
      <c r="E140" t="inlineStr">
        <is>
          <t>HEDEMORA</t>
        </is>
      </c>
      <c r="G140" t="n">
        <v>4.9</v>
      </c>
      <c r="H140" t="n">
        <v>0</v>
      </c>
      <c r="I140" t="n">
        <v>0</v>
      </c>
      <c r="J140" t="n">
        <v>0</v>
      </c>
      <c r="K140" t="n">
        <v>0</v>
      </c>
      <c r="L140" t="n">
        <v>0</v>
      </c>
      <c r="M140" t="n">
        <v>0</v>
      </c>
      <c r="N140" t="n">
        <v>0</v>
      </c>
      <c r="O140" t="n">
        <v>0</v>
      </c>
      <c r="P140" t="n">
        <v>0</v>
      </c>
      <c r="Q140" t="n">
        <v>0</v>
      </c>
      <c r="R140" s="2" t="inlineStr"/>
    </row>
    <row r="141" ht="15" customHeight="1">
      <c r="A141" t="inlineStr">
        <is>
          <t>A 39393-2025</t>
        </is>
      </c>
      <c r="B141" s="1" t="n">
        <v>45889.62287037037</v>
      </c>
      <c r="C141" s="1" t="n">
        <v>45989</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36935-2024</t>
        </is>
      </c>
      <c r="B142" s="1" t="n">
        <v>45538.56925925926</v>
      </c>
      <c r="C142" s="1" t="n">
        <v>45989</v>
      </c>
      <c r="D142" t="inlineStr">
        <is>
          <t>DALARNAS LÄN</t>
        </is>
      </c>
      <c r="E142" t="inlineStr">
        <is>
          <t>HEDEMORA</t>
        </is>
      </c>
      <c r="G142" t="n">
        <v>1.4</v>
      </c>
      <c r="H142" t="n">
        <v>0</v>
      </c>
      <c r="I142" t="n">
        <v>0</v>
      </c>
      <c r="J142" t="n">
        <v>0</v>
      </c>
      <c r="K142" t="n">
        <v>0</v>
      </c>
      <c r="L142" t="n">
        <v>0</v>
      </c>
      <c r="M142" t="n">
        <v>0</v>
      </c>
      <c r="N142" t="n">
        <v>0</v>
      </c>
      <c r="O142" t="n">
        <v>0</v>
      </c>
      <c r="P142" t="n">
        <v>0</v>
      </c>
      <c r="Q142" t="n">
        <v>0</v>
      </c>
      <c r="R142" s="2" t="inlineStr"/>
    </row>
    <row r="143" ht="15" customHeight="1">
      <c r="A143" t="inlineStr">
        <is>
          <t>A 39389-2025</t>
        </is>
      </c>
      <c r="B143" s="1" t="n">
        <v>45889.62181712963</v>
      </c>
      <c r="C143" s="1" t="n">
        <v>45989</v>
      </c>
      <c r="D143" t="inlineStr">
        <is>
          <t>DALARNAS LÄN</t>
        </is>
      </c>
      <c r="E143" t="inlineStr">
        <is>
          <t>HEDEMORA</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39390-2025</t>
        </is>
      </c>
      <c r="B144" s="1" t="n">
        <v>45889.6240625</v>
      </c>
      <c r="C144" s="1" t="n">
        <v>45989</v>
      </c>
      <c r="D144" t="inlineStr">
        <is>
          <t>DALARNAS LÄN</t>
        </is>
      </c>
      <c r="E144" t="inlineStr">
        <is>
          <t>HEDEMORA</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43621-2024</t>
        </is>
      </c>
      <c r="B145" s="1" t="n">
        <v>45569.48200231481</v>
      </c>
      <c r="C145" s="1" t="n">
        <v>45989</v>
      </c>
      <c r="D145" t="inlineStr">
        <is>
          <t>DALARNAS LÄN</t>
        </is>
      </c>
      <c r="E145" t="inlineStr">
        <is>
          <t>HEDEMORA</t>
        </is>
      </c>
      <c r="G145" t="n">
        <v>2.4</v>
      </c>
      <c r="H145" t="n">
        <v>0</v>
      </c>
      <c r="I145" t="n">
        <v>0</v>
      </c>
      <c r="J145" t="n">
        <v>0</v>
      </c>
      <c r="K145" t="n">
        <v>0</v>
      </c>
      <c r="L145" t="n">
        <v>0</v>
      </c>
      <c r="M145" t="n">
        <v>0</v>
      </c>
      <c r="N145" t="n">
        <v>0</v>
      </c>
      <c r="O145" t="n">
        <v>0</v>
      </c>
      <c r="P145" t="n">
        <v>0</v>
      </c>
      <c r="Q145" t="n">
        <v>0</v>
      </c>
      <c r="R145" s="2" t="inlineStr"/>
    </row>
    <row r="146" ht="15" customHeight="1">
      <c r="A146" t="inlineStr">
        <is>
          <t>A 26705-2025</t>
        </is>
      </c>
      <c r="B146" s="1" t="n">
        <v>45810.45325231482</v>
      </c>
      <c r="C146" s="1" t="n">
        <v>45989</v>
      </c>
      <c r="D146" t="inlineStr">
        <is>
          <t>DALARNAS LÄN</t>
        </is>
      </c>
      <c r="E146" t="inlineStr">
        <is>
          <t>HEDEMORA</t>
        </is>
      </c>
      <c r="G146" t="n">
        <v>1.9</v>
      </c>
      <c r="H146" t="n">
        <v>0</v>
      </c>
      <c r="I146" t="n">
        <v>0</v>
      </c>
      <c r="J146" t="n">
        <v>0</v>
      </c>
      <c r="K146" t="n">
        <v>0</v>
      </c>
      <c r="L146" t="n">
        <v>0</v>
      </c>
      <c r="M146" t="n">
        <v>0</v>
      </c>
      <c r="N146" t="n">
        <v>0</v>
      </c>
      <c r="O146" t="n">
        <v>0</v>
      </c>
      <c r="P146" t="n">
        <v>0</v>
      </c>
      <c r="Q146" t="n">
        <v>0</v>
      </c>
      <c r="R146" s="2" t="inlineStr"/>
    </row>
    <row r="147" ht="15" customHeight="1">
      <c r="A147" t="inlineStr">
        <is>
          <t>A 37761-2024</t>
        </is>
      </c>
      <c r="B147" s="1" t="n">
        <v>45541.78678240741</v>
      </c>
      <c r="C147" s="1" t="n">
        <v>45989</v>
      </c>
      <c r="D147" t="inlineStr">
        <is>
          <t>DALARNAS LÄN</t>
        </is>
      </c>
      <c r="E147" t="inlineStr">
        <is>
          <t>HEDEMORA</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19688-2025</t>
        </is>
      </c>
      <c r="B148" s="1" t="n">
        <v>45770.88217592592</v>
      </c>
      <c r="C148" s="1" t="n">
        <v>45989</v>
      </c>
      <c r="D148" t="inlineStr">
        <is>
          <t>DALARNAS LÄN</t>
        </is>
      </c>
      <c r="E148" t="inlineStr">
        <is>
          <t>HEDEMORA</t>
        </is>
      </c>
      <c r="G148" t="n">
        <v>1.9</v>
      </c>
      <c r="H148" t="n">
        <v>0</v>
      </c>
      <c r="I148" t="n">
        <v>0</v>
      </c>
      <c r="J148" t="n">
        <v>0</v>
      </c>
      <c r="K148" t="n">
        <v>0</v>
      </c>
      <c r="L148" t="n">
        <v>0</v>
      </c>
      <c r="M148" t="n">
        <v>0</v>
      </c>
      <c r="N148" t="n">
        <v>0</v>
      </c>
      <c r="O148" t="n">
        <v>0</v>
      </c>
      <c r="P148" t="n">
        <v>0</v>
      </c>
      <c r="Q148" t="n">
        <v>0</v>
      </c>
      <c r="R148" s="2" t="inlineStr"/>
    </row>
    <row r="149" ht="15" customHeight="1">
      <c r="A149" t="inlineStr">
        <is>
          <t>A 32738-2022</t>
        </is>
      </c>
      <c r="B149" s="1" t="n">
        <v>44783.68931712963</v>
      </c>
      <c r="C149" s="1" t="n">
        <v>45989</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45989</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40419-2025</t>
        </is>
      </c>
      <c r="B151" s="1" t="n">
        <v>45895.57958333333</v>
      </c>
      <c r="C151" s="1" t="n">
        <v>45989</v>
      </c>
      <c r="D151" t="inlineStr">
        <is>
          <t>DALARNAS LÄN</t>
        </is>
      </c>
      <c r="E151" t="inlineStr">
        <is>
          <t>HEDEMORA</t>
        </is>
      </c>
      <c r="G151" t="n">
        <v>3.1</v>
      </c>
      <c r="H151" t="n">
        <v>0</v>
      </c>
      <c r="I151" t="n">
        <v>0</v>
      </c>
      <c r="J151" t="n">
        <v>0</v>
      </c>
      <c r="K151" t="n">
        <v>0</v>
      </c>
      <c r="L151" t="n">
        <v>0</v>
      </c>
      <c r="M151" t="n">
        <v>0</v>
      </c>
      <c r="N151" t="n">
        <v>0</v>
      </c>
      <c r="O151" t="n">
        <v>0</v>
      </c>
      <c r="P151" t="n">
        <v>0</v>
      </c>
      <c r="Q151" t="n">
        <v>0</v>
      </c>
      <c r="R151" s="2" t="inlineStr"/>
    </row>
    <row r="152" ht="15" customHeight="1">
      <c r="A152" t="inlineStr">
        <is>
          <t>A 40456-2025</t>
        </is>
      </c>
      <c r="B152" s="1" t="n">
        <v>45895.64342592593</v>
      </c>
      <c r="C152" s="1" t="n">
        <v>45989</v>
      </c>
      <c r="D152" t="inlineStr">
        <is>
          <t>DALARNAS LÄN</t>
        </is>
      </c>
      <c r="E152" t="inlineStr">
        <is>
          <t>HEDEMORA</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40421-2025</t>
        </is>
      </c>
      <c r="B153" s="1" t="n">
        <v>45895.58449074074</v>
      </c>
      <c r="C153" s="1" t="n">
        <v>45989</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28180-2025</t>
        </is>
      </c>
      <c r="B154" s="1" t="n">
        <v>45818.39755787037</v>
      </c>
      <c r="C154" s="1" t="n">
        <v>45989</v>
      </c>
      <c r="D154" t="inlineStr">
        <is>
          <t>DALARNAS LÄN</t>
        </is>
      </c>
      <c r="E154" t="inlineStr">
        <is>
          <t>HEDEMORA</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28182-2025</t>
        </is>
      </c>
      <c r="B155" s="1" t="n">
        <v>45818.40069444444</v>
      </c>
      <c r="C155" s="1" t="n">
        <v>45989</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20237-2023</t>
        </is>
      </c>
      <c r="B156" s="1" t="n">
        <v>45055</v>
      </c>
      <c r="C156" s="1" t="n">
        <v>45989</v>
      </c>
      <c r="D156" t="inlineStr">
        <is>
          <t>DALARNAS LÄN</t>
        </is>
      </c>
      <c r="E156" t="inlineStr">
        <is>
          <t>HEDEMORA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28183-2025</t>
        </is>
      </c>
      <c r="B157" s="1" t="n">
        <v>45818.4021875</v>
      </c>
      <c r="C157" s="1" t="n">
        <v>45989</v>
      </c>
      <c r="D157" t="inlineStr">
        <is>
          <t>DALARNAS LÄN</t>
        </is>
      </c>
      <c r="E157" t="inlineStr">
        <is>
          <t>HEDEMORA</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15863-2023</t>
        </is>
      </c>
      <c r="B158" s="1" t="n">
        <v>45022</v>
      </c>
      <c r="C158" s="1" t="n">
        <v>45989</v>
      </c>
      <c r="D158" t="inlineStr">
        <is>
          <t>DALARNAS LÄN</t>
        </is>
      </c>
      <c r="E158" t="inlineStr">
        <is>
          <t>HEDEMORA</t>
        </is>
      </c>
      <c r="F158" t="inlineStr">
        <is>
          <t>Bergvik skog väst AB</t>
        </is>
      </c>
      <c r="G158" t="n">
        <v>4.7</v>
      </c>
      <c r="H158" t="n">
        <v>0</v>
      </c>
      <c r="I158" t="n">
        <v>0</v>
      </c>
      <c r="J158" t="n">
        <v>0</v>
      </c>
      <c r="K158" t="n">
        <v>0</v>
      </c>
      <c r="L158" t="n">
        <v>0</v>
      </c>
      <c r="M158" t="n">
        <v>0</v>
      </c>
      <c r="N158" t="n">
        <v>0</v>
      </c>
      <c r="O158" t="n">
        <v>0</v>
      </c>
      <c r="P158" t="n">
        <v>0</v>
      </c>
      <c r="Q158" t="n">
        <v>0</v>
      </c>
      <c r="R158" s="2" t="inlineStr"/>
    </row>
    <row r="159" ht="15" customHeight="1">
      <c r="A159" t="inlineStr">
        <is>
          <t>A 37762-2024</t>
        </is>
      </c>
      <c r="B159" s="1" t="n">
        <v>45541.79369212963</v>
      </c>
      <c r="C159" s="1" t="n">
        <v>45989</v>
      </c>
      <c r="D159" t="inlineStr">
        <is>
          <t>DALARNAS LÄN</t>
        </is>
      </c>
      <c r="E159" t="inlineStr">
        <is>
          <t>HEDEMORA</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45989</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23435-2025</t>
        </is>
      </c>
      <c r="B161" s="1" t="n">
        <v>45792.37162037037</v>
      </c>
      <c r="C161" s="1" t="n">
        <v>45989</v>
      </c>
      <c r="D161" t="inlineStr">
        <is>
          <t>DALARNAS LÄN</t>
        </is>
      </c>
      <c r="E161" t="inlineStr">
        <is>
          <t>HEDEMORA</t>
        </is>
      </c>
      <c r="F161" t="inlineStr">
        <is>
          <t>Sveaskog</t>
        </is>
      </c>
      <c r="G161" t="n">
        <v>2</v>
      </c>
      <c r="H161" t="n">
        <v>0</v>
      </c>
      <c r="I161" t="n">
        <v>0</v>
      </c>
      <c r="J161" t="n">
        <v>0</v>
      </c>
      <c r="K161" t="n">
        <v>0</v>
      </c>
      <c r="L161" t="n">
        <v>0</v>
      </c>
      <c r="M161" t="n">
        <v>0</v>
      </c>
      <c r="N161" t="n">
        <v>0</v>
      </c>
      <c r="O161" t="n">
        <v>0</v>
      </c>
      <c r="P161" t="n">
        <v>0</v>
      </c>
      <c r="Q161" t="n">
        <v>0</v>
      </c>
      <c r="R161" s="2" t="inlineStr"/>
    </row>
    <row r="162" ht="15" customHeight="1">
      <c r="A162" t="inlineStr">
        <is>
          <t>A 1978-2021</t>
        </is>
      </c>
      <c r="B162" s="1" t="n">
        <v>44210.67606481481</v>
      </c>
      <c r="C162" s="1" t="n">
        <v>45989</v>
      </c>
      <c r="D162" t="inlineStr">
        <is>
          <t>DALARNAS LÄN</t>
        </is>
      </c>
      <c r="E162" t="inlineStr">
        <is>
          <t>HEDEMORA</t>
        </is>
      </c>
      <c r="G162" t="n">
        <v>1</v>
      </c>
      <c r="H162" t="n">
        <v>0</v>
      </c>
      <c r="I162" t="n">
        <v>0</v>
      </c>
      <c r="J162" t="n">
        <v>0</v>
      </c>
      <c r="K162" t="n">
        <v>0</v>
      </c>
      <c r="L162" t="n">
        <v>0</v>
      </c>
      <c r="M162" t="n">
        <v>0</v>
      </c>
      <c r="N162" t="n">
        <v>0</v>
      </c>
      <c r="O162" t="n">
        <v>0</v>
      </c>
      <c r="P162" t="n">
        <v>0</v>
      </c>
      <c r="Q162" t="n">
        <v>0</v>
      </c>
      <c r="R162" s="2" t="inlineStr"/>
    </row>
    <row r="163" ht="15" customHeight="1">
      <c r="A163" t="inlineStr">
        <is>
          <t>A 44384-2024</t>
        </is>
      </c>
      <c r="B163" s="1" t="n">
        <v>45573.67782407408</v>
      </c>
      <c r="C163" s="1" t="n">
        <v>45989</v>
      </c>
      <c r="D163" t="inlineStr">
        <is>
          <t>DALARNAS LÄN</t>
        </is>
      </c>
      <c r="E163" t="inlineStr">
        <is>
          <t>HEDEMORA</t>
        </is>
      </c>
      <c r="F163" t="inlineStr">
        <is>
          <t>Bergvik skog väst AB</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44388-2024</t>
        </is>
      </c>
      <c r="B164" s="1" t="n">
        <v>45573.68875</v>
      </c>
      <c r="C164" s="1" t="n">
        <v>45989</v>
      </c>
      <c r="D164" t="inlineStr">
        <is>
          <t>DALARNAS LÄN</t>
        </is>
      </c>
      <c r="E164" t="inlineStr">
        <is>
          <t>HEDEMORA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58841-2023</t>
        </is>
      </c>
      <c r="B165" s="1" t="n">
        <v>45252.42115740741</v>
      </c>
      <c r="C165" s="1" t="n">
        <v>45989</v>
      </c>
      <c r="D165" t="inlineStr">
        <is>
          <t>DALARNAS LÄN</t>
        </is>
      </c>
      <c r="E165" t="inlineStr">
        <is>
          <t>HEDEMORA</t>
        </is>
      </c>
      <c r="G165" t="n">
        <v>14.8</v>
      </c>
      <c r="H165" t="n">
        <v>0</v>
      </c>
      <c r="I165" t="n">
        <v>0</v>
      </c>
      <c r="J165" t="n">
        <v>0</v>
      </c>
      <c r="K165" t="n">
        <v>0</v>
      </c>
      <c r="L165" t="n">
        <v>0</v>
      </c>
      <c r="M165" t="n">
        <v>0</v>
      </c>
      <c r="N165" t="n">
        <v>0</v>
      </c>
      <c r="O165" t="n">
        <v>0</v>
      </c>
      <c r="P165" t="n">
        <v>0</v>
      </c>
      <c r="Q165" t="n">
        <v>0</v>
      </c>
      <c r="R165" s="2" t="inlineStr"/>
    </row>
    <row r="166" ht="15" customHeight="1">
      <c r="A166" t="inlineStr">
        <is>
          <t>A 42510-2025</t>
        </is>
      </c>
      <c r="B166" s="1" t="n">
        <v>45905.54068287037</v>
      </c>
      <c r="C166" s="1" t="n">
        <v>45989</v>
      </c>
      <c r="D166" t="inlineStr">
        <is>
          <t>DALARNAS LÄN</t>
        </is>
      </c>
      <c r="E166" t="inlineStr">
        <is>
          <t>HEDEMORA</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29690-2025</t>
        </is>
      </c>
      <c r="B167" s="1" t="n">
        <v>45825.53508101852</v>
      </c>
      <c r="C167" s="1" t="n">
        <v>45989</v>
      </c>
      <c r="D167" t="inlineStr">
        <is>
          <t>DALARNAS LÄN</t>
        </is>
      </c>
      <c r="E167" t="inlineStr">
        <is>
          <t>HEDEMORA</t>
        </is>
      </c>
      <c r="G167" t="n">
        <v>4.1</v>
      </c>
      <c r="H167" t="n">
        <v>0</v>
      </c>
      <c r="I167" t="n">
        <v>0</v>
      </c>
      <c r="J167" t="n">
        <v>0</v>
      </c>
      <c r="K167" t="n">
        <v>0</v>
      </c>
      <c r="L167" t="n">
        <v>0</v>
      </c>
      <c r="M167" t="n">
        <v>0</v>
      </c>
      <c r="N167" t="n">
        <v>0</v>
      </c>
      <c r="O167" t="n">
        <v>0</v>
      </c>
      <c r="P167" t="n">
        <v>0</v>
      </c>
      <c r="Q167" t="n">
        <v>0</v>
      </c>
      <c r="R167" s="2" t="inlineStr"/>
    </row>
    <row r="168" ht="15" customHeight="1">
      <c r="A168" t="inlineStr">
        <is>
          <t>A 30471-2025</t>
        </is>
      </c>
      <c r="B168" s="1" t="n">
        <v>45827.94552083333</v>
      </c>
      <c r="C168" s="1" t="n">
        <v>45989</v>
      </c>
      <c r="D168" t="inlineStr">
        <is>
          <t>DALARNAS LÄN</t>
        </is>
      </c>
      <c r="E168" t="inlineStr">
        <is>
          <t>HEDEMORA</t>
        </is>
      </c>
      <c r="G168" t="n">
        <v>0.3</v>
      </c>
      <c r="H168" t="n">
        <v>0</v>
      </c>
      <c r="I168" t="n">
        <v>0</v>
      </c>
      <c r="J168" t="n">
        <v>0</v>
      </c>
      <c r="K168" t="n">
        <v>0</v>
      </c>
      <c r="L168" t="n">
        <v>0</v>
      </c>
      <c r="M168" t="n">
        <v>0</v>
      </c>
      <c r="N168" t="n">
        <v>0</v>
      </c>
      <c r="O168" t="n">
        <v>0</v>
      </c>
      <c r="P168" t="n">
        <v>0</v>
      </c>
      <c r="Q168" t="n">
        <v>0</v>
      </c>
      <c r="R168" s="2" t="inlineStr"/>
    </row>
    <row r="169" ht="15" customHeight="1">
      <c r="A169" t="inlineStr">
        <is>
          <t>A 30472-2025</t>
        </is>
      </c>
      <c r="B169" s="1" t="n">
        <v>45827.94671296296</v>
      </c>
      <c r="C169" s="1" t="n">
        <v>45989</v>
      </c>
      <c r="D169" t="inlineStr">
        <is>
          <t>DALARNAS LÄN</t>
        </is>
      </c>
      <c r="E169" t="inlineStr">
        <is>
          <t>HEDEMORA</t>
        </is>
      </c>
      <c r="G169" t="n">
        <v>1.1</v>
      </c>
      <c r="H169" t="n">
        <v>0</v>
      </c>
      <c r="I169" t="n">
        <v>0</v>
      </c>
      <c r="J169" t="n">
        <v>0</v>
      </c>
      <c r="K169" t="n">
        <v>0</v>
      </c>
      <c r="L169" t="n">
        <v>0</v>
      </c>
      <c r="M169" t="n">
        <v>0</v>
      </c>
      <c r="N169" t="n">
        <v>0</v>
      </c>
      <c r="O169" t="n">
        <v>0</v>
      </c>
      <c r="P169" t="n">
        <v>0</v>
      </c>
      <c r="Q169" t="n">
        <v>0</v>
      </c>
      <c r="R169" s="2" t="inlineStr"/>
    </row>
    <row r="170" ht="15" customHeight="1">
      <c r="A170" t="inlineStr">
        <is>
          <t>A 53586-2023</t>
        </is>
      </c>
      <c r="B170" s="1" t="n">
        <v>45230.52603009259</v>
      </c>
      <c r="C170" s="1" t="n">
        <v>45989</v>
      </c>
      <c r="D170" t="inlineStr">
        <is>
          <t>DALARNAS LÄN</t>
        </is>
      </c>
      <c r="E170" t="inlineStr">
        <is>
          <t>HEDEMORA</t>
        </is>
      </c>
      <c r="G170" t="n">
        <v>2.4</v>
      </c>
      <c r="H170" t="n">
        <v>0</v>
      </c>
      <c r="I170" t="n">
        <v>0</v>
      </c>
      <c r="J170" t="n">
        <v>0</v>
      </c>
      <c r="K170" t="n">
        <v>0</v>
      </c>
      <c r="L170" t="n">
        <v>0</v>
      </c>
      <c r="M170" t="n">
        <v>0</v>
      </c>
      <c r="N170" t="n">
        <v>0</v>
      </c>
      <c r="O170" t="n">
        <v>0</v>
      </c>
      <c r="P170" t="n">
        <v>0</v>
      </c>
      <c r="Q170" t="n">
        <v>0</v>
      </c>
      <c r="R170" s="2" t="inlineStr"/>
    </row>
    <row r="171" ht="15" customHeight="1">
      <c r="A171" t="inlineStr">
        <is>
          <t>A 42645-2025</t>
        </is>
      </c>
      <c r="B171" s="1" t="n">
        <v>45906.40199074074</v>
      </c>
      <c r="C171" s="1" t="n">
        <v>45989</v>
      </c>
      <c r="D171" t="inlineStr">
        <is>
          <t>DALARNAS LÄN</t>
        </is>
      </c>
      <c r="E171" t="inlineStr">
        <is>
          <t>HEDEMORA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44957-2021</t>
        </is>
      </c>
      <c r="B172" s="1" t="n">
        <v>44438.71809027778</v>
      </c>
      <c r="C172" s="1" t="n">
        <v>45989</v>
      </c>
      <c r="D172" t="inlineStr">
        <is>
          <t>DALARNAS LÄN</t>
        </is>
      </c>
      <c r="E172" t="inlineStr">
        <is>
          <t>HEDEMORA</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30582-2025</t>
        </is>
      </c>
      <c r="B173" s="1" t="n">
        <v>45831.42349537037</v>
      </c>
      <c r="C173" s="1" t="n">
        <v>45989</v>
      </c>
      <c r="D173" t="inlineStr">
        <is>
          <t>DALARNAS LÄN</t>
        </is>
      </c>
      <c r="E173" t="inlineStr">
        <is>
          <t>HEDEMORA</t>
        </is>
      </c>
      <c r="G173" t="n">
        <v>1.8</v>
      </c>
      <c r="H173" t="n">
        <v>0</v>
      </c>
      <c r="I173" t="n">
        <v>0</v>
      </c>
      <c r="J173" t="n">
        <v>0</v>
      </c>
      <c r="K173" t="n">
        <v>0</v>
      </c>
      <c r="L173" t="n">
        <v>0</v>
      </c>
      <c r="M173" t="n">
        <v>0</v>
      </c>
      <c r="N173" t="n">
        <v>0</v>
      </c>
      <c r="O173" t="n">
        <v>0</v>
      </c>
      <c r="P173" t="n">
        <v>0</v>
      </c>
      <c r="Q173" t="n">
        <v>0</v>
      </c>
      <c r="R173" s="2" t="inlineStr"/>
    </row>
    <row r="174" ht="15" customHeight="1">
      <c r="A174" t="inlineStr">
        <is>
          <t>A 45377-2024</t>
        </is>
      </c>
      <c r="B174" s="1" t="n">
        <v>45576.51962962963</v>
      </c>
      <c r="C174" s="1" t="n">
        <v>45989</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51615-2025</t>
        </is>
      </c>
      <c r="B175" s="1" t="n">
        <v>45951.40246527778</v>
      </c>
      <c r="C175" s="1" t="n">
        <v>45989</v>
      </c>
      <c r="D175" t="inlineStr">
        <is>
          <t>DALARNAS LÄN</t>
        </is>
      </c>
      <c r="E175" t="inlineStr">
        <is>
          <t>HEDEMORA</t>
        </is>
      </c>
      <c r="G175" t="n">
        <v>1.8</v>
      </c>
      <c r="H175" t="n">
        <v>0</v>
      </c>
      <c r="I175" t="n">
        <v>0</v>
      </c>
      <c r="J175" t="n">
        <v>0</v>
      </c>
      <c r="K175" t="n">
        <v>0</v>
      </c>
      <c r="L175" t="n">
        <v>0</v>
      </c>
      <c r="M175" t="n">
        <v>0</v>
      </c>
      <c r="N175" t="n">
        <v>0</v>
      </c>
      <c r="O175" t="n">
        <v>0</v>
      </c>
      <c r="P175" t="n">
        <v>0</v>
      </c>
      <c r="Q175" t="n">
        <v>0</v>
      </c>
      <c r="R175" s="2" t="inlineStr"/>
    </row>
    <row r="176" ht="15" customHeight="1">
      <c r="A176" t="inlineStr">
        <is>
          <t>A 6556-2023</t>
        </is>
      </c>
      <c r="B176" s="1" t="n">
        <v>44961</v>
      </c>
      <c r="C176" s="1" t="n">
        <v>45989</v>
      </c>
      <c r="D176" t="inlineStr">
        <is>
          <t>DALARNAS LÄN</t>
        </is>
      </c>
      <c r="E176" t="inlineStr">
        <is>
          <t>HEDEMORA</t>
        </is>
      </c>
      <c r="G176" t="n">
        <v>3.7</v>
      </c>
      <c r="H176" t="n">
        <v>0</v>
      </c>
      <c r="I176" t="n">
        <v>0</v>
      </c>
      <c r="J176" t="n">
        <v>0</v>
      </c>
      <c r="K176" t="n">
        <v>0</v>
      </c>
      <c r="L176" t="n">
        <v>0</v>
      </c>
      <c r="M176" t="n">
        <v>0</v>
      </c>
      <c r="N176" t="n">
        <v>0</v>
      </c>
      <c r="O176" t="n">
        <v>0</v>
      </c>
      <c r="P176" t="n">
        <v>0</v>
      </c>
      <c r="Q176" t="n">
        <v>0</v>
      </c>
      <c r="R176" s="2" t="inlineStr"/>
    </row>
    <row r="177" ht="15" customHeight="1">
      <c r="A177" t="inlineStr">
        <is>
          <t>A 51695-2025</t>
        </is>
      </c>
      <c r="B177" s="1" t="n">
        <v>45951.54824074074</v>
      </c>
      <c r="C177" s="1" t="n">
        <v>45989</v>
      </c>
      <c r="D177" t="inlineStr">
        <is>
          <t>DALARNAS LÄN</t>
        </is>
      </c>
      <c r="E177" t="inlineStr">
        <is>
          <t>HEDEMORA</t>
        </is>
      </c>
      <c r="G177" t="n">
        <v>2.1</v>
      </c>
      <c r="H177" t="n">
        <v>0</v>
      </c>
      <c r="I177" t="n">
        <v>0</v>
      </c>
      <c r="J177" t="n">
        <v>0</v>
      </c>
      <c r="K177" t="n">
        <v>0</v>
      </c>
      <c r="L177" t="n">
        <v>0</v>
      </c>
      <c r="M177" t="n">
        <v>0</v>
      </c>
      <c r="N177" t="n">
        <v>0</v>
      </c>
      <c r="O177" t="n">
        <v>0</v>
      </c>
      <c r="P177" t="n">
        <v>0</v>
      </c>
      <c r="Q177" t="n">
        <v>0</v>
      </c>
      <c r="R177" s="2" t="inlineStr"/>
    </row>
    <row r="178" ht="15" customHeight="1">
      <c r="A178" t="inlineStr">
        <is>
          <t>A 43193-2025</t>
        </is>
      </c>
      <c r="B178" s="1" t="n">
        <v>45910.42417824074</v>
      </c>
      <c r="C178" s="1" t="n">
        <v>45989</v>
      </c>
      <c r="D178" t="inlineStr">
        <is>
          <t>DALARNAS LÄN</t>
        </is>
      </c>
      <c r="E178" t="inlineStr">
        <is>
          <t>HEDEMORA</t>
        </is>
      </c>
      <c r="G178" t="n">
        <v>3.9</v>
      </c>
      <c r="H178" t="n">
        <v>0</v>
      </c>
      <c r="I178" t="n">
        <v>0</v>
      </c>
      <c r="J178" t="n">
        <v>0</v>
      </c>
      <c r="K178" t="n">
        <v>0</v>
      </c>
      <c r="L178" t="n">
        <v>0</v>
      </c>
      <c r="M178" t="n">
        <v>0</v>
      </c>
      <c r="N178" t="n">
        <v>0</v>
      </c>
      <c r="O178" t="n">
        <v>0</v>
      </c>
      <c r="P178" t="n">
        <v>0</v>
      </c>
      <c r="Q178" t="n">
        <v>0</v>
      </c>
      <c r="R178" s="2" t="inlineStr"/>
    </row>
    <row r="179" ht="15" customHeight="1">
      <c r="A179" t="inlineStr">
        <is>
          <t>A 52328-2025</t>
        </is>
      </c>
      <c r="B179" s="1" t="n">
        <v>45953.67157407408</v>
      </c>
      <c r="C179" s="1" t="n">
        <v>45989</v>
      </c>
      <c r="D179" t="inlineStr">
        <is>
          <t>DALARNAS LÄN</t>
        </is>
      </c>
      <c r="E179" t="inlineStr">
        <is>
          <t>HEDEMORA</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52325-2025</t>
        </is>
      </c>
      <c r="B180" s="1" t="n">
        <v>45953.67032407408</v>
      </c>
      <c r="C180" s="1" t="n">
        <v>45989</v>
      </c>
      <c r="D180" t="inlineStr">
        <is>
          <t>DALARNAS LÄN</t>
        </is>
      </c>
      <c r="E180" t="inlineStr">
        <is>
          <t>HEDEMORA</t>
        </is>
      </c>
      <c r="F180" t="inlineStr">
        <is>
          <t>Sveaskog</t>
        </is>
      </c>
      <c r="G180" t="n">
        <v>3.2</v>
      </c>
      <c r="H180" t="n">
        <v>0</v>
      </c>
      <c r="I180" t="n">
        <v>0</v>
      </c>
      <c r="J180" t="n">
        <v>0</v>
      </c>
      <c r="K180" t="n">
        <v>0</v>
      </c>
      <c r="L180" t="n">
        <v>0</v>
      </c>
      <c r="M180" t="n">
        <v>0</v>
      </c>
      <c r="N180" t="n">
        <v>0</v>
      </c>
      <c r="O180" t="n">
        <v>0</v>
      </c>
      <c r="P180" t="n">
        <v>0</v>
      </c>
      <c r="Q180" t="n">
        <v>0</v>
      </c>
      <c r="R180" s="2" t="inlineStr"/>
    </row>
    <row r="181" ht="15" customHeight="1">
      <c r="A181" t="inlineStr">
        <is>
          <t>A 6441-2021</t>
        </is>
      </c>
      <c r="B181" s="1" t="n">
        <v>44235</v>
      </c>
      <c r="C181" s="1" t="n">
        <v>45989</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32865-2025</t>
        </is>
      </c>
      <c r="B182" s="1" t="n">
        <v>45839.58767361111</v>
      </c>
      <c r="C182" s="1" t="n">
        <v>45989</v>
      </c>
      <c r="D182" t="inlineStr">
        <is>
          <t>DALARNAS LÄN</t>
        </is>
      </c>
      <c r="E182" t="inlineStr">
        <is>
          <t>HEDEMORA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33288-2025</t>
        </is>
      </c>
      <c r="B183" s="1" t="n">
        <v>45840</v>
      </c>
      <c r="C183" s="1" t="n">
        <v>45989</v>
      </c>
      <c r="D183" t="inlineStr">
        <is>
          <t>DALARNAS LÄN</t>
        </is>
      </c>
      <c r="E183" t="inlineStr">
        <is>
          <t>HEDEMORA</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32869-2025</t>
        </is>
      </c>
      <c r="B184" s="1" t="n">
        <v>45839.58927083333</v>
      </c>
      <c r="C184" s="1" t="n">
        <v>45989</v>
      </c>
      <c r="D184" t="inlineStr">
        <is>
          <t>DALARNAS LÄN</t>
        </is>
      </c>
      <c r="E184" t="inlineStr">
        <is>
          <t>HEDEMORA</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33009-2025</t>
        </is>
      </c>
      <c r="B185" s="1" t="n">
        <v>45840</v>
      </c>
      <c r="C185" s="1" t="n">
        <v>45989</v>
      </c>
      <c r="D185" t="inlineStr">
        <is>
          <t>DALARNAS LÄN</t>
        </is>
      </c>
      <c r="E185" t="inlineStr">
        <is>
          <t>HEDEMORA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52853-2025</t>
        </is>
      </c>
      <c r="B186" s="1" t="n">
        <v>45957.49408564815</v>
      </c>
      <c r="C186" s="1" t="n">
        <v>45989</v>
      </c>
      <c r="D186" t="inlineStr">
        <is>
          <t>DALARNAS LÄN</t>
        </is>
      </c>
      <c r="E186" t="inlineStr">
        <is>
          <t>HEDEMORA</t>
        </is>
      </c>
      <c r="G186" t="n">
        <v>1.5</v>
      </c>
      <c r="H186" t="n">
        <v>0</v>
      </c>
      <c r="I186" t="n">
        <v>0</v>
      </c>
      <c r="J186" t="n">
        <v>0</v>
      </c>
      <c r="K186" t="n">
        <v>0</v>
      </c>
      <c r="L186" t="n">
        <v>0</v>
      </c>
      <c r="M186" t="n">
        <v>0</v>
      </c>
      <c r="N186" t="n">
        <v>0</v>
      </c>
      <c r="O186" t="n">
        <v>0</v>
      </c>
      <c r="P186" t="n">
        <v>0</v>
      </c>
      <c r="Q186" t="n">
        <v>0</v>
      </c>
      <c r="R186" s="2" t="inlineStr"/>
    </row>
    <row r="187" ht="15" customHeight="1">
      <c r="A187" t="inlineStr">
        <is>
          <t>A 33286-2025</t>
        </is>
      </c>
      <c r="B187" s="1" t="n">
        <v>45840.81065972222</v>
      </c>
      <c r="C187" s="1" t="n">
        <v>45989</v>
      </c>
      <c r="D187" t="inlineStr">
        <is>
          <t>DALARNAS LÄN</t>
        </is>
      </c>
      <c r="E187" t="inlineStr">
        <is>
          <t>HEDEMORA</t>
        </is>
      </c>
      <c r="F187" t="inlineStr">
        <is>
          <t>Sveaskog</t>
        </is>
      </c>
      <c r="G187" t="n">
        <v>7.1</v>
      </c>
      <c r="H187" t="n">
        <v>0</v>
      </c>
      <c r="I187" t="n">
        <v>0</v>
      </c>
      <c r="J187" t="n">
        <v>0</v>
      </c>
      <c r="K187" t="n">
        <v>0</v>
      </c>
      <c r="L187" t="n">
        <v>0</v>
      </c>
      <c r="M187" t="n">
        <v>0</v>
      </c>
      <c r="N187" t="n">
        <v>0</v>
      </c>
      <c r="O187" t="n">
        <v>0</v>
      </c>
      <c r="P187" t="n">
        <v>0</v>
      </c>
      <c r="Q187" t="n">
        <v>0</v>
      </c>
      <c r="R187" s="2" t="inlineStr"/>
    </row>
    <row r="188" ht="15" customHeight="1">
      <c r="A188" t="inlineStr">
        <is>
          <t>A 59632-2023</t>
        </is>
      </c>
      <c r="B188" s="1" t="n">
        <v>45254</v>
      </c>
      <c r="C188" s="1" t="n">
        <v>45989</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53044-2025</t>
        </is>
      </c>
      <c r="B189" s="1" t="n">
        <v>45958.35663194444</v>
      </c>
      <c r="C189" s="1" t="n">
        <v>45989</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52759-2025</t>
        </is>
      </c>
      <c r="B190" s="1" t="n">
        <v>45957.39364583333</v>
      </c>
      <c r="C190" s="1" t="n">
        <v>45989</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45989</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45989</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52714-2025</t>
        </is>
      </c>
      <c r="B193" s="1" t="n">
        <v>45953</v>
      </c>
      <c r="C193" s="1" t="n">
        <v>45989</v>
      </c>
      <c r="D193" t="inlineStr">
        <is>
          <t>DALARNAS LÄN</t>
        </is>
      </c>
      <c r="E193" t="inlineStr">
        <is>
          <t>HEDEMORA</t>
        </is>
      </c>
      <c r="F193" t="inlineStr">
        <is>
          <t>Bergvik skog väst AB</t>
        </is>
      </c>
      <c r="G193" t="n">
        <v>14.7</v>
      </c>
      <c r="H193" t="n">
        <v>0</v>
      </c>
      <c r="I193" t="n">
        <v>0</v>
      </c>
      <c r="J193" t="n">
        <v>0</v>
      </c>
      <c r="K193" t="n">
        <v>0</v>
      </c>
      <c r="L193" t="n">
        <v>0</v>
      </c>
      <c r="M193" t="n">
        <v>0</v>
      </c>
      <c r="N193" t="n">
        <v>0</v>
      </c>
      <c r="O193" t="n">
        <v>0</v>
      </c>
      <c r="P193" t="n">
        <v>0</v>
      </c>
      <c r="Q193" t="n">
        <v>0</v>
      </c>
      <c r="R193" s="2" t="inlineStr"/>
    </row>
    <row r="194" ht="15" customHeight="1">
      <c r="A194" t="inlineStr">
        <is>
          <t>A 34734-2025</t>
        </is>
      </c>
      <c r="B194" s="1" t="n">
        <v>45848</v>
      </c>
      <c r="C194" s="1" t="n">
        <v>45989</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63908-2021</t>
        </is>
      </c>
      <c r="B195" s="1" t="n">
        <v>44509.6580787037</v>
      </c>
      <c r="C195" s="1" t="n">
        <v>45989</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54423-2023</t>
        </is>
      </c>
      <c r="B196" s="1" t="n">
        <v>45233.41666666666</v>
      </c>
      <c r="C196" s="1" t="n">
        <v>45989</v>
      </c>
      <c r="D196" t="inlineStr">
        <is>
          <t>DALARNAS LÄN</t>
        </is>
      </c>
      <c r="E196" t="inlineStr">
        <is>
          <t>HEDEMORA</t>
        </is>
      </c>
      <c r="G196" t="n">
        <v>3.4</v>
      </c>
      <c r="H196" t="n">
        <v>0</v>
      </c>
      <c r="I196" t="n">
        <v>0</v>
      </c>
      <c r="J196" t="n">
        <v>0</v>
      </c>
      <c r="K196" t="n">
        <v>0</v>
      </c>
      <c r="L196" t="n">
        <v>0</v>
      </c>
      <c r="M196" t="n">
        <v>0</v>
      </c>
      <c r="N196" t="n">
        <v>0</v>
      </c>
      <c r="O196" t="n">
        <v>0</v>
      </c>
      <c r="P196" t="n">
        <v>0</v>
      </c>
      <c r="Q196" t="n">
        <v>0</v>
      </c>
      <c r="R196" s="2" t="inlineStr"/>
    </row>
    <row r="197" ht="15" customHeight="1">
      <c r="A197" t="inlineStr">
        <is>
          <t>A 35103-2025</t>
        </is>
      </c>
      <c r="B197" s="1" t="n">
        <v>45852.56914351852</v>
      </c>
      <c r="C197" s="1" t="n">
        <v>45989</v>
      </c>
      <c r="D197" t="inlineStr">
        <is>
          <t>DALARNAS LÄN</t>
        </is>
      </c>
      <c r="E197" t="inlineStr">
        <is>
          <t>HEDEMORA</t>
        </is>
      </c>
      <c r="G197" t="n">
        <v>6.2</v>
      </c>
      <c r="H197" t="n">
        <v>0</v>
      </c>
      <c r="I197" t="n">
        <v>0</v>
      </c>
      <c r="J197" t="n">
        <v>0</v>
      </c>
      <c r="K197" t="n">
        <v>0</v>
      </c>
      <c r="L197" t="n">
        <v>0</v>
      </c>
      <c r="M197" t="n">
        <v>0</v>
      </c>
      <c r="N197" t="n">
        <v>0</v>
      </c>
      <c r="O197" t="n">
        <v>0</v>
      </c>
      <c r="P197" t="n">
        <v>0</v>
      </c>
      <c r="Q197" t="n">
        <v>0</v>
      </c>
      <c r="R197" s="2" t="inlineStr"/>
    </row>
    <row r="198" ht="15" customHeight="1">
      <c r="A198" t="inlineStr">
        <is>
          <t>A 44850-2025</t>
        </is>
      </c>
      <c r="B198" s="1" t="n">
        <v>45918.44587962963</v>
      </c>
      <c r="C198" s="1" t="n">
        <v>45989</v>
      </c>
      <c r="D198" t="inlineStr">
        <is>
          <t>DALARNAS LÄN</t>
        </is>
      </c>
      <c r="E198" t="inlineStr">
        <is>
          <t>HEDEMORA</t>
        </is>
      </c>
      <c r="G198" t="n">
        <v>3.9</v>
      </c>
      <c r="H198" t="n">
        <v>0</v>
      </c>
      <c r="I198" t="n">
        <v>0</v>
      </c>
      <c r="J198" t="n">
        <v>0</v>
      </c>
      <c r="K198" t="n">
        <v>0</v>
      </c>
      <c r="L198" t="n">
        <v>0</v>
      </c>
      <c r="M198" t="n">
        <v>0</v>
      </c>
      <c r="N198" t="n">
        <v>0</v>
      </c>
      <c r="O198" t="n">
        <v>0</v>
      </c>
      <c r="P198" t="n">
        <v>0</v>
      </c>
      <c r="Q198" t="n">
        <v>0</v>
      </c>
      <c r="R198" s="2" t="inlineStr"/>
    </row>
    <row r="199" ht="15" customHeight="1">
      <c r="A199" t="inlineStr">
        <is>
          <t>A 52316-2025</t>
        </is>
      </c>
      <c r="B199" s="1" t="n">
        <v>45953.65537037037</v>
      </c>
      <c r="C199" s="1" t="n">
        <v>45989</v>
      </c>
      <c r="D199" t="inlineStr">
        <is>
          <t>DALARNAS LÄN</t>
        </is>
      </c>
      <c r="E199" t="inlineStr">
        <is>
          <t>HEDEMORA</t>
        </is>
      </c>
      <c r="F199" t="inlineStr">
        <is>
          <t>Sveaskog</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53551-2025</t>
        </is>
      </c>
      <c r="B200" s="1" t="n">
        <v>45960.3875</v>
      </c>
      <c r="C200" s="1" t="n">
        <v>45989</v>
      </c>
      <c r="D200" t="inlineStr">
        <is>
          <t>DALARNAS LÄN</t>
        </is>
      </c>
      <c r="E200" t="inlineStr">
        <is>
          <t>HEDEMORA</t>
        </is>
      </c>
      <c r="G200" t="n">
        <v>6.2</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45989</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15048-2025</t>
        </is>
      </c>
      <c r="B202" s="1" t="n">
        <v>45743.69820601852</v>
      </c>
      <c r="C202" s="1" t="n">
        <v>45989</v>
      </c>
      <c r="D202" t="inlineStr">
        <is>
          <t>DALARNAS LÄN</t>
        </is>
      </c>
      <c r="E202" t="inlineStr">
        <is>
          <t>HEDEMORA</t>
        </is>
      </c>
      <c r="F202" t="inlineStr">
        <is>
          <t>Sveaskog</t>
        </is>
      </c>
      <c r="G202" t="n">
        <v>9.1</v>
      </c>
      <c r="H202" t="n">
        <v>0</v>
      </c>
      <c r="I202" t="n">
        <v>0</v>
      </c>
      <c r="J202" t="n">
        <v>0</v>
      </c>
      <c r="K202" t="n">
        <v>0</v>
      </c>
      <c r="L202" t="n">
        <v>0</v>
      </c>
      <c r="M202" t="n">
        <v>0</v>
      </c>
      <c r="N202" t="n">
        <v>0</v>
      </c>
      <c r="O202" t="n">
        <v>0</v>
      </c>
      <c r="P202" t="n">
        <v>0</v>
      </c>
      <c r="Q202" t="n">
        <v>0</v>
      </c>
      <c r="R202" s="2" t="inlineStr"/>
    </row>
    <row r="203" ht="15" customHeight="1">
      <c r="A203" t="inlineStr">
        <is>
          <t>A 45290-2025</t>
        </is>
      </c>
      <c r="B203" s="1" t="n">
        <v>45920.37158564815</v>
      </c>
      <c r="C203" s="1" t="n">
        <v>45989</v>
      </c>
      <c r="D203" t="inlineStr">
        <is>
          <t>DALARNAS LÄN</t>
        </is>
      </c>
      <c r="E203" t="inlineStr">
        <is>
          <t>HEDEMORA</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30572-2021</t>
        </is>
      </c>
      <c r="B204" s="1" t="n">
        <v>44364.83369212963</v>
      </c>
      <c r="C204" s="1" t="n">
        <v>45989</v>
      </c>
      <c r="D204" t="inlineStr">
        <is>
          <t>DALARNAS LÄN</t>
        </is>
      </c>
      <c r="E204" t="inlineStr">
        <is>
          <t>HEDEMORA</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54040-2025</t>
        </is>
      </c>
      <c r="B205" s="1" t="n">
        <v>45963.74130787037</v>
      </c>
      <c r="C205" s="1" t="n">
        <v>45989</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15054-2025</t>
        </is>
      </c>
      <c r="B206" s="1" t="n">
        <v>45743.70199074074</v>
      </c>
      <c r="C206" s="1" t="n">
        <v>45989</v>
      </c>
      <c r="D206" t="inlineStr">
        <is>
          <t>DALARNAS LÄN</t>
        </is>
      </c>
      <c r="E206" t="inlineStr">
        <is>
          <t>HEDEMORA</t>
        </is>
      </c>
      <c r="F206" t="inlineStr">
        <is>
          <t>Sveaskog</t>
        </is>
      </c>
      <c r="G206" t="n">
        <v>5.2</v>
      </c>
      <c r="H206" t="n">
        <v>0</v>
      </c>
      <c r="I206" t="n">
        <v>0</v>
      </c>
      <c r="J206" t="n">
        <v>0</v>
      </c>
      <c r="K206" t="n">
        <v>0</v>
      </c>
      <c r="L206" t="n">
        <v>0</v>
      </c>
      <c r="M206" t="n">
        <v>0</v>
      </c>
      <c r="N206" t="n">
        <v>0</v>
      </c>
      <c r="O206" t="n">
        <v>0</v>
      </c>
      <c r="P206" t="n">
        <v>0</v>
      </c>
      <c r="Q206" t="n">
        <v>0</v>
      </c>
      <c r="R206" s="2" t="inlineStr"/>
    </row>
    <row r="207" ht="15" customHeight="1">
      <c r="A207" t="inlineStr">
        <is>
          <t>A 21092-2023</t>
        </is>
      </c>
      <c r="B207" s="1" t="n">
        <v>45061</v>
      </c>
      <c r="C207" s="1" t="n">
        <v>45989</v>
      </c>
      <c r="D207" t="inlineStr">
        <is>
          <t>DALARNAS LÄN</t>
        </is>
      </c>
      <c r="E207" t="inlineStr">
        <is>
          <t>HEDEMORA</t>
        </is>
      </c>
      <c r="F207" t="inlineStr">
        <is>
          <t>Sveaskog</t>
        </is>
      </c>
      <c r="G207" t="n">
        <v>0.1</v>
      </c>
      <c r="H207" t="n">
        <v>0</v>
      </c>
      <c r="I207" t="n">
        <v>0</v>
      </c>
      <c r="J207" t="n">
        <v>0</v>
      </c>
      <c r="K207" t="n">
        <v>0</v>
      </c>
      <c r="L207" t="n">
        <v>0</v>
      </c>
      <c r="M207" t="n">
        <v>0</v>
      </c>
      <c r="N207" t="n">
        <v>0</v>
      </c>
      <c r="O207" t="n">
        <v>0</v>
      </c>
      <c r="P207" t="n">
        <v>0</v>
      </c>
      <c r="Q207" t="n">
        <v>0</v>
      </c>
      <c r="R207" s="2" t="inlineStr"/>
    </row>
    <row r="208" ht="15" customHeight="1">
      <c r="A208" t="inlineStr">
        <is>
          <t>A 36117-2025</t>
        </is>
      </c>
      <c r="B208" s="1" t="n">
        <v>45866.58664351852</v>
      </c>
      <c r="C208" s="1" t="n">
        <v>45989</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36103-2025</t>
        </is>
      </c>
      <c r="B209" s="1" t="n">
        <v>45866.55335648148</v>
      </c>
      <c r="C209" s="1" t="n">
        <v>45989</v>
      </c>
      <c r="D209" t="inlineStr">
        <is>
          <t>DALARNAS LÄN</t>
        </is>
      </c>
      <c r="E209" t="inlineStr">
        <is>
          <t>HEDEMORA</t>
        </is>
      </c>
      <c r="G209" t="n">
        <v>2.3</v>
      </c>
      <c r="H209" t="n">
        <v>0</v>
      </c>
      <c r="I209" t="n">
        <v>0</v>
      </c>
      <c r="J209" t="n">
        <v>0</v>
      </c>
      <c r="K209" t="n">
        <v>0</v>
      </c>
      <c r="L209" t="n">
        <v>0</v>
      </c>
      <c r="M209" t="n">
        <v>0</v>
      </c>
      <c r="N209" t="n">
        <v>0</v>
      </c>
      <c r="O209" t="n">
        <v>0</v>
      </c>
      <c r="P209" t="n">
        <v>0</v>
      </c>
      <c r="Q209" t="n">
        <v>0</v>
      </c>
      <c r="R209" s="2" t="inlineStr"/>
    </row>
    <row r="210" ht="15" customHeight="1">
      <c r="A210" t="inlineStr">
        <is>
          <t>A 36075-2025</t>
        </is>
      </c>
      <c r="B210" s="1" t="n">
        <v>45866.43974537037</v>
      </c>
      <c r="C210" s="1" t="n">
        <v>45989</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62398-2023</t>
        </is>
      </c>
      <c r="B211" s="1" t="n">
        <v>45268</v>
      </c>
      <c r="C211" s="1" t="n">
        <v>45989</v>
      </c>
      <c r="D211" t="inlineStr">
        <is>
          <t>DALARNAS LÄN</t>
        </is>
      </c>
      <c r="E211" t="inlineStr">
        <is>
          <t>HEDEMORA</t>
        </is>
      </c>
      <c r="G211" t="n">
        <v>2.1</v>
      </c>
      <c r="H211" t="n">
        <v>0</v>
      </c>
      <c r="I211" t="n">
        <v>0</v>
      </c>
      <c r="J211" t="n">
        <v>0</v>
      </c>
      <c r="K211" t="n">
        <v>0</v>
      </c>
      <c r="L211" t="n">
        <v>0</v>
      </c>
      <c r="M211" t="n">
        <v>0</v>
      </c>
      <c r="N211" t="n">
        <v>0</v>
      </c>
      <c r="O211" t="n">
        <v>0</v>
      </c>
      <c r="P211" t="n">
        <v>0</v>
      </c>
      <c r="Q211" t="n">
        <v>0</v>
      </c>
      <c r="R211" s="2" t="inlineStr"/>
    </row>
    <row r="212" ht="15" customHeight="1">
      <c r="A212" t="inlineStr">
        <is>
          <t>A 36206-2025</t>
        </is>
      </c>
      <c r="B212" s="1" t="n">
        <v>45867.45057870371</v>
      </c>
      <c r="C212" s="1" t="n">
        <v>45989</v>
      </c>
      <c r="D212" t="inlineStr">
        <is>
          <t>DALARNAS LÄN</t>
        </is>
      </c>
      <c r="E212" t="inlineStr">
        <is>
          <t>HEDEMORA</t>
        </is>
      </c>
      <c r="G212" t="n">
        <v>0.1</v>
      </c>
      <c r="H212" t="n">
        <v>0</v>
      </c>
      <c r="I212" t="n">
        <v>0</v>
      </c>
      <c r="J212" t="n">
        <v>0</v>
      </c>
      <c r="K212" t="n">
        <v>0</v>
      </c>
      <c r="L212" t="n">
        <v>0</v>
      </c>
      <c r="M212" t="n">
        <v>0</v>
      </c>
      <c r="N212" t="n">
        <v>0</v>
      </c>
      <c r="O212" t="n">
        <v>0</v>
      </c>
      <c r="P212" t="n">
        <v>0</v>
      </c>
      <c r="Q212" t="n">
        <v>0</v>
      </c>
      <c r="R212" s="2" t="inlineStr"/>
    </row>
    <row r="213" ht="15" customHeight="1">
      <c r="A213" t="inlineStr">
        <is>
          <t>A 57745-2024</t>
        </is>
      </c>
      <c r="B213" s="1" t="n">
        <v>45630.77605324074</v>
      </c>
      <c r="C213" s="1" t="n">
        <v>45989</v>
      </c>
      <c r="D213" t="inlineStr">
        <is>
          <t>DALARNAS LÄN</t>
        </is>
      </c>
      <c r="E213" t="inlineStr">
        <is>
          <t>HEDEMORA</t>
        </is>
      </c>
      <c r="G213" t="n">
        <v>1.1</v>
      </c>
      <c r="H213" t="n">
        <v>0</v>
      </c>
      <c r="I213" t="n">
        <v>0</v>
      </c>
      <c r="J213" t="n">
        <v>0</v>
      </c>
      <c r="K213" t="n">
        <v>0</v>
      </c>
      <c r="L213" t="n">
        <v>0</v>
      </c>
      <c r="M213" t="n">
        <v>0</v>
      </c>
      <c r="N213" t="n">
        <v>0</v>
      </c>
      <c r="O213" t="n">
        <v>0</v>
      </c>
      <c r="P213" t="n">
        <v>0</v>
      </c>
      <c r="Q213" t="n">
        <v>0</v>
      </c>
      <c r="R213" s="2" t="inlineStr"/>
    </row>
    <row r="214" ht="15" customHeight="1">
      <c r="A214" t="inlineStr">
        <is>
          <t>A 54829-2025</t>
        </is>
      </c>
      <c r="B214" s="1" t="n">
        <v>45966.67506944444</v>
      </c>
      <c r="C214" s="1" t="n">
        <v>45989</v>
      </c>
      <c r="D214" t="inlineStr">
        <is>
          <t>DALARNAS LÄN</t>
        </is>
      </c>
      <c r="E214" t="inlineStr">
        <is>
          <t>HEDEMORA</t>
        </is>
      </c>
      <c r="G214" t="n">
        <v>2.2</v>
      </c>
      <c r="H214" t="n">
        <v>0</v>
      </c>
      <c r="I214" t="n">
        <v>0</v>
      </c>
      <c r="J214" t="n">
        <v>0</v>
      </c>
      <c r="K214" t="n">
        <v>0</v>
      </c>
      <c r="L214" t="n">
        <v>0</v>
      </c>
      <c r="M214" t="n">
        <v>0</v>
      </c>
      <c r="N214" t="n">
        <v>0</v>
      </c>
      <c r="O214" t="n">
        <v>0</v>
      </c>
      <c r="P214" t="n">
        <v>0</v>
      </c>
      <c r="Q214" t="n">
        <v>0</v>
      </c>
      <c r="R214" s="2" t="inlineStr"/>
    </row>
    <row r="215" ht="15" customHeight="1">
      <c r="A215" t="inlineStr">
        <is>
          <t>A 48320-2024</t>
        </is>
      </c>
      <c r="B215" s="1" t="n">
        <v>45590.4999537037</v>
      </c>
      <c r="C215" s="1" t="n">
        <v>45989</v>
      </c>
      <c r="D215" t="inlineStr">
        <is>
          <t>DALARNAS LÄN</t>
        </is>
      </c>
      <c r="E215" t="inlineStr">
        <is>
          <t>HEDEMORA</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36900-2022</t>
        </is>
      </c>
      <c r="B216" s="1" t="n">
        <v>44805.71435185185</v>
      </c>
      <c r="C216" s="1" t="n">
        <v>45989</v>
      </c>
      <c r="D216" t="inlineStr">
        <is>
          <t>DALARNAS LÄN</t>
        </is>
      </c>
      <c r="E216" t="inlineStr">
        <is>
          <t>HEDEMORA</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54830-2025</t>
        </is>
      </c>
      <c r="B217" s="1" t="n">
        <v>45966.67681712963</v>
      </c>
      <c r="C217" s="1" t="n">
        <v>45989</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45936-2025</t>
        </is>
      </c>
      <c r="B218" s="1" t="n">
        <v>45924.26582175926</v>
      </c>
      <c r="C218" s="1" t="n">
        <v>45989</v>
      </c>
      <c r="D218" t="inlineStr">
        <is>
          <t>DALARNAS LÄN</t>
        </is>
      </c>
      <c r="E218" t="inlineStr">
        <is>
          <t>HEDEMORA</t>
        </is>
      </c>
      <c r="G218" t="n">
        <v>4.7</v>
      </c>
      <c r="H218" t="n">
        <v>0</v>
      </c>
      <c r="I218" t="n">
        <v>0</v>
      </c>
      <c r="J218" t="n">
        <v>0</v>
      </c>
      <c r="K218" t="n">
        <v>0</v>
      </c>
      <c r="L218" t="n">
        <v>0</v>
      </c>
      <c r="M218" t="n">
        <v>0</v>
      </c>
      <c r="N218" t="n">
        <v>0</v>
      </c>
      <c r="O218" t="n">
        <v>0</v>
      </c>
      <c r="P218" t="n">
        <v>0</v>
      </c>
      <c r="Q218" t="n">
        <v>0</v>
      </c>
      <c r="R218" s="2" t="inlineStr"/>
    </row>
    <row r="219" ht="15" customHeight="1">
      <c r="A219" t="inlineStr">
        <is>
          <t>A 45938-2025</t>
        </is>
      </c>
      <c r="B219" s="1" t="n">
        <v>45924.27704861111</v>
      </c>
      <c r="C219" s="1" t="n">
        <v>45989</v>
      </c>
      <c r="D219" t="inlineStr">
        <is>
          <t>DALARNAS LÄN</t>
        </is>
      </c>
      <c r="E219" t="inlineStr">
        <is>
          <t>HEDEMORA</t>
        </is>
      </c>
      <c r="G219" t="n">
        <v>1.9</v>
      </c>
      <c r="H219" t="n">
        <v>0</v>
      </c>
      <c r="I219" t="n">
        <v>0</v>
      </c>
      <c r="J219" t="n">
        <v>0</v>
      </c>
      <c r="K219" t="n">
        <v>0</v>
      </c>
      <c r="L219" t="n">
        <v>0</v>
      </c>
      <c r="M219" t="n">
        <v>0</v>
      </c>
      <c r="N219" t="n">
        <v>0</v>
      </c>
      <c r="O219" t="n">
        <v>0</v>
      </c>
      <c r="P219" t="n">
        <v>0</v>
      </c>
      <c r="Q219" t="n">
        <v>0</v>
      </c>
      <c r="R219" s="2" t="inlineStr"/>
    </row>
    <row r="220" ht="15" customHeight="1">
      <c r="A220" t="inlineStr">
        <is>
          <t>A 20273-2025</t>
        </is>
      </c>
      <c r="B220" s="1" t="n">
        <v>45773.71921296296</v>
      </c>
      <c r="C220" s="1" t="n">
        <v>45989</v>
      </c>
      <c r="D220" t="inlineStr">
        <is>
          <t>DALARNAS LÄN</t>
        </is>
      </c>
      <c r="E220" t="inlineStr">
        <is>
          <t>HEDEMORA</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29128-2025</t>
        </is>
      </c>
      <c r="B221" s="1" t="n">
        <v>45821.60116898148</v>
      </c>
      <c r="C221" s="1" t="n">
        <v>45989</v>
      </c>
      <c r="D221" t="inlineStr">
        <is>
          <t>DALARNAS LÄN</t>
        </is>
      </c>
      <c r="E221" t="inlineStr">
        <is>
          <t>HEDEMORA</t>
        </is>
      </c>
      <c r="F221" t="inlineStr">
        <is>
          <t>Sveaskog</t>
        </is>
      </c>
      <c r="G221" t="n">
        <v>15.5</v>
      </c>
      <c r="H221" t="n">
        <v>0</v>
      </c>
      <c r="I221" t="n">
        <v>0</v>
      </c>
      <c r="J221" t="n">
        <v>0</v>
      </c>
      <c r="K221" t="n">
        <v>0</v>
      </c>
      <c r="L221" t="n">
        <v>0</v>
      </c>
      <c r="M221" t="n">
        <v>0</v>
      </c>
      <c r="N221" t="n">
        <v>0</v>
      </c>
      <c r="O221" t="n">
        <v>0</v>
      </c>
      <c r="P221" t="n">
        <v>0</v>
      </c>
      <c r="Q221" t="n">
        <v>0</v>
      </c>
      <c r="R221" s="2" t="inlineStr"/>
    </row>
    <row r="222" ht="15" customHeight="1">
      <c r="A222" t="inlineStr">
        <is>
          <t>A 45983-2025</t>
        </is>
      </c>
      <c r="B222" s="1" t="n">
        <v>45924.37988425926</v>
      </c>
      <c r="C222" s="1" t="n">
        <v>45989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45937-2025</t>
        </is>
      </c>
      <c r="B223" s="1" t="n">
        <v>45924.27231481481</v>
      </c>
      <c r="C223" s="1" t="n">
        <v>45989</v>
      </c>
      <c r="D223" t="inlineStr">
        <is>
          <t>DALARNAS LÄN</t>
        </is>
      </c>
      <c r="E223" t="inlineStr">
        <is>
          <t>HEDEMORA</t>
        </is>
      </c>
      <c r="G223" t="n">
        <v>3.9</v>
      </c>
      <c r="H223" t="n">
        <v>0</v>
      </c>
      <c r="I223" t="n">
        <v>0</v>
      </c>
      <c r="J223" t="n">
        <v>0</v>
      </c>
      <c r="K223" t="n">
        <v>0</v>
      </c>
      <c r="L223" t="n">
        <v>0</v>
      </c>
      <c r="M223" t="n">
        <v>0</v>
      </c>
      <c r="N223" t="n">
        <v>0</v>
      </c>
      <c r="O223" t="n">
        <v>0</v>
      </c>
      <c r="P223" t="n">
        <v>0</v>
      </c>
      <c r="Q223" t="n">
        <v>0</v>
      </c>
      <c r="R223" s="2" t="inlineStr"/>
    </row>
    <row r="224" ht="15" customHeight="1">
      <c r="A224" t="inlineStr">
        <is>
          <t>A 26431-2024</t>
        </is>
      </c>
      <c r="B224" s="1" t="n">
        <v>45469.48282407408</v>
      </c>
      <c r="C224" s="1" t="n">
        <v>45989</v>
      </c>
      <c r="D224" t="inlineStr">
        <is>
          <t>DALARNAS LÄN</t>
        </is>
      </c>
      <c r="E224" t="inlineStr">
        <is>
          <t>HEDEMORA</t>
        </is>
      </c>
      <c r="G224" t="n">
        <v>1.6</v>
      </c>
      <c r="H224" t="n">
        <v>0</v>
      </c>
      <c r="I224" t="n">
        <v>0</v>
      </c>
      <c r="J224" t="n">
        <v>0</v>
      </c>
      <c r="K224" t="n">
        <v>0</v>
      </c>
      <c r="L224" t="n">
        <v>0</v>
      </c>
      <c r="M224" t="n">
        <v>0</v>
      </c>
      <c r="N224" t="n">
        <v>0</v>
      </c>
      <c r="O224" t="n">
        <v>0</v>
      </c>
      <c r="P224" t="n">
        <v>0</v>
      </c>
      <c r="Q224" t="n">
        <v>0</v>
      </c>
      <c r="R224" s="2" t="inlineStr"/>
      <c r="U224">
        <f>HYPERLINK("https://klasma.github.io/Logging_2083/knärot/A 26431-2024 karta knärot.png", "A 26431-2024")</f>
        <v/>
      </c>
      <c r="V224">
        <f>HYPERLINK("https://klasma.github.io/Logging_2083/klagomål/A 26431-2024 FSC-klagomål.docx", "A 26431-2024")</f>
        <v/>
      </c>
      <c r="W224">
        <f>HYPERLINK("https://klasma.github.io/Logging_2083/klagomålsmail/A 26431-2024 FSC-klagomål mail.docx", "A 26431-2024")</f>
        <v/>
      </c>
      <c r="X224">
        <f>HYPERLINK("https://klasma.github.io/Logging_2083/tillsyn/A 26431-2024 tillsynsbegäran.docx", "A 26431-2024")</f>
        <v/>
      </c>
      <c r="Y224">
        <f>HYPERLINK("https://klasma.github.io/Logging_2083/tillsynsmail/A 26431-2024 tillsynsbegäran mail.docx", "A 26431-2024")</f>
        <v/>
      </c>
    </row>
    <row r="225" ht="15" customHeight="1">
      <c r="A225" t="inlineStr">
        <is>
          <t>A 36656-2025</t>
        </is>
      </c>
      <c r="B225" s="1" t="n">
        <v>45873.34642361111</v>
      </c>
      <c r="C225" s="1" t="n">
        <v>45989</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29792-2025</t>
        </is>
      </c>
      <c r="B226" s="1" t="n">
        <v>45825.66416666667</v>
      </c>
      <c r="C226" s="1" t="n">
        <v>45989</v>
      </c>
      <c r="D226" t="inlineStr">
        <is>
          <t>DALARNAS LÄN</t>
        </is>
      </c>
      <c r="E226" t="inlineStr">
        <is>
          <t>HEDEMORA</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55159-2025</t>
        </is>
      </c>
      <c r="B227" s="1" t="n">
        <v>45968.46832175926</v>
      </c>
      <c r="C227" s="1" t="n">
        <v>45989</v>
      </c>
      <c r="D227" t="inlineStr">
        <is>
          <t>DALARNAS LÄN</t>
        </is>
      </c>
      <c r="E227" t="inlineStr">
        <is>
          <t>HEDEMORA</t>
        </is>
      </c>
      <c r="G227" t="n">
        <v>1.3</v>
      </c>
      <c r="H227" t="n">
        <v>0</v>
      </c>
      <c r="I227" t="n">
        <v>0</v>
      </c>
      <c r="J227" t="n">
        <v>0</v>
      </c>
      <c r="K227" t="n">
        <v>0</v>
      </c>
      <c r="L227" t="n">
        <v>0</v>
      </c>
      <c r="M227" t="n">
        <v>0</v>
      </c>
      <c r="N227" t="n">
        <v>0</v>
      </c>
      <c r="O227" t="n">
        <v>0</v>
      </c>
      <c r="P227" t="n">
        <v>0</v>
      </c>
      <c r="Q227" t="n">
        <v>0</v>
      </c>
      <c r="R227" s="2" t="inlineStr"/>
    </row>
    <row r="228" ht="15" customHeight="1">
      <c r="A228" t="inlineStr">
        <is>
          <t>A 20271-2025</t>
        </is>
      </c>
      <c r="B228" s="1" t="n">
        <v>45773.71568287037</v>
      </c>
      <c r="C228" s="1" t="n">
        <v>45989</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23501-2023</t>
        </is>
      </c>
      <c r="B229" s="1" t="n">
        <v>45076.73979166667</v>
      </c>
      <c r="C229" s="1" t="n">
        <v>45989</v>
      </c>
      <c r="D229" t="inlineStr">
        <is>
          <t>DALARNAS LÄN</t>
        </is>
      </c>
      <c r="E229" t="inlineStr">
        <is>
          <t>HEDEMORA</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46287-2025</t>
        </is>
      </c>
      <c r="B230" s="1" t="n">
        <v>45925.38450231482</v>
      </c>
      <c r="C230" s="1" t="n">
        <v>45989</v>
      </c>
      <c r="D230" t="inlineStr">
        <is>
          <t>DALARNAS LÄN</t>
        </is>
      </c>
      <c r="E230" t="inlineStr">
        <is>
          <t>HEDEMORA</t>
        </is>
      </c>
      <c r="G230" t="n">
        <v>7.3</v>
      </c>
      <c r="H230" t="n">
        <v>0</v>
      </c>
      <c r="I230" t="n">
        <v>0</v>
      </c>
      <c r="J230" t="n">
        <v>0</v>
      </c>
      <c r="K230" t="n">
        <v>0</v>
      </c>
      <c r="L230" t="n">
        <v>0</v>
      </c>
      <c r="M230" t="n">
        <v>0</v>
      </c>
      <c r="N230" t="n">
        <v>0</v>
      </c>
      <c r="O230" t="n">
        <v>0</v>
      </c>
      <c r="P230" t="n">
        <v>0</v>
      </c>
      <c r="Q230" t="n">
        <v>0</v>
      </c>
      <c r="R230" s="2" t="inlineStr"/>
    </row>
    <row r="231" ht="15" customHeight="1">
      <c r="A231" t="inlineStr">
        <is>
          <t>A 48254-2023</t>
        </is>
      </c>
      <c r="B231" s="1" t="n">
        <v>45205.53241898148</v>
      </c>
      <c r="C231" s="1" t="n">
        <v>45989</v>
      </c>
      <c r="D231" t="inlineStr">
        <is>
          <t>DALARNAS LÄN</t>
        </is>
      </c>
      <c r="E231" t="inlineStr">
        <is>
          <t>HEDEMORA</t>
        </is>
      </c>
      <c r="F231" t="inlineStr">
        <is>
          <t>Sveaskog</t>
        </is>
      </c>
      <c r="G231" t="n">
        <v>1.5</v>
      </c>
      <c r="H231" t="n">
        <v>0</v>
      </c>
      <c r="I231" t="n">
        <v>0</v>
      </c>
      <c r="J231" t="n">
        <v>0</v>
      </c>
      <c r="K231" t="n">
        <v>0</v>
      </c>
      <c r="L231" t="n">
        <v>0</v>
      </c>
      <c r="M231" t="n">
        <v>0</v>
      </c>
      <c r="N231" t="n">
        <v>0</v>
      </c>
      <c r="O231" t="n">
        <v>0</v>
      </c>
      <c r="P231" t="n">
        <v>0</v>
      </c>
      <c r="Q231" t="n">
        <v>0</v>
      </c>
      <c r="R231" s="2" t="inlineStr"/>
      <c r="U231">
        <f>HYPERLINK("https://klasma.github.io/Logging_2083/knärot/A 48254-2023 karta knärot.png", "A 48254-2023")</f>
        <v/>
      </c>
      <c r="V231">
        <f>HYPERLINK("https://klasma.github.io/Logging_2083/klagomål/A 48254-2023 FSC-klagomål.docx", "A 48254-2023")</f>
        <v/>
      </c>
      <c r="W231">
        <f>HYPERLINK("https://klasma.github.io/Logging_2083/klagomålsmail/A 48254-2023 FSC-klagomål mail.docx", "A 48254-2023")</f>
        <v/>
      </c>
      <c r="X231">
        <f>HYPERLINK("https://klasma.github.io/Logging_2083/tillsyn/A 48254-2023 tillsynsbegäran.docx", "A 48254-2023")</f>
        <v/>
      </c>
      <c r="Y231">
        <f>HYPERLINK("https://klasma.github.io/Logging_2083/tillsynsmail/A 48254-2023 tillsynsbegäran mail.docx", "A 48254-2023")</f>
        <v/>
      </c>
    </row>
    <row r="232" ht="15" customHeight="1">
      <c r="A232" t="inlineStr">
        <is>
          <t>A 37574-2025</t>
        </is>
      </c>
      <c r="B232" s="1" t="n">
        <v>45880.37949074074</v>
      </c>
      <c r="C232" s="1" t="n">
        <v>45989</v>
      </c>
      <c r="D232" t="inlineStr">
        <is>
          <t>DALARNAS LÄN</t>
        </is>
      </c>
      <c r="E232" t="inlineStr">
        <is>
          <t>HEDEMORA</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32071-2021</t>
        </is>
      </c>
      <c r="B233" s="1" t="n">
        <v>44370.90546296296</v>
      </c>
      <c r="C233" s="1" t="n">
        <v>45989</v>
      </c>
      <c r="D233" t="inlineStr">
        <is>
          <t>DALARNAS LÄN</t>
        </is>
      </c>
      <c r="E233" t="inlineStr">
        <is>
          <t>HEDEMORA</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21763-2024</t>
        </is>
      </c>
      <c r="B234" s="1" t="n">
        <v>45442.60204861111</v>
      </c>
      <c r="C234" s="1" t="n">
        <v>45989</v>
      </c>
      <c r="D234" t="inlineStr">
        <is>
          <t>DALARNAS LÄN</t>
        </is>
      </c>
      <c r="E234" t="inlineStr">
        <is>
          <t>HEDEMORA</t>
        </is>
      </c>
      <c r="G234" t="n">
        <v>1.6</v>
      </c>
      <c r="H234" t="n">
        <v>0</v>
      </c>
      <c r="I234" t="n">
        <v>0</v>
      </c>
      <c r="J234" t="n">
        <v>0</v>
      </c>
      <c r="K234" t="n">
        <v>0</v>
      </c>
      <c r="L234" t="n">
        <v>0</v>
      </c>
      <c r="M234" t="n">
        <v>0</v>
      </c>
      <c r="N234" t="n">
        <v>0</v>
      </c>
      <c r="O234" t="n">
        <v>0</v>
      </c>
      <c r="P234" t="n">
        <v>0</v>
      </c>
      <c r="Q234" t="n">
        <v>0</v>
      </c>
      <c r="R234" s="2" t="inlineStr"/>
    </row>
    <row r="235" ht="15" customHeight="1">
      <c r="A235" t="inlineStr">
        <is>
          <t>A 55601-2025</t>
        </is>
      </c>
      <c r="B235" s="1" t="n">
        <v>45971.78122685185</v>
      </c>
      <c r="C235" s="1" t="n">
        <v>45989</v>
      </c>
      <c r="D235" t="inlineStr">
        <is>
          <t>DALARNAS LÄN</t>
        </is>
      </c>
      <c r="E235" t="inlineStr">
        <is>
          <t>HEDEMORA</t>
        </is>
      </c>
      <c r="G235" t="n">
        <v>3.2</v>
      </c>
      <c r="H235" t="n">
        <v>0</v>
      </c>
      <c r="I235" t="n">
        <v>0</v>
      </c>
      <c r="J235" t="n">
        <v>0</v>
      </c>
      <c r="K235" t="n">
        <v>0</v>
      </c>
      <c r="L235" t="n">
        <v>0</v>
      </c>
      <c r="M235" t="n">
        <v>0</v>
      </c>
      <c r="N235" t="n">
        <v>0</v>
      </c>
      <c r="O235" t="n">
        <v>0</v>
      </c>
      <c r="P235" t="n">
        <v>0</v>
      </c>
      <c r="Q235" t="n">
        <v>0</v>
      </c>
      <c r="R235" s="2" t="inlineStr"/>
    </row>
    <row r="236" ht="15" customHeight="1">
      <c r="A236" t="inlineStr">
        <is>
          <t>A 55606-2025</t>
        </is>
      </c>
      <c r="B236" s="1" t="n">
        <v>45971.79564814815</v>
      </c>
      <c r="C236" s="1" t="n">
        <v>45989</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19690-2025</t>
        </is>
      </c>
      <c r="B237" s="1" t="n">
        <v>45770</v>
      </c>
      <c r="C237" s="1" t="n">
        <v>45989</v>
      </c>
      <c r="D237" t="inlineStr">
        <is>
          <t>DALARNAS LÄN</t>
        </is>
      </c>
      <c r="E237" t="inlineStr">
        <is>
          <t>HEDEMORA</t>
        </is>
      </c>
      <c r="G237" t="n">
        <v>1.6</v>
      </c>
      <c r="H237" t="n">
        <v>0</v>
      </c>
      <c r="I237" t="n">
        <v>0</v>
      </c>
      <c r="J237" t="n">
        <v>0</v>
      </c>
      <c r="K237" t="n">
        <v>0</v>
      </c>
      <c r="L237" t="n">
        <v>0</v>
      </c>
      <c r="M237" t="n">
        <v>0</v>
      </c>
      <c r="N237" t="n">
        <v>0</v>
      </c>
      <c r="O237" t="n">
        <v>0</v>
      </c>
      <c r="P237" t="n">
        <v>0</v>
      </c>
      <c r="Q237" t="n">
        <v>0</v>
      </c>
      <c r="R237" s="2" t="inlineStr"/>
    </row>
    <row r="238" ht="15" customHeight="1">
      <c r="A238" t="inlineStr">
        <is>
          <t>A 21868-2025</t>
        </is>
      </c>
      <c r="B238" s="1" t="n">
        <v>45784</v>
      </c>
      <c r="C238" s="1" t="n">
        <v>45989</v>
      </c>
      <c r="D238" t="inlineStr">
        <is>
          <t>DALARNAS LÄN</t>
        </is>
      </c>
      <c r="E238" t="inlineStr">
        <is>
          <t>HEDEMORA</t>
        </is>
      </c>
      <c r="F238" t="inlineStr">
        <is>
          <t>Sveaskog</t>
        </is>
      </c>
      <c r="G238" t="n">
        <v>10.1</v>
      </c>
      <c r="H238" t="n">
        <v>0</v>
      </c>
      <c r="I238" t="n">
        <v>0</v>
      </c>
      <c r="J238" t="n">
        <v>0</v>
      </c>
      <c r="K238" t="n">
        <v>0</v>
      </c>
      <c r="L238" t="n">
        <v>0</v>
      </c>
      <c r="M238" t="n">
        <v>0</v>
      </c>
      <c r="N238" t="n">
        <v>0</v>
      </c>
      <c r="O238" t="n">
        <v>0</v>
      </c>
      <c r="P238" t="n">
        <v>0</v>
      </c>
      <c r="Q238" t="n">
        <v>0</v>
      </c>
      <c r="R238" s="2" t="inlineStr"/>
    </row>
    <row r="239" ht="15" customHeight="1">
      <c r="A239" t="inlineStr">
        <is>
          <t>A 21864-2025</t>
        </is>
      </c>
      <c r="B239" s="1" t="n">
        <v>45784</v>
      </c>
      <c r="C239" s="1" t="n">
        <v>45989</v>
      </c>
      <c r="D239" t="inlineStr">
        <is>
          <t>DALARNAS LÄN</t>
        </is>
      </c>
      <c r="E239" t="inlineStr">
        <is>
          <t>HEDEMORA</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37573-2025</t>
        </is>
      </c>
      <c r="B240" s="1" t="n">
        <v>45880.37711805556</v>
      </c>
      <c r="C240" s="1" t="n">
        <v>45989</v>
      </c>
      <c r="D240" t="inlineStr">
        <is>
          <t>DALARNAS LÄN</t>
        </is>
      </c>
      <c r="E240" t="inlineStr">
        <is>
          <t>HEDEMORA</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8342-2025</t>
        </is>
      </c>
      <c r="B241" s="1" t="n">
        <v>45708.67251157408</v>
      </c>
      <c r="C241" s="1" t="n">
        <v>45989</v>
      </c>
      <c r="D241" t="inlineStr">
        <is>
          <t>DALARNAS LÄN</t>
        </is>
      </c>
      <c r="E241" t="inlineStr">
        <is>
          <t>HEDEMORA</t>
        </is>
      </c>
      <c r="G241" t="n">
        <v>0.8</v>
      </c>
      <c r="H241" t="n">
        <v>0</v>
      </c>
      <c r="I241" t="n">
        <v>0</v>
      </c>
      <c r="J241" t="n">
        <v>0</v>
      </c>
      <c r="K241" t="n">
        <v>0</v>
      </c>
      <c r="L241" t="n">
        <v>0</v>
      </c>
      <c r="M241" t="n">
        <v>0</v>
      </c>
      <c r="N241" t="n">
        <v>0</v>
      </c>
      <c r="O241" t="n">
        <v>0</v>
      </c>
      <c r="P241" t="n">
        <v>0</v>
      </c>
      <c r="Q241" t="n">
        <v>0</v>
      </c>
      <c r="R241" s="2" t="inlineStr"/>
    </row>
    <row r="242" ht="15" customHeight="1">
      <c r="A242" t="inlineStr">
        <is>
          <t>A 47841-2025</t>
        </is>
      </c>
      <c r="B242" s="1" t="n">
        <v>45932.37429398148</v>
      </c>
      <c r="C242" s="1" t="n">
        <v>45989</v>
      </c>
      <c r="D242" t="inlineStr">
        <is>
          <t>DALARNAS LÄN</t>
        </is>
      </c>
      <c r="E242" t="inlineStr">
        <is>
          <t>HEDEMORA</t>
        </is>
      </c>
      <c r="G242" t="n">
        <v>3</v>
      </c>
      <c r="H242" t="n">
        <v>0</v>
      </c>
      <c r="I242" t="n">
        <v>0</v>
      </c>
      <c r="J242" t="n">
        <v>0</v>
      </c>
      <c r="K242" t="n">
        <v>0</v>
      </c>
      <c r="L242" t="n">
        <v>0</v>
      </c>
      <c r="M242" t="n">
        <v>0</v>
      </c>
      <c r="N242" t="n">
        <v>0</v>
      </c>
      <c r="O242" t="n">
        <v>0</v>
      </c>
      <c r="P242" t="n">
        <v>0</v>
      </c>
      <c r="Q242" t="n">
        <v>0</v>
      </c>
      <c r="R242" s="2" t="inlineStr"/>
    </row>
    <row r="243" ht="15" customHeight="1">
      <c r="A243" t="inlineStr">
        <is>
          <t>A 15833-2025</t>
        </is>
      </c>
      <c r="B243" s="1" t="n">
        <v>45748.85107638889</v>
      </c>
      <c r="C243" s="1" t="n">
        <v>45989</v>
      </c>
      <c r="D243" t="inlineStr">
        <is>
          <t>DALARNAS LÄN</t>
        </is>
      </c>
      <c r="E243" t="inlineStr">
        <is>
          <t>HEDEMORA</t>
        </is>
      </c>
      <c r="G243" t="n">
        <v>0.4</v>
      </c>
      <c r="H243" t="n">
        <v>0</v>
      </c>
      <c r="I243" t="n">
        <v>0</v>
      </c>
      <c r="J243" t="n">
        <v>0</v>
      </c>
      <c r="K243" t="n">
        <v>0</v>
      </c>
      <c r="L243" t="n">
        <v>0</v>
      </c>
      <c r="M243" t="n">
        <v>0</v>
      </c>
      <c r="N243" t="n">
        <v>0</v>
      </c>
      <c r="O243" t="n">
        <v>0</v>
      </c>
      <c r="P243" t="n">
        <v>0</v>
      </c>
      <c r="Q243" t="n">
        <v>0</v>
      </c>
      <c r="R243" s="2" t="inlineStr"/>
    </row>
    <row r="244" ht="15" customHeight="1">
      <c r="A244" t="inlineStr">
        <is>
          <t>A 55917-2025</t>
        </is>
      </c>
      <c r="B244" s="1" t="n">
        <v>45973.41158564815</v>
      </c>
      <c r="C244" s="1" t="n">
        <v>45989</v>
      </c>
      <c r="D244" t="inlineStr">
        <is>
          <t>DALARNAS LÄN</t>
        </is>
      </c>
      <c r="E244" t="inlineStr">
        <is>
          <t>HEDEMORA</t>
        </is>
      </c>
      <c r="G244" t="n">
        <v>7.8</v>
      </c>
      <c r="H244" t="n">
        <v>0</v>
      </c>
      <c r="I244" t="n">
        <v>0</v>
      </c>
      <c r="J244" t="n">
        <v>0</v>
      </c>
      <c r="K244" t="n">
        <v>0</v>
      </c>
      <c r="L244" t="n">
        <v>0</v>
      </c>
      <c r="M244" t="n">
        <v>0</v>
      </c>
      <c r="N244" t="n">
        <v>0</v>
      </c>
      <c r="O244" t="n">
        <v>0</v>
      </c>
      <c r="P244" t="n">
        <v>0</v>
      </c>
      <c r="Q244" t="n">
        <v>0</v>
      </c>
      <c r="R244" s="2" t="inlineStr"/>
    </row>
    <row r="245" ht="15" customHeight="1">
      <c r="A245" t="inlineStr">
        <is>
          <t>A 48076-2025</t>
        </is>
      </c>
      <c r="B245" s="1" t="n">
        <v>45932.7075</v>
      </c>
      <c r="C245" s="1" t="n">
        <v>45989</v>
      </c>
      <c r="D245" t="inlineStr">
        <is>
          <t>DALARNAS LÄN</t>
        </is>
      </c>
      <c r="E245" t="inlineStr">
        <is>
          <t>HEDEMORA</t>
        </is>
      </c>
      <c r="G245" t="n">
        <v>5.1</v>
      </c>
      <c r="H245" t="n">
        <v>0</v>
      </c>
      <c r="I245" t="n">
        <v>0</v>
      </c>
      <c r="J245" t="n">
        <v>0</v>
      </c>
      <c r="K245" t="n">
        <v>0</v>
      </c>
      <c r="L245" t="n">
        <v>0</v>
      </c>
      <c r="M245" t="n">
        <v>0</v>
      </c>
      <c r="N245" t="n">
        <v>0</v>
      </c>
      <c r="O245" t="n">
        <v>0</v>
      </c>
      <c r="P245" t="n">
        <v>0</v>
      </c>
      <c r="Q245" t="n">
        <v>0</v>
      </c>
      <c r="R245" s="2" t="inlineStr"/>
    </row>
    <row r="246" ht="15" customHeight="1">
      <c r="A246" t="inlineStr">
        <is>
          <t>A 48077-2025</t>
        </is>
      </c>
      <c r="B246" s="1" t="n">
        <v>45932.71114583333</v>
      </c>
      <c r="C246" s="1" t="n">
        <v>45989</v>
      </c>
      <c r="D246" t="inlineStr">
        <is>
          <t>DALARNAS LÄN</t>
        </is>
      </c>
      <c r="E246" t="inlineStr">
        <is>
          <t>HEDEMORA</t>
        </is>
      </c>
      <c r="G246" t="n">
        <v>1.8</v>
      </c>
      <c r="H246" t="n">
        <v>0</v>
      </c>
      <c r="I246" t="n">
        <v>0</v>
      </c>
      <c r="J246" t="n">
        <v>0</v>
      </c>
      <c r="K246" t="n">
        <v>0</v>
      </c>
      <c r="L246" t="n">
        <v>0</v>
      </c>
      <c r="M246" t="n">
        <v>0</v>
      </c>
      <c r="N246" t="n">
        <v>0</v>
      </c>
      <c r="O246" t="n">
        <v>0</v>
      </c>
      <c r="P246" t="n">
        <v>0</v>
      </c>
      <c r="Q246" t="n">
        <v>0</v>
      </c>
      <c r="R246" s="2" t="inlineStr"/>
    </row>
    <row r="247" ht="15" customHeight="1">
      <c r="A247" t="inlineStr">
        <is>
          <t>A 12136-2025</t>
        </is>
      </c>
      <c r="B247" s="1" t="n">
        <v>45729.39300925926</v>
      </c>
      <c r="C247" s="1" t="n">
        <v>45989</v>
      </c>
      <c r="D247" t="inlineStr">
        <is>
          <t>DALARNAS LÄN</t>
        </is>
      </c>
      <c r="E247" t="inlineStr">
        <is>
          <t>HEDEMORA</t>
        </is>
      </c>
      <c r="G247" t="n">
        <v>1.5</v>
      </c>
      <c r="H247" t="n">
        <v>0</v>
      </c>
      <c r="I247" t="n">
        <v>0</v>
      </c>
      <c r="J247" t="n">
        <v>0</v>
      </c>
      <c r="K247" t="n">
        <v>0</v>
      </c>
      <c r="L247" t="n">
        <v>0</v>
      </c>
      <c r="M247" t="n">
        <v>0</v>
      </c>
      <c r="N247" t="n">
        <v>0</v>
      </c>
      <c r="O247" t="n">
        <v>0</v>
      </c>
      <c r="P247" t="n">
        <v>0</v>
      </c>
      <c r="Q247" t="n">
        <v>0</v>
      </c>
      <c r="R247" s="2" t="inlineStr"/>
    </row>
    <row r="248" ht="15" customHeight="1">
      <c r="A248" t="inlineStr">
        <is>
          <t>A 56378-2025</t>
        </is>
      </c>
      <c r="B248" s="1" t="n">
        <v>45974.70207175926</v>
      </c>
      <c r="C248" s="1" t="n">
        <v>45989</v>
      </c>
      <c r="D248" t="inlineStr">
        <is>
          <t>DALARNAS LÄN</t>
        </is>
      </c>
      <c r="E248" t="inlineStr">
        <is>
          <t>HEDEMORA</t>
        </is>
      </c>
      <c r="G248" t="n">
        <v>2.8</v>
      </c>
      <c r="H248" t="n">
        <v>0</v>
      </c>
      <c r="I248" t="n">
        <v>0</v>
      </c>
      <c r="J248" t="n">
        <v>0</v>
      </c>
      <c r="K248" t="n">
        <v>0</v>
      </c>
      <c r="L248" t="n">
        <v>0</v>
      </c>
      <c r="M248" t="n">
        <v>0</v>
      </c>
      <c r="N248" t="n">
        <v>0</v>
      </c>
      <c r="O248" t="n">
        <v>0</v>
      </c>
      <c r="P248" t="n">
        <v>0</v>
      </c>
      <c r="Q248" t="n">
        <v>0</v>
      </c>
      <c r="R248" s="2" t="inlineStr"/>
    </row>
    <row r="249" ht="15" customHeight="1">
      <c r="A249" t="inlineStr">
        <is>
          <t>A 56070-2025</t>
        </is>
      </c>
      <c r="B249" s="1" t="n">
        <v>45973.65067129629</v>
      </c>
      <c r="C249" s="1" t="n">
        <v>45989</v>
      </c>
      <c r="D249" t="inlineStr">
        <is>
          <t>DALARNAS LÄN</t>
        </is>
      </c>
      <c r="E249" t="inlineStr">
        <is>
          <t>HEDEMORA</t>
        </is>
      </c>
      <c r="F249" t="inlineStr">
        <is>
          <t>Bergvik skog väst AB</t>
        </is>
      </c>
      <c r="G249" t="n">
        <v>5.4</v>
      </c>
      <c r="H249" t="n">
        <v>0</v>
      </c>
      <c r="I249" t="n">
        <v>0</v>
      </c>
      <c r="J249" t="n">
        <v>0</v>
      </c>
      <c r="K249" t="n">
        <v>0</v>
      </c>
      <c r="L249" t="n">
        <v>0</v>
      </c>
      <c r="M249" t="n">
        <v>0</v>
      </c>
      <c r="N249" t="n">
        <v>0</v>
      </c>
      <c r="O249" t="n">
        <v>0</v>
      </c>
      <c r="P249" t="n">
        <v>0</v>
      </c>
      <c r="Q249" t="n">
        <v>0</v>
      </c>
      <c r="R249" s="2" t="inlineStr"/>
    </row>
    <row r="250" ht="15" customHeight="1">
      <c r="A250" t="inlineStr">
        <is>
          <t>A 53820-2025</t>
        </is>
      </c>
      <c r="B250" s="1" t="n">
        <v>45961.32736111111</v>
      </c>
      <c r="C250" s="1" t="n">
        <v>45989</v>
      </c>
      <c r="D250" t="inlineStr">
        <is>
          <t>DALARNAS LÄN</t>
        </is>
      </c>
      <c r="E250" t="inlineStr">
        <is>
          <t>HEDEMORA</t>
        </is>
      </c>
      <c r="G250" t="n">
        <v>10</v>
      </c>
      <c r="H250" t="n">
        <v>0</v>
      </c>
      <c r="I250" t="n">
        <v>0</v>
      </c>
      <c r="J250" t="n">
        <v>0</v>
      </c>
      <c r="K250" t="n">
        <v>0</v>
      </c>
      <c r="L250" t="n">
        <v>0</v>
      </c>
      <c r="M250" t="n">
        <v>0</v>
      </c>
      <c r="N250" t="n">
        <v>0</v>
      </c>
      <c r="O250" t="n">
        <v>0</v>
      </c>
      <c r="P250" t="n">
        <v>0</v>
      </c>
      <c r="Q250" t="n">
        <v>0</v>
      </c>
      <c r="R250" s="2" t="inlineStr"/>
    </row>
    <row r="251" ht="15" customHeight="1">
      <c r="A251" t="inlineStr">
        <is>
          <t>A 50333-2023</t>
        </is>
      </c>
      <c r="B251" s="1" t="n">
        <v>45216</v>
      </c>
      <c r="C251" s="1" t="n">
        <v>45989</v>
      </c>
      <c r="D251" t="inlineStr">
        <is>
          <t>DALARNAS LÄN</t>
        </is>
      </c>
      <c r="E251" t="inlineStr">
        <is>
          <t>HEDEMORA</t>
        </is>
      </c>
      <c r="G251" t="n">
        <v>1.1</v>
      </c>
      <c r="H251" t="n">
        <v>0</v>
      </c>
      <c r="I251" t="n">
        <v>0</v>
      </c>
      <c r="J251" t="n">
        <v>0</v>
      </c>
      <c r="K251" t="n">
        <v>0</v>
      </c>
      <c r="L251" t="n">
        <v>0</v>
      </c>
      <c r="M251" t="n">
        <v>0</v>
      </c>
      <c r="N251" t="n">
        <v>0</v>
      </c>
      <c r="O251" t="n">
        <v>0</v>
      </c>
      <c r="P251" t="n">
        <v>0</v>
      </c>
      <c r="Q251" t="n">
        <v>0</v>
      </c>
      <c r="R251" s="2" t="inlineStr"/>
    </row>
    <row r="252" ht="15" customHeight="1">
      <c r="A252" t="inlineStr">
        <is>
          <t>A 48238-2025</t>
        </is>
      </c>
      <c r="B252" s="1" t="n">
        <v>45933.53237268519</v>
      </c>
      <c r="C252" s="1" t="n">
        <v>45989</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33287-2025</t>
        </is>
      </c>
      <c r="B253" s="1" t="n">
        <v>45840.81216435185</v>
      </c>
      <c r="C253" s="1" t="n">
        <v>45989</v>
      </c>
      <c r="D253" t="inlineStr">
        <is>
          <t>DALARNAS LÄN</t>
        </is>
      </c>
      <c r="E253" t="inlineStr">
        <is>
          <t>HEDEMORA</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22270-2023</t>
        </is>
      </c>
      <c r="B254" s="1" t="n">
        <v>45070.39284722223</v>
      </c>
      <c r="C254" s="1" t="n">
        <v>45989</v>
      </c>
      <c r="D254" t="inlineStr">
        <is>
          <t>DALARNAS LÄN</t>
        </is>
      </c>
      <c r="E254" t="inlineStr">
        <is>
          <t>HEDEMORA</t>
        </is>
      </c>
      <c r="G254" t="n">
        <v>1.8</v>
      </c>
      <c r="H254" t="n">
        <v>0</v>
      </c>
      <c r="I254" t="n">
        <v>0</v>
      </c>
      <c r="J254" t="n">
        <v>0</v>
      </c>
      <c r="K254" t="n">
        <v>0</v>
      </c>
      <c r="L254" t="n">
        <v>0</v>
      </c>
      <c r="M254" t="n">
        <v>0</v>
      </c>
      <c r="N254" t="n">
        <v>0</v>
      </c>
      <c r="O254" t="n">
        <v>0</v>
      </c>
      <c r="P254" t="n">
        <v>0</v>
      </c>
      <c r="Q254" t="n">
        <v>0</v>
      </c>
      <c r="R254" s="2" t="inlineStr"/>
    </row>
    <row r="255" ht="15" customHeight="1">
      <c r="A255" t="inlineStr">
        <is>
          <t>A 53576-2023</t>
        </is>
      </c>
      <c r="B255" s="1" t="n">
        <v>45230.50288194444</v>
      </c>
      <c r="C255" s="1" t="n">
        <v>45989</v>
      </c>
      <c r="D255" t="inlineStr">
        <is>
          <t>DALARNAS LÄN</t>
        </is>
      </c>
      <c r="E255" t="inlineStr">
        <is>
          <t>HEDEMORA</t>
        </is>
      </c>
      <c r="G255" t="n">
        <v>0.9</v>
      </c>
      <c r="H255" t="n">
        <v>0</v>
      </c>
      <c r="I255" t="n">
        <v>0</v>
      </c>
      <c r="J255" t="n">
        <v>0</v>
      </c>
      <c r="K255" t="n">
        <v>0</v>
      </c>
      <c r="L255" t="n">
        <v>0</v>
      </c>
      <c r="M255" t="n">
        <v>0</v>
      </c>
      <c r="N255" t="n">
        <v>0</v>
      </c>
      <c r="O255" t="n">
        <v>0</v>
      </c>
      <c r="P255" t="n">
        <v>0</v>
      </c>
      <c r="Q255" t="n">
        <v>0</v>
      </c>
      <c r="R255" s="2" t="inlineStr"/>
    </row>
    <row r="256" ht="15" customHeight="1">
      <c r="A256" t="inlineStr">
        <is>
          <t>A 19990-2025</t>
        </is>
      </c>
      <c r="B256" s="1" t="n">
        <v>45771.73082175926</v>
      </c>
      <c r="C256" s="1" t="n">
        <v>45989</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48381-2025</t>
        </is>
      </c>
      <c r="B257" s="1" t="n">
        <v>45933.81800925926</v>
      </c>
      <c r="C257" s="1" t="n">
        <v>45989</v>
      </c>
      <c r="D257" t="inlineStr">
        <is>
          <t>DALARNAS LÄN</t>
        </is>
      </c>
      <c r="E257" t="inlineStr">
        <is>
          <t>HEDEMORA</t>
        </is>
      </c>
      <c r="F257" t="inlineStr">
        <is>
          <t>Sveaskog</t>
        </is>
      </c>
      <c r="G257" t="n">
        <v>6.3</v>
      </c>
      <c r="H257" t="n">
        <v>0</v>
      </c>
      <c r="I257" t="n">
        <v>0</v>
      </c>
      <c r="J257" t="n">
        <v>0</v>
      </c>
      <c r="K257" t="n">
        <v>0</v>
      </c>
      <c r="L257" t="n">
        <v>0</v>
      </c>
      <c r="M257" t="n">
        <v>0</v>
      </c>
      <c r="N257" t="n">
        <v>0</v>
      </c>
      <c r="O257" t="n">
        <v>0</v>
      </c>
      <c r="P257" t="n">
        <v>0</v>
      </c>
      <c r="Q257" t="n">
        <v>0</v>
      </c>
      <c r="R257" s="2" t="inlineStr"/>
    </row>
    <row r="258" ht="15" customHeight="1">
      <c r="A258" t="inlineStr">
        <is>
          <t>A 27610-2024</t>
        </is>
      </c>
      <c r="B258" s="1" t="n">
        <v>45474.73221064815</v>
      </c>
      <c r="C258" s="1" t="n">
        <v>45989</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56679-2025</t>
        </is>
      </c>
      <c r="B259" s="1" t="n">
        <v>45975.78238425926</v>
      </c>
      <c r="C259" s="1" t="n">
        <v>45989</v>
      </c>
      <c r="D259" t="inlineStr">
        <is>
          <t>DALARNAS LÄN</t>
        </is>
      </c>
      <c r="E259" t="inlineStr">
        <is>
          <t>HEDEMORA</t>
        </is>
      </c>
      <c r="G259" t="n">
        <v>0.8</v>
      </c>
      <c r="H259" t="n">
        <v>0</v>
      </c>
      <c r="I259" t="n">
        <v>0</v>
      </c>
      <c r="J259" t="n">
        <v>0</v>
      </c>
      <c r="K259" t="n">
        <v>0</v>
      </c>
      <c r="L259" t="n">
        <v>0</v>
      </c>
      <c r="M259" t="n">
        <v>0</v>
      </c>
      <c r="N259" t="n">
        <v>0</v>
      </c>
      <c r="O259" t="n">
        <v>0</v>
      </c>
      <c r="P259" t="n">
        <v>0</v>
      </c>
      <c r="Q259" t="n">
        <v>0</v>
      </c>
      <c r="R259" s="2" t="inlineStr"/>
    </row>
    <row r="260" ht="15" customHeight="1">
      <c r="A260" t="inlineStr">
        <is>
          <t>A 56676-2025</t>
        </is>
      </c>
      <c r="B260" s="1" t="n">
        <v>45975.7162962963</v>
      </c>
      <c r="C260" s="1" t="n">
        <v>45989</v>
      </c>
      <c r="D260" t="inlineStr">
        <is>
          <t>DALARNAS LÄN</t>
        </is>
      </c>
      <c r="E260" t="inlineStr">
        <is>
          <t>HEDEMORA</t>
        </is>
      </c>
      <c r="G260" t="n">
        <v>0.8</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44450.84762731481</v>
      </c>
      <c r="C261" s="1" t="n">
        <v>45989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45989</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57563-2025</t>
        </is>
      </c>
      <c r="B263" s="1" t="n">
        <v>45980.70671296296</v>
      </c>
      <c r="C263" s="1" t="n">
        <v>45989</v>
      </c>
      <c r="D263" t="inlineStr">
        <is>
          <t>DALARNAS LÄN</t>
        </is>
      </c>
      <c r="E263" t="inlineStr">
        <is>
          <t>HEDEMORA</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17600-2025</t>
        </is>
      </c>
      <c r="B264" s="1" t="n">
        <v>45757.71063657408</v>
      </c>
      <c r="C264" s="1" t="n">
        <v>45989</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29123-2021</t>
        </is>
      </c>
      <c r="B265" s="1" t="n">
        <v>44358</v>
      </c>
      <c r="C265" s="1" t="n">
        <v>45989</v>
      </c>
      <c r="D265" t="inlineStr">
        <is>
          <t>DALARNAS LÄN</t>
        </is>
      </c>
      <c r="E265" t="inlineStr">
        <is>
          <t>HEDEMORA</t>
        </is>
      </c>
      <c r="G265" t="n">
        <v>5.6</v>
      </c>
      <c r="H265" t="n">
        <v>0</v>
      </c>
      <c r="I265" t="n">
        <v>0</v>
      </c>
      <c r="J265" t="n">
        <v>0</v>
      </c>
      <c r="K265" t="n">
        <v>0</v>
      </c>
      <c r="L265" t="n">
        <v>0</v>
      </c>
      <c r="M265" t="n">
        <v>0</v>
      </c>
      <c r="N265" t="n">
        <v>0</v>
      </c>
      <c r="O265" t="n">
        <v>0</v>
      </c>
      <c r="P265" t="n">
        <v>0</v>
      </c>
      <c r="Q265" t="n">
        <v>0</v>
      </c>
      <c r="R265" s="2" t="inlineStr"/>
    </row>
    <row r="266" ht="15" customHeight="1">
      <c r="A266" t="inlineStr">
        <is>
          <t>A 49771-2025</t>
        </is>
      </c>
      <c r="B266" s="1" t="n">
        <v>45940.36981481482</v>
      </c>
      <c r="C266" s="1" t="n">
        <v>45989</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28029-2023</t>
        </is>
      </c>
      <c r="B267" s="1" t="n">
        <v>45099</v>
      </c>
      <c r="C267" s="1" t="n">
        <v>45989</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44960-2021</t>
        </is>
      </c>
      <c r="B268" s="1" t="n">
        <v>44438.72253472222</v>
      </c>
      <c r="C268" s="1" t="n">
        <v>45989</v>
      </c>
      <c r="D268" t="inlineStr">
        <is>
          <t>DALARNAS LÄN</t>
        </is>
      </c>
      <c r="E268" t="inlineStr">
        <is>
          <t>HEDEMORA</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58020-2025</t>
        </is>
      </c>
      <c r="B269" s="1" t="n">
        <v>45982.47819444445</v>
      </c>
      <c r="C269" s="1" t="n">
        <v>45989</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58018-2022</t>
        </is>
      </c>
      <c r="B270" s="1" t="n">
        <v>44900.53383101852</v>
      </c>
      <c r="C270" s="1" t="n">
        <v>45989</v>
      </c>
      <c r="D270" t="inlineStr">
        <is>
          <t>DALARNAS LÄN</t>
        </is>
      </c>
      <c r="E270" t="inlineStr">
        <is>
          <t>HEDEMORA</t>
        </is>
      </c>
      <c r="G270" t="n">
        <v>3.6</v>
      </c>
      <c r="H270" t="n">
        <v>0</v>
      </c>
      <c r="I270" t="n">
        <v>0</v>
      </c>
      <c r="J270" t="n">
        <v>0</v>
      </c>
      <c r="K270" t="n">
        <v>0</v>
      </c>
      <c r="L270" t="n">
        <v>0</v>
      </c>
      <c r="M270" t="n">
        <v>0</v>
      </c>
      <c r="N270" t="n">
        <v>0</v>
      </c>
      <c r="O270" t="n">
        <v>0</v>
      </c>
      <c r="P270" t="n">
        <v>0</v>
      </c>
      <c r="Q270" t="n">
        <v>0</v>
      </c>
      <c r="R270" s="2" t="inlineStr"/>
    </row>
    <row r="271" ht="15" customHeight="1">
      <c r="A271" t="inlineStr">
        <is>
          <t>A 49772-2025</t>
        </is>
      </c>
      <c r="B271" s="1" t="n">
        <v>45940.37288194444</v>
      </c>
      <c r="C271" s="1" t="n">
        <v>45989</v>
      </c>
      <c r="D271" t="inlineStr">
        <is>
          <t>DALARNAS LÄN</t>
        </is>
      </c>
      <c r="E271" t="inlineStr">
        <is>
          <t>HEDEMORA</t>
        </is>
      </c>
      <c r="F271" t="inlineStr">
        <is>
          <t>Sveaskog</t>
        </is>
      </c>
      <c r="G271" t="n">
        <v>2.5</v>
      </c>
      <c r="H271" t="n">
        <v>0</v>
      </c>
      <c r="I271" t="n">
        <v>0</v>
      </c>
      <c r="J271" t="n">
        <v>0</v>
      </c>
      <c r="K271" t="n">
        <v>0</v>
      </c>
      <c r="L271" t="n">
        <v>0</v>
      </c>
      <c r="M271" t="n">
        <v>0</v>
      </c>
      <c r="N271" t="n">
        <v>0</v>
      </c>
      <c r="O271" t="n">
        <v>0</v>
      </c>
      <c r="P271" t="n">
        <v>0</v>
      </c>
      <c r="Q271" t="n">
        <v>0</v>
      </c>
      <c r="R271" s="2" t="inlineStr"/>
    </row>
    <row r="272" ht="15" customHeight="1">
      <c r="A272" t="inlineStr">
        <is>
          <t>A 49942-2025</t>
        </is>
      </c>
      <c r="B272" s="1" t="n">
        <v>45940.69508101852</v>
      </c>
      <c r="C272" s="1" t="n">
        <v>45989</v>
      </c>
      <c r="D272" t="inlineStr">
        <is>
          <t>DALARNAS LÄN</t>
        </is>
      </c>
      <c r="E272" t="inlineStr">
        <is>
          <t>HEDEMORA</t>
        </is>
      </c>
      <c r="G272" t="n">
        <v>2</v>
      </c>
      <c r="H272" t="n">
        <v>0</v>
      </c>
      <c r="I272" t="n">
        <v>0</v>
      </c>
      <c r="J272" t="n">
        <v>0</v>
      </c>
      <c r="K272" t="n">
        <v>0</v>
      </c>
      <c r="L272" t="n">
        <v>0</v>
      </c>
      <c r="M272" t="n">
        <v>0</v>
      </c>
      <c r="N272" t="n">
        <v>0</v>
      </c>
      <c r="O272" t="n">
        <v>0</v>
      </c>
      <c r="P272" t="n">
        <v>0</v>
      </c>
      <c r="Q272" t="n">
        <v>0</v>
      </c>
      <c r="R272" s="2" t="inlineStr"/>
    </row>
    <row r="273" ht="15" customHeight="1">
      <c r="A273" t="inlineStr">
        <is>
          <t>A 29050-2023</t>
        </is>
      </c>
      <c r="B273" s="1" t="n">
        <v>45104</v>
      </c>
      <c r="C273" s="1" t="n">
        <v>45989</v>
      </c>
      <c r="D273" t="inlineStr">
        <is>
          <t>DALARNAS LÄN</t>
        </is>
      </c>
      <c r="E273" t="inlineStr">
        <is>
          <t>HEDEMORA</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63929-2023</t>
        </is>
      </c>
      <c r="B274" s="1" t="n">
        <v>45278.60274305556</v>
      </c>
      <c r="C274" s="1" t="n">
        <v>45989</v>
      </c>
      <c r="D274" t="inlineStr">
        <is>
          <t>DALARNAS LÄN</t>
        </is>
      </c>
      <c r="E274" t="inlineStr">
        <is>
          <t>HEDEMORA</t>
        </is>
      </c>
      <c r="G274" t="n">
        <v>0.4</v>
      </c>
      <c r="H274" t="n">
        <v>0</v>
      </c>
      <c r="I274" t="n">
        <v>0</v>
      </c>
      <c r="J274" t="n">
        <v>0</v>
      </c>
      <c r="K274" t="n">
        <v>0</v>
      </c>
      <c r="L274" t="n">
        <v>0</v>
      </c>
      <c r="M274" t="n">
        <v>0</v>
      </c>
      <c r="N274" t="n">
        <v>0</v>
      </c>
      <c r="O274" t="n">
        <v>0</v>
      </c>
      <c r="P274" t="n">
        <v>0</v>
      </c>
      <c r="Q274" t="n">
        <v>0</v>
      </c>
      <c r="R274" s="2" t="inlineStr"/>
    </row>
    <row r="275" ht="15" customHeight="1">
      <c r="A275" t="inlineStr">
        <is>
          <t>A 50043-2025</t>
        </is>
      </c>
      <c r="B275" s="1" t="n">
        <v>45943.40546296296</v>
      </c>
      <c r="C275" s="1" t="n">
        <v>45989</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61883-2022</t>
        </is>
      </c>
      <c r="B276" s="1" t="n">
        <v>44917.67262731482</v>
      </c>
      <c r="C276" s="1" t="n">
        <v>45989</v>
      </c>
      <c r="D276" t="inlineStr">
        <is>
          <t>DALARNAS LÄN</t>
        </is>
      </c>
      <c r="E276" t="inlineStr">
        <is>
          <t>HEDEMORA</t>
        </is>
      </c>
      <c r="G276" t="n">
        <v>2.3</v>
      </c>
      <c r="H276" t="n">
        <v>0</v>
      </c>
      <c r="I276" t="n">
        <v>0</v>
      </c>
      <c r="J276" t="n">
        <v>0</v>
      </c>
      <c r="K276" t="n">
        <v>0</v>
      </c>
      <c r="L276" t="n">
        <v>0</v>
      </c>
      <c r="M276" t="n">
        <v>0</v>
      </c>
      <c r="N276" t="n">
        <v>0</v>
      </c>
      <c r="O276" t="n">
        <v>0</v>
      </c>
      <c r="P276" t="n">
        <v>0</v>
      </c>
      <c r="Q276" t="n">
        <v>0</v>
      </c>
      <c r="R276" s="2" t="inlineStr"/>
    </row>
    <row r="277" ht="15" customHeight="1">
      <c r="A277" t="inlineStr">
        <is>
          <t>A 37449-2024</t>
        </is>
      </c>
      <c r="B277" s="1" t="n">
        <v>45540</v>
      </c>
      <c r="C277" s="1" t="n">
        <v>45989</v>
      </c>
      <c r="D277" t="inlineStr">
        <is>
          <t>DALARNAS LÄN</t>
        </is>
      </c>
      <c r="E277" t="inlineStr">
        <is>
          <t>HEDEMORA</t>
        </is>
      </c>
      <c r="F277" t="inlineStr">
        <is>
          <t>Bergvik skog väst AB</t>
        </is>
      </c>
      <c r="G277" t="n">
        <v>10.1</v>
      </c>
      <c r="H277" t="n">
        <v>0</v>
      </c>
      <c r="I277" t="n">
        <v>0</v>
      </c>
      <c r="J277" t="n">
        <v>0</v>
      </c>
      <c r="K277" t="n">
        <v>0</v>
      </c>
      <c r="L277" t="n">
        <v>0</v>
      </c>
      <c r="M277" t="n">
        <v>0</v>
      </c>
      <c r="N277" t="n">
        <v>0</v>
      </c>
      <c r="O277" t="n">
        <v>0</v>
      </c>
      <c r="P277" t="n">
        <v>0</v>
      </c>
      <c r="Q277" t="n">
        <v>0</v>
      </c>
      <c r="R277" s="2" t="inlineStr"/>
    </row>
    <row r="278" ht="15" customHeight="1">
      <c r="A278" t="inlineStr">
        <is>
          <t>A 50101-2025</t>
        </is>
      </c>
      <c r="B278" s="1" t="n">
        <v>45943.53317129629</v>
      </c>
      <c r="C278" s="1" t="n">
        <v>45989</v>
      </c>
      <c r="D278" t="inlineStr">
        <is>
          <t>DALARNAS LÄN</t>
        </is>
      </c>
      <c r="E278" t="inlineStr">
        <is>
          <t>HEDEMORA</t>
        </is>
      </c>
      <c r="G278" t="n">
        <v>3.5</v>
      </c>
      <c r="H278" t="n">
        <v>0</v>
      </c>
      <c r="I278" t="n">
        <v>0</v>
      </c>
      <c r="J278" t="n">
        <v>0</v>
      </c>
      <c r="K278" t="n">
        <v>0</v>
      </c>
      <c r="L278" t="n">
        <v>0</v>
      </c>
      <c r="M278" t="n">
        <v>0</v>
      </c>
      <c r="N278" t="n">
        <v>0</v>
      </c>
      <c r="O278" t="n">
        <v>0</v>
      </c>
      <c r="P278" t="n">
        <v>0</v>
      </c>
      <c r="Q278" t="n">
        <v>0</v>
      </c>
      <c r="R278" s="2" t="inlineStr"/>
    </row>
    <row r="279" ht="15" customHeight="1">
      <c r="A279" t="inlineStr">
        <is>
          <t>A 50115-2025</t>
        </is>
      </c>
      <c r="B279" s="1" t="n">
        <v>45943.54636574074</v>
      </c>
      <c r="C279" s="1" t="n">
        <v>45989</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29301-2023</t>
        </is>
      </c>
      <c r="B280" s="1" t="n">
        <v>45105</v>
      </c>
      <c r="C280" s="1" t="n">
        <v>45989</v>
      </c>
      <c r="D280" t="inlineStr">
        <is>
          <t>DALARNAS LÄN</t>
        </is>
      </c>
      <c r="E280" t="inlineStr">
        <is>
          <t>HEDEMORA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50038-2025</t>
        </is>
      </c>
      <c r="B281" s="1" t="n">
        <v>45943.40084490741</v>
      </c>
      <c r="C281" s="1" t="n">
        <v>45989</v>
      </c>
      <c r="D281" t="inlineStr">
        <is>
          <t>DALARNAS LÄN</t>
        </is>
      </c>
      <c r="E281" t="inlineStr">
        <is>
          <t>HEDEMORA</t>
        </is>
      </c>
      <c r="G281" t="n">
        <v>2.9</v>
      </c>
      <c r="H281" t="n">
        <v>0</v>
      </c>
      <c r="I281" t="n">
        <v>0</v>
      </c>
      <c r="J281" t="n">
        <v>0</v>
      </c>
      <c r="K281" t="n">
        <v>0</v>
      </c>
      <c r="L281" t="n">
        <v>0</v>
      </c>
      <c r="M281" t="n">
        <v>0</v>
      </c>
      <c r="N281" t="n">
        <v>0</v>
      </c>
      <c r="O281" t="n">
        <v>0</v>
      </c>
      <c r="P281" t="n">
        <v>0</v>
      </c>
      <c r="Q281" t="n">
        <v>0</v>
      </c>
      <c r="R281" s="2" t="inlineStr"/>
    </row>
    <row r="282" ht="15" customHeight="1">
      <c r="A282" t="inlineStr">
        <is>
          <t>A 50040-2025</t>
        </is>
      </c>
      <c r="B282" s="1" t="n">
        <v>45943.40377314815</v>
      </c>
      <c r="C282" s="1" t="n">
        <v>45989</v>
      </c>
      <c r="D282" t="inlineStr">
        <is>
          <t>DALARNAS LÄN</t>
        </is>
      </c>
      <c r="E282" t="inlineStr">
        <is>
          <t>HEDEMORA</t>
        </is>
      </c>
      <c r="G282" t="n">
        <v>0.6</v>
      </c>
      <c r="H282" t="n">
        <v>0</v>
      </c>
      <c r="I282" t="n">
        <v>0</v>
      </c>
      <c r="J282" t="n">
        <v>0</v>
      </c>
      <c r="K282" t="n">
        <v>0</v>
      </c>
      <c r="L282" t="n">
        <v>0</v>
      </c>
      <c r="M282" t="n">
        <v>0</v>
      </c>
      <c r="N282" t="n">
        <v>0</v>
      </c>
      <c r="O282" t="n">
        <v>0</v>
      </c>
      <c r="P282" t="n">
        <v>0</v>
      </c>
      <c r="Q282" t="n">
        <v>0</v>
      </c>
      <c r="R282" s="2" t="inlineStr"/>
    </row>
    <row r="283" ht="15" customHeight="1">
      <c r="A283" t="inlineStr">
        <is>
          <t>A 7172-2025</t>
        </is>
      </c>
      <c r="B283" s="1" t="n">
        <v>45702.41383101852</v>
      </c>
      <c r="C283" s="1" t="n">
        <v>45989</v>
      </c>
      <c r="D283" t="inlineStr">
        <is>
          <t>DALARNAS LÄN</t>
        </is>
      </c>
      <c r="E283" t="inlineStr">
        <is>
          <t>HEDEMORA</t>
        </is>
      </c>
      <c r="G283" t="n">
        <v>0.8</v>
      </c>
      <c r="H283" t="n">
        <v>0</v>
      </c>
      <c r="I283" t="n">
        <v>0</v>
      </c>
      <c r="J283" t="n">
        <v>0</v>
      </c>
      <c r="K283" t="n">
        <v>0</v>
      </c>
      <c r="L283" t="n">
        <v>0</v>
      </c>
      <c r="M283" t="n">
        <v>0</v>
      </c>
      <c r="N283" t="n">
        <v>0</v>
      </c>
      <c r="O283" t="n">
        <v>0</v>
      </c>
      <c r="P283" t="n">
        <v>0</v>
      </c>
      <c r="Q283" t="n">
        <v>0</v>
      </c>
      <c r="R283" s="2" t="inlineStr"/>
    </row>
    <row r="284" ht="15" customHeight="1">
      <c r="A284" t="inlineStr">
        <is>
          <t>A 58705-2025</t>
        </is>
      </c>
      <c r="B284" s="1" t="n">
        <v>45986.60056712963</v>
      </c>
      <c r="C284" s="1" t="n">
        <v>45989</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50078-2025</t>
        </is>
      </c>
      <c r="B285" s="1" t="n">
        <v>45943</v>
      </c>
      <c r="C285" s="1" t="n">
        <v>45989</v>
      </c>
      <c r="D285" t="inlineStr">
        <is>
          <t>DALARNAS LÄN</t>
        </is>
      </c>
      <c r="E285" t="inlineStr">
        <is>
          <t>HEDEMORA</t>
        </is>
      </c>
      <c r="G285" t="n">
        <v>2.5</v>
      </c>
      <c r="H285" t="n">
        <v>0</v>
      </c>
      <c r="I285" t="n">
        <v>0</v>
      </c>
      <c r="J285" t="n">
        <v>0</v>
      </c>
      <c r="K285" t="n">
        <v>0</v>
      </c>
      <c r="L285" t="n">
        <v>0</v>
      </c>
      <c r="M285" t="n">
        <v>0</v>
      </c>
      <c r="N285" t="n">
        <v>0</v>
      </c>
      <c r="O285" t="n">
        <v>0</v>
      </c>
      <c r="P285" t="n">
        <v>0</v>
      </c>
      <c r="Q285" t="n">
        <v>0</v>
      </c>
      <c r="R285" s="2" t="inlineStr"/>
    </row>
    <row r="286" ht="15" customHeight="1">
      <c r="A286" t="inlineStr">
        <is>
          <t>A 42894-2024</t>
        </is>
      </c>
      <c r="B286" s="1" t="n">
        <v>45566.82304398148</v>
      </c>
      <c r="C286" s="1" t="n">
        <v>45989</v>
      </c>
      <c r="D286" t="inlineStr">
        <is>
          <t>DALARNAS LÄN</t>
        </is>
      </c>
      <c r="E286" t="inlineStr">
        <is>
          <t>HEDEMORA</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42895-2024</t>
        </is>
      </c>
      <c r="B287" s="1" t="n">
        <v>45566.82385416667</v>
      </c>
      <c r="C287" s="1" t="n">
        <v>45989</v>
      </c>
      <c r="D287" t="inlineStr">
        <is>
          <t>DALARNAS LÄN</t>
        </is>
      </c>
      <c r="E287" t="inlineStr">
        <is>
          <t>HEDEMORA</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59295-2025</t>
        </is>
      </c>
      <c r="B288" s="1" t="n">
        <v>45988.77284722222</v>
      </c>
      <c r="C288" s="1" t="n">
        <v>45989</v>
      </c>
      <c r="D288" t="inlineStr">
        <is>
          <t>DALARNAS LÄN</t>
        </is>
      </c>
      <c r="E288" t="inlineStr">
        <is>
          <t>HEDEMORA</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7914-2024</t>
        </is>
      </c>
      <c r="B289" s="1" t="n">
        <v>45350.46003472222</v>
      </c>
      <c r="C289" s="1" t="n">
        <v>45989</v>
      </c>
      <c r="D289" t="inlineStr">
        <is>
          <t>DALARNAS LÄN</t>
        </is>
      </c>
      <c r="E289" t="inlineStr">
        <is>
          <t>HEDEMORA</t>
        </is>
      </c>
      <c r="G289" t="n">
        <v>4.1</v>
      </c>
      <c r="H289" t="n">
        <v>0</v>
      </c>
      <c r="I289" t="n">
        <v>0</v>
      </c>
      <c r="J289" t="n">
        <v>0</v>
      </c>
      <c r="K289" t="n">
        <v>0</v>
      </c>
      <c r="L289" t="n">
        <v>0</v>
      </c>
      <c r="M289" t="n">
        <v>0</v>
      </c>
      <c r="N289" t="n">
        <v>0</v>
      </c>
      <c r="O289" t="n">
        <v>0</v>
      </c>
      <c r="P289" t="n">
        <v>0</v>
      </c>
      <c r="Q289" t="n">
        <v>0</v>
      </c>
      <c r="R289" s="2" t="inlineStr"/>
    </row>
    <row r="290" ht="15" customHeight="1">
      <c r="A290" t="inlineStr">
        <is>
          <t>A 61533-2021</t>
        </is>
      </c>
      <c r="B290" s="1" t="n">
        <v>44501</v>
      </c>
      <c r="C290" s="1" t="n">
        <v>45989</v>
      </c>
      <c r="D290" t="inlineStr">
        <is>
          <t>DALARNAS LÄN</t>
        </is>
      </c>
      <c r="E290" t="inlineStr">
        <is>
          <t>HEDEMORA</t>
        </is>
      </c>
      <c r="G290" t="n">
        <v>1.6</v>
      </c>
      <c r="H290" t="n">
        <v>0</v>
      </c>
      <c r="I290" t="n">
        <v>0</v>
      </c>
      <c r="J290" t="n">
        <v>0</v>
      </c>
      <c r="K290" t="n">
        <v>0</v>
      </c>
      <c r="L290" t="n">
        <v>0</v>
      </c>
      <c r="M290" t="n">
        <v>0</v>
      </c>
      <c r="N290" t="n">
        <v>0</v>
      </c>
      <c r="O290" t="n">
        <v>0</v>
      </c>
      <c r="P290" t="n">
        <v>0</v>
      </c>
      <c r="Q290" t="n">
        <v>0</v>
      </c>
      <c r="R290" s="2" t="inlineStr"/>
    </row>
    <row r="291" ht="15" customHeight="1">
      <c r="A291" t="inlineStr">
        <is>
          <t>A 9314-2024</t>
        </is>
      </c>
      <c r="B291" s="1" t="n">
        <v>45358</v>
      </c>
      <c r="C291" s="1" t="n">
        <v>45989</v>
      </c>
      <c r="D291" t="inlineStr">
        <is>
          <t>DALARNAS LÄN</t>
        </is>
      </c>
      <c r="E291" t="inlineStr">
        <is>
          <t>HEDEMORA</t>
        </is>
      </c>
      <c r="G291" t="n">
        <v>1.4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45989</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55882-2023</t>
        </is>
      </c>
      <c r="B293" s="1" t="n">
        <v>45239</v>
      </c>
      <c r="C293" s="1" t="n">
        <v>45989</v>
      </c>
      <c r="D293" t="inlineStr">
        <is>
          <t>DALARNAS LÄN</t>
        </is>
      </c>
      <c r="E293" t="inlineStr">
        <is>
          <t>HEDEMORA</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50885-2023</t>
        </is>
      </c>
      <c r="B294" s="1" t="n">
        <v>45218.38459490741</v>
      </c>
      <c r="C294" s="1" t="n">
        <v>45989</v>
      </c>
      <c r="D294" t="inlineStr">
        <is>
          <t>DALARNAS LÄN</t>
        </is>
      </c>
      <c r="E294" t="inlineStr">
        <is>
          <t>HEDEMORA</t>
        </is>
      </c>
      <c r="G294" t="n">
        <v>0.7</v>
      </c>
      <c r="H294" t="n">
        <v>0</v>
      </c>
      <c r="I294" t="n">
        <v>0</v>
      </c>
      <c r="J294" t="n">
        <v>0</v>
      </c>
      <c r="K294" t="n">
        <v>0</v>
      </c>
      <c r="L294" t="n">
        <v>0</v>
      </c>
      <c r="M294" t="n">
        <v>0</v>
      </c>
      <c r="N294" t="n">
        <v>0</v>
      </c>
      <c r="O294" t="n">
        <v>0</v>
      </c>
      <c r="P294" t="n">
        <v>0</v>
      </c>
      <c r="Q294" t="n">
        <v>0</v>
      </c>
      <c r="R294" s="2" t="inlineStr"/>
    </row>
    <row r="295" ht="15" customHeight="1">
      <c r="A295" t="inlineStr">
        <is>
          <t>A 65057-2023</t>
        </is>
      </c>
      <c r="B295" s="1" t="n">
        <v>45287</v>
      </c>
      <c r="C295" s="1" t="n">
        <v>45989</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11046-2022</t>
        </is>
      </c>
      <c r="B296" s="1" t="n">
        <v>44628</v>
      </c>
      <c r="C296" s="1" t="n">
        <v>45989</v>
      </c>
      <c r="D296" t="inlineStr">
        <is>
          <t>DALARNAS LÄN</t>
        </is>
      </c>
      <c r="E296" t="inlineStr">
        <is>
          <t>HEDEMORA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38947-2023</t>
        </is>
      </c>
      <c r="B297" s="1" t="n">
        <v>45163.61209490741</v>
      </c>
      <c r="C297" s="1" t="n">
        <v>45989</v>
      </c>
      <c r="D297" t="inlineStr">
        <is>
          <t>DALARNAS LÄN</t>
        </is>
      </c>
      <c r="E297" t="inlineStr">
        <is>
          <t>HEDEMORA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38951-2023</t>
        </is>
      </c>
      <c r="B298" s="1" t="n">
        <v>45163.61413194444</v>
      </c>
      <c r="C298" s="1" t="n">
        <v>45989</v>
      </c>
      <c r="D298" t="inlineStr">
        <is>
          <t>DALARNAS LÄN</t>
        </is>
      </c>
      <c r="E298" t="inlineStr">
        <is>
          <t>HEDEMORA</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27609-2024</t>
        </is>
      </c>
      <c r="B299" s="1" t="n">
        <v>45474.73076388889</v>
      </c>
      <c r="C299" s="1" t="n">
        <v>45989</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16413-2024</t>
        </is>
      </c>
      <c r="B300" s="1" t="n">
        <v>45407.64223379629</v>
      </c>
      <c r="C300" s="1" t="n">
        <v>45989</v>
      </c>
      <c r="D300" t="inlineStr">
        <is>
          <t>DALARNAS LÄN</t>
        </is>
      </c>
      <c r="E300" t="inlineStr">
        <is>
          <t>HEDEMORA</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19473-2024</t>
        </is>
      </c>
      <c r="B301" s="1" t="n">
        <v>45429</v>
      </c>
      <c r="C301" s="1" t="n">
        <v>45989</v>
      </c>
      <c r="D301" t="inlineStr">
        <is>
          <t>DALARNAS LÄN</t>
        </is>
      </c>
      <c r="E301" t="inlineStr">
        <is>
          <t>HEDEMORA</t>
        </is>
      </c>
      <c r="G301" t="n">
        <v>2.5</v>
      </c>
      <c r="H301" t="n">
        <v>0</v>
      </c>
      <c r="I301" t="n">
        <v>0</v>
      </c>
      <c r="J301" t="n">
        <v>0</v>
      </c>
      <c r="K301" t="n">
        <v>0</v>
      </c>
      <c r="L301" t="n">
        <v>0</v>
      </c>
      <c r="M301" t="n">
        <v>0</v>
      </c>
      <c r="N301" t="n">
        <v>0</v>
      </c>
      <c r="O301" t="n">
        <v>0</v>
      </c>
      <c r="P301" t="n">
        <v>0</v>
      </c>
      <c r="Q301" t="n">
        <v>0</v>
      </c>
      <c r="R301" s="2" t="inlineStr"/>
    </row>
    <row r="302" ht="15" customHeight="1">
      <c r="A302" t="inlineStr">
        <is>
          <t>A 41435-2023</t>
        </is>
      </c>
      <c r="B302" s="1" t="n">
        <v>45170</v>
      </c>
      <c r="C302" s="1" t="n">
        <v>45989</v>
      </c>
      <c r="D302" t="inlineStr">
        <is>
          <t>DALARNAS LÄN</t>
        </is>
      </c>
      <c r="E302" t="inlineStr">
        <is>
          <t>HEDEMORA</t>
        </is>
      </c>
      <c r="G302" t="n">
        <v>2.9</v>
      </c>
      <c r="H302" t="n">
        <v>0</v>
      </c>
      <c r="I302" t="n">
        <v>0</v>
      </c>
      <c r="J302" t="n">
        <v>0</v>
      </c>
      <c r="K302" t="n">
        <v>0</v>
      </c>
      <c r="L302" t="n">
        <v>0</v>
      </c>
      <c r="M302" t="n">
        <v>0</v>
      </c>
      <c r="N302" t="n">
        <v>0</v>
      </c>
      <c r="O302" t="n">
        <v>0</v>
      </c>
      <c r="P302" t="n">
        <v>0</v>
      </c>
      <c r="Q302" t="n">
        <v>0</v>
      </c>
      <c r="R302" s="2" t="inlineStr"/>
    </row>
    <row r="303" ht="15" customHeight="1">
      <c r="A303" t="inlineStr">
        <is>
          <t>A 54312-2024</t>
        </is>
      </c>
      <c r="B303" s="1" t="n">
        <v>45617.3434837963</v>
      </c>
      <c r="C303" s="1" t="n">
        <v>45989</v>
      </c>
      <c r="D303" t="inlineStr">
        <is>
          <t>DALARNAS LÄN</t>
        </is>
      </c>
      <c r="E303" t="inlineStr">
        <is>
          <t>HEDEMORA</t>
        </is>
      </c>
      <c r="F303" t="inlineStr">
        <is>
          <t>Bergvik skog väst AB</t>
        </is>
      </c>
      <c r="G303" t="n">
        <v>13.9</v>
      </c>
      <c r="H303" t="n">
        <v>0</v>
      </c>
      <c r="I303" t="n">
        <v>0</v>
      </c>
      <c r="J303" t="n">
        <v>0</v>
      </c>
      <c r="K303" t="n">
        <v>0</v>
      </c>
      <c r="L303" t="n">
        <v>0</v>
      </c>
      <c r="M303" t="n">
        <v>0</v>
      </c>
      <c r="N303" t="n">
        <v>0</v>
      </c>
      <c r="O303" t="n">
        <v>0</v>
      </c>
      <c r="P303" t="n">
        <v>0</v>
      </c>
      <c r="Q303" t="n">
        <v>0</v>
      </c>
      <c r="R303" s="2" t="inlineStr"/>
    </row>
    <row r="304" ht="15" customHeight="1">
      <c r="A304" t="inlineStr">
        <is>
          <t>A 29585-2024</t>
        </is>
      </c>
      <c r="B304" s="1" t="n">
        <v>45484.57728009259</v>
      </c>
      <c r="C304" s="1" t="n">
        <v>45989</v>
      </c>
      <c r="D304" t="inlineStr">
        <is>
          <t>DALARNAS LÄN</t>
        </is>
      </c>
      <c r="E304" t="inlineStr">
        <is>
          <t>HEDEMORA</t>
        </is>
      </c>
      <c r="F304" t="inlineStr">
        <is>
          <t>Bergvik skog väst AB</t>
        </is>
      </c>
      <c r="G304" t="n">
        <v>8.1</v>
      </c>
      <c r="H304" t="n">
        <v>0</v>
      </c>
      <c r="I304" t="n">
        <v>0</v>
      </c>
      <c r="J304" t="n">
        <v>0</v>
      </c>
      <c r="K304" t="n">
        <v>0</v>
      </c>
      <c r="L304" t="n">
        <v>0</v>
      </c>
      <c r="M304" t="n">
        <v>0</v>
      </c>
      <c r="N304" t="n">
        <v>0</v>
      </c>
      <c r="O304" t="n">
        <v>0</v>
      </c>
      <c r="P304" t="n">
        <v>0</v>
      </c>
      <c r="Q304" t="n">
        <v>0</v>
      </c>
      <c r="R304" s="2" t="inlineStr"/>
    </row>
    <row r="305" ht="15" customHeight="1">
      <c r="A305" t="inlineStr">
        <is>
          <t>A 69624-2021</t>
        </is>
      </c>
      <c r="B305" s="1" t="n">
        <v>44532.41442129629</v>
      </c>
      <c r="C305" s="1" t="n">
        <v>45989</v>
      </c>
      <c r="D305" t="inlineStr">
        <is>
          <t>DALARNAS LÄN</t>
        </is>
      </c>
      <c r="E305" t="inlineStr">
        <is>
          <t>HEDEMORA</t>
        </is>
      </c>
      <c r="G305" t="n">
        <v>0.4</v>
      </c>
      <c r="H305" t="n">
        <v>0</v>
      </c>
      <c r="I305" t="n">
        <v>0</v>
      </c>
      <c r="J305" t="n">
        <v>0</v>
      </c>
      <c r="K305" t="n">
        <v>0</v>
      </c>
      <c r="L305" t="n">
        <v>0</v>
      </c>
      <c r="M305" t="n">
        <v>0</v>
      </c>
      <c r="N305" t="n">
        <v>0</v>
      </c>
      <c r="O305" t="n">
        <v>0</v>
      </c>
      <c r="P305" t="n">
        <v>0</v>
      </c>
      <c r="Q305" t="n">
        <v>0</v>
      </c>
      <c r="R305" s="2" t="inlineStr"/>
    </row>
    <row r="306" ht="15" customHeight="1">
      <c r="A306" t="inlineStr">
        <is>
          <t>A 63925-2023</t>
        </is>
      </c>
      <c r="B306" s="1" t="n">
        <v>45278</v>
      </c>
      <c r="C306" s="1" t="n">
        <v>45989</v>
      </c>
      <c r="D306" t="inlineStr">
        <is>
          <t>DALARNAS LÄN</t>
        </is>
      </c>
      <c r="E306" t="inlineStr">
        <is>
          <t>HEDEMORA</t>
        </is>
      </c>
      <c r="G306" t="n">
        <v>5.2</v>
      </c>
      <c r="H306" t="n">
        <v>0</v>
      </c>
      <c r="I306" t="n">
        <v>0</v>
      </c>
      <c r="J306" t="n">
        <v>0</v>
      </c>
      <c r="K306" t="n">
        <v>0</v>
      </c>
      <c r="L306" t="n">
        <v>0</v>
      </c>
      <c r="M306" t="n">
        <v>0</v>
      </c>
      <c r="N306" t="n">
        <v>0</v>
      </c>
      <c r="O306" t="n">
        <v>0</v>
      </c>
      <c r="P306" t="n">
        <v>0</v>
      </c>
      <c r="Q306" t="n">
        <v>0</v>
      </c>
      <c r="R306" s="2" t="inlineStr"/>
    </row>
    <row r="307" ht="15" customHeight="1">
      <c r="A307" t="inlineStr">
        <is>
          <t>A 6881-2024</t>
        </is>
      </c>
      <c r="B307" s="1" t="n">
        <v>45342.8779050926</v>
      </c>
      <c r="C307" s="1" t="n">
        <v>45989</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28813-2024</t>
        </is>
      </c>
      <c r="B308" s="1" t="n">
        <v>45478.641875</v>
      </c>
      <c r="C308" s="1" t="n">
        <v>45989</v>
      </c>
      <c r="D308" t="inlineStr">
        <is>
          <t>DALARNAS LÄN</t>
        </is>
      </c>
      <c r="E308" t="inlineStr">
        <is>
          <t>HEDEMORA</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19353-2024</t>
        </is>
      </c>
      <c r="B309" s="1" t="n">
        <v>45429.29666666667</v>
      </c>
      <c r="C309" s="1" t="n">
        <v>45989</v>
      </c>
      <c r="D309" t="inlineStr">
        <is>
          <t>DALARNAS LÄN</t>
        </is>
      </c>
      <c r="E309" t="inlineStr">
        <is>
          <t>HEDEMORA</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19988-2025</t>
        </is>
      </c>
      <c r="B310" s="1" t="n">
        <v>45771.72665509259</v>
      </c>
      <c r="C310" s="1" t="n">
        <v>45989</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52199-2021</t>
        </is>
      </c>
      <c r="B311" s="1" t="n">
        <v>44462</v>
      </c>
      <c r="C311" s="1" t="n">
        <v>45989</v>
      </c>
      <c r="D311" t="inlineStr">
        <is>
          <t>DALARNAS LÄN</t>
        </is>
      </c>
      <c r="E311" t="inlineStr">
        <is>
          <t>HEDEMORA</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29640-2024</t>
        </is>
      </c>
      <c r="B312" s="1" t="n">
        <v>45484.69837962963</v>
      </c>
      <c r="C312" s="1" t="n">
        <v>45989</v>
      </c>
      <c r="D312" t="inlineStr">
        <is>
          <t>DALARNAS LÄN</t>
        </is>
      </c>
      <c r="E312" t="inlineStr">
        <is>
          <t>HEDEMORA</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39530-2024</t>
        </is>
      </c>
      <c r="B313" s="1" t="n">
        <v>45551</v>
      </c>
      <c r="C313" s="1" t="n">
        <v>45989</v>
      </c>
      <c r="D313" t="inlineStr">
        <is>
          <t>DALARNAS LÄN</t>
        </is>
      </c>
      <c r="E313" t="inlineStr">
        <is>
          <t>HEDEMORA</t>
        </is>
      </c>
      <c r="F313" t="inlineStr">
        <is>
          <t>Bergvik skog väst AB</t>
        </is>
      </c>
      <c r="G313" t="n">
        <v>13.8</v>
      </c>
      <c r="H313" t="n">
        <v>0</v>
      </c>
      <c r="I313" t="n">
        <v>0</v>
      </c>
      <c r="J313" t="n">
        <v>0</v>
      </c>
      <c r="K313" t="n">
        <v>0</v>
      </c>
      <c r="L313" t="n">
        <v>0</v>
      </c>
      <c r="M313" t="n">
        <v>0</v>
      </c>
      <c r="N313" t="n">
        <v>0</v>
      </c>
      <c r="O313" t="n">
        <v>0</v>
      </c>
      <c r="P313" t="n">
        <v>0</v>
      </c>
      <c r="Q313" t="n">
        <v>0</v>
      </c>
      <c r="R313" s="2" t="inlineStr"/>
    </row>
    <row r="314" ht="15" customHeight="1">
      <c r="A314" t="inlineStr">
        <is>
          <t>A 39531-2024</t>
        </is>
      </c>
      <c r="B314" s="1" t="n">
        <v>45551</v>
      </c>
      <c r="C314" s="1" t="n">
        <v>45989</v>
      </c>
      <c r="D314" t="inlineStr">
        <is>
          <t>DALARNAS LÄN</t>
        </is>
      </c>
      <c r="E314" t="inlineStr">
        <is>
          <t>HEDEMORA</t>
        </is>
      </c>
      <c r="F314" t="inlineStr">
        <is>
          <t>Bergvik skog väst AB</t>
        </is>
      </c>
      <c r="G314" t="n">
        <v>1.9</v>
      </c>
      <c r="H314" t="n">
        <v>0</v>
      </c>
      <c r="I314" t="n">
        <v>0</v>
      </c>
      <c r="J314" t="n">
        <v>0</v>
      </c>
      <c r="K314" t="n">
        <v>0</v>
      </c>
      <c r="L314" t="n">
        <v>0</v>
      </c>
      <c r="M314" t="n">
        <v>0</v>
      </c>
      <c r="N314" t="n">
        <v>0</v>
      </c>
      <c r="O314" t="n">
        <v>0</v>
      </c>
      <c r="P314" t="n">
        <v>0</v>
      </c>
      <c r="Q314" t="n">
        <v>0</v>
      </c>
      <c r="R314" s="2" t="inlineStr"/>
    </row>
    <row r="315" ht="15" customHeight="1">
      <c r="A315" t="inlineStr">
        <is>
          <t>A 39552-2024</t>
        </is>
      </c>
      <c r="B315" s="1" t="n">
        <v>45551</v>
      </c>
      <c r="C315" s="1" t="n">
        <v>45989</v>
      </c>
      <c r="D315" t="inlineStr">
        <is>
          <t>DALARNAS LÄN</t>
        </is>
      </c>
      <c r="E315" t="inlineStr">
        <is>
          <t>HEDEMORA</t>
        </is>
      </c>
      <c r="F315" t="inlineStr">
        <is>
          <t>Bergvik skog väst AB</t>
        </is>
      </c>
      <c r="G315" t="n">
        <v>24.1</v>
      </c>
      <c r="H315" t="n">
        <v>0</v>
      </c>
      <c r="I315" t="n">
        <v>0</v>
      </c>
      <c r="J315" t="n">
        <v>0</v>
      </c>
      <c r="K315" t="n">
        <v>0</v>
      </c>
      <c r="L315" t="n">
        <v>0</v>
      </c>
      <c r="M315" t="n">
        <v>0</v>
      </c>
      <c r="N315" t="n">
        <v>0</v>
      </c>
      <c r="O315" t="n">
        <v>0</v>
      </c>
      <c r="P315" t="n">
        <v>0</v>
      </c>
      <c r="Q315" t="n">
        <v>0</v>
      </c>
      <c r="R315" s="2" t="inlineStr"/>
    </row>
    <row r="316" ht="15" customHeight="1">
      <c r="A316" t="inlineStr">
        <is>
          <t>A 48321-2024</t>
        </is>
      </c>
      <c r="B316" s="1" t="n">
        <v>45590.50111111111</v>
      </c>
      <c r="C316" s="1" t="n">
        <v>45989</v>
      </c>
      <c r="D316" t="inlineStr">
        <is>
          <t>DALARNAS LÄN</t>
        </is>
      </c>
      <c r="E316" t="inlineStr">
        <is>
          <t>HEDEMORA</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15635-2022</t>
        </is>
      </c>
      <c r="B317" s="1" t="n">
        <v>44662.84958333334</v>
      </c>
      <c r="C317" s="1" t="n">
        <v>45989</v>
      </c>
      <c r="D317" t="inlineStr">
        <is>
          <t>DALARNAS LÄN</t>
        </is>
      </c>
      <c r="E317" t="inlineStr">
        <is>
          <t>HEDEMORA</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7916-2024</t>
        </is>
      </c>
      <c r="B318" s="1" t="n">
        <v>45350.46259259259</v>
      </c>
      <c r="C318" s="1" t="n">
        <v>45989</v>
      </c>
      <c r="D318" t="inlineStr">
        <is>
          <t>DALARNAS LÄN</t>
        </is>
      </c>
      <c r="E318" t="inlineStr">
        <is>
          <t>HEDEMORA</t>
        </is>
      </c>
      <c r="G318" t="n">
        <v>5.8</v>
      </c>
      <c r="H318" t="n">
        <v>0</v>
      </c>
      <c r="I318" t="n">
        <v>0</v>
      </c>
      <c r="J318" t="n">
        <v>0</v>
      </c>
      <c r="K318" t="n">
        <v>0</v>
      </c>
      <c r="L318" t="n">
        <v>0</v>
      </c>
      <c r="M318" t="n">
        <v>0</v>
      </c>
      <c r="N318" t="n">
        <v>0</v>
      </c>
      <c r="O318" t="n">
        <v>0</v>
      </c>
      <c r="P318" t="n">
        <v>0</v>
      </c>
      <c r="Q318" t="n">
        <v>0</v>
      </c>
      <c r="R318" s="2" t="inlineStr"/>
    </row>
    <row r="319" ht="15" customHeight="1">
      <c r="A319" t="inlineStr">
        <is>
          <t>A 52944-2024</t>
        </is>
      </c>
      <c r="B319" s="1" t="n">
        <v>45610.82546296297</v>
      </c>
      <c r="C319" s="1" t="n">
        <v>45989</v>
      </c>
      <c r="D319" t="inlineStr">
        <is>
          <t>DALARNAS LÄN</t>
        </is>
      </c>
      <c r="E319" t="inlineStr">
        <is>
          <t>HEDEMORA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14456-2021</t>
        </is>
      </c>
      <c r="B320" s="1" t="n">
        <v>44279.50208333333</v>
      </c>
      <c r="C320" s="1" t="n">
        <v>45989</v>
      </c>
      <c r="D320" t="inlineStr">
        <is>
          <t>DALARNAS LÄN</t>
        </is>
      </c>
      <c r="E320" t="inlineStr">
        <is>
          <t>HEDEMORA</t>
        </is>
      </c>
      <c r="G320" t="n">
        <v>1.2</v>
      </c>
      <c r="H320" t="n">
        <v>0</v>
      </c>
      <c r="I320" t="n">
        <v>0</v>
      </c>
      <c r="J320" t="n">
        <v>0</v>
      </c>
      <c r="K320" t="n">
        <v>0</v>
      </c>
      <c r="L320" t="n">
        <v>0</v>
      </c>
      <c r="M320" t="n">
        <v>0</v>
      </c>
      <c r="N320" t="n">
        <v>0</v>
      </c>
      <c r="O320" t="n">
        <v>0</v>
      </c>
      <c r="P320" t="n">
        <v>0</v>
      </c>
      <c r="Q320" t="n">
        <v>0</v>
      </c>
      <c r="R320" s="2" t="inlineStr"/>
    </row>
    <row r="321" ht="15" customHeight="1">
      <c r="A321" t="inlineStr">
        <is>
          <t>A 12133-2025</t>
        </is>
      </c>
      <c r="B321" s="1" t="n">
        <v>45729.38878472222</v>
      </c>
      <c r="C321" s="1" t="n">
        <v>45989</v>
      </c>
      <c r="D321" t="inlineStr">
        <is>
          <t>DALARNAS LÄN</t>
        </is>
      </c>
      <c r="E321" t="inlineStr">
        <is>
          <t>HEDEMORA</t>
        </is>
      </c>
      <c r="G321" t="n">
        <v>4.8</v>
      </c>
      <c r="H321" t="n">
        <v>0</v>
      </c>
      <c r="I321" t="n">
        <v>0</v>
      </c>
      <c r="J321" t="n">
        <v>0</v>
      </c>
      <c r="K321" t="n">
        <v>0</v>
      </c>
      <c r="L321" t="n">
        <v>0</v>
      </c>
      <c r="M321" t="n">
        <v>0</v>
      </c>
      <c r="N321" t="n">
        <v>0</v>
      </c>
      <c r="O321" t="n">
        <v>0</v>
      </c>
      <c r="P321" t="n">
        <v>0</v>
      </c>
      <c r="Q321" t="n">
        <v>0</v>
      </c>
      <c r="R321" s="2" t="inlineStr"/>
    </row>
    <row r="322" ht="15" customHeight="1">
      <c r="A322" t="inlineStr">
        <is>
          <t>A 7052-2025</t>
        </is>
      </c>
      <c r="B322" s="1" t="n">
        <v>45701.64659722222</v>
      </c>
      <c r="C322" s="1" t="n">
        <v>45989</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41642-2023</t>
        </is>
      </c>
      <c r="B323" s="1" t="n">
        <v>45175</v>
      </c>
      <c r="C323" s="1" t="n">
        <v>45989</v>
      </c>
      <c r="D323" t="inlineStr">
        <is>
          <t>DALARNAS LÄN</t>
        </is>
      </c>
      <c r="E323" t="inlineStr">
        <is>
          <t>HEDEMORA</t>
        </is>
      </c>
      <c r="G323" t="n">
        <v>2.8</v>
      </c>
      <c r="H323" t="n">
        <v>0</v>
      </c>
      <c r="I323" t="n">
        <v>0</v>
      </c>
      <c r="J323" t="n">
        <v>0</v>
      </c>
      <c r="K323" t="n">
        <v>0</v>
      </c>
      <c r="L323" t="n">
        <v>0</v>
      </c>
      <c r="M323" t="n">
        <v>0</v>
      </c>
      <c r="N323" t="n">
        <v>0</v>
      </c>
      <c r="O323" t="n">
        <v>0</v>
      </c>
      <c r="P323" t="n">
        <v>0</v>
      </c>
      <c r="Q323" t="n">
        <v>0</v>
      </c>
      <c r="R323" s="2" t="inlineStr"/>
    </row>
    <row r="324" ht="15" customHeight="1">
      <c r="A324" t="inlineStr">
        <is>
          <t>A 17645-2022</t>
        </is>
      </c>
      <c r="B324" s="1" t="n">
        <v>44680.47903935185</v>
      </c>
      <c r="C324" s="1" t="n">
        <v>45989</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17222-2025</t>
        </is>
      </c>
      <c r="B325" s="1" t="n">
        <v>45756.45504629629</v>
      </c>
      <c r="C325" s="1" t="n">
        <v>45989</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59232-2023</t>
        </is>
      </c>
      <c r="B326" s="1" t="n">
        <v>45253.5053587963</v>
      </c>
      <c r="C326" s="1" t="n">
        <v>45989</v>
      </c>
      <c r="D326" t="inlineStr">
        <is>
          <t>DALARNAS LÄN</t>
        </is>
      </c>
      <c r="E326" t="inlineStr">
        <is>
          <t>HEDEMORA</t>
        </is>
      </c>
      <c r="G326" t="n">
        <v>3.7</v>
      </c>
      <c r="H326" t="n">
        <v>0</v>
      </c>
      <c r="I326" t="n">
        <v>0</v>
      </c>
      <c r="J326" t="n">
        <v>0</v>
      </c>
      <c r="K326" t="n">
        <v>0</v>
      </c>
      <c r="L326" t="n">
        <v>0</v>
      </c>
      <c r="M326" t="n">
        <v>0</v>
      </c>
      <c r="N326" t="n">
        <v>0</v>
      </c>
      <c r="O326" t="n">
        <v>0</v>
      </c>
      <c r="P326" t="n">
        <v>0</v>
      </c>
      <c r="Q326" t="n">
        <v>0</v>
      </c>
      <c r="R326" s="2" t="inlineStr"/>
    </row>
    <row r="327" ht="15" customHeight="1">
      <c r="A327" t="inlineStr">
        <is>
          <t>A 45589-2023</t>
        </is>
      </c>
      <c r="B327" s="1" t="n">
        <v>45194.63086805555</v>
      </c>
      <c r="C327" s="1" t="n">
        <v>45989</v>
      </c>
      <c r="D327" t="inlineStr">
        <is>
          <t>DALARNAS LÄN</t>
        </is>
      </c>
      <c r="E327" t="inlineStr">
        <is>
          <t>HEDEMORA</t>
        </is>
      </c>
      <c r="G327" t="n">
        <v>0.7</v>
      </c>
      <c r="H327" t="n">
        <v>0</v>
      </c>
      <c r="I327" t="n">
        <v>0</v>
      </c>
      <c r="J327" t="n">
        <v>0</v>
      </c>
      <c r="K327" t="n">
        <v>0</v>
      </c>
      <c r="L327" t="n">
        <v>0</v>
      </c>
      <c r="M327" t="n">
        <v>0</v>
      </c>
      <c r="N327" t="n">
        <v>0</v>
      </c>
      <c r="O327" t="n">
        <v>0</v>
      </c>
      <c r="P327" t="n">
        <v>0</v>
      </c>
      <c r="Q327" t="n">
        <v>0</v>
      </c>
      <c r="R327" s="2" t="inlineStr"/>
    </row>
    <row r="328" ht="15" customHeight="1">
      <c r="A328" t="inlineStr">
        <is>
          <t>A 34409-2022</t>
        </is>
      </c>
      <c r="B328" s="1" t="n">
        <v>44792</v>
      </c>
      <c r="C328" s="1" t="n">
        <v>45989</v>
      </c>
      <c r="D328" t="inlineStr">
        <is>
          <t>DALARNAS LÄN</t>
        </is>
      </c>
      <c r="E328" t="inlineStr">
        <is>
          <t>HEDEMORA</t>
        </is>
      </c>
      <c r="G328" t="n">
        <v>13.7</v>
      </c>
      <c r="H328" t="n">
        <v>0</v>
      </c>
      <c r="I328" t="n">
        <v>0</v>
      </c>
      <c r="J328" t="n">
        <v>0</v>
      </c>
      <c r="K328" t="n">
        <v>0</v>
      </c>
      <c r="L328" t="n">
        <v>0</v>
      </c>
      <c r="M328" t="n">
        <v>0</v>
      </c>
      <c r="N328" t="n">
        <v>0</v>
      </c>
      <c r="O328" t="n">
        <v>0</v>
      </c>
      <c r="P328" t="n">
        <v>0</v>
      </c>
      <c r="Q328" t="n">
        <v>0</v>
      </c>
      <c r="R328" s="2" t="inlineStr"/>
    </row>
    <row r="329" ht="15" customHeight="1">
      <c r="A329" t="inlineStr">
        <is>
          <t>A 3089-2024</t>
        </is>
      </c>
      <c r="B329" s="1" t="n">
        <v>45316</v>
      </c>
      <c r="C329" s="1" t="n">
        <v>45989</v>
      </c>
      <c r="D329" t="inlineStr">
        <is>
          <t>DALARNAS LÄN</t>
        </is>
      </c>
      <c r="E329" t="inlineStr">
        <is>
          <t>HEDEMORA</t>
        </is>
      </c>
      <c r="G329" t="n">
        <v>5.5</v>
      </c>
      <c r="H329" t="n">
        <v>0</v>
      </c>
      <c r="I329" t="n">
        <v>0</v>
      </c>
      <c r="J329" t="n">
        <v>0</v>
      </c>
      <c r="K329" t="n">
        <v>0</v>
      </c>
      <c r="L329" t="n">
        <v>0</v>
      </c>
      <c r="M329" t="n">
        <v>0</v>
      </c>
      <c r="N329" t="n">
        <v>0</v>
      </c>
      <c r="O329" t="n">
        <v>0</v>
      </c>
      <c r="P329" t="n">
        <v>0</v>
      </c>
      <c r="Q329" t="n">
        <v>0</v>
      </c>
      <c r="R329" s="2" t="inlineStr"/>
    </row>
    <row r="330" ht="15" customHeight="1">
      <c r="A330" t="inlineStr">
        <is>
          <t>A 62386-2023</t>
        </is>
      </c>
      <c r="B330" s="1" t="n">
        <v>45268</v>
      </c>
      <c r="C330" s="1" t="n">
        <v>45989</v>
      </c>
      <c r="D330" t="inlineStr">
        <is>
          <t>DALARNAS LÄN</t>
        </is>
      </c>
      <c r="E330" t="inlineStr">
        <is>
          <t>HEDEMORA</t>
        </is>
      </c>
      <c r="G330" t="n">
        <v>1.7</v>
      </c>
      <c r="H330" t="n">
        <v>0</v>
      </c>
      <c r="I330" t="n">
        <v>0</v>
      </c>
      <c r="J330" t="n">
        <v>0</v>
      </c>
      <c r="K330" t="n">
        <v>0</v>
      </c>
      <c r="L330" t="n">
        <v>0</v>
      </c>
      <c r="M330" t="n">
        <v>0</v>
      </c>
      <c r="N330" t="n">
        <v>0</v>
      </c>
      <c r="O330" t="n">
        <v>0</v>
      </c>
      <c r="P330" t="n">
        <v>0</v>
      </c>
      <c r="Q330" t="n">
        <v>0</v>
      </c>
      <c r="R330" s="2" t="inlineStr"/>
    </row>
    <row r="331" ht="15" customHeight="1">
      <c r="A331" t="inlineStr">
        <is>
          <t>A 60786-2023</t>
        </is>
      </c>
      <c r="B331" s="1" t="n">
        <v>45260.64891203704</v>
      </c>
      <c r="C331" s="1" t="n">
        <v>45989</v>
      </c>
      <c r="D331" t="inlineStr">
        <is>
          <t>DALARNAS LÄN</t>
        </is>
      </c>
      <c r="E331" t="inlineStr">
        <is>
          <t>HEDEMORA</t>
        </is>
      </c>
      <c r="G331" t="n">
        <v>7.1</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45989</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62188-2023</t>
        </is>
      </c>
      <c r="B333" s="1" t="n">
        <v>45267</v>
      </c>
      <c r="C333" s="1" t="n">
        <v>45989</v>
      </c>
      <c r="D333" t="inlineStr">
        <is>
          <t>DALARNAS LÄN</t>
        </is>
      </c>
      <c r="E333" t="inlineStr">
        <is>
          <t>HEDEMORA</t>
        </is>
      </c>
      <c r="G333" t="n">
        <v>2.1</v>
      </c>
      <c r="H333" t="n">
        <v>0</v>
      </c>
      <c r="I333" t="n">
        <v>0</v>
      </c>
      <c r="J333" t="n">
        <v>0</v>
      </c>
      <c r="K333" t="n">
        <v>0</v>
      </c>
      <c r="L333" t="n">
        <v>0</v>
      </c>
      <c r="M333" t="n">
        <v>0</v>
      </c>
      <c r="N333" t="n">
        <v>0</v>
      </c>
      <c r="O333" t="n">
        <v>0</v>
      </c>
      <c r="P333" t="n">
        <v>0</v>
      </c>
      <c r="Q333" t="n">
        <v>0</v>
      </c>
      <c r="R333" s="2" t="inlineStr"/>
    </row>
    <row r="334" ht="15" customHeight="1">
      <c r="A334" t="inlineStr">
        <is>
          <t>A 60408-2021</t>
        </is>
      </c>
      <c r="B334" s="1" t="n">
        <v>44495</v>
      </c>
      <c r="C334" s="1" t="n">
        <v>45989</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62401-2023</t>
        </is>
      </c>
      <c r="B335" s="1" t="n">
        <v>45268</v>
      </c>
      <c r="C335" s="1" t="n">
        <v>45989</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row>
    <row r="336" ht="15" customHeight="1">
      <c r="A336" t="inlineStr">
        <is>
          <t>A 18572-2025</t>
        </is>
      </c>
      <c r="B336" s="1" t="n">
        <v>45763</v>
      </c>
      <c r="C336" s="1" t="n">
        <v>45989</v>
      </c>
      <c r="D336" t="inlineStr">
        <is>
          <t>DALARNAS LÄN</t>
        </is>
      </c>
      <c r="E336" t="inlineStr">
        <is>
          <t>HEDEMORA</t>
        </is>
      </c>
      <c r="G336" t="n">
        <v>0.9</v>
      </c>
      <c r="H336" t="n">
        <v>0</v>
      </c>
      <c r="I336" t="n">
        <v>0</v>
      </c>
      <c r="J336" t="n">
        <v>0</v>
      </c>
      <c r="K336" t="n">
        <v>0</v>
      </c>
      <c r="L336" t="n">
        <v>0</v>
      </c>
      <c r="M336" t="n">
        <v>0</v>
      </c>
      <c r="N336" t="n">
        <v>0</v>
      </c>
      <c r="O336" t="n">
        <v>0</v>
      </c>
      <c r="P336" t="n">
        <v>0</v>
      </c>
      <c r="Q336" t="n">
        <v>0</v>
      </c>
      <c r="R336" s="2" t="inlineStr"/>
    </row>
    <row r="337" ht="15" customHeight="1">
      <c r="A337" t="inlineStr">
        <is>
          <t>A 53923-2024</t>
        </is>
      </c>
      <c r="B337" s="1" t="n">
        <v>45615.79806712963</v>
      </c>
      <c r="C337" s="1" t="n">
        <v>45989</v>
      </c>
      <c r="D337" t="inlineStr">
        <is>
          <t>DALARNAS LÄN</t>
        </is>
      </c>
      <c r="E337" t="inlineStr">
        <is>
          <t>HEDEMORA</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385-2024</t>
        </is>
      </c>
      <c r="B338" s="1" t="n">
        <v>45296</v>
      </c>
      <c r="C338" s="1" t="n">
        <v>45989</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26452-2024</t>
        </is>
      </c>
      <c r="B339" s="1" t="n">
        <v>45469.51145833333</v>
      </c>
      <c r="C339" s="1" t="n">
        <v>45989</v>
      </c>
      <c r="D339" t="inlineStr">
        <is>
          <t>DALARNAS LÄN</t>
        </is>
      </c>
      <c r="E339" t="inlineStr">
        <is>
          <t>HEDEMORA</t>
        </is>
      </c>
      <c r="G339" t="n">
        <v>2.3</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45989</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25643-2024</t>
        </is>
      </c>
      <c r="B341" s="1" t="n">
        <v>45463.66436342592</v>
      </c>
      <c r="C341" s="1" t="n">
        <v>45989</v>
      </c>
      <c r="D341" t="inlineStr">
        <is>
          <t>DALARNAS LÄN</t>
        </is>
      </c>
      <c r="E341" t="inlineStr">
        <is>
          <t>HEDEMORA</t>
        </is>
      </c>
      <c r="F341" t="inlineStr">
        <is>
          <t>Sveaskog</t>
        </is>
      </c>
      <c r="G341" t="n">
        <v>8</v>
      </c>
      <c r="H341" t="n">
        <v>0</v>
      </c>
      <c r="I341" t="n">
        <v>0</v>
      </c>
      <c r="J341" t="n">
        <v>0</v>
      </c>
      <c r="K341" t="n">
        <v>0</v>
      </c>
      <c r="L341" t="n">
        <v>0</v>
      </c>
      <c r="M341" t="n">
        <v>0</v>
      </c>
      <c r="N341" t="n">
        <v>0</v>
      </c>
      <c r="O341" t="n">
        <v>0</v>
      </c>
      <c r="P341" t="n">
        <v>0</v>
      </c>
      <c r="Q341" t="n">
        <v>0</v>
      </c>
      <c r="R341" s="2" t="inlineStr"/>
    </row>
    <row r="342" ht="15" customHeight="1">
      <c r="A342" t="inlineStr">
        <is>
          <t>A 20666-2024</t>
        </is>
      </c>
      <c r="B342" s="1" t="n">
        <v>45436</v>
      </c>
      <c r="C342" s="1" t="n">
        <v>45989</v>
      </c>
      <c r="D342" t="inlineStr">
        <is>
          <t>DALARNAS LÄN</t>
        </is>
      </c>
      <c r="E342" t="inlineStr">
        <is>
          <t>HEDEMORA</t>
        </is>
      </c>
      <c r="G342" t="n">
        <v>5.1</v>
      </c>
      <c r="H342" t="n">
        <v>0</v>
      </c>
      <c r="I342" t="n">
        <v>0</v>
      </c>
      <c r="J342" t="n">
        <v>0</v>
      </c>
      <c r="K342" t="n">
        <v>0</v>
      </c>
      <c r="L342" t="n">
        <v>0</v>
      </c>
      <c r="M342" t="n">
        <v>0</v>
      </c>
      <c r="N342" t="n">
        <v>0</v>
      </c>
      <c r="O342" t="n">
        <v>0</v>
      </c>
      <c r="P342" t="n">
        <v>0</v>
      </c>
      <c r="Q342" t="n">
        <v>0</v>
      </c>
      <c r="R342" s="2" t="inlineStr"/>
    </row>
    <row r="343" ht="15" customHeight="1">
      <c r="A343" t="inlineStr">
        <is>
          <t>A 1917-2022</t>
        </is>
      </c>
      <c r="B343" s="1" t="n">
        <v>44574</v>
      </c>
      <c r="C343" s="1" t="n">
        <v>45989</v>
      </c>
      <c r="D343" t="inlineStr">
        <is>
          <t>DALARNAS LÄN</t>
        </is>
      </c>
      <c r="E343" t="inlineStr">
        <is>
          <t>HEDEMORA</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1973-2022</t>
        </is>
      </c>
      <c r="B344" s="1" t="n">
        <v>44575</v>
      </c>
      <c r="C344" s="1" t="n">
        <v>45989</v>
      </c>
      <c r="D344" t="inlineStr">
        <is>
          <t>DALARNAS LÄN</t>
        </is>
      </c>
      <c r="E344" t="inlineStr">
        <is>
          <t>HEDEMORA</t>
        </is>
      </c>
      <c r="G344" t="n">
        <v>1.2</v>
      </c>
      <c r="H344" t="n">
        <v>0</v>
      </c>
      <c r="I344" t="n">
        <v>0</v>
      </c>
      <c r="J344" t="n">
        <v>0</v>
      </c>
      <c r="K344" t="n">
        <v>0</v>
      </c>
      <c r="L344" t="n">
        <v>0</v>
      </c>
      <c r="M344" t="n">
        <v>0</v>
      </c>
      <c r="N344" t="n">
        <v>0</v>
      </c>
      <c r="O344" t="n">
        <v>0</v>
      </c>
      <c r="P344" t="n">
        <v>0</v>
      </c>
      <c r="Q344" t="n">
        <v>0</v>
      </c>
      <c r="R344" s="2" t="inlineStr"/>
    </row>
    <row r="345" ht="15" customHeight="1">
      <c r="A345" t="inlineStr">
        <is>
          <t>A 49636-2021</t>
        </is>
      </c>
      <c r="B345" s="1" t="n">
        <v>44455</v>
      </c>
      <c r="C345" s="1" t="n">
        <v>45989</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60475-2022</t>
        </is>
      </c>
      <c r="B346" s="1" t="n">
        <v>44911.41222222222</v>
      </c>
      <c r="C346" s="1" t="n">
        <v>45989</v>
      </c>
      <c r="D346" t="inlineStr">
        <is>
          <t>DALARNAS LÄN</t>
        </is>
      </c>
      <c r="E346" t="inlineStr">
        <is>
          <t>HEDEMORA</t>
        </is>
      </c>
      <c r="G346" t="n">
        <v>1</v>
      </c>
      <c r="H346" t="n">
        <v>0</v>
      </c>
      <c r="I346" t="n">
        <v>0</v>
      </c>
      <c r="J346" t="n">
        <v>0</v>
      </c>
      <c r="K346" t="n">
        <v>0</v>
      </c>
      <c r="L346" t="n">
        <v>0</v>
      </c>
      <c r="M346" t="n">
        <v>0</v>
      </c>
      <c r="N346" t="n">
        <v>0</v>
      </c>
      <c r="O346" t="n">
        <v>0</v>
      </c>
      <c r="P346" t="n">
        <v>0</v>
      </c>
      <c r="Q346" t="n">
        <v>0</v>
      </c>
      <c r="R346" s="2" t="inlineStr"/>
    </row>
    <row r="347" ht="15" customHeight="1">
      <c r="A347" t="inlineStr">
        <is>
          <t>A 30205-2022</t>
        </is>
      </c>
      <c r="B347" s="1" t="n">
        <v>44757.74415509259</v>
      </c>
      <c r="C347" s="1" t="n">
        <v>45989</v>
      </c>
      <c r="D347" t="inlineStr">
        <is>
          <t>DALARNAS LÄN</t>
        </is>
      </c>
      <c r="E347" t="inlineStr">
        <is>
          <t>HEDEMORA</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54310-2021</t>
        </is>
      </c>
      <c r="B348" s="1" t="n">
        <v>44472.54035879629</v>
      </c>
      <c r="C348" s="1" t="n">
        <v>45989</v>
      </c>
      <c r="D348" t="inlineStr">
        <is>
          <t>DALARNAS LÄN</t>
        </is>
      </c>
      <c r="E348" t="inlineStr">
        <is>
          <t>HEDEMORA</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26449-2024</t>
        </is>
      </c>
      <c r="B349" s="1" t="n">
        <v>45469.50783564815</v>
      </c>
      <c r="C349" s="1" t="n">
        <v>45989</v>
      </c>
      <c r="D349" t="inlineStr">
        <is>
          <t>DALARNAS LÄN</t>
        </is>
      </c>
      <c r="E349" t="inlineStr">
        <is>
          <t>HEDEMORA</t>
        </is>
      </c>
      <c r="G349" t="n">
        <v>4.5</v>
      </c>
      <c r="H349" t="n">
        <v>0</v>
      </c>
      <c r="I349" t="n">
        <v>0</v>
      </c>
      <c r="J349" t="n">
        <v>0</v>
      </c>
      <c r="K349" t="n">
        <v>0</v>
      </c>
      <c r="L349" t="n">
        <v>0</v>
      </c>
      <c r="M349" t="n">
        <v>0</v>
      </c>
      <c r="N349" t="n">
        <v>0</v>
      </c>
      <c r="O349" t="n">
        <v>0</v>
      </c>
      <c r="P349" t="n">
        <v>0</v>
      </c>
      <c r="Q349" t="n">
        <v>0</v>
      </c>
      <c r="R349" s="2" t="inlineStr"/>
    </row>
    <row r="350" ht="15" customHeight="1">
      <c r="A350" t="inlineStr">
        <is>
          <t>A 25155-2023</t>
        </is>
      </c>
      <c r="B350" s="1" t="n">
        <v>45086</v>
      </c>
      <c r="C350" s="1" t="n">
        <v>45989</v>
      </c>
      <c r="D350" t="inlineStr">
        <is>
          <t>DALARNAS LÄN</t>
        </is>
      </c>
      <c r="E350" t="inlineStr">
        <is>
          <t>HEDEMORA</t>
        </is>
      </c>
      <c r="F350" t="inlineStr">
        <is>
          <t>Sveaskog</t>
        </is>
      </c>
      <c r="G350" t="n">
        <v>3.8</v>
      </c>
      <c r="H350" t="n">
        <v>0</v>
      </c>
      <c r="I350" t="n">
        <v>0</v>
      </c>
      <c r="J350" t="n">
        <v>0</v>
      </c>
      <c r="K350" t="n">
        <v>0</v>
      </c>
      <c r="L350" t="n">
        <v>0</v>
      </c>
      <c r="M350" t="n">
        <v>0</v>
      </c>
      <c r="N350" t="n">
        <v>0</v>
      </c>
      <c r="O350" t="n">
        <v>0</v>
      </c>
      <c r="P350" t="n">
        <v>0</v>
      </c>
      <c r="Q350" t="n">
        <v>0</v>
      </c>
      <c r="R350" s="2" t="inlineStr"/>
    </row>
    <row r="351" ht="15" customHeight="1">
      <c r="A351" t="inlineStr">
        <is>
          <t>A 25150-2023</t>
        </is>
      </c>
      <c r="B351" s="1" t="n">
        <v>45086</v>
      </c>
      <c r="C351" s="1" t="n">
        <v>45989</v>
      </c>
      <c r="D351" t="inlineStr">
        <is>
          <t>DALARNAS LÄN</t>
        </is>
      </c>
      <c r="E351" t="inlineStr">
        <is>
          <t>HEDEMORA</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41523-2023</t>
        </is>
      </c>
      <c r="B352" s="1" t="n">
        <v>45172</v>
      </c>
      <c r="C352" s="1" t="n">
        <v>45989</v>
      </c>
      <c r="D352" t="inlineStr">
        <is>
          <t>DALARNAS LÄN</t>
        </is>
      </c>
      <c r="E352" t="inlineStr">
        <is>
          <t>HEDEMORA</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30939-2023</t>
        </is>
      </c>
      <c r="B353" s="1" t="n">
        <v>45113.45597222223</v>
      </c>
      <c r="C353" s="1" t="n">
        <v>45989</v>
      </c>
      <c r="D353" t="inlineStr">
        <is>
          <t>DALARNAS LÄN</t>
        </is>
      </c>
      <c r="E353" t="inlineStr">
        <is>
          <t>HEDEMORA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60078-2022</t>
        </is>
      </c>
      <c r="B354" s="1" t="n">
        <v>44909.58811342593</v>
      </c>
      <c r="C354" s="1" t="n">
        <v>45989</v>
      </c>
      <c r="D354" t="inlineStr">
        <is>
          <t>DALARNAS LÄN</t>
        </is>
      </c>
      <c r="E354" t="inlineStr">
        <is>
          <t>HEDEMORA</t>
        </is>
      </c>
      <c r="G354" t="n">
        <v>0.5</v>
      </c>
      <c r="H354" t="n">
        <v>0</v>
      </c>
      <c r="I354" t="n">
        <v>0</v>
      </c>
      <c r="J354" t="n">
        <v>0</v>
      </c>
      <c r="K354" t="n">
        <v>0</v>
      </c>
      <c r="L354" t="n">
        <v>0</v>
      </c>
      <c r="M354" t="n">
        <v>0</v>
      </c>
      <c r="N354" t="n">
        <v>0</v>
      </c>
      <c r="O354" t="n">
        <v>0</v>
      </c>
      <c r="P354" t="n">
        <v>0</v>
      </c>
      <c r="Q354" t="n">
        <v>0</v>
      </c>
      <c r="R354" s="2" t="inlineStr"/>
    </row>
    <row r="355" ht="15" customHeight="1">
      <c r="A355" t="inlineStr">
        <is>
          <t>A 53568-2023</t>
        </is>
      </c>
      <c r="B355" s="1" t="n">
        <v>45230.49392361111</v>
      </c>
      <c r="C355" s="1" t="n">
        <v>45989</v>
      </c>
      <c r="D355" t="inlineStr">
        <is>
          <t>DALARNAS LÄN</t>
        </is>
      </c>
      <c r="E355" t="inlineStr">
        <is>
          <t>HEDEMORA</t>
        </is>
      </c>
      <c r="G355" t="n">
        <v>1.2</v>
      </c>
      <c r="H355" t="n">
        <v>0</v>
      </c>
      <c r="I355" t="n">
        <v>0</v>
      </c>
      <c r="J355" t="n">
        <v>0</v>
      </c>
      <c r="K355" t="n">
        <v>0</v>
      </c>
      <c r="L355" t="n">
        <v>0</v>
      </c>
      <c r="M355" t="n">
        <v>0</v>
      </c>
      <c r="N355" t="n">
        <v>0</v>
      </c>
      <c r="O355" t="n">
        <v>0</v>
      </c>
      <c r="P355" t="n">
        <v>0</v>
      </c>
      <c r="Q355" t="n">
        <v>0</v>
      </c>
      <c r="R355" s="2" t="inlineStr"/>
    </row>
    <row r="356" ht="15" customHeight="1">
      <c r="A356" t="inlineStr">
        <is>
          <t>A 29303-2023</t>
        </is>
      </c>
      <c r="B356" s="1" t="n">
        <v>45105</v>
      </c>
      <c r="C356" s="1" t="n">
        <v>45989</v>
      </c>
      <c r="D356" t="inlineStr">
        <is>
          <t>DALARNAS LÄN</t>
        </is>
      </c>
      <c r="E356" t="inlineStr">
        <is>
          <t>HEDEMORA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49904-2021</t>
        </is>
      </c>
      <c r="B357" s="1" t="n">
        <v>44455.77041666667</v>
      </c>
      <c r="C357" s="1" t="n">
        <v>45989</v>
      </c>
      <c r="D357" t="inlineStr">
        <is>
          <t>DALARNAS LÄN</t>
        </is>
      </c>
      <c r="E357" t="inlineStr">
        <is>
          <t>HEDEMORA</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46217-2023</t>
        </is>
      </c>
      <c r="B358" s="1" t="n">
        <v>45190</v>
      </c>
      <c r="C358" s="1" t="n">
        <v>45989</v>
      </c>
      <c r="D358" t="inlineStr">
        <is>
          <t>DALARNAS LÄN</t>
        </is>
      </c>
      <c r="E358" t="inlineStr">
        <is>
          <t>HEDEMORA</t>
        </is>
      </c>
      <c r="F358" t="inlineStr">
        <is>
          <t>Bergvik skog väst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5766-2025</t>
        </is>
      </c>
      <c r="B359" s="1" t="n">
        <v>45694.57893518519</v>
      </c>
      <c r="C359" s="1" t="n">
        <v>45989</v>
      </c>
      <c r="D359" t="inlineStr">
        <is>
          <t>DALARNAS LÄN</t>
        </is>
      </c>
      <c r="E359" t="inlineStr">
        <is>
          <t>HEDEMORA</t>
        </is>
      </c>
      <c r="G359" t="n">
        <v>4.9</v>
      </c>
      <c r="H359" t="n">
        <v>0</v>
      </c>
      <c r="I359" t="n">
        <v>0</v>
      </c>
      <c r="J359" t="n">
        <v>0</v>
      </c>
      <c r="K359" t="n">
        <v>0</v>
      </c>
      <c r="L359" t="n">
        <v>0</v>
      </c>
      <c r="M359" t="n">
        <v>0</v>
      </c>
      <c r="N359" t="n">
        <v>0</v>
      </c>
      <c r="O359" t="n">
        <v>0</v>
      </c>
      <c r="P359" t="n">
        <v>0</v>
      </c>
      <c r="Q359" t="n">
        <v>0</v>
      </c>
      <c r="R359" s="2" t="inlineStr"/>
    </row>
    <row r="360" ht="15" customHeight="1">
      <c r="A360" t="inlineStr">
        <is>
          <t>A 25691-2022</t>
        </is>
      </c>
      <c r="B360" s="1" t="n">
        <v>44733</v>
      </c>
      <c r="C360" s="1" t="n">
        <v>45989</v>
      </c>
      <c r="D360" t="inlineStr">
        <is>
          <t>DALARNAS LÄN</t>
        </is>
      </c>
      <c r="E360" t="inlineStr">
        <is>
          <t>HEDEMORA</t>
        </is>
      </c>
      <c r="G360" t="n">
        <v>0.7</v>
      </c>
      <c r="H360" t="n">
        <v>0</v>
      </c>
      <c r="I360" t="n">
        <v>0</v>
      </c>
      <c r="J360" t="n">
        <v>0</v>
      </c>
      <c r="K360" t="n">
        <v>0</v>
      </c>
      <c r="L360" t="n">
        <v>0</v>
      </c>
      <c r="M360" t="n">
        <v>0</v>
      </c>
      <c r="N360" t="n">
        <v>0</v>
      </c>
      <c r="O360" t="n">
        <v>0</v>
      </c>
      <c r="P360" t="n">
        <v>0</v>
      </c>
      <c r="Q360" t="n">
        <v>0</v>
      </c>
      <c r="R360" s="2" t="inlineStr"/>
    </row>
    <row r="361" ht="15" customHeight="1">
      <c r="A361" t="inlineStr">
        <is>
          <t>A 61849-2022</t>
        </is>
      </c>
      <c r="B361" s="1" t="n">
        <v>44917</v>
      </c>
      <c r="C361" s="1" t="n">
        <v>45989</v>
      </c>
      <c r="D361" t="inlineStr">
        <is>
          <t>DALARNAS LÄN</t>
        </is>
      </c>
      <c r="E361" t="inlineStr">
        <is>
          <t>HEDEMORA</t>
        </is>
      </c>
      <c r="G361" t="n">
        <v>1.9</v>
      </c>
      <c r="H361" t="n">
        <v>0</v>
      </c>
      <c r="I361" t="n">
        <v>0</v>
      </c>
      <c r="J361" t="n">
        <v>0</v>
      </c>
      <c r="K361" t="n">
        <v>0</v>
      </c>
      <c r="L361" t="n">
        <v>0</v>
      </c>
      <c r="M361" t="n">
        <v>0</v>
      </c>
      <c r="N361" t="n">
        <v>0</v>
      </c>
      <c r="O361" t="n">
        <v>0</v>
      </c>
      <c r="P361" t="n">
        <v>0</v>
      </c>
      <c r="Q361" t="n">
        <v>0</v>
      </c>
      <c r="R361" s="2" t="inlineStr"/>
    </row>
    <row r="362" ht="15" customHeight="1">
      <c r="A362" t="inlineStr">
        <is>
          <t>A 53584-2023</t>
        </is>
      </c>
      <c r="B362" s="1" t="n">
        <v>45230</v>
      </c>
      <c r="C362" s="1" t="n">
        <v>45989</v>
      </c>
      <c r="D362" t="inlineStr">
        <is>
          <t>DALARNAS LÄN</t>
        </is>
      </c>
      <c r="E362" t="inlineStr">
        <is>
          <t>HEDEMORA</t>
        </is>
      </c>
      <c r="G362" t="n">
        <v>6.6</v>
      </c>
      <c r="H362" t="n">
        <v>0</v>
      </c>
      <c r="I362" t="n">
        <v>0</v>
      </c>
      <c r="J362" t="n">
        <v>0</v>
      </c>
      <c r="K362" t="n">
        <v>0</v>
      </c>
      <c r="L362" t="n">
        <v>0</v>
      </c>
      <c r="M362" t="n">
        <v>0</v>
      </c>
      <c r="N362" t="n">
        <v>0</v>
      </c>
      <c r="O362" t="n">
        <v>0</v>
      </c>
      <c r="P362" t="n">
        <v>0</v>
      </c>
      <c r="Q362" t="n">
        <v>0</v>
      </c>
      <c r="R362" s="2" t="inlineStr"/>
    </row>
    <row r="363" ht="15" customHeight="1">
      <c r="A363" t="inlineStr">
        <is>
          <t>A 20272-2025</t>
        </is>
      </c>
      <c r="B363" s="1" t="n">
        <v>45773.71663194444</v>
      </c>
      <c r="C363" s="1" t="n">
        <v>45989</v>
      </c>
      <c r="D363" t="inlineStr">
        <is>
          <t>DALARNAS LÄN</t>
        </is>
      </c>
      <c r="E363" t="inlineStr">
        <is>
          <t>HEDEMORA</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18579-2025</t>
        </is>
      </c>
      <c r="B364" s="1" t="n">
        <v>45763</v>
      </c>
      <c r="C364" s="1" t="n">
        <v>45989</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46825-2024</t>
        </is>
      </c>
      <c r="B365" s="1" t="n">
        <v>45583.58040509259</v>
      </c>
      <c r="C365" s="1" t="n">
        <v>45989</v>
      </c>
      <c r="D365" t="inlineStr">
        <is>
          <t>DALARNAS LÄN</t>
        </is>
      </c>
      <c r="E365" t="inlineStr">
        <is>
          <t>HEDEMORA</t>
        </is>
      </c>
      <c r="G365" t="n">
        <v>1.1</v>
      </c>
      <c r="H365" t="n">
        <v>0</v>
      </c>
      <c r="I365" t="n">
        <v>0</v>
      </c>
      <c r="J365" t="n">
        <v>0</v>
      </c>
      <c r="K365" t="n">
        <v>0</v>
      </c>
      <c r="L365" t="n">
        <v>0</v>
      </c>
      <c r="M365" t="n">
        <v>0</v>
      </c>
      <c r="N365" t="n">
        <v>0</v>
      </c>
      <c r="O365" t="n">
        <v>0</v>
      </c>
      <c r="P365" t="n">
        <v>0</v>
      </c>
      <c r="Q365" t="n">
        <v>0</v>
      </c>
      <c r="R365" s="2" t="inlineStr"/>
    </row>
    <row r="366" ht="15" customHeight="1">
      <c r="A366" t="inlineStr">
        <is>
          <t>A 52942-2024</t>
        </is>
      </c>
      <c r="B366" s="1" t="n">
        <v>45610.8215625</v>
      </c>
      <c r="C366" s="1" t="n">
        <v>45989</v>
      </c>
      <c r="D366" t="inlineStr">
        <is>
          <t>DALARNAS LÄN</t>
        </is>
      </c>
      <c r="E366" t="inlineStr">
        <is>
          <t>HEDEMORA</t>
        </is>
      </c>
      <c r="F366" t="inlineStr">
        <is>
          <t>Sveaskog</t>
        </is>
      </c>
      <c r="G366" t="n">
        <v>14.5</v>
      </c>
      <c r="H366" t="n">
        <v>0</v>
      </c>
      <c r="I366" t="n">
        <v>0</v>
      </c>
      <c r="J366" t="n">
        <v>0</v>
      </c>
      <c r="K366" t="n">
        <v>0</v>
      </c>
      <c r="L366" t="n">
        <v>0</v>
      </c>
      <c r="M366" t="n">
        <v>0</v>
      </c>
      <c r="N366" t="n">
        <v>0</v>
      </c>
      <c r="O366" t="n">
        <v>0</v>
      </c>
      <c r="P366" t="n">
        <v>0</v>
      </c>
      <c r="Q366" t="n">
        <v>0</v>
      </c>
      <c r="R366" s="2" t="inlineStr"/>
    </row>
    <row r="367" ht="15" customHeight="1">
      <c r="A367" t="inlineStr">
        <is>
          <t>A 26612-2021</t>
        </is>
      </c>
      <c r="B367" s="1" t="n">
        <v>44348.64942129629</v>
      </c>
      <c r="C367" s="1" t="n">
        <v>45989</v>
      </c>
      <c r="D367" t="inlineStr">
        <is>
          <t>DALARNAS LÄN</t>
        </is>
      </c>
      <c r="E367" t="inlineStr">
        <is>
          <t>HEDEMORA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22273-2023</t>
        </is>
      </c>
      <c r="B368" s="1" t="n">
        <v>45070</v>
      </c>
      <c r="C368" s="1" t="n">
        <v>45989</v>
      </c>
      <c r="D368" t="inlineStr">
        <is>
          <t>DALARNAS LÄN</t>
        </is>
      </c>
      <c r="E368" t="inlineStr">
        <is>
          <t>HEDEMORA</t>
        </is>
      </c>
      <c r="G368" t="n">
        <v>1.3</v>
      </c>
      <c r="H368" t="n">
        <v>0</v>
      </c>
      <c r="I368" t="n">
        <v>0</v>
      </c>
      <c r="J368" t="n">
        <v>0</v>
      </c>
      <c r="K368" t="n">
        <v>0</v>
      </c>
      <c r="L368" t="n">
        <v>0</v>
      </c>
      <c r="M368" t="n">
        <v>0</v>
      </c>
      <c r="N368" t="n">
        <v>0</v>
      </c>
      <c r="O368" t="n">
        <v>0</v>
      </c>
      <c r="P368" t="n">
        <v>0</v>
      </c>
      <c r="Q368" t="n">
        <v>0</v>
      </c>
      <c r="R368" s="2" t="inlineStr"/>
    </row>
    <row r="369" ht="15" customHeight="1">
      <c r="A369" t="inlineStr">
        <is>
          <t>A 24427-2022</t>
        </is>
      </c>
      <c r="B369" s="1" t="n">
        <v>44726</v>
      </c>
      <c r="C369" s="1" t="n">
        <v>45989</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40801-2024</t>
        </is>
      </c>
      <c r="B370" s="1" t="n">
        <v>45558.52905092593</v>
      </c>
      <c r="C370" s="1" t="n">
        <v>45989</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29591-2024</t>
        </is>
      </c>
      <c r="B371" s="1" t="n">
        <v>45484.58222222222</v>
      </c>
      <c r="C371" s="1" t="n">
        <v>45989</v>
      </c>
      <c r="D371" t="inlineStr">
        <is>
          <t>DALARNAS LÄN</t>
        </is>
      </c>
      <c r="E371" t="inlineStr">
        <is>
          <t>HEDEMORA</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53588-2023</t>
        </is>
      </c>
      <c r="B372" s="1" t="n">
        <v>45230.53109953704</v>
      </c>
      <c r="C372" s="1" t="n">
        <v>45989</v>
      </c>
      <c r="D372" t="inlineStr">
        <is>
          <t>DALARNAS LÄN</t>
        </is>
      </c>
      <c r="E372" t="inlineStr">
        <is>
          <t>HEDEMORA</t>
        </is>
      </c>
      <c r="G372" t="n">
        <v>0.6</v>
      </c>
      <c r="H372" t="n">
        <v>0</v>
      </c>
      <c r="I372" t="n">
        <v>0</v>
      </c>
      <c r="J372" t="n">
        <v>0</v>
      </c>
      <c r="K372" t="n">
        <v>0</v>
      </c>
      <c r="L372" t="n">
        <v>0</v>
      </c>
      <c r="M372" t="n">
        <v>0</v>
      </c>
      <c r="N372" t="n">
        <v>0</v>
      </c>
      <c r="O372" t="n">
        <v>0</v>
      </c>
      <c r="P372" t="n">
        <v>0</v>
      </c>
      <c r="Q372" t="n">
        <v>0</v>
      </c>
      <c r="R372" s="2" t="inlineStr"/>
    </row>
    <row r="373" ht="15" customHeight="1">
      <c r="A373" t="inlineStr">
        <is>
          <t>A 60808-2024</t>
        </is>
      </c>
      <c r="B373" s="1" t="n">
        <v>45644.61251157407</v>
      </c>
      <c r="C373" s="1" t="n">
        <v>45989</v>
      </c>
      <c r="D373" t="inlineStr">
        <is>
          <t>DALARNAS LÄN</t>
        </is>
      </c>
      <c r="E373" t="inlineStr">
        <is>
          <t>HEDEMORA</t>
        </is>
      </c>
      <c r="G373" t="n">
        <v>6</v>
      </c>
      <c r="H373" t="n">
        <v>0</v>
      </c>
      <c r="I373" t="n">
        <v>0</v>
      </c>
      <c r="J373" t="n">
        <v>0</v>
      </c>
      <c r="K373" t="n">
        <v>0</v>
      </c>
      <c r="L373" t="n">
        <v>0</v>
      </c>
      <c r="M373" t="n">
        <v>0</v>
      </c>
      <c r="N373" t="n">
        <v>0</v>
      </c>
      <c r="O373" t="n">
        <v>0</v>
      </c>
      <c r="P373" t="n">
        <v>0</v>
      </c>
      <c r="Q373" t="n">
        <v>0</v>
      </c>
      <c r="R373" s="2" t="inlineStr"/>
    </row>
    <row r="374" ht="15" customHeight="1">
      <c r="A374" t="inlineStr">
        <is>
          <t>A 55832-2024</t>
        </is>
      </c>
      <c r="B374" s="1" t="n">
        <v>45623.48604166666</v>
      </c>
      <c r="C374" s="1" t="n">
        <v>45989</v>
      </c>
      <c r="D374" t="inlineStr">
        <is>
          <t>DALARNAS LÄN</t>
        </is>
      </c>
      <c r="E374" t="inlineStr">
        <is>
          <t>HEDEMORA</t>
        </is>
      </c>
      <c r="G374" t="n">
        <v>3</v>
      </c>
      <c r="H374" t="n">
        <v>0</v>
      </c>
      <c r="I374" t="n">
        <v>0</v>
      </c>
      <c r="J374" t="n">
        <v>0</v>
      </c>
      <c r="K374" t="n">
        <v>0</v>
      </c>
      <c r="L374" t="n">
        <v>0</v>
      </c>
      <c r="M374" t="n">
        <v>0</v>
      </c>
      <c r="N374" t="n">
        <v>0</v>
      </c>
      <c r="O374" t="n">
        <v>0</v>
      </c>
      <c r="P374" t="n">
        <v>0</v>
      </c>
      <c r="Q374" t="n">
        <v>0</v>
      </c>
      <c r="R374" s="2" t="inlineStr"/>
    </row>
    <row r="375" ht="15" customHeight="1">
      <c r="A375" t="inlineStr">
        <is>
          <t>A 52945-2024</t>
        </is>
      </c>
      <c r="B375" s="1" t="n">
        <v>45610.82664351852</v>
      </c>
      <c r="C375" s="1" t="n">
        <v>45989</v>
      </c>
      <c r="D375" t="inlineStr">
        <is>
          <t>DALARNAS LÄN</t>
        </is>
      </c>
      <c r="E375" t="inlineStr">
        <is>
          <t>HEDEMORA</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20670-2024</t>
        </is>
      </c>
      <c r="B376" s="1" t="n">
        <v>45436</v>
      </c>
      <c r="C376" s="1" t="n">
        <v>45989</v>
      </c>
      <c r="D376" t="inlineStr">
        <is>
          <t>DALARNAS LÄN</t>
        </is>
      </c>
      <c r="E376" t="inlineStr">
        <is>
          <t>HEDEMORA</t>
        </is>
      </c>
      <c r="G376" t="n">
        <v>2.7</v>
      </c>
      <c r="H376" t="n">
        <v>0</v>
      </c>
      <c r="I376" t="n">
        <v>0</v>
      </c>
      <c r="J376" t="n">
        <v>0</v>
      </c>
      <c r="K376" t="n">
        <v>0</v>
      </c>
      <c r="L376" t="n">
        <v>0</v>
      </c>
      <c r="M376" t="n">
        <v>0</v>
      </c>
      <c r="N376" t="n">
        <v>0</v>
      </c>
      <c r="O376" t="n">
        <v>0</v>
      </c>
      <c r="P376" t="n">
        <v>0</v>
      </c>
      <c r="Q376" t="n">
        <v>0</v>
      </c>
      <c r="R376" s="2" t="inlineStr"/>
    </row>
    <row r="377" ht="15" customHeight="1">
      <c r="A377" t="inlineStr">
        <is>
          <t>A 53922-2024</t>
        </is>
      </c>
      <c r="B377" s="1" t="n">
        <v>45615.78459490741</v>
      </c>
      <c r="C377" s="1" t="n">
        <v>45989</v>
      </c>
      <c r="D377" t="inlineStr">
        <is>
          <t>DALARNAS LÄN</t>
        </is>
      </c>
      <c r="E377" t="inlineStr">
        <is>
          <t>HEDEMORA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14949-2025</t>
        </is>
      </c>
      <c r="B378" s="1" t="n">
        <v>45743.5745949074</v>
      </c>
      <c r="C378" s="1" t="n">
        <v>45989</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20965-2025</t>
        </is>
      </c>
      <c r="B379" s="1" t="n">
        <v>45777.45135416667</v>
      </c>
      <c r="C379" s="1" t="n">
        <v>45989</v>
      </c>
      <c r="D379" t="inlineStr">
        <is>
          <t>DALARNAS LÄN</t>
        </is>
      </c>
      <c r="E379" t="inlineStr">
        <is>
          <t>HEDEMORA</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63941-2023</t>
        </is>
      </c>
      <c r="B380" s="1" t="n">
        <v>45278.61277777778</v>
      </c>
      <c r="C380" s="1" t="n">
        <v>45989</v>
      </c>
      <c r="D380" t="inlineStr">
        <is>
          <t>DALARNAS LÄN</t>
        </is>
      </c>
      <c r="E380" t="inlineStr">
        <is>
          <t>HEDEMORA</t>
        </is>
      </c>
      <c r="G380" t="n">
        <v>1.1</v>
      </c>
      <c r="H380" t="n">
        <v>0</v>
      </c>
      <c r="I380" t="n">
        <v>0</v>
      </c>
      <c r="J380" t="n">
        <v>0</v>
      </c>
      <c r="K380" t="n">
        <v>0</v>
      </c>
      <c r="L380" t="n">
        <v>0</v>
      </c>
      <c r="M380" t="n">
        <v>0</v>
      </c>
      <c r="N380" t="n">
        <v>0</v>
      </c>
      <c r="O380" t="n">
        <v>0</v>
      </c>
      <c r="P380" t="n">
        <v>0</v>
      </c>
      <c r="Q380" t="n">
        <v>0</v>
      </c>
      <c r="R380" s="2" t="inlineStr"/>
    </row>
    <row r="381" ht="15" customHeight="1">
      <c r="A381" t="inlineStr">
        <is>
          <t>A 43785-2023</t>
        </is>
      </c>
      <c r="B381" s="1" t="n">
        <v>45187</v>
      </c>
      <c r="C381" s="1" t="n">
        <v>45989</v>
      </c>
      <c r="D381" t="inlineStr">
        <is>
          <t>DALARNAS LÄN</t>
        </is>
      </c>
      <c r="E381" t="inlineStr">
        <is>
          <t>HEDEMORA</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6210-2024</t>
        </is>
      </c>
      <c r="B382" s="1" t="n">
        <v>45337</v>
      </c>
      <c r="C382" s="1" t="n">
        <v>45989</v>
      </c>
      <c r="D382" t="inlineStr">
        <is>
          <t>DALARNAS LÄN</t>
        </is>
      </c>
      <c r="E382" t="inlineStr">
        <is>
          <t>HEDEMORA</t>
        </is>
      </c>
      <c r="G382" t="n">
        <v>2.6</v>
      </c>
      <c r="H382" t="n">
        <v>0</v>
      </c>
      <c r="I382" t="n">
        <v>0</v>
      </c>
      <c r="J382" t="n">
        <v>0</v>
      </c>
      <c r="K382" t="n">
        <v>0</v>
      </c>
      <c r="L382" t="n">
        <v>0</v>
      </c>
      <c r="M382" t="n">
        <v>0</v>
      </c>
      <c r="N382" t="n">
        <v>0</v>
      </c>
      <c r="O382" t="n">
        <v>0</v>
      </c>
      <c r="P382" t="n">
        <v>0</v>
      </c>
      <c r="Q382" t="n">
        <v>0</v>
      </c>
      <c r="R382" s="2" t="inlineStr"/>
    </row>
    <row r="383" ht="15" customHeight="1">
      <c r="A383" t="inlineStr">
        <is>
          <t>A 30430-2023</t>
        </is>
      </c>
      <c r="B383" s="1" t="n">
        <v>45111.54344907407</v>
      </c>
      <c r="C383" s="1" t="n">
        <v>45989</v>
      </c>
      <c r="D383" t="inlineStr">
        <is>
          <t>DALARNAS LÄN</t>
        </is>
      </c>
      <c r="E383" t="inlineStr">
        <is>
          <t>HEDEMORA</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48380-2024</t>
        </is>
      </c>
      <c r="B384" s="1" t="n">
        <v>45590</v>
      </c>
      <c r="C384" s="1" t="n">
        <v>45989</v>
      </c>
      <c r="D384" t="inlineStr">
        <is>
          <t>DALARNAS LÄN</t>
        </is>
      </c>
      <c r="E384" t="inlineStr">
        <is>
          <t>HEDEMORA</t>
        </is>
      </c>
      <c r="G384" t="n">
        <v>1.5</v>
      </c>
      <c r="H384" t="n">
        <v>0</v>
      </c>
      <c r="I384" t="n">
        <v>0</v>
      </c>
      <c r="J384" t="n">
        <v>0</v>
      </c>
      <c r="K384" t="n">
        <v>0</v>
      </c>
      <c r="L384" t="n">
        <v>0</v>
      </c>
      <c r="M384" t="n">
        <v>0</v>
      </c>
      <c r="N384" t="n">
        <v>0</v>
      </c>
      <c r="O384" t="n">
        <v>0</v>
      </c>
      <c r="P384" t="n">
        <v>0</v>
      </c>
      <c r="Q384" t="n">
        <v>0</v>
      </c>
      <c r="R384" s="2" t="inlineStr"/>
    </row>
    <row r="385" ht="15" customHeight="1">
      <c r="A385" t="inlineStr">
        <is>
          <t>A 51256-2024</t>
        </is>
      </c>
      <c r="B385" s="1" t="n">
        <v>45603.68902777778</v>
      </c>
      <c r="C385" s="1" t="n">
        <v>45989</v>
      </c>
      <c r="D385" t="inlineStr">
        <is>
          <t>DALARNAS LÄN</t>
        </is>
      </c>
      <c r="E385" t="inlineStr">
        <is>
          <t>HEDEMORA</t>
        </is>
      </c>
      <c r="G385" t="n">
        <v>1.3</v>
      </c>
      <c r="H385" t="n">
        <v>0</v>
      </c>
      <c r="I385" t="n">
        <v>0</v>
      </c>
      <c r="J385" t="n">
        <v>0</v>
      </c>
      <c r="K385" t="n">
        <v>0</v>
      </c>
      <c r="L385" t="n">
        <v>0</v>
      </c>
      <c r="M385" t="n">
        <v>0</v>
      </c>
      <c r="N385" t="n">
        <v>0</v>
      </c>
      <c r="O385" t="n">
        <v>0</v>
      </c>
      <c r="P385" t="n">
        <v>0</v>
      </c>
      <c r="Q385" t="n">
        <v>0</v>
      </c>
      <c r="R385" s="2" t="inlineStr"/>
    </row>
    <row r="386" ht="15" customHeight="1">
      <c r="A386" t="inlineStr">
        <is>
          <t>A 19920-2025</t>
        </is>
      </c>
      <c r="B386" s="1" t="n">
        <v>45771</v>
      </c>
      <c r="C386" s="1" t="n">
        <v>45989</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row r="387">
      <c r="A387" t="inlineStr">
        <is>
          <t>A 25195-2024</t>
        </is>
      </c>
      <c r="B387" s="1" t="n">
        <v>45462</v>
      </c>
      <c r="C387" s="1" t="n">
        <v>45989</v>
      </c>
      <c r="D387" t="inlineStr">
        <is>
          <t>DALARNAS LÄN</t>
        </is>
      </c>
      <c r="E387" t="inlineStr">
        <is>
          <t>HEDEMORA</t>
        </is>
      </c>
      <c r="F387" t="inlineStr">
        <is>
          <t>Övriga statliga verk och myndigheter</t>
        </is>
      </c>
      <c r="G387" t="n">
        <v>3.3</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2025-11-28T10:20:17Z</dcterms:created>
  <dcterms:modified xmlns:dcterms="http://purl.org/dc/terms/" xmlns:xsi="http://www.w3.org/2001/XMLSchema-instance" xsi:type="dcterms:W3CDTF">2025-11-28T10:20:18Z</dcterms:modified>
</cp:coreProperties>
</file>