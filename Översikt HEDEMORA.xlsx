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46298</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46298</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46298</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46298</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46298</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A 34929-2024</t>
        </is>
      </c>
      <c r="B13" t="inlineStr">
        <is>
          <t>avverkningsanmälan</t>
        </is>
      </c>
      <c r="C13" t="inlineStr">
        <is>
          <t>Föryngringsavverkning</t>
        </is>
      </c>
      <c r="D13" s="1" t="n">
        <v>45527</v>
      </c>
      <c r="E13" s="1" t="n">
        <v>46298</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46298</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46298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46298</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46298</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46298</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46298</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46298</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46298</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46298</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46298</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46298</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46298</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46298</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46298</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46298</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46298</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46298</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46298</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46298</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46298</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46298</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46298</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46298</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46298</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46298</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46298</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46298</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46298</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46298</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46298</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46298</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48382-2025</t>
        </is>
      </c>
      <c r="B47" t="inlineStr">
        <is>
          <t>avverkningsanmälan</t>
        </is>
      </c>
      <c r="C47" t="inlineStr">
        <is>
          <t>Föryngringsavverkning</t>
        </is>
      </c>
      <c r="D47" s="1" t="n">
        <v>45933</v>
      </c>
      <c r="E47" s="1" t="n">
        <v>46298</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3152-2022</t>
        </is>
      </c>
      <c r="B48" t="inlineStr">
        <is>
          <t>avverkningsanmälan</t>
        </is>
      </c>
      <c r="C48" t="inlineStr">
        <is>
          <t>Föryngringsavverkning</t>
        </is>
      </c>
      <c r="D48" s="1" t="n">
        <v>44582</v>
      </c>
      <c r="E48" s="1" t="n">
        <v>46298</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46298</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46298</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32530-2026</t>
        </is>
      </c>
      <c r="B51" t="inlineStr">
        <is>
          <t>avverkningsanmälan</t>
        </is>
      </c>
      <c r="C51" t="inlineStr">
        <is>
          <t>Föryngringsavverkning</t>
        </is>
      </c>
      <c r="D51" s="1" t="n">
        <v>46239</v>
      </c>
      <c r="E51" s="1" t="n">
        <v>46298</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6556-2023</t>
        </is>
      </c>
      <c r="B52" t="inlineStr">
        <is>
          <t>avverkningsanmälan</t>
        </is>
      </c>
      <c r="C52" t="inlineStr">
        <is>
          <t>Avverkning för att bevara och utveckla /försöksver</t>
        </is>
      </c>
      <c r="D52" s="1" t="n">
        <v>44961</v>
      </c>
      <c r="E52" s="1" t="n">
        <v>46298</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46298</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46298</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2996-2023</t>
        </is>
      </c>
      <c r="B55" t="inlineStr">
        <is>
          <t>avverkningsanmälan</t>
        </is>
      </c>
      <c r="C55" t="inlineStr">
        <is>
          <t>Avverkning för annat ändamål</t>
        </is>
      </c>
      <c r="D55" s="1" t="n">
        <v>44945</v>
      </c>
      <c r="E55" s="1" t="n">
        <v>46298</v>
      </c>
      <c r="F55" t="inlineStr">
        <is>
          <t>DALARNAS LÄN</t>
        </is>
      </c>
      <c r="G55" t="inlineStr">
        <is>
          <t>HEDEMORA</t>
        </is>
      </c>
      <c r="I55" t="n">
        <v>2.1</v>
      </c>
      <c r="J55" t="n">
        <v>1</v>
      </c>
      <c r="K55" t="n">
        <v>0</v>
      </c>
      <c r="L55" t="n">
        <v>1</v>
      </c>
      <c r="M55" t="n">
        <v>0</v>
      </c>
      <c r="N55" t="n">
        <v>0</v>
      </c>
      <c r="O55" t="n">
        <v>0</v>
      </c>
      <c r="P55" t="n">
        <v>0</v>
      </c>
      <c r="Q55" t="n">
        <v>1</v>
      </c>
      <c r="R55" t="n">
        <v>0</v>
      </c>
      <c r="S55" t="n">
        <v>2</v>
      </c>
      <c r="T55" t="n">
        <v>2</v>
      </c>
      <c r="U55" t="n">
        <v>0</v>
      </c>
      <c r="V55" s="2" t="inlineStr">
        <is>
          <t>Vedtrappmossa
Blåsippa</t>
        </is>
      </c>
      <c r="W55">
        <f>HYPERLINK("https://klasma.github.io/Logging_2083/artfynd/A 2996-2023 artfynd.xlsx", "A 2996-2023")</f>
        <v/>
      </c>
      <c r="X55">
        <f>HYPERLINK("https://klasma.github.io/Logging_2083/kartor/A 2996-2023 karta.png", "A 2996-2023")</f>
        <v/>
      </c>
      <c r="Y55">
        <f>HYPERLINK("https://klasma.github.io/Logging_2083/kartor_geotiff/A 2996-2023 georefererad karta.tif", "A 2996-2023")</f>
        <v/>
      </c>
      <c r="AA55">
        <f>HYPERLINK("https://klasma.github.io/Logging_2083/klagomål/A 2996-2023 FSC-klagomål.docx", "A 2996-2023")</f>
        <v/>
      </c>
      <c r="AB55">
        <f>HYPERLINK("https://klasma.github.io/Logging_2083/klagomålsmail/A 2996-2023 FSC-klagomål mail.docx", "A 2996-2023")</f>
        <v/>
      </c>
      <c r="AC55">
        <f>HYPERLINK("https://klasma.github.io/Logging_2083/tillsyn/A 2996-2023 tillsynsbegäran.docx", "A 2996-2023")</f>
        <v/>
      </c>
      <c r="AD55">
        <f>HYPERLINK("https://klasma.github.io/Logging_2083/tillsynsmail/A 2996-2023 tillsynsbegäran mail.docx", "A 2996-2023")</f>
        <v/>
      </c>
    </row>
    <row r="56" ht="15" customHeight="1">
      <c r="A56" t="inlineStr">
        <is>
          <t>A 9549-2026</t>
        </is>
      </c>
      <c r="B56" t="inlineStr">
        <is>
          <t>avverkningsanmälan</t>
        </is>
      </c>
      <c r="C56" t="inlineStr">
        <is>
          <t>Föryngringsavverkning</t>
        </is>
      </c>
      <c r="D56" s="1" t="n">
        <v>46070</v>
      </c>
      <c r="E56" s="1" t="n">
        <v>46298</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54849-2022</t>
        </is>
      </c>
      <c r="B57" t="inlineStr">
        <is>
          <t>avverkningsanmälan</t>
        </is>
      </c>
      <c r="C57" t="inlineStr">
        <is>
          <t>Föryngringsavverkning</t>
        </is>
      </c>
      <c r="D57" s="1" t="n">
        <v>44883</v>
      </c>
      <c r="E57" s="1" t="n">
        <v>46298</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60017-2024</t>
        </is>
      </c>
      <c r="B58" t="inlineStr">
        <is>
          <t>avverkningsanmälan</t>
        </is>
      </c>
      <c r="C58" t="inlineStr">
        <is>
          <t>Avverkning för annat ändamål</t>
        </is>
      </c>
      <c r="D58" s="1" t="n">
        <v>45642</v>
      </c>
      <c r="E58" s="1" t="n">
        <v>46298</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34932-2024</t>
        </is>
      </c>
      <c r="B59" t="inlineStr">
        <is>
          <t>avverkningsanmälan</t>
        </is>
      </c>
      <c r="C59" t="inlineStr">
        <is>
          <t>Föryngringsavverkning</t>
        </is>
      </c>
      <c r="D59" s="1" t="n">
        <v>45527</v>
      </c>
      <c r="E59" s="1" t="n">
        <v>46298</v>
      </c>
      <c r="F59" t="inlineStr">
        <is>
          <t>DALARNAS LÄN</t>
        </is>
      </c>
      <c r="G59" t="inlineStr">
        <is>
          <t>HEDEMORA</t>
        </is>
      </c>
      <c r="H59" t="inlineStr">
        <is>
          <t>Sveaskog</t>
        </is>
      </c>
      <c r="I59" t="n">
        <v>2.4</v>
      </c>
      <c r="J59" t="n">
        <v>2</v>
      </c>
      <c r="K59" t="n">
        <v>0</v>
      </c>
      <c r="L59" t="n">
        <v>0</v>
      </c>
      <c r="M59" t="n">
        <v>0</v>
      </c>
      <c r="N59" t="n">
        <v>0</v>
      </c>
      <c r="O59" t="n">
        <v>0</v>
      </c>
      <c r="P59" t="n">
        <v>0</v>
      </c>
      <c r="Q59" t="n">
        <v>0</v>
      </c>
      <c r="R59" t="n">
        <v>0</v>
      </c>
      <c r="S59" t="n">
        <v>2</v>
      </c>
      <c r="T59" t="n">
        <v>12</v>
      </c>
      <c r="U59" t="n">
        <v>12</v>
      </c>
      <c r="V59" s="2" t="inlineStr">
        <is>
          <t>Fläcknycklar
Nattviol</t>
        </is>
      </c>
      <c r="W59">
        <f>HYPERLINK("https://klasma.github.io/Logging_2083/artfynd/A 34932-2024 artfynd.xlsx", "A 34932-2024")</f>
        <v/>
      </c>
      <c r="X59">
        <f>HYPERLINK("https://klasma.github.io/Logging_2083/kartor/A 34932-2024 karta.png", "A 34932-2024")</f>
        <v/>
      </c>
      <c r="Y59">
        <f>HYPERLINK("https://klasma.github.io/Logging_2083/kartor_geotiff/A 34932-2024 georefererad karta.tif", "A 34932-2024")</f>
        <v/>
      </c>
      <c r="AA59">
        <f>HYPERLINK("https://klasma.github.io/Logging_2083/klagomål/A 34932-2024 FSC-klagomål.docx", "A 34932-2024")</f>
        <v/>
      </c>
      <c r="AB59">
        <f>HYPERLINK("https://klasma.github.io/Logging_2083/klagomålsmail/A 34932-2024 FSC-klagomål mail.docx", "A 34932-2024")</f>
        <v/>
      </c>
      <c r="AC59">
        <f>HYPERLINK("https://klasma.github.io/Logging_2083/tillsyn/A 34932-2024 tillsynsbegäran.docx", "A 34932-2024")</f>
        <v/>
      </c>
      <c r="AD59">
        <f>HYPERLINK("https://klasma.github.io/Logging_2083/tillsynsmail/A 34932-2024 tillsynsbegäran mail.docx", "A 34932-2024")</f>
        <v/>
      </c>
    </row>
    <row r="60" ht="15" customHeight="1">
      <c r="A60" t="inlineStr">
        <is>
          <t>A 61136-2025</t>
        </is>
      </c>
      <c r="B60" t="inlineStr">
        <is>
          <t>avverkningsanmälan</t>
        </is>
      </c>
      <c r="C60" t="inlineStr">
        <is>
          <t>Föryngringsavverkning</t>
        </is>
      </c>
      <c r="D60" s="1" t="n">
        <v>46000</v>
      </c>
      <c r="E60" s="1" t="n">
        <v>46298</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21029-2026</t>
        </is>
      </c>
      <c r="B61" t="inlineStr">
        <is>
          <t>avverkningsanmälan</t>
        </is>
      </c>
      <c r="C61" t="inlineStr">
        <is>
          <t>Föryngringsavverkning</t>
        </is>
      </c>
      <c r="D61" s="1" t="n">
        <v>46146</v>
      </c>
      <c r="E61" s="1" t="n">
        <v>46298</v>
      </c>
      <c r="F61" t="inlineStr">
        <is>
          <t>DALARNAS LÄN</t>
        </is>
      </c>
      <c r="G61" t="inlineStr">
        <is>
          <t>HEDEMORA</t>
        </is>
      </c>
      <c r="H61" t="inlineStr">
        <is>
          <t>Sveaskog</t>
        </is>
      </c>
      <c r="I61" t="n">
        <v>25.7</v>
      </c>
      <c r="J61" t="n">
        <v>2</v>
      </c>
      <c r="K61" t="n">
        <v>0</v>
      </c>
      <c r="L61" t="n">
        <v>1</v>
      </c>
      <c r="M61" t="n">
        <v>0</v>
      </c>
      <c r="N61" t="n">
        <v>0</v>
      </c>
      <c r="O61" t="n">
        <v>0</v>
      </c>
      <c r="P61" t="n">
        <v>0</v>
      </c>
      <c r="Q61" t="n">
        <v>1</v>
      </c>
      <c r="R61" t="n">
        <v>0</v>
      </c>
      <c r="S61" t="n">
        <v>2</v>
      </c>
      <c r="T61" t="n">
        <v>2</v>
      </c>
      <c r="U61" t="n">
        <v>1</v>
      </c>
      <c r="V61" s="2" t="inlineStr">
        <is>
          <t>Nordfladdermus
Fläcknycklar</t>
        </is>
      </c>
      <c r="W61">
        <f>HYPERLINK("https://klasma.github.io/Logging_2083/artfynd/A 21029-2026 artfynd.xlsx", "A 21029-2026")</f>
        <v/>
      </c>
      <c r="X61">
        <f>HYPERLINK("https://klasma.github.io/Logging_2083/kartor/A 21029-2026 karta.png", "A 21029-2026")</f>
        <v/>
      </c>
      <c r="Y61">
        <f>HYPERLINK("https://klasma.github.io/Logging_2083/kartor_geotiff/A 21029-2026 georefererad karta.tif", "A 21029-2026")</f>
        <v/>
      </c>
      <c r="AA61">
        <f>HYPERLINK("https://klasma.github.io/Logging_2083/klagomål/A 21029-2026 FSC-klagomål.docx", "A 21029-2026")</f>
        <v/>
      </c>
      <c r="AB61">
        <f>HYPERLINK("https://klasma.github.io/Logging_2083/klagomålsmail/A 21029-2026 FSC-klagomål mail.docx", "A 21029-2026")</f>
        <v/>
      </c>
      <c r="AC61">
        <f>HYPERLINK("https://klasma.github.io/Logging_2083/tillsyn/A 21029-2026 tillsynsbegäran.docx", "A 21029-2026")</f>
        <v/>
      </c>
      <c r="AD61">
        <f>HYPERLINK("https://klasma.github.io/Logging_2083/tillsynsmail/A 21029-2026 tillsynsbegäran mail.docx", "A 21029-2026")</f>
        <v/>
      </c>
    </row>
    <row r="62" ht="15" customHeight="1">
      <c r="A62" t="inlineStr">
        <is>
          <t>A 41477-2023</t>
        </is>
      </c>
      <c r="B62" t="inlineStr">
        <is>
          <t>avverkningsanmälan</t>
        </is>
      </c>
      <c r="C62" t="inlineStr">
        <is>
          <t>Föryngringsavverkning</t>
        </is>
      </c>
      <c r="D62" s="1" t="n">
        <v>45171</v>
      </c>
      <c r="E62" s="1" t="n">
        <v>46298</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46298</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29128-2025</t>
        </is>
      </c>
      <c r="B64" t="inlineStr">
        <is>
          <t>avverkningsanmälan</t>
        </is>
      </c>
      <c r="C64" t="inlineStr">
        <is>
          <t>Föryngringsavverkning</t>
        </is>
      </c>
      <c r="D64" s="1" t="n">
        <v>45821</v>
      </c>
      <c r="E64" s="1" t="n">
        <v>46298</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29792-2025</t>
        </is>
      </c>
      <c r="B65" t="inlineStr">
        <is>
          <t>avverkningsanmälan</t>
        </is>
      </c>
      <c r="C65" t="inlineStr">
        <is>
          <t>Föryngringsavverkning</t>
        </is>
      </c>
      <c r="D65" s="1" t="n">
        <v>45825</v>
      </c>
      <c r="E65" s="1" t="n">
        <v>46298</v>
      </c>
      <c r="F65" t="inlineStr">
        <is>
          <t>DALARNAS LÄN</t>
        </is>
      </c>
      <c r="G65" t="inlineStr">
        <is>
          <t>HEDEMORA</t>
        </is>
      </c>
      <c r="H65" t="inlineStr">
        <is>
          <t>Sveaskog</t>
        </is>
      </c>
      <c r="I65" t="n">
        <v>26.3</v>
      </c>
      <c r="J65" t="n">
        <v>2</v>
      </c>
      <c r="K65" t="n">
        <v>0</v>
      </c>
      <c r="L65" t="n">
        <v>1</v>
      </c>
      <c r="M65" t="n">
        <v>0</v>
      </c>
      <c r="N65" t="n">
        <v>0</v>
      </c>
      <c r="O65" t="n">
        <v>0</v>
      </c>
      <c r="P65" t="n">
        <v>0</v>
      </c>
      <c r="Q65" t="n">
        <v>1</v>
      </c>
      <c r="R65" t="n">
        <v>0</v>
      </c>
      <c r="S65" t="n">
        <v>2</v>
      </c>
      <c r="T65" t="n">
        <v>2</v>
      </c>
      <c r="U65" t="n">
        <v>2</v>
      </c>
      <c r="V65" s="2" t="inlineStr">
        <is>
          <t>Entita
Tjäder</t>
        </is>
      </c>
      <c r="W65">
        <f>HYPERLINK("https://klasma.github.io/Logging_2083/artfynd/A 29792-2025 artfynd.xlsx", "A 29792-2025")</f>
        <v/>
      </c>
      <c r="X65">
        <f>HYPERLINK("https://klasma.github.io/Logging_2083/kartor/A 29792-2025 karta.png", "A 29792-2025")</f>
        <v/>
      </c>
      <c r="Y65">
        <f>HYPERLINK("https://klasma.github.io/Logging_2083/kartor_geotiff/A 29792-2025 georefererad karta.tif", "A 29792-2025")</f>
        <v/>
      </c>
      <c r="AA65">
        <f>HYPERLINK("https://klasma.github.io/Logging_2083/klagomål/A 29792-2025 FSC-klagomål.docx", "A 29792-2025")</f>
        <v/>
      </c>
      <c r="AB65">
        <f>HYPERLINK("https://klasma.github.io/Logging_2083/klagomålsmail/A 29792-2025 FSC-klagomål mail.docx", "A 29792-2025")</f>
        <v/>
      </c>
      <c r="AC65">
        <f>HYPERLINK("https://klasma.github.io/Logging_2083/tillsyn/A 29792-2025 tillsynsbegäran.docx", "A 29792-2025")</f>
        <v/>
      </c>
      <c r="AD65">
        <f>HYPERLINK("https://klasma.github.io/Logging_2083/tillsynsmail/A 29792-2025 tillsynsbegäran mail.docx", "A 29792-2025")</f>
        <v/>
      </c>
      <c r="AE65">
        <f>HYPERLINK("https://klasma.github.io/Logging_2083/fåglar/A 29792-2025 prioriterade fågelarter.docx", "A 29792-2025")</f>
        <v/>
      </c>
    </row>
    <row r="66" ht="15" customHeight="1">
      <c r="A66" t="inlineStr">
        <is>
          <t>A 25338-2026</t>
        </is>
      </c>
      <c r="B66" t="inlineStr">
        <is>
          <t>avverkningsanmälan</t>
        </is>
      </c>
      <c r="C66" t="inlineStr">
        <is>
          <t>Föryngringsavverkning</t>
        </is>
      </c>
      <c r="D66" s="1" t="n">
        <v>46176</v>
      </c>
      <c r="E66" s="1" t="n">
        <v>46298</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46298</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46298</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46298</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46298</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46298</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46298</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46298</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46298</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46298</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46298</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46298</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46298</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46298</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46298</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46298</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46298</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13986-2023</t>
        </is>
      </c>
      <c r="B83" t="inlineStr">
        <is>
          <t>avverkningsanmälan</t>
        </is>
      </c>
      <c r="C83" t="inlineStr">
        <is>
          <t>Föryngringsavverkning</t>
        </is>
      </c>
      <c r="D83" s="1" t="n">
        <v>45008</v>
      </c>
      <c r="E83" s="1" t="n">
        <v>46298</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21514-2024</t>
        </is>
      </c>
      <c r="B84" t="inlineStr">
        <is>
          <t>avverkningsanmälan</t>
        </is>
      </c>
      <c r="C84" t="inlineStr">
        <is>
          <t>Föryngringsavverkning</t>
        </is>
      </c>
      <c r="D84" s="1" t="n">
        <v>45441</v>
      </c>
      <c r="E84" s="1" t="n">
        <v>46298</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7719-2026</t>
        </is>
      </c>
      <c r="B85" t="inlineStr">
        <is>
          <t>avverkningsanmälan</t>
        </is>
      </c>
      <c r="C85" t="inlineStr">
        <is>
          <t>Föryngringsavverkning</t>
        </is>
      </c>
      <c r="D85" s="1" t="n">
        <v>46062</v>
      </c>
      <c r="E85" s="1" t="n">
        <v>46298</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33968-2025</t>
        </is>
      </c>
      <c r="B86" t="inlineStr">
        <is>
          <t>avverkningsanmälan</t>
        </is>
      </c>
      <c r="C86" t="inlineStr">
        <is>
          <t>Föryngringsavverkning</t>
        </is>
      </c>
      <c r="D86" s="1" t="n">
        <v>45842</v>
      </c>
      <c r="E86" s="1" t="n">
        <v>46298</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28183-2025</t>
        </is>
      </c>
      <c r="B87" t="inlineStr">
        <is>
          <t>avverkningsanmälan</t>
        </is>
      </c>
      <c r="C87" t="inlineStr">
        <is>
          <t>Föryngringsavverkning</t>
        </is>
      </c>
      <c r="D87" s="1" t="n">
        <v>45818</v>
      </c>
      <c r="E87" s="1" t="n">
        <v>46298</v>
      </c>
      <c r="F87" t="inlineStr">
        <is>
          <t>DALARNAS LÄN</t>
        </is>
      </c>
      <c r="G87" t="inlineStr">
        <is>
          <t>HEDEMORA</t>
        </is>
      </c>
      <c r="H87" t="inlineStr">
        <is>
          <t>Sveaskog</t>
        </is>
      </c>
      <c r="I87" t="n">
        <v>2.7</v>
      </c>
      <c r="J87" t="n">
        <v>1</v>
      </c>
      <c r="K87" t="n">
        <v>0</v>
      </c>
      <c r="L87" t="n">
        <v>1</v>
      </c>
      <c r="M87" t="n">
        <v>0</v>
      </c>
      <c r="N87" t="n">
        <v>0</v>
      </c>
      <c r="O87" t="n">
        <v>0</v>
      </c>
      <c r="P87" t="n">
        <v>0</v>
      </c>
      <c r="Q87" t="n">
        <v>1</v>
      </c>
      <c r="R87" t="n">
        <v>0</v>
      </c>
      <c r="S87" t="n">
        <v>1</v>
      </c>
      <c r="T87" t="n">
        <v>1</v>
      </c>
      <c r="U87" t="n">
        <v>0</v>
      </c>
      <c r="V87" s="2" t="inlineStr">
        <is>
          <t>Brunlångöra</t>
        </is>
      </c>
      <c r="W87">
        <f>HYPERLINK("https://klasma.github.io/Logging_2083/artfynd/A 28183-2025 artfynd.xlsx", "A 28183-2025")</f>
        <v/>
      </c>
      <c r="X87">
        <f>HYPERLINK("https://klasma.github.io/Logging_2083/kartor/A 28183-2025 karta.png", "A 28183-2025")</f>
        <v/>
      </c>
      <c r="Y87">
        <f>HYPERLINK("https://klasma.github.io/Logging_2083/kartor_geotiff/A 28183-2025 georefererad karta.tif", "A 28183-2025")</f>
        <v/>
      </c>
      <c r="AA87">
        <f>HYPERLINK("https://klasma.github.io/Logging_2083/klagomål/A 28183-2025 FSC-klagomål.docx", "A 28183-2025")</f>
        <v/>
      </c>
      <c r="AB87">
        <f>HYPERLINK("https://klasma.github.io/Logging_2083/klagomålsmail/A 28183-2025 FSC-klagomål mail.docx", "A 28183-2025")</f>
        <v/>
      </c>
      <c r="AC87">
        <f>HYPERLINK("https://klasma.github.io/Logging_2083/tillsyn/A 28183-2025 tillsynsbegäran.docx", "A 28183-2025")</f>
        <v/>
      </c>
      <c r="AD87">
        <f>HYPERLINK("https://klasma.github.io/Logging_2083/tillsynsmail/A 28183-2025 tillsynsbegäran mail.docx", "A 28183-2025")</f>
        <v/>
      </c>
    </row>
    <row r="88" ht="15" customHeight="1">
      <c r="A88" t="inlineStr">
        <is>
          <t>A 28181-2025</t>
        </is>
      </c>
      <c r="B88" t="inlineStr">
        <is>
          <t>avverkningsanmälan</t>
        </is>
      </c>
      <c r="C88" t="inlineStr">
        <is>
          <t>Föryngringsavverkning</t>
        </is>
      </c>
      <c r="D88" s="1" t="n">
        <v>45818</v>
      </c>
      <c r="E88" s="1" t="n">
        <v>46298</v>
      </c>
      <c r="F88" t="inlineStr">
        <is>
          <t>DALARNAS LÄN</t>
        </is>
      </c>
      <c r="G88" t="inlineStr">
        <is>
          <t>HEDEMORA</t>
        </is>
      </c>
      <c r="H88" t="inlineStr">
        <is>
          <t>Sveaskog</t>
        </is>
      </c>
      <c r="I88" t="n">
        <v>2.4</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28181-2025 artfynd.xlsx", "A 28181-2025")</f>
        <v/>
      </c>
      <c r="X88">
        <f>HYPERLINK("https://klasma.github.io/Logging_2083/kartor/A 28181-2025 karta.png", "A 28181-2025")</f>
        <v/>
      </c>
      <c r="Y88">
        <f>HYPERLINK("https://klasma.github.io/Logging_2083/kartor_geotiff/A 28181-2025 georefererad karta.tif", "A 28181-2025")</f>
        <v/>
      </c>
      <c r="AA88">
        <f>HYPERLINK("https://klasma.github.io/Logging_2083/klagomål/A 28181-2025 FSC-klagomål.docx", "A 28181-2025")</f>
        <v/>
      </c>
      <c r="AB88">
        <f>HYPERLINK("https://klasma.github.io/Logging_2083/klagomålsmail/A 28181-2025 FSC-klagomål mail.docx", "A 28181-2025")</f>
        <v/>
      </c>
      <c r="AC88">
        <f>HYPERLINK("https://klasma.github.io/Logging_2083/tillsyn/A 28181-2025 tillsynsbegäran.docx", "A 28181-2025")</f>
        <v/>
      </c>
      <c r="AD88">
        <f>HYPERLINK("https://klasma.github.io/Logging_2083/tillsynsmail/A 28181-2025 tillsynsbegäran mail.docx", "A 28181-2025")</f>
        <v/>
      </c>
    </row>
    <row r="89" ht="15" customHeight="1">
      <c r="A89" t="inlineStr">
        <is>
          <t>A 15054-2025</t>
        </is>
      </c>
      <c r="B89" t="inlineStr">
        <is>
          <t>avverkningsanmälan</t>
        </is>
      </c>
      <c r="C89" t="inlineStr">
        <is>
          <t>Föryngringsavverkning</t>
        </is>
      </c>
      <c r="D89" s="1" t="n">
        <v>45743</v>
      </c>
      <c r="E89" s="1" t="n">
        <v>46298</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15058-2025</t>
        </is>
      </c>
      <c r="B90" t="inlineStr">
        <is>
          <t>avverkningsanmälan</t>
        </is>
      </c>
      <c r="C90" t="inlineStr">
        <is>
          <t>Föryngringsavverkning</t>
        </is>
      </c>
      <c r="D90" s="1" t="n">
        <v>45743</v>
      </c>
      <c r="E90" s="1" t="n">
        <v>46298</v>
      </c>
      <c r="F90" t="inlineStr">
        <is>
          <t>DALARNAS LÄN</t>
        </is>
      </c>
      <c r="G90" t="inlineStr">
        <is>
          <t>HEDEMORA</t>
        </is>
      </c>
      <c r="H90" t="inlineStr">
        <is>
          <t>Sveaskog</t>
        </is>
      </c>
      <c r="I90" t="n">
        <v>4.2</v>
      </c>
      <c r="J90" t="n">
        <v>0</v>
      </c>
      <c r="K90" t="n">
        <v>0</v>
      </c>
      <c r="L90" t="n">
        <v>1</v>
      </c>
      <c r="M90" t="n">
        <v>0</v>
      </c>
      <c r="N90" t="n">
        <v>0</v>
      </c>
      <c r="O90" t="n">
        <v>0</v>
      </c>
      <c r="P90" t="n">
        <v>0</v>
      </c>
      <c r="Q90" t="n">
        <v>1</v>
      </c>
      <c r="R90" t="n">
        <v>0</v>
      </c>
      <c r="S90" t="n">
        <v>1</v>
      </c>
      <c r="T90" t="n">
        <v>4</v>
      </c>
      <c r="U90" t="n">
        <v>1</v>
      </c>
      <c r="V90" s="2" t="inlineStr">
        <is>
          <t>Dropptaggsvamp</t>
        </is>
      </c>
      <c r="W90">
        <f>HYPERLINK("https://klasma.github.io/Logging_2083/artfynd/A 15058-2025 artfynd.xlsx", "A 15058-2025")</f>
        <v/>
      </c>
      <c r="X90">
        <f>HYPERLINK("https://klasma.github.io/Logging_2083/kartor/A 15058-2025 karta.png", "A 15058-2025")</f>
        <v/>
      </c>
      <c r="Y90">
        <f>HYPERLINK("https://klasma.github.io/Logging_2083/kartor_geotiff/A 15058-2025 georefererad karta.tif", "A 15058-2025")</f>
        <v/>
      </c>
      <c r="AA90">
        <f>HYPERLINK("https://klasma.github.io/Logging_2083/klagomål/A 15058-2025 FSC-klagomål.docx", "A 15058-2025")</f>
        <v/>
      </c>
      <c r="AB90">
        <f>HYPERLINK("https://klasma.github.io/Logging_2083/klagomålsmail/A 15058-2025 FSC-klagomål mail.docx", "A 15058-2025")</f>
        <v/>
      </c>
      <c r="AC90">
        <f>HYPERLINK("https://klasma.github.io/Logging_2083/tillsyn/A 15058-2025 tillsynsbegäran.docx", "A 15058-2025")</f>
        <v/>
      </c>
      <c r="AD90">
        <f>HYPERLINK("https://klasma.github.io/Logging_2083/tillsynsmail/A 15058-2025 tillsynsbegäran mail.docx", "A 15058-2025")</f>
        <v/>
      </c>
    </row>
    <row r="91" ht="15" customHeight="1">
      <c r="A91" t="inlineStr">
        <is>
          <t>A 19094-2025</t>
        </is>
      </c>
      <c r="B91" t="inlineStr">
        <is>
          <t>avverkningsanmälan</t>
        </is>
      </c>
      <c r="C91" t="inlineStr">
        <is>
          <t>Föryngringsavverkning</t>
        </is>
      </c>
      <c r="D91" s="1" t="n">
        <v>45767</v>
      </c>
      <c r="E91" s="1" t="n">
        <v>46298</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15274-2026</t>
        </is>
      </c>
      <c r="B92" t="inlineStr">
        <is>
          <t>avverkningsanmälan</t>
        </is>
      </c>
      <c r="C92" t="inlineStr">
        <is>
          <t>Föryngringsavverkning</t>
        </is>
      </c>
      <c r="D92" s="1" t="n">
        <v>46105</v>
      </c>
      <c r="E92" s="1" t="n">
        <v>46298</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23642-2026</t>
        </is>
      </c>
      <c r="B93" t="inlineStr">
        <is>
          <t>avverkningsanmälan</t>
        </is>
      </c>
      <c r="C93" t="inlineStr">
        <is>
          <t>Föryngringsavverkning</t>
        </is>
      </c>
      <c r="D93" s="1" t="n">
        <v>46164</v>
      </c>
      <c r="E93" s="1" t="n">
        <v>46298</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48381-2025</t>
        </is>
      </c>
      <c r="B94" t="inlineStr">
        <is>
          <t>avverkningsanmälan</t>
        </is>
      </c>
      <c r="C94" t="inlineStr">
        <is>
          <t>Föryngringsavverkning</t>
        </is>
      </c>
      <c r="D94" s="1" t="n">
        <v>45933</v>
      </c>
      <c r="E94" s="1" t="n">
        <v>46298</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25422-2026</t>
        </is>
      </c>
      <c r="B95" t="inlineStr">
        <is>
          <t>avverkningsanmälan</t>
        </is>
      </c>
      <c r="C95" t="inlineStr">
        <is>
          <t>Föryngringsavverkning</t>
        </is>
      </c>
      <c r="D95" s="1" t="n">
        <v>46177</v>
      </c>
      <c r="E95" s="1" t="n">
        <v>46298</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63542-2023</t>
        </is>
      </c>
      <c r="B96" t="inlineStr">
        <is>
          <t>avverkningsanmälan</t>
        </is>
      </c>
      <c r="C96" t="inlineStr">
        <is>
          <t>Föryngringsavverkning</t>
        </is>
      </c>
      <c r="D96" s="1" t="n">
        <v>45275</v>
      </c>
      <c r="E96" s="1" t="n">
        <v>46298</v>
      </c>
      <c r="F96" t="inlineStr">
        <is>
          <t>DALARNAS LÄN</t>
        </is>
      </c>
      <c r="G96" t="inlineStr">
        <is>
          <t>HEDEMORA</t>
        </is>
      </c>
      <c r="I96" t="n">
        <v>2.1</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HYPERLINK("https://klasma.github.io/Logging_2083/artfynd/A 63542-2023 artfynd.xlsx", "A 63542-2023")</f>
        <v/>
      </c>
      <c r="X96">
        <f>HYPERLINK("https://klasma.github.io/Logging_2083/kartor/A 63542-2023 karta.png", "A 63542-2023")</f>
        <v/>
      </c>
      <c r="Y96">
        <f>HYPERLINK("https://klasma.github.io/Logging_2083/kartor_geotiff/A 63542-2023 georefererad karta.tif", "A 63542-2023")</f>
        <v/>
      </c>
      <c r="AA96">
        <f>HYPERLINK("https://klasma.github.io/Logging_2083/klagomål/A 63542-2023 FSC-klagomål.docx", "A 63542-2023")</f>
        <v/>
      </c>
      <c r="AB96">
        <f>HYPERLINK("https://klasma.github.io/Logging_2083/klagomålsmail/A 63542-2023 FSC-klagomål mail.docx", "A 63542-2023")</f>
        <v/>
      </c>
      <c r="AC96">
        <f>HYPERLINK("https://klasma.github.io/Logging_2083/tillsyn/A 63542-2023 tillsynsbegäran.docx", "A 63542-2023")</f>
        <v/>
      </c>
      <c r="AD96">
        <f>HYPERLINK("https://klasma.github.io/Logging_2083/tillsynsmail/A 63542-2023 tillsynsbegäran mail.docx", "A 63542-2023")</f>
        <v/>
      </c>
      <c r="AE96">
        <f>HYPERLINK("https://klasma.github.io/Logging_2083/fåglar/A 63542-2023 prioriterade fågelarter.docx", "A 63542-2023")</f>
        <v/>
      </c>
    </row>
    <row r="97" ht="15" customHeight="1">
      <c r="A97" t="inlineStr">
        <is>
          <t>A 52941-2024</t>
        </is>
      </c>
      <c r="B97" t="inlineStr">
        <is>
          <t>avverkningsanmälan</t>
        </is>
      </c>
      <c r="C97" t="inlineStr">
        <is>
          <t>Föryngringsavverkning</t>
        </is>
      </c>
      <c r="D97" s="1" t="n">
        <v>45610</v>
      </c>
      <c r="E97" s="1" t="n">
        <v>46298</v>
      </c>
      <c r="F97" t="inlineStr">
        <is>
          <t>DALARNAS LÄN</t>
        </is>
      </c>
      <c r="G97" t="inlineStr">
        <is>
          <t>HEDEMORA</t>
        </is>
      </c>
      <c r="H97" t="inlineStr">
        <is>
          <t>Sveaskog</t>
        </is>
      </c>
      <c r="I97" t="n">
        <v>18.3</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HYPERLINK("https://klasma.github.io/Logging_2083/artfynd/A 52941-2024 artfynd.xlsx", "A 52941-2024")</f>
        <v/>
      </c>
      <c r="X97">
        <f>HYPERLINK("https://klasma.github.io/Logging_2083/kartor/A 52941-2024 karta.png", "A 52941-2024")</f>
        <v/>
      </c>
      <c r="Y97">
        <f>HYPERLINK("https://klasma.github.io/Logging_2083/kartor_geotiff/A 52941-2024 georefererad karta.tif", "A 52941-2024")</f>
        <v/>
      </c>
      <c r="Z97">
        <f>HYPERLINK("https://klasma.github.io/Logging_2083/knärot/A 52941-2024 karta knärot.png", "A 52941-2024")</f>
        <v/>
      </c>
      <c r="AA97">
        <f>HYPERLINK("https://klasma.github.io/Logging_2083/klagomål/A 52941-2024 FSC-klagomål.docx", "A 52941-2024")</f>
        <v/>
      </c>
      <c r="AB97">
        <f>HYPERLINK("https://klasma.github.io/Logging_2083/klagomålsmail/A 52941-2024 FSC-klagomål mail.docx", "A 52941-2024")</f>
        <v/>
      </c>
      <c r="AC97">
        <f>HYPERLINK("https://klasma.github.io/Logging_2083/tillsyn/A 52941-2024 tillsynsbegäran.docx", "A 52941-2024")</f>
        <v/>
      </c>
      <c r="AD97">
        <f>HYPERLINK("https://klasma.github.io/Logging_2083/tillsynsmail/A 52941-2024 tillsynsbegäran mail.docx", "A 52941-2024")</f>
        <v/>
      </c>
    </row>
    <row r="98" ht="15" customHeight="1">
      <c r="A98" t="inlineStr">
        <is>
          <t>A 29640-2026</t>
        </is>
      </c>
      <c r="B98" t="inlineStr">
        <is>
          <t>avverkningsanmälan</t>
        </is>
      </c>
      <c r="C98" t="inlineStr">
        <is>
          <t>Föryngringsavverkning</t>
        </is>
      </c>
      <c r="D98" s="1" t="n">
        <v>46204</v>
      </c>
      <c r="E98" s="1" t="n">
        <v>46298</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46298</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46298</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35964-2026</t>
        </is>
      </c>
      <c r="B101" t="inlineStr">
        <is>
          <t>avverkningsanmälan</t>
        </is>
      </c>
      <c r="C101" t="inlineStr">
        <is>
          <t>Föryngringsavverkning</t>
        </is>
      </c>
      <c r="D101" s="1" t="n">
        <v>46266</v>
      </c>
      <c r="E101" s="1" t="n">
        <v>46298</v>
      </c>
      <c r="F101" t="inlineStr">
        <is>
          <t>DALARNAS LÄN</t>
        </is>
      </c>
      <c r="G101" t="inlineStr">
        <is>
          <t>HEDEMORA</t>
        </is>
      </c>
      <c r="H101" t="inlineStr">
        <is>
          <t>Sveaskog</t>
        </is>
      </c>
      <c r="I101" t="n">
        <v>1.6</v>
      </c>
      <c r="J101" t="n">
        <v>0</v>
      </c>
      <c r="K101" t="n">
        <v>0</v>
      </c>
      <c r="L101" t="n">
        <v>0</v>
      </c>
      <c r="M101" t="n">
        <v>0</v>
      </c>
      <c r="N101" t="n">
        <v>0</v>
      </c>
      <c r="O101" t="n">
        <v>0</v>
      </c>
      <c r="P101" t="n">
        <v>0</v>
      </c>
      <c r="Q101" t="n">
        <v>0</v>
      </c>
      <c r="R101" t="n">
        <v>0</v>
      </c>
      <c r="S101" t="n">
        <v>1</v>
      </c>
      <c r="T101" t="n">
        <v>1</v>
      </c>
      <c r="U101" t="n">
        <v>1</v>
      </c>
      <c r="V101" s="2" t="inlineStr">
        <is>
          <t>Kransmossa</t>
        </is>
      </c>
      <c r="W101">
        <f>HYPERLINK("https://klasma.github.io/Logging_2083/artfynd/A 35964-2026 artfynd.xlsx", "A 35964-2026")</f>
        <v/>
      </c>
      <c r="X101">
        <f>HYPERLINK("https://klasma.github.io/Logging_2083/kartor/A 35964-2026 karta.png", "A 35964-2026")</f>
        <v/>
      </c>
      <c r="Y101">
        <f>HYPERLINK("https://klasma.github.io/Logging_2083/kartor_geotiff/A 35964-2026 georefererad karta.tif", "A 35964-2026")</f>
        <v/>
      </c>
      <c r="AA101">
        <f>HYPERLINK("https://klasma.github.io/Logging_2083/klagomål/A 35964-2026 FSC-klagomål.docx", "A 35964-2026")</f>
        <v/>
      </c>
      <c r="AB101">
        <f>HYPERLINK("https://klasma.github.io/Logging_2083/klagomålsmail/A 35964-2026 FSC-klagomål mail.docx", "A 35964-2026")</f>
        <v/>
      </c>
      <c r="AC101">
        <f>HYPERLINK("https://klasma.github.io/Logging_2083/tillsyn/A 35964-2026 tillsynsbegäran.docx", "A 35964-2026")</f>
        <v/>
      </c>
      <c r="AD101">
        <f>HYPERLINK("https://klasma.github.io/Logging_2083/tillsynsmail/A 35964-2026 tillsynsbegäran mail.docx", "A 35964-2026")</f>
        <v/>
      </c>
    </row>
    <row r="102" ht="15" customHeight="1">
      <c r="A102" t="inlineStr">
        <is>
          <t>A 18572-2025</t>
        </is>
      </c>
      <c r="B102" t="inlineStr">
        <is>
          <t>avverkningsanmälan</t>
        </is>
      </c>
      <c r="C102" t="inlineStr">
        <is>
          <t>Avverkning för annat ändamål</t>
        </is>
      </c>
      <c r="D102" s="1" t="n">
        <v>45763</v>
      </c>
      <c r="E102" s="1" t="n">
        <v>46298</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62046-2022</t>
        </is>
      </c>
      <c r="B103" t="inlineStr">
        <is>
          <t>avverkningsanmälan</t>
        </is>
      </c>
      <c r="C103" t="inlineStr">
        <is>
          <t>Föryngringsavverkning</t>
        </is>
      </c>
      <c r="D103" s="1" t="n">
        <v>44918</v>
      </c>
      <c r="E103" s="1" t="n">
        <v>46298</v>
      </c>
      <c r="F103" t="inlineStr">
        <is>
          <t>DALARNAS LÄN</t>
        </is>
      </c>
      <c r="G103" t="inlineStr">
        <is>
          <t>HEDEMORA</t>
        </is>
      </c>
      <c r="I103" t="n">
        <v>1.2</v>
      </c>
      <c r="J103" t="n">
        <v>0</v>
      </c>
      <c r="K103" t="n">
        <v>0</v>
      </c>
      <c r="L103" t="n">
        <v>1</v>
      </c>
      <c r="M103" t="n">
        <v>0</v>
      </c>
      <c r="N103" t="n">
        <v>0</v>
      </c>
      <c r="O103" t="n">
        <v>0</v>
      </c>
      <c r="P103" t="n">
        <v>0</v>
      </c>
      <c r="Q103" t="n">
        <v>1</v>
      </c>
      <c r="R103" t="n">
        <v>0</v>
      </c>
      <c r="S103" t="n">
        <v>1</v>
      </c>
      <c r="T103" t="n">
        <v>2</v>
      </c>
      <c r="U103" t="n">
        <v>2</v>
      </c>
      <c r="V103" s="2" t="inlineStr">
        <is>
          <t>Vårärt</t>
        </is>
      </c>
      <c r="W103">
        <f>HYPERLINK("https://klasma.github.io/Logging_2083/artfynd/A 62046-2022 artfynd.xlsx", "A 62046-2022")</f>
        <v/>
      </c>
      <c r="X103">
        <f>HYPERLINK("https://klasma.github.io/Logging_2083/kartor/A 62046-2022 karta.png", "A 62046-2022")</f>
        <v/>
      </c>
      <c r="Y103">
        <f>HYPERLINK("https://klasma.github.io/Logging_2083/kartor_geotiff/A 62046-2022 georefererad karta.tif", "A 62046-2022")</f>
        <v/>
      </c>
      <c r="AA103">
        <f>HYPERLINK("https://klasma.github.io/Logging_2083/klagomål/A 62046-2022 FSC-klagomål.docx", "A 62046-2022")</f>
        <v/>
      </c>
      <c r="AB103">
        <f>HYPERLINK("https://klasma.github.io/Logging_2083/klagomålsmail/A 62046-2022 FSC-klagomål mail.docx", "A 62046-2022")</f>
        <v/>
      </c>
      <c r="AC103">
        <f>HYPERLINK("https://klasma.github.io/Logging_2083/tillsyn/A 62046-2022 tillsynsbegäran.docx", "A 62046-2022")</f>
        <v/>
      </c>
      <c r="AD103">
        <f>HYPERLINK("https://klasma.github.io/Logging_2083/tillsynsmail/A 62046-2022 tillsynsbegäran mail.docx", "A 62046-2022")</f>
        <v/>
      </c>
    </row>
    <row r="104" ht="15" customHeight="1">
      <c r="A104" t="inlineStr">
        <is>
          <t>A 53031-2023</t>
        </is>
      </c>
      <c r="B104" t="inlineStr">
        <is>
          <t>avverkningsanmälan</t>
        </is>
      </c>
      <c r="C104" t="inlineStr">
        <is>
          <t>Föryngringsavverkning</t>
        </is>
      </c>
      <c r="D104" s="1" t="n">
        <v>45226</v>
      </c>
      <c r="E104" s="1" t="n">
        <v>46298</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53924-2024</t>
        </is>
      </c>
      <c r="B105" t="inlineStr">
        <is>
          <t>avverkningsanmälan</t>
        </is>
      </c>
      <c r="C105" t="inlineStr">
        <is>
          <t>Föryngringsavverkning</t>
        </is>
      </c>
      <c r="D105" s="1" t="n">
        <v>45615</v>
      </c>
      <c r="E105" s="1" t="n">
        <v>46298</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17645-2022</t>
        </is>
      </c>
      <c r="B106" t="inlineStr">
        <is>
          <t>avverkningsanmälan</t>
        </is>
      </c>
      <c r="C106" t="inlineStr">
        <is>
          <t>Föryngringsavverkning</t>
        </is>
      </c>
      <c r="D106" s="1" t="n">
        <v>44680</v>
      </c>
      <c r="E106" s="1" t="n">
        <v>46298</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2</v>
      </c>
      <c r="U106" t="n">
        <v>2</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17590-2025</t>
        </is>
      </c>
      <c r="B107" t="inlineStr">
        <is>
          <t>avverkningsanmälan</t>
        </is>
      </c>
      <c r="C107" t="inlineStr">
        <is>
          <t>Föryngringsavverkning</t>
        </is>
      </c>
      <c r="D107" s="1" t="n">
        <v>45757</v>
      </c>
      <c r="E107" s="1" t="n">
        <v>46298</v>
      </c>
      <c r="F107" t="inlineStr">
        <is>
          <t>DALARNAS LÄN</t>
        </is>
      </c>
      <c r="G107" t="inlineStr">
        <is>
          <t>HEDEMORA</t>
        </is>
      </c>
      <c r="I107" t="n">
        <v>0.6</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HYPERLINK("https://klasma.github.io/Logging_2083/artfynd/A 17590-2025 artfynd.xlsx", "A 17590-2025")</f>
        <v/>
      </c>
      <c r="X107">
        <f>HYPERLINK("https://klasma.github.io/Logging_2083/kartor/A 17590-2025 karta.png", "A 17590-2025")</f>
        <v/>
      </c>
      <c r="Y107">
        <f>HYPERLINK("https://klasma.github.io/Logging_2083/kartor_geotiff/A 17590-2025 georefererad karta.tif", "A 17590-2025")</f>
        <v/>
      </c>
      <c r="AA107">
        <f>HYPERLINK("https://klasma.github.io/Logging_2083/klagomål/A 17590-2025 FSC-klagomål.docx", "A 17590-2025")</f>
        <v/>
      </c>
      <c r="AB107">
        <f>HYPERLINK("https://klasma.github.io/Logging_2083/klagomålsmail/A 17590-2025 FSC-klagomål mail.docx", "A 17590-2025")</f>
        <v/>
      </c>
      <c r="AC107">
        <f>HYPERLINK("https://klasma.github.io/Logging_2083/tillsyn/A 17590-2025 tillsynsbegäran.docx", "A 17590-2025")</f>
        <v/>
      </c>
      <c r="AD107">
        <f>HYPERLINK("https://klasma.github.io/Logging_2083/tillsynsmail/A 17590-2025 tillsynsbegäran mail.docx", "A 17590-2025")</f>
        <v/>
      </c>
    </row>
    <row r="108" ht="15" customHeight="1">
      <c r="A108" t="inlineStr">
        <is>
          <t>A 33046-2026</t>
        </is>
      </c>
      <c r="B108" t="inlineStr">
        <is>
          <t>avverkningsanmälan</t>
        </is>
      </c>
      <c r="C108" t="inlineStr">
        <is>
          <t>Föryngringsavverkning</t>
        </is>
      </c>
      <c r="D108" s="1" t="n">
        <v>46245</v>
      </c>
      <c r="E108" s="1" t="n">
        <v>46298</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28868-2026</t>
        </is>
      </c>
      <c r="B109" t="inlineStr">
        <is>
          <t>avverkningsanmälan</t>
        </is>
      </c>
      <c r="C109" t="inlineStr">
        <is>
          <t>Föryngringsavverkning</t>
        </is>
      </c>
      <c r="D109" s="1" t="n">
        <v>46199</v>
      </c>
      <c r="E109" s="1" t="n">
        <v>46298</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A 40692-2026</t>
        </is>
      </c>
      <c r="B110" t="inlineStr">
        <is>
          <t>avverkningsanmälan</t>
        </is>
      </c>
      <c r="C110" t="inlineStr">
        <is>
          <t>Föryngringsavverkning</t>
        </is>
      </c>
      <c r="D110" s="1" t="n">
        <v>46296</v>
      </c>
      <c r="E110" s="1" t="n">
        <v>46298</v>
      </c>
      <c r="F110" t="inlineStr">
        <is>
          <t>DALARNAS LÄN</t>
        </is>
      </c>
      <c r="G110" t="inlineStr">
        <is>
          <t>HEDEMORA</t>
        </is>
      </c>
      <c r="H110" t="inlineStr">
        <is>
          <t>Sveaskog</t>
        </is>
      </c>
      <c r="I110" t="n">
        <v>1</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HYPERLINK("https://klasma.github.io/Logging_2083/artfynd/A 40692-2026 artfynd.xlsx", "A 40692-2026")</f>
        <v/>
      </c>
      <c r="X110">
        <f>HYPERLINK("https://klasma.github.io/Logging_2083/kartor/A 40692-2026 karta.png", "A 40692-2026")</f>
        <v/>
      </c>
      <c r="Y110">
        <f>HYPERLINK("https://klasma.github.io/Logging_2083/kartor_geotiff/A 40692-2026 georefererad karta.tif", "A 40692-2026")</f>
        <v/>
      </c>
      <c r="AA110">
        <f>HYPERLINK("https://klasma.github.io/Logging_2083/klagomål/A 40692-2026 FSC-klagomål.docx", "A 40692-2026")</f>
        <v/>
      </c>
      <c r="AB110">
        <f>HYPERLINK("https://klasma.github.io/Logging_2083/klagomålsmail/A 40692-2026 FSC-klagomål mail.docx", "A 40692-2026")</f>
        <v/>
      </c>
      <c r="AC110">
        <f>HYPERLINK("https://klasma.github.io/Logging_2083/tillsyn/A 40692-2026 tillsynsbegäran.docx", "A 40692-2026")</f>
        <v/>
      </c>
      <c r="AD110">
        <f>HYPERLINK("https://klasma.github.io/Logging_2083/tillsynsmail/A 40692-2026 tillsynsbegäran mail.docx", "A 40692-2026")</f>
        <v/>
      </c>
    </row>
    <row r="111" ht="15" customHeight="1">
      <c r="A111" t="inlineStr">
        <is>
          <t>S 238-2024</t>
        </is>
      </c>
      <c r="B111" t="inlineStr">
        <is>
          <t>samrådsanmälan</t>
        </is>
      </c>
      <c r="C111" t="inlineStr">
        <is>
          <t>Skogsgödsling</t>
        </is>
      </c>
      <c r="D111" s="1" t="n">
        <v>45319</v>
      </c>
      <c r="E111" s="1" t="n">
        <v>46298</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46298</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46298</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46298</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46298</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46298</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46298</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46298</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46298</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46298</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46298</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46298</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46298</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46298</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46298</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46298</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46298</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46298</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46298</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46298</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46298</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46298</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46298</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46298</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46298</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46298</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46298</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51256-2024</t>
        </is>
      </c>
      <c r="B138" t="inlineStr">
        <is>
          <t>avverkningsanmälan</t>
        </is>
      </c>
      <c r="C138" t="inlineStr">
        <is>
          <t>Föryngringsavverkning</t>
        </is>
      </c>
      <c r="D138" s="1" t="n">
        <v>45603</v>
      </c>
      <c r="E138" s="1" t="n">
        <v>46298</v>
      </c>
      <c r="F138" t="inlineStr">
        <is>
          <t>DALARNAS LÄN</t>
        </is>
      </c>
      <c r="G138" t="inlineStr">
        <is>
          <t>HEDEMORA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69624-2021</t>
        </is>
      </c>
      <c r="B139" t="inlineStr">
        <is>
          <t>avverkningsanmälan</t>
        </is>
      </c>
      <c r="C139" t="inlineStr">
        <is>
          <t>Föryngringsavverkning</t>
        </is>
      </c>
      <c r="D139" s="1" t="n">
        <v>44532</v>
      </c>
      <c r="E139" s="1" t="n">
        <v>46298</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62407-2025</t>
        </is>
      </c>
      <c r="B140" t="inlineStr">
        <is>
          <t>avverkningsanmälan</t>
        </is>
      </c>
      <c r="C140" t="inlineStr">
        <is>
          <t>Föryngringsavverkning</t>
        </is>
      </c>
      <c r="D140" s="1" t="n">
        <v>46007</v>
      </c>
      <c r="E140" s="1" t="n">
        <v>46298</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42510-2025</t>
        </is>
      </c>
      <c r="B141" t="inlineStr">
        <is>
          <t>avverkningsanmälan</t>
        </is>
      </c>
      <c r="C141" t="inlineStr">
        <is>
          <t>Föryngringsavverkning</t>
        </is>
      </c>
      <c r="D141" s="1" t="n">
        <v>45905</v>
      </c>
      <c r="E141" s="1" t="n">
        <v>46298</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46298</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40801-2024</t>
        </is>
      </c>
      <c r="B143" t="inlineStr">
        <is>
          <t>avverkningsanmälan</t>
        </is>
      </c>
      <c r="C143" t="inlineStr">
        <is>
          <t>Föryngringsavverkning</t>
        </is>
      </c>
      <c r="D143" s="1" t="n">
        <v>45558</v>
      </c>
      <c r="E143" s="1" t="n">
        <v>46298</v>
      </c>
      <c r="F143" t="inlineStr">
        <is>
          <t>DALARNAS LÄN</t>
        </is>
      </c>
      <c r="G143" t="inlineStr">
        <is>
          <t>HEDEMORA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39390-2025</t>
        </is>
      </c>
      <c r="B144" t="inlineStr">
        <is>
          <t>avverkningsanmälan</t>
        </is>
      </c>
      <c r="C144" t="inlineStr">
        <is>
          <t>Föryngringsavverkning</t>
        </is>
      </c>
      <c r="D144" s="1" t="n">
        <v>45889</v>
      </c>
      <c r="E144" s="1" t="n">
        <v>46298</v>
      </c>
      <c r="F144" t="inlineStr">
        <is>
          <t>DALARNAS LÄN</t>
        </is>
      </c>
      <c r="G144" t="inlineStr">
        <is>
          <t>HEDEMORA</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63900-2025</t>
        </is>
      </c>
      <c r="B145" t="inlineStr">
        <is>
          <t>avverkningsanmälan</t>
        </is>
      </c>
      <c r="C145" t="inlineStr">
        <is>
          <t>Föryngringsavverkning</t>
        </is>
      </c>
      <c r="D145" s="1" t="n">
        <v>46020</v>
      </c>
      <c r="E145" s="1" t="n">
        <v>46298</v>
      </c>
      <c r="F145" t="inlineStr">
        <is>
          <t>DALARNAS LÄN</t>
        </is>
      </c>
      <c r="G145" t="inlineStr">
        <is>
          <t>HEDEMORA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39393-2025</t>
        </is>
      </c>
      <c r="B146" t="inlineStr">
        <is>
          <t>avverkningsanmälan</t>
        </is>
      </c>
      <c r="C146" t="inlineStr">
        <is>
          <t>Föryngringsavverkning</t>
        </is>
      </c>
      <c r="D146" s="1" t="n">
        <v>45889</v>
      </c>
      <c r="E146" s="1" t="n">
        <v>46298</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64045-2025</t>
        </is>
      </c>
      <c r="B147" t="inlineStr">
        <is>
          <t>avverkningsanmälan</t>
        </is>
      </c>
      <c r="C147" t="inlineStr">
        <is>
          <t>Föryngringsavverkning</t>
        </is>
      </c>
      <c r="D147" s="1" t="n">
        <v>46021</v>
      </c>
      <c r="E147" s="1" t="n">
        <v>46298</v>
      </c>
      <c r="F147" t="inlineStr">
        <is>
          <t>DALARNAS LÄN</t>
        </is>
      </c>
      <c r="G147" t="inlineStr">
        <is>
          <t>HEDEMORA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46298</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63853-2025</t>
        </is>
      </c>
      <c r="B149" t="inlineStr">
        <is>
          <t>avverkningsanmälan</t>
        </is>
      </c>
      <c r="C149" t="inlineStr">
        <is>
          <t>Föryngringsavverkning</t>
        </is>
      </c>
      <c r="D149" s="1" t="n">
        <v>46020</v>
      </c>
      <c r="E149" s="1" t="n">
        <v>46298</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49772-2025</t>
        </is>
      </c>
      <c r="B150" t="inlineStr">
        <is>
          <t>avverkningsanmälan</t>
        </is>
      </c>
      <c r="C150" t="inlineStr">
        <is>
          <t>Föryngringsavverkning</t>
        </is>
      </c>
      <c r="D150" s="1" t="n">
        <v>45940</v>
      </c>
      <c r="E150" s="1" t="n">
        <v>46298</v>
      </c>
      <c r="F150" t="inlineStr">
        <is>
          <t>DALARNAS LÄN</t>
        </is>
      </c>
      <c r="G150" t="inlineStr">
        <is>
          <t>HEDEMORA</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5010-2023</t>
        </is>
      </c>
      <c r="B151" t="inlineStr">
        <is>
          <t>avverkningsanmälan</t>
        </is>
      </c>
      <c r="C151" t="inlineStr">
        <is>
          <t>Föryngringsavverkning</t>
        </is>
      </c>
      <c r="D151" s="1" t="n">
        <v>44956</v>
      </c>
      <c r="E151" s="1" t="n">
        <v>46298</v>
      </c>
      <c r="F151" t="inlineStr">
        <is>
          <t>DALARNAS LÄN</t>
        </is>
      </c>
      <c r="G151" t="inlineStr">
        <is>
          <t>HEDEMORA</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46298</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46298</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19689-2025</t>
        </is>
      </c>
      <c r="B154" t="inlineStr">
        <is>
          <t>avverkningsanmälan</t>
        </is>
      </c>
      <c r="C154" t="inlineStr">
        <is>
          <t>Föryngringsavverkning</t>
        </is>
      </c>
      <c r="D154" s="1" t="n">
        <v>45770</v>
      </c>
      <c r="E154" s="1" t="n">
        <v>46298</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834-2026</t>
        </is>
      </c>
      <c r="B155" t="inlineStr">
        <is>
          <t>avverkningsanmälan</t>
        </is>
      </c>
      <c r="C155" t="inlineStr">
        <is>
          <t>Föryngringsavverkning</t>
        </is>
      </c>
      <c r="D155" s="1" t="n">
        <v>46030</v>
      </c>
      <c r="E155" s="1" t="n">
        <v>46298</v>
      </c>
      <c r="F155" t="inlineStr">
        <is>
          <t>DALARNAS LÄN</t>
        </is>
      </c>
      <c r="G155" t="inlineStr">
        <is>
          <t>HEDEMORA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1885-2026</t>
        </is>
      </c>
      <c r="B156" t="inlineStr">
        <is>
          <t>avverkningsanmälan</t>
        </is>
      </c>
      <c r="C156" t="inlineStr">
        <is>
          <t>Föryngringsavverkning</t>
        </is>
      </c>
      <c r="D156" s="1" t="n">
        <v>46035</v>
      </c>
      <c r="E156" s="1" t="n">
        <v>46298</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1451-2026</t>
        </is>
      </c>
      <c r="B157" t="inlineStr">
        <is>
          <t>avverkningsanmälan</t>
        </is>
      </c>
      <c r="C157" t="inlineStr">
        <is>
          <t>Föryngringsavverkning</t>
        </is>
      </c>
      <c r="D157" s="1" t="n">
        <v>46033</v>
      </c>
      <c r="E157" s="1" t="n">
        <v>46298</v>
      </c>
      <c r="F157" t="inlineStr">
        <is>
          <t>DALARNAS LÄN</t>
        </is>
      </c>
      <c r="G157" t="inlineStr">
        <is>
          <t>HEDEMORA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1573-2026</t>
        </is>
      </c>
      <c r="B158" t="inlineStr">
        <is>
          <t>avverkningsanmälan</t>
        </is>
      </c>
      <c r="C158" t="inlineStr">
        <is>
          <t>Föryngringsavverkning</t>
        </is>
      </c>
      <c r="D158" s="1" t="n">
        <v>46034</v>
      </c>
      <c r="E158" s="1" t="n">
        <v>46298</v>
      </c>
      <c r="F158" t="inlineStr">
        <is>
          <t>DALARNAS LÄN</t>
        </is>
      </c>
      <c r="G158" t="inlineStr">
        <is>
          <t>HEDEMORA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36900-2022</t>
        </is>
      </c>
      <c r="B159" t="inlineStr">
        <is>
          <t>avverkningsanmälan</t>
        </is>
      </c>
      <c r="C159" t="inlineStr">
        <is>
          <t>Föryngringsavverkning</t>
        </is>
      </c>
      <c r="D159" s="1" t="n">
        <v>44805</v>
      </c>
      <c r="E159" s="1" t="n">
        <v>46298</v>
      </c>
      <c r="F159" t="inlineStr">
        <is>
          <t>DALARNAS LÄN</t>
        </is>
      </c>
      <c r="G159" t="inlineStr">
        <is>
          <t>HEDEMORA</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2159-2026</t>
        </is>
      </c>
      <c r="B160" t="inlineStr">
        <is>
          <t>avverkningsanmälan</t>
        </is>
      </c>
      <c r="C160" t="inlineStr">
        <is>
          <t>Föryngringsavverkning</t>
        </is>
      </c>
      <c r="D160" s="1" t="n">
        <v>46036</v>
      </c>
      <c r="E160" s="1" t="n">
        <v>46298</v>
      </c>
      <c r="F160" t="inlineStr">
        <is>
          <t>DALARNAS LÄN</t>
        </is>
      </c>
      <c r="G160" t="inlineStr">
        <is>
          <t>HEDEMORA</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2599-2026</t>
        </is>
      </c>
      <c r="B161" t="inlineStr">
        <is>
          <t>avverkningsanmälan</t>
        </is>
      </c>
      <c r="C161" t="inlineStr">
        <is>
          <t>Föryngringsavverkning</t>
        </is>
      </c>
      <c r="D161" s="1" t="n">
        <v>46037</v>
      </c>
      <c r="E161" s="1" t="n">
        <v>46298</v>
      </c>
      <c r="F161" t="inlineStr">
        <is>
          <t>DALARNAS LÄN</t>
        </is>
      </c>
      <c r="G161" t="inlineStr">
        <is>
          <t>HEDEMORA</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57563-2025</t>
        </is>
      </c>
      <c r="B162" t="inlineStr">
        <is>
          <t>avverkningsanmälan</t>
        </is>
      </c>
      <c r="C162" t="inlineStr">
        <is>
          <t>Föryngringsavverkning</t>
        </is>
      </c>
      <c r="D162" s="1" t="n">
        <v>45980</v>
      </c>
      <c r="E162" s="1" t="n">
        <v>46298</v>
      </c>
      <c r="F162" t="inlineStr">
        <is>
          <t>DALARNAS LÄN</t>
        </is>
      </c>
      <c r="G162" t="inlineStr">
        <is>
          <t>HEDEMORA</t>
        </is>
      </c>
      <c r="H162" t="inlineStr">
        <is>
          <t>Sveaskog</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42645-2025</t>
        </is>
      </c>
      <c r="B163" t="inlineStr">
        <is>
          <t>avverkningsanmälan</t>
        </is>
      </c>
      <c r="C163" t="inlineStr">
        <is>
          <t>Avverkning för att bevara och utveckla /försöksver</t>
        </is>
      </c>
      <c r="D163" s="1" t="n">
        <v>45906</v>
      </c>
      <c r="E163" s="1" t="n">
        <v>46298</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3759-2026</t>
        </is>
      </c>
      <c r="B164" t="inlineStr">
        <is>
          <t>avverkningsanmälan</t>
        </is>
      </c>
      <c r="C164" t="inlineStr">
        <is>
          <t>Föryngringsavverkning</t>
        </is>
      </c>
      <c r="D164" s="1" t="n">
        <v>46043</v>
      </c>
      <c r="E164" s="1" t="n">
        <v>46298</v>
      </c>
      <c r="F164" t="inlineStr">
        <is>
          <t>DALARNAS LÄN</t>
        </is>
      </c>
      <c r="G164" t="inlineStr">
        <is>
          <t>HEDEMORA</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25195-2024</t>
        </is>
      </c>
      <c r="B165" t="inlineStr">
        <is>
          <t>avverkningsanmälan</t>
        </is>
      </c>
      <c r="C165" t="inlineStr">
        <is>
          <t>Avverkning för annat ändamål</t>
        </is>
      </c>
      <c r="D165" s="1" t="n">
        <v>45462</v>
      </c>
      <c r="E165" s="1" t="n">
        <v>46298</v>
      </c>
      <c r="F165" t="inlineStr">
        <is>
          <t>DALARNAS LÄN</t>
        </is>
      </c>
      <c r="G165" t="inlineStr">
        <is>
          <t>HEDEMORA</t>
        </is>
      </c>
      <c r="H165" t="inlineStr">
        <is>
          <t>Övriga statliga verk och myndigheter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2056-2026</t>
        </is>
      </c>
      <c r="B166" t="inlineStr">
        <is>
          <t>avverkningsanmälan</t>
        </is>
      </c>
      <c r="C166" t="inlineStr">
        <is>
          <t>Avverkning för att bevara och utveckla /försöksver</t>
        </is>
      </c>
      <c r="D166" s="1" t="n">
        <v>46032</v>
      </c>
      <c r="E166" s="1" t="n">
        <v>46298</v>
      </c>
      <c r="F166" t="inlineStr">
        <is>
          <t>DALARNAS LÄN</t>
        </is>
      </c>
      <c r="G166" t="inlineStr">
        <is>
          <t>HEDEMORA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4070-2026</t>
        </is>
      </c>
      <c r="B167" t="inlineStr">
        <is>
          <t>avverkningsanmälan</t>
        </is>
      </c>
      <c r="C167" t="inlineStr">
        <is>
          <t>Föryngringsavverkning</t>
        </is>
      </c>
      <c r="D167" s="1" t="n">
        <v>46044</v>
      </c>
      <c r="E167" s="1" t="n">
        <v>46298</v>
      </c>
      <c r="F167" t="inlineStr">
        <is>
          <t>DALARNAS LÄN</t>
        </is>
      </c>
      <c r="G167" t="inlineStr">
        <is>
          <t>HEDEMORA</t>
        </is>
      </c>
      <c r="I167" t="n">
        <v>29.2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25021-2025</t>
        </is>
      </c>
      <c r="B168" t="inlineStr">
        <is>
          <t>avverkningsanmälan</t>
        </is>
      </c>
      <c r="C168" t="inlineStr">
        <is>
          <t>Föryngringsavverkning</t>
        </is>
      </c>
      <c r="D168" s="1" t="n">
        <v>45799</v>
      </c>
      <c r="E168" s="1" t="n">
        <v>46298</v>
      </c>
      <c r="F168" t="inlineStr">
        <is>
          <t>DALARNAS LÄN</t>
        </is>
      </c>
      <c r="G168" t="inlineStr">
        <is>
          <t>HEDEMORA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19397-2024</t>
        </is>
      </c>
      <c r="B169" t="inlineStr">
        <is>
          <t>avverkningsanmälan</t>
        </is>
      </c>
      <c r="C169" t="inlineStr">
        <is>
          <t>Föryngringsavverkning</t>
        </is>
      </c>
      <c r="D169" s="1" t="n">
        <v>45429</v>
      </c>
      <c r="E169" s="1" t="n">
        <v>46298</v>
      </c>
      <c r="F169" t="inlineStr">
        <is>
          <t>DALARNAS LÄN</t>
        </is>
      </c>
      <c r="G169" t="inlineStr">
        <is>
          <t>HEDEMORA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46298</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5784-2026</t>
        </is>
      </c>
      <c r="B171" t="inlineStr">
        <is>
          <t>avverkningsanmälan</t>
        </is>
      </c>
      <c r="C171" t="inlineStr">
        <is>
          <t>Föryngringsavverkning</t>
        </is>
      </c>
      <c r="D171" s="1" t="n">
        <v>46051</v>
      </c>
      <c r="E171" s="1" t="n">
        <v>46298</v>
      </c>
      <c r="F171" t="inlineStr">
        <is>
          <t>DALARNAS LÄN</t>
        </is>
      </c>
      <c r="G171" t="inlineStr">
        <is>
          <t>HEDEMORA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5316-2026</t>
        </is>
      </c>
      <c r="B172" t="inlineStr">
        <is>
          <t>avverkningsanmälan</t>
        </is>
      </c>
      <c r="C172" t="inlineStr">
        <is>
          <t>Föryngringsavverkning</t>
        </is>
      </c>
      <c r="D172" s="1" t="n">
        <v>46050</v>
      </c>
      <c r="E172" s="1" t="n">
        <v>46298</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5619-2026</t>
        </is>
      </c>
      <c r="B173" t="inlineStr">
        <is>
          <t>avverkningsanmälan</t>
        </is>
      </c>
      <c r="C173" t="inlineStr">
        <is>
          <t>Föryngringsavverkning</t>
        </is>
      </c>
      <c r="D173" s="1" t="n">
        <v>46051</v>
      </c>
      <c r="E173" s="1" t="n">
        <v>46298</v>
      </c>
      <c r="F173" t="inlineStr">
        <is>
          <t>DALARNAS LÄN</t>
        </is>
      </c>
      <c r="G173" t="inlineStr">
        <is>
          <t>HEDEMORA</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22270-2023</t>
        </is>
      </c>
      <c r="B174" t="inlineStr">
        <is>
          <t>avverkningsanmälan</t>
        </is>
      </c>
      <c r="C174" t="inlineStr">
        <is>
          <t>Föryngringsavverkning</t>
        </is>
      </c>
      <c r="D174" s="1" t="n">
        <v>45070</v>
      </c>
      <c r="E174" s="1" t="n">
        <v>46298</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16413-2024</t>
        </is>
      </c>
      <c r="B175" t="inlineStr">
        <is>
          <t>avverkningsanmälan</t>
        </is>
      </c>
      <c r="C175" t="inlineStr">
        <is>
          <t>Avverkning för annat ändamål</t>
        </is>
      </c>
      <c r="D175" s="1" t="n">
        <v>45407</v>
      </c>
      <c r="E175" s="1" t="n">
        <v>46298</v>
      </c>
      <c r="F175" t="inlineStr">
        <is>
          <t>DALARNAS LÄN</t>
        </is>
      </c>
      <c r="G175" t="inlineStr">
        <is>
          <t>HEDEMORA</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58841-2023</t>
        </is>
      </c>
      <c r="B176" t="inlineStr">
        <is>
          <t>avverkningsanmälan</t>
        </is>
      </c>
      <c r="C176" t="inlineStr">
        <is>
          <t>Föryngringsavverkning</t>
        </is>
      </c>
      <c r="D176" s="1" t="n">
        <v>45252</v>
      </c>
      <c r="E176" s="1" t="n">
        <v>46298</v>
      </c>
      <c r="F176" t="inlineStr">
        <is>
          <t>DALARNAS LÄN</t>
        </is>
      </c>
      <c r="G176" t="inlineStr">
        <is>
          <t>HEDEMORA</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60786-2023</t>
        </is>
      </c>
      <c r="B177" t="inlineStr">
        <is>
          <t>avverkningsanmälan</t>
        </is>
      </c>
      <c r="C177" t="inlineStr">
        <is>
          <t>Föryngringsavverkning</t>
        </is>
      </c>
      <c r="D177" s="1" t="n">
        <v>45260</v>
      </c>
      <c r="E177" s="1" t="n">
        <v>46298</v>
      </c>
      <c r="F177" t="inlineStr">
        <is>
          <t>DALARNAS LÄN</t>
        </is>
      </c>
      <c r="G177" t="inlineStr">
        <is>
          <t>HEDEMORA</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4809-2026</t>
        </is>
      </c>
      <c r="B178" t="inlineStr">
        <is>
          <t>avverkningsanmälan</t>
        </is>
      </c>
      <c r="C178" t="inlineStr">
        <is>
          <t>Föryngringsavverkning</t>
        </is>
      </c>
      <c r="D178" s="1" t="n">
        <v>46048</v>
      </c>
      <c r="E178" s="1" t="n">
        <v>46298</v>
      </c>
      <c r="F178" t="inlineStr">
        <is>
          <t>DALARNAS LÄN</t>
        </is>
      </c>
      <c r="G178" t="inlineStr">
        <is>
          <t>HEDEMORA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43621-2024</t>
        </is>
      </c>
      <c r="B179" t="inlineStr">
        <is>
          <t>avverkningsanmälan</t>
        </is>
      </c>
      <c r="C179" t="inlineStr">
        <is>
          <t>Föryngringsavverkning</t>
        </is>
      </c>
      <c r="D179" s="1" t="n">
        <v>45569</v>
      </c>
      <c r="E179" s="1" t="n">
        <v>46298</v>
      </c>
      <c r="F179" t="inlineStr">
        <is>
          <t>DALARNAS LÄN</t>
        </is>
      </c>
      <c r="G179" t="inlineStr">
        <is>
          <t>HEDEMORA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48238-2025</t>
        </is>
      </c>
      <c r="B180" t="inlineStr">
        <is>
          <t>avverkningsanmälan</t>
        </is>
      </c>
      <c r="C180" t="inlineStr">
        <is>
          <t>Föryngringsavverkning</t>
        </is>
      </c>
      <c r="D180" s="1" t="n">
        <v>45933</v>
      </c>
      <c r="E180" s="1" t="n">
        <v>46298</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8824-2026</t>
        </is>
      </c>
      <c r="B181" t="inlineStr">
        <is>
          <t>avverkningsanmälan</t>
        </is>
      </c>
      <c r="C181" t="inlineStr">
        <is>
          <t>Föryngringsavverkning</t>
        </is>
      </c>
      <c r="D181" s="1" t="n">
        <v>46066</v>
      </c>
      <c r="E181" s="1" t="n">
        <v>46298</v>
      </c>
      <c r="F181" t="inlineStr">
        <is>
          <t>DALARNAS LÄN</t>
        </is>
      </c>
      <c r="G181" t="inlineStr">
        <is>
          <t>HEDEMORA</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52944-2024</t>
        </is>
      </c>
      <c r="B182" t="inlineStr">
        <is>
          <t>avverkningsanmälan</t>
        </is>
      </c>
      <c r="C182" t="inlineStr">
        <is>
          <t>Föryngringsavverkning</t>
        </is>
      </c>
      <c r="D182" s="1" t="n">
        <v>45610</v>
      </c>
      <c r="E182" s="1" t="n">
        <v>46298</v>
      </c>
      <c r="F182" t="inlineStr">
        <is>
          <t>DALARNAS LÄN</t>
        </is>
      </c>
      <c r="G182" t="inlineStr">
        <is>
          <t>HEDEMORA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6972-2025</t>
        </is>
      </c>
      <c r="B183" t="inlineStr">
        <is>
          <t>avverkningsanmälan</t>
        </is>
      </c>
      <c r="C183" t="inlineStr">
        <is>
          <t>Föryngringsavverkning</t>
        </is>
      </c>
      <c r="D183" s="1" t="n">
        <v>45701</v>
      </c>
      <c r="E183" s="1" t="n">
        <v>46298</v>
      </c>
      <c r="F183" t="inlineStr">
        <is>
          <t>DALARNAS LÄN</t>
        </is>
      </c>
      <c r="G183" t="inlineStr">
        <is>
          <t>HEDEMORA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5766-2025</t>
        </is>
      </c>
      <c r="B184" t="inlineStr">
        <is>
          <t>avverkningsanmälan</t>
        </is>
      </c>
      <c r="C184" t="inlineStr">
        <is>
          <t>Föryngringsavverkning</t>
        </is>
      </c>
      <c r="D184" s="1" t="n">
        <v>45694</v>
      </c>
      <c r="E184" s="1" t="n">
        <v>46298</v>
      </c>
      <c r="F184" t="inlineStr">
        <is>
          <t>DALARNAS LÄN</t>
        </is>
      </c>
      <c r="G184" t="inlineStr">
        <is>
          <t>HEDEMORA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19473-2024</t>
        </is>
      </c>
      <c r="B185" t="inlineStr">
        <is>
          <t>avverkningsanmälan</t>
        </is>
      </c>
      <c r="C185" t="inlineStr">
        <is>
          <t>Föryngringsavverkning</t>
        </is>
      </c>
      <c r="D185" s="1" t="n">
        <v>45429</v>
      </c>
      <c r="E185" s="1" t="n">
        <v>46298</v>
      </c>
      <c r="F185" t="inlineStr">
        <is>
          <t>DALARNAS LÄN</t>
        </is>
      </c>
      <c r="G185" t="inlineStr">
        <is>
          <t>HEDEMORA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46298</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9680-2026</t>
        </is>
      </c>
      <c r="B187" t="inlineStr">
        <is>
          <t>avverkningsanmälan</t>
        </is>
      </c>
      <c r="C187" t="inlineStr">
        <is>
          <t>Föryngringsavverkning</t>
        </is>
      </c>
      <c r="D187" s="1" t="n">
        <v>46072</v>
      </c>
      <c r="E187" s="1" t="n">
        <v>46298</v>
      </c>
      <c r="F187" t="inlineStr">
        <is>
          <t>DALARNAS LÄN</t>
        </is>
      </c>
      <c r="G187" t="inlineStr">
        <is>
          <t>HEDEMORA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9674-2026</t>
        </is>
      </c>
      <c r="B188" t="inlineStr">
        <is>
          <t>avverkningsanmälan</t>
        </is>
      </c>
      <c r="C188" t="inlineStr">
        <is>
          <t>Föryngringsavverkning</t>
        </is>
      </c>
      <c r="D188" s="1" t="n">
        <v>46072</v>
      </c>
      <c r="E188" s="1" t="n">
        <v>46298</v>
      </c>
      <c r="F188" t="inlineStr">
        <is>
          <t>DALARNAS LÄN</t>
        </is>
      </c>
      <c r="G188" t="inlineStr">
        <is>
          <t>HEDEMORA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50885-2023</t>
        </is>
      </c>
      <c r="B189" t="inlineStr">
        <is>
          <t>avverkningsanmälan</t>
        </is>
      </c>
      <c r="C189" t="inlineStr">
        <is>
          <t>Föryngringsavverkning</t>
        </is>
      </c>
      <c r="D189" s="1" t="n">
        <v>45218</v>
      </c>
      <c r="E189" s="1" t="n">
        <v>46298</v>
      </c>
      <c r="F189" t="inlineStr">
        <is>
          <t>DALARNAS LÄN</t>
        </is>
      </c>
      <c r="G189" t="inlineStr">
        <is>
          <t>HEDEMORA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59350-2025</t>
        </is>
      </c>
      <c r="B190" t="inlineStr">
        <is>
          <t>avverkningsanmälan</t>
        </is>
      </c>
      <c r="C190" t="inlineStr">
        <is>
          <t>Avverkning för att bevara och utveckla /försöksver</t>
        </is>
      </c>
      <c r="D190" s="1" t="n">
        <v>45989</v>
      </c>
      <c r="E190" s="1" t="n">
        <v>46298</v>
      </c>
      <c r="F190" t="inlineStr">
        <is>
          <t>DALARNAS LÄN</t>
        </is>
      </c>
      <c r="G190" t="inlineStr">
        <is>
          <t>HEDEMORA</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53576-2023</t>
        </is>
      </c>
      <c r="B191" t="inlineStr">
        <is>
          <t>avverkningsanmälan</t>
        </is>
      </c>
      <c r="C191" t="inlineStr">
        <is>
          <t>Föryngringsavverkning</t>
        </is>
      </c>
      <c r="D191" s="1" t="n">
        <v>45230</v>
      </c>
      <c r="E191" s="1" t="n">
        <v>46298</v>
      </c>
      <c r="F191" t="inlineStr">
        <is>
          <t>DALARNAS LÄN</t>
        </is>
      </c>
      <c r="G191" t="inlineStr">
        <is>
          <t>HEDEMORA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53588-2023</t>
        </is>
      </c>
      <c r="B192" t="inlineStr">
        <is>
          <t>avverkningsanmälan</t>
        </is>
      </c>
      <c r="C192" t="inlineStr">
        <is>
          <t>Föryngringsavverkning</t>
        </is>
      </c>
      <c r="D192" s="1" t="n">
        <v>45230</v>
      </c>
      <c r="E192" s="1" t="n">
        <v>46298</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60445-2025</t>
        </is>
      </c>
      <c r="B193" t="inlineStr">
        <is>
          <t>avverkningsanmälan</t>
        </is>
      </c>
      <c r="C193" t="inlineStr">
        <is>
          <t>Avverkning för att bevara och utveckla /försöksver</t>
        </is>
      </c>
      <c r="D193" s="1" t="n">
        <v>45995</v>
      </c>
      <c r="E193" s="1" t="n">
        <v>46298</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51615-2025</t>
        </is>
      </c>
      <c r="B194" t="inlineStr">
        <is>
          <t>avverkningsanmälan</t>
        </is>
      </c>
      <c r="C194" t="inlineStr">
        <is>
          <t>Föryngringsavverkning</t>
        </is>
      </c>
      <c r="D194" s="1" t="n">
        <v>45951</v>
      </c>
      <c r="E194" s="1" t="n">
        <v>46298</v>
      </c>
      <c r="F194" t="inlineStr">
        <is>
          <t>DALARNAS LÄN</t>
        </is>
      </c>
      <c r="G194" t="inlineStr">
        <is>
          <t>HEDEMORA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51695-2025</t>
        </is>
      </c>
      <c r="B195" t="inlineStr">
        <is>
          <t>avverkningsanmälan</t>
        </is>
      </c>
      <c r="C195" t="inlineStr">
        <is>
          <t>Föryngringsavverkning</t>
        </is>
      </c>
      <c r="D195" s="1" t="n">
        <v>45951</v>
      </c>
      <c r="E195" s="1" t="n">
        <v>46298</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8342-2025</t>
        </is>
      </c>
      <c r="B196" t="inlineStr">
        <is>
          <t>avverkningsanmälan</t>
        </is>
      </c>
      <c r="C196" t="inlineStr">
        <is>
          <t>Avverkning för annat ändamål</t>
        </is>
      </c>
      <c r="D196" s="1" t="n">
        <v>45708</v>
      </c>
      <c r="E196" s="1" t="n">
        <v>46298</v>
      </c>
      <c r="F196" t="inlineStr">
        <is>
          <t>DALARNAS LÄN</t>
        </is>
      </c>
      <c r="G196" t="inlineStr">
        <is>
          <t>HEDEMORA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28029-2023</t>
        </is>
      </c>
      <c r="B197" t="inlineStr">
        <is>
          <t>avverkningsanmälan</t>
        </is>
      </c>
      <c r="C197" t="inlineStr">
        <is>
          <t>Avverkning för annat ändamål</t>
        </is>
      </c>
      <c r="D197" s="1" t="n">
        <v>45099</v>
      </c>
      <c r="E197" s="1" t="n">
        <v>46298</v>
      </c>
      <c r="F197" t="inlineStr">
        <is>
          <t>DALARNAS LÄN</t>
        </is>
      </c>
      <c r="G197" t="inlineStr">
        <is>
          <t>HEDEMORA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11732-2026</t>
        </is>
      </c>
      <c r="B198" t="inlineStr">
        <is>
          <t>avverkningsanmälan</t>
        </is>
      </c>
      <c r="C198" t="inlineStr">
        <is>
          <t>Föryngringsavverkning</t>
        </is>
      </c>
      <c r="D198" s="1" t="n">
        <v>46084</v>
      </c>
      <c r="E198" s="1" t="n">
        <v>46298</v>
      </c>
      <c r="F198" t="inlineStr">
        <is>
          <t>DALARNAS LÄN</t>
        </is>
      </c>
      <c r="G198" t="inlineStr">
        <is>
          <t>HEDEMORA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46298</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46298</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12604-2026</t>
        </is>
      </c>
      <c r="B201" t="inlineStr">
        <is>
          <t>avverkningsanmälan</t>
        </is>
      </c>
      <c r="C201" t="inlineStr">
        <is>
          <t>Föryngringsavverkning</t>
        </is>
      </c>
      <c r="D201" s="1" t="n">
        <v>46090</v>
      </c>
      <c r="E201" s="1" t="n">
        <v>46298</v>
      </c>
      <c r="F201" t="inlineStr">
        <is>
          <t>DALARNAS LÄN</t>
        </is>
      </c>
      <c r="G201" t="inlineStr">
        <is>
          <t>HEDEMORA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54040-2025</t>
        </is>
      </c>
      <c r="B202" t="inlineStr">
        <is>
          <t>avverkningsanmälan</t>
        </is>
      </c>
      <c r="C202" t="inlineStr">
        <is>
          <t>Föryngringsavverkning</t>
        </is>
      </c>
      <c r="D202" s="1" t="n">
        <v>45963</v>
      </c>
      <c r="E202" s="1" t="n">
        <v>46298</v>
      </c>
      <c r="F202" t="inlineStr">
        <is>
          <t>DALARNAS LÄN</t>
        </is>
      </c>
      <c r="G202" t="inlineStr">
        <is>
          <t>HEDEMORA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46298</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46298</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46298</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46298</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30205-2022</t>
        </is>
      </c>
      <c r="B207" t="inlineStr">
        <is>
          <t>avverkningsanmälan</t>
        </is>
      </c>
      <c r="C207" t="inlineStr">
        <is>
          <t>Föryngringsavverkning</t>
        </is>
      </c>
      <c r="D207" s="1" t="n">
        <v>44757</v>
      </c>
      <c r="E207" s="1" t="n">
        <v>46298</v>
      </c>
      <c r="F207" t="inlineStr">
        <is>
          <t>DALARNAS LÄN</t>
        </is>
      </c>
      <c r="G207" t="inlineStr">
        <is>
          <t>HEDEMORA</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53586-2023</t>
        </is>
      </c>
      <c r="B208" t="inlineStr">
        <is>
          <t>avverkningsanmälan</t>
        </is>
      </c>
      <c r="C208" t="inlineStr">
        <is>
          <t>Föryngringsavverkning</t>
        </is>
      </c>
      <c r="D208" s="1" t="n">
        <v>45230</v>
      </c>
      <c r="E208" s="1" t="n">
        <v>46298</v>
      </c>
      <c r="F208" t="inlineStr">
        <is>
          <t>DALARNAS LÄN</t>
        </is>
      </c>
      <c r="G208" t="inlineStr">
        <is>
          <t>HEDEMORA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46298</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61533-2021</t>
        </is>
      </c>
      <c r="B210" t="inlineStr">
        <is>
          <t>avverkningsanmälan</t>
        </is>
      </c>
      <c r="C210" t="inlineStr">
        <is>
          <t>Föryngringsavverkning</t>
        </is>
      </c>
      <c r="D210" s="1" t="n">
        <v>44501</v>
      </c>
      <c r="E210" s="1" t="n">
        <v>46298</v>
      </c>
      <c r="F210" t="inlineStr">
        <is>
          <t>DALARNAS LÄN</t>
        </is>
      </c>
      <c r="G210" t="inlineStr">
        <is>
          <t>HEDEMORA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13937-2026</t>
        </is>
      </c>
      <c r="B211" t="inlineStr">
        <is>
          <t>avverkningsanmälan</t>
        </is>
      </c>
      <c r="C211" t="inlineStr">
        <is>
          <t>Föryngringsavverkning</t>
        </is>
      </c>
      <c r="D211" s="1" t="n">
        <v>46098</v>
      </c>
      <c r="E211" s="1" t="n">
        <v>46298</v>
      </c>
      <c r="F211" t="inlineStr">
        <is>
          <t>DALARNAS LÄN</t>
        </is>
      </c>
      <c r="G211" t="inlineStr">
        <is>
          <t>HEDEMORA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13847-2026</t>
        </is>
      </c>
      <c r="B212" t="inlineStr">
        <is>
          <t>avverkningsanmälan</t>
        </is>
      </c>
      <c r="C212" t="inlineStr">
        <is>
          <t>Föryngringsavverkning</t>
        </is>
      </c>
      <c r="D212" s="1" t="n">
        <v>46098</v>
      </c>
      <c r="E212" s="1" t="n">
        <v>46298</v>
      </c>
      <c r="F212" t="inlineStr">
        <is>
          <t>DALARNAS LÄN</t>
        </is>
      </c>
      <c r="G212" t="inlineStr">
        <is>
          <t>HEDEMORA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46298</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50333-2023</t>
        </is>
      </c>
      <c r="B214" t="inlineStr">
        <is>
          <t>avverkningsanmälan</t>
        </is>
      </c>
      <c r="C214" t="inlineStr">
        <is>
          <t>Avverkning för att bevara och utveckla /försöksver</t>
        </is>
      </c>
      <c r="D214" s="1" t="n">
        <v>45216</v>
      </c>
      <c r="E214" s="1" t="n">
        <v>46298</v>
      </c>
      <c r="F214" t="inlineStr">
        <is>
          <t>DALARNAS LÄN</t>
        </is>
      </c>
      <c r="G214" t="inlineStr">
        <is>
          <t>HEDEMORA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13840-2026</t>
        </is>
      </c>
      <c r="B215" t="inlineStr">
        <is>
          <t>avverkningsanmälan</t>
        </is>
      </c>
      <c r="C215" t="inlineStr">
        <is>
          <t>Föryngringsavverkning</t>
        </is>
      </c>
      <c r="D215" s="1" t="n">
        <v>46098</v>
      </c>
      <c r="E215" s="1" t="n">
        <v>46298</v>
      </c>
      <c r="F215" t="inlineStr">
        <is>
          <t>DALARNAS LÄN</t>
        </is>
      </c>
      <c r="G215" t="inlineStr">
        <is>
          <t>HEDEMORA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46298</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13913-2026</t>
        </is>
      </c>
      <c r="B217" t="inlineStr">
        <is>
          <t>avverkningsanmälan</t>
        </is>
      </c>
      <c r="C217" t="inlineStr">
        <is>
          <t>Föryngringsavverkning</t>
        </is>
      </c>
      <c r="D217" s="1" t="n">
        <v>46098</v>
      </c>
      <c r="E217" s="1" t="n">
        <v>46298</v>
      </c>
      <c r="F217" t="inlineStr">
        <is>
          <t>DALARNAS LÄN</t>
        </is>
      </c>
      <c r="G217" t="inlineStr">
        <is>
          <t>HEDEMORA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33288-2025</t>
        </is>
      </c>
      <c r="B218" t="inlineStr">
        <is>
          <t>avverkningsanmälan</t>
        </is>
      </c>
      <c r="C218" t="inlineStr">
        <is>
          <t>Föryngringsavverkning</t>
        </is>
      </c>
      <c r="D218" s="1" t="n">
        <v>45840</v>
      </c>
      <c r="E218" s="1" t="n">
        <v>46298</v>
      </c>
      <c r="F218" t="inlineStr">
        <is>
          <t>DALARNAS LÄN</t>
        </is>
      </c>
      <c r="G218" t="inlineStr">
        <is>
          <t>HEDEMORA</t>
        </is>
      </c>
      <c r="H218" t="inlineStr">
        <is>
          <t>Sveaskog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13916-2026</t>
        </is>
      </c>
      <c r="B219" t="inlineStr">
        <is>
          <t>avverkningsanmälan</t>
        </is>
      </c>
      <c r="C219" t="inlineStr">
        <is>
          <t>Föryngringsavverkning</t>
        </is>
      </c>
      <c r="D219" s="1" t="n">
        <v>46098</v>
      </c>
      <c r="E219" s="1" t="n">
        <v>46298</v>
      </c>
      <c r="F219" t="inlineStr">
        <is>
          <t>DALARNAS LÄN</t>
        </is>
      </c>
      <c r="G219" t="inlineStr">
        <is>
          <t>HEDEMORA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39389-2025</t>
        </is>
      </c>
      <c r="B220" t="inlineStr">
        <is>
          <t>avverkningsanmälan</t>
        </is>
      </c>
      <c r="C220" t="inlineStr">
        <is>
          <t>Föryngringsavverkning</t>
        </is>
      </c>
      <c r="D220" s="1" t="n">
        <v>45889</v>
      </c>
      <c r="E220" s="1" t="n">
        <v>46298</v>
      </c>
      <c r="F220" t="inlineStr">
        <is>
          <t>DALARNAS LÄN</t>
        </is>
      </c>
      <c r="G220" t="inlineStr">
        <is>
          <t>HEDEMORA</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14228-2026</t>
        </is>
      </c>
      <c r="B221" t="inlineStr">
        <is>
          <t>avverkningsanmälan</t>
        </is>
      </c>
      <c r="C221" t="inlineStr">
        <is>
          <t>Föryngringsavverkning</t>
        </is>
      </c>
      <c r="D221" s="1" t="n">
        <v>46099</v>
      </c>
      <c r="E221" s="1" t="n">
        <v>46298</v>
      </c>
      <c r="F221" t="inlineStr">
        <is>
          <t>DALARNAS LÄN</t>
        </is>
      </c>
      <c r="G221" t="inlineStr">
        <is>
          <t>HEDEMORA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14197-2026</t>
        </is>
      </c>
      <c r="B222" t="inlineStr">
        <is>
          <t>avverkningsanmälan</t>
        </is>
      </c>
      <c r="C222" t="inlineStr">
        <is>
          <t>Föryngringsavverkning</t>
        </is>
      </c>
      <c r="D222" s="1" t="n">
        <v>46099</v>
      </c>
      <c r="E222" s="1" t="n">
        <v>46298</v>
      </c>
      <c r="F222" t="inlineStr">
        <is>
          <t>DALARNAS LÄN</t>
        </is>
      </c>
      <c r="G222" t="inlineStr">
        <is>
          <t>HEDEMORA</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55606-2025</t>
        </is>
      </c>
      <c r="B223" t="inlineStr">
        <is>
          <t>avverkningsanmälan</t>
        </is>
      </c>
      <c r="C223" t="inlineStr">
        <is>
          <t>Föryngringsavverkning</t>
        </is>
      </c>
      <c r="D223" s="1" t="n">
        <v>45971</v>
      </c>
      <c r="E223" s="1" t="n">
        <v>46298</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56070-2025</t>
        </is>
      </c>
      <c r="B224" t="inlineStr">
        <is>
          <t>avverkningsanmälan</t>
        </is>
      </c>
      <c r="C224" t="inlineStr">
        <is>
          <t>Föryngringsavverkning</t>
        </is>
      </c>
      <c r="D224" s="1" t="n">
        <v>45973</v>
      </c>
      <c r="E224" s="1" t="n">
        <v>46298</v>
      </c>
      <c r="F224" t="inlineStr">
        <is>
          <t>DALARNAS LÄN</t>
        </is>
      </c>
      <c r="G224" t="inlineStr">
        <is>
          <t>HEDEMORA</t>
        </is>
      </c>
      <c r="H224" t="inlineStr">
        <is>
          <t>Bergvik skog väst AB</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7916-2024</t>
        </is>
      </c>
      <c r="B225" t="inlineStr">
        <is>
          <t>avverkningsanmälan</t>
        </is>
      </c>
      <c r="C225" t="inlineStr">
        <is>
          <t>Föryngringsavverkning</t>
        </is>
      </c>
      <c r="D225" s="1" t="n">
        <v>45350</v>
      </c>
      <c r="E225" s="1" t="n">
        <v>46298</v>
      </c>
      <c r="F225" t="inlineStr">
        <is>
          <t>DALARNAS LÄN</t>
        </is>
      </c>
      <c r="G225" t="inlineStr">
        <is>
          <t>HEDEMORA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28180-2025</t>
        </is>
      </c>
      <c r="B226" t="inlineStr">
        <is>
          <t>avverkningsanmälan</t>
        </is>
      </c>
      <c r="C226" t="inlineStr">
        <is>
          <t>Föryngringsavverkning</t>
        </is>
      </c>
      <c r="D226" s="1" t="n">
        <v>45818</v>
      </c>
      <c r="E226" s="1" t="n">
        <v>46298</v>
      </c>
      <c r="F226" t="inlineStr">
        <is>
          <t>DALARNAS LÄN</t>
        </is>
      </c>
      <c r="G226" t="inlineStr">
        <is>
          <t>HEDEMORA</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56679-2025</t>
        </is>
      </c>
      <c r="B227" t="inlineStr">
        <is>
          <t>avverkningsanmälan</t>
        </is>
      </c>
      <c r="C227" t="inlineStr">
        <is>
          <t>Föryngringsavverkning</t>
        </is>
      </c>
      <c r="D227" s="1" t="n">
        <v>45975</v>
      </c>
      <c r="E227" s="1" t="n">
        <v>46298</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28182-2025</t>
        </is>
      </c>
      <c r="B228" t="inlineStr">
        <is>
          <t>avverkningsanmälan</t>
        </is>
      </c>
      <c r="C228" t="inlineStr">
        <is>
          <t>Föryngringsavverkning</t>
        </is>
      </c>
      <c r="D228" s="1" t="n">
        <v>45818</v>
      </c>
      <c r="E228" s="1" t="n">
        <v>46298</v>
      </c>
      <c r="F228" t="inlineStr">
        <is>
          <t>DALARNAS LÄN</t>
        </is>
      </c>
      <c r="G228" t="inlineStr">
        <is>
          <t>HEDEMORA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15146-2026</t>
        </is>
      </c>
      <c r="B229" t="inlineStr">
        <is>
          <t>avverkningsanmälan</t>
        </is>
      </c>
      <c r="C229" t="inlineStr">
        <is>
          <t>Föryngringsavverkning</t>
        </is>
      </c>
      <c r="D229" s="1" t="n">
        <v>46105</v>
      </c>
      <c r="E229" s="1" t="n">
        <v>46298</v>
      </c>
      <c r="F229" t="inlineStr">
        <is>
          <t>DALARNAS LÄN</t>
        </is>
      </c>
      <c r="G229" t="inlineStr">
        <is>
          <t>HEDEMORA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15232-2026</t>
        </is>
      </c>
      <c r="B230" t="inlineStr">
        <is>
          <t>avverkningsanmälan</t>
        </is>
      </c>
      <c r="C230" t="inlineStr">
        <is>
          <t>Föryngringsavverkning</t>
        </is>
      </c>
      <c r="D230" s="1" t="n">
        <v>46105</v>
      </c>
      <c r="E230" s="1" t="n">
        <v>46298</v>
      </c>
      <c r="F230" t="inlineStr">
        <is>
          <t>DALARNAS LÄN</t>
        </is>
      </c>
      <c r="G230" t="inlineStr">
        <is>
          <t>HEDEMORA</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16260-2026</t>
        </is>
      </c>
      <c r="B231" t="inlineStr">
        <is>
          <t>avverkningsanmälan</t>
        </is>
      </c>
      <c r="C231" t="inlineStr">
        <is>
          <t>Föryngringsavverkning</t>
        </is>
      </c>
      <c r="D231" s="1" t="n">
        <v>46108</v>
      </c>
      <c r="E231" s="1" t="n">
        <v>46298</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16279-2026</t>
        </is>
      </c>
      <c r="B232" t="inlineStr">
        <is>
          <t>avverkningsanmälan</t>
        </is>
      </c>
      <c r="C232" t="inlineStr">
        <is>
          <t>Föryngringsavverkning</t>
        </is>
      </c>
      <c r="D232" s="1" t="n">
        <v>46111</v>
      </c>
      <c r="E232" s="1" t="n">
        <v>46298</v>
      </c>
      <c r="F232" t="inlineStr">
        <is>
          <t>DALARNAS LÄN</t>
        </is>
      </c>
      <c r="G232" t="inlineStr">
        <is>
          <t>HEDEMORA</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16282-2026</t>
        </is>
      </c>
      <c r="B233" t="inlineStr">
        <is>
          <t>avverkningsanmälan</t>
        </is>
      </c>
      <c r="C233" t="inlineStr">
        <is>
          <t>Föryngringsavverkning</t>
        </is>
      </c>
      <c r="D233" s="1" t="n">
        <v>46111</v>
      </c>
      <c r="E233" s="1" t="n">
        <v>46298</v>
      </c>
      <c r="F233" t="inlineStr">
        <is>
          <t>DALARNAS LÄN</t>
        </is>
      </c>
      <c r="G233" t="inlineStr">
        <is>
          <t>HEDEMORA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37574-2025</t>
        </is>
      </c>
      <c r="B234" t="inlineStr">
        <is>
          <t>avverkningsanmälan</t>
        </is>
      </c>
      <c r="C234" t="inlineStr">
        <is>
          <t>Föryngringsavverkning</t>
        </is>
      </c>
      <c r="D234" s="1" t="n">
        <v>45880</v>
      </c>
      <c r="E234" s="1" t="n">
        <v>46298</v>
      </c>
      <c r="F234" t="inlineStr">
        <is>
          <t>DALARNAS LÄN</t>
        </is>
      </c>
      <c r="G234" t="inlineStr">
        <is>
          <t>HEDEMORA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17206-2026</t>
        </is>
      </c>
      <c r="B235" t="inlineStr">
        <is>
          <t>avverkningsanmälan</t>
        </is>
      </c>
      <c r="C235" t="inlineStr">
        <is>
          <t>Föryngringsavverkning</t>
        </is>
      </c>
      <c r="D235" s="1" t="n">
        <v>46119</v>
      </c>
      <c r="E235" s="1" t="n">
        <v>46298</v>
      </c>
      <c r="F235" t="inlineStr">
        <is>
          <t>DALARNAS LÄN</t>
        </is>
      </c>
      <c r="G235" t="inlineStr">
        <is>
          <t>HEDEMORA</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37573-2025</t>
        </is>
      </c>
      <c r="B236" t="inlineStr">
        <is>
          <t>avverkningsanmälan</t>
        </is>
      </c>
      <c r="C236" t="inlineStr">
        <is>
          <t>Föryngringsavverkning</t>
        </is>
      </c>
      <c r="D236" s="1" t="n">
        <v>45880</v>
      </c>
      <c r="E236" s="1" t="n">
        <v>46298</v>
      </c>
      <c r="F236" t="inlineStr">
        <is>
          <t>DALARNAS LÄN</t>
        </is>
      </c>
      <c r="G236" t="inlineStr">
        <is>
          <t>HEDEMORA</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34409-2022</t>
        </is>
      </c>
      <c r="B237" t="inlineStr">
        <is>
          <t>avverkningsanmälan</t>
        </is>
      </c>
      <c r="C237" t="inlineStr">
        <is>
          <t>Föryngringsavverkning</t>
        </is>
      </c>
      <c r="D237" s="1" t="n">
        <v>44792</v>
      </c>
      <c r="E237" s="1" t="n">
        <v>46298</v>
      </c>
      <c r="F237" t="inlineStr">
        <is>
          <t>DALARNAS LÄN</t>
        </is>
      </c>
      <c r="G237" t="inlineStr">
        <is>
          <t>HEDEMORA</t>
        </is>
      </c>
      <c r="I237" t="n">
        <v>13.7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17884-2026</t>
        </is>
      </c>
      <c r="B238" t="inlineStr">
        <is>
          <t>avverkningsanmälan</t>
        </is>
      </c>
      <c r="C238" t="inlineStr">
        <is>
          <t>Föryngringsavverkning</t>
        </is>
      </c>
      <c r="D238" s="1" t="n">
        <v>46122</v>
      </c>
      <c r="E238" s="1" t="n">
        <v>46298</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17978-2026</t>
        </is>
      </c>
      <c r="B239" t="inlineStr">
        <is>
          <t>avverkningsanmälan</t>
        </is>
      </c>
      <c r="C239" t="inlineStr">
        <is>
          <t>Föryngringsavverkning</t>
        </is>
      </c>
      <c r="D239" s="1" t="n">
        <v>46124</v>
      </c>
      <c r="E239" s="1" t="n">
        <v>46298</v>
      </c>
      <c r="F239" t="inlineStr">
        <is>
          <t>DALARNAS LÄN</t>
        </is>
      </c>
      <c r="G239" t="inlineStr">
        <is>
          <t>HEDEMORA</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18015-2026</t>
        </is>
      </c>
      <c r="B240" t="inlineStr">
        <is>
          <t>avverkningsanmälan</t>
        </is>
      </c>
      <c r="C240" t="inlineStr">
        <is>
          <t>Avverkning för annat ändamål</t>
        </is>
      </c>
      <c r="D240" s="1" t="n">
        <v>46125</v>
      </c>
      <c r="E240" s="1" t="n">
        <v>46298</v>
      </c>
      <c r="F240" t="inlineStr">
        <is>
          <t>DALARNAS LÄN</t>
        </is>
      </c>
      <c r="G240" t="inlineStr">
        <is>
          <t>HEDEMORA</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18017-2026</t>
        </is>
      </c>
      <c r="B241" t="inlineStr">
        <is>
          <t>avverkningsanmälan</t>
        </is>
      </c>
      <c r="C241" t="inlineStr">
        <is>
          <t>Avverkning för annat ändamål</t>
        </is>
      </c>
      <c r="D241" s="1" t="n">
        <v>46125</v>
      </c>
      <c r="E241" s="1" t="n">
        <v>46298</v>
      </c>
      <c r="F241" t="inlineStr">
        <is>
          <t>DALARNAS LÄN</t>
        </is>
      </c>
      <c r="G241" t="inlineStr">
        <is>
          <t>HEDEMORA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18665-2026</t>
        </is>
      </c>
      <c r="B242" t="inlineStr">
        <is>
          <t>avverkningsanmälan</t>
        </is>
      </c>
      <c r="C242" t="inlineStr">
        <is>
          <t>Avverkning för annat ändamål</t>
        </is>
      </c>
      <c r="D242" s="1" t="n">
        <v>46128</v>
      </c>
      <c r="E242" s="1" t="n">
        <v>46298</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18654-2026</t>
        </is>
      </c>
      <c r="B243" t="inlineStr">
        <is>
          <t>avverkningsanmälan</t>
        </is>
      </c>
      <c r="C243" t="inlineStr">
        <is>
          <t>Avverkning för annat ändamål</t>
        </is>
      </c>
      <c r="D243" s="1" t="n">
        <v>46128</v>
      </c>
      <c r="E243" s="1" t="n">
        <v>46298</v>
      </c>
      <c r="F243" t="inlineStr">
        <is>
          <t>DALARNAS LÄN</t>
        </is>
      </c>
      <c r="G243" t="inlineStr">
        <is>
          <t>HEDEMORA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30471-2025</t>
        </is>
      </c>
      <c r="B244" t="inlineStr">
        <is>
          <t>avverkningsanmälan</t>
        </is>
      </c>
      <c r="C244" t="inlineStr">
        <is>
          <t>Föryngringsavverkning</t>
        </is>
      </c>
      <c r="D244" s="1" t="n">
        <v>45827</v>
      </c>
      <c r="E244" s="1" t="n">
        <v>46298</v>
      </c>
      <c r="F244" t="inlineStr">
        <is>
          <t>DALARNAS LÄN</t>
        </is>
      </c>
      <c r="G244" t="inlineStr">
        <is>
          <t>HEDEMORA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19262-2026</t>
        </is>
      </c>
      <c r="B245" t="inlineStr">
        <is>
          <t>avverkningsanmälan</t>
        </is>
      </c>
      <c r="C245" t="inlineStr">
        <is>
          <t>Avverkning för annat ändamål</t>
        </is>
      </c>
      <c r="D245" s="1" t="n">
        <v>46132</v>
      </c>
      <c r="E245" s="1" t="n">
        <v>46298</v>
      </c>
      <c r="F245" t="inlineStr">
        <is>
          <t>DALARNAS LÄN</t>
        </is>
      </c>
      <c r="G245" t="inlineStr">
        <is>
          <t>HEDEMORA</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19564-2026</t>
        </is>
      </c>
      <c r="B246" t="inlineStr">
        <is>
          <t>avverkningsanmälan</t>
        </is>
      </c>
      <c r="C246" t="inlineStr">
        <is>
          <t>Föryngringsavverkning</t>
        </is>
      </c>
      <c r="D246" s="1" t="n">
        <v>46134</v>
      </c>
      <c r="E246" s="1" t="n">
        <v>46298</v>
      </c>
      <c r="F246" t="inlineStr">
        <is>
          <t>DALARNAS LÄN</t>
        </is>
      </c>
      <c r="G246" t="inlineStr">
        <is>
          <t>HEDEMORA</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19670-2026</t>
        </is>
      </c>
      <c r="B247" t="inlineStr">
        <is>
          <t>avverkningsanmälan</t>
        </is>
      </c>
      <c r="C247" t="inlineStr">
        <is>
          <t>Föryngringsavverkning</t>
        </is>
      </c>
      <c r="D247" s="1" t="n">
        <v>46134</v>
      </c>
      <c r="E247" s="1" t="n">
        <v>46298</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59232-2023</t>
        </is>
      </c>
      <c r="B248" t="inlineStr">
        <is>
          <t>avverkningsanmälan</t>
        </is>
      </c>
      <c r="C248" t="inlineStr">
        <is>
          <t>Föryngringsavverkning</t>
        </is>
      </c>
      <c r="D248" s="1" t="n">
        <v>45253</v>
      </c>
      <c r="E248" s="1" t="n">
        <v>46298</v>
      </c>
      <c r="F248" t="inlineStr">
        <is>
          <t>DALARNAS LÄN</t>
        </is>
      </c>
      <c r="G248" t="inlineStr">
        <is>
          <t>HEDEMORA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3089-2024</t>
        </is>
      </c>
      <c r="B249" t="inlineStr">
        <is>
          <t>avverkningsanmälan</t>
        </is>
      </c>
      <c r="C249" t="inlineStr">
        <is>
          <t>Föryngringsavverkning</t>
        </is>
      </c>
      <c r="D249" s="1" t="n">
        <v>45316</v>
      </c>
      <c r="E249" s="1" t="n">
        <v>46298</v>
      </c>
      <c r="F249" t="inlineStr">
        <is>
          <t>DALARNAS LÄN</t>
        </is>
      </c>
      <c r="G249" t="inlineStr">
        <is>
          <t>HEDEMORA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20385-2026</t>
        </is>
      </c>
      <c r="B250" t="inlineStr">
        <is>
          <t>avverkningsanmälan</t>
        </is>
      </c>
      <c r="C250" t="inlineStr">
        <is>
          <t>Föryngringsavverkning</t>
        </is>
      </c>
      <c r="D250" s="1" t="n">
        <v>46139</v>
      </c>
      <c r="E250" s="1" t="n">
        <v>46298</v>
      </c>
      <c r="F250" t="inlineStr">
        <is>
          <t>DALARNAS LÄN</t>
        </is>
      </c>
      <c r="G250" t="inlineStr">
        <is>
          <t>HEDEMORA</t>
        </is>
      </c>
      <c r="H250" t="inlineStr">
        <is>
          <t>Sveaskog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53584-2023</t>
        </is>
      </c>
      <c r="B251" t="inlineStr">
        <is>
          <t>avverkningsanmälan</t>
        </is>
      </c>
      <c r="C251" t="inlineStr">
        <is>
          <t>Föryngringsavverkning</t>
        </is>
      </c>
      <c r="D251" s="1" t="n">
        <v>45230</v>
      </c>
      <c r="E251" s="1" t="n">
        <v>46298</v>
      </c>
      <c r="F251" t="inlineStr">
        <is>
          <t>DALARNAS LÄN</t>
        </is>
      </c>
      <c r="G251" t="inlineStr">
        <is>
          <t>HEDEMORA</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33009-2025</t>
        </is>
      </c>
      <c r="B252" t="inlineStr">
        <is>
          <t>avverkningsanmälan</t>
        </is>
      </c>
      <c r="C252" t="inlineStr">
        <is>
          <t>Föryngringsavverkning</t>
        </is>
      </c>
      <c r="D252" s="1" t="n">
        <v>45840</v>
      </c>
      <c r="E252" s="1" t="n">
        <v>46298</v>
      </c>
      <c r="F252" t="inlineStr">
        <is>
          <t>DALARNAS LÄN</t>
        </is>
      </c>
      <c r="G252" t="inlineStr">
        <is>
          <t>HEDEMORA</t>
        </is>
      </c>
      <c r="H252" t="inlineStr">
        <is>
          <t>Kyrkan</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33286-2025</t>
        </is>
      </c>
      <c r="B253" t="inlineStr">
        <is>
          <t>avverkningsanmälan</t>
        </is>
      </c>
      <c r="C253" t="inlineStr">
        <is>
          <t>Föryngringsavverkning</t>
        </is>
      </c>
      <c r="D253" s="1" t="n">
        <v>45840</v>
      </c>
      <c r="E253" s="1" t="n">
        <v>46298</v>
      </c>
      <c r="F253" t="inlineStr">
        <is>
          <t>DALARNAS LÄN</t>
        </is>
      </c>
      <c r="G253" t="inlineStr">
        <is>
          <t>HEDEMORA</t>
        </is>
      </c>
      <c r="H253" t="inlineStr">
        <is>
          <t>Sveaskog</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19932-2026</t>
        </is>
      </c>
      <c r="B254" t="inlineStr">
        <is>
          <t>avverkningsanmälan</t>
        </is>
      </c>
      <c r="C254" t="inlineStr">
        <is>
          <t>Föryngringsavverkning</t>
        </is>
      </c>
      <c r="D254" s="1" t="n">
        <v>46136</v>
      </c>
      <c r="E254" s="1" t="n">
        <v>46298</v>
      </c>
      <c r="F254" t="inlineStr">
        <is>
          <t>DALARNAS LÄN</t>
        </is>
      </c>
      <c r="G254" t="inlineStr">
        <is>
          <t>HEDEMORA</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29585-2024</t>
        </is>
      </c>
      <c r="B255" t="inlineStr">
        <is>
          <t>avverkningsanmälan</t>
        </is>
      </c>
      <c r="C255" t="inlineStr">
        <is>
          <t>Föryngringsavverkning</t>
        </is>
      </c>
      <c r="D255" s="1" t="n">
        <v>45484</v>
      </c>
      <c r="E255" s="1" t="n">
        <v>46298</v>
      </c>
      <c r="F255" t="inlineStr">
        <is>
          <t>DALARNAS LÄN</t>
        </is>
      </c>
      <c r="G255" t="inlineStr">
        <is>
          <t>HEDEMORA</t>
        </is>
      </c>
      <c r="H255" t="inlineStr">
        <is>
          <t>Bergvik skog väst AB</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48834-2023</t>
        </is>
      </c>
      <c r="B256" t="inlineStr">
        <is>
          <t>avverkningsanmälan</t>
        </is>
      </c>
      <c r="C256" t="inlineStr">
        <is>
          <t>Föryngringsavverkning</t>
        </is>
      </c>
      <c r="D256" s="1" t="n">
        <v>45209</v>
      </c>
      <c r="E256" s="1" t="n">
        <v>46298</v>
      </c>
      <c r="F256" t="inlineStr">
        <is>
          <t>DALARNAS LÄN</t>
        </is>
      </c>
      <c r="G256" t="inlineStr">
        <is>
          <t>HEDEMORA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34734-2025</t>
        </is>
      </c>
      <c r="B257" t="inlineStr">
        <is>
          <t>avverkningsanmälan</t>
        </is>
      </c>
      <c r="C257" t="inlineStr">
        <is>
          <t>Föryngringsavverkning</t>
        </is>
      </c>
      <c r="D257" s="1" t="n">
        <v>45848</v>
      </c>
      <c r="E257" s="1" t="n">
        <v>46298</v>
      </c>
      <c r="F257" t="inlineStr">
        <is>
          <t>DALARNAS LÄN</t>
        </is>
      </c>
      <c r="G257" t="inlineStr">
        <is>
          <t>HEDEMORA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6687-2026</t>
        </is>
      </c>
      <c r="B258" t="inlineStr">
        <is>
          <t>avverkningsanmälan</t>
        </is>
      </c>
      <c r="C258" t="inlineStr">
        <is>
          <t>Föryngringsavverkning</t>
        </is>
      </c>
      <c r="D258" s="1" t="n">
        <v>46056</v>
      </c>
      <c r="E258" s="1" t="n">
        <v>46298</v>
      </c>
      <c r="F258" t="inlineStr">
        <is>
          <t>DALARNAS LÄN</t>
        </is>
      </c>
      <c r="G258" t="inlineStr">
        <is>
          <t>HEDEMORA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9106-2026</t>
        </is>
      </c>
      <c r="B259" t="inlineStr">
        <is>
          <t>avverkningsanmälan</t>
        </is>
      </c>
      <c r="C259" t="inlineStr">
        <is>
          <t>Föryngringsavverkning</t>
        </is>
      </c>
      <c r="D259" s="1" t="n">
        <v>46069</v>
      </c>
      <c r="E259" s="1" t="n">
        <v>46298</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63829-2025</t>
        </is>
      </c>
      <c r="B260" t="inlineStr">
        <is>
          <t>avverkningsanmälan</t>
        </is>
      </c>
      <c r="C260" t="inlineStr">
        <is>
          <t>Föryngringsavverkning</t>
        </is>
      </c>
      <c r="D260" s="1" t="n">
        <v>46020</v>
      </c>
      <c r="E260" s="1" t="n">
        <v>46298</v>
      </c>
      <c r="F260" t="inlineStr">
        <is>
          <t>DALARNAS LÄN</t>
        </is>
      </c>
      <c r="G260" t="inlineStr">
        <is>
          <t>HEDEMORA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29283-2022</t>
        </is>
      </c>
      <c r="B261" t="inlineStr">
        <is>
          <t>avverkningsanmälan</t>
        </is>
      </c>
      <c r="C261" t="inlineStr">
        <is>
          <t>Föryngringsavverkning</t>
        </is>
      </c>
      <c r="D261" s="1" t="n">
        <v>44750</v>
      </c>
      <c r="E261" s="1" t="n">
        <v>46298</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46298</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65057-2023</t>
        </is>
      </c>
      <c r="B263" t="inlineStr">
        <is>
          <t>avverkningsanmälan</t>
        </is>
      </c>
      <c r="C263" t="inlineStr">
        <is>
          <t>Föryngringsavverkning</t>
        </is>
      </c>
      <c r="D263" s="1" t="n">
        <v>45287</v>
      </c>
      <c r="E263" s="1" t="n">
        <v>46298</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46298</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15048-2025</t>
        </is>
      </c>
      <c r="B265" t="inlineStr">
        <is>
          <t>avverkningsanmälan</t>
        </is>
      </c>
      <c r="C265" t="inlineStr">
        <is>
          <t>Föryngringsavverkning</t>
        </is>
      </c>
      <c r="D265" s="1" t="n">
        <v>45743</v>
      </c>
      <c r="E265" s="1" t="n">
        <v>46298</v>
      </c>
      <c r="F265" t="inlineStr">
        <is>
          <t>DALARNAS LÄN</t>
        </is>
      </c>
      <c r="G265" t="inlineStr">
        <is>
          <t>HEDEMORA</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55832-2024</t>
        </is>
      </c>
      <c r="B266" t="inlineStr">
        <is>
          <t>avverkningsanmälan</t>
        </is>
      </c>
      <c r="C266" t="inlineStr">
        <is>
          <t>Föryngringsavverkning</t>
        </is>
      </c>
      <c r="D266" s="1" t="n">
        <v>45623</v>
      </c>
      <c r="E266" s="1" t="n">
        <v>46298</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39552-2024</t>
        </is>
      </c>
      <c r="B267" t="inlineStr">
        <is>
          <t>avverkningsanmälan</t>
        </is>
      </c>
      <c r="C267" t="inlineStr">
        <is>
          <t>Föryngringsavverkning</t>
        </is>
      </c>
      <c r="D267" s="1" t="n">
        <v>45551</v>
      </c>
      <c r="E267" s="1" t="n">
        <v>46298</v>
      </c>
      <c r="F267" t="inlineStr">
        <is>
          <t>DALARNAS LÄN</t>
        </is>
      </c>
      <c r="G267" t="inlineStr">
        <is>
          <t>HEDEMORA</t>
        </is>
      </c>
      <c r="H267" t="inlineStr">
        <is>
          <t>Bergvik skog väst AB</t>
        </is>
      </c>
      <c r="I267" t="n">
        <v>24.1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60774-2022</t>
        </is>
      </c>
      <c r="B268" t="inlineStr">
        <is>
          <t>avverkningsanmälan</t>
        </is>
      </c>
      <c r="C268" t="inlineStr">
        <is>
          <t>Föryngringsavverkning</t>
        </is>
      </c>
      <c r="D268" s="1" t="n">
        <v>44914</v>
      </c>
      <c r="E268" s="1" t="n">
        <v>46298</v>
      </c>
      <c r="F268" t="inlineStr">
        <is>
          <t>DALARNAS LÄN</t>
        </is>
      </c>
      <c r="G268" t="inlineStr">
        <is>
          <t>HEDEMORA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11541-2026</t>
        </is>
      </c>
      <c r="B269" t="inlineStr">
        <is>
          <t>avverkningsanmälan</t>
        </is>
      </c>
      <c r="C269" t="inlineStr">
        <is>
          <t>Föryngringsavverkning</t>
        </is>
      </c>
      <c r="D269" s="1" t="n">
        <v>46083</v>
      </c>
      <c r="E269" s="1" t="n">
        <v>46298</v>
      </c>
      <c r="F269" t="inlineStr">
        <is>
          <t>DALARNAS LÄN</t>
        </is>
      </c>
      <c r="G269" t="inlineStr">
        <is>
          <t>HEDEMORA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36075-2025</t>
        </is>
      </c>
      <c r="B270" t="inlineStr">
        <is>
          <t>avverkningsanmälan</t>
        </is>
      </c>
      <c r="C270" t="inlineStr">
        <is>
          <t>Avverkning för annat ändamål</t>
        </is>
      </c>
      <c r="D270" s="1" t="n">
        <v>45866</v>
      </c>
      <c r="E270" s="1" t="n">
        <v>46298</v>
      </c>
      <c r="F270" t="inlineStr">
        <is>
          <t>DALARNAS LÄN</t>
        </is>
      </c>
      <c r="G270" t="inlineStr">
        <is>
          <t>HEDEMORA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42894-2024</t>
        </is>
      </c>
      <c r="B271" t="inlineStr">
        <is>
          <t>avverkningsanmälan</t>
        </is>
      </c>
      <c r="C271" t="inlineStr">
        <is>
          <t>Föryngringsavverkning</t>
        </is>
      </c>
      <c r="D271" s="1" t="n">
        <v>45566</v>
      </c>
      <c r="E271" s="1" t="n">
        <v>46298</v>
      </c>
      <c r="F271" t="inlineStr">
        <is>
          <t>DALARNAS LÄN</t>
        </is>
      </c>
      <c r="G271" t="inlineStr">
        <is>
          <t>HEDEMORA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31365-2024</t>
        </is>
      </c>
      <c r="B272" t="inlineStr">
        <is>
          <t>avverkningsanmälan</t>
        </is>
      </c>
      <c r="C272" t="inlineStr">
        <is>
          <t>Föryngringsavverkning</t>
        </is>
      </c>
      <c r="D272" s="1" t="n">
        <v>45505</v>
      </c>
      <c r="E272" s="1" t="n">
        <v>46298</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36117-2025</t>
        </is>
      </c>
      <c r="B273" t="inlineStr">
        <is>
          <t>avverkningsanmälan</t>
        </is>
      </c>
      <c r="C273" t="inlineStr">
        <is>
          <t>Föryngringsavverkning</t>
        </is>
      </c>
      <c r="D273" s="1" t="n">
        <v>45866</v>
      </c>
      <c r="E273" s="1" t="n">
        <v>46298</v>
      </c>
      <c r="F273" t="inlineStr">
        <is>
          <t>DALARNAS LÄN</t>
        </is>
      </c>
      <c r="G273" t="inlineStr">
        <is>
          <t>HEDEMORA</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36935-2024</t>
        </is>
      </c>
      <c r="B274" t="inlineStr">
        <is>
          <t>avverkningsanmälan</t>
        </is>
      </c>
      <c r="C274" t="inlineStr">
        <is>
          <t>Föryngringsavverkning</t>
        </is>
      </c>
      <c r="D274" s="1" t="n">
        <v>45538</v>
      </c>
      <c r="E274" s="1" t="n">
        <v>46298</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36206-2025</t>
        </is>
      </c>
      <c r="B275" t="inlineStr">
        <is>
          <t>avverkningsanmälan</t>
        </is>
      </c>
      <c r="C275" t="inlineStr">
        <is>
          <t>Avverkning för annat ändamål</t>
        </is>
      </c>
      <c r="D275" s="1" t="n">
        <v>45867</v>
      </c>
      <c r="E275" s="1" t="n">
        <v>46298</v>
      </c>
      <c r="F275" t="inlineStr">
        <is>
          <t>DALARNAS LÄN</t>
        </is>
      </c>
      <c r="G275" t="inlineStr">
        <is>
          <t>HEDEMORA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46298</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1721-2026</t>
        </is>
      </c>
      <c r="B277" t="inlineStr">
        <is>
          <t>avverkningsanmälan</t>
        </is>
      </c>
      <c r="C277" t="inlineStr">
        <is>
          <t>Föryngringsavverkning</t>
        </is>
      </c>
      <c r="D277" s="1" t="n">
        <v>46034</v>
      </c>
      <c r="E277" s="1" t="n">
        <v>46298</v>
      </c>
      <c r="F277" t="inlineStr">
        <is>
          <t>DALARNAS LÄN</t>
        </is>
      </c>
      <c r="G277" t="inlineStr">
        <is>
          <t>HEDEMORA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56668-2024</t>
        </is>
      </c>
      <c r="B278" t="inlineStr">
        <is>
          <t>avverkningsanmälan</t>
        </is>
      </c>
      <c r="C278" t="inlineStr">
        <is>
          <t>Föryngringsavverkning</t>
        </is>
      </c>
      <c r="D278" s="1" t="n">
        <v>45626</v>
      </c>
      <c r="E278" s="1" t="n">
        <v>46298</v>
      </c>
      <c r="F278" t="inlineStr">
        <is>
          <t>DALARNAS LÄN</t>
        </is>
      </c>
      <c r="G278" t="inlineStr">
        <is>
          <t>HEDEMORA</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14949-2025</t>
        </is>
      </c>
      <c r="B279" t="inlineStr">
        <is>
          <t>avverkningsanmälan</t>
        </is>
      </c>
      <c r="C279" t="inlineStr">
        <is>
          <t>Föryngringsavverkning</t>
        </is>
      </c>
      <c r="D279" s="1" t="n">
        <v>45743</v>
      </c>
      <c r="E279" s="1" t="n">
        <v>46298</v>
      </c>
      <c r="F279" t="inlineStr">
        <is>
          <t>DALARNAS LÄN</t>
        </is>
      </c>
      <c r="G279" t="inlineStr">
        <is>
          <t>HEDEMORA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12133-2025</t>
        </is>
      </c>
      <c r="B280" t="inlineStr">
        <is>
          <t>avverkningsanmälan</t>
        </is>
      </c>
      <c r="C280" t="inlineStr">
        <is>
          <t>Föryngringsavverkning</t>
        </is>
      </c>
      <c r="D280" s="1" t="n">
        <v>45729</v>
      </c>
      <c r="E280" s="1" t="n">
        <v>46298</v>
      </c>
      <c r="F280" t="inlineStr">
        <is>
          <t>DALARNAS LÄN</t>
        </is>
      </c>
      <c r="G280" t="inlineStr">
        <is>
          <t>HEDEMORA</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46825-2024</t>
        </is>
      </c>
      <c r="B281" t="inlineStr">
        <is>
          <t>avverkningsanmälan</t>
        </is>
      </c>
      <c r="C281" t="inlineStr">
        <is>
          <t>Föryngringsavverkning</t>
        </is>
      </c>
      <c r="D281" s="1" t="n">
        <v>45583</v>
      </c>
      <c r="E281" s="1" t="n">
        <v>46298</v>
      </c>
      <c r="F281" t="inlineStr">
        <is>
          <t>DALARNAS LÄN</t>
        </is>
      </c>
      <c r="G281" t="inlineStr">
        <is>
          <t>HEDEMORA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45377-2024</t>
        </is>
      </c>
      <c r="B282" t="inlineStr">
        <is>
          <t>avverkningsanmälan</t>
        </is>
      </c>
      <c r="C282" t="inlineStr">
        <is>
          <t>Föryngringsavverkning</t>
        </is>
      </c>
      <c r="D282" s="1" t="n">
        <v>45576</v>
      </c>
      <c r="E282" s="1" t="n">
        <v>46298</v>
      </c>
      <c r="F282" t="inlineStr">
        <is>
          <t>DALARNAS LÄN</t>
        </is>
      </c>
      <c r="G282" t="inlineStr">
        <is>
          <t>HEDEMORA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26452-2024</t>
        </is>
      </c>
      <c r="B283" t="inlineStr">
        <is>
          <t>avverkningsanmälan</t>
        </is>
      </c>
      <c r="C283" t="inlineStr">
        <is>
          <t>Föryngringsavverkning</t>
        </is>
      </c>
      <c r="D283" s="1" t="n">
        <v>45469</v>
      </c>
      <c r="E283" s="1" t="n">
        <v>46298</v>
      </c>
      <c r="F283" t="inlineStr">
        <is>
          <t>DALARNAS LÄN</t>
        </is>
      </c>
      <c r="G283" t="inlineStr">
        <is>
          <t>HEDEMORA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41523-2023</t>
        </is>
      </c>
      <c r="B284" t="inlineStr">
        <is>
          <t>avverkningsanmälan</t>
        </is>
      </c>
      <c r="C284" t="inlineStr">
        <is>
          <t>Föryngringsavverkning</t>
        </is>
      </c>
      <c r="D284" s="1" t="n">
        <v>45172</v>
      </c>
      <c r="E284" s="1" t="n">
        <v>46298</v>
      </c>
      <c r="F284" t="inlineStr">
        <is>
          <t>DALARNAS LÄN</t>
        </is>
      </c>
      <c r="G284" t="inlineStr">
        <is>
          <t>HEDEMORA</t>
        </is>
      </c>
      <c r="H284" t="inlineStr">
        <is>
          <t>Bergvik skog väst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54310-2021</t>
        </is>
      </c>
      <c r="B285" t="inlineStr">
        <is>
          <t>avverkningsanmälan</t>
        </is>
      </c>
      <c r="C285" t="inlineStr">
        <is>
          <t>Föryngringsavverkning</t>
        </is>
      </c>
      <c r="D285" s="1" t="n">
        <v>44472</v>
      </c>
      <c r="E285" s="1" t="n">
        <v>46298</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22882-2026</t>
        </is>
      </c>
      <c r="B286" t="inlineStr">
        <is>
          <t>avverkningsanmälan</t>
        </is>
      </c>
      <c r="C286" t="inlineStr">
        <is>
          <t>Föryngringsavverkning</t>
        </is>
      </c>
      <c r="D286" s="1" t="n">
        <v>46157</v>
      </c>
      <c r="E286" s="1" t="n">
        <v>46298</v>
      </c>
      <c r="F286" t="inlineStr">
        <is>
          <t>DALARNAS LÄN</t>
        </is>
      </c>
      <c r="G286" t="inlineStr">
        <is>
          <t>HEDEMORA</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17147-2026</t>
        </is>
      </c>
      <c r="B287" t="inlineStr">
        <is>
          <t>avverkningsanmälan</t>
        </is>
      </c>
      <c r="C287" t="inlineStr">
        <is>
          <t>Föryngringsavverkning</t>
        </is>
      </c>
      <c r="D287" s="1" t="n">
        <v>46114</v>
      </c>
      <c r="E287" s="1" t="n">
        <v>46298</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57745-2024</t>
        </is>
      </c>
      <c r="B288" t="inlineStr">
        <is>
          <t>avverkningsanmälan</t>
        </is>
      </c>
      <c r="C288" t="inlineStr">
        <is>
          <t>Föryngringsavverkning</t>
        </is>
      </c>
      <c r="D288" s="1" t="n">
        <v>45630</v>
      </c>
      <c r="E288" s="1" t="n">
        <v>46298</v>
      </c>
      <c r="F288" t="inlineStr">
        <is>
          <t>DALARNAS LÄN</t>
        </is>
      </c>
      <c r="G288" t="inlineStr">
        <is>
          <t>HEDEMORA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46217-2023</t>
        </is>
      </c>
      <c r="B289" t="inlineStr">
        <is>
          <t>avverkningsanmälan</t>
        </is>
      </c>
      <c r="C289" t="inlineStr">
        <is>
          <t>Föryngringsavverkning</t>
        </is>
      </c>
      <c r="D289" s="1" t="n">
        <v>45190</v>
      </c>
      <c r="E289" s="1" t="n">
        <v>46298</v>
      </c>
      <c r="F289" t="inlineStr">
        <is>
          <t>DALARNAS LÄN</t>
        </is>
      </c>
      <c r="G289" t="inlineStr">
        <is>
          <t>HEDEMORA</t>
        </is>
      </c>
      <c r="H289" t="inlineStr">
        <is>
          <t>Bergvik skog väst AB</t>
        </is>
      </c>
      <c r="I289" t="n">
        <v>8.800000000000001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23194-2026</t>
        </is>
      </c>
      <c r="B290" t="inlineStr">
        <is>
          <t>avverkningsanmälan</t>
        </is>
      </c>
      <c r="C290" t="inlineStr">
        <is>
          <t>Föryngringsavverkning</t>
        </is>
      </c>
      <c r="D290" s="1" t="n">
        <v>46161</v>
      </c>
      <c r="E290" s="1" t="n">
        <v>46298</v>
      </c>
      <c r="F290" t="inlineStr">
        <is>
          <t>DALARNAS LÄN</t>
        </is>
      </c>
      <c r="G290" t="inlineStr">
        <is>
          <t>HEDEMORA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15635-2022</t>
        </is>
      </c>
      <c r="B291" t="inlineStr">
        <is>
          <t>avverkningsanmälan</t>
        </is>
      </c>
      <c r="C291" t="inlineStr">
        <is>
          <t>Föryngringsavverkning</t>
        </is>
      </c>
      <c r="D291" s="1" t="n">
        <v>44662</v>
      </c>
      <c r="E291" s="1" t="n">
        <v>46298</v>
      </c>
      <c r="F291" t="inlineStr">
        <is>
          <t>DALARNAS LÄN</t>
        </is>
      </c>
      <c r="G291" t="inlineStr">
        <is>
          <t>HEDEMORA</t>
        </is>
      </c>
      <c r="H291" t="inlineStr">
        <is>
          <t>Bergvik skog väst AB</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21092-2023</t>
        </is>
      </c>
      <c r="B292" t="inlineStr">
        <is>
          <t>avverkningsanmälan</t>
        </is>
      </c>
      <c r="C292" t="inlineStr">
        <is>
          <t>Avverkning för annat ändamål</t>
        </is>
      </c>
      <c r="D292" s="1" t="n">
        <v>45061</v>
      </c>
      <c r="E292" s="1" t="n">
        <v>46298</v>
      </c>
      <c r="F292" t="inlineStr">
        <is>
          <t>DALARNAS LÄN</t>
        </is>
      </c>
      <c r="G292" t="inlineStr">
        <is>
          <t>HEDEMORA</t>
        </is>
      </c>
      <c r="H292" t="inlineStr">
        <is>
          <t>Sveaskog</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23466-2026</t>
        </is>
      </c>
      <c r="B293" t="inlineStr">
        <is>
          <t>avverkningsanmälan</t>
        </is>
      </c>
      <c r="C293" t="inlineStr">
        <is>
          <t>Föryngringsavverkning</t>
        </is>
      </c>
      <c r="D293" s="1" t="n">
        <v>46163</v>
      </c>
      <c r="E293" s="1" t="n">
        <v>46298</v>
      </c>
      <c r="F293" t="inlineStr">
        <is>
          <t>DALARNAS LÄN</t>
        </is>
      </c>
      <c r="G293" t="inlineStr">
        <is>
          <t>HEDEMORA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7172-2025</t>
        </is>
      </c>
      <c r="B294" t="inlineStr">
        <is>
          <t>avverkningsanmälan</t>
        </is>
      </c>
      <c r="C294" t="inlineStr">
        <is>
          <t>Föryngringsavverkning</t>
        </is>
      </c>
      <c r="D294" s="1" t="n">
        <v>45702</v>
      </c>
      <c r="E294" s="1" t="n">
        <v>46298</v>
      </c>
      <c r="F294" t="inlineStr">
        <is>
          <t>DALARNAS LÄN</t>
        </is>
      </c>
      <c r="G294" t="inlineStr">
        <is>
          <t>HEDEMORA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23639-2026</t>
        </is>
      </c>
      <c r="B295" t="inlineStr">
        <is>
          <t>avverkningsanmälan</t>
        </is>
      </c>
      <c r="C295" t="inlineStr">
        <is>
          <t>Föryngringsavverkning</t>
        </is>
      </c>
      <c r="D295" s="1" t="n">
        <v>46164</v>
      </c>
      <c r="E295" s="1" t="n">
        <v>46298</v>
      </c>
      <c r="F295" t="inlineStr">
        <is>
          <t>DALARNAS LÄN</t>
        </is>
      </c>
      <c r="G295" t="inlineStr">
        <is>
          <t>HEDEMORA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23998-2026</t>
        </is>
      </c>
      <c r="B296" t="inlineStr">
        <is>
          <t>avverkningsanmälan</t>
        </is>
      </c>
      <c r="C296" t="inlineStr">
        <is>
          <t>Föryngringsavverkning</t>
        </is>
      </c>
      <c r="D296" s="1" t="n">
        <v>46167</v>
      </c>
      <c r="E296" s="1" t="n">
        <v>46298</v>
      </c>
      <c r="F296" t="inlineStr">
        <is>
          <t>DALARNAS LÄN</t>
        </is>
      </c>
      <c r="G296" t="inlineStr">
        <is>
          <t>HEDEMORA</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53568-2023</t>
        </is>
      </c>
      <c r="B297" t="inlineStr">
        <is>
          <t>avverkningsanmälan</t>
        </is>
      </c>
      <c r="C297" t="inlineStr">
        <is>
          <t>Föryngringsavverkning</t>
        </is>
      </c>
      <c r="D297" s="1" t="n">
        <v>45230</v>
      </c>
      <c r="E297" s="1" t="n">
        <v>46298</v>
      </c>
      <c r="F297" t="inlineStr">
        <is>
          <t>DALARNAS LÄN</t>
        </is>
      </c>
      <c r="G297" t="inlineStr">
        <is>
          <t>HEDEMORA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52942-2024</t>
        </is>
      </c>
      <c r="B298" t="inlineStr">
        <is>
          <t>avverkningsanmälan</t>
        </is>
      </c>
      <c r="C298" t="inlineStr">
        <is>
          <t>Föryngringsavverkning</t>
        </is>
      </c>
      <c r="D298" s="1" t="n">
        <v>45610</v>
      </c>
      <c r="E298" s="1" t="n">
        <v>46298</v>
      </c>
      <c r="F298" t="inlineStr">
        <is>
          <t>DALARNAS LÄN</t>
        </is>
      </c>
      <c r="G298" t="inlineStr">
        <is>
          <t>HEDEMORA</t>
        </is>
      </c>
      <c r="H298" t="inlineStr">
        <is>
          <t>Sveaskog</t>
        </is>
      </c>
      <c r="I298" t="n">
        <v>14.5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24340-2026</t>
        </is>
      </c>
      <c r="B299" t="inlineStr">
        <is>
          <t>avverkningsanmälan</t>
        </is>
      </c>
      <c r="C299" t="inlineStr">
        <is>
          <t>Föryngringsavverkning</t>
        </is>
      </c>
      <c r="D299" s="1" t="n">
        <v>46169</v>
      </c>
      <c r="E299" s="1" t="n">
        <v>46298</v>
      </c>
      <c r="F299" t="inlineStr">
        <is>
          <t>DALARNAS LÄN</t>
        </is>
      </c>
      <c r="G299" t="inlineStr">
        <is>
          <t>HEDEMORA</t>
        </is>
      </c>
      <c r="H299" t="inlineStr">
        <is>
          <t>Sveaskog</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24339-2026</t>
        </is>
      </c>
      <c r="B300" t="inlineStr">
        <is>
          <t>avverkningsanmälan</t>
        </is>
      </c>
      <c r="C300" t="inlineStr">
        <is>
          <t>Föryngringsavverkning</t>
        </is>
      </c>
      <c r="D300" s="1" t="n">
        <v>46169</v>
      </c>
      <c r="E300" s="1" t="n">
        <v>46298</v>
      </c>
      <c r="F300" t="inlineStr">
        <is>
          <t>DALARNAS LÄN</t>
        </is>
      </c>
      <c r="G300" t="inlineStr">
        <is>
          <t>HEDEMORA</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17222-2025</t>
        </is>
      </c>
      <c r="B301" t="inlineStr">
        <is>
          <t>avverkningsanmälan</t>
        </is>
      </c>
      <c r="C301" t="inlineStr">
        <is>
          <t>Föryngringsavverkning</t>
        </is>
      </c>
      <c r="D301" s="1" t="n">
        <v>45756</v>
      </c>
      <c r="E301" s="1" t="n">
        <v>46298</v>
      </c>
      <c r="F301" t="inlineStr">
        <is>
          <t>DALARNAS LÄN</t>
        </is>
      </c>
      <c r="G301" t="inlineStr">
        <is>
          <t>HEDEMORA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39497-2022</t>
        </is>
      </c>
      <c r="B302" t="inlineStr">
        <is>
          <t>avverkningsanmälan</t>
        </is>
      </c>
      <c r="C302" t="inlineStr">
        <is>
          <t>Föryngringsavverkning</t>
        </is>
      </c>
      <c r="D302" s="1" t="n">
        <v>44817</v>
      </c>
      <c r="E302" s="1" t="n">
        <v>46298</v>
      </c>
      <c r="F302" t="inlineStr">
        <is>
          <t>DALARNAS LÄN</t>
        </is>
      </c>
      <c r="G302" t="inlineStr">
        <is>
          <t>HEDEMORA</t>
        </is>
      </c>
      <c r="H302" t="inlineStr">
        <is>
          <t>Bergvik skog väst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24959-2026</t>
        </is>
      </c>
      <c r="B303" t="inlineStr">
        <is>
          <t>avverkningsanmälan</t>
        </is>
      </c>
      <c r="C303" t="inlineStr">
        <is>
          <t>Föryngringsavverkning</t>
        </is>
      </c>
      <c r="D303" s="1" t="n">
        <v>46174</v>
      </c>
      <c r="E303" s="1" t="n">
        <v>46298</v>
      </c>
      <c r="F303" t="inlineStr">
        <is>
          <t>DALARNAS LÄN</t>
        </is>
      </c>
      <c r="G303" t="inlineStr">
        <is>
          <t>HEDEMORA</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21868-2025</t>
        </is>
      </c>
      <c r="B304" t="inlineStr">
        <is>
          <t>avverkningsanmälan</t>
        </is>
      </c>
      <c r="C304" t="inlineStr">
        <is>
          <t>Föryngringsavverkning</t>
        </is>
      </c>
      <c r="D304" s="1" t="n">
        <v>45784</v>
      </c>
      <c r="E304" s="1" t="n">
        <v>46298</v>
      </c>
      <c r="F304" t="inlineStr">
        <is>
          <t>DALARNAS LÄN</t>
        </is>
      </c>
      <c r="G304" t="inlineStr">
        <is>
          <t>HEDEMORA</t>
        </is>
      </c>
      <c r="H304" t="inlineStr">
        <is>
          <t>Sveaskog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63929-2023</t>
        </is>
      </c>
      <c r="B305" t="inlineStr">
        <is>
          <t>avverkningsanmälan</t>
        </is>
      </c>
      <c r="C305" t="inlineStr">
        <is>
          <t>Föryngringsavverkning</t>
        </is>
      </c>
      <c r="D305" s="1" t="n">
        <v>45278</v>
      </c>
      <c r="E305" s="1" t="n">
        <v>46298</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46298</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54423-2023</t>
        </is>
      </c>
      <c r="B307" t="inlineStr">
        <is>
          <t>avverkningsanmälan</t>
        </is>
      </c>
      <c r="C307" t="inlineStr">
        <is>
          <t>Föryngringsavverkning</t>
        </is>
      </c>
      <c r="D307" s="1" t="n">
        <v>45233</v>
      </c>
      <c r="E307" s="1" t="n">
        <v>46298</v>
      </c>
      <c r="F307" t="inlineStr">
        <is>
          <t>DALARNAS LÄN</t>
        </is>
      </c>
      <c r="G307" t="inlineStr">
        <is>
          <t>HEDEMORA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62386-2023</t>
        </is>
      </c>
      <c r="B308" t="inlineStr">
        <is>
          <t>avverkningsanmälan</t>
        </is>
      </c>
      <c r="C308" t="inlineStr">
        <is>
          <t>Föryngringsavverkning</t>
        </is>
      </c>
      <c r="D308" s="1" t="n">
        <v>45268</v>
      </c>
      <c r="E308" s="1" t="n">
        <v>46298</v>
      </c>
      <c r="F308" t="inlineStr">
        <is>
          <t>DALARNAS LÄN</t>
        </is>
      </c>
      <c r="G308" t="inlineStr">
        <is>
          <t>HEDEMORA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62398-2023</t>
        </is>
      </c>
      <c r="B309" t="inlineStr">
        <is>
          <t>avverkningsanmälan</t>
        </is>
      </c>
      <c r="C309" t="inlineStr">
        <is>
          <t>Föryngringsavverkning</t>
        </is>
      </c>
      <c r="D309" s="1" t="n">
        <v>45268</v>
      </c>
      <c r="E309" s="1" t="n">
        <v>46298</v>
      </c>
      <c r="F309" t="inlineStr">
        <is>
          <t>DALARNAS LÄN</t>
        </is>
      </c>
      <c r="G309" t="inlineStr">
        <is>
          <t>HEDEMORA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7743-2026</t>
        </is>
      </c>
      <c r="B310" t="inlineStr">
        <is>
          <t>avverkningsanmälan</t>
        </is>
      </c>
      <c r="C310" t="inlineStr">
        <is>
          <t>Föryngringsavverkning</t>
        </is>
      </c>
      <c r="D310" s="1" t="n">
        <v>46062</v>
      </c>
      <c r="E310" s="1" t="n">
        <v>46298</v>
      </c>
      <c r="F310" t="inlineStr">
        <is>
          <t>DALARNAS LÄN</t>
        </is>
      </c>
      <c r="G310" t="inlineStr">
        <is>
          <t>HEDEMORA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22273-2023</t>
        </is>
      </c>
      <c r="B311" t="inlineStr">
        <is>
          <t>avverkningsanmälan</t>
        </is>
      </c>
      <c r="C311" t="inlineStr">
        <is>
          <t>Föryngringsavverkning</t>
        </is>
      </c>
      <c r="D311" s="1" t="n">
        <v>45070</v>
      </c>
      <c r="E311" s="1" t="n">
        <v>46298</v>
      </c>
      <c r="F311" t="inlineStr">
        <is>
          <t>DALARNAS LÄN</t>
        </is>
      </c>
      <c r="G311" t="inlineStr">
        <is>
          <t>HEDEMORA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886-2026</t>
        </is>
      </c>
      <c r="B312" t="inlineStr">
        <is>
          <t>avverkningsanmälan</t>
        </is>
      </c>
      <c r="C312" t="inlineStr">
        <is>
          <t>Föryngringsavverkning</t>
        </is>
      </c>
      <c r="D312" s="1" t="n">
        <v>46030</v>
      </c>
      <c r="E312" s="1" t="n">
        <v>46298</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25419-2026</t>
        </is>
      </c>
      <c r="B313" t="inlineStr">
        <is>
          <t>avverkningsanmälan</t>
        </is>
      </c>
      <c r="C313" t="inlineStr">
        <is>
          <t>Föryngringsavverkning</t>
        </is>
      </c>
      <c r="D313" s="1" t="n">
        <v>46177</v>
      </c>
      <c r="E313" s="1" t="n">
        <v>46298</v>
      </c>
      <c r="F313" t="inlineStr">
        <is>
          <t>DALARNAS LÄN</t>
        </is>
      </c>
      <c r="G313" t="inlineStr">
        <is>
          <t>HEDEMORA</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25421-2026</t>
        </is>
      </c>
      <c r="B314" t="inlineStr">
        <is>
          <t>avverkningsanmälan</t>
        </is>
      </c>
      <c r="C314" t="inlineStr">
        <is>
          <t>Föryngringsavverkning</t>
        </is>
      </c>
      <c r="D314" s="1" t="n">
        <v>46177</v>
      </c>
      <c r="E314" s="1" t="n">
        <v>46298</v>
      </c>
      <c r="F314" t="inlineStr">
        <is>
          <t>DALARNAS LÄN</t>
        </is>
      </c>
      <c r="G314" t="inlineStr">
        <is>
          <t>HEDEMORA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25925-2026</t>
        </is>
      </c>
      <c r="B315" t="inlineStr">
        <is>
          <t>avverkningsanmälan</t>
        </is>
      </c>
      <c r="C315" t="inlineStr">
        <is>
          <t>Föryngringsavverkning</t>
        </is>
      </c>
      <c r="D315" s="1" t="n">
        <v>46178</v>
      </c>
      <c r="E315" s="1" t="n">
        <v>46298</v>
      </c>
      <c r="F315" t="inlineStr">
        <is>
          <t>DALARNAS LÄN</t>
        </is>
      </c>
      <c r="G315" t="inlineStr">
        <is>
          <t>HEDEMORA</t>
        </is>
      </c>
      <c r="H315" t="inlineStr">
        <is>
          <t>Sveaskog</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19929-2026</t>
        </is>
      </c>
      <c r="B316" t="inlineStr">
        <is>
          <t>avverkningsanmälan</t>
        </is>
      </c>
      <c r="C316" t="inlineStr">
        <is>
          <t>Föryngringsavverkning</t>
        </is>
      </c>
      <c r="D316" s="1" t="n">
        <v>46136</v>
      </c>
      <c r="E316" s="1" t="n">
        <v>46298</v>
      </c>
      <c r="F316" t="inlineStr">
        <is>
          <t>DALARNAS LÄN</t>
        </is>
      </c>
      <c r="G316" t="inlineStr">
        <is>
          <t>HEDEMORA</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14239-2026</t>
        </is>
      </c>
      <c r="B317" t="inlineStr">
        <is>
          <t>avverkningsanmälan</t>
        </is>
      </c>
      <c r="C317" t="inlineStr">
        <is>
          <t>Föryngringsavverkning</t>
        </is>
      </c>
      <c r="D317" s="1" t="n">
        <v>46099</v>
      </c>
      <c r="E317" s="1" t="n">
        <v>46298</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17148-2026</t>
        </is>
      </c>
      <c r="B318" t="inlineStr">
        <is>
          <t>avverkningsanmälan</t>
        </is>
      </c>
      <c r="C318" t="inlineStr">
        <is>
          <t>Föryngringsavverkning</t>
        </is>
      </c>
      <c r="D318" s="1" t="n">
        <v>46114</v>
      </c>
      <c r="E318" s="1" t="n">
        <v>46298</v>
      </c>
      <c r="F318" t="inlineStr">
        <is>
          <t>DALARNAS LÄN</t>
        </is>
      </c>
      <c r="G318" t="inlineStr">
        <is>
          <t>HEDEMORA</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19938-2026</t>
        </is>
      </c>
      <c r="B319" t="inlineStr">
        <is>
          <t>avverkningsanmälan</t>
        </is>
      </c>
      <c r="C319" t="inlineStr">
        <is>
          <t>Föryngringsavverkning</t>
        </is>
      </c>
      <c r="D319" s="1" t="n">
        <v>46136</v>
      </c>
      <c r="E319" s="1" t="n">
        <v>46298</v>
      </c>
      <c r="F319" t="inlineStr">
        <is>
          <t>DALARNAS LÄN</t>
        </is>
      </c>
      <c r="G319" t="inlineStr">
        <is>
          <t>HEDEMORA</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49771-2025</t>
        </is>
      </c>
      <c r="B320" t="inlineStr">
        <is>
          <t>avverkningsanmälan</t>
        </is>
      </c>
      <c r="C320" t="inlineStr">
        <is>
          <t>Föryngringsavverkning</t>
        </is>
      </c>
      <c r="D320" s="1" t="n">
        <v>45940</v>
      </c>
      <c r="E320" s="1" t="n">
        <v>46298</v>
      </c>
      <c r="F320" t="inlineStr">
        <is>
          <t>DALARNAS LÄN</t>
        </is>
      </c>
      <c r="G320" t="inlineStr">
        <is>
          <t>HEDEMORA</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45290-2025</t>
        </is>
      </c>
      <c r="B321" t="inlineStr">
        <is>
          <t>avverkningsanmälan</t>
        </is>
      </c>
      <c r="C321" t="inlineStr">
        <is>
          <t>Föryngringsavverkning</t>
        </is>
      </c>
      <c r="D321" s="1" t="n">
        <v>45920</v>
      </c>
      <c r="E321" s="1" t="n">
        <v>46298</v>
      </c>
      <c r="F321" t="inlineStr">
        <is>
          <t>DALARNAS LÄN</t>
        </is>
      </c>
      <c r="G321" t="inlineStr">
        <is>
          <t>HEDEMORA</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19942-2026</t>
        </is>
      </c>
      <c r="B322" t="inlineStr">
        <is>
          <t>avverkningsanmälan</t>
        </is>
      </c>
      <c r="C322" t="inlineStr">
        <is>
          <t>Föryngringsavverkning</t>
        </is>
      </c>
      <c r="D322" s="1" t="n">
        <v>46136</v>
      </c>
      <c r="E322" s="1" t="n">
        <v>46298</v>
      </c>
      <c r="F322" t="inlineStr">
        <is>
          <t>DALARNAS LÄN</t>
        </is>
      </c>
      <c r="G322" t="inlineStr">
        <is>
          <t>HEDEMORA</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36306-2024</t>
        </is>
      </c>
      <c r="B323" t="inlineStr">
        <is>
          <t>avverkningsanmälan</t>
        </is>
      </c>
      <c r="C323" t="inlineStr">
        <is>
          <t>Föryngringsavverkning</t>
        </is>
      </c>
      <c r="D323" s="1" t="n">
        <v>45534</v>
      </c>
      <c r="E323" s="1" t="n">
        <v>46298</v>
      </c>
      <c r="F323" t="inlineStr">
        <is>
          <t>DALARNAS LÄN</t>
        </is>
      </c>
      <c r="G323" t="inlineStr">
        <is>
          <t>HEDEMORA</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25830-2026</t>
        </is>
      </c>
      <c r="B324" t="inlineStr">
        <is>
          <t>avverkningsanmälan</t>
        </is>
      </c>
      <c r="C324" t="inlineStr">
        <is>
          <t>Föryngringsavverkning</t>
        </is>
      </c>
      <c r="D324" s="1" t="n">
        <v>46178</v>
      </c>
      <c r="E324" s="1" t="n">
        <v>46298</v>
      </c>
      <c r="F324" t="inlineStr">
        <is>
          <t>DALARNAS LÄN</t>
        </is>
      </c>
      <c r="G324" t="inlineStr">
        <is>
          <t>HEDEMORA</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1449-2026</t>
        </is>
      </c>
      <c r="B325" t="inlineStr">
        <is>
          <t>avverkningsanmälan</t>
        </is>
      </c>
      <c r="C325" t="inlineStr">
        <is>
          <t>Föryngringsavverkning</t>
        </is>
      </c>
      <c r="D325" s="1" t="n">
        <v>46033</v>
      </c>
      <c r="E325" s="1" t="n">
        <v>46298</v>
      </c>
      <c r="F325" t="inlineStr">
        <is>
          <t>DALARNAS LÄN</t>
        </is>
      </c>
      <c r="G325" t="inlineStr">
        <is>
          <t>HEDEMORA</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45097-2025</t>
        </is>
      </c>
      <c r="B326" t="inlineStr">
        <is>
          <t>avverkningsanmälan</t>
        </is>
      </c>
      <c r="C326" t="inlineStr">
        <is>
          <t>Föryngringsavverkning</t>
        </is>
      </c>
      <c r="D326" s="1" t="n">
        <v>45919</v>
      </c>
      <c r="E326" s="1" t="n">
        <v>46298</v>
      </c>
      <c r="F326" t="inlineStr">
        <is>
          <t>DALARNAS LÄN</t>
        </is>
      </c>
      <c r="G326" t="inlineStr">
        <is>
          <t>HEDEMORA</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50040-2025</t>
        </is>
      </c>
      <c r="B327" t="inlineStr">
        <is>
          <t>avverkningsanmälan</t>
        </is>
      </c>
      <c r="C327" t="inlineStr">
        <is>
          <t>Föryngringsavverkning</t>
        </is>
      </c>
      <c r="D327" s="1" t="n">
        <v>45943</v>
      </c>
      <c r="E327" s="1" t="n">
        <v>46298</v>
      </c>
      <c r="F327" t="inlineStr">
        <is>
          <t>DALARNAS LÄN</t>
        </is>
      </c>
      <c r="G327" t="inlineStr">
        <is>
          <t>HEDEMORA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26395-2026</t>
        </is>
      </c>
      <c r="B328" t="inlineStr">
        <is>
          <t>avverkningsanmälan</t>
        </is>
      </c>
      <c r="C328" t="inlineStr">
        <is>
          <t>Föryngringsavverkning</t>
        </is>
      </c>
      <c r="D328" s="1" t="n">
        <v>46183</v>
      </c>
      <c r="E328" s="1" t="n">
        <v>46298</v>
      </c>
      <c r="F328" t="inlineStr">
        <is>
          <t>DALARNAS LÄN</t>
        </is>
      </c>
      <c r="G328" t="inlineStr">
        <is>
          <t>HEDEMORA</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46298</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46298</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53922-2024</t>
        </is>
      </c>
      <c r="B331" t="inlineStr">
        <is>
          <t>avverkningsanmälan</t>
        </is>
      </c>
      <c r="C331" t="inlineStr">
        <is>
          <t>Föryngringsavverkning</t>
        </is>
      </c>
      <c r="D331" s="1" t="n">
        <v>45615</v>
      </c>
      <c r="E331" s="1" t="n">
        <v>46298</v>
      </c>
      <c r="F331" t="inlineStr">
        <is>
          <t>DALARNAS LÄN</t>
        </is>
      </c>
      <c r="G331" t="inlineStr">
        <is>
          <t>HEDEMORA</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27610-2024</t>
        </is>
      </c>
      <c r="B332" t="inlineStr">
        <is>
          <t>avverkningsanmälan</t>
        </is>
      </c>
      <c r="C332" t="inlineStr">
        <is>
          <t>Föryngringsavverkning</t>
        </is>
      </c>
      <c r="D332" s="1" t="n">
        <v>45474</v>
      </c>
      <c r="E332" s="1" t="n">
        <v>46298</v>
      </c>
      <c r="F332" t="inlineStr">
        <is>
          <t>DALARNAS LÄN</t>
        </is>
      </c>
      <c r="G332" t="inlineStr">
        <is>
          <t>HEDEMORA</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29522-2026</t>
        </is>
      </c>
      <c r="B333" t="inlineStr">
        <is>
          <t>avverkningsanmälan</t>
        </is>
      </c>
      <c r="C333" t="inlineStr">
        <is>
          <t>Föryngringsavverkning</t>
        </is>
      </c>
      <c r="D333" s="1" t="n">
        <v>46198</v>
      </c>
      <c r="E333" s="1" t="n">
        <v>46298</v>
      </c>
      <c r="F333" t="inlineStr">
        <is>
          <t>DALARNAS LÄN</t>
        </is>
      </c>
      <c r="G333" t="inlineStr">
        <is>
          <t>HEDEMORA</t>
        </is>
      </c>
      <c r="H333" t="inlineStr">
        <is>
          <t>Kyrkan</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27609-2024</t>
        </is>
      </c>
      <c r="B334" t="inlineStr">
        <is>
          <t>avverkningsanmälan</t>
        </is>
      </c>
      <c r="C334" t="inlineStr">
        <is>
          <t>Föryngringsavverkning</t>
        </is>
      </c>
      <c r="D334" s="1" t="n">
        <v>45474</v>
      </c>
      <c r="E334" s="1" t="n">
        <v>46298</v>
      </c>
      <c r="F334" t="inlineStr">
        <is>
          <t>DALARNAS LÄN</t>
        </is>
      </c>
      <c r="G334" t="inlineStr">
        <is>
          <t>HEDEMORA</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54312-2024</t>
        </is>
      </c>
      <c r="B335" t="inlineStr">
        <is>
          <t>avverkningsanmälan</t>
        </is>
      </c>
      <c r="C335" t="inlineStr">
        <is>
          <t>Föryngringsavverkning</t>
        </is>
      </c>
      <c r="D335" s="1" t="n">
        <v>45617</v>
      </c>
      <c r="E335" s="1" t="n">
        <v>46298</v>
      </c>
      <c r="F335" t="inlineStr">
        <is>
          <t>DALARNAS LÄN</t>
        </is>
      </c>
      <c r="G335" t="inlineStr">
        <is>
          <t>HEDEMORA</t>
        </is>
      </c>
      <c r="H335" t="inlineStr">
        <is>
          <t>Bergvik skog väst AB</t>
        </is>
      </c>
      <c r="I335" t="n">
        <v>13.9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52945-2024</t>
        </is>
      </c>
      <c r="B336" t="inlineStr">
        <is>
          <t>avverkningsanmälan</t>
        </is>
      </c>
      <c r="C336" t="inlineStr">
        <is>
          <t>Föryngringsavverkning</t>
        </is>
      </c>
      <c r="D336" s="1" t="n">
        <v>45610</v>
      </c>
      <c r="E336" s="1" t="n">
        <v>46298</v>
      </c>
      <c r="F336" t="inlineStr">
        <is>
          <t>DALARNAS LÄN</t>
        </is>
      </c>
      <c r="G336" t="inlineStr">
        <is>
          <t>HEDEMORA</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59632-2023</t>
        </is>
      </c>
      <c r="B337" t="inlineStr">
        <is>
          <t>avverkningsanmälan</t>
        </is>
      </c>
      <c r="C337" t="inlineStr">
        <is>
          <t>Föryngringsavverkning</t>
        </is>
      </c>
      <c r="D337" s="1" t="n">
        <v>45254</v>
      </c>
      <c r="E337" s="1" t="n">
        <v>46298</v>
      </c>
      <c r="F337" t="inlineStr">
        <is>
          <t>DALARNAS LÄN</t>
        </is>
      </c>
      <c r="G337" t="inlineStr">
        <is>
          <t>HEDEMORA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37759-2024</t>
        </is>
      </c>
      <c r="B338" t="inlineStr">
        <is>
          <t>avverkningsanmälan</t>
        </is>
      </c>
      <c r="C338" t="inlineStr">
        <is>
          <t>Föryngringsavverkning</t>
        </is>
      </c>
      <c r="D338" s="1" t="n">
        <v>45541</v>
      </c>
      <c r="E338" s="1" t="n">
        <v>46298</v>
      </c>
      <c r="F338" t="inlineStr">
        <is>
          <t>DALARNAS LÄN</t>
        </is>
      </c>
      <c r="G338" t="inlineStr">
        <is>
          <t>HEDEMORA</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7914-2024</t>
        </is>
      </c>
      <c r="B339" t="inlineStr">
        <is>
          <t>avverkningsanmälan</t>
        </is>
      </c>
      <c r="C339" t="inlineStr">
        <is>
          <t>Föryngringsavverkning</t>
        </is>
      </c>
      <c r="D339" s="1" t="n">
        <v>45350</v>
      </c>
      <c r="E339" s="1" t="n">
        <v>46298</v>
      </c>
      <c r="F339" t="inlineStr">
        <is>
          <t>DALARNAS LÄN</t>
        </is>
      </c>
      <c r="G339" t="inlineStr">
        <is>
          <t>HEDEMORA</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73099-2021</t>
        </is>
      </c>
      <c r="B340" t="inlineStr">
        <is>
          <t>avverkningsanmälan</t>
        </is>
      </c>
      <c r="C340" t="inlineStr">
        <is>
          <t>Föryngringsavverkning</t>
        </is>
      </c>
      <c r="D340" s="1" t="n">
        <v>44546</v>
      </c>
      <c r="E340" s="1" t="n">
        <v>46298</v>
      </c>
      <c r="F340" t="inlineStr">
        <is>
          <t>DALARNAS LÄN</t>
        </is>
      </c>
      <c r="G340" t="inlineStr">
        <is>
          <t>HEDEMORA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30878-2026</t>
        </is>
      </c>
      <c r="B341" t="inlineStr">
        <is>
          <t>avverkningsanmälan</t>
        </is>
      </c>
      <c r="C341" t="inlineStr">
        <is>
          <t>Föryngringsavverkning</t>
        </is>
      </c>
      <c r="D341" s="1" t="n">
        <v>46212</v>
      </c>
      <c r="E341" s="1" t="n">
        <v>46298</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30880-2026</t>
        </is>
      </c>
      <c r="B342" t="inlineStr">
        <is>
          <t>avverkningsanmälan</t>
        </is>
      </c>
      <c r="C342" t="inlineStr">
        <is>
          <t>Föryngringsavverkning</t>
        </is>
      </c>
      <c r="D342" s="1" t="n">
        <v>46212</v>
      </c>
      <c r="E342" s="1" t="n">
        <v>46298</v>
      </c>
      <c r="F342" t="inlineStr">
        <is>
          <t>DALARNAS LÄN</t>
        </is>
      </c>
      <c r="G342" t="inlineStr">
        <is>
          <t>HEDEMORA</t>
        </is>
      </c>
      <c r="H342" t="inlineStr">
        <is>
          <t>Sveaskog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34645-2026</t>
        </is>
      </c>
      <c r="B343" t="inlineStr">
        <is>
          <t>avverkningsanmälan</t>
        </is>
      </c>
      <c r="C343" t="inlineStr">
        <is>
          <t>Föryngringsavverkning</t>
        </is>
      </c>
      <c r="D343" s="1" t="n">
        <v>46255</v>
      </c>
      <c r="E343" s="1" t="n">
        <v>46298</v>
      </c>
      <c r="F343" t="inlineStr">
        <is>
          <t>DALARNAS LÄN</t>
        </is>
      </c>
      <c r="G343" t="inlineStr">
        <is>
          <t>HEDEMORA</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34646-2026</t>
        </is>
      </c>
      <c r="B344" t="inlineStr">
        <is>
          <t>avverkningsanmälan</t>
        </is>
      </c>
      <c r="C344" t="inlineStr">
        <is>
          <t>Föryngringsavverkning</t>
        </is>
      </c>
      <c r="D344" s="1" t="n">
        <v>46255</v>
      </c>
      <c r="E344" s="1" t="n">
        <v>46298</v>
      </c>
      <c r="F344" t="inlineStr">
        <is>
          <t>DALARNAS LÄN</t>
        </is>
      </c>
      <c r="G344" t="inlineStr">
        <is>
          <t>HEDEMORA</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34647-2026</t>
        </is>
      </c>
      <c r="B345" t="inlineStr">
        <is>
          <t>avverkningsanmälan</t>
        </is>
      </c>
      <c r="C345" t="inlineStr">
        <is>
          <t>Föryngringsavverkning</t>
        </is>
      </c>
      <c r="D345" s="1" t="n">
        <v>46255</v>
      </c>
      <c r="E345" s="1" t="n">
        <v>46298</v>
      </c>
      <c r="F345" t="inlineStr">
        <is>
          <t>DALARNAS LÄN</t>
        </is>
      </c>
      <c r="G345" t="inlineStr">
        <is>
          <t>HEDEMORA</t>
        </is>
      </c>
      <c r="H345" t="inlineStr">
        <is>
          <t>Sveaskog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25150-2023</t>
        </is>
      </c>
      <c r="B346" t="inlineStr">
        <is>
          <t>avverkningsanmälan</t>
        </is>
      </c>
      <c r="C346" t="inlineStr">
        <is>
          <t>Föryngringsavverkning</t>
        </is>
      </c>
      <c r="D346" s="1" t="n">
        <v>45086</v>
      </c>
      <c r="E346" s="1" t="n">
        <v>46298</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29050-2023</t>
        </is>
      </c>
      <c r="B347" t="inlineStr">
        <is>
          <t>avverkningsanmälan</t>
        </is>
      </c>
      <c r="C347" t="inlineStr">
        <is>
          <t>Avverkning för annat ändamål</t>
        </is>
      </c>
      <c r="D347" s="1" t="n">
        <v>45104</v>
      </c>
      <c r="E347" s="1" t="n">
        <v>46298</v>
      </c>
      <c r="F347" t="inlineStr">
        <is>
          <t>DALARNAS LÄN</t>
        </is>
      </c>
      <c r="G347" t="inlineStr">
        <is>
          <t>HEDEMORA</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35505-2026</t>
        </is>
      </c>
      <c r="B348" t="inlineStr">
        <is>
          <t>avverkningsanmälan</t>
        </is>
      </c>
      <c r="C348" t="inlineStr">
        <is>
          <t>Föryngringsavverkning</t>
        </is>
      </c>
      <c r="D348" s="1" t="n">
        <v>46262</v>
      </c>
      <c r="E348" s="1" t="n">
        <v>46298</v>
      </c>
      <c r="F348" t="inlineStr">
        <is>
          <t>DALARNAS LÄN</t>
        </is>
      </c>
      <c r="G348" t="inlineStr">
        <is>
          <t>HEDEMORA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61886-2022</t>
        </is>
      </c>
      <c r="B349" t="inlineStr">
        <is>
          <t>avverkningsanmälan</t>
        </is>
      </c>
      <c r="C349" t="inlineStr">
        <is>
          <t>Föryngringsavverkning</t>
        </is>
      </c>
      <c r="D349" s="1" t="n">
        <v>44917</v>
      </c>
      <c r="E349" s="1" t="n">
        <v>46298</v>
      </c>
      <c r="F349" t="inlineStr">
        <is>
          <t>DALARNAS LÄN</t>
        </is>
      </c>
      <c r="G349" t="inlineStr">
        <is>
          <t>HEDEMORA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35967-2026</t>
        </is>
      </c>
      <c r="B350" t="inlineStr">
        <is>
          <t>avverkningsanmälan</t>
        </is>
      </c>
      <c r="C350" t="inlineStr">
        <is>
          <t>Föryngringsavverkning</t>
        </is>
      </c>
      <c r="D350" s="1" t="n">
        <v>46266</v>
      </c>
      <c r="E350" s="1" t="n">
        <v>46298</v>
      </c>
      <c r="F350" t="inlineStr">
        <is>
          <t>DALARNAS LÄN</t>
        </is>
      </c>
      <c r="G350" t="inlineStr">
        <is>
          <t>HEDEMORA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31647-2026</t>
        </is>
      </c>
      <c r="B351" t="inlineStr">
        <is>
          <t>avverkningsanmälan</t>
        </is>
      </c>
      <c r="C351" t="inlineStr">
        <is>
          <t>Föryngringsavverkning</t>
        </is>
      </c>
      <c r="D351" s="1" t="n">
        <v>46225</v>
      </c>
      <c r="E351" s="1" t="n">
        <v>46298</v>
      </c>
      <c r="F351" t="inlineStr">
        <is>
          <t>DALARNAS LÄN</t>
        </is>
      </c>
      <c r="G351" t="inlineStr">
        <is>
          <t>HEDEMORA</t>
        </is>
      </c>
      <c r="H351" t="inlineStr">
        <is>
          <t>Bergvik skog väst AB</t>
        </is>
      </c>
      <c r="I351" t="n">
        <v>37.7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35972-2026</t>
        </is>
      </c>
      <c r="B352" t="inlineStr">
        <is>
          <t>avverkningsanmälan</t>
        </is>
      </c>
      <c r="C352" t="inlineStr">
        <is>
          <t>Föryngringsavverkning</t>
        </is>
      </c>
      <c r="D352" s="1" t="n">
        <v>46266</v>
      </c>
      <c r="E352" s="1" t="n">
        <v>46298</v>
      </c>
      <c r="F352" t="inlineStr">
        <is>
          <t>DALARNAS LÄN</t>
        </is>
      </c>
      <c r="G352" t="inlineStr">
        <is>
          <t>HEDEMORA</t>
        </is>
      </c>
      <c r="H352" t="inlineStr">
        <is>
          <t>Sveaskog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62188-2023</t>
        </is>
      </c>
      <c r="B353" t="inlineStr">
        <is>
          <t>avverkningsanmälan</t>
        </is>
      </c>
      <c r="C353" t="inlineStr">
        <is>
          <t>Föryngringsavverkning</t>
        </is>
      </c>
      <c r="D353" s="1" t="n">
        <v>45267</v>
      </c>
      <c r="E353" s="1" t="n">
        <v>46298</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1917-2022</t>
        </is>
      </c>
      <c r="B354" t="inlineStr">
        <is>
          <t>avverkningsanmälan</t>
        </is>
      </c>
      <c r="C354" t="inlineStr">
        <is>
          <t>Avverkning för annat ändamål</t>
        </is>
      </c>
      <c r="D354" s="1" t="n">
        <v>44574</v>
      </c>
      <c r="E354" s="1" t="n">
        <v>46298</v>
      </c>
      <c r="F354" t="inlineStr">
        <is>
          <t>DALARNAS LÄN</t>
        </is>
      </c>
      <c r="G354" t="inlineStr">
        <is>
          <t>HEDEMORA</t>
        </is>
      </c>
      <c r="H354" t="inlineStr">
        <is>
          <t>Övriga Aktiebolag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31825-2024</t>
        </is>
      </c>
      <c r="B355" t="inlineStr">
        <is>
          <t>avverkningsanmälan</t>
        </is>
      </c>
      <c r="C355" t="inlineStr">
        <is>
          <t>Avverkning för annat ändamål</t>
        </is>
      </c>
      <c r="D355" s="1" t="n">
        <v>45509</v>
      </c>
      <c r="E355" s="1" t="n">
        <v>46298</v>
      </c>
      <c r="F355" t="inlineStr">
        <is>
          <t>DALARNAS LÄN</t>
        </is>
      </c>
      <c r="G355" t="inlineStr">
        <is>
          <t>HEDEMORA</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37023-2026</t>
        </is>
      </c>
      <c r="B356" t="inlineStr">
        <is>
          <t>avverkningsanmälan</t>
        </is>
      </c>
      <c r="C356" t="inlineStr">
        <is>
          <t>Föryngringsavverkning</t>
        </is>
      </c>
      <c r="D356" s="1" t="n">
        <v>46273</v>
      </c>
      <c r="E356" s="1" t="n">
        <v>46298</v>
      </c>
      <c r="F356" t="inlineStr">
        <is>
          <t>DALARNAS LÄN</t>
        </is>
      </c>
      <c r="G356" t="inlineStr">
        <is>
          <t>HEDEMORA</t>
        </is>
      </c>
      <c r="H356" t="inlineStr">
        <is>
          <t>Bergvik skog väst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14951-2025</t>
        </is>
      </c>
      <c r="B357" t="inlineStr">
        <is>
          <t>avverkningsanmälan</t>
        </is>
      </c>
      <c r="C357" t="inlineStr">
        <is>
          <t>Föryngringsavverkning</t>
        </is>
      </c>
      <c r="D357" s="1" t="n">
        <v>45743</v>
      </c>
      <c r="E357" s="1" t="n">
        <v>46298</v>
      </c>
      <c r="F357" t="inlineStr">
        <is>
          <t>DALARNAS LÄN</t>
        </is>
      </c>
      <c r="G357" t="inlineStr">
        <is>
          <t>HEDEMORA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385-2024</t>
        </is>
      </c>
      <c r="B358" t="inlineStr">
        <is>
          <t>avverkningsanmälan</t>
        </is>
      </c>
      <c r="C358" t="inlineStr">
        <is>
          <t>Föryngringsavverkning</t>
        </is>
      </c>
      <c r="D358" s="1" t="n">
        <v>45296</v>
      </c>
      <c r="E358" s="1" t="n">
        <v>46298</v>
      </c>
      <c r="F358" t="inlineStr">
        <is>
          <t>DALARNAS LÄN</t>
        </is>
      </c>
      <c r="G358" t="inlineStr">
        <is>
          <t>HEDEMORA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38947-2023</t>
        </is>
      </c>
      <c r="B359" t="inlineStr">
        <is>
          <t>avverkningsanmälan</t>
        </is>
      </c>
      <c r="C359" t="inlineStr">
        <is>
          <t>Föryngringsavverkning</t>
        </is>
      </c>
      <c r="D359" s="1" t="n">
        <v>45163</v>
      </c>
      <c r="E359" s="1" t="n">
        <v>46298</v>
      </c>
      <c r="F359" t="inlineStr">
        <is>
          <t>DALARNAS LÄN</t>
        </is>
      </c>
      <c r="G359" t="inlineStr">
        <is>
          <t>HEDEMORA</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37894-2026</t>
        </is>
      </c>
      <c r="B360" t="inlineStr">
        <is>
          <t>avverkningsanmälan</t>
        </is>
      </c>
      <c r="C360" t="inlineStr">
        <is>
          <t>Föryngringsavverkning</t>
        </is>
      </c>
      <c r="D360" s="1" t="n">
        <v>46279</v>
      </c>
      <c r="E360" s="1" t="n">
        <v>46298</v>
      </c>
      <c r="F360" t="inlineStr">
        <is>
          <t>DALARNAS LÄN</t>
        </is>
      </c>
      <c r="G360" t="inlineStr">
        <is>
          <t>HEDEMORA</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37898-2026</t>
        </is>
      </c>
      <c r="B361" t="inlineStr">
        <is>
          <t>avverkningsanmälan</t>
        </is>
      </c>
      <c r="C361" t="inlineStr">
        <is>
          <t>Föryngringsavverkning</t>
        </is>
      </c>
      <c r="D361" s="1" t="n">
        <v>46279</v>
      </c>
      <c r="E361" s="1" t="n">
        <v>46298</v>
      </c>
      <c r="F361" t="inlineStr">
        <is>
          <t>DALARNAS LÄN</t>
        </is>
      </c>
      <c r="G361" t="inlineStr">
        <is>
          <t>HEDEMORA</t>
        </is>
      </c>
      <c r="H361" t="inlineStr">
        <is>
          <t>Bergvik skog väst AB</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55881-2023</t>
        </is>
      </c>
      <c r="B362" t="inlineStr">
        <is>
          <t>avverkningsanmälan</t>
        </is>
      </c>
      <c r="C362" t="inlineStr">
        <is>
          <t>Föryngringsavverkning</t>
        </is>
      </c>
      <c r="D362" s="1" t="n">
        <v>45239</v>
      </c>
      <c r="E362" s="1" t="n">
        <v>46298</v>
      </c>
      <c r="F362" t="inlineStr">
        <is>
          <t>DALARNAS LÄN</t>
        </is>
      </c>
      <c r="G362" t="inlineStr">
        <is>
          <t>HEDEMORA</t>
        </is>
      </c>
      <c r="H362" t="inlineStr">
        <is>
          <t>Sveaskog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23843-2026</t>
        </is>
      </c>
      <c r="B363" t="inlineStr">
        <is>
          <t>avverkningsanmälan</t>
        </is>
      </c>
      <c r="C363" t="inlineStr">
        <is>
          <t>Föryngringsavverkning</t>
        </is>
      </c>
      <c r="D363" s="1" t="n">
        <v>46167</v>
      </c>
      <c r="E363" s="1" t="n">
        <v>46298</v>
      </c>
      <c r="F363" t="inlineStr">
        <is>
          <t>DALARNAS LÄN</t>
        </is>
      </c>
      <c r="G363" t="inlineStr">
        <is>
          <t>HEDEMORA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37895-2026</t>
        </is>
      </c>
      <c r="B364" t="inlineStr">
        <is>
          <t>avverkningsanmälan</t>
        </is>
      </c>
      <c r="C364" t="inlineStr">
        <is>
          <t>Föryngringsavverkning</t>
        </is>
      </c>
      <c r="D364" s="1" t="n">
        <v>46279</v>
      </c>
      <c r="E364" s="1" t="n">
        <v>46298</v>
      </c>
      <c r="F364" t="inlineStr">
        <is>
          <t>DALARNAS LÄN</t>
        </is>
      </c>
      <c r="G364" t="inlineStr">
        <is>
          <t>HEDEMORA</t>
        </is>
      </c>
      <c r="H364" t="inlineStr">
        <is>
          <t>Bergvik skog väst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15833-2025</t>
        </is>
      </c>
      <c r="B365" t="inlineStr">
        <is>
          <t>avverkningsanmälan</t>
        </is>
      </c>
      <c r="C365" t="inlineStr">
        <is>
          <t>Föryngringsavverkning</t>
        </is>
      </c>
      <c r="D365" s="1" t="n">
        <v>45748</v>
      </c>
      <c r="E365" s="1" t="n">
        <v>46298</v>
      </c>
      <c r="F365" t="inlineStr">
        <is>
          <t>DALARNAS LÄN</t>
        </is>
      </c>
      <c r="G365" t="inlineStr">
        <is>
          <t>HEDEMORA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38161-2026</t>
        </is>
      </c>
      <c r="B366" t="inlineStr">
        <is>
          <t>avverkningsanmälan</t>
        </is>
      </c>
      <c r="C366" t="inlineStr">
        <is>
          <t>Föryngringsavverkning</t>
        </is>
      </c>
      <c r="D366" s="1" t="n">
        <v>46281</v>
      </c>
      <c r="E366" s="1" t="n">
        <v>46298</v>
      </c>
      <c r="F366" t="inlineStr">
        <is>
          <t>DALARNAS LÄN</t>
        </is>
      </c>
      <c r="G366" t="inlineStr">
        <is>
          <t>HEDEMORA</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38163-2026</t>
        </is>
      </c>
      <c r="B367" t="inlineStr">
        <is>
          <t>avverkningsanmälan</t>
        </is>
      </c>
      <c r="C367" t="inlineStr">
        <is>
          <t>Föryngringsavverkning</t>
        </is>
      </c>
      <c r="D367" s="1" t="n">
        <v>46281</v>
      </c>
      <c r="E367" s="1" t="n">
        <v>46298</v>
      </c>
      <c r="F367" t="inlineStr">
        <is>
          <t>DALARNAS LÄN</t>
        </is>
      </c>
      <c r="G367" t="inlineStr">
        <is>
          <t>HEDEMORA</t>
        </is>
      </c>
      <c r="H367" t="inlineStr">
        <is>
          <t>Sveaskog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38166-2026</t>
        </is>
      </c>
      <c r="B368" t="inlineStr">
        <is>
          <t>avverkningsanmälan</t>
        </is>
      </c>
      <c r="C368" t="inlineStr">
        <is>
          <t>Föryngringsavverkning</t>
        </is>
      </c>
      <c r="D368" s="1" t="n">
        <v>46281</v>
      </c>
      <c r="E368" s="1" t="n">
        <v>46298</v>
      </c>
      <c r="F368" t="inlineStr">
        <is>
          <t>DALARNAS LÄN</t>
        </is>
      </c>
      <c r="G368" t="inlineStr">
        <is>
          <t>HEDEMORA</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38169-2026</t>
        </is>
      </c>
      <c r="B369" t="inlineStr">
        <is>
          <t>avverkningsanmälan</t>
        </is>
      </c>
      <c r="C369" t="inlineStr">
        <is>
          <t>Föryngringsavverkning</t>
        </is>
      </c>
      <c r="D369" s="1" t="n">
        <v>46281</v>
      </c>
      <c r="E369" s="1" t="n">
        <v>46298</v>
      </c>
      <c r="F369" t="inlineStr">
        <is>
          <t>DALARNAS LÄN</t>
        </is>
      </c>
      <c r="G369" t="inlineStr">
        <is>
          <t>HEDEMORA</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38285-2026</t>
        </is>
      </c>
      <c r="B370" t="inlineStr">
        <is>
          <t>avverkningsanmälan</t>
        </is>
      </c>
      <c r="C370" t="inlineStr">
        <is>
          <t>Föryngringsavverkning</t>
        </is>
      </c>
      <c r="D370" s="1" t="n">
        <v>46281</v>
      </c>
      <c r="E370" s="1" t="n">
        <v>46298</v>
      </c>
      <c r="F370" t="inlineStr">
        <is>
          <t>DALARNAS LÄN</t>
        </is>
      </c>
      <c r="G370" t="inlineStr">
        <is>
          <t>HEDEMORA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32624-2026</t>
        </is>
      </c>
      <c r="B371" t="inlineStr">
        <is>
          <t>avverkningsanmälan</t>
        </is>
      </c>
      <c r="C371" t="inlineStr">
        <is>
          <t>Föryngringsavverkning</t>
        </is>
      </c>
      <c r="D371" s="1" t="n">
        <v>46240</v>
      </c>
      <c r="E371" s="1" t="n">
        <v>46298</v>
      </c>
      <c r="F371" t="inlineStr">
        <is>
          <t>DALARNAS LÄN</t>
        </is>
      </c>
      <c r="G371" t="inlineStr">
        <is>
          <t>HEDEMORA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32687-2026</t>
        </is>
      </c>
      <c r="B372" t="inlineStr">
        <is>
          <t>avverkningsanmälan</t>
        </is>
      </c>
      <c r="C372" t="inlineStr">
        <is>
          <t>Föryngringsavverkning</t>
        </is>
      </c>
      <c r="D372" s="1" t="n">
        <v>46240</v>
      </c>
      <c r="E372" s="1" t="n">
        <v>46298</v>
      </c>
      <c r="F372" t="inlineStr">
        <is>
          <t>DALARNAS LÄN</t>
        </is>
      </c>
      <c r="G372" t="inlineStr">
        <is>
          <t>HEDEMORA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53923-2024</t>
        </is>
      </c>
      <c r="B373" t="inlineStr">
        <is>
          <t>avverkningsanmälan</t>
        </is>
      </c>
      <c r="C373" t="inlineStr">
        <is>
          <t>Föryngringsavverkning</t>
        </is>
      </c>
      <c r="D373" s="1" t="n">
        <v>45615</v>
      </c>
      <c r="E373" s="1" t="n">
        <v>46298</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38679-2026</t>
        </is>
      </c>
      <c r="B374" t="inlineStr">
        <is>
          <t>avverkningsanmälan</t>
        </is>
      </c>
      <c r="C374" t="inlineStr">
        <is>
          <t>Föryngringsavverkning</t>
        </is>
      </c>
      <c r="D374" s="1" t="n">
        <v>46281</v>
      </c>
      <c r="E374" s="1" t="n">
        <v>46298</v>
      </c>
      <c r="F374" t="inlineStr">
        <is>
          <t>DALARNAS LÄN</t>
        </is>
      </c>
      <c r="G374" t="inlineStr">
        <is>
          <t>HEDEMORA</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38294-2026</t>
        </is>
      </c>
      <c r="B375" t="inlineStr">
        <is>
          <t>avverkningsanmälan</t>
        </is>
      </c>
      <c r="C375" t="inlineStr">
        <is>
          <t>Föryngringsavverkning</t>
        </is>
      </c>
      <c r="D375" s="1" t="n">
        <v>46282</v>
      </c>
      <c r="E375" s="1" t="n">
        <v>46298</v>
      </c>
      <c r="F375" t="inlineStr">
        <is>
          <t>DALARNAS LÄN</t>
        </is>
      </c>
      <c r="G375" t="inlineStr">
        <is>
          <t>HEDEMORA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46298</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44384-2024</t>
        </is>
      </c>
      <c r="B377" t="inlineStr">
        <is>
          <t>avverkningsanmälan</t>
        </is>
      </c>
      <c r="C377" t="inlineStr">
        <is>
          <t>Föryngringsavverkning</t>
        </is>
      </c>
      <c r="D377" s="1" t="n">
        <v>45573</v>
      </c>
      <c r="E377" s="1" t="n">
        <v>46298</v>
      </c>
      <c r="F377" t="inlineStr">
        <is>
          <t>DALARNAS LÄN</t>
        </is>
      </c>
      <c r="G377" t="inlineStr">
        <is>
          <t>HEDEMORA</t>
        </is>
      </c>
      <c r="H377" t="inlineStr">
        <is>
          <t>Bergvik skog väst AB</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44388-2024</t>
        </is>
      </c>
      <c r="B378" t="inlineStr">
        <is>
          <t>avverkningsanmälan</t>
        </is>
      </c>
      <c r="C378" t="inlineStr">
        <is>
          <t>Föryngringsavverkning</t>
        </is>
      </c>
      <c r="D378" s="1" t="n">
        <v>45573</v>
      </c>
      <c r="E378" s="1" t="n">
        <v>46298</v>
      </c>
      <c r="F378" t="inlineStr">
        <is>
          <t>DALARNAS LÄN</t>
        </is>
      </c>
      <c r="G378" t="inlineStr">
        <is>
          <t>HEDEMORA</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38680-2026</t>
        </is>
      </c>
      <c r="B379" t="inlineStr">
        <is>
          <t>avverkningsanmälan</t>
        </is>
      </c>
      <c r="C379" t="inlineStr">
        <is>
          <t>Föryngringsavverkning</t>
        </is>
      </c>
      <c r="D379" s="1" t="n">
        <v>46281</v>
      </c>
      <c r="E379" s="1" t="n">
        <v>46298</v>
      </c>
      <c r="F379" t="inlineStr">
        <is>
          <t>DALARNAS LÄN</t>
        </is>
      </c>
      <c r="G379" t="inlineStr">
        <is>
          <t>HEDEMORA</t>
        </is>
      </c>
      <c r="H379" t="inlineStr">
        <is>
          <t>Bergvik skog väst AB</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39531-2024</t>
        </is>
      </c>
      <c r="B380" t="inlineStr">
        <is>
          <t>avverkningsanmälan</t>
        </is>
      </c>
      <c r="C380" t="inlineStr">
        <is>
          <t>Föryngringsavverkning</t>
        </is>
      </c>
      <c r="D380" s="1" t="n">
        <v>45551</v>
      </c>
      <c r="E380" s="1" t="n">
        <v>46298</v>
      </c>
      <c r="F380" t="inlineStr">
        <is>
          <t>DALARNAS LÄN</t>
        </is>
      </c>
      <c r="G380" t="inlineStr">
        <is>
          <t>HEDEMORA</t>
        </is>
      </c>
      <c r="H380" t="inlineStr">
        <is>
          <t>Bergvik skog väst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1973-2022</t>
        </is>
      </c>
      <c r="B381" t="inlineStr">
        <is>
          <t>avverkningsanmälan</t>
        </is>
      </c>
      <c r="C381" t="inlineStr">
        <is>
          <t>Föryngringsavverkning</t>
        </is>
      </c>
      <c r="D381" s="1" t="n">
        <v>44575</v>
      </c>
      <c r="E381" s="1" t="n">
        <v>46298</v>
      </c>
      <c r="F381" t="inlineStr">
        <is>
          <t>DALARNAS LÄN</t>
        </is>
      </c>
      <c r="G381" t="inlineStr">
        <is>
          <t>HEDEMORA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17600-2025</t>
        </is>
      </c>
      <c r="B382" t="inlineStr">
        <is>
          <t>avverkningsanmälan</t>
        </is>
      </c>
      <c r="C382" t="inlineStr">
        <is>
          <t>Föryngringsavverkning</t>
        </is>
      </c>
      <c r="D382" s="1" t="n">
        <v>45757</v>
      </c>
      <c r="E382" s="1" t="n">
        <v>46298</v>
      </c>
      <c r="F382" t="inlineStr">
        <is>
          <t>DALARNAS LÄN</t>
        </is>
      </c>
      <c r="G382" t="inlineStr">
        <is>
          <t>HEDEMORA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25691-2022</t>
        </is>
      </c>
      <c r="B383" t="inlineStr">
        <is>
          <t>avverkningsanmälan</t>
        </is>
      </c>
      <c r="C383" t="inlineStr">
        <is>
          <t>Föryngringsavverkning</t>
        </is>
      </c>
      <c r="D383" s="1" t="n">
        <v>44733</v>
      </c>
      <c r="E383" s="1" t="n">
        <v>46298</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60475-2022</t>
        </is>
      </c>
      <c r="B384" t="inlineStr">
        <is>
          <t>avverkningsanmälan</t>
        </is>
      </c>
      <c r="C384" t="inlineStr">
        <is>
          <t>Föryngringsavverkning</t>
        </is>
      </c>
      <c r="D384" s="1" t="n">
        <v>44911</v>
      </c>
      <c r="E384" s="1" t="n">
        <v>46298</v>
      </c>
      <c r="F384" t="inlineStr">
        <is>
          <t>DALARNAS LÄN</t>
        </is>
      </c>
      <c r="G384" t="inlineStr">
        <is>
          <t>HEDEMORA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38770-2026</t>
        </is>
      </c>
      <c r="B385" t="inlineStr">
        <is>
          <t>avverkningsanmälan</t>
        </is>
      </c>
      <c r="C385" t="inlineStr">
        <is>
          <t>Föryngringsavverkning</t>
        </is>
      </c>
      <c r="D385" s="1" t="n">
        <v>46286</v>
      </c>
      <c r="E385" s="1" t="n">
        <v>46298</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63925-2023</t>
        </is>
      </c>
      <c r="B386" t="inlineStr">
        <is>
          <t>avverkningsanmälan</t>
        </is>
      </c>
      <c r="C386" t="inlineStr">
        <is>
          <t>Föryngringsavverkning</t>
        </is>
      </c>
      <c r="D386" s="1" t="n">
        <v>45278</v>
      </c>
      <c r="E386" s="1" t="n">
        <v>46298</v>
      </c>
      <c r="F386" t="inlineStr">
        <is>
          <t>DALARNAS LÄN</t>
        </is>
      </c>
      <c r="G386" t="inlineStr">
        <is>
          <t>HEDEMORA</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32986-2026</t>
        </is>
      </c>
      <c r="B387" t="inlineStr">
        <is>
          <t>avverkningsanmälan</t>
        </is>
      </c>
      <c r="C387" t="inlineStr">
        <is>
          <t>Föryngringsavverkning</t>
        </is>
      </c>
      <c r="D387" s="1" t="n">
        <v>46244</v>
      </c>
      <c r="E387" s="1" t="n">
        <v>46298</v>
      </c>
      <c r="F387" t="inlineStr">
        <is>
          <t>DALARNAS LÄN</t>
        </is>
      </c>
      <c r="G387" t="inlineStr">
        <is>
          <t>HEDEMORA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7165-2026</t>
        </is>
      </c>
      <c r="B388" t="inlineStr">
        <is>
          <t>avverkningsanmälan</t>
        </is>
      </c>
      <c r="C388" t="inlineStr">
        <is>
          <t>Föryngringsavverkning</t>
        </is>
      </c>
      <c r="D388" s="1" t="n">
        <v>46058</v>
      </c>
      <c r="E388" s="1" t="n">
        <v>46298</v>
      </c>
      <c r="F388" t="inlineStr">
        <is>
          <t>DALARNAS LÄN</t>
        </is>
      </c>
      <c r="G388" t="inlineStr">
        <is>
          <t>HEDEMORA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60408-2021</t>
        </is>
      </c>
      <c r="B389" t="inlineStr">
        <is>
          <t>avverkningsanmälan</t>
        </is>
      </c>
      <c r="C389" t="inlineStr">
        <is>
          <t>Föryngringsavverkning</t>
        </is>
      </c>
      <c r="D389" s="1" t="n">
        <v>44495</v>
      </c>
      <c r="E389" s="1" t="n">
        <v>46298</v>
      </c>
      <c r="F389" t="inlineStr">
        <is>
          <t>DALARNAS LÄN</t>
        </is>
      </c>
      <c r="G389" t="inlineStr">
        <is>
          <t>HEDEMORA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28883-2026</t>
        </is>
      </c>
      <c r="B390" t="inlineStr">
        <is>
          <t>avverkningsanmälan</t>
        </is>
      </c>
      <c r="C390" t="inlineStr">
        <is>
          <t>Föryngringsavverkning</t>
        </is>
      </c>
      <c r="D390" s="1" t="n">
        <v>46199</v>
      </c>
      <c r="E390" s="1" t="n">
        <v>46298</v>
      </c>
      <c r="F390" t="inlineStr">
        <is>
          <t>DALARNAS LÄN</t>
        </is>
      </c>
      <c r="G390" t="inlineStr">
        <is>
          <t>HEDEMORA</t>
        </is>
      </c>
      <c r="H390" t="inlineStr">
        <is>
          <t>Sveaskog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25924-2026</t>
        </is>
      </c>
      <c r="B391" t="inlineStr">
        <is>
          <t>avverkningsanmälan</t>
        </is>
      </c>
      <c r="C391" t="inlineStr">
        <is>
          <t>Föryngringsavverkning</t>
        </is>
      </c>
      <c r="D391" s="1" t="n">
        <v>46178</v>
      </c>
      <c r="E391" s="1" t="n">
        <v>46298</v>
      </c>
      <c r="F391" t="inlineStr">
        <is>
          <t>DALARNAS LÄN</t>
        </is>
      </c>
      <c r="G391" t="inlineStr">
        <is>
          <t>HEDEMORA</t>
        </is>
      </c>
      <c r="H391" t="inlineStr">
        <is>
          <t>Sveaskog</t>
        </is>
      </c>
      <c r="I391" t="n">
        <v>18.3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52853-2025</t>
        </is>
      </c>
      <c r="B392" t="inlineStr">
        <is>
          <t>avverkningsanmälan</t>
        </is>
      </c>
      <c r="C392" t="inlineStr">
        <is>
          <t>Föryngringsavverkning</t>
        </is>
      </c>
      <c r="D392" s="1" t="n">
        <v>45957</v>
      </c>
      <c r="E392" s="1" t="n">
        <v>46298</v>
      </c>
      <c r="F392" t="inlineStr">
        <is>
          <t>DALARNAS LÄN</t>
        </is>
      </c>
      <c r="G392" t="inlineStr">
        <is>
          <t>HEDEMORA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62401-2023</t>
        </is>
      </c>
      <c r="B393" t="inlineStr">
        <is>
          <t>avverkningsanmälan</t>
        </is>
      </c>
      <c r="C393" t="inlineStr">
        <is>
          <t>Föryngringsavverkning</t>
        </is>
      </c>
      <c r="D393" s="1" t="n">
        <v>45268</v>
      </c>
      <c r="E393" s="1" t="n">
        <v>46298</v>
      </c>
      <c r="F393" t="inlineStr">
        <is>
          <t>DALARNAS LÄN</t>
        </is>
      </c>
      <c r="G393" t="inlineStr">
        <is>
          <t>HEDEMORA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53040-2025</t>
        </is>
      </c>
      <c r="B394" t="inlineStr">
        <is>
          <t>avverkningsanmälan</t>
        </is>
      </c>
      <c r="C394" t="inlineStr">
        <is>
          <t>Föryngringsavverkning</t>
        </is>
      </c>
      <c r="D394" s="1" t="n">
        <v>45958</v>
      </c>
      <c r="E394" s="1" t="n">
        <v>46298</v>
      </c>
      <c r="F394" t="inlineStr">
        <is>
          <t>DALARNAS LÄN</t>
        </is>
      </c>
      <c r="G394" t="inlineStr">
        <is>
          <t>HEDEMORA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53044-2025</t>
        </is>
      </c>
      <c r="B395" t="inlineStr">
        <is>
          <t>avverkningsanmälan</t>
        </is>
      </c>
      <c r="C395" t="inlineStr">
        <is>
          <t>Föryngringsavverkning</t>
        </is>
      </c>
      <c r="D395" s="1" t="n">
        <v>45958</v>
      </c>
      <c r="E395" s="1" t="n">
        <v>46298</v>
      </c>
      <c r="F395" t="inlineStr">
        <is>
          <t>DALARNAS LÄN</t>
        </is>
      </c>
      <c r="G395" t="inlineStr">
        <is>
          <t>HEDEMORA</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39909-2026</t>
        </is>
      </c>
      <c r="B396" t="inlineStr">
        <is>
          <t>avverkningsanmälan</t>
        </is>
      </c>
      <c r="C396" t="inlineStr">
        <is>
          <t>Föryngringsavverkning</t>
        </is>
      </c>
      <c r="D396" s="1" t="n">
        <v>46290</v>
      </c>
      <c r="E396" s="1" t="n">
        <v>46298</v>
      </c>
      <c r="F396" t="inlineStr">
        <is>
          <t>DALARNAS LÄN</t>
        </is>
      </c>
      <c r="G396" t="inlineStr">
        <is>
          <t>HEDEMORA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25155-2023</t>
        </is>
      </c>
      <c r="B397" t="inlineStr">
        <is>
          <t>avverkningsanmälan</t>
        </is>
      </c>
      <c r="C397" t="inlineStr">
        <is>
          <t>Föryngringsavverkning</t>
        </is>
      </c>
      <c r="D397" s="1" t="n">
        <v>45086</v>
      </c>
      <c r="E397" s="1" t="n">
        <v>46298</v>
      </c>
      <c r="F397" t="inlineStr">
        <is>
          <t>DALARNAS LÄN</t>
        </is>
      </c>
      <c r="G397" t="inlineStr">
        <is>
          <t>HEDEMORA</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63908-2021</t>
        </is>
      </c>
      <c r="B398" t="inlineStr">
        <is>
          <t>avverkningsanmälan</t>
        </is>
      </c>
      <c r="C398" t="inlineStr">
        <is>
          <t>Föryngringsavverkning</t>
        </is>
      </c>
      <c r="D398" s="1" t="n">
        <v>44509</v>
      </c>
      <c r="E398" s="1" t="n">
        <v>46298</v>
      </c>
      <c r="F398" t="inlineStr">
        <is>
          <t>DALARNAS LÄN</t>
        </is>
      </c>
      <c r="G398" t="inlineStr">
        <is>
          <t>HEDEMORA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46298</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9314-2024</t>
        </is>
      </c>
      <c r="B400" t="inlineStr">
        <is>
          <t>avverkningsanmälan</t>
        </is>
      </c>
      <c r="C400" t="inlineStr">
        <is>
          <t>Föryngringsavverkning</t>
        </is>
      </c>
      <c r="D400" s="1" t="n">
        <v>45358</v>
      </c>
      <c r="E400" s="1" t="n">
        <v>46298</v>
      </c>
      <c r="F400" t="inlineStr">
        <is>
          <t>DALARNAS LÄN</t>
        </is>
      </c>
      <c r="G400" t="inlineStr">
        <is>
          <t>HEDEMORA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55882-2023</t>
        </is>
      </c>
      <c r="B401" t="inlineStr">
        <is>
          <t>avverkningsanmälan</t>
        </is>
      </c>
      <c r="C401" t="inlineStr">
        <is>
          <t>Föryngringsavverkning</t>
        </is>
      </c>
      <c r="D401" s="1" t="n">
        <v>45239</v>
      </c>
      <c r="E401" s="1" t="n">
        <v>46298</v>
      </c>
      <c r="F401" t="inlineStr">
        <is>
          <t>DALARNAS LÄN</t>
        </is>
      </c>
      <c r="G401" t="inlineStr">
        <is>
          <t>HEDEMORA</t>
        </is>
      </c>
      <c r="H401" t="inlineStr">
        <is>
          <t>Sveaskog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17594-2025</t>
        </is>
      </c>
      <c r="B402" t="inlineStr">
        <is>
          <t>avverkningsanmälan</t>
        </is>
      </c>
      <c r="C402" t="inlineStr">
        <is>
          <t>Föryngringsavverkning</t>
        </is>
      </c>
      <c r="D402" s="1" t="n">
        <v>45757</v>
      </c>
      <c r="E402" s="1" t="n">
        <v>46298</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40691-2026</t>
        </is>
      </c>
      <c r="B403" t="inlineStr">
        <is>
          <t>avverkningsanmälan</t>
        </is>
      </c>
      <c r="C403" t="inlineStr">
        <is>
          <t>Föryngringsavverkning</t>
        </is>
      </c>
      <c r="D403" s="1" t="n">
        <v>46296</v>
      </c>
      <c r="E403" s="1" t="n">
        <v>46298</v>
      </c>
      <c r="F403" t="inlineStr">
        <is>
          <t>DALARNAS LÄN</t>
        </is>
      </c>
      <c r="G403" t="inlineStr">
        <is>
          <t>HEDEMORA</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37762-2024</t>
        </is>
      </c>
      <c r="B404" t="inlineStr">
        <is>
          <t>avverkningsanmälan</t>
        </is>
      </c>
      <c r="C404" t="inlineStr">
        <is>
          <t>Föryngringsavverkning</t>
        </is>
      </c>
      <c r="D404" s="1" t="n">
        <v>45541</v>
      </c>
      <c r="E404" s="1" t="n">
        <v>46298</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7052-2025</t>
        </is>
      </c>
      <c r="B405" t="inlineStr">
        <is>
          <t>avverkningsanmälan</t>
        </is>
      </c>
      <c r="C405" t="inlineStr">
        <is>
          <t>Föryngringsavverkning</t>
        </is>
      </c>
      <c r="D405" s="1" t="n">
        <v>45701</v>
      </c>
      <c r="E405" s="1" t="n">
        <v>46298</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60078-2022</t>
        </is>
      </c>
      <c r="B406" t="inlineStr">
        <is>
          <t>avverkningsanmälan</t>
        </is>
      </c>
      <c r="C406" t="inlineStr">
        <is>
          <t>Föryngringsavverkning</t>
        </is>
      </c>
      <c r="D406" s="1" t="n">
        <v>44909</v>
      </c>
      <c r="E406" s="1" t="n">
        <v>46298</v>
      </c>
      <c r="F406" t="inlineStr">
        <is>
          <t>DALARNAS LÄN</t>
        </is>
      </c>
      <c r="G406" t="inlineStr">
        <is>
          <t>HEDEMORA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45589-2023</t>
        </is>
      </c>
      <c r="B407" t="inlineStr">
        <is>
          <t>avverkningsanmälan</t>
        </is>
      </c>
      <c r="C407" t="inlineStr">
        <is>
          <t>Föryngringsavverkning</t>
        </is>
      </c>
      <c r="D407" s="1" t="n">
        <v>45194</v>
      </c>
      <c r="E407" s="1" t="n">
        <v>46298</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40919-2023</t>
        </is>
      </c>
      <c r="B408" t="inlineStr">
        <is>
          <t>avverkningsanmälan</t>
        </is>
      </c>
      <c r="C408" t="inlineStr">
        <is>
          <t>Föryngringsavverkning</t>
        </is>
      </c>
      <c r="D408" s="1" t="n">
        <v>45173</v>
      </c>
      <c r="E408" s="1" t="n">
        <v>46298</v>
      </c>
      <c r="F408" t="inlineStr">
        <is>
          <t>DALARNAS LÄN</t>
        </is>
      </c>
      <c r="G408" t="inlineStr">
        <is>
          <t>HEDEMORA</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20237-2023</t>
        </is>
      </c>
      <c r="B409" t="inlineStr">
        <is>
          <t>avverkningsanmälan</t>
        </is>
      </c>
      <c r="C409" t="inlineStr">
        <is>
          <t>Föryngringsavverkning</t>
        </is>
      </c>
      <c r="D409" s="1" t="n">
        <v>45055</v>
      </c>
      <c r="E409" s="1" t="n">
        <v>46298</v>
      </c>
      <c r="F409" t="inlineStr">
        <is>
          <t>DALARNAS LÄN</t>
        </is>
      </c>
      <c r="G409" t="inlineStr">
        <is>
          <t>HEDEMORA</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68553-2021</t>
        </is>
      </c>
      <c r="B410" t="inlineStr">
        <is>
          <t>avverkningsanmälan</t>
        </is>
      </c>
      <c r="C410" t="inlineStr">
        <is>
          <t>Föryngringsavverkning</t>
        </is>
      </c>
      <c r="D410" s="1" t="n">
        <v>44529</v>
      </c>
      <c r="E410" s="1" t="n">
        <v>46298</v>
      </c>
      <c r="F410" t="inlineStr">
        <is>
          <t>DALARNAS LÄN</t>
        </is>
      </c>
      <c r="G410" t="inlineStr">
        <is>
          <t>HEDEMORA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30939-2023</t>
        </is>
      </c>
      <c r="B411" t="inlineStr">
        <is>
          <t>avverkningsanmälan</t>
        </is>
      </c>
      <c r="C411" t="inlineStr">
        <is>
          <t>Föryngringsavverkning</t>
        </is>
      </c>
      <c r="D411" s="1" t="n">
        <v>45113</v>
      </c>
      <c r="E411" s="1" t="n">
        <v>46298</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30430-2023</t>
        </is>
      </c>
      <c r="B412" t="inlineStr">
        <is>
          <t>avverkningsanmälan</t>
        </is>
      </c>
      <c r="C412" t="inlineStr">
        <is>
          <t>Föryngringsavverkning</t>
        </is>
      </c>
      <c r="D412" s="1" t="n">
        <v>45111</v>
      </c>
      <c r="E412" s="1" t="n">
        <v>46298</v>
      </c>
      <c r="F412" t="inlineStr">
        <is>
          <t>DALARNAS LÄN</t>
        </is>
      </c>
      <c r="G412" t="inlineStr">
        <is>
          <t>HEDEMORA</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63941-2023</t>
        </is>
      </c>
      <c r="B413" t="inlineStr">
        <is>
          <t>avverkningsanmälan</t>
        </is>
      </c>
      <c r="C413" t="inlineStr">
        <is>
          <t>Föryngringsavverkning</t>
        </is>
      </c>
      <c r="D413" s="1" t="n">
        <v>45278</v>
      </c>
      <c r="E413" s="1" t="n">
        <v>46298</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48380-2024</t>
        </is>
      </c>
      <c r="B414" t="inlineStr">
        <is>
          <t>avverkningsanmälan</t>
        </is>
      </c>
      <c r="C414" t="inlineStr">
        <is>
          <t>Föryngringsavverkning</t>
        </is>
      </c>
      <c r="D414" s="1" t="n">
        <v>45590</v>
      </c>
      <c r="E414" s="1" t="n">
        <v>46298</v>
      </c>
      <c r="F414" t="inlineStr">
        <is>
          <t>DALARNAS LÄN</t>
        </is>
      </c>
      <c r="G414" t="inlineStr">
        <is>
          <t>HEDEMORA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43785-2023</t>
        </is>
      </c>
      <c r="B415" t="inlineStr">
        <is>
          <t>avverkningsanmälan</t>
        </is>
      </c>
      <c r="C415" t="inlineStr">
        <is>
          <t>Föryngringsavverkning</t>
        </is>
      </c>
      <c r="D415" s="1" t="n">
        <v>45187</v>
      </c>
      <c r="E415" s="1" t="n">
        <v>46298</v>
      </c>
      <c r="F415" t="inlineStr">
        <is>
          <t>DALARNAS LÄN</t>
        </is>
      </c>
      <c r="G415" t="inlineStr">
        <is>
          <t>HEDEMORA</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6210-2024</t>
        </is>
      </c>
      <c r="B416" t="inlineStr">
        <is>
          <t>avverkningsanmälan</t>
        </is>
      </c>
      <c r="C416" t="inlineStr">
        <is>
          <t>Föryngringsavverkning</t>
        </is>
      </c>
      <c r="D416" s="1" t="n">
        <v>45337</v>
      </c>
      <c r="E416" s="1" t="n">
        <v>46298</v>
      </c>
      <c r="F416" t="inlineStr">
        <is>
          <t>DALARNAS LÄN</t>
        </is>
      </c>
      <c r="G416" t="inlineStr">
        <is>
          <t>HEDEMORA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46298</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46298</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46298</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46298</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46298</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46298</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46298</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46298</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46298</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46298</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46298</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46298</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46298</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46298</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46298</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46298</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46298</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46298</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2026-10-03T02:02:23Z</dcterms:created>
  <dcterms:modified xmlns:dcterms="http://purl.org/dc/terms/" xmlns:xsi="http://www.w3.org/2001/XMLSchema-instance" xsi:type="dcterms:W3CDTF">2026-10-03T02:02:24Z</dcterms:modified>
</cp:coreProperties>
</file>