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45690</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45690</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45690</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45690</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45690</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45690</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45690</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45690</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45690</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45690</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45690</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45690</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45690</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45690</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45690</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45690</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45690</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45690</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45690</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45690</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45690</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45690</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45690</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45690</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45690</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45690</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45690</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45690</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45690</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45690</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45690</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45690</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45690</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45690</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45690</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45690</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45690</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45690</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45690</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45690</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45690</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45690</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45690</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45690</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45690</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45690</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45690</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45690</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45690</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45690</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45690</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45690</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45690</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45690</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45690</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45690</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45690</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451-2025</t>
        </is>
      </c>
      <c r="B59" s="1" t="n">
        <v>45664</v>
      </c>
      <c r="C59" s="1" t="n">
        <v>45690</v>
      </c>
      <c r="D59" t="inlineStr">
        <is>
          <t>DALARNAS LÄN</t>
        </is>
      </c>
      <c r="E59" t="inlineStr">
        <is>
          <t>HEDEMORA</t>
        </is>
      </c>
      <c r="G59" t="n">
        <v>4.5</v>
      </c>
      <c r="H59" t="n">
        <v>2</v>
      </c>
      <c r="I59" t="n">
        <v>0</v>
      </c>
      <c r="J59" t="n">
        <v>1</v>
      </c>
      <c r="K59" t="n">
        <v>1</v>
      </c>
      <c r="L59" t="n">
        <v>0</v>
      </c>
      <c r="M59" t="n">
        <v>0</v>
      </c>
      <c r="N59" t="n">
        <v>0</v>
      </c>
      <c r="O59" t="n">
        <v>2</v>
      </c>
      <c r="P59" t="n">
        <v>1</v>
      </c>
      <c r="Q59" t="n">
        <v>2</v>
      </c>
      <c r="R59" s="2" t="inlineStr">
        <is>
          <t>Knärot
Spillkråka</t>
        </is>
      </c>
      <c r="S59">
        <f>HYPERLINK("https://klasma.github.io/Logging_2083/artfynd/A 451-2025 artfynd.xlsx", "A 451-2025")</f>
        <v/>
      </c>
      <c r="T59">
        <f>HYPERLINK("https://klasma.github.io/Logging_2083/kartor/A 451-2025 karta.png", "A 451-2025")</f>
        <v/>
      </c>
      <c r="U59">
        <f>HYPERLINK("https://klasma.github.io/Logging_2083/knärot/A 451-2025 karta knärot.png", "A 451-2025")</f>
        <v/>
      </c>
      <c r="V59">
        <f>HYPERLINK("https://klasma.github.io/Logging_2083/klagomål/A 451-2025 FSC-klagomål.docx", "A 451-2025")</f>
        <v/>
      </c>
      <c r="W59">
        <f>HYPERLINK("https://klasma.github.io/Logging_2083/klagomålsmail/A 451-2025 FSC-klagomål mail.docx", "A 451-2025")</f>
        <v/>
      </c>
      <c r="X59">
        <f>HYPERLINK("https://klasma.github.io/Logging_2083/tillsyn/A 451-2025 tillsynsbegäran.docx", "A 451-2025")</f>
        <v/>
      </c>
      <c r="Y59">
        <f>HYPERLINK("https://klasma.github.io/Logging_2083/tillsynsmail/A 451-2025 tillsynsbegäran mail.docx", "A 451-2025")</f>
        <v/>
      </c>
      <c r="Z59">
        <f>HYPERLINK("https://klasma.github.io/Logging_2083/fåglar/A 451-2025 prioriterade fågelarter.docx", "A 451-2025")</f>
        <v/>
      </c>
    </row>
    <row r="60" ht="15" customHeight="1">
      <c r="A60" t="inlineStr">
        <is>
          <t>A 1518-2025</t>
        </is>
      </c>
      <c r="B60" s="1" t="n">
        <v>45670</v>
      </c>
      <c r="C60" s="1" t="n">
        <v>45690</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1518-2025 artfynd.xlsx", "A 1518-2025")</f>
        <v/>
      </c>
      <c r="T60">
        <f>HYPERLINK("https://klasma.github.io/Logging_2083/kartor/A 1518-2025 karta.png", "A 1518-2025")</f>
        <v/>
      </c>
      <c r="U60">
        <f>HYPERLINK("https://klasma.github.io/Logging_2083/knärot/A 1518-2025 karta knärot.png", "A 1518-2025")</f>
        <v/>
      </c>
      <c r="V60">
        <f>HYPERLINK("https://klasma.github.io/Logging_2083/klagomål/A 1518-2025 FSC-klagomål.docx", "A 1518-2025")</f>
        <v/>
      </c>
      <c r="W60">
        <f>HYPERLINK("https://klasma.github.io/Logging_2083/klagomålsmail/A 1518-2025 FSC-klagomål mail.docx", "A 1518-2025")</f>
        <v/>
      </c>
      <c r="X60">
        <f>HYPERLINK("https://klasma.github.io/Logging_2083/tillsyn/A 1518-2025 tillsynsbegäran.docx", "A 1518-2025")</f>
        <v/>
      </c>
      <c r="Y60">
        <f>HYPERLINK("https://klasma.github.io/Logging_2083/tillsynsmail/A 1518-2025 tillsynsbegäran mail.docx", "A 1518-2025")</f>
        <v/>
      </c>
    </row>
    <row r="61" ht="15" customHeight="1">
      <c r="A61" t="inlineStr">
        <is>
          <t>A 8494-2020</t>
        </is>
      </c>
      <c r="B61" s="1" t="n">
        <v>43875</v>
      </c>
      <c r="C61" s="1" t="n">
        <v>45690</v>
      </c>
      <c r="D61" t="inlineStr">
        <is>
          <t>DALARNAS LÄN</t>
        </is>
      </c>
      <c r="E61" t="inlineStr">
        <is>
          <t>HEDEMORA</t>
        </is>
      </c>
      <c r="G61" t="n">
        <v>11</v>
      </c>
      <c r="H61" t="n">
        <v>1</v>
      </c>
      <c r="I61" t="n">
        <v>0</v>
      </c>
      <c r="J61" t="n">
        <v>0</v>
      </c>
      <c r="K61" t="n">
        <v>1</v>
      </c>
      <c r="L61" t="n">
        <v>0</v>
      </c>
      <c r="M61" t="n">
        <v>0</v>
      </c>
      <c r="N61" t="n">
        <v>0</v>
      </c>
      <c r="O61" t="n">
        <v>1</v>
      </c>
      <c r="P61" t="n">
        <v>1</v>
      </c>
      <c r="Q61" t="n">
        <v>1</v>
      </c>
      <c r="R61" s="2" t="inlineStr">
        <is>
          <t>Knärot</t>
        </is>
      </c>
      <c r="S61">
        <f>HYPERLINK("https://klasma.github.io/Logging_2083/artfynd/A 8494-2020 artfynd.xlsx", "A 8494-2020")</f>
        <v/>
      </c>
      <c r="T61">
        <f>HYPERLINK("https://klasma.github.io/Logging_2083/kartor/A 8494-2020 karta.png", "A 8494-2020")</f>
        <v/>
      </c>
      <c r="U61">
        <f>HYPERLINK("https://klasma.github.io/Logging_2083/knärot/A 8494-2020 karta knärot.png", "A 8494-2020")</f>
        <v/>
      </c>
      <c r="V61">
        <f>HYPERLINK("https://klasma.github.io/Logging_2083/klagomål/A 8494-2020 FSC-klagomål.docx", "A 8494-2020")</f>
        <v/>
      </c>
      <c r="W61">
        <f>HYPERLINK("https://klasma.github.io/Logging_2083/klagomålsmail/A 8494-2020 FSC-klagomål mail.docx", "A 8494-2020")</f>
        <v/>
      </c>
      <c r="X61">
        <f>HYPERLINK("https://klasma.github.io/Logging_2083/tillsyn/A 8494-2020 tillsynsbegäran.docx", "A 8494-2020")</f>
        <v/>
      </c>
      <c r="Y61">
        <f>HYPERLINK("https://klasma.github.io/Logging_2083/tillsynsmail/A 8494-2020 tillsynsbegäran mail.docx", "A 8494-2020")</f>
        <v/>
      </c>
    </row>
    <row r="62" ht="15" customHeight="1">
      <c r="A62" t="inlineStr">
        <is>
          <t>A 9058-2020</t>
        </is>
      </c>
      <c r="B62" s="1" t="n">
        <v>43879</v>
      </c>
      <c r="C62" s="1" t="n">
        <v>45690</v>
      </c>
      <c r="D62" t="inlineStr">
        <is>
          <t>DALARNAS LÄN</t>
        </is>
      </c>
      <c r="E62" t="inlineStr">
        <is>
          <t>HEDEMORA</t>
        </is>
      </c>
      <c r="G62" t="n">
        <v>0.5</v>
      </c>
      <c r="H62" t="n">
        <v>0</v>
      </c>
      <c r="I62" t="n">
        <v>1</v>
      </c>
      <c r="J62" t="n">
        <v>0</v>
      </c>
      <c r="K62" t="n">
        <v>0</v>
      </c>
      <c r="L62" t="n">
        <v>0</v>
      </c>
      <c r="M62" t="n">
        <v>0</v>
      </c>
      <c r="N62" t="n">
        <v>0</v>
      </c>
      <c r="O62" t="n">
        <v>0</v>
      </c>
      <c r="P62" t="n">
        <v>0</v>
      </c>
      <c r="Q62" t="n">
        <v>1</v>
      </c>
      <c r="R62" s="2" t="inlineStr">
        <is>
          <t>Tibast</t>
        </is>
      </c>
      <c r="S62">
        <f>HYPERLINK("https://klasma.github.io/Logging_2083/artfynd/A 9058-2020 artfynd.xlsx", "A 9058-2020")</f>
        <v/>
      </c>
      <c r="T62">
        <f>HYPERLINK("https://klasma.github.io/Logging_2083/kartor/A 9058-2020 karta.png", "A 9058-2020")</f>
        <v/>
      </c>
      <c r="V62">
        <f>HYPERLINK("https://klasma.github.io/Logging_2083/klagomål/A 9058-2020 FSC-klagomål.docx", "A 9058-2020")</f>
        <v/>
      </c>
      <c r="W62">
        <f>HYPERLINK("https://klasma.github.io/Logging_2083/klagomålsmail/A 9058-2020 FSC-klagomål mail.docx", "A 9058-2020")</f>
        <v/>
      </c>
      <c r="X62">
        <f>HYPERLINK("https://klasma.github.io/Logging_2083/tillsyn/A 9058-2020 tillsynsbegäran.docx", "A 9058-2020")</f>
        <v/>
      </c>
      <c r="Y62">
        <f>HYPERLINK("https://klasma.github.io/Logging_2083/tillsynsmail/A 9058-2020 tillsynsbegäran mail.docx", "A 9058-2020")</f>
        <v/>
      </c>
    </row>
    <row r="63" ht="15" customHeight="1">
      <c r="A63" t="inlineStr">
        <is>
          <t>A 9056-2020</t>
        </is>
      </c>
      <c r="B63" s="1" t="n">
        <v>43879</v>
      </c>
      <c r="C63" s="1" t="n">
        <v>45690</v>
      </c>
      <c r="D63" t="inlineStr">
        <is>
          <t>DALARNAS LÄN</t>
        </is>
      </c>
      <c r="E63" t="inlineStr">
        <is>
          <t>HEDEMORA</t>
        </is>
      </c>
      <c r="G63" t="n">
        <v>1.4</v>
      </c>
      <c r="H63" t="n">
        <v>0</v>
      </c>
      <c r="I63" t="n">
        <v>0</v>
      </c>
      <c r="J63" t="n">
        <v>1</v>
      </c>
      <c r="K63" t="n">
        <v>0</v>
      </c>
      <c r="L63" t="n">
        <v>0</v>
      </c>
      <c r="M63" t="n">
        <v>0</v>
      </c>
      <c r="N63" t="n">
        <v>0</v>
      </c>
      <c r="O63" t="n">
        <v>1</v>
      </c>
      <c r="P63" t="n">
        <v>0</v>
      </c>
      <c r="Q63" t="n">
        <v>1</v>
      </c>
      <c r="R63" s="2" t="inlineStr">
        <is>
          <t>Garnlav</t>
        </is>
      </c>
      <c r="S63">
        <f>HYPERLINK("https://klasma.github.io/Logging_2083/artfynd/A 9056-2020 artfynd.xlsx", "A 9056-2020")</f>
        <v/>
      </c>
      <c r="T63">
        <f>HYPERLINK("https://klasma.github.io/Logging_2083/kartor/A 9056-2020 karta.png", "A 9056-2020")</f>
        <v/>
      </c>
      <c r="V63">
        <f>HYPERLINK("https://klasma.github.io/Logging_2083/klagomål/A 9056-2020 FSC-klagomål.docx", "A 9056-2020")</f>
        <v/>
      </c>
      <c r="W63">
        <f>HYPERLINK("https://klasma.github.io/Logging_2083/klagomålsmail/A 9056-2020 FSC-klagomål mail.docx", "A 9056-2020")</f>
        <v/>
      </c>
      <c r="X63">
        <f>HYPERLINK("https://klasma.github.io/Logging_2083/tillsyn/A 9056-2020 tillsynsbegäran.docx", "A 9056-2020")</f>
        <v/>
      </c>
      <c r="Y63">
        <f>HYPERLINK("https://klasma.github.io/Logging_2083/tillsynsmail/A 9056-2020 tillsynsbegäran mail.docx", "A 9056-2020")</f>
        <v/>
      </c>
    </row>
    <row r="64" ht="15" customHeight="1">
      <c r="A64" t="inlineStr">
        <is>
          <t>A 11129-2020</t>
        </is>
      </c>
      <c r="B64" s="1" t="n">
        <v>43889</v>
      </c>
      <c r="C64" s="1" t="n">
        <v>45690</v>
      </c>
      <c r="D64" t="inlineStr">
        <is>
          <t>DALARNAS LÄN</t>
        </is>
      </c>
      <c r="E64" t="inlineStr">
        <is>
          <t>HEDEMORA</t>
        </is>
      </c>
      <c r="G64" t="n">
        <v>2.1</v>
      </c>
      <c r="H64" t="n">
        <v>0</v>
      </c>
      <c r="I64" t="n">
        <v>1</v>
      </c>
      <c r="J64" t="n">
        <v>0</v>
      </c>
      <c r="K64" t="n">
        <v>0</v>
      </c>
      <c r="L64" t="n">
        <v>0</v>
      </c>
      <c r="M64" t="n">
        <v>0</v>
      </c>
      <c r="N64" t="n">
        <v>0</v>
      </c>
      <c r="O64" t="n">
        <v>0</v>
      </c>
      <c r="P64" t="n">
        <v>0</v>
      </c>
      <c r="Q64" t="n">
        <v>1</v>
      </c>
      <c r="R64" s="2" t="inlineStr">
        <is>
          <t>Bollvitmossa</t>
        </is>
      </c>
      <c r="S64">
        <f>HYPERLINK("https://klasma.github.io/Logging_2083/artfynd/A 11129-2020 artfynd.xlsx", "A 11129-2020")</f>
        <v/>
      </c>
      <c r="T64">
        <f>HYPERLINK("https://klasma.github.io/Logging_2083/kartor/A 11129-2020 karta.png", "A 11129-2020")</f>
        <v/>
      </c>
      <c r="V64">
        <f>HYPERLINK("https://klasma.github.io/Logging_2083/klagomål/A 11129-2020 FSC-klagomål.docx", "A 11129-2020")</f>
        <v/>
      </c>
      <c r="W64">
        <f>HYPERLINK("https://klasma.github.io/Logging_2083/klagomålsmail/A 11129-2020 FSC-klagomål mail.docx", "A 11129-2020")</f>
        <v/>
      </c>
      <c r="X64">
        <f>HYPERLINK("https://klasma.github.io/Logging_2083/tillsyn/A 11129-2020 tillsynsbegäran.docx", "A 11129-2020")</f>
        <v/>
      </c>
      <c r="Y64">
        <f>HYPERLINK("https://klasma.github.io/Logging_2083/tillsynsmail/A 11129-2020 tillsynsbegäran mail.docx", "A 11129-2020")</f>
        <v/>
      </c>
    </row>
    <row r="65" ht="15" customHeight="1">
      <c r="A65" t="inlineStr">
        <is>
          <t>A 17882-2020</t>
        </is>
      </c>
      <c r="B65" s="1" t="n">
        <v>43924</v>
      </c>
      <c r="C65" s="1" t="n">
        <v>45690</v>
      </c>
      <c r="D65" t="inlineStr">
        <is>
          <t>DALARNAS LÄN</t>
        </is>
      </c>
      <c r="E65" t="inlineStr">
        <is>
          <t>HEDEMORA</t>
        </is>
      </c>
      <c r="G65" t="n">
        <v>9.300000000000001</v>
      </c>
      <c r="H65" t="n">
        <v>1</v>
      </c>
      <c r="I65" t="n">
        <v>0</v>
      </c>
      <c r="J65" t="n">
        <v>0</v>
      </c>
      <c r="K65" t="n">
        <v>0</v>
      </c>
      <c r="L65" t="n">
        <v>0</v>
      </c>
      <c r="M65" t="n">
        <v>0</v>
      </c>
      <c r="N65" t="n">
        <v>0</v>
      </c>
      <c r="O65" t="n">
        <v>0</v>
      </c>
      <c r="P65" t="n">
        <v>0</v>
      </c>
      <c r="Q65" t="n">
        <v>1</v>
      </c>
      <c r="R65" s="2" t="inlineStr">
        <is>
          <t>Tjäder</t>
        </is>
      </c>
      <c r="S65">
        <f>HYPERLINK("https://klasma.github.io/Logging_2083/artfynd/A 17882-2020 artfynd.xlsx", "A 17882-2020")</f>
        <v/>
      </c>
      <c r="T65">
        <f>HYPERLINK("https://klasma.github.io/Logging_2083/kartor/A 17882-2020 karta.png", "A 17882-2020")</f>
        <v/>
      </c>
      <c r="V65">
        <f>HYPERLINK("https://klasma.github.io/Logging_2083/klagomål/A 17882-2020 FSC-klagomål.docx", "A 17882-2020")</f>
        <v/>
      </c>
      <c r="W65">
        <f>HYPERLINK("https://klasma.github.io/Logging_2083/klagomålsmail/A 17882-2020 FSC-klagomål mail.docx", "A 17882-2020")</f>
        <v/>
      </c>
      <c r="X65">
        <f>HYPERLINK("https://klasma.github.io/Logging_2083/tillsyn/A 17882-2020 tillsynsbegäran.docx", "A 17882-2020")</f>
        <v/>
      </c>
      <c r="Y65">
        <f>HYPERLINK("https://klasma.github.io/Logging_2083/tillsynsmail/A 17882-2020 tillsynsbegäran mail.docx", "A 17882-2020")</f>
        <v/>
      </c>
      <c r="Z65">
        <f>HYPERLINK("https://klasma.github.io/Logging_2083/fåglar/A 17882-2020 prioriterade fågelarter.docx", "A 17882-2020")</f>
        <v/>
      </c>
    </row>
    <row r="66" ht="15" customHeight="1">
      <c r="A66" t="inlineStr">
        <is>
          <t>A 24759-2020</t>
        </is>
      </c>
      <c r="B66" s="1" t="n">
        <v>43978</v>
      </c>
      <c r="C66" s="1" t="n">
        <v>45690</v>
      </c>
      <c r="D66" t="inlineStr">
        <is>
          <t>DALARNAS LÄN</t>
        </is>
      </c>
      <c r="E66" t="inlineStr">
        <is>
          <t>HEDEMORA</t>
        </is>
      </c>
      <c r="F66" t="inlineStr">
        <is>
          <t>Sveaskog</t>
        </is>
      </c>
      <c r="G66" t="n">
        <v>9.699999999999999</v>
      </c>
      <c r="H66" t="n">
        <v>1</v>
      </c>
      <c r="I66" t="n">
        <v>0</v>
      </c>
      <c r="J66" t="n">
        <v>0</v>
      </c>
      <c r="K66" t="n">
        <v>0</v>
      </c>
      <c r="L66" t="n">
        <v>0</v>
      </c>
      <c r="M66" t="n">
        <v>0</v>
      </c>
      <c r="N66" t="n">
        <v>0</v>
      </c>
      <c r="O66" t="n">
        <v>0</v>
      </c>
      <c r="P66" t="n">
        <v>0</v>
      </c>
      <c r="Q66" t="n">
        <v>1</v>
      </c>
      <c r="R66" s="2" t="inlineStr">
        <is>
          <t>Orre</t>
        </is>
      </c>
      <c r="S66">
        <f>HYPERLINK("https://klasma.github.io/Logging_2083/artfynd/A 24759-2020 artfynd.xlsx", "A 24759-2020")</f>
        <v/>
      </c>
      <c r="T66">
        <f>HYPERLINK("https://klasma.github.io/Logging_2083/kartor/A 24759-2020 karta.png", "A 24759-2020")</f>
        <v/>
      </c>
      <c r="V66">
        <f>HYPERLINK("https://klasma.github.io/Logging_2083/klagomål/A 24759-2020 FSC-klagomål.docx", "A 24759-2020")</f>
        <v/>
      </c>
      <c r="W66">
        <f>HYPERLINK("https://klasma.github.io/Logging_2083/klagomålsmail/A 24759-2020 FSC-klagomål mail.docx", "A 24759-2020")</f>
        <v/>
      </c>
      <c r="X66">
        <f>HYPERLINK("https://klasma.github.io/Logging_2083/tillsyn/A 24759-2020 tillsynsbegäran.docx", "A 24759-2020")</f>
        <v/>
      </c>
      <c r="Y66">
        <f>HYPERLINK("https://klasma.github.io/Logging_2083/tillsynsmail/A 24759-2020 tillsynsbegäran mail.docx", "A 24759-2020")</f>
        <v/>
      </c>
      <c r="Z66">
        <f>HYPERLINK("https://klasma.github.io/Logging_2083/fåglar/A 24759-2020 prioriterade fågelarter.docx", "A 24759-2020")</f>
        <v/>
      </c>
    </row>
    <row r="67" ht="15" customHeight="1">
      <c r="A67" t="inlineStr">
        <is>
          <t>A 29857-2020</t>
        </is>
      </c>
      <c r="B67" s="1" t="n">
        <v>44006</v>
      </c>
      <c r="C67" s="1" t="n">
        <v>45690</v>
      </c>
      <c r="D67" t="inlineStr">
        <is>
          <t>DALARNAS LÄN</t>
        </is>
      </c>
      <c r="E67" t="inlineStr">
        <is>
          <t>HEDEMORA</t>
        </is>
      </c>
      <c r="G67" t="n">
        <v>0.4</v>
      </c>
      <c r="H67" t="n">
        <v>1</v>
      </c>
      <c r="I67" t="n">
        <v>0</v>
      </c>
      <c r="J67" t="n">
        <v>1</v>
      </c>
      <c r="K67" t="n">
        <v>0</v>
      </c>
      <c r="L67" t="n">
        <v>0</v>
      </c>
      <c r="M67" t="n">
        <v>0</v>
      </c>
      <c r="N67" t="n">
        <v>0</v>
      </c>
      <c r="O67" t="n">
        <v>1</v>
      </c>
      <c r="P67" t="n">
        <v>0</v>
      </c>
      <c r="Q67" t="n">
        <v>1</v>
      </c>
      <c r="R67" s="2" t="inlineStr">
        <is>
          <t>Gulsparv</t>
        </is>
      </c>
      <c r="S67">
        <f>HYPERLINK("https://klasma.github.io/Logging_2083/artfynd/A 29857-2020 artfynd.xlsx", "A 29857-2020")</f>
        <v/>
      </c>
      <c r="T67">
        <f>HYPERLINK("https://klasma.github.io/Logging_2083/kartor/A 29857-2020 karta.png", "A 29857-2020")</f>
        <v/>
      </c>
      <c r="V67">
        <f>HYPERLINK("https://klasma.github.io/Logging_2083/klagomål/A 29857-2020 FSC-klagomål.docx", "A 29857-2020")</f>
        <v/>
      </c>
      <c r="W67">
        <f>HYPERLINK("https://klasma.github.io/Logging_2083/klagomålsmail/A 29857-2020 FSC-klagomål mail.docx", "A 29857-2020")</f>
        <v/>
      </c>
      <c r="X67">
        <f>HYPERLINK("https://klasma.github.io/Logging_2083/tillsyn/A 29857-2020 tillsynsbegäran.docx", "A 29857-2020")</f>
        <v/>
      </c>
      <c r="Y67">
        <f>HYPERLINK("https://klasma.github.io/Logging_2083/tillsynsmail/A 29857-2020 tillsynsbegäran mail.docx", "A 29857-2020")</f>
        <v/>
      </c>
      <c r="Z67">
        <f>HYPERLINK("https://klasma.github.io/Logging_2083/fåglar/A 29857-2020 prioriterade fågelarter.docx", "A 29857-2020")</f>
        <v/>
      </c>
    </row>
    <row r="68" ht="15" customHeight="1">
      <c r="A68" t="inlineStr">
        <is>
          <t>A 49767-2020</t>
        </is>
      </c>
      <c r="B68" s="1" t="n">
        <v>44106</v>
      </c>
      <c r="C68" s="1" t="n">
        <v>45690</v>
      </c>
      <c r="D68" t="inlineStr">
        <is>
          <t>DALARNAS LÄN</t>
        </is>
      </c>
      <c r="E68" t="inlineStr">
        <is>
          <t>HEDEMORA</t>
        </is>
      </c>
      <c r="F68" t="inlineStr">
        <is>
          <t>Sveaskog</t>
        </is>
      </c>
      <c r="G68" t="n">
        <v>6.1</v>
      </c>
      <c r="H68" t="n">
        <v>1</v>
      </c>
      <c r="I68" t="n">
        <v>0</v>
      </c>
      <c r="J68" t="n">
        <v>0</v>
      </c>
      <c r="K68" t="n">
        <v>1</v>
      </c>
      <c r="L68" t="n">
        <v>0</v>
      </c>
      <c r="M68" t="n">
        <v>0</v>
      </c>
      <c r="N68" t="n">
        <v>0</v>
      </c>
      <c r="O68" t="n">
        <v>1</v>
      </c>
      <c r="P68" t="n">
        <v>1</v>
      </c>
      <c r="Q68" t="n">
        <v>1</v>
      </c>
      <c r="R68" s="2" t="inlineStr">
        <is>
          <t>Knärot</t>
        </is>
      </c>
      <c r="S68">
        <f>HYPERLINK("https://klasma.github.io/Logging_2083/artfynd/A 49767-2020 artfynd.xlsx", "A 49767-2020")</f>
        <v/>
      </c>
      <c r="T68">
        <f>HYPERLINK("https://klasma.github.io/Logging_2083/kartor/A 49767-2020 karta.png", "A 49767-2020")</f>
        <v/>
      </c>
      <c r="U68">
        <f>HYPERLINK("https://klasma.github.io/Logging_2083/knärot/A 49767-2020 karta knärot.png", "A 49767-2020")</f>
        <v/>
      </c>
      <c r="V68">
        <f>HYPERLINK("https://klasma.github.io/Logging_2083/klagomål/A 49767-2020 FSC-klagomål.docx", "A 49767-2020")</f>
        <v/>
      </c>
      <c r="W68">
        <f>HYPERLINK("https://klasma.github.io/Logging_2083/klagomålsmail/A 49767-2020 FSC-klagomål mail.docx", "A 49767-2020")</f>
        <v/>
      </c>
      <c r="X68">
        <f>HYPERLINK("https://klasma.github.io/Logging_2083/tillsyn/A 49767-2020 tillsynsbegäran.docx", "A 49767-2020")</f>
        <v/>
      </c>
      <c r="Y68">
        <f>HYPERLINK("https://klasma.github.io/Logging_2083/tillsynsmail/A 49767-2020 tillsynsbegäran mail.docx", "A 49767-2020")</f>
        <v/>
      </c>
    </row>
    <row r="69" ht="15" customHeight="1">
      <c r="A69" t="inlineStr">
        <is>
          <t>A 49768-2020</t>
        </is>
      </c>
      <c r="B69" s="1" t="n">
        <v>44106</v>
      </c>
      <c r="C69" s="1" t="n">
        <v>45690</v>
      </c>
      <c r="D69" t="inlineStr">
        <is>
          <t>DALARNAS LÄN</t>
        </is>
      </c>
      <c r="E69" t="inlineStr">
        <is>
          <t>HEDEMORA</t>
        </is>
      </c>
      <c r="F69" t="inlineStr">
        <is>
          <t>Sveaskog</t>
        </is>
      </c>
      <c r="G69" t="n">
        <v>10</v>
      </c>
      <c r="H69" t="n">
        <v>1</v>
      </c>
      <c r="I69" t="n">
        <v>0</v>
      </c>
      <c r="J69" t="n">
        <v>0</v>
      </c>
      <c r="K69" t="n">
        <v>1</v>
      </c>
      <c r="L69" t="n">
        <v>0</v>
      </c>
      <c r="M69" t="n">
        <v>0</v>
      </c>
      <c r="N69" t="n">
        <v>0</v>
      </c>
      <c r="O69" t="n">
        <v>1</v>
      </c>
      <c r="P69" t="n">
        <v>1</v>
      </c>
      <c r="Q69" t="n">
        <v>1</v>
      </c>
      <c r="R69" s="2" t="inlineStr">
        <is>
          <t>Knärot</t>
        </is>
      </c>
      <c r="S69">
        <f>HYPERLINK("https://klasma.github.io/Logging_2083/artfynd/A 49768-2020 artfynd.xlsx", "A 49768-2020")</f>
        <v/>
      </c>
      <c r="T69">
        <f>HYPERLINK("https://klasma.github.io/Logging_2083/kartor/A 49768-2020 karta.png", "A 49768-2020")</f>
        <v/>
      </c>
      <c r="U69">
        <f>HYPERLINK("https://klasma.github.io/Logging_2083/knärot/A 49768-2020 karta knärot.png", "A 49768-2020")</f>
        <v/>
      </c>
      <c r="V69">
        <f>HYPERLINK("https://klasma.github.io/Logging_2083/klagomål/A 49768-2020 FSC-klagomål.docx", "A 49768-2020")</f>
        <v/>
      </c>
      <c r="W69">
        <f>HYPERLINK("https://klasma.github.io/Logging_2083/klagomålsmail/A 49768-2020 FSC-klagomål mail.docx", "A 49768-2020")</f>
        <v/>
      </c>
      <c r="X69">
        <f>HYPERLINK("https://klasma.github.io/Logging_2083/tillsyn/A 49768-2020 tillsynsbegäran.docx", "A 49768-2020")</f>
        <v/>
      </c>
      <c r="Y69">
        <f>HYPERLINK("https://klasma.github.io/Logging_2083/tillsynsmail/A 49768-2020 tillsynsbegäran mail.docx", "A 49768-2020")</f>
        <v/>
      </c>
    </row>
    <row r="70" ht="15" customHeight="1">
      <c r="A70" t="inlineStr">
        <is>
          <t>A 49765-2020</t>
        </is>
      </c>
      <c r="B70" s="1" t="n">
        <v>44106</v>
      </c>
      <c r="C70" s="1" t="n">
        <v>45690</v>
      </c>
      <c r="D70" t="inlineStr">
        <is>
          <t>DALARNAS LÄN</t>
        </is>
      </c>
      <c r="E70" t="inlineStr">
        <is>
          <t>HEDEMORA</t>
        </is>
      </c>
      <c r="F70" t="inlineStr">
        <is>
          <t>Sveaskog</t>
        </is>
      </c>
      <c r="G70" t="n">
        <v>5.8</v>
      </c>
      <c r="H70" t="n">
        <v>1</v>
      </c>
      <c r="I70" t="n">
        <v>0</v>
      </c>
      <c r="J70" t="n">
        <v>0</v>
      </c>
      <c r="K70" t="n">
        <v>1</v>
      </c>
      <c r="L70" t="n">
        <v>0</v>
      </c>
      <c r="M70" t="n">
        <v>0</v>
      </c>
      <c r="N70" t="n">
        <v>0</v>
      </c>
      <c r="O70" t="n">
        <v>1</v>
      </c>
      <c r="P70" t="n">
        <v>1</v>
      </c>
      <c r="Q70" t="n">
        <v>1</v>
      </c>
      <c r="R70" s="2" t="inlineStr">
        <is>
          <t>Knärot</t>
        </is>
      </c>
      <c r="S70">
        <f>HYPERLINK("https://klasma.github.io/Logging_2083/artfynd/A 49765-2020 artfynd.xlsx", "A 49765-2020")</f>
        <v/>
      </c>
      <c r="T70">
        <f>HYPERLINK("https://klasma.github.io/Logging_2083/kartor/A 49765-2020 karta.png", "A 49765-2020")</f>
        <v/>
      </c>
      <c r="U70">
        <f>HYPERLINK("https://klasma.github.io/Logging_2083/knärot/A 49765-2020 karta knärot.png", "A 49765-2020")</f>
        <v/>
      </c>
      <c r="V70">
        <f>HYPERLINK("https://klasma.github.io/Logging_2083/klagomål/A 49765-2020 FSC-klagomål.docx", "A 49765-2020")</f>
        <v/>
      </c>
      <c r="W70">
        <f>HYPERLINK("https://klasma.github.io/Logging_2083/klagomålsmail/A 49765-2020 FSC-klagomål mail.docx", "A 49765-2020")</f>
        <v/>
      </c>
      <c r="X70">
        <f>HYPERLINK("https://klasma.github.io/Logging_2083/tillsyn/A 49765-2020 tillsynsbegäran.docx", "A 49765-2020")</f>
        <v/>
      </c>
      <c r="Y70">
        <f>HYPERLINK("https://klasma.github.io/Logging_2083/tillsynsmail/A 49765-2020 tillsynsbegäran mail.docx", "A 49765-2020")</f>
        <v/>
      </c>
    </row>
    <row r="71" ht="15" customHeight="1">
      <c r="A71" t="inlineStr">
        <is>
          <t>A 9959-2021</t>
        </is>
      </c>
      <c r="B71" s="1" t="n">
        <v>44253</v>
      </c>
      <c r="C71" s="1" t="n">
        <v>45690</v>
      </c>
      <c r="D71" t="inlineStr">
        <is>
          <t>DALARNAS LÄN</t>
        </is>
      </c>
      <c r="E71" t="inlineStr">
        <is>
          <t>HEDEMORA</t>
        </is>
      </c>
      <c r="G71" t="n">
        <v>1.1</v>
      </c>
      <c r="H71" t="n">
        <v>1</v>
      </c>
      <c r="I71" t="n">
        <v>0</v>
      </c>
      <c r="J71" t="n">
        <v>0</v>
      </c>
      <c r="K71" t="n">
        <v>1</v>
      </c>
      <c r="L71" t="n">
        <v>0</v>
      </c>
      <c r="M71" t="n">
        <v>0</v>
      </c>
      <c r="N71" t="n">
        <v>0</v>
      </c>
      <c r="O71" t="n">
        <v>1</v>
      </c>
      <c r="P71" t="n">
        <v>1</v>
      </c>
      <c r="Q71" t="n">
        <v>1</v>
      </c>
      <c r="R71" s="2" t="inlineStr">
        <is>
          <t>Knärot</t>
        </is>
      </c>
      <c r="S71">
        <f>HYPERLINK("https://klasma.github.io/Logging_2083/artfynd/A 9959-2021 artfynd.xlsx", "A 9959-2021")</f>
        <v/>
      </c>
      <c r="T71">
        <f>HYPERLINK("https://klasma.github.io/Logging_2083/kartor/A 9959-2021 karta.png", "A 9959-2021")</f>
        <v/>
      </c>
      <c r="U71">
        <f>HYPERLINK("https://klasma.github.io/Logging_2083/knärot/A 9959-2021 karta knärot.png", "A 9959-2021")</f>
        <v/>
      </c>
      <c r="V71">
        <f>HYPERLINK("https://klasma.github.io/Logging_2083/klagomål/A 9959-2021 FSC-klagomål.docx", "A 9959-2021")</f>
        <v/>
      </c>
      <c r="W71">
        <f>HYPERLINK("https://klasma.github.io/Logging_2083/klagomålsmail/A 9959-2021 FSC-klagomål mail.docx", "A 9959-2021")</f>
        <v/>
      </c>
      <c r="X71">
        <f>HYPERLINK("https://klasma.github.io/Logging_2083/tillsyn/A 9959-2021 tillsynsbegäran.docx", "A 9959-2021")</f>
        <v/>
      </c>
      <c r="Y71">
        <f>HYPERLINK("https://klasma.github.io/Logging_2083/tillsynsmail/A 9959-2021 tillsynsbegäran mail.docx", "A 9959-2021")</f>
        <v/>
      </c>
    </row>
    <row r="72" ht="15" customHeight="1">
      <c r="A72" t="inlineStr">
        <is>
          <t>A 29214-2021</t>
        </is>
      </c>
      <c r="B72" s="1" t="n">
        <v>44359</v>
      </c>
      <c r="C72" s="1" t="n">
        <v>45690</v>
      </c>
      <c r="D72" t="inlineStr">
        <is>
          <t>DALARNAS LÄN</t>
        </is>
      </c>
      <c r="E72" t="inlineStr">
        <is>
          <t>HEDEMORA</t>
        </is>
      </c>
      <c r="F72" t="inlineStr">
        <is>
          <t>Sveaskog</t>
        </is>
      </c>
      <c r="G72" t="n">
        <v>1.2</v>
      </c>
      <c r="H72" t="n">
        <v>1</v>
      </c>
      <c r="I72" t="n">
        <v>0</v>
      </c>
      <c r="J72" t="n">
        <v>0</v>
      </c>
      <c r="K72" t="n">
        <v>0</v>
      </c>
      <c r="L72" t="n">
        <v>0</v>
      </c>
      <c r="M72" t="n">
        <v>0</v>
      </c>
      <c r="N72" t="n">
        <v>0</v>
      </c>
      <c r="O72" t="n">
        <v>0</v>
      </c>
      <c r="P72" t="n">
        <v>0</v>
      </c>
      <c r="Q72" t="n">
        <v>1</v>
      </c>
      <c r="R72" s="2" t="inlineStr">
        <is>
          <t>Vanlig groda</t>
        </is>
      </c>
      <c r="S72">
        <f>HYPERLINK("https://klasma.github.io/Logging_2083/artfynd/A 29214-2021 artfynd.xlsx", "A 29214-2021")</f>
        <v/>
      </c>
      <c r="T72">
        <f>HYPERLINK("https://klasma.github.io/Logging_2083/kartor/A 29214-2021 karta.png", "A 29214-2021")</f>
        <v/>
      </c>
      <c r="V72">
        <f>HYPERLINK("https://klasma.github.io/Logging_2083/klagomål/A 29214-2021 FSC-klagomål.docx", "A 29214-2021")</f>
        <v/>
      </c>
      <c r="W72">
        <f>HYPERLINK("https://klasma.github.io/Logging_2083/klagomålsmail/A 29214-2021 FSC-klagomål mail.docx", "A 29214-2021")</f>
        <v/>
      </c>
      <c r="X72">
        <f>HYPERLINK("https://klasma.github.io/Logging_2083/tillsyn/A 29214-2021 tillsynsbegäran.docx", "A 29214-2021")</f>
        <v/>
      </c>
      <c r="Y72">
        <f>HYPERLINK("https://klasma.github.io/Logging_2083/tillsynsmail/A 29214-2021 tillsynsbegäran mail.docx", "A 29214-2021")</f>
        <v/>
      </c>
    </row>
    <row r="73" ht="15" customHeight="1">
      <c r="A73" t="inlineStr">
        <is>
          <t>A 31539-2021</t>
        </is>
      </c>
      <c r="B73" s="1" t="n">
        <v>44369</v>
      </c>
      <c r="C73" s="1" t="n">
        <v>45690</v>
      </c>
      <c r="D73" t="inlineStr">
        <is>
          <t>DALARNAS LÄN</t>
        </is>
      </c>
      <c r="E73" t="inlineStr">
        <is>
          <t>HEDEMORA</t>
        </is>
      </c>
      <c r="F73" t="inlineStr">
        <is>
          <t>Sveaskog</t>
        </is>
      </c>
      <c r="G73" t="n">
        <v>13.5</v>
      </c>
      <c r="H73" t="n">
        <v>0</v>
      </c>
      <c r="I73" t="n">
        <v>1</v>
      </c>
      <c r="J73" t="n">
        <v>0</v>
      </c>
      <c r="K73" t="n">
        <v>0</v>
      </c>
      <c r="L73" t="n">
        <v>0</v>
      </c>
      <c r="M73" t="n">
        <v>0</v>
      </c>
      <c r="N73" t="n">
        <v>0</v>
      </c>
      <c r="O73" t="n">
        <v>0</v>
      </c>
      <c r="P73" t="n">
        <v>0</v>
      </c>
      <c r="Q73" t="n">
        <v>1</v>
      </c>
      <c r="R73" s="2" t="inlineStr">
        <is>
          <t>Brandticka</t>
        </is>
      </c>
      <c r="S73">
        <f>HYPERLINK("https://klasma.github.io/Logging_2083/artfynd/A 31539-2021 artfynd.xlsx", "A 31539-2021")</f>
        <v/>
      </c>
      <c r="T73">
        <f>HYPERLINK("https://klasma.github.io/Logging_2083/kartor/A 31539-2021 karta.png", "A 31539-2021")</f>
        <v/>
      </c>
      <c r="V73">
        <f>HYPERLINK("https://klasma.github.io/Logging_2083/klagomål/A 31539-2021 FSC-klagomål.docx", "A 31539-2021")</f>
        <v/>
      </c>
      <c r="W73">
        <f>HYPERLINK("https://klasma.github.io/Logging_2083/klagomålsmail/A 31539-2021 FSC-klagomål mail.docx", "A 31539-2021")</f>
        <v/>
      </c>
      <c r="X73">
        <f>HYPERLINK("https://klasma.github.io/Logging_2083/tillsyn/A 31539-2021 tillsynsbegäran.docx", "A 31539-2021")</f>
        <v/>
      </c>
      <c r="Y73">
        <f>HYPERLINK("https://klasma.github.io/Logging_2083/tillsynsmail/A 31539-2021 tillsynsbegäran mail.docx", "A 31539-2021")</f>
        <v/>
      </c>
    </row>
    <row r="74" ht="15" customHeight="1">
      <c r="A74" t="inlineStr">
        <is>
          <t>A 51111-2021</t>
        </is>
      </c>
      <c r="B74" s="1" t="n">
        <v>44461</v>
      </c>
      <c r="C74" s="1" t="n">
        <v>45690</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48135-2022</t>
        </is>
      </c>
      <c r="B75" s="1" t="n">
        <v>44857</v>
      </c>
      <c r="C75" s="1" t="n">
        <v>45690</v>
      </c>
      <c r="D75" t="inlineStr">
        <is>
          <t>DALARNAS LÄN</t>
        </is>
      </c>
      <c r="E75" t="inlineStr">
        <is>
          <t>HEDEMORA</t>
        </is>
      </c>
      <c r="F75" t="inlineStr">
        <is>
          <t>Sveaskog</t>
        </is>
      </c>
      <c r="G75" t="n">
        <v>5.6</v>
      </c>
      <c r="H75" t="n">
        <v>0</v>
      </c>
      <c r="I75" t="n">
        <v>0</v>
      </c>
      <c r="J75" t="n">
        <v>1</v>
      </c>
      <c r="K75" t="n">
        <v>0</v>
      </c>
      <c r="L75" t="n">
        <v>0</v>
      </c>
      <c r="M75" t="n">
        <v>0</v>
      </c>
      <c r="N75" t="n">
        <v>0</v>
      </c>
      <c r="O75" t="n">
        <v>1</v>
      </c>
      <c r="P75" t="n">
        <v>0</v>
      </c>
      <c r="Q75" t="n">
        <v>1</v>
      </c>
      <c r="R75" s="2" t="inlineStr">
        <is>
          <t>Skrovellav</t>
        </is>
      </c>
      <c r="S75">
        <f>HYPERLINK("https://klasma.github.io/Logging_2083/artfynd/A 48135-2022 artfynd.xlsx", "A 48135-2022")</f>
        <v/>
      </c>
      <c r="T75">
        <f>HYPERLINK("https://klasma.github.io/Logging_2083/kartor/A 48135-2022 karta.png", "A 48135-2022")</f>
        <v/>
      </c>
      <c r="V75">
        <f>HYPERLINK("https://klasma.github.io/Logging_2083/klagomål/A 48135-2022 FSC-klagomål.docx", "A 48135-2022")</f>
        <v/>
      </c>
      <c r="W75">
        <f>HYPERLINK("https://klasma.github.io/Logging_2083/klagomålsmail/A 48135-2022 FSC-klagomål mail.docx", "A 48135-2022")</f>
        <v/>
      </c>
      <c r="X75">
        <f>HYPERLINK("https://klasma.github.io/Logging_2083/tillsyn/A 48135-2022 tillsynsbegäran.docx", "A 48135-2022")</f>
        <v/>
      </c>
      <c r="Y75">
        <f>HYPERLINK("https://klasma.github.io/Logging_2083/tillsynsmail/A 48135-2022 tillsynsbegäran mail.docx", "A 48135-2022")</f>
        <v/>
      </c>
    </row>
    <row r="76" ht="15" customHeight="1">
      <c r="A76" t="inlineStr">
        <is>
          <t>A 49889-2022</t>
        </is>
      </c>
      <c r="B76" s="1" t="n">
        <v>44864</v>
      </c>
      <c r="C76" s="1" t="n">
        <v>45690</v>
      </c>
      <c r="D76" t="inlineStr">
        <is>
          <t>DALARNAS LÄN</t>
        </is>
      </c>
      <c r="E76" t="inlineStr">
        <is>
          <t>HEDEMORA</t>
        </is>
      </c>
      <c r="F76" t="inlineStr">
        <is>
          <t>Sveaskog</t>
        </is>
      </c>
      <c r="G76" t="n">
        <v>6.8</v>
      </c>
      <c r="H76" t="n">
        <v>1</v>
      </c>
      <c r="I76" t="n">
        <v>0</v>
      </c>
      <c r="J76" t="n">
        <v>0</v>
      </c>
      <c r="K76" t="n">
        <v>1</v>
      </c>
      <c r="L76" t="n">
        <v>0</v>
      </c>
      <c r="M76" t="n">
        <v>0</v>
      </c>
      <c r="N76" t="n">
        <v>0</v>
      </c>
      <c r="O76" t="n">
        <v>1</v>
      </c>
      <c r="P76" t="n">
        <v>1</v>
      </c>
      <c r="Q76" t="n">
        <v>1</v>
      </c>
      <c r="R76" s="2" t="inlineStr">
        <is>
          <t>Knärot</t>
        </is>
      </c>
      <c r="S76">
        <f>HYPERLINK("https://klasma.github.io/Logging_2083/artfynd/A 49889-2022 artfynd.xlsx", "A 49889-2022")</f>
        <v/>
      </c>
      <c r="T76">
        <f>HYPERLINK("https://klasma.github.io/Logging_2083/kartor/A 49889-2022 karta.png", "A 49889-2022")</f>
        <v/>
      </c>
      <c r="U76">
        <f>HYPERLINK("https://klasma.github.io/Logging_2083/knärot/A 49889-2022 karta knärot.png", "A 49889-2022")</f>
        <v/>
      </c>
      <c r="V76">
        <f>HYPERLINK("https://klasma.github.io/Logging_2083/klagomål/A 49889-2022 FSC-klagomål.docx", "A 49889-2022")</f>
        <v/>
      </c>
      <c r="W76">
        <f>HYPERLINK("https://klasma.github.io/Logging_2083/klagomålsmail/A 49889-2022 FSC-klagomål mail.docx", "A 49889-2022")</f>
        <v/>
      </c>
      <c r="X76">
        <f>HYPERLINK("https://klasma.github.io/Logging_2083/tillsyn/A 49889-2022 tillsynsbegäran.docx", "A 49889-2022")</f>
        <v/>
      </c>
      <c r="Y76">
        <f>HYPERLINK("https://klasma.github.io/Logging_2083/tillsynsmail/A 49889-2022 tillsynsbegäran mail.docx", "A 49889-2022")</f>
        <v/>
      </c>
    </row>
    <row r="77" ht="15" customHeight="1">
      <c r="A77" t="inlineStr">
        <is>
          <t>A 51525-2022</t>
        </is>
      </c>
      <c r="B77" s="1" t="n">
        <v>44869</v>
      </c>
      <c r="C77" s="1" t="n">
        <v>45690</v>
      </c>
      <c r="D77" t="inlineStr">
        <is>
          <t>DALARNAS LÄN</t>
        </is>
      </c>
      <c r="E77" t="inlineStr">
        <is>
          <t>HEDEMORA</t>
        </is>
      </c>
      <c r="F77" t="inlineStr">
        <is>
          <t>Sveaskog</t>
        </is>
      </c>
      <c r="G77" t="n">
        <v>20.1</v>
      </c>
      <c r="H77" t="n">
        <v>1</v>
      </c>
      <c r="I77" t="n">
        <v>0</v>
      </c>
      <c r="J77" t="n">
        <v>0</v>
      </c>
      <c r="K77" t="n">
        <v>0</v>
      </c>
      <c r="L77" t="n">
        <v>0</v>
      </c>
      <c r="M77" t="n">
        <v>0</v>
      </c>
      <c r="N77" t="n">
        <v>0</v>
      </c>
      <c r="O77" t="n">
        <v>0</v>
      </c>
      <c r="P77" t="n">
        <v>0</v>
      </c>
      <c r="Q77" t="n">
        <v>1</v>
      </c>
      <c r="R77" s="2" t="inlineStr">
        <is>
          <t>Mattlummer</t>
        </is>
      </c>
      <c r="S77">
        <f>HYPERLINK("https://klasma.github.io/Logging_2083/artfynd/A 51525-2022 artfynd.xlsx", "A 51525-2022")</f>
        <v/>
      </c>
      <c r="T77">
        <f>HYPERLINK("https://klasma.github.io/Logging_2083/kartor/A 51525-2022 karta.png", "A 51525-2022")</f>
        <v/>
      </c>
      <c r="V77">
        <f>HYPERLINK("https://klasma.github.io/Logging_2083/klagomål/A 51525-2022 FSC-klagomål.docx", "A 51525-2022")</f>
        <v/>
      </c>
      <c r="W77">
        <f>HYPERLINK("https://klasma.github.io/Logging_2083/klagomålsmail/A 51525-2022 FSC-klagomål mail.docx", "A 51525-2022")</f>
        <v/>
      </c>
      <c r="X77">
        <f>HYPERLINK("https://klasma.github.io/Logging_2083/tillsyn/A 51525-2022 tillsynsbegäran.docx", "A 51525-2022")</f>
        <v/>
      </c>
      <c r="Y77">
        <f>HYPERLINK("https://klasma.github.io/Logging_2083/tillsynsmail/A 51525-2022 tillsynsbegäran mail.docx", "A 51525-2022")</f>
        <v/>
      </c>
    </row>
    <row r="78" ht="15" customHeight="1">
      <c r="A78" t="inlineStr">
        <is>
          <t>A 53916-2022</t>
        </is>
      </c>
      <c r="B78" s="1" t="n">
        <v>44880</v>
      </c>
      <c r="C78" s="1" t="n">
        <v>45690</v>
      </c>
      <c r="D78" t="inlineStr">
        <is>
          <t>DALARNAS LÄN</t>
        </is>
      </c>
      <c r="E78" t="inlineStr">
        <is>
          <t>HEDEMORA</t>
        </is>
      </c>
      <c r="F78" t="inlineStr">
        <is>
          <t>Sveaskog</t>
        </is>
      </c>
      <c r="G78" t="n">
        <v>12.1</v>
      </c>
      <c r="H78" t="n">
        <v>1</v>
      </c>
      <c r="I78" t="n">
        <v>0</v>
      </c>
      <c r="J78" t="n">
        <v>1</v>
      </c>
      <c r="K78" t="n">
        <v>0</v>
      </c>
      <c r="L78" t="n">
        <v>0</v>
      </c>
      <c r="M78" t="n">
        <v>0</v>
      </c>
      <c r="N78" t="n">
        <v>0</v>
      </c>
      <c r="O78" t="n">
        <v>1</v>
      </c>
      <c r="P78" t="n">
        <v>0</v>
      </c>
      <c r="Q78" t="n">
        <v>1</v>
      </c>
      <c r="R78" s="2" t="inlineStr">
        <is>
          <t>Spillkråka</t>
        </is>
      </c>
      <c r="S78">
        <f>HYPERLINK("https://klasma.github.io/Logging_2083/artfynd/A 53916-2022 artfynd.xlsx", "A 53916-2022")</f>
        <v/>
      </c>
      <c r="T78">
        <f>HYPERLINK("https://klasma.github.io/Logging_2083/kartor/A 53916-2022 karta.png", "A 53916-2022")</f>
        <v/>
      </c>
      <c r="V78">
        <f>HYPERLINK("https://klasma.github.io/Logging_2083/klagomål/A 53916-2022 FSC-klagomål.docx", "A 53916-2022")</f>
        <v/>
      </c>
      <c r="W78">
        <f>HYPERLINK("https://klasma.github.io/Logging_2083/klagomålsmail/A 53916-2022 FSC-klagomål mail.docx", "A 53916-2022")</f>
        <v/>
      </c>
      <c r="X78">
        <f>HYPERLINK("https://klasma.github.io/Logging_2083/tillsyn/A 53916-2022 tillsynsbegäran.docx", "A 53916-2022")</f>
        <v/>
      </c>
      <c r="Y78">
        <f>HYPERLINK("https://klasma.github.io/Logging_2083/tillsynsmail/A 53916-2022 tillsynsbegäran mail.docx", "A 53916-2022")</f>
        <v/>
      </c>
      <c r="Z78">
        <f>HYPERLINK("https://klasma.github.io/Logging_2083/fåglar/A 53916-2022 prioriterade fågelarter.docx", "A 53916-2022")</f>
        <v/>
      </c>
    </row>
    <row r="79" ht="15" customHeight="1">
      <c r="A79" t="inlineStr">
        <is>
          <t>A 53915-2022</t>
        </is>
      </c>
      <c r="B79" s="1" t="n">
        <v>44880</v>
      </c>
      <c r="C79" s="1" t="n">
        <v>45690</v>
      </c>
      <c r="D79" t="inlineStr">
        <is>
          <t>DALARNAS LÄN</t>
        </is>
      </c>
      <c r="E79" t="inlineStr">
        <is>
          <t>HEDEMORA</t>
        </is>
      </c>
      <c r="F79" t="inlineStr">
        <is>
          <t>Sveaskog</t>
        </is>
      </c>
      <c r="G79" t="n">
        <v>5.3</v>
      </c>
      <c r="H79" t="n">
        <v>1</v>
      </c>
      <c r="I79" t="n">
        <v>0</v>
      </c>
      <c r="J79" t="n">
        <v>1</v>
      </c>
      <c r="K79" t="n">
        <v>0</v>
      </c>
      <c r="L79" t="n">
        <v>0</v>
      </c>
      <c r="M79" t="n">
        <v>0</v>
      </c>
      <c r="N79" t="n">
        <v>0</v>
      </c>
      <c r="O79" t="n">
        <v>1</v>
      </c>
      <c r="P79" t="n">
        <v>0</v>
      </c>
      <c r="Q79" t="n">
        <v>1</v>
      </c>
      <c r="R79" s="2" t="inlineStr">
        <is>
          <t>Talltita</t>
        </is>
      </c>
      <c r="S79">
        <f>HYPERLINK("https://klasma.github.io/Logging_2083/artfynd/A 53915-2022 artfynd.xlsx", "A 53915-2022")</f>
        <v/>
      </c>
      <c r="T79">
        <f>HYPERLINK("https://klasma.github.io/Logging_2083/kartor/A 53915-2022 karta.png", "A 53915-2022")</f>
        <v/>
      </c>
      <c r="V79">
        <f>HYPERLINK("https://klasma.github.io/Logging_2083/klagomål/A 53915-2022 FSC-klagomål.docx", "A 53915-2022")</f>
        <v/>
      </c>
      <c r="W79">
        <f>HYPERLINK("https://klasma.github.io/Logging_2083/klagomålsmail/A 53915-2022 FSC-klagomål mail.docx", "A 53915-2022")</f>
        <v/>
      </c>
      <c r="X79">
        <f>HYPERLINK("https://klasma.github.io/Logging_2083/tillsyn/A 53915-2022 tillsynsbegäran.docx", "A 53915-2022")</f>
        <v/>
      </c>
      <c r="Y79">
        <f>HYPERLINK("https://klasma.github.io/Logging_2083/tillsynsmail/A 53915-2022 tillsynsbegäran mail.docx", "A 53915-2022")</f>
        <v/>
      </c>
      <c r="Z79">
        <f>HYPERLINK("https://klasma.github.io/Logging_2083/fåglar/A 53915-2022 prioriterade fågelarter.docx", "A 53915-2022")</f>
        <v/>
      </c>
    </row>
    <row r="80" ht="15" customHeight="1">
      <c r="A80" t="inlineStr">
        <is>
          <t>A 54197-2022</t>
        </is>
      </c>
      <c r="B80" s="1" t="n">
        <v>44881</v>
      </c>
      <c r="C80" s="1" t="n">
        <v>45690</v>
      </c>
      <c r="D80" t="inlineStr">
        <is>
          <t>DALARNAS LÄN</t>
        </is>
      </c>
      <c r="E80" t="inlineStr">
        <is>
          <t>HEDEMORA</t>
        </is>
      </c>
      <c r="F80" t="inlineStr">
        <is>
          <t>Sveaskog</t>
        </is>
      </c>
      <c r="G80" t="n">
        <v>2.6</v>
      </c>
      <c r="H80" t="n">
        <v>1</v>
      </c>
      <c r="I80" t="n">
        <v>0</v>
      </c>
      <c r="J80" t="n">
        <v>0</v>
      </c>
      <c r="K80" t="n">
        <v>0</v>
      </c>
      <c r="L80" t="n">
        <v>0</v>
      </c>
      <c r="M80" t="n">
        <v>0</v>
      </c>
      <c r="N80" t="n">
        <v>0</v>
      </c>
      <c r="O80" t="n">
        <v>0</v>
      </c>
      <c r="P80" t="n">
        <v>0</v>
      </c>
      <c r="Q80" t="n">
        <v>1</v>
      </c>
      <c r="R80" s="2" t="inlineStr">
        <is>
          <t>Fläcknycklar</t>
        </is>
      </c>
      <c r="S80">
        <f>HYPERLINK("https://klasma.github.io/Logging_2083/artfynd/A 54197-2022 artfynd.xlsx", "A 54197-2022")</f>
        <v/>
      </c>
      <c r="T80">
        <f>HYPERLINK("https://klasma.github.io/Logging_2083/kartor/A 54197-2022 karta.png", "A 54197-2022")</f>
        <v/>
      </c>
      <c r="V80">
        <f>HYPERLINK("https://klasma.github.io/Logging_2083/klagomål/A 54197-2022 FSC-klagomål.docx", "A 54197-2022")</f>
        <v/>
      </c>
      <c r="W80">
        <f>HYPERLINK("https://klasma.github.io/Logging_2083/klagomålsmail/A 54197-2022 FSC-klagomål mail.docx", "A 54197-2022")</f>
        <v/>
      </c>
      <c r="X80">
        <f>HYPERLINK("https://klasma.github.io/Logging_2083/tillsyn/A 54197-2022 tillsynsbegäran.docx", "A 54197-2022")</f>
        <v/>
      </c>
      <c r="Y80">
        <f>HYPERLINK("https://klasma.github.io/Logging_2083/tillsynsmail/A 54197-2022 tillsynsbegäran mail.docx", "A 54197-2022")</f>
        <v/>
      </c>
    </row>
    <row r="81" ht="15" customHeight="1">
      <c r="A81" t="inlineStr">
        <is>
          <t>A 54196-2022</t>
        </is>
      </c>
      <c r="B81" s="1" t="n">
        <v>44881</v>
      </c>
      <c r="C81" s="1" t="n">
        <v>45690</v>
      </c>
      <c r="D81" t="inlineStr">
        <is>
          <t>DALARNAS LÄN</t>
        </is>
      </c>
      <c r="E81" t="inlineStr">
        <is>
          <t>HEDEMORA</t>
        </is>
      </c>
      <c r="F81" t="inlineStr">
        <is>
          <t>Sveaskog</t>
        </is>
      </c>
      <c r="G81" t="n">
        <v>1.1</v>
      </c>
      <c r="H81" t="n">
        <v>1</v>
      </c>
      <c r="I81" t="n">
        <v>0</v>
      </c>
      <c r="J81" t="n">
        <v>0</v>
      </c>
      <c r="K81" t="n">
        <v>0</v>
      </c>
      <c r="L81" t="n">
        <v>0</v>
      </c>
      <c r="M81" t="n">
        <v>0</v>
      </c>
      <c r="N81" t="n">
        <v>0</v>
      </c>
      <c r="O81" t="n">
        <v>0</v>
      </c>
      <c r="P81" t="n">
        <v>0</v>
      </c>
      <c r="Q81" t="n">
        <v>1</v>
      </c>
      <c r="R81" s="2" t="inlineStr">
        <is>
          <t>Fläcknycklar</t>
        </is>
      </c>
      <c r="S81">
        <f>HYPERLINK("https://klasma.github.io/Logging_2083/artfynd/A 54196-2022 artfynd.xlsx", "A 54196-2022")</f>
        <v/>
      </c>
      <c r="T81">
        <f>HYPERLINK("https://klasma.github.io/Logging_2083/kartor/A 54196-2022 karta.png", "A 54196-2022")</f>
        <v/>
      </c>
      <c r="V81">
        <f>HYPERLINK("https://klasma.github.io/Logging_2083/klagomål/A 54196-2022 FSC-klagomål.docx", "A 54196-2022")</f>
        <v/>
      </c>
      <c r="W81">
        <f>HYPERLINK("https://klasma.github.io/Logging_2083/klagomålsmail/A 54196-2022 FSC-klagomål mail.docx", "A 54196-2022")</f>
        <v/>
      </c>
      <c r="X81">
        <f>HYPERLINK("https://klasma.github.io/Logging_2083/tillsyn/A 54196-2022 tillsynsbegäran.docx", "A 54196-2022")</f>
        <v/>
      </c>
      <c r="Y81">
        <f>HYPERLINK("https://klasma.github.io/Logging_2083/tillsynsmail/A 54196-2022 tillsynsbegäran mail.docx", "A 54196-2022")</f>
        <v/>
      </c>
    </row>
    <row r="82" ht="15" customHeight="1">
      <c r="A82" t="inlineStr">
        <is>
          <t>A 55144-2022</t>
        </is>
      </c>
      <c r="B82" s="1" t="n">
        <v>44886</v>
      </c>
      <c r="C82" s="1" t="n">
        <v>45690</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55144-2022 artfynd.xlsx", "A 55144-2022")</f>
        <v/>
      </c>
      <c r="T82">
        <f>HYPERLINK("https://klasma.github.io/Logging_2083/kartor/A 55144-2022 karta.png", "A 55144-2022")</f>
        <v/>
      </c>
      <c r="V82">
        <f>HYPERLINK("https://klasma.github.io/Logging_2083/klagomål/A 55144-2022 FSC-klagomål.docx", "A 55144-2022")</f>
        <v/>
      </c>
      <c r="W82">
        <f>HYPERLINK("https://klasma.github.io/Logging_2083/klagomålsmail/A 55144-2022 FSC-klagomål mail.docx", "A 55144-2022")</f>
        <v/>
      </c>
      <c r="X82">
        <f>HYPERLINK("https://klasma.github.io/Logging_2083/tillsyn/A 55144-2022 tillsynsbegäran.docx", "A 55144-2022")</f>
        <v/>
      </c>
      <c r="Y82">
        <f>HYPERLINK("https://klasma.github.io/Logging_2083/tillsynsmail/A 55144-2022 tillsynsbegäran mail.docx", "A 55144-2022")</f>
        <v/>
      </c>
    </row>
    <row r="83" ht="15" customHeight="1">
      <c r="A83" t="inlineStr">
        <is>
          <t>A 11742-2023</t>
        </is>
      </c>
      <c r="B83" s="1" t="n">
        <v>44994</v>
      </c>
      <c r="C83" s="1" t="n">
        <v>45690</v>
      </c>
      <c r="D83" t="inlineStr">
        <is>
          <t>DALARNAS LÄN</t>
        </is>
      </c>
      <c r="E83" t="inlineStr">
        <is>
          <t>HEDEMORA</t>
        </is>
      </c>
      <c r="G83" t="n">
        <v>6</v>
      </c>
      <c r="H83" t="n">
        <v>0</v>
      </c>
      <c r="I83" t="n">
        <v>0</v>
      </c>
      <c r="J83" t="n">
        <v>1</v>
      </c>
      <c r="K83" t="n">
        <v>0</v>
      </c>
      <c r="L83" t="n">
        <v>0</v>
      </c>
      <c r="M83" t="n">
        <v>0</v>
      </c>
      <c r="N83" t="n">
        <v>0</v>
      </c>
      <c r="O83" t="n">
        <v>1</v>
      </c>
      <c r="P83" t="n">
        <v>0</v>
      </c>
      <c r="Q83" t="n">
        <v>1</v>
      </c>
      <c r="R83" s="2" t="inlineStr">
        <is>
          <t>Tallticka</t>
        </is>
      </c>
      <c r="S83">
        <f>HYPERLINK("https://klasma.github.io/Logging_2083/artfynd/A 11742-2023 artfynd.xlsx", "A 11742-2023")</f>
        <v/>
      </c>
      <c r="T83">
        <f>HYPERLINK("https://klasma.github.io/Logging_2083/kartor/A 11742-2023 karta.png", "A 11742-2023")</f>
        <v/>
      </c>
      <c r="V83">
        <f>HYPERLINK("https://klasma.github.io/Logging_2083/klagomål/A 11742-2023 FSC-klagomål.docx", "A 11742-2023")</f>
        <v/>
      </c>
      <c r="W83">
        <f>HYPERLINK("https://klasma.github.io/Logging_2083/klagomålsmail/A 11742-2023 FSC-klagomål mail.docx", "A 11742-2023")</f>
        <v/>
      </c>
      <c r="X83">
        <f>HYPERLINK("https://klasma.github.io/Logging_2083/tillsyn/A 11742-2023 tillsynsbegäran.docx", "A 11742-2023")</f>
        <v/>
      </c>
      <c r="Y83">
        <f>HYPERLINK("https://klasma.github.io/Logging_2083/tillsynsmail/A 11742-2023 tillsynsbegäran mail.docx", "A 11742-2023")</f>
        <v/>
      </c>
    </row>
    <row r="84" ht="15" customHeight="1">
      <c r="A84" t="inlineStr">
        <is>
          <t>A 13986-2023</t>
        </is>
      </c>
      <c r="B84" s="1" t="n">
        <v>45008</v>
      </c>
      <c r="C84" s="1" t="n">
        <v>45690</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20231-2023</t>
        </is>
      </c>
      <c r="B85" s="1" t="n">
        <v>45055</v>
      </c>
      <c r="C85" s="1" t="n">
        <v>45690</v>
      </c>
      <c r="D85" t="inlineStr">
        <is>
          <t>DALARNAS LÄN</t>
        </is>
      </c>
      <c r="E85" t="inlineStr">
        <is>
          <t>HEDEMORA</t>
        </is>
      </c>
      <c r="F85" t="inlineStr">
        <is>
          <t>Bergvik skog väst AB</t>
        </is>
      </c>
      <c r="G85" t="n">
        <v>3.9</v>
      </c>
      <c r="H85" t="n">
        <v>1</v>
      </c>
      <c r="I85" t="n">
        <v>0</v>
      </c>
      <c r="J85" t="n">
        <v>1</v>
      </c>
      <c r="K85" t="n">
        <v>0</v>
      </c>
      <c r="L85" t="n">
        <v>0</v>
      </c>
      <c r="M85" t="n">
        <v>0</v>
      </c>
      <c r="N85" t="n">
        <v>0</v>
      </c>
      <c r="O85" t="n">
        <v>1</v>
      </c>
      <c r="P85" t="n">
        <v>0</v>
      </c>
      <c r="Q85" t="n">
        <v>1</v>
      </c>
      <c r="R85" s="2" t="inlineStr">
        <is>
          <t>Tretåig hackspett</t>
        </is>
      </c>
      <c r="S85">
        <f>HYPERLINK("https://klasma.github.io/Logging_2083/artfynd/A 20231-2023 artfynd.xlsx", "A 20231-2023")</f>
        <v/>
      </c>
      <c r="T85">
        <f>HYPERLINK("https://klasma.github.io/Logging_2083/kartor/A 20231-2023 karta.png", "A 20231-2023")</f>
        <v/>
      </c>
      <c r="V85">
        <f>HYPERLINK("https://klasma.github.io/Logging_2083/klagomål/A 20231-2023 FSC-klagomål.docx", "A 20231-2023")</f>
        <v/>
      </c>
      <c r="W85">
        <f>HYPERLINK("https://klasma.github.io/Logging_2083/klagomålsmail/A 20231-2023 FSC-klagomål mail.docx", "A 20231-2023")</f>
        <v/>
      </c>
      <c r="X85">
        <f>HYPERLINK("https://klasma.github.io/Logging_2083/tillsyn/A 20231-2023 tillsynsbegäran.docx", "A 20231-2023")</f>
        <v/>
      </c>
      <c r="Y85">
        <f>HYPERLINK("https://klasma.github.io/Logging_2083/tillsynsmail/A 20231-2023 tillsynsbegäran mail.docx", "A 20231-2023")</f>
        <v/>
      </c>
      <c r="Z85">
        <f>HYPERLINK("https://klasma.github.io/Logging_2083/fåglar/A 20231-2023 prioriterade fågelarter.docx", "A 20231-2023")</f>
        <v/>
      </c>
    </row>
    <row r="86" ht="15" customHeight="1">
      <c r="A86" t="inlineStr">
        <is>
          <t>A 21147-2023</t>
        </is>
      </c>
      <c r="B86" s="1" t="n">
        <v>45057</v>
      </c>
      <c r="C86" s="1" t="n">
        <v>45690</v>
      </c>
      <c r="D86" t="inlineStr">
        <is>
          <t>DALARNAS LÄN</t>
        </is>
      </c>
      <c r="E86" t="inlineStr">
        <is>
          <t>HEDEMORA</t>
        </is>
      </c>
      <c r="G86" t="n">
        <v>10</v>
      </c>
      <c r="H86" t="n">
        <v>1</v>
      </c>
      <c r="I86" t="n">
        <v>0</v>
      </c>
      <c r="J86" t="n">
        <v>0</v>
      </c>
      <c r="K86" t="n">
        <v>0</v>
      </c>
      <c r="L86" t="n">
        <v>0</v>
      </c>
      <c r="M86" t="n">
        <v>0</v>
      </c>
      <c r="N86" t="n">
        <v>0</v>
      </c>
      <c r="O86" t="n">
        <v>0</v>
      </c>
      <c r="P86" t="n">
        <v>0</v>
      </c>
      <c r="Q86" t="n">
        <v>1</v>
      </c>
      <c r="R86" s="2" t="inlineStr">
        <is>
          <t>Blåsippa</t>
        </is>
      </c>
      <c r="S86">
        <f>HYPERLINK("https://klasma.github.io/Logging_2083/artfynd/A 21147-2023 artfynd.xlsx", "A 21147-2023")</f>
        <v/>
      </c>
      <c r="T86">
        <f>HYPERLINK("https://klasma.github.io/Logging_2083/kartor/A 21147-2023 karta.png", "A 21147-2023")</f>
        <v/>
      </c>
      <c r="V86">
        <f>HYPERLINK("https://klasma.github.io/Logging_2083/klagomål/A 21147-2023 FSC-klagomål.docx", "A 21147-2023")</f>
        <v/>
      </c>
      <c r="W86">
        <f>HYPERLINK("https://klasma.github.io/Logging_2083/klagomålsmail/A 21147-2023 FSC-klagomål mail.docx", "A 21147-2023")</f>
        <v/>
      </c>
      <c r="X86">
        <f>HYPERLINK("https://klasma.github.io/Logging_2083/tillsyn/A 21147-2023 tillsynsbegäran.docx", "A 21147-2023")</f>
        <v/>
      </c>
      <c r="Y86">
        <f>HYPERLINK("https://klasma.github.io/Logging_2083/tillsynsmail/A 21147-2023 tillsynsbegäran mail.docx", "A 21147-2023")</f>
        <v/>
      </c>
    </row>
    <row r="87" ht="15" customHeight="1">
      <c r="A87" t="inlineStr">
        <is>
          <t>A 23815-2023</t>
        </is>
      </c>
      <c r="B87" s="1" t="n">
        <v>45078</v>
      </c>
      <c r="C87" s="1" t="n">
        <v>45690</v>
      </c>
      <c r="D87" t="inlineStr">
        <is>
          <t>DALARNAS LÄN</t>
        </is>
      </c>
      <c r="E87" t="inlineStr">
        <is>
          <t>HEDEMORA</t>
        </is>
      </c>
      <c r="G87" t="n">
        <v>3.1</v>
      </c>
      <c r="H87" t="n">
        <v>1</v>
      </c>
      <c r="I87" t="n">
        <v>0</v>
      </c>
      <c r="J87" t="n">
        <v>0</v>
      </c>
      <c r="K87" t="n">
        <v>1</v>
      </c>
      <c r="L87" t="n">
        <v>0</v>
      </c>
      <c r="M87" t="n">
        <v>0</v>
      </c>
      <c r="N87" t="n">
        <v>0</v>
      </c>
      <c r="O87" t="n">
        <v>1</v>
      </c>
      <c r="P87" t="n">
        <v>1</v>
      </c>
      <c r="Q87" t="n">
        <v>1</v>
      </c>
      <c r="R87" s="2" t="inlineStr">
        <is>
          <t>Knärot</t>
        </is>
      </c>
      <c r="S87">
        <f>HYPERLINK("https://klasma.github.io/Logging_2083/artfynd/A 23815-2023 artfynd.xlsx", "A 23815-2023")</f>
        <v/>
      </c>
      <c r="T87">
        <f>HYPERLINK("https://klasma.github.io/Logging_2083/kartor/A 23815-2023 karta.png", "A 23815-2023")</f>
        <v/>
      </c>
      <c r="U87">
        <f>HYPERLINK("https://klasma.github.io/Logging_2083/knärot/A 23815-2023 karta knärot.png", "A 23815-2023")</f>
        <v/>
      </c>
      <c r="V87">
        <f>HYPERLINK("https://klasma.github.io/Logging_2083/klagomål/A 23815-2023 FSC-klagomål.docx", "A 23815-2023")</f>
        <v/>
      </c>
      <c r="W87">
        <f>HYPERLINK("https://klasma.github.io/Logging_2083/klagomålsmail/A 23815-2023 FSC-klagomål mail.docx", "A 23815-2023")</f>
        <v/>
      </c>
      <c r="X87">
        <f>HYPERLINK("https://klasma.github.io/Logging_2083/tillsyn/A 23815-2023 tillsynsbegäran.docx", "A 23815-2023")</f>
        <v/>
      </c>
      <c r="Y87">
        <f>HYPERLINK("https://klasma.github.io/Logging_2083/tillsynsmail/A 23815-2023 tillsynsbegäran mail.docx", "A 23815-2023")</f>
        <v/>
      </c>
    </row>
    <row r="88" ht="15" customHeight="1">
      <c r="A88" t="inlineStr">
        <is>
          <t>A 28028-2023</t>
        </is>
      </c>
      <c r="B88" s="1" t="n">
        <v>45099</v>
      </c>
      <c r="C88" s="1" t="n">
        <v>45690</v>
      </c>
      <c r="D88" t="inlineStr">
        <is>
          <t>DALARNAS LÄN</t>
        </is>
      </c>
      <c r="E88" t="inlineStr">
        <is>
          <t>HEDEMORA</t>
        </is>
      </c>
      <c r="G88" t="n">
        <v>0.8</v>
      </c>
      <c r="H88" t="n">
        <v>1</v>
      </c>
      <c r="I88" t="n">
        <v>0</v>
      </c>
      <c r="J88" t="n">
        <v>0</v>
      </c>
      <c r="K88" t="n">
        <v>0</v>
      </c>
      <c r="L88" t="n">
        <v>0</v>
      </c>
      <c r="M88" t="n">
        <v>0</v>
      </c>
      <c r="N88" t="n">
        <v>0</v>
      </c>
      <c r="O88" t="n">
        <v>0</v>
      </c>
      <c r="P88" t="n">
        <v>0</v>
      </c>
      <c r="Q88" t="n">
        <v>1</v>
      </c>
      <c r="R88" s="2" t="inlineStr">
        <is>
          <t>Blåsippa</t>
        </is>
      </c>
      <c r="S88">
        <f>HYPERLINK("https://klasma.github.io/Logging_2083/artfynd/A 28028-2023 artfynd.xlsx", "A 28028-2023")</f>
        <v/>
      </c>
      <c r="T88">
        <f>HYPERLINK("https://klasma.github.io/Logging_2083/kartor/A 28028-2023 karta.png", "A 28028-2023")</f>
        <v/>
      </c>
      <c r="V88">
        <f>HYPERLINK("https://klasma.github.io/Logging_2083/klagomål/A 28028-2023 FSC-klagomål.docx", "A 28028-2023")</f>
        <v/>
      </c>
      <c r="W88">
        <f>HYPERLINK("https://klasma.github.io/Logging_2083/klagomålsmail/A 28028-2023 FSC-klagomål mail.docx", "A 28028-2023")</f>
        <v/>
      </c>
      <c r="X88">
        <f>HYPERLINK("https://klasma.github.io/Logging_2083/tillsyn/A 28028-2023 tillsynsbegäran.docx", "A 28028-2023")</f>
        <v/>
      </c>
      <c r="Y88">
        <f>HYPERLINK("https://klasma.github.io/Logging_2083/tillsynsmail/A 28028-2023 tillsynsbegäran mail.docx", "A 28028-2023")</f>
        <v/>
      </c>
    </row>
    <row r="89" ht="15" customHeight="1">
      <c r="A89" t="inlineStr">
        <is>
          <t>A 30014-2023</t>
        </is>
      </c>
      <c r="B89" s="1" t="n">
        <v>45109</v>
      </c>
      <c r="C89" s="1" t="n">
        <v>45690</v>
      </c>
      <c r="D89" t="inlineStr">
        <is>
          <t>DALARNAS LÄN</t>
        </is>
      </c>
      <c r="E89" t="inlineStr">
        <is>
          <t>HEDEMORA</t>
        </is>
      </c>
      <c r="F89" t="inlineStr">
        <is>
          <t>Sveaskog</t>
        </is>
      </c>
      <c r="G89" t="n">
        <v>1.6</v>
      </c>
      <c r="H89" t="n">
        <v>1</v>
      </c>
      <c r="I89" t="n">
        <v>1</v>
      </c>
      <c r="J89" t="n">
        <v>0</v>
      </c>
      <c r="K89" t="n">
        <v>0</v>
      </c>
      <c r="L89" t="n">
        <v>0</v>
      </c>
      <c r="M89" t="n">
        <v>0</v>
      </c>
      <c r="N89" t="n">
        <v>0</v>
      </c>
      <c r="O89" t="n">
        <v>0</v>
      </c>
      <c r="P89" t="n">
        <v>0</v>
      </c>
      <c r="Q89" t="n">
        <v>1</v>
      </c>
      <c r="R89" s="2" t="inlineStr">
        <is>
          <t>Plattlummer</t>
        </is>
      </c>
      <c r="S89">
        <f>HYPERLINK("https://klasma.github.io/Logging_2083/artfynd/A 30014-2023 artfynd.xlsx", "A 30014-2023")</f>
        <v/>
      </c>
      <c r="T89">
        <f>HYPERLINK("https://klasma.github.io/Logging_2083/kartor/A 30014-2023 karta.png", "A 30014-2023")</f>
        <v/>
      </c>
      <c r="V89">
        <f>HYPERLINK("https://klasma.github.io/Logging_2083/klagomål/A 30014-2023 FSC-klagomål.docx", "A 30014-2023")</f>
        <v/>
      </c>
      <c r="W89">
        <f>HYPERLINK("https://klasma.github.io/Logging_2083/klagomålsmail/A 30014-2023 FSC-klagomål mail.docx", "A 30014-2023")</f>
        <v/>
      </c>
      <c r="X89">
        <f>HYPERLINK("https://klasma.github.io/Logging_2083/tillsyn/A 30014-2023 tillsynsbegäran.docx", "A 30014-2023")</f>
        <v/>
      </c>
      <c r="Y89">
        <f>HYPERLINK("https://klasma.github.io/Logging_2083/tillsynsmail/A 30014-2023 tillsynsbegäran mail.docx", "A 30014-2023")</f>
        <v/>
      </c>
    </row>
    <row r="90" ht="15" customHeight="1">
      <c r="A90" t="inlineStr">
        <is>
          <t>A 30936-2023</t>
        </is>
      </c>
      <c r="B90" s="1" t="n">
        <v>45113</v>
      </c>
      <c r="C90" s="1" t="n">
        <v>45690</v>
      </c>
      <c r="D90" t="inlineStr">
        <is>
          <t>DALARNAS LÄN</t>
        </is>
      </c>
      <c r="E90" t="inlineStr">
        <is>
          <t>HEDEMORA</t>
        </is>
      </c>
      <c r="F90" t="inlineStr">
        <is>
          <t>Sveaskog</t>
        </is>
      </c>
      <c r="G90" t="n">
        <v>9.199999999999999</v>
      </c>
      <c r="H90" t="n">
        <v>0</v>
      </c>
      <c r="I90" t="n">
        <v>0</v>
      </c>
      <c r="J90" t="n">
        <v>1</v>
      </c>
      <c r="K90" t="n">
        <v>0</v>
      </c>
      <c r="L90" t="n">
        <v>0</v>
      </c>
      <c r="M90" t="n">
        <v>0</v>
      </c>
      <c r="N90" t="n">
        <v>0</v>
      </c>
      <c r="O90" t="n">
        <v>1</v>
      </c>
      <c r="P90" t="n">
        <v>0</v>
      </c>
      <c r="Q90" t="n">
        <v>1</v>
      </c>
      <c r="R90" s="2" t="inlineStr">
        <is>
          <t>Kolflarnlav</t>
        </is>
      </c>
      <c r="S90">
        <f>HYPERLINK("https://klasma.github.io/Logging_2083/artfynd/A 30936-2023 artfynd.xlsx", "A 30936-2023")</f>
        <v/>
      </c>
      <c r="T90">
        <f>HYPERLINK("https://klasma.github.io/Logging_2083/kartor/A 30936-2023 karta.png", "A 30936-2023")</f>
        <v/>
      </c>
      <c r="V90">
        <f>HYPERLINK("https://klasma.github.io/Logging_2083/klagomål/A 30936-2023 FSC-klagomål.docx", "A 30936-2023")</f>
        <v/>
      </c>
      <c r="W90">
        <f>HYPERLINK("https://klasma.github.io/Logging_2083/klagomålsmail/A 30936-2023 FSC-klagomål mail.docx", "A 30936-2023")</f>
        <v/>
      </c>
      <c r="X90">
        <f>HYPERLINK("https://klasma.github.io/Logging_2083/tillsyn/A 30936-2023 tillsynsbegäran.docx", "A 30936-2023")</f>
        <v/>
      </c>
      <c r="Y90">
        <f>HYPERLINK("https://klasma.github.io/Logging_2083/tillsynsmail/A 30936-2023 tillsynsbegäran mail.docx", "A 30936-2023")</f>
        <v/>
      </c>
    </row>
    <row r="91" ht="15" customHeight="1">
      <c r="A91" t="inlineStr">
        <is>
          <t>A 33023-2023</t>
        </is>
      </c>
      <c r="B91" s="1" t="n">
        <v>45125</v>
      </c>
      <c r="C91" s="1" t="n">
        <v>45690</v>
      </c>
      <c r="D91" t="inlineStr">
        <is>
          <t>DALARNAS LÄN</t>
        </is>
      </c>
      <c r="E91" t="inlineStr">
        <is>
          <t>HEDEMORA</t>
        </is>
      </c>
      <c r="F91" t="inlineStr">
        <is>
          <t>Sveaskog</t>
        </is>
      </c>
      <c r="G91" t="n">
        <v>3.9</v>
      </c>
      <c r="H91" t="n">
        <v>1</v>
      </c>
      <c r="I91" t="n">
        <v>0</v>
      </c>
      <c r="J91" t="n">
        <v>0</v>
      </c>
      <c r="K91" t="n">
        <v>0</v>
      </c>
      <c r="L91" t="n">
        <v>0</v>
      </c>
      <c r="M91" t="n">
        <v>0</v>
      </c>
      <c r="N91" t="n">
        <v>0</v>
      </c>
      <c r="O91" t="n">
        <v>0</v>
      </c>
      <c r="P91" t="n">
        <v>0</v>
      </c>
      <c r="Q91" t="n">
        <v>1</v>
      </c>
      <c r="R91" s="2" t="inlineStr">
        <is>
          <t>Revlummer</t>
        </is>
      </c>
      <c r="S91">
        <f>HYPERLINK("https://klasma.github.io/Logging_2083/artfynd/A 33023-2023 artfynd.xlsx", "A 33023-2023")</f>
        <v/>
      </c>
      <c r="T91">
        <f>HYPERLINK("https://klasma.github.io/Logging_2083/kartor/A 33023-2023 karta.png", "A 33023-2023")</f>
        <v/>
      </c>
      <c r="V91">
        <f>HYPERLINK("https://klasma.github.io/Logging_2083/klagomål/A 33023-2023 FSC-klagomål.docx", "A 33023-2023")</f>
        <v/>
      </c>
      <c r="W91">
        <f>HYPERLINK("https://klasma.github.io/Logging_2083/klagomålsmail/A 33023-2023 FSC-klagomål mail.docx", "A 33023-2023")</f>
        <v/>
      </c>
      <c r="X91">
        <f>HYPERLINK("https://klasma.github.io/Logging_2083/tillsyn/A 33023-2023 tillsynsbegäran.docx", "A 33023-2023")</f>
        <v/>
      </c>
      <c r="Y91">
        <f>HYPERLINK("https://klasma.github.io/Logging_2083/tillsynsmail/A 33023-2023 tillsynsbegäran mail.docx", "A 33023-2023")</f>
        <v/>
      </c>
    </row>
    <row r="92" ht="15" customHeight="1">
      <c r="A92" t="inlineStr">
        <is>
          <t>A 35321-2023</t>
        </is>
      </c>
      <c r="B92" s="1" t="n">
        <v>45146</v>
      </c>
      <c r="C92" s="1" t="n">
        <v>45690</v>
      </c>
      <c r="D92" t="inlineStr">
        <is>
          <t>DALARNAS LÄN</t>
        </is>
      </c>
      <c r="E92" t="inlineStr">
        <is>
          <t>HEDEMORA</t>
        </is>
      </c>
      <c r="G92" t="n">
        <v>3.5</v>
      </c>
      <c r="H92" t="n">
        <v>1</v>
      </c>
      <c r="I92" t="n">
        <v>0</v>
      </c>
      <c r="J92" t="n">
        <v>1</v>
      </c>
      <c r="K92" t="n">
        <v>0</v>
      </c>
      <c r="L92" t="n">
        <v>0</v>
      </c>
      <c r="M92" t="n">
        <v>0</v>
      </c>
      <c r="N92" t="n">
        <v>0</v>
      </c>
      <c r="O92" t="n">
        <v>1</v>
      </c>
      <c r="P92" t="n">
        <v>0</v>
      </c>
      <c r="Q92" t="n">
        <v>1</v>
      </c>
      <c r="R92" s="2" t="inlineStr">
        <is>
          <t>Havsörn</t>
        </is>
      </c>
      <c r="S92">
        <f>HYPERLINK("https://klasma.github.io/Logging_2083/artfynd/A 35321-2023 artfynd.xlsx", "A 35321-2023")</f>
        <v/>
      </c>
      <c r="T92">
        <f>HYPERLINK("https://klasma.github.io/Logging_2083/kartor/A 35321-2023 karta.png", "A 35321-2023")</f>
        <v/>
      </c>
      <c r="V92">
        <f>HYPERLINK("https://klasma.github.io/Logging_2083/klagomål/A 35321-2023 FSC-klagomål.docx", "A 35321-2023")</f>
        <v/>
      </c>
      <c r="W92">
        <f>HYPERLINK("https://klasma.github.io/Logging_2083/klagomålsmail/A 35321-2023 FSC-klagomål mail.docx", "A 35321-2023")</f>
        <v/>
      </c>
      <c r="X92">
        <f>HYPERLINK("https://klasma.github.io/Logging_2083/tillsyn/A 35321-2023 tillsynsbegäran.docx", "A 35321-2023")</f>
        <v/>
      </c>
      <c r="Y92">
        <f>HYPERLINK("https://klasma.github.io/Logging_2083/tillsynsmail/A 35321-2023 tillsynsbegäran mail.docx", "A 35321-2023")</f>
        <v/>
      </c>
      <c r="Z92">
        <f>HYPERLINK("https://klasma.github.io/Logging_2083/fåglar/A 35321-2023 prioriterade fågelarter.docx", "A 35321-2023")</f>
        <v/>
      </c>
    </row>
    <row r="93" ht="15" customHeight="1">
      <c r="A93" t="inlineStr">
        <is>
          <t>A 36849-2023</t>
        </is>
      </c>
      <c r="B93" s="1" t="n">
        <v>45154</v>
      </c>
      <c r="C93" s="1" t="n">
        <v>45690</v>
      </c>
      <c r="D93" t="inlineStr">
        <is>
          <t>DALARNAS LÄN</t>
        </is>
      </c>
      <c r="E93" t="inlineStr">
        <is>
          <t>HEDEMORA</t>
        </is>
      </c>
      <c r="G93" t="n">
        <v>5.8</v>
      </c>
      <c r="H93" t="n">
        <v>1</v>
      </c>
      <c r="I93" t="n">
        <v>0</v>
      </c>
      <c r="J93" t="n">
        <v>0</v>
      </c>
      <c r="K93" t="n">
        <v>1</v>
      </c>
      <c r="L93" t="n">
        <v>0</v>
      </c>
      <c r="M93" t="n">
        <v>0</v>
      </c>
      <c r="N93" t="n">
        <v>0</v>
      </c>
      <c r="O93" t="n">
        <v>1</v>
      </c>
      <c r="P93" t="n">
        <v>1</v>
      </c>
      <c r="Q93" t="n">
        <v>1</v>
      </c>
      <c r="R93" s="2" t="inlineStr">
        <is>
          <t>Knärot</t>
        </is>
      </c>
      <c r="S93">
        <f>HYPERLINK("https://klasma.github.io/Logging_2083/artfynd/A 36849-2023 artfynd.xlsx", "A 36849-2023")</f>
        <v/>
      </c>
      <c r="T93">
        <f>HYPERLINK("https://klasma.github.io/Logging_2083/kartor/A 36849-2023 karta.png", "A 36849-2023")</f>
        <v/>
      </c>
      <c r="U93">
        <f>HYPERLINK("https://klasma.github.io/Logging_2083/knärot/A 36849-2023 karta knärot.png", "A 36849-2023")</f>
        <v/>
      </c>
      <c r="V93">
        <f>HYPERLINK("https://klasma.github.io/Logging_2083/klagomål/A 36849-2023 FSC-klagomål.docx", "A 36849-2023")</f>
        <v/>
      </c>
      <c r="W93">
        <f>HYPERLINK("https://klasma.github.io/Logging_2083/klagomålsmail/A 36849-2023 FSC-klagomål mail.docx", "A 36849-2023")</f>
        <v/>
      </c>
      <c r="X93">
        <f>HYPERLINK("https://klasma.github.io/Logging_2083/tillsyn/A 36849-2023 tillsynsbegäran.docx", "A 36849-2023")</f>
        <v/>
      </c>
      <c r="Y93">
        <f>HYPERLINK("https://klasma.github.io/Logging_2083/tillsynsmail/A 36849-2023 tillsynsbegäran mail.docx", "A 36849-2023")</f>
        <v/>
      </c>
    </row>
    <row r="94" ht="15" customHeight="1">
      <c r="A94" t="inlineStr">
        <is>
          <t>A 37654-2023</t>
        </is>
      </c>
      <c r="B94" s="1" t="n">
        <v>45159</v>
      </c>
      <c r="C94" s="1" t="n">
        <v>45690</v>
      </c>
      <c r="D94" t="inlineStr">
        <is>
          <t>DALARNAS LÄN</t>
        </is>
      </c>
      <c r="E94" t="inlineStr">
        <is>
          <t>HEDEMORA</t>
        </is>
      </c>
      <c r="G94" t="n">
        <v>6.2</v>
      </c>
      <c r="H94" t="n">
        <v>1</v>
      </c>
      <c r="I94" t="n">
        <v>0</v>
      </c>
      <c r="J94" t="n">
        <v>0</v>
      </c>
      <c r="K94" t="n">
        <v>1</v>
      </c>
      <c r="L94" t="n">
        <v>0</v>
      </c>
      <c r="M94" t="n">
        <v>0</v>
      </c>
      <c r="N94" t="n">
        <v>0</v>
      </c>
      <c r="O94" t="n">
        <v>1</v>
      </c>
      <c r="P94" t="n">
        <v>1</v>
      </c>
      <c r="Q94" t="n">
        <v>1</v>
      </c>
      <c r="R94" s="2" t="inlineStr">
        <is>
          <t>Knärot</t>
        </is>
      </c>
      <c r="S94">
        <f>HYPERLINK("https://klasma.github.io/Logging_2083/artfynd/A 37654-2023 artfynd.xlsx", "A 37654-2023")</f>
        <v/>
      </c>
      <c r="T94">
        <f>HYPERLINK("https://klasma.github.io/Logging_2083/kartor/A 37654-2023 karta.png", "A 37654-2023")</f>
        <v/>
      </c>
      <c r="U94">
        <f>HYPERLINK("https://klasma.github.io/Logging_2083/knärot/A 37654-2023 karta knärot.png", "A 37654-2023")</f>
        <v/>
      </c>
      <c r="V94">
        <f>HYPERLINK("https://klasma.github.io/Logging_2083/klagomål/A 37654-2023 FSC-klagomål.docx", "A 37654-2023")</f>
        <v/>
      </c>
      <c r="W94">
        <f>HYPERLINK("https://klasma.github.io/Logging_2083/klagomålsmail/A 37654-2023 FSC-klagomål mail.docx", "A 37654-2023")</f>
        <v/>
      </c>
      <c r="X94">
        <f>HYPERLINK("https://klasma.github.io/Logging_2083/tillsyn/A 37654-2023 tillsynsbegäran.docx", "A 37654-2023")</f>
        <v/>
      </c>
      <c r="Y94">
        <f>HYPERLINK("https://klasma.github.io/Logging_2083/tillsynsmail/A 37654-2023 tillsynsbegäran mail.docx", "A 37654-2023")</f>
        <v/>
      </c>
    </row>
    <row r="95" ht="15" customHeight="1">
      <c r="A95" t="inlineStr">
        <is>
          <t>A 41477-2023</t>
        </is>
      </c>
      <c r="B95" s="1" t="n">
        <v>45171</v>
      </c>
      <c r="C95" s="1" t="n">
        <v>45690</v>
      </c>
      <c r="D95" t="inlineStr">
        <is>
          <t>DALARNAS LÄN</t>
        </is>
      </c>
      <c r="E95" t="inlineStr">
        <is>
          <t>HEDEMORA</t>
        </is>
      </c>
      <c r="F95" t="inlineStr">
        <is>
          <t>Bergvik skog väst AB</t>
        </is>
      </c>
      <c r="G95" t="n">
        <v>9.1</v>
      </c>
      <c r="H95" t="n">
        <v>0</v>
      </c>
      <c r="I95" t="n">
        <v>1</v>
      </c>
      <c r="J95" t="n">
        <v>0</v>
      </c>
      <c r="K95" t="n">
        <v>0</v>
      </c>
      <c r="L95" t="n">
        <v>0</v>
      </c>
      <c r="M95" t="n">
        <v>0</v>
      </c>
      <c r="N95" t="n">
        <v>0</v>
      </c>
      <c r="O95" t="n">
        <v>0</v>
      </c>
      <c r="P95" t="n">
        <v>0</v>
      </c>
      <c r="Q95" t="n">
        <v>1</v>
      </c>
      <c r="R95" s="2" t="inlineStr">
        <is>
          <t>Ögonpyrola</t>
        </is>
      </c>
      <c r="S95">
        <f>HYPERLINK("https://klasma.github.io/Logging_2083/artfynd/A 41477-2023 artfynd.xlsx", "A 41477-2023")</f>
        <v/>
      </c>
      <c r="T95">
        <f>HYPERLINK("https://klasma.github.io/Logging_2083/kartor/A 41477-2023 karta.png", "A 41477-2023")</f>
        <v/>
      </c>
      <c r="V95">
        <f>HYPERLINK("https://klasma.github.io/Logging_2083/klagomål/A 41477-2023 FSC-klagomål.docx", "A 41477-2023")</f>
        <v/>
      </c>
      <c r="W95">
        <f>HYPERLINK("https://klasma.github.io/Logging_2083/klagomålsmail/A 41477-2023 FSC-klagomål mail.docx", "A 41477-2023")</f>
        <v/>
      </c>
      <c r="X95">
        <f>HYPERLINK("https://klasma.github.io/Logging_2083/tillsyn/A 41477-2023 tillsynsbegäran.docx", "A 41477-2023")</f>
        <v/>
      </c>
      <c r="Y95">
        <f>HYPERLINK("https://klasma.github.io/Logging_2083/tillsynsmail/A 41477-2023 tillsynsbegäran mail.docx", "A 41477-2023")</f>
        <v/>
      </c>
    </row>
    <row r="96" ht="15" customHeight="1">
      <c r="A96" t="inlineStr">
        <is>
          <t>A 41078-2023</t>
        </is>
      </c>
      <c r="B96" s="1" t="n">
        <v>45173</v>
      </c>
      <c r="C96" s="1" t="n">
        <v>45690</v>
      </c>
      <c r="D96" t="inlineStr">
        <is>
          <t>DALARNAS LÄN</t>
        </is>
      </c>
      <c r="E96" t="inlineStr">
        <is>
          <t>HEDEMORA</t>
        </is>
      </c>
      <c r="G96" t="n">
        <v>10.3</v>
      </c>
      <c r="H96" t="n">
        <v>0</v>
      </c>
      <c r="I96" t="n">
        <v>1</v>
      </c>
      <c r="J96" t="n">
        <v>0</v>
      </c>
      <c r="K96" t="n">
        <v>0</v>
      </c>
      <c r="L96" t="n">
        <v>0</v>
      </c>
      <c r="M96" t="n">
        <v>0</v>
      </c>
      <c r="N96" t="n">
        <v>0</v>
      </c>
      <c r="O96" t="n">
        <v>0</v>
      </c>
      <c r="P96" t="n">
        <v>0</v>
      </c>
      <c r="Q96" t="n">
        <v>1</v>
      </c>
      <c r="R96" s="2" t="inlineStr">
        <is>
          <t>Bronshjon</t>
        </is>
      </c>
      <c r="S96">
        <f>HYPERLINK("https://klasma.github.io/Logging_2083/artfynd/A 41078-2023 artfynd.xlsx", "A 41078-2023")</f>
        <v/>
      </c>
      <c r="T96">
        <f>HYPERLINK("https://klasma.github.io/Logging_2083/kartor/A 41078-2023 karta.png", "A 41078-2023")</f>
        <v/>
      </c>
      <c r="V96">
        <f>HYPERLINK("https://klasma.github.io/Logging_2083/klagomål/A 41078-2023 FSC-klagomål.docx", "A 41078-2023")</f>
        <v/>
      </c>
      <c r="W96">
        <f>HYPERLINK("https://klasma.github.io/Logging_2083/klagomålsmail/A 41078-2023 FSC-klagomål mail.docx", "A 41078-2023")</f>
        <v/>
      </c>
      <c r="X96">
        <f>HYPERLINK("https://klasma.github.io/Logging_2083/tillsyn/A 41078-2023 tillsynsbegäran.docx", "A 41078-2023")</f>
        <v/>
      </c>
      <c r="Y96">
        <f>HYPERLINK("https://klasma.github.io/Logging_2083/tillsynsmail/A 41078-2023 tillsynsbegäran mail.docx", "A 41078-2023")</f>
        <v/>
      </c>
    </row>
    <row r="97" ht="15" customHeight="1">
      <c r="A97" t="inlineStr">
        <is>
          <t>A 53031-2023</t>
        </is>
      </c>
      <c r="B97" s="1" t="n">
        <v>45226</v>
      </c>
      <c r="C97" s="1" t="n">
        <v>45690</v>
      </c>
      <c r="D97" t="inlineStr">
        <is>
          <t>DALARNAS LÄN</t>
        </is>
      </c>
      <c r="E97" t="inlineStr">
        <is>
          <t>HEDEMORA</t>
        </is>
      </c>
      <c r="F97" t="inlineStr">
        <is>
          <t>Sveaskog</t>
        </is>
      </c>
      <c r="G97" t="n">
        <v>6.9</v>
      </c>
      <c r="H97" t="n">
        <v>1</v>
      </c>
      <c r="I97" t="n">
        <v>0</v>
      </c>
      <c r="J97" t="n">
        <v>1</v>
      </c>
      <c r="K97" t="n">
        <v>0</v>
      </c>
      <c r="L97" t="n">
        <v>0</v>
      </c>
      <c r="M97" t="n">
        <v>0</v>
      </c>
      <c r="N97" t="n">
        <v>0</v>
      </c>
      <c r="O97" t="n">
        <v>1</v>
      </c>
      <c r="P97" t="n">
        <v>0</v>
      </c>
      <c r="Q97" t="n">
        <v>1</v>
      </c>
      <c r="R97" s="2" t="inlineStr">
        <is>
          <t>Talltita</t>
        </is>
      </c>
      <c r="S97">
        <f>HYPERLINK("https://klasma.github.io/Logging_2083/artfynd/A 53031-2023 artfynd.xlsx", "A 53031-2023")</f>
        <v/>
      </c>
      <c r="T97">
        <f>HYPERLINK("https://klasma.github.io/Logging_2083/kartor/A 53031-2023 karta.png", "A 53031-2023")</f>
        <v/>
      </c>
      <c r="V97">
        <f>HYPERLINK("https://klasma.github.io/Logging_2083/klagomål/A 53031-2023 FSC-klagomål.docx", "A 53031-2023")</f>
        <v/>
      </c>
      <c r="W97">
        <f>HYPERLINK("https://klasma.github.io/Logging_2083/klagomålsmail/A 53031-2023 FSC-klagomål mail.docx", "A 53031-2023")</f>
        <v/>
      </c>
      <c r="X97">
        <f>HYPERLINK("https://klasma.github.io/Logging_2083/tillsyn/A 53031-2023 tillsynsbegäran.docx", "A 53031-2023")</f>
        <v/>
      </c>
      <c r="Y97">
        <f>HYPERLINK("https://klasma.github.io/Logging_2083/tillsynsmail/A 53031-2023 tillsynsbegäran mail.docx", "A 53031-2023")</f>
        <v/>
      </c>
      <c r="Z97">
        <f>HYPERLINK("https://klasma.github.io/Logging_2083/fåglar/A 53031-2023 prioriterade fågelarter.docx", "A 53031-2023")</f>
        <v/>
      </c>
    </row>
    <row r="98" ht="15" customHeight="1">
      <c r="A98" t="inlineStr">
        <is>
          <t>A 59376-2023</t>
        </is>
      </c>
      <c r="B98" s="1" t="n">
        <v>45253</v>
      </c>
      <c r="C98" s="1" t="n">
        <v>45690</v>
      </c>
      <c r="D98" t="inlineStr">
        <is>
          <t>DALARNAS LÄN</t>
        </is>
      </c>
      <c r="E98" t="inlineStr">
        <is>
          <t>HEDEMORA</t>
        </is>
      </c>
      <c r="F98" t="inlineStr">
        <is>
          <t>Sveaskog</t>
        </is>
      </c>
      <c r="G98" t="n">
        <v>2.4</v>
      </c>
      <c r="H98" t="n">
        <v>1</v>
      </c>
      <c r="I98" t="n">
        <v>0</v>
      </c>
      <c r="J98" t="n">
        <v>1</v>
      </c>
      <c r="K98" t="n">
        <v>0</v>
      </c>
      <c r="L98" t="n">
        <v>0</v>
      </c>
      <c r="M98" t="n">
        <v>0</v>
      </c>
      <c r="N98" t="n">
        <v>0</v>
      </c>
      <c r="O98" t="n">
        <v>1</v>
      </c>
      <c r="P98" t="n">
        <v>0</v>
      </c>
      <c r="Q98" t="n">
        <v>1</v>
      </c>
      <c r="R98" s="2" t="inlineStr">
        <is>
          <t>Spillkråka</t>
        </is>
      </c>
      <c r="S98">
        <f>HYPERLINK("https://klasma.github.io/Logging_2083/artfynd/A 59376-2023 artfynd.xlsx", "A 59376-2023")</f>
        <v/>
      </c>
      <c r="T98">
        <f>HYPERLINK("https://klasma.github.io/Logging_2083/kartor/A 59376-2023 karta.png", "A 59376-2023")</f>
        <v/>
      </c>
      <c r="V98">
        <f>HYPERLINK("https://klasma.github.io/Logging_2083/klagomål/A 59376-2023 FSC-klagomål.docx", "A 59376-2023")</f>
        <v/>
      </c>
      <c r="W98">
        <f>HYPERLINK("https://klasma.github.io/Logging_2083/klagomålsmail/A 59376-2023 FSC-klagomål mail.docx", "A 59376-2023")</f>
        <v/>
      </c>
      <c r="X98">
        <f>HYPERLINK("https://klasma.github.io/Logging_2083/tillsyn/A 59376-2023 tillsynsbegäran.docx", "A 59376-2023")</f>
        <v/>
      </c>
      <c r="Y98">
        <f>HYPERLINK("https://klasma.github.io/Logging_2083/tillsynsmail/A 59376-2023 tillsynsbegäran mail.docx", "A 59376-2023")</f>
        <v/>
      </c>
      <c r="Z98">
        <f>HYPERLINK("https://klasma.github.io/Logging_2083/fåglar/A 59376-2023 prioriterade fågelarter.docx", "A 59376-2023")</f>
        <v/>
      </c>
    </row>
    <row r="99" ht="15" customHeight="1">
      <c r="A99" t="inlineStr">
        <is>
          <t>A 59377-2023</t>
        </is>
      </c>
      <c r="B99" s="1" t="n">
        <v>45253</v>
      </c>
      <c r="C99" s="1" t="n">
        <v>45690</v>
      </c>
      <c r="D99" t="inlineStr">
        <is>
          <t>DALARNAS LÄN</t>
        </is>
      </c>
      <c r="E99" t="inlineStr">
        <is>
          <t>HEDEMORA</t>
        </is>
      </c>
      <c r="F99" t="inlineStr">
        <is>
          <t>Sveaskog</t>
        </is>
      </c>
      <c r="G99" t="n">
        <v>4.6</v>
      </c>
      <c r="H99" t="n">
        <v>0</v>
      </c>
      <c r="I99" t="n">
        <v>0</v>
      </c>
      <c r="J99" t="n">
        <v>1</v>
      </c>
      <c r="K99" t="n">
        <v>0</v>
      </c>
      <c r="L99" t="n">
        <v>0</v>
      </c>
      <c r="M99" t="n">
        <v>0</v>
      </c>
      <c r="N99" t="n">
        <v>0</v>
      </c>
      <c r="O99" t="n">
        <v>1</v>
      </c>
      <c r="P99" t="n">
        <v>0</v>
      </c>
      <c r="Q99" t="n">
        <v>1</v>
      </c>
      <c r="R99" s="2" t="inlineStr">
        <is>
          <t>Ullticka</t>
        </is>
      </c>
      <c r="S99">
        <f>HYPERLINK("https://klasma.github.io/Logging_2083/artfynd/A 59377-2023 artfynd.xlsx", "A 59377-2023")</f>
        <v/>
      </c>
      <c r="T99">
        <f>HYPERLINK("https://klasma.github.io/Logging_2083/kartor/A 59377-2023 karta.png", "A 59377-2023")</f>
        <v/>
      </c>
      <c r="V99">
        <f>HYPERLINK("https://klasma.github.io/Logging_2083/klagomål/A 59377-2023 FSC-klagomål.docx", "A 59377-2023")</f>
        <v/>
      </c>
      <c r="W99">
        <f>HYPERLINK("https://klasma.github.io/Logging_2083/klagomålsmail/A 59377-2023 FSC-klagomål mail.docx", "A 59377-2023")</f>
        <v/>
      </c>
      <c r="X99">
        <f>HYPERLINK("https://klasma.github.io/Logging_2083/tillsyn/A 59377-2023 tillsynsbegäran.docx", "A 59377-2023")</f>
        <v/>
      </c>
      <c r="Y99">
        <f>HYPERLINK("https://klasma.github.io/Logging_2083/tillsynsmail/A 59377-2023 tillsynsbegäran mail.docx", "A 59377-2023")</f>
        <v/>
      </c>
    </row>
    <row r="100" ht="15" customHeight="1">
      <c r="A100" t="inlineStr">
        <is>
          <t>A 59751-2023</t>
        </is>
      </c>
      <c r="B100" s="1" t="n">
        <v>45257</v>
      </c>
      <c r="C100" s="1" t="n">
        <v>45690</v>
      </c>
      <c r="D100" t="inlineStr">
        <is>
          <t>DALARNAS LÄN</t>
        </is>
      </c>
      <c r="E100" t="inlineStr">
        <is>
          <t>HEDEMORA</t>
        </is>
      </c>
      <c r="F100" t="inlineStr">
        <is>
          <t>Sveaskog</t>
        </is>
      </c>
      <c r="G100" t="n">
        <v>0.7</v>
      </c>
      <c r="H100" t="n">
        <v>0</v>
      </c>
      <c r="I100" t="n">
        <v>1</v>
      </c>
      <c r="J100" t="n">
        <v>0</v>
      </c>
      <c r="K100" t="n">
        <v>0</v>
      </c>
      <c r="L100" t="n">
        <v>0</v>
      </c>
      <c r="M100" t="n">
        <v>0</v>
      </c>
      <c r="N100" t="n">
        <v>0</v>
      </c>
      <c r="O100" t="n">
        <v>0</v>
      </c>
      <c r="P100" t="n">
        <v>0</v>
      </c>
      <c r="Q100" t="n">
        <v>1</v>
      </c>
      <c r="R100" s="2" t="inlineStr">
        <is>
          <t>Svavelriska</t>
        </is>
      </c>
      <c r="S100">
        <f>HYPERLINK("https://klasma.github.io/Logging_2083/artfynd/A 59751-2023 artfynd.xlsx", "A 59751-2023")</f>
        <v/>
      </c>
      <c r="T100">
        <f>HYPERLINK("https://klasma.github.io/Logging_2083/kartor/A 59751-2023 karta.png", "A 59751-2023")</f>
        <v/>
      </c>
      <c r="V100">
        <f>HYPERLINK("https://klasma.github.io/Logging_2083/klagomål/A 59751-2023 FSC-klagomål.docx", "A 59751-2023")</f>
        <v/>
      </c>
      <c r="W100">
        <f>HYPERLINK("https://klasma.github.io/Logging_2083/klagomålsmail/A 59751-2023 FSC-klagomål mail.docx", "A 59751-2023")</f>
        <v/>
      </c>
      <c r="X100">
        <f>HYPERLINK("https://klasma.github.io/Logging_2083/tillsyn/A 59751-2023 tillsynsbegäran.docx", "A 59751-2023")</f>
        <v/>
      </c>
      <c r="Y100">
        <f>HYPERLINK("https://klasma.github.io/Logging_2083/tillsynsmail/A 59751-2023 tillsynsbegäran mail.docx", "A 59751-2023")</f>
        <v/>
      </c>
    </row>
    <row r="101" ht="15" customHeight="1">
      <c r="A101" t="inlineStr">
        <is>
          <t>A 63542-2023</t>
        </is>
      </c>
      <c r="B101" s="1" t="n">
        <v>45275</v>
      </c>
      <c r="C101" s="1" t="n">
        <v>45690</v>
      </c>
      <c r="D101" t="inlineStr">
        <is>
          <t>DALARNAS LÄN</t>
        </is>
      </c>
      <c r="E101" t="inlineStr">
        <is>
          <t>HEDEMORA</t>
        </is>
      </c>
      <c r="G101" t="n">
        <v>2.1</v>
      </c>
      <c r="H101" t="n">
        <v>1</v>
      </c>
      <c r="I101" t="n">
        <v>0</v>
      </c>
      <c r="J101" t="n">
        <v>1</v>
      </c>
      <c r="K101" t="n">
        <v>0</v>
      </c>
      <c r="L101" t="n">
        <v>0</v>
      </c>
      <c r="M101" t="n">
        <v>0</v>
      </c>
      <c r="N101" t="n">
        <v>0</v>
      </c>
      <c r="O101" t="n">
        <v>1</v>
      </c>
      <c r="P101" t="n">
        <v>0</v>
      </c>
      <c r="Q101" t="n">
        <v>1</v>
      </c>
      <c r="R101" s="2" t="inlineStr">
        <is>
          <t>Spillkråka</t>
        </is>
      </c>
      <c r="S101">
        <f>HYPERLINK("https://klasma.github.io/Logging_2083/artfynd/A 63542-2023 artfynd.xlsx", "A 63542-2023")</f>
        <v/>
      </c>
      <c r="T101">
        <f>HYPERLINK("https://klasma.github.io/Logging_2083/kartor/A 63542-2023 karta.png", "A 63542-2023")</f>
        <v/>
      </c>
      <c r="V101">
        <f>HYPERLINK("https://klasma.github.io/Logging_2083/klagomål/A 63542-2023 FSC-klagomål.docx", "A 63542-2023")</f>
        <v/>
      </c>
      <c r="W101">
        <f>HYPERLINK("https://klasma.github.io/Logging_2083/klagomålsmail/A 63542-2023 FSC-klagomål mail.docx", "A 63542-2023")</f>
        <v/>
      </c>
      <c r="X101">
        <f>HYPERLINK("https://klasma.github.io/Logging_2083/tillsyn/A 63542-2023 tillsynsbegäran.docx", "A 63542-2023")</f>
        <v/>
      </c>
      <c r="Y101">
        <f>HYPERLINK("https://klasma.github.io/Logging_2083/tillsynsmail/A 63542-2023 tillsynsbegäran mail.docx", "A 63542-2023")</f>
        <v/>
      </c>
      <c r="Z101">
        <f>HYPERLINK("https://klasma.github.io/Logging_2083/fåglar/A 63542-2023 prioriterade fågelarter.docx", "A 63542-2023")</f>
        <v/>
      </c>
    </row>
    <row r="102" ht="15" customHeight="1">
      <c r="A102" t="inlineStr">
        <is>
          <t>A 21535-2024</t>
        </is>
      </c>
      <c r="B102" s="1" t="n">
        <v>45441</v>
      </c>
      <c r="C102" s="1" t="n">
        <v>45690</v>
      </c>
      <c r="D102" t="inlineStr">
        <is>
          <t>DALARNAS LÄN</t>
        </is>
      </c>
      <c r="E102" t="inlineStr">
        <is>
          <t>HEDEMORA</t>
        </is>
      </c>
      <c r="F102" t="inlineStr">
        <is>
          <t>Sveaskog</t>
        </is>
      </c>
      <c r="G102" t="n">
        <v>3.4</v>
      </c>
      <c r="H102" t="n">
        <v>1</v>
      </c>
      <c r="I102" t="n">
        <v>0</v>
      </c>
      <c r="J102" t="n">
        <v>0</v>
      </c>
      <c r="K102" t="n">
        <v>1</v>
      </c>
      <c r="L102" t="n">
        <v>0</v>
      </c>
      <c r="M102" t="n">
        <v>0</v>
      </c>
      <c r="N102" t="n">
        <v>0</v>
      </c>
      <c r="O102" t="n">
        <v>1</v>
      </c>
      <c r="P102" t="n">
        <v>1</v>
      </c>
      <c r="Q102" t="n">
        <v>1</v>
      </c>
      <c r="R102" s="2" t="inlineStr">
        <is>
          <t>Knärot</t>
        </is>
      </c>
      <c r="S102">
        <f>HYPERLINK("https://klasma.github.io/Logging_2083/artfynd/A 21535-2024 artfynd.xlsx", "A 21535-2024")</f>
        <v/>
      </c>
      <c r="T102">
        <f>HYPERLINK("https://klasma.github.io/Logging_2083/kartor/A 21535-2024 karta.png", "A 21535-2024")</f>
        <v/>
      </c>
      <c r="U102">
        <f>HYPERLINK("https://klasma.github.io/Logging_2083/knärot/A 21535-2024 karta knärot.png", "A 21535-2024")</f>
        <v/>
      </c>
      <c r="V102">
        <f>HYPERLINK("https://klasma.github.io/Logging_2083/klagomål/A 21535-2024 FSC-klagomål.docx", "A 21535-2024")</f>
        <v/>
      </c>
      <c r="W102">
        <f>HYPERLINK("https://klasma.github.io/Logging_2083/klagomålsmail/A 21535-2024 FSC-klagomål mail.docx", "A 21535-2024")</f>
        <v/>
      </c>
      <c r="X102">
        <f>HYPERLINK("https://klasma.github.io/Logging_2083/tillsyn/A 21535-2024 tillsynsbegäran.docx", "A 21535-2024")</f>
        <v/>
      </c>
      <c r="Y102">
        <f>HYPERLINK("https://klasma.github.io/Logging_2083/tillsynsmail/A 21535-2024 tillsynsbegäran mail.docx", "A 21535-2024")</f>
        <v/>
      </c>
    </row>
    <row r="103" ht="15" customHeight="1">
      <c r="A103" t="inlineStr">
        <is>
          <t>A 42614-2024</t>
        </is>
      </c>
      <c r="B103" s="1" t="n">
        <v>45565</v>
      </c>
      <c r="C103" s="1" t="n">
        <v>45690</v>
      </c>
      <c r="D103" t="inlineStr">
        <is>
          <t>DALARNAS LÄN</t>
        </is>
      </c>
      <c r="E103" t="inlineStr">
        <is>
          <t>HEDEMORA</t>
        </is>
      </c>
      <c r="F103" t="inlineStr">
        <is>
          <t>Sveaskog</t>
        </is>
      </c>
      <c r="G103" t="n">
        <v>3</v>
      </c>
      <c r="H103" t="n">
        <v>1</v>
      </c>
      <c r="I103" t="n">
        <v>0</v>
      </c>
      <c r="J103" t="n">
        <v>1</v>
      </c>
      <c r="K103" t="n">
        <v>0</v>
      </c>
      <c r="L103" t="n">
        <v>0</v>
      </c>
      <c r="M103" t="n">
        <v>0</v>
      </c>
      <c r="N103" t="n">
        <v>0</v>
      </c>
      <c r="O103" t="n">
        <v>1</v>
      </c>
      <c r="P103" t="n">
        <v>0</v>
      </c>
      <c r="Q103" t="n">
        <v>1</v>
      </c>
      <c r="R103" s="2" t="inlineStr">
        <is>
          <t>Talltita</t>
        </is>
      </c>
      <c r="S103">
        <f>HYPERLINK("https://klasma.github.io/Logging_2083/artfynd/A 42614-2024 artfynd.xlsx", "A 42614-2024")</f>
        <v/>
      </c>
      <c r="T103">
        <f>HYPERLINK("https://klasma.github.io/Logging_2083/kartor/A 42614-2024 karta.png", "A 42614-2024")</f>
        <v/>
      </c>
      <c r="V103">
        <f>HYPERLINK("https://klasma.github.io/Logging_2083/klagomål/A 42614-2024 FSC-klagomål.docx", "A 42614-2024")</f>
        <v/>
      </c>
      <c r="W103">
        <f>HYPERLINK("https://klasma.github.io/Logging_2083/klagomålsmail/A 42614-2024 FSC-klagomål mail.docx", "A 42614-2024")</f>
        <v/>
      </c>
      <c r="X103">
        <f>HYPERLINK("https://klasma.github.io/Logging_2083/tillsyn/A 42614-2024 tillsynsbegäran.docx", "A 42614-2024")</f>
        <v/>
      </c>
      <c r="Y103">
        <f>HYPERLINK("https://klasma.github.io/Logging_2083/tillsynsmail/A 42614-2024 tillsynsbegäran mail.docx", "A 42614-2024")</f>
        <v/>
      </c>
      <c r="Z103">
        <f>HYPERLINK("https://klasma.github.io/Logging_2083/fåglar/A 42614-2024 prioriterade fågelarter.docx", "A 42614-2024")</f>
        <v/>
      </c>
    </row>
    <row r="104" ht="15" customHeight="1">
      <c r="A104" t="inlineStr">
        <is>
          <t>A 48323-2024</t>
        </is>
      </c>
      <c r="B104" s="1" t="n">
        <v>45590</v>
      </c>
      <c r="C104" s="1" t="n">
        <v>45690</v>
      </c>
      <c r="D104" t="inlineStr">
        <is>
          <t>DALARNAS LÄN</t>
        </is>
      </c>
      <c r="E104" t="inlineStr">
        <is>
          <t>HEDEMORA</t>
        </is>
      </c>
      <c r="F104" t="inlineStr">
        <is>
          <t>Sveaskog</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HYPERLINK("https://klasma.github.io/Logging_2083/artfynd/A 48323-2024 artfynd.xlsx", "A 48323-2024")</f>
        <v/>
      </c>
      <c r="T104">
        <f>HYPERLINK("https://klasma.github.io/Logging_2083/kartor/A 48323-2024 karta.png", "A 48323-2024")</f>
        <v/>
      </c>
      <c r="V104">
        <f>HYPERLINK("https://klasma.github.io/Logging_2083/klagomål/A 48323-2024 FSC-klagomål.docx", "A 48323-2024")</f>
        <v/>
      </c>
      <c r="W104">
        <f>HYPERLINK("https://klasma.github.io/Logging_2083/klagomålsmail/A 48323-2024 FSC-klagomål mail.docx", "A 48323-2024")</f>
        <v/>
      </c>
      <c r="X104">
        <f>HYPERLINK("https://klasma.github.io/Logging_2083/tillsyn/A 48323-2024 tillsynsbegäran.docx", "A 48323-2024")</f>
        <v/>
      </c>
      <c r="Y104">
        <f>HYPERLINK("https://klasma.github.io/Logging_2083/tillsynsmail/A 48323-2024 tillsynsbegäran mail.docx", "A 48323-2024")</f>
        <v/>
      </c>
    </row>
    <row r="105" ht="15" customHeight="1">
      <c r="A105" t="inlineStr">
        <is>
          <t>A 52941-2024</t>
        </is>
      </c>
      <c r="B105" s="1" t="n">
        <v>45610</v>
      </c>
      <c r="C105" s="1" t="n">
        <v>45690</v>
      </c>
      <c r="D105" t="inlineStr">
        <is>
          <t>DALARNAS LÄN</t>
        </is>
      </c>
      <c r="E105" t="inlineStr">
        <is>
          <t>HEDEMORA</t>
        </is>
      </c>
      <c r="F105" t="inlineStr">
        <is>
          <t>Sveaskog</t>
        </is>
      </c>
      <c r="G105" t="n">
        <v>18.3</v>
      </c>
      <c r="H105" t="n">
        <v>1</v>
      </c>
      <c r="I105" t="n">
        <v>0</v>
      </c>
      <c r="J105" t="n">
        <v>0</v>
      </c>
      <c r="K105" t="n">
        <v>1</v>
      </c>
      <c r="L105" t="n">
        <v>0</v>
      </c>
      <c r="M105" t="n">
        <v>0</v>
      </c>
      <c r="N105" t="n">
        <v>0</v>
      </c>
      <c r="O105" t="n">
        <v>1</v>
      </c>
      <c r="P105" t="n">
        <v>1</v>
      </c>
      <c r="Q105" t="n">
        <v>1</v>
      </c>
      <c r="R105" s="2" t="inlineStr">
        <is>
          <t>Knärot</t>
        </is>
      </c>
      <c r="S105">
        <f>HYPERLINK("https://klasma.github.io/Logging_2083/artfynd/A 52941-2024 artfynd.xlsx", "A 52941-2024")</f>
        <v/>
      </c>
      <c r="T105">
        <f>HYPERLINK("https://klasma.github.io/Logging_2083/kartor/A 52941-2024 karta.png", "A 52941-2024")</f>
        <v/>
      </c>
      <c r="U105">
        <f>HYPERLINK("https://klasma.github.io/Logging_2083/knärot/A 52941-2024 karta knärot.png", "A 52941-2024")</f>
        <v/>
      </c>
      <c r="V105">
        <f>HYPERLINK("https://klasma.github.io/Logging_2083/klagomål/A 52941-2024 FSC-klagomål.docx", "A 52941-2024")</f>
        <v/>
      </c>
      <c r="W105">
        <f>HYPERLINK("https://klasma.github.io/Logging_2083/klagomålsmail/A 52941-2024 FSC-klagomål mail.docx", "A 52941-2024")</f>
        <v/>
      </c>
      <c r="X105">
        <f>HYPERLINK("https://klasma.github.io/Logging_2083/tillsyn/A 52941-2024 tillsynsbegäran.docx", "A 52941-2024")</f>
        <v/>
      </c>
      <c r="Y105">
        <f>HYPERLINK("https://klasma.github.io/Logging_2083/tillsynsmail/A 52941-2024 tillsynsbegäran mail.docx", "A 52941-2024")</f>
        <v/>
      </c>
    </row>
    <row r="106" ht="15" customHeight="1">
      <c r="A106" t="inlineStr">
        <is>
          <t>A 53924-2024</t>
        </is>
      </c>
      <c r="B106" s="1" t="n">
        <v>45615</v>
      </c>
      <c r="C106" s="1" t="n">
        <v>45690</v>
      </c>
      <c r="D106" t="inlineStr">
        <is>
          <t>DALARNAS LÄN</t>
        </is>
      </c>
      <c r="E106" t="inlineStr">
        <is>
          <t>HEDEMORA</t>
        </is>
      </c>
      <c r="F106" t="inlineStr">
        <is>
          <t>Sveaskog</t>
        </is>
      </c>
      <c r="G106" t="n">
        <v>3.8</v>
      </c>
      <c r="H106" t="n">
        <v>1</v>
      </c>
      <c r="I106" t="n">
        <v>1</v>
      </c>
      <c r="J106" t="n">
        <v>0</v>
      </c>
      <c r="K106" t="n">
        <v>0</v>
      </c>
      <c r="L106" t="n">
        <v>0</v>
      </c>
      <c r="M106" t="n">
        <v>0</v>
      </c>
      <c r="N106" t="n">
        <v>0</v>
      </c>
      <c r="O106" t="n">
        <v>0</v>
      </c>
      <c r="P106" t="n">
        <v>0</v>
      </c>
      <c r="Q106" t="n">
        <v>1</v>
      </c>
      <c r="R106" s="2" t="inlineStr">
        <is>
          <t>Plattlummer</t>
        </is>
      </c>
      <c r="S106">
        <f>HYPERLINK("https://klasma.github.io/Logging_2083/artfynd/A 53924-2024 artfynd.xlsx", "A 53924-2024")</f>
        <v/>
      </c>
      <c r="T106">
        <f>HYPERLINK("https://klasma.github.io/Logging_2083/kartor/A 53924-2024 karta.png", "A 53924-2024")</f>
        <v/>
      </c>
      <c r="V106">
        <f>HYPERLINK("https://klasma.github.io/Logging_2083/klagomål/A 53924-2024 FSC-klagomål.docx", "A 53924-2024")</f>
        <v/>
      </c>
      <c r="W106">
        <f>HYPERLINK("https://klasma.github.io/Logging_2083/klagomålsmail/A 53924-2024 FSC-klagomål mail.docx", "A 53924-2024")</f>
        <v/>
      </c>
      <c r="X106">
        <f>HYPERLINK("https://klasma.github.io/Logging_2083/tillsyn/A 53924-2024 tillsynsbegäran.docx", "A 53924-2024")</f>
        <v/>
      </c>
      <c r="Y106">
        <f>HYPERLINK("https://klasma.github.io/Logging_2083/tillsynsmail/A 53924-2024 tillsynsbegäran mail.docx", "A 53924-2024")</f>
        <v/>
      </c>
    </row>
    <row r="107" ht="15" customHeight="1">
      <c r="A107" t="inlineStr">
        <is>
          <t>A 60017-2024</t>
        </is>
      </c>
      <c r="B107" s="1" t="n">
        <v>45642</v>
      </c>
      <c r="C107" s="1" t="n">
        <v>45690</v>
      </c>
      <c r="D107" t="inlineStr">
        <is>
          <t>DALARNAS LÄN</t>
        </is>
      </c>
      <c r="E107" t="inlineStr">
        <is>
          <t>HEDEMORA</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HYPERLINK("https://klasma.github.io/Logging_2083/artfynd/A 60017-2024 artfynd.xlsx", "A 60017-2024")</f>
        <v/>
      </c>
      <c r="T107">
        <f>HYPERLINK("https://klasma.github.io/Logging_2083/kartor/A 60017-2024 karta.png", "A 60017-2024")</f>
        <v/>
      </c>
      <c r="U107">
        <f>HYPERLINK("https://klasma.github.io/Logging_2083/knärot/A 60017-2024 karta knärot.png", "A 60017-2024")</f>
        <v/>
      </c>
      <c r="V107">
        <f>HYPERLINK("https://klasma.github.io/Logging_2083/klagomål/A 60017-2024 FSC-klagomål.docx", "A 60017-2024")</f>
        <v/>
      </c>
      <c r="W107">
        <f>HYPERLINK("https://klasma.github.io/Logging_2083/klagomålsmail/A 60017-2024 FSC-klagomål mail.docx", "A 60017-2024")</f>
        <v/>
      </c>
      <c r="X107">
        <f>HYPERLINK("https://klasma.github.io/Logging_2083/tillsyn/A 60017-2024 tillsynsbegäran.docx", "A 60017-2024")</f>
        <v/>
      </c>
      <c r="Y107">
        <f>HYPERLINK("https://klasma.github.io/Logging_2083/tillsynsmail/A 60017-2024 tillsynsbegäran mail.docx", "A 60017-2024")</f>
        <v/>
      </c>
    </row>
    <row r="108" ht="15" customHeight="1">
      <c r="A108" t="inlineStr">
        <is>
          <t>A 19016-2019</t>
        </is>
      </c>
      <c r="B108" s="1" t="n">
        <v>43563</v>
      </c>
      <c r="C108" s="1" t="n">
        <v>45690</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21235-2019</t>
        </is>
      </c>
      <c r="B109" s="1" t="n">
        <v>43579</v>
      </c>
      <c r="C109" s="1" t="n">
        <v>45690</v>
      </c>
      <c r="D109" t="inlineStr">
        <is>
          <t>DALARNAS LÄN</t>
        </is>
      </c>
      <c r="E109" t="inlineStr">
        <is>
          <t>HEDEMORA</t>
        </is>
      </c>
      <c r="G109" t="n">
        <v>3.7</v>
      </c>
      <c r="H109" t="n">
        <v>0</v>
      </c>
      <c r="I109" t="n">
        <v>0</v>
      </c>
      <c r="J109" t="n">
        <v>0</v>
      </c>
      <c r="K109" t="n">
        <v>0</v>
      </c>
      <c r="L109" t="n">
        <v>0</v>
      </c>
      <c r="M109" t="n">
        <v>0</v>
      </c>
      <c r="N109" t="n">
        <v>0</v>
      </c>
      <c r="O109" t="n">
        <v>0</v>
      </c>
      <c r="P109" t="n">
        <v>0</v>
      </c>
      <c r="Q109" t="n">
        <v>0</v>
      </c>
      <c r="R109" s="2" t="inlineStr"/>
    </row>
    <row r="110" ht="15" customHeight="1">
      <c r="A110" t="inlineStr">
        <is>
          <t>A 21212-2019</t>
        </is>
      </c>
      <c r="B110" s="1" t="n">
        <v>43579</v>
      </c>
      <c r="C110" s="1" t="n">
        <v>45690</v>
      </c>
      <c r="D110" t="inlineStr">
        <is>
          <t>DALARNAS LÄN</t>
        </is>
      </c>
      <c r="E110" t="inlineStr">
        <is>
          <t>HEDEMORA</t>
        </is>
      </c>
      <c r="G110" t="n">
        <v>0.9</v>
      </c>
      <c r="H110" t="n">
        <v>0</v>
      </c>
      <c r="I110" t="n">
        <v>0</v>
      </c>
      <c r="J110" t="n">
        <v>0</v>
      </c>
      <c r="K110" t="n">
        <v>0</v>
      </c>
      <c r="L110" t="n">
        <v>0</v>
      </c>
      <c r="M110" t="n">
        <v>0</v>
      </c>
      <c r="N110" t="n">
        <v>0</v>
      </c>
      <c r="O110" t="n">
        <v>0</v>
      </c>
      <c r="P110" t="n">
        <v>0</v>
      </c>
      <c r="Q110" t="n">
        <v>0</v>
      </c>
      <c r="R110" s="2" t="inlineStr"/>
    </row>
    <row r="111" ht="15" customHeight="1">
      <c r="A111" t="inlineStr">
        <is>
          <t>A 22494-2019</t>
        </is>
      </c>
      <c r="B111" s="1" t="n">
        <v>43587</v>
      </c>
      <c r="C111" s="1" t="n">
        <v>45690</v>
      </c>
      <c r="D111" t="inlineStr">
        <is>
          <t>DALARNAS LÄN</t>
        </is>
      </c>
      <c r="E111" t="inlineStr">
        <is>
          <t>HEDEMORA</t>
        </is>
      </c>
      <c r="G111" t="n">
        <v>5.3</v>
      </c>
      <c r="H111" t="n">
        <v>0</v>
      </c>
      <c r="I111" t="n">
        <v>0</v>
      </c>
      <c r="J111" t="n">
        <v>0</v>
      </c>
      <c r="K111" t="n">
        <v>0</v>
      </c>
      <c r="L111" t="n">
        <v>0</v>
      </c>
      <c r="M111" t="n">
        <v>0</v>
      </c>
      <c r="N111" t="n">
        <v>0</v>
      </c>
      <c r="O111" t="n">
        <v>0</v>
      </c>
      <c r="P111" t="n">
        <v>0</v>
      </c>
      <c r="Q111" t="n">
        <v>0</v>
      </c>
      <c r="R111" s="2" t="inlineStr"/>
    </row>
    <row r="112" ht="15" customHeight="1">
      <c r="A112" t="inlineStr">
        <is>
          <t>A 22810-2019</t>
        </is>
      </c>
      <c r="B112" s="1" t="n">
        <v>43590</v>
      </c>
      <c r="C112" s="1" t="n">
        <v>45690</v>
      </c>
      <c r="D112" t="inlineStr">
        <is>
          <t>DALARNAS LÄN</t>
        </is>
      </c>
      <c r="E112" t="inlineStr">
        <is>
          <t>HEDEMORA</t>
        </is>
      </c>
      <c r="G112" t="n">
        <v>0.5</v>
      </c>
      <c r="H112" t="n">
        <v>0</v>
      </c>
      <c r="I112" t="n">
        <v>0</v>
      </c>
      <c r="J112" t="n">
        <v>0</v>
      </c>
      <c r="K112" t="n">
        <v>0</v>
      </c>
      <c r="L112" t="n">
        <v>0</v>
      </c>
      <c r="M112" t="n">
        <v>0</v>
      </c>
      <c r="N112" t="n">
        <v>0</v>
      </c>
      <c r="O112" t="n">
        <v>0</v>
      </c>
      <c r="P112" t="n">
        <v>0</v>
      </c>
      <c r="Q112" t="n">
        <v>0</v>
      </c>
      <c r="R112" s="2" t="inlineStr"/>
    </row>
    <row r="113" ht="15" customHeight="1">
      <c r="A113" t="inlineStr">
        <is>
          <t>A 23492-2019</t>
        </is>
      </c>
      <c r="B113" s="1" t="n">
        <v>43594</v>
      </c>
      <c r="C113" s="1" t="n">
        <v>45690</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23804-2019</t>
        </is>
      </c>
      <c r="B114" s="1" t="n">
        <v>43595</v>
      </c>
      <c r="C114" s="1" t="n">
        <v>45690</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23808-2019</t>
        </is>
      </c>
      <c r="B115" s="1" t="n">
        <v>43595</v>
      </c>
      <c r="C115" s="1" t="n">
        <v>45690</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24904-2019</t>
        </is>
      </c>
      <c r="B116" s="1" t="n">
        <v>43602</v>
      </c>
      <c r="C116" s="1" t="n">
        <v>45690</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26162-2019</t>
        </is>
      </c>
      <c r="B117" s="1" t="n">
        <v>43609</v>
      </c>
      <c r="C117" s="1" t="n">
        <v>45690</v>
      </c>
      <c r="D117" t="inlineStr">
        <is>
          <t>DALARNAS LÄN</t>
        </is>
      </c>
      <c r="E117" t="inlineStr">
        <is>
          <t>HEDEMORA</t>
        </is>
      </c>
      <c r="F117" t="inlineStr">
        <is>
          <t>Sveaskog</t>
        </is>
      </c>
      <c r="G117" t="n">
        <v>12.8</v>
      </c>
      <c r="H117" t="n">
        <v>0</v>
      </c>
      <c r="I117" t="n">
        <v>0</v>
      </c>
      <c r="J117" t="n">
        <v>0</v>
      </c>
      <c r="K117" t="n">
        <v>0</v>
      </c>
      <c r="L117" t="n">
        <v>0</v>
      </c>
      <c r="M117" t="n">
        <v>0</v>
      </c>
      <c r="N117" t="n">
        <v>0</v>
      </c>
      <c r="O117" t="n">
        <v>0</v>
      </c>
      <c r="P117" t="n">
        <v>0</v>
      </c>
      <c r="Q117" t="n">
        <v>0</v>
      </c>
      <c r="R117" s="2" t="inlineStr"/>
    </row>
    <row r="118" ht="15" customHeight="1">
      <c r="A118" t="inlineStr">
        <is>
          <t>A 26167-2019</t>
        </is>
      </c>
      <c r="B118" s="1" t="n">
        <v>43609</v>
      </c>
      <c r="C118" s="1" t="n">
        <v>45690</v>
      </c>
      <c r="D118" t="inlineStr">
        <is>
          <t>DALARNAS LÄN</t>
        </is>
      </c>
      <c r="E118" t="inlineStr">
        <is>
          <t>HEDEMORA</t>
        </is>
      </c>
      <c r="F118" t="inlineStr">
        <is>
          <t>Sveaskog</t>
        </is>
      </c>
      <c r="G118" t="n">
        <v>7</v>
      </c>
      <c r="H118" t="n">
        <v>0</v>
      </c>
      <c r="I118" t="n">
        <v>0</v>
      </c>
      <c r="J118" t="n">
        <v>0</v>
      </c>
      <c r="K118" t="n">
        <v>0</v>
      </c>
      <c r="L118" t="n">
        <v>0</v>
      </c>
      <c r="M118" t="n">
        <v>0</v>
      </c>
      <c r="N118" t="n">
        <v>0</v>
      </c>
      <c r="O118" t="n">
        <v>0</v>
      </c>
      <c r="P118" t="n">
        <v>0</v>
      </c>
      <c r="Q118" t="n">
        <v>0</v>
      </c>
      <c r="R118" s="2" t="inlineStr"/>
    </row>
    <row r="119" ht="15" customHeight="1">
      <c r="A119" t="inlineStr">
        <is>
          <t>A 27393-2019</t>
        </is>
      </c>
      <c r="B119" s="1" t="n">
        <v>43616</v>
      </c>
      <c r="C119" s="1" t="n">
        <v>45690</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27949-2019</t>
        </is>
      </c>
      <c r="B120" s="1" t="n">
        <v>43620</v>
      </c>
      <c r="C120" s="1" t="n">
        <v>45690</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28696-2019</t>
        </is>
      </c>
      <c r="B121" s="1" t="n">
        <v>43627</v>
      </c>
      <c r="C121" s="1" t="n">
        <v>45690</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30497-2019</t>
        </is>
      </c>
      <c r="B122" s="1" t="n">
        <v>43635</v>
      </c>
      <c r="C122" s="1" t="n">
        <v>45690</v>
      </c>
      <c r="D122" t="inlineStr">
        <is>
          <t>DALARNAS LÄN</t>
        </is>
      </c>
      <c r="E122" t="inlineStr">
        <is>
          <t>HEDEMORA</t>
        </is>
      </c>
      <c r="G122" t="n">
        <v>2.2</v>
      </c>
      <c r="H122" t="n">
        <v>0</v>
      </c>
      <c r="I122" t="n">
        <v>0</v>
      </c>
      <c r="J122" t="n">
        <v>0</v>
      </c>
      <c r="K122" t="n">
        <v>0</v>
      </c>
      <c r="L122" t="n">
        <v>0</v>
      </c>
      <c r="M122" t="n">
        <v>0</v>
      </c>
      <c r="N122" t="n">
        <v>0</v>
      </c>
      <c r="O122" t="n">
        <v>0</v>
      </c>
      <c r="P122" t="n">
        <v>0</v>
      </c>
      <c r="Q122" t="n">
        <v>0</v>
      </c>
      <c r="R122" s="2" t="inlineStr"/>
    </row>
    <row r="123" ht="15" customHeight="1">
      <c r="A123" t="inlineStr">
        <is>
          <t>A 30687-2019</t>
        </is>
      </c>
      <c r="B123" s="1" t="n">
        <v>43636</v>
      </c>
      <c r="C123" s="1" t="n">
        <v>45690</v>
      </c>
      <c r="D123" t="inlineStr">
        <is>
          <t>DALARNAS LÄN</t>
        </is>
      </c>
      <c r="E123" t="inlineStr">
        <is>
          <t>HEDEMORA</t>
        </is>
      </c>
      <c r="G123" t="n">
        <v>0.6</v>
      </c>
      <c r="H123" t="n">
        <v>0</v>
      </c>
      <c r="I123" t="n">
        <v>0</v>
      </c>
      <c r="J123" t="n">
        <v>0</v>
      </c>
      <c r="K123" t="n">
        <v>0</v>
      </c>
      <c r="L123" t="n">
        <v>0</v>
      </c>
      <c r="M123" t="n">
        <v>0</v>
      </c>
      <c r="N123" t="n">
        <v>0</v>
      </c>
      <c r="O123" t="n">
        <v>0</v>
      </c>
      <c r="P123" t="n">
        <v>0</v>
      </c>
      <c r="Q123" t="n">
        <v>0</v>
      </c>
      <c r="R123" s="2" t="inlineStr"/>
    </row>
    <row r="124" ht="15" customHeight="1">
      <c r="A124" t="inlineStr">
        <is>
          <t>A 34027-2019</t>
        </is>
      </c>
      <c r="B124" s="1" t="n">
        <v>43654</v>
      </c>
      <c r="C124" s="1" t="n">
        <v>45690</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35855-2019</t>
        </is>
      </c>
      <c r="B125" s="1" t="n">
        <v>43665</v>
      </c>
      <c r="C125" s="1" t="n">
        <v>45690</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40919-2019</t>
        </is>
      </c>
      <c r="B126" s="1" t="n">
        <v>43697</v>
      </c>
      <c r="C126" s="1" t="n">
        <v>45690</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41399-2019</t>
        </is>
      </c>
      <c r="B127" s="1" t="n">
        <v>43698</v>
      </c>
      <c r="C127" s="1" t="n">
        <v>45690</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43530-2019</t>
        </is>
      </c>
      <c r="B128" s="1" t="n">
        <v>43706</v>
      </c>
      <c r="C128" s="1" t="n">
        <v>45690</v>
      </c>
      <c r="D128" t="inlineStr">
        <is>
          <t>DALARNAS LÄN</t>
        </is>
      </c>
      <c r="E128" t="inlineStr">
        <is>
          <t>HEDEMORA</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46775-2019</t>
        </is>
      </c>
      <c r="B129" s="1" t="n">
        <v>43720</v>
      </c>
      <c r="C129" s="1" t="n">
        <v>45690</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46795-2019</t>
        </is>
      </c>
      <c r="B130" s="1" t="n">
        <v>43720</v>
      </c>
      <c r="C130" s="1" t="n">
        <v>45690</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47882-2019</t>
        </is>
      </c>
      <c r="B131" s="1" t="n">
        <v>43725</v>
      </c>
      <c r="C131" s="1" t="n">
        <v>45690</v>
      </c>
      <c r="D131" t="inlineStr">
        <is>
          <t>DALARNAS LÄN</t>
        </is>
      </c>
      <c r="E131" t="inlineStr">
        <is>
          <t>HEDEMORA</t>
        </is>
      </c>
      <c r="F131" t="inlineStr">
        <is>
          <t>Sveaskog</t>
        </is>
      </c>
      <c r="G131" t="n">
        <v>4.7</v>
      </c>
      <c r="H131" t="n">
        <v>0</v>
      </c>
      <c r="I131" t="n">
        <v>0</v>
      </c>
      <c r="J131" t="n">
        <v>0</v>
      </c>
      <c r="K131" t="n">
        <v>0</v>
      </c>
      <c r="L131" t="n">
        <v>0</v>
      </c>
      <c r="M131" t="n">
        <v>0</v>
      </c>
      <c r="N131" t="n">
        <v>0</v>
      </c>
      <c r="O131" t="n">
        <v>0</v>
      </c>
      <c r="P131" t="n">
        <v>0</v>
      </c>
      <c r="Q131" t="n">
        <v>0</v>
      </c>
      <c r="R131" s="2" t="inlineStr"/>
    </row>
    <row r="132" ht="15" customHeight="1">
      <c r="A132" t="inlineStr">
        <is>
          <t>A 49197-2019</t>
        </is>
      </c>
      <c r="B132" s="1" t="n">
        <v>43731</v>
      </c>
      <c r="C132" s="1" t="n">
        <v>45690</v>
      </c>
      <c r="D132" t="inlineStr">
        <is>
          <t>DALARNAS LÄN</t>
        </is>
      </c>
      <c r="E132" t="inlineStr">
        <is>
          <t>HEDEMORA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49300-2019</t>
        </is>
      </c>
      <c r="B133" s="1" t="n">
        <v>43731</v>
      </c>
      <c r="C133" s="1" t="n">
        <v>45690</v>
      </c>
      <c r="D133" t="inlineStr">
        <is>
          <t>DALARNAS LÄN</t>
        </is>
      </c>
      <c r="E133" t="inlineStr">
        <is>
          <t>HEDEMORA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49324-2019</t>
        </is>
      </c>
      <c r="B134" s="1" t="n">
        <v>43731</v>
      </c>
      <c r="C134" s="1" t="n">
        <v>45690</v>
      </c>
      <c r="D134" t="inlineStr">
        <is>
          <t>DALARNAS LÄN</t>
        </is>
      </c>
      <c r="E134" t="inlineStr">
        <is>
          <t>HEDEMORA</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50183-2019</t>
        </is>
      </c>
      <c r="B135" s="1" t="n">
        <v>43734</v>
      </c>
      <c r="C135" s="1" t="n">
        <v>45690</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51877-2019</t>
        </is>
      </c>
      <c r="B136" s="1" t="n">
        <v>43741</v>
      </c>
      <c r="C136" s="1" t="n">
        <v>45690</v>
      </c>
      <c r="D136" t="inlineStr">
        <is>
          <t>DALARNAS LÄN</t>
        </is>
      </c>
      <c r="E136" t="inlineStr">
        <is>
          <t>HEDEMORA</t>
        </is>
      </c>
      <c r="G136" t="n">
        <v>3.3</v>
      </c>
      <c r="H136" t="n">
        <v>0</v>
      </c>
      <c r="I136" t="n">
        <v>0</v>
      </c>
      <c r="J136" t="n">
        <v>0</v>
      </c>
      <c r="K136" t="n">
        <v>0</v>
      </c>
      <c r="L136" t="n">
        <v>0</v>
      </c>
      <c r="M136" t="n">
        <v>0</v>
      </c>
      <c r="N136" t="n">
        <v>0</v>
      </c>
      <c r="O136" t="n">
        <v>0</v>
      </c>
      <c r="P136" t="n">
        <v>0</v>
      </c>
      <c r="Q136" t="n">
        <v>0</v>
      </c>
      <c r="R136" s="2" t="inlineStr"/>
    </row>
    <row r="137" ht="15" customHeight="1">
      <c r="A137" t="inlineStr">
        <is>
          <t>A 53323-2019</t>
        </is>
      </c>
      <c r="B137" s="1" t="n">
        <v>43748</v>
      </c>
      <c r="C137" s="1" t="n">
        <v>45690</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54358-2019</t>
        </is>
      </c>
      <c r="B138" s="1" t="n">
        <v>43754</v>
      </c>
      <c r="C138" s="1" t="n">
        <v>45690</v>
      </c>
      <c r="D138" t="inlineStr">
        <is>
          <t>DALARNAS LÄN</t>
        </is>
      </c>
      <c r="E138" t="inlineStr">
        <is>
          <t>HEDEMORA</t>
        </is>
      </c>
      <c r="G138" t="n">
        <v>5.2</v>
      </c>
      <c r="H138" t="n">
        <v>0</v>
      </c>
      <c r="I138" t="n">
        <v>0</v>
      </c>
      <c r="J138" t="n">
        <v>0</v>
      </c>
      <c r="K138" t="n">
        <v>0</v>
      </c>
      <c r="L138" t="n">
        <v>0</v>
      </c>
      <c r="M138" t="n">
        <v>0</v>
      </c>
      <c r="N138" t="n">
        <v>0</v>
      </c>
      <c r="O138" t="n">
        <v>0</v>
      </c>
      <c r="P138" t="n">
        <v>0</v>
      </c>
      <c r="Q138" t="n">
        <v>0</v>
      </c>
      <c r="R138" s="2" t="inlineStr"/>
    </row>
    <row r="139" ht="15" customHeight="1">
      <c r="A139" t="inlineStr">
        <is>
          <t>A 60139-2019</t>
        </is>
      </c>
      <c r="B139" s="1" t="n">
        <v>43779</v>
      </c>
      <c r="C139" s="1" t="n">
        <v>45690</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60319-2019</t>
        </is>
      </c>
      <c r="B140" s="1" t="n">
        <v>43780</v>
      </c>
      <c r="C140" s="1" t="n">
        <v>45690</v>
      </c>
      <c r="D140" t="inlineStr">
        <is>
          <t>DALARNAS LÄN</t>
        </is>
      </c>
      <c r="E140" t="inlineStr">
        <is>
          <t>HEDEMORA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60318-2019</t>
        </is>
      </c>
      <c r="B141" s="1" t="n">
        <v>43780</v>
      </c>
      <c r="C141" s="1" t="n">
        <v>45690</v>
      </c>
      <c r="D141" t="inlineStr">
        <is>
          <t>DALARNAS LÄN</t>
        </is>
      </c>
      <c r="E141" t="inlineStr">
        <is>
          <t>HEDEMORA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60461-2019</t>
        </is>
      </c>
      <c r="B142" s="1" t="n">
        <v>43780</v>
      </c>
      <c r="C142" s="1" t="n">
        <v>45690</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60543-2019</t>
        </is>
      </c>
      <c r="B143" s="1" t="n">
        <v>43781</v>
      </c>
      <c r="C143" s="1" t="n">
        <v>45690</v>
      </c>
      <c r="D143" t="inlineStr">
        <is>
          <t>DALARNAS LÄN</t>
        </is>
      </c>
      <c r="E143" t="inlineStr">
        <is>
          <t>HEDEMORA</t>
        </is>
      </c>
      <c r="G143" t="n">
        <v>4.6</v>
      </c>
      <c r="H143" t="n">
        <v>0</v>
      </c>
      <c r="I143" t="n">
        <v>0</v>
      </c>
      <c r="J143" t="n">
        <v>0</v>
      </c>
      <c r="K143" t="n">
        <v>0</v>
      </c>
      <c r="L143" t="n">
        <v>0</v>
      </c>
      <c r="M143" t="n">
        <v>0</v>
      </c>
      <c r="N143" t="n">
        <v>0</v>
      </c>
      <c r="O143" t="n">
        <v>0</v>
      </c>
      <c r="P143" t="n">
        <v>0</v>
      </c>
      <c r="Q143" t="n">
        <v>0</v>
      </c>
      <c r="R143" s="2" t="inlineStr"/>
    </row>
    <row r="144" ht="15" customHeight="1">
      <c r="A144" t="inlineStr">
        <is>
          <t>A 60529-2019</t>
        </is>
      </c>
      <c r="B144" s="1" t="n">
        <v>43781</v>
      </c>
      <c r="C144" s="1" t="n">
        <v>45690</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60556-2019</t>
        </is>
      </c>
      <c r="B145" s="1" t="n">
        <v>43781</v>
      </c>
      <c r="C145" s="1" t="n">
        <v>45690</v>
      </c>
      <c r="D145" t="inlineStr">
        <is>
          <t>DALARNAS LÄN</t>
        </is>
      </c>
      <c r="E145" t="inlineStr">
        <is>
          <t>HEDEMORA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61007-2019</t>
        </is>
      </c>
      <c r="B146" s="1" t="n">
        <v>43782</v>
      </c>
      <c r="C146" s="1" t="n">
        <v>45690</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61382-2019</t>
        </is>
      </c>
      <c r="B147" s="1" t="n">
        <v>43783</v>
      </c>
      <c r="C147" s="1" t="n">
        <v>45690</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63101-2019</t>
        </is>
      </c>
      <c r="B148" s="1" t="n">
        <v>43791</v>
      </c>
      <c r="C148" s="1" t="n">
        <v>45690</v>
      </c>
      <c r="D148" t="inlineStr">
        <is>
          <t>DALARNAS LÄN</t>
        </is>
      </c>
      <c r="E148" t="inlineStr">
        <is>
          <t>HEDEMORA</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65308-2019</t>
        </is>
      </c>
      <c r="B149" s="1" t="n">
        <v>43802</v>
      </c>
      <c r="C149" s="1" t="n">
        <v>45690</v>
      </c>
      <c r="D149" t="inlineStr">
        <is>
          <t>DALARNAS LÄN</t>
        </is>
      </c>
      <c r="E149" t="inlineStr">
        <is>
          <t>HEDEMORA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65315-2019</t>
        </is>
      </c>
      <c r="B150" s="1" t="n">
        <v>43802</v>
      </c>
      <c r="C150" s="1" t="n">
        <v>45690</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68856-2019</t>
        </is>
      </c>
      <c r="B151" s="1" t="n">
        <v>43820</v>
      </c>
      <c r="C151" s="1" t="n">
        <v>45690</v>
      </c>
      <c r="D151" t="inlineStr">
        <is>
          <t>DALARNAS LÄN</t>
        </is>
      </c>
      <c r="E151" t="inlineStr">
        <is>
          <t>HEDEMORA</t>
        </is>
      </c>
      <c r="G151" t="n">
        <v>17.6</v>
      </c>
      <c r="H151" t="n">
        <v>0</v>
      </c>
      <c r="I151" t="n">
        <v>0</v>
      </c>
      <c r="J151" t="n">
        <v>0</v>
      </c>
      <c r="K151" t="n">
        <v>0</v>
      </c>
      <c r="L151" t="n">
        <v>0</v>
      </c>
      <c r="M151" t="n">
        <v>0</v>
      </c>
      <c r="N151" t="n">
        <v>0</v>
      </c>
      <c r="O151" t="n">
        <v>0</v>
      </c>
      <c r="P151" t="n">
        <v>0</v>
      </c>
      <c r="Q151" t="n">
        <v>0</v>
      </c>
      <c r="R151" s="2" t="inlineStr"/>
    </row>
    <row r="152" ht="15" customHeight="1">
      <c r="A152" t="inlineStr">
        <is>
          <t>A 1215-2020</t>
        </is>
      </c>
      <c r="B152" s="1" t="n">
        <v>43840</v>
      </c>
      <c r="C152" s="1" t="n">
        <v>45690</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2390-2020</t>
        </is>
      </c>
      <c r="B153" s="1" t="n">
        <v>43847</v>
      </c>
      <c r="C153" s="1" t="n">
        <v>45690</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2846-2020</t>
        </is>
      </c>
      <c r="B154" s="1" t="n">
        <v>43850</v>
      </c>
      <c r="C154" s="1" t="n">
        <v>45690</v>
      </c>
      <c r="D154" t="inlineStr">
        <is>
          <t>DALARNAS LÄN</t>
        </is>
      </c>
      <c r="E154" t="inlineStr">
        <is>
          <t>HEDEMORA</t>
        </is>
      </c>
      <c r="G154" t="n">
        <v>4.2</v>
      </c>
      <c r="H154" t="n">
        <v>0</v>
      </c>
      <c r="I154" t="n">
        <v>0</v>
      </c>
      <c r="J154" t="n">
        <v>0</v>
      </c>
      <c r="K154" t="n">
        <v>0</v>
      </c>
      <c r="L154" t="n">
        <v>0</v>
      </c>
      <c r="M154" t="n">
        <v>0</v>
      </c>
      <c r="N154" t="n">
        <v>0</v>
      </c>
      <c r="O154" t="n">
        <v>0</v>
      </c>
      <c r="P154" t="n">
        <v>0</v>
      </c>
      <c r="Q154" t="n">
        <v>0</v>
      </c>
      <c r="R154" s="2" t="inlineStr"/>
    </row>
    <row r="155" ht="15" customHeight="1">
      <c r="A155" t="inlineStr">
        <is>
          <t>A 2915-2020</t>
        </is>
      </c>
      <c r="B155" s="1" t="n">
        <v>43850</v>
      </c>
      <c r="C155" s="1" t="n">
        <v>45690</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3127-2020</t>
        </is>
      </c>
      <c r="B156" s="1" t="n">
        <v>43851</v>
      </c>
      <c r="C156" s="1" t="n">
        <v>45690</v>
      </c>
      <c r="D156" t="inlineStr">
        <is>
          <t>DALARNAS LÄN</t>
        </is>
      </c>
      <c r="E156" t="inlineStr">
        <is>
          <t>HEDEMORA</t>
        </is>
      </c>
      <c r="G156" t="n">
        <v>1.5</v>
      </c>
      <c r="H156" t="n">
        <v>0</v>
      </c>
      <c r="I156" t="n">
        <v>0</v>
      </c>
      <c r="J156" t="n">
        <v>0</v>
      </c>
      <c r="K156" t="n">
        <v>0</v>
      </c>
      <c r="L156" t="n">
        <v>0</v>
      </c>
      <c r="M156" t="n">
        <v>0</v>
      </c>
      <c r="N156" t="n">
        <v>0</v>
      </c>
      <c r="O156" t="n">
        <v>0</v>
      </c>
      <c r="P156" t="n">
        <v>0</v>
      </c>
      <c r="Q156" t="n">
        <v>0</v>
      </c>
      <c r="R156" s="2" t="inlineStr"/>
    </row>
    <row r="157" ht="15" customHeight="1">
      <c r="A157" t="inlineStr">
        <is>
          <t>A 5353-2020</t>
        </is>
      </c>
      <c r="B157" s="1" t="n">
        <v>43860</v>
      </c>
      <c r="C157" s="1" t="n">
        <v>45690</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5752-2020</t>
        </is>
      </c>
      <c r="B158" s="1" t="n">
        <v>43864</v>
      </c>
      <c r="C158" s="1" t="n">
        <v>45690</v>
      </c>
      <c r="D158" t="inlineStr">
        <is>
          <t>DALARNAS LÄN</t>
        </is>
      </c>
      <c r="E158" t="inlineStr">
        <is>
          <t>HEDEMORA</t>
        </is>
      </c>
      <c r="G158" t="n">
        <v>2.6</v>
      </c>
      <c r="H158" t="n">
        <v>0</v>
      </c>
      <c r="I158" t="n">
        <v>0</v>
      </c>
      <c r="J158" t="n">
        <v>0</v>
      </c>
      <c r="K158" t="n">
        <v>0</v>
      </c>
      <c r="L158" t="n">
        <v>0</v>
      </c>
      <c r="M158" t="n">
        <v>0</v>
      </c>
      <c r="N158" t="n">
        <v>0</v>
      </c>
      <c r="O158" t="n">
        <v>0</v>
      </c>
      <c r="P158" t="n">
        <v>0</v>
      </c>
      <c r="Q158" t="n">
        <v>0</v>
      </c>
      <c r="R158" s="2" t="inlineStr"/>
    </row>
    <row r="159" ht="15" customHeight="1">
      <c r="A159" t="inlineStr">
        <is>
          <t>A 5763-2020</t>
        </is>
      </c>
      <c r="B159" s="1" t="n">
        <v>43864</v>
      </c>
      <c r="C159" s="1" t="n">
        <v>45690</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5950-2020</t>
        </is>
      </c>
      <c r="B160" s="1" t="n">
        <v>43864</v>
      </c>
      <c r="C160" s="1" t="n">
        <v>45690</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6795-2020</t>
        </is>
      </c>
      <c r="B161" s="1" t="n">
        <v>43867</v>
      </c>
      <c r="C161" s="1" t="n">
        <v>45690</v>
      </c>
      <c r="D161" t="inlineStr">
        <is>
          <t>DALARNAS LÄN</t>
        </is>
      </c>
      <c r="E161" t="inlineStr">
        <is>
          <t>HEDEMORA</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6794-2020</t>
        </is>
      </c>
      <c r="B162" s="1" t="n">
        <v>43867</v>
      </c>
      <c r="C162" s="1" t="n">
        <v>45690</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7209-2020</t>
        </is>
      </c>
      <c r="B163" s="1" t="n">
        <v>43871</v>
      </c>
      <c r="C163" s="1" t="n">
        <v>45690</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7434-2020</t>
        </is>
      </c>
      <c r="B164" s="1" t="n">
        <v>43871</v>
      </c>
      <c r="C164" s="1" t="n">
        <v>45690</v>
      </c>
      <c r="D164" t="inlineStr">
        <is>
          <t>DALARNAS LÄN</t>
        </is>
      </c>
      <c r="E164" t="inlineStr">
        <is>
          <t>HEDEMORA</t>
        </is>
      </c>
      <c r="G164" t="n">
        <v>4.3</v>
      </c>
      <c r="H164" t="n">
        <v>0</v>
      </c>
      <c r="I164" t="n">
        <v>0</v>
      </c>
      <c r="J164" t="n">
        <v>0</v>
      </c>
      <c r="K164" t="n">
        <v>0</v>
      </c>
      <c r="L164" t="n">
        <v>0</v>
      </c>
      <c r="M164" t="n">
        <v>0</v>
      </c>
      <c r="N164" t="n">
        <v>0</v>
      </c>
      <c r="O164" t="n">
        <v>0</v>
      </c>
      <c r="P164" t="n">
        <v>0</v>
      </c>
      <c r="Q164" t="n">
        <v>0</v>
      </c>
      <c r="R164" s="2" t="inlineStr"/>
    </row>
    <row r="165" ht="15" customHeight="1">
      <c r="A165" t="inlineStr">
        <is>
          <t>A 8181-2020</t>
        </is>
      </c>
      <c r="B165" s="1" t="n">
        <v>43874</v>
      </c>
      <c r="C165" s="1" t="n">
        <v>45690</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8489-2020</t>
        </is>
      </c>
      <c r="B166" s="1" t="n">
        <v>43875</v>
      </c>
      <c r="C166" s="1" t="n">
        <v>45690</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45690</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45690</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45690</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45690</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45690</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45690</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45690</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45690</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45690</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45690</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45690</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45690</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45690</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45690</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45690</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45690</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45690</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45690</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45690</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45690</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45690</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25623-2020</t>
        </is>
      </c>
      <c r="B188" s="1" t="n">
        <v>43983</v>
      </c>
      <c r="C188" s="1" t="n">
        <v>45690</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25657-2020</t>
        </is>
      </c>
      <c r="B189" s="1" t="n">
        <v>43983</v>
      </c>
      <c r="C189" s="1" t="n">
        <v>45690</v>
      </c>
      <c r="D189" t="inlineStr">
        <is>
          <t>DALARNAS LÄN</t>
        </is>
      </c>
      <c r="E189" t="inlineStr">
        <is>
          <t>HEDEMORA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27050-2020</t>
        </is>
      </c>
      <c r="B190" s="1" t="n">
        <v>43991</v>
      </c>
      <c r="C190" s="1" t="n">
        <v>45690</v>
      </c>
      <c r="D190" t="inlineStr">
        <is>
          <t>DALARNAS LÄN</t>
        </is>
      </c>
      <c r="E190" t="inlineStr">
        <is>
          <t>HEDEMORA</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27076-2020</t>
        </is>
      </c>
      <c r="B191" s="1" t="n">
        <v>43991</v>
      </c>
      <c r="C191" s="1" t="n">
        <v>45690</v>
      </c>
      <c r="D191" t="inlineStr">
        <is>
          <t>DALARNAS LÄN</t>
        </is>
      </c>
      <c r="E191" t="inlineStr">
        <is>
          <t>HEDEMORA</t>
        </is>
      </c>
      <c r="F191" t="inlineStr">
        <is>
          <t>Övriga Aktiebolag</t>
        </is>
      </c>
      <c r="G191" t="n">
        <v>10.4</v>
      </c>
      <c r="H191" t="n">
        <v>0</v>
      </c>
      <c r="I191" t="n">
        <v>0</v>
      </c>
      <c r="J191" t="n">
        <v>0</v>
      </c>
      <c r="K191" t="n">
        <v>0</v>
      </c>
      <c r="L191" t="n">
        <v>0</v>
      </c>
      <c r="M191" t="n">
        <v>0</v>
      </c>
      <c r="N191" t="n">
        <v>0</v>
      </c>
      <c r="O191" t="n">
        <v>0</v>
      </c>
      <c r="P191" t="n">
        <v>0</v>
      </c>
      <c r="Q191" t="n">
        <v>0</v>
      </c>
      <c r="R191" s="2" t="inlineStr"/>
    </row>
    <row r="192" ht="15" customHeight="1">
      <c r="A192" t="inlineStr">
        <is>
          <t>A 31502-2020</t>
        </is>
      </c>
      <c r="B192" s="1" t="n">
        <v>44013</v>
      </c>
      <c r="C192" s="1" t="n">
        <v>45690</v>
      </c>
      <c r="D192" t="inlineStr">
        <is>
          <t>DALARNAS LÄN</t>
        </is>
      </c>
      <c r="E192" t="inlineStr">
        <is>
          <t>HEDEMORA</t>
        </is>
      </c>
      <c r="F192" t="inlineStr">
        <is>
          <t>Bergvik skog väst AB</t>
        </is>
      </c>
      <c r="G192" t="n">
        <v>10.2</v>
      </c>
      <c r="H192" t="n">
        <v>0</v>
      </c>
      <c r="I192" t="n">
        <v>0</v>
      </c>
      <c r="J192" t="n">
        <v>0</v>
      </c>
      <c r="K192" t="n">
        <v>0</v>
      </c>
      <c r="L192" t="n">
        <v>0</v>
      </c>
      <c r="M192" t="n">
        <v>0</v>
      </c>
      <c r="N192" t="n">
        <v>0</v>
      </c>
      <c r="O192" t="n">
        <v>0</v>
      </c>
      <c r="P192" t="n">
        <v>0</v>
      </c>
      <c r="Q192" t="n">
        <v>0</v>
      </c>
      <c r="R192" s="2" t="inlineStr"/>
    </row>
    <row r="193" ht="15" customHeight="1">
      <c r="A193" t="inlineStr">
        <is>
          <t>A 31579-2020</t>
        </is>
      </c>
      <c r="B193" s="1" t="n">
        <v>44013</v>
      </c>
      <c r="C193" s="1" t="n">
        <v>45690</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32508-2020</t>
        </is>
      </c>
      <c r="B194" s="1" t="n">
        <v>44018</v>
      </c>
      <c r="C194" s="1" t="n">
        <v>45690</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35786-2020</t>
        </is>
      </c>
      <c r="B195" s="1" t="n">
        <v>44046</v>
      </c>
      <c r="C195" s="1" t="n">
        <v>45690</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40865-2020</t>
        </is>
      </c>
      <c r="B196" s="1" t="n">
        <v>44070</v>
      </c>
      <c r="C196" s="1" t="n">
        <v>45690</v>
      </c>
      <c r="D196" t="inlineStr">
        <is>
          <t>DALARNAS LÄN</t>
        </is>
      </c>
      <c r="E196" t="inlineStr">
        <is>
          <t>HEDEMORA</t>
        </is>
      </c>
      <c r="G196" t="n">
        <v>6.1</v>
      </c>
      <c r="H196" t="n">
        <v>0</v>
      </c>
      <c r="I196" t="n">
        <v>0</v>
      </c>
      <c r="J196" t="n">
        <v>0</v>
      </c>
      <c r="K196" t="n">
        <v>0</v>
      </c>
      <c r="L196" t="n">
        <v>0</v>
      </c>
      <c r="M196" t="n">
        <v>0</v>
      </c>
      <c r="N196" t="n">
        <v>0</v>
      </c>
      <c r="O196" t="n">
        <v>0</v>
      </c>
      <c r="P196" t="n">
        <v>0</v>
      </c>
      <c r="Q196" t="n">
        <v>0</v>
      </c>
      <c r="R196" s="2" t="inlineStr"/>
    </row>
    <row r="197" ht="15" customHeight="1">
      <c r="A197" t="inlineStr">
        <is>
          <t>A 40868-2020</t>
        </is>
      </c>
      <c r="B197" s="1" t="n">
        <v>44070</v>
      </c>
      <c r="C197" s="1" t="n">
        <v>45690</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42929-2020</t>
        </is>
      </c>
      <c r="B198" s="1" t="n">
        <v>44078</v>
      </c>
      <c r="C198" s="1" t="n">
        <v>45690</v>
      </c>
      <c r="D198" t="inlineStr">
        <is>
          <t>DALARNAS LÄN</t>
        </is>
      </c>
      <c r="E198" t="inlineStr">
        <is>
          <t>HEDEMORA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44110-2020</t>
        </is>
      </c>
      <c r="B199" s="1" t="n">
        <v>44083</v>
      </c>
      <c r="C199" s="1" t="n">
        <v>45690</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44098-2020</t>
        </is>
      </c>
      <c r="B200" s="1" t="n">
        <v>44083</v>
      </c>
      <c r="C200" s="1" t="n">
        <v>45690</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45616-2020</t>
        </is>
      </c>
      <c r="B201" s="1" t="n">
        <v>44084</v>
      </c>
      <c r="C201" s="1" t="n">
        <v>45690</v>
      </c>
      <c r="D201" t="inlineStr">
        <is>
          <t>DALARNAS LÄN</t>
        </is>
      </c>
      <c r="E201" t="inlineStr">
        <is>
          <t>HEDEMORA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45392-2020</t>
        </is>
      </c>
      <c r="B202" s="1" t="n">
        <v>44085</v>
      </c>
      <c r="C202" s="1" t="n">
        <v>45690</v>
      </c>
      <c r="D202" t="inlineStr">
        <is>
          <t>DALARNAS LÄN</t>
        </is>
      </c>
      <c r="E202" t="inlineStr">
        <is>
          <t>HEDEMORA</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46393-2020</t>
        </is>
      </c>
      <c r="B203" s="1" t="n">
        <v>44093</v>
      </c>
      <c r="C203" s="1" t="n">
        <v>45690</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46391-2020</t>
        </is>
      </c>
      <c r="B204" s="1" t="n">
        <v>44093</v>
      </c>
      <c r="C204" s="1" t="n">
        <v>45690</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46392-2020</t>
        </is>
      </c>
      <c r="B205" s="1" t="n">
        <v>44093</v>
      </c>
      <c r="C205" s="1" t="n">
        <v>45690</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49271-2020</t>
        </is>
      </c>
      <c r="B206" s="1" t="n">
        <v>44105</v>
      </c>
      <c r="C206" s="1" t="n">
        <v>45690</v>
      </c>
      <c r="D206" t="inlineStr">
        <is>
          <t>DALARNAS LÄN</t>
        </is>
      </c>
      <c r="E206" t="inlineStr">
        <is>
          <t>HEDEMORA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49760-2020</t>
        </is>
      </c>
      <c r="B207" s="1" t="n">
        <v>44106</v>
      </c>
      <c r="C207" s="1" t="n">
        <v>45690</v>
      </c>
      <c r="D207" t="inlineStr">
        <is>
          <t>DALARNAS LÄN</t>
        </is>
      </c>
      <c r="E207" t="inlineStr">
        <is>
          <t>HEDEMORA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49758-2020</t>
        </is>
      </c>
      <c r="B208" s="1" t="n">
        <v>44106</v>
      </c>
      <c r="C208" s="1" t="n">
        <v>45690</v>
      </c>
      <c r="D208" t="inlineStr">
        <is>
          <t>DALARNAS LÄN</t>
        </is>
      </c>
      <c r="E208" t="inlineStr">
        <is>
          <t>HEDEMORA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51495-2020</t>
        </is>
      </c>
      <c r="B209" s="1" t="n">
        <v>44113</v>
      </c>
      <c r="C209" s="1" t="n">
        <v>45690</v>
      </c>
      <c r="D209" t="inlineStr">
        <is>
          <t>DALARNAS LÄN</t>
        </is>
      </c>
      <c r="E209" t="inlineStr">
        <is>
          <t>HEDEMORA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54347-2020</t>
        </is>
      </c>
      <c r="B210" s="1" t="n">
        <v>44126</v>
      </c>
      <c r="C210" s="1" t="n">
        <v>45690</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57071-2020</t>
        </is>
      </c>
      <c r="B211" s="1" t="n">
        <v>44138</v>
      </c>
      <c r="C211" s="1" t="n">
        <v>45690</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57781-2020</t>
        </is>
      </c>
      <c r="B212" s="1" t="n">
        <v>44141</v>
      </c>
      <c r="C212" s="1" t="n">
        <v>45690</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57936-2020</t>
        </is>
      </c>
      <c r="B213" s="1" t="n">
        <v>44141</v>
      </c>
      <c r="C213" s="1" t="n">
        <v>45690</v>
      </c>
      <c r="D213" t="inlineStr">
        <is>
          <t>DALARNAS LÄN</t>
        </is>
      </c>
      <c r="E213" t="inlineStr">
        <is>
          <t>HEDEMORA</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57779-2020</t>
        </is>
      </c>
      <c r="B214" s="1" t="n">
        <v>44141</v>
      </c>
      <c r="C214" s="1" t="n">
        <v>45690</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58111-2020</t>
        </is>
      </c>
      <c r="B215" s="1" t="n">
        <v>44144</v>
      </c>
      <c r="C215" s="1" t="n">
        <v>45690</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59471-2020</t>
        </is>
      </c>
      <c r="B216" s="1" t="n">
        <v>44148</v>
      </c>
      <c r="C216" s="1" t="n">
        <v>45690</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62373-2020</t>
        </is>
      </c>
      <c r="B217" s="1" t="n">
        <v>44160</v>
      </c>
      <c r="C217" s="1" t="n">
        <v>45690</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c r="U217">
        <f>HYPERLINK("https://klasma.github.io/Logging_2083/knärot/A 62373-2020 karta knärot.png", "A 62373-2020")</f>
        <v/>
      </c>
      <c r="V217">
        <f>HYPERLINK("https://klasma.github.io/Logging_2083/klagomål/A 62373-2020 FSC-klagomål.docx", "A 62373-2020")</f>
        <v/>
      </c>
      <c r="W217">
        <f>HYPERLINK("https://klasma.github.io/Logging_2083/klagomålsmail/A 62373-2020 FSC-klagomål mail.docx", "A 62373-2020")</f>
        <v/>
      </c>
      <c r="X217">
        <f>HYPERLINK("https://klasma.github.io/Logging_2083/tillsyn/A 62373-2020 tillsynsbegäran.docx", "A 62373-2020")</f>
        <v/>
      </c>
      <c r="Y217">
        <f>HYPERLINK("https://klasma.github.io/Logging_2083/tillsynsmail/A 62373-2020 tillsynsbegäran mail.docx", "A 62373-2020")</f>
        <v/>
      </c>
    </row>
    <row r="218" ht="15" customHeight="1">
      <c r="A218" t="inlineStr">
        <is>
          <t>A 62412-2020</t>
        </is>
      </c>
      <c r="B218" s="1" t="n">
        <v>44160</v>
      </c>
      <c r="C218" s="1" t="n">
        <v>45690</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66064-2020</t>
        </is>
      </c>
      <c r="B219" s="1" t="n">
        <v>44175</v>
      </c>
      <c r="C219" s="1" t="n">
        <v>45690</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67062-2020</t>
        </is>
      </c>
      <c r="B220" s="1" t="n">
        <v>44180</v>
      </c>
      <c r="C220" s="1" t="n">
        <v>45690</v>
      </c>
      <c r="D220" t="inlineStr">
        <is>
          <t>DALARNAS LÄN</t>
        </is>
      </c>
      <c r="E220" t="inlineStr">
        <is>
          <t>HEDEMORA</t>
        </is>
      </c>
      <c r="G220" t="n">
        <v>2.9</v>
      </c>
      <c r="H220" t="n">
        <v>0</v>
      </c>
      <c r="I220" t="n">
        <v>0</v>
      </c>
      <c r="J220" t="n">
        <v>0</v>
      </c>
      <c r="K220" t="n">
        <v>0</v>
      </c>
      <c r="L220" t="n">
        <v>0</v>
      </c>
      <c r="M220" t="n">
        <v>0</v>
      </c>
      <c r="N220" t="n">
        <v>0</v>
      </c>
      <c r="O220" t="n">
        <v>0</v>
      </c>
      <c r="P220" t="n">
        <v>0</v>
      </c>
      <c r="Q220" t="n">
        <v>0</v>
      </c>
      <c r="R220" s="2" t="inlineStr"/>
    </row>
    <row r="221" ht="15" customHeight="1">
      <c r="A221" t="inlineStr">
        <is>
          <t>A 653-2021</t>
        </is>
      </c>
      <c r="B221" s="1" t="n">
        <v>44203</v>
      </c>
      <c r="C221" s="1" t="n">
        <v>45690</v>
      </c>
      <c r="D221" t="inlineStr">
        <is>
          <t>DALARNAS LÄN</t>
        </is>
      </c>
      <c r="E221" t="inlineStr">
        <is>
          <t>HEDEMORA</t>
        </is>
      </c>
      <c r="G221" t="n">
        <v>3.8</v>
      </c>
      <c r="H221" t="n">
        <v>0</v>
      </c>
      <c r="I221" t="n">
        <v>0</v>
      </c>
      <c r="J221" t="n">
        <v>0</v>
      </c>
      <c r="K221" t="n">
        <v>0</v>
      </c>
      <c r="L221" t="n">
        <v>0</v>
      </c>
      <c r="M221" t="n">
        <v>0</v>
      </c>
      <c r="N221" t="n">
        <v>0</v>
      </c>
      <c r="O221" t="n">
        <v>0</v>
      </c>
      <c r="P221" t="n">
        <v>0</v>
      </c>
      <c r="Q221" t="n">
        <v>0</v>
      </c>
      <c r="R221" s="2" t="inlineStr"/>
    </row>
    <row r="222" ht="15" customHeight="1">
      <c r="A222" t="inlineStr">
        <is>
          <t>A 1916-2021</t>
        </is>
      </c>
      <c r="B222" s="1" t="n">
        <v>44210</v>
      </c>
      <c r="C222" s="1" t="n">
        <v>45690</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1973-2021</t>
        </is>
      </c>
      <c r="B223" s="1" t="n">
        <v>44210</v>
      </c>
      <c r="C223" s="1" t="n">
        <v>45690</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1978-2021</t>
        </is>
      </c>
      <c r="B224" s="1" t="n">
        <v>44210</v>
      </c>
      <c r="C224" s="1" t="n">
        <v>45690</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3314-2021</t>
        </is>
      </c>
      <c r="B225" s="1" t="n">
        <v>44217</v>
      </c>
      <c r="C225" s="1" t="n">
        <v>45690</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6185-2021</t>
        </is>
      </c>
      <c r="B226" s="1" t="n">
        <v>44233</v>
      </c>
      <c r="C226" s="1" t="n">
        <v>45690</v>
      </c>
      <c r="D226" t="inlineStr">
        <is>
          <t>DALARNAS LÄN</t>
        </is>
      </c>
      <c r="E226" t="inlineStr">
        <is>
          <t>HEDEMORA</t>
        </is>
      </c>
      <c r="G226" t="n">
        <v>3.3</v>
      </c>
      <c r="H226" t="n">
        <v>0</v>
      </c>
      <c r="I226" t="n">
        <v>0</v>
      </c>
      <c r="J226" t="n">
        <v>0</v>
      </c>
      <c r="K226" t="n">
        <v>0</v>
      </c>
      <c r="L226" t="n">
        <v>0</v>
      </c>
      <c r="M226" t="n">
        <v>0</v>
      </c>
      <c r="N226" t="n">
        <v>0</v>
      </c>
      <c r="O226" t="n">
        <v>0</v>
      </c>
      <c r="P226" t="n">
        <v>0</v>
      </c>
      <c r="Q226" t="n">
        <v>0</v>
      </c>
      <c r="R226" s="2" t="inlineStr"/>
    </row>
    <row r="227" ht="15" customHeight="1">
      <c r="A227" t="inlineStr">
        <is>
          <t>A 6441-2021</t>
        </is>
      </c>
      <c r="B227" s="1" t="n">
        <v>44235</v>
      </c>
      <c r="C227" s="1" t="n">
        <v>45690</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v>
      </c>
      <c r="C228" s="1" t="n">
        <v>45690</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15125-2021</t>
        </is>
      </c>
      <c r="B229" s="1" t="n">
        <v>44283</v>
      </c>
      <c r="C229" s="1" t="n">
        <v>45690</v>
      </c>
      <c r="D229" t="inlineStr">
        <is>
          <t>DALARNAS LÄN</t>
        </is>
      </c>
      <c r="E229" t="inlineStr">
        <is>
          <t>HEDEMORA</t>
        </is>
      </c>
      <c r="G229" t="n">
        <v>0.9</v>
      </c>
      <c r="H229" t="n">
        <v>0</v>
      </c>
      <c r="I229" t="n">
        <v>0</v>
      </c>
      <c r="J229" t="n">
        <v>0</v>
      </c>
      <c r="K229" t="n">
        <v>0</v>
      </c>
      <c r="L229" t="n">
        <v>0</v>
      </c>
      <c r="M229" t="n">
        <v>0</v>
      </c>
      <c r="N229" t="n">
        <v>0</v>
      </c>
      <c r="O229" t="n">
        <v>0</v>
      </c>
      <c r="P229" t="n">
        <v>0</v>
      </c>
      <c r="Q229" t="n">
        <v>0</v>
      </c>
      <c r="R229" s="2" t="inlineStr"/>
    </row>
    <row r="230" ht="15" customHeight="1">
      <c r="A230" t="inlineStr">
        <is>
          <t>A 15290-2021</t>
        </is>
      </c>
      <c r="B230" s="1" t="n">
        <v>44284</v>
      </c>
      <c r="C230" s="1" t="n">
        <v>45690</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17464-2021</t>
        </is>
      </c>
      <c r="B231" s="1" t="n">
        <v>44299</v>
      </c>
      <c r="C231" s="1" t="n">
        <v>45690</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18522-2021</t>
        </is>
      </c>
      <c r="B232" s="1" t="n">
        <v>44306</v>
      </c>
      <c r="C232" s="1" t="n">
        <v>45690</v>
      </c>
      <c r="D232" t="inlineStr">
        <is>
          <t>DALARNAS LÄN</t>
        </is>
      </c>
      <c r="E232" t="inlineStr">
        <is>
          <t>HEDEMORA</t>
        </is>
      </c>
      <c r="G232" t="n">
        <v>7</v>
      </c>
      <c r="H232" t="n">
        <v>0</v>
      </c>
      <c r="I232" t="n">
        <v>0</v>
      </c>
      <c r="J232" t="n">
        <v>0</v>
      </c>
      <c r="K232" t="n">
        <v>0</v>
      </c>
      <c r="L232" t="n">
        <v>0</v>
      </c>
      <c r="M232" t="n">
        <v>0</v>
      </c>
      <c r="N232" t="n">
        <v>0</v>
      </c>
      <c r="O232" t="n">
        <v>0</v>
      </c>
      <c r="P232" t="n">
        <v>0</v>
      </c>
      <c r="Q232" t="n">
        <v>0</v>
      </c>
      <c r="R232" s="2" t="inlineStr"/>
    </row>
    <row r="233" ht="15" customHeight="1">
      <c r="A233" t="inlineStr">
        <is>
          <t>A 20330-2021</t>
        </is>
      </c>
      <c r="B233" s="1" t="n">
        <v>44315</v>
      </c>
      <c r="C233" s="1" t="n">
        <v>45690</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20353-2021</t>
        </is>
      </c>
      <c r="B234" s="1" t="n">
        <v>44315</v>
      </c>
      <c r="C234" s="1" t="n">
        <v>45690</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21171-2021</t>
        </is>
      </c>
      <c r="B235" s="1" t="n">
        <v>44320</v>
      </c>
      <c r="C235" s="1" t="n">
        <v>45690</v>
      </c>
      <c r="D235" t="inlineStr">
        <is>
          <t>DALARNAS LÄN</t>
        </is>
      </c>
      <c r="E235" t="inlineStr">
        <is>
          <t>HEDEMORA</t>
        </is>
      </c>
      <c r="G235" t="n">
        <v>2.8</v>
      </c>
      <c r="H235" t="n">
        <v>0</v>
      </c>
      <c r="I235" t="n">
        <v>0</v>
      </c>
      <c r="J235" t="n">
        <v>0</v>
      </c>
      <c r="K235" t="n">
        <v>0</v>
      </c>
      <c r="L235" t="n">
        <v>0</v>
      </c>
      <c r="M235" t="n">
        <v>0</v>
      </c>
      <c r="N235" t="n">
        <v>0</v>
      </c>
      <c r="O235" t="n">
        <v>0</v>
      </c>
      <c r="P235" t="n">
        <v>0</v>
      </c>
      <c r="Q235" t="n">
        <v>0</v>
      </c>
      <c r="R235" s="2" t="inlineStr"/>
    </row>
    <row r="236" ht="15" customHeight="1">
      <c r="A236" t="inlineStr">
        <is>
          <t>A 21408-2021</t>
        </is>
      </c>
      <c r="B236" s="1" t="n">
        <v>44321</v>
      </c>
      <c r="C236" s="1" t="n">
        <v>45690</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25641-2021</t>
        </is>
      </c>
      <c r="B237" s="1" t="n">
        <v>44343</v>
      </c>
      <c r="C237" s="1" t="n">
        <v>45690</v>
      </c>
      <c r="D237" t="inlineStr">
        <is>
          <t>DALARNAS LÄN</t>
        </is>
      </c>
      <c r="E237" t="inlineStr">
        <is>
          <t>HEDEMORA</t>
        </is>
      </c>
      <c r="G237" t="n">
        <v>11.2</v>
      </c>
      <c r="H237" t="n">
        <v>0</v>
      </c>
      <c r="I237" t="n">
        <v>0</v>
      </c>
      <c r="J237" t="n">
        <v>0</v>
      </c>
      <c r="K237" t="n">
        <v>0</v>
      </c>
      <c r="L237" t="n">
        <v>0</v>
      </c>
      <c r="M237" t="n">
        <v>0</v>
      </c>
      <c r="N237" t="n">
        <v>0</v>
      </c>
      <c r="O237" t="n">
        <v>0</v>
      </c>
      <c r="P237" t="n">
        <v>0</v>
      </c>
      <c r="Q237" t="n">
        <v>0</v>
      </c>
      <c r="R237" s="2" t="inlineStr"/>
    </row>
    <row r="238" ht="15" customHeight="1">
      <c r="A238" t="inlineStr">
        <is>
          <t>A 26612-2021</t>
        </is>
      </c>
      <c r="B238" s="1" t="n">
        <v>44348</v>
      </c>
      <c r="C238" s="1" t="n">
        <v>45690</v>
      </c>
      <c r="D238" t="inlineStr">
        <is>
          <t>DALARNAS LÄN</t>
        </is>
      </c>
      <c r="E238" t="inlineStr">
        <is>
          <t>HEDEMORA</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28067-2021</t>
        </is>
      </c>
      <c r="B239" s="1" t="n">
        <v>44355</v>
      </c>
      <c r="C239" s="1" t="n">
        <v>45690</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29123-2021</t>
        </is>
      </c>
      <c r="B240" s="1" t="n">
        <v>44358</v>
      </c>
      <c r="C240" s="1" t="n">
        <v>45690</v>
      </c>
      <c r="D240" t="inlineStr">
        <is>
          <t>DALARNAS LÄN</t>
        </is>
      </c>
      <c r="E240" t="inlineStr">
        <is>
          <t>HEDEMORA</t>
        </is>
      </c>
      <c r="G240" t="n">
        <v>5.6</v>
      </c>
      <c r="H240" t="n">
        <v>0</v>
      </c>
      <c r="I240" t="n">
        <v>0</v>
      </c>
      <c r="J240" t="n">
        <v>0</v>
      </c>
      <c r="K240" t="n">
        <v>0</v>
      </c>
      <c r="L240" t="n">
        <v>0</v>
      </c>
      <c r="M240" t="n">
        <v>0</v>
      </c>
      <c r="N240" t="n">
        <v>0</v>
      </c>
      <c r="O240" t="n">
        <v>0</v>
      </c>
      <c r="P240" t="n">
        <v>0</v>
      </c>
      <c r="Q240" t="n">
        <v>0</v>
      </c>
      <c r="R240" s="2" t="inlineStr"/>
    </row>
    <row r="241" ht="15" customHeight="1">
      <c r="A241" t="inlineStr">
        <is>
          <t>A 29208-2021</t>
        </is>
      </c>
      <c r="B241" s="1" t="n">
        <v>44359</v>
      </c>
      <c r="C241" s="1" t="n">
        <v>45690</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30571-2021</t>
        </is>
      </c>
      <c r="B242" s="1" t="n">
        <v>44364</v>
      </c>
      <c r="C242" s="1" t="n">
        <v>45690</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30572-2021</t>
        </is>
      </c>
      <c r="B243" s="1" t="n">
        <v>44364</v>
      </c>
      <c r="C243" s="1" t="n">
        <v>45690</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30573-2021</t>
        </is>
      </c>
      <c r="B244" s="1" t="n">
        <v>44364</v>
      </c>
      <c r="C244" s="1" t="n">
        <v>45690</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30574-2021</t>
        </is>
      </c>
      <c r="B245" s="1" t="n">
        <v>44364</v>
      </c>
      <c r="C245" s="1" t="n">
        <v>45690</v>
      </c>
      <c r="D245" t="inlineStr">
        <is>
          <t>DALARNAS LÄN</t>
        </is>
      </c>
      <c r="E245" t="inlineStr">
        <is>
          <t>HEDEMORA</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v>
      </c>
      <c r="C246" s="1" t="n">
        <v>45690</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32073-2021</t>
        </is>
      </c>
      <c r="B247" s="1" t="n">
        <v>44370</v>
      </c>
      <c r="C247" s="1" t="n">
        <v>45690</v>
      </c>
      <c r="D247" t="inlineStr">
        <is>
          <t>DALARNAS LÄN</t>
        </is>
      </c>
      <c r="E247" t="inlineStr">
        <is>
          <t>HEDEMORA</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35792-2021</t>
        </is>
      </c>
      <c r="B248" s="1" t="n">
        <v>44386</v>
      </c>
      <c r="C248" s="1" t="n">
        <v>45690</v>
      </c>
      <c r="D248" t="inlineStr">
        <is>
          <t>DALARNAS LÄN</t>
        </is>
      </c>
      <c r="E248" t="inlineStr">
        <is>
          <t>HEDEMORA</t>
        </is>
      </c>
      <c r="F248" t="inlineStr">
        <is>
          <t>Bergvik skog väst AB</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36943-2021</t>
        </is>
      </c>
      <c r="B249" s="1" t="n">
        <v>44393</v>
      </c>
      <c r="C249" s="1" t="n">
        <v>45690</v>
      </c>
      <c r="D249" t="inlineStr">
        <is>
          <t>DALARNAS LÄN</t>
        </is>
      </c>
      <c r="E249" t="inlineStr">
        <is>
          <t>HEDEMORA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39411-2021</t>
        </is>
      </c>
      <c r="B250" s="1" t="n">
        <v>44414</v>
      </c>
      <c r="C250" s="1" t="n">
        <v>45690</v>
      </c>
      <c r="D250" t="inlineStr">
        <is>
          <t>DALARNAS LÄN</t>
        </is>
      </c>
      <c r="E250" t="inlineStr">
        <is>
          <t>HEDEMORA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40930-2021</t>
        </is>
      </c>
      <c r="B251" s="1" t="n">
        <v>44421</v>
      </c>
      <c r="C251" s="1" t="n">
        <v>45690</v>
      </c>
      <c r="D251" t="inlineStr">
        <is>
          <t>DALARNAS LÄN</t>
        </is>
      </c>
      <c r="E251" t="inlineStr">
        <is>
          <t>HEDEMORA</t>
        </is>
      </c>
      <c r="G251" t="n">
        <v>6.5</v>
      </c>
      <c r="H251" t="n">
        <v>0</v>
      </c>
      <c r="I251" t="n">
        <v>0</v>
      </c>
      <c r="J251" t="n">
        <v>0</v>
      </c>
      <c r="K251" t="n">
        <v>0</v>
      </c>
      <c r="L251" t="n">
        <v>0</v>
      </c>
      <c r="M251" t="n">
        <v>0</v>
      </c>
      <c r="N251" t="n">
        <v>0</v>
      </c>
      <c r="O251" t="n">
        <v>0</v>
      </c>
      <c r="P251" t="n">
        <v>0</v>
      </c>
      <c r="Q251" t="n">
        <v>0</v>
      </c>
      <c r="R251" s="2" t="inlineStr"/>
    </row>
    <row r="252" ht="15" customHeight="1">
      <c r="A252" t="inlineStr">
        <is>
          <t>A 40938-2021</t>
        </is>
      </c>
      <c r="B252" s="1" t="n">
        <v>44421</v>
      </c>
      <c r="C252" s="1" t="n">
        <v>45690</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41047-2021</t>
        </is>
      </c>
      <c r="B253" s="1" t="n">
        <v>44421</v>
      </c>
      <c r="C253" s="1" t="n">
        <v>45690</v>
      </c>
      <c r="D253" t="inlineStr">
        <is>
          <t>DALARNAS LÄN</t>
        </is>
      </c>
      <c r="E253" t="inlineStr">
        <is>
          <t>HEDEMORA</t>
        </is>
      </c>
      <c r="F253" t="inlineStr">
        <is>
          <t>Sveaskog</t>
        </is>
      </c>
      <c r="G253" t="n">
        <v>3.2</v>
      </c>
      <c r="H253" t="n">
        <v>0</v>
      </c>
      <c r="I253" t="n">
        <v>0</v>
      </c>
      <c r="J253" t="n">
        <v>0</v>
      </c>
      <c r="K253" t="n">
        <v>0</v>
      </c>
      <c r="L253" t="n">
        <v>0</v>
      </c>
      <c r="M253" t="n">
        <v>0</v>
      </c>
      <c r="N253" t="n">
        <v>0</v>
      </c>
      <c r="O253" t="n">
        <v>0</v>
      </c>
      <c r="P253" t="n">
        <v>0</v>
      </c>
      <c r="Q253" t="n">
        <v>0</v>
      </c>
      <c r="R253" s="2" t="inlineStr"/>
      <c r="U253">
        <f>HYPERLINK("https://klasma.github.io/Logging_2083/knärot/A 41047-2021 karta knärot.png", "A 41047-2021")</f>
        <v/>
      </c>
      <c r="V253">
        <f>HYPERLINK("https://klasma.github.io/Logging_2083/klagomål/A 41047-2021 FSC-klagomål.docx", "A 41047-2021")</f>
        <v/>
      </c>
      <c r="W253">
        <f>HYPERLINK("https://klasma.github.io/Logging_2083/klagomålsmail/A 41047-2021 FSC-klagomål mail.docx", "A 41047-2021")</f>
        <v/>
      </c>
      <c r="X253">
        <f>HYPERLINK("https://klasma.github.io/Logging_2083/tillsyn/A 41047-2021 tillsynsbegäran.docx", "A 41047-2021")</f>
        <v/>
      </c>
      <c r="Y253">
        <f>HYPERLINK("https://klasma.github.io/Logging_2083/tillsynsmail/A 41047-2021 tillsynsbegäran mail.docx", "A 41047-2021")</f>
        <v/>
      </c>
    </row>
    <row r="254" ht="15" customHeight="1">
      <c r="A254" t="inlineStr">
        <is>
          <t>A 44065-2021</t>
        </is>
      </c>
      <c r="B254" s="1" t="n">
        <v>44434</v>
      </c>
      <c r="C254" s="1" t="n">
        <v>45690</v>
      </c>
      <c r="D254" t="inlineStr">
        <is>
          <t>DALARNAS LÄN</t>
        </is>
      </c>
      <c r="E254" t="inlineStr">
        <is>
          <t>HEDEMORA</t>
        </is>
      </c>
      <c r="F254" t="inlineStr">
        <is>
          <t>Bergvik skog väst AB</t>
        </is>
      </c>
      <c r="G254" t="n">
        <v>9.1</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v>
      </c>
      <c r="C255" s="1" t="n">
        <v>45690</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44957-2021</t>
        </is>
      </c>
      <c r="B256" s="1" t="n">
        <v>44438</v>
      </c>
      <c r="C256" s="1" t="n">
        <v>45690</v>
      </c>
      <c r="D256" t="inlineStr">
        <is>
          <t>DALARNAS LÄN</t>
        </is>
      </c>
      <c r="E256" t="inlineStr">
        <is>
          <t>HEDEMORA</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44966-2021</t>
        </is>
      </c>
      <c r="B257" s="1" t="n">
        <v>44438</v>
      </c>
      <c r="C257" s="1" t="n">
        <v>45690</v>
      </c>
      <c r="D257" t="inlineStr">
        <is>
          <t>DALARNAS LÄN</t>
        </is>
      </c>
      <c r="E257" t="inlineStr">
        <is>
          <t>HEDEMORA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46235-2021</t>
        </is>
      </c>
      <c r="B258" s="1" t="n">
        <v>44442</v>
      </c>
      <c r="C258" s="1" t="n">
        <v>45690</v>
      </c>
      <c r="D258" t="inlineStr">
        <is>
          <t>DALARNAS LÄN</t>
        </is>
      </c>
      <c r="E258" t="inlineStr">
        <is>
          <t>HEDEMORA</t>
        </is>
      </c>
      <c r="G258" t="n">
        <v>2.5</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v>
      </c>
      <c r="C259" s="1" t="n">
        <v>45690</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49636-2021</t>
        </is>
      </c>
      <c r="B260" s="1" t="n">
        <v>44455</v>
      </c>
      <c r="C260" s="1" t="n">
        <v>45690</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50441-2021</t>
        </is>
      </c>
      <c r="B261" s="1" t="n">
        <v>44456</v>
      </c>
      <c r="C261" s="1" t="n">
        <v>45690</v>
      </c>
      <c r="D261" t="inlineStr">
        <is>
          <t>DALARNAS LÄN</t>
        </is>
      </c>
      <c r="E261" t="inlineStr">
        <is>
          <t>HEDEMORA</t>
        </is>
      </c>
      <c r="F261" t="inlineStr">
        <is>
          <t>Bergvik skog väst AB</t>
        </is>
      </c>
      <c r="G261" t="n">
        <v>6.4</v>
      </c>
      <c r="H261" t="n">
        <v>0</v>
      </c>
      <c r="I261" t="n">
        <v>0</v>
      </c>
      <c r="J261" t="n">
        <v>0</v>
      </c>
      <c r="K261" t="n">
        <v>0</v>
      </c>
      <c r="L261" t="n">
        <v>0</v>
      </c>
      <c r="M261" t="n">
        <v>0</v>
      </c>
      <c r="N261" t="n">
        <v>0</v>
      </c>
      <c r="O261" t="n">
        <v>0</v>
      </c>
      <c r="P261" t="n">
        <v>0</v>
      </c>
      <c r="Q261" t="n">
        <v>0</v>
      </c>
      <c r="R261" s="2" t="inlineStr"/>
    </row>
    <row r="262" ht="15" customHeight="1">
      <c r="A262" t="inlineStr">
        <is>
          <t>A 51106-2021</t>
        </is>
      </c>
      <c r="B262" s="1" t="n">
        <v>44461</v>
      </c>
      <c r="C262" s="1" t="n">
        <v>45690</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52199-2021</t>
        </is>
      </c>
      <c r="B263" s="1" t="n">
        <v>44462</v>
      </c>
      <c r="C263" s="1" t="n">
        <v>45690</v>
      </c>
      <c r="D263" t="inlineStr">
        <is>
          <t>DALARNAS LÄN</t>
        </is>
      </c>
      <c r="E263" t="inlineStr">
        <is>
          <t>HEDEMORA</t>
        </is>
      </c>
      <c r="F263" t="inlineStr">
        <is>
          <t>Bergvik skog väst AB</t>
        </is>
      </c>
      <c r="G263" t="n">
        <v>4.4</v>
      </c>
      <c r="H263" t="n">
        <v>0</v>
      </c>
      <c r="I263" t="n">
        <v>0</v>
      </c>
      <c r="J263" t="n">
        <v>0</v>
      </c>
      <c r="K263" t="n">
        <v>0</v>
      </c>
      <c r="L263" t="n">
        <v>0</v>
      </c>
      <c r="M263" t="n">
        <v>0</v>
      </c>
      <c r="N263" t="n">
        <v>0</v>
      </c>
      <c r="O263" t="n">
        <v>0</v>
      </c>
      <c r="P263" t="n">
        <v>0</v>
      </c>
      <c r="Q263" t="n">
        <v>0</v>
      </c>
      <c r="R263" s="2" t="inlineStr"/>
    </row>
    <row r="264" ht="15" customHeight="1">
      <c r="A264" t="inlineStr">
        <is>
          <t>A 52215-2021</t>
        </is>
      </c>
      <c r="B264" s="1" t="n">
        <v>44462</v>
      </c>
      <c r="C264" s="1" t="n">
        <v>45690</v>
      </c>
      <c r="D264" t="inlineStr">
        <is>
          <t>DALARNAS LÄN</t>
        </is>
      </c>
      <c r="E264" t="inlineStr">
        <is>
          <t>HEDEMORA</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52221-2021</t>
        </is>
      </c>
      <c r="B265" s="1" t="n">
        <v>44462</v>
      </c>
      <c r="C265" s="1" t="n">
        <v>45690</v>
      </c>
      <c r="D265" t="inlineStr">
        <is>
          <t>DALARNAS LÄN</t>
        </is>
      </c>
      <c r="E265" t="inlineStr">
        <is>
          <t>HEDEMORA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52425-2021</t>
        </is>
      </c>
      <c r="B266" s="1" t="n">
        <v>44466</v>
      </c>
      <c r="C266" s="1" t="n">
        <v>45690</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52511-2021</t>
        </is>
      </c>
      <c r="B267" s="1" t="n">
        <v>44466</v>
      </c>
      <c r="C267" s="1" t="n">
        <v>45690</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53443-2021</t>
        </is>
      </c>
      <c r="B268" s="1" t="n">
        <v>44468</v>
      </c>
      <c r="C268" s="1" t="n">
        <v>45690</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v>
      </c>
      <c r="C269" s="1" t="n">
        <v>45690</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55195-2021</t>
        </is>
      </c>
      <c r="B270" s="1" t="n">
        <v>44475</v>
      </c>
      <c r="C270" s="1" t="n">
        <v>45690</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57117-2021</t>
        </is>
      </c>
      <c r="B271" s="1" t="n">
        <v>44482</v>
      </c>
      <c r="C271" s="1" t="n">
        <v>45690</v>
      </c>
      <c r="D271" t="inlineStr">
        <is>
          <t>DALARNAS LÄN</t>
        </is>
      </c>
      <c r="E271" t="inlineStr">
        <is>
          <t>HEDEMORA</t>
        </is>
      </c>
      <c r="F271" t="inlineStr">
        <is>
          <t>Bergvik skog väst AB</t>
        </is>
      </c>
      <c r="G271" t="n">
        <v>14.3</v>
      </c>
      <c r="H271" t="n">
        <v>0</v>
      </c>
      <c r="I271" t="n">
        <v>0</v>
      </c>
      <c r="J271" t="n">
        <v>0</v>
      </c>
      <c r="K271" t="n">
        <v>0</v>
      </c>
      <c r="L271" t="n">
        <v>0</v>
      </c>
      <c r="M271" t="n">
        <v>0</v>
      </c>
      <c r="N271" t="n">
        <v>0</v>
      </c>
      <c r="O271" t="n">
        <v>0</v>
      </c>
      <c r="P271" t="n">
        <v>0</v>
      </c>
      <c r="Q271" t="n">
        <v>0</v>
      </c>
      <c r="R271" s="2" t="inlineStr"/>
    </row>
    <row r="272" ht="15" customHeight="1">
      <c r="A272" t="inlineStr">
        <is>
          <t>A 59491-2021</t>
        </is>
      </c>
      <c r="B272" s="1" t="n">
        <v>44491</v>
      </c>
      <c r="C272" s="1" t="n">
        <v>45690</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59495-2021</t>
        </is>
      </c>
      <c r="B273" s="1" t="n">
        <v>44491</v>
      </c>
      <c r="C273" s="1" t="n">
        <v>45690</v>
      </c>
      <c r="D273" t="inlineStr">
        <is>
          <t>DALARNAS LÄN</t>
        </is>
      </c>
      <c r="E273" t="inlineStr">
        <is>
          <t>HEDEMORA</t>
        </is>
      </c>
      <c r="G273" t="n">
        <v>0.5</v>
      </c>
      <c r="H273" t="n">
        <v>0</v>
      </c>
      <c r="I273" t="n">
        <v>0</v>
      </c>
      <c r="J273" t="n">
        <v>0</v>
      </c>
      <c r="K273" t="n">
        <v>0</v>
      </c>
      <c r="L273" t="n">
        <v>0</v>
      </c>
      <c r="M273" t="n">
        <v>0</v>
      </c>
      <c r="N273" t="n">
        <v>0</v>
      </c>
      <c r="O273" t="n">
        <v>0</v>
      </c>
      <c r="P273" t="n">
        <v>0</v>
      </c>
      <c r="Q273" t="n">
        <v>0</v>
      </c>
      <c r="R273" s="2" t="inlineStr"/>
    </row>
    <row r="274" ht="15" customHeight="1">
      <c r="A274" t="inlineStr">
        <is>
          <t>A 60418-2021</t>
        </is>
      </c>
      <c r="B274" s="1" t="n">
        <v>44495</v>
      </c>
      <c r="C274" s="1" t="n">
        <v>45690</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45690</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62305-2021</t>
        </is>
      </c>
      <c r="B276" s="1" t="n">
        <v>44502</v>
      </c>
      <c r="C276" s="1" t="n">
        <v>45690</v>
      </c>
      <c r="D276" t="inlineStr">
        <is>
          <t>DALARNAS LÄN</t>
        </is>
      </c>
      <c r="E276" t="inlineStr">
        <is>
          <t>HEDEMORA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63908-2021</t>
        </is>
      </c>
      <c r="B277" s="1" t="n">
        <v>44509</v>
      </c>
      <c r="C277" s="1" t="n">
        <v>45690</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64473-2021</t>
        </is>
      </c>
      <c r="B278" s="1" t="n">
        <v>44511</v>
      </c>
      <c r="C278" s="1" t="n">
        <v>45690</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67282-2021</t>
        </is>
      </c>
      <c r="B279" s="1" t="n">
        <v>44523</v>
      </c>
      <c r="C279" s="1" t="n">
        <v>45690</v>
      </c>
      <c r="D279" t="inlineStr">
        <is>
          <t>DALARNAS LÄN</t>
        </is>
      </c>
      <c r="E279" t="inlineStr">
        <is>
          <t>HEDEMORA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67288-2021</t>
        </is>
      </c>
      <c r="B280" s="1" t="n">
        <v>44523</v>
      </c>
      <c r="C280" s="1" t="n">
        <v>45690</v>
      </c>
      <c r="D280" t="inlineStr">
        <is>
          <t>DALARNAS LÄN</t>
        </is>
      </c>
      <c r="E280" t="inlineStr">
        <is>
          <t>HEDEMORA</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68553-2021</t>
        </is>
      </c>
      <c r="B281" s="1" t="n">
        <v>44529</v>
      </c>
      <c r="C281" s="1" t="n">
        <v>45690</v>
      </c>
      <c r="D281" t="inlineStr">
        <is>
          <t>DALARNAS LÄN</t>
        </is>
      </c>
      <c r="E281" t="inlineStr">
        <is>
          <t>HEDEMORA</t>
        </is>
      </c>
      <c r="G281" t="n">
        <v>3</v>
      </c>
      <c r="H281" t="n">
        <v>0</v>
      </c>
      <c r="I281" t="n">
        <v>0</v>
      </c>
      <c r="J281" t="n">
        <v>0</v>
      </c>
      <c r="K281" t="n">
        <v>0</v>
      </c>
      <c r="L281" t="n">
        <v>0</v>
      </c>
      <c r="M281" t="n">
        <v>0</v>
      </c>
      <c r="N281" t="n">
        <v>0</v>
      </c>
      <c r="O281" t="n">
        <v>0</v>
      </c>
      <c r="P281" t="n">
        <v>0</v>
      </c>
      <c r="Q281" t="n">
        <v>0</v>
      </c>
      <c r="R281" s="2" t="inlineStr"/>
    </row>
    <row r="282" ht="15" customHeight="1">
      <c r="A282" t="inlineStr">
        <is>
          <t>A 68457-2021</t>
        </is>
      </c>
      <c r="B282" s="1" t="n">
        <v>44529</v>
      </c>
      <c r="C282" s="1" t="n">
        <v>45690</v>
      </c>
      <c r="D282" t="inlineStr">
        <is>
          <t>DALARNAS LÄN</t>
        </is>
      </c>
      <c r="E282" t="inlineStr">
        <is>
          <t>HEDEMORA</t>
        </is>
      </c>
      <c r="G282" t="n">
        <v>1.9</v>
      </c>
      <c r="H282" t="n">
        <v>0</v>
      </c>
      <c r="I282" t="n">
        <v>0</v>
      </c>
      <c r="J282" t="n">
        <v>0</v>
      </c>
      <c r="K282" t="n">
        <v>0</v>
      </c>
      <c r="L282" t="n">
        <v>0</v>
      </c>
      <c r="M282" t="n">
        <v>0</v>
      </c>
      <c r="N282" t="n">
        <v>0</v>
      </c>
      <c r="O282" t="n">
        <v>0</v>
      </c>
      <c r="P282" t="n">
        <v>0</v>
      </c>
      <c r="Q282" t="n">
        <v>0</v>
      </c>
      <c r="R282" s="2" t="inlineStr"/>
    </row>
    <row r="283" ht="15" customHeight="1">
      <c r="A283" t="inlineStr">
        <is>
          <t>A 69624-2021</t>
        </is>
      </c>
      <c r="B283" s="1" t="n">
        <v>44532</v>
      </c>
      <c r="C283" s="1" t="n">
        <v>45690</v>
      </c>
      <c r="D283" t="inlineStr">
        <is>
          <t>DALARNAS LÄN</t>
        </is>
      </c>
      <c r="E283" t="inlineStr">
        <is>
          <t>HEDEMORA</t>
        </is>
      </c>
      <c r="G283" t="n">
        <v>0.4</v>
      </c>
      <c r="H283" t="n">
        <v>0</v>
      </c>
      <c r="I283" t="n">
        <v>0</v>
      </c>
      <c r="J283" t="n">
        <v>0</v>
      </c>
      <c r="K283" t="n">
        <v>0</v>
      </c>
      <c r="L283" t="n">
        <v>0</v>
      </c>
      <c r="M283" t="n">
        <v>0</v>
      </c>
      <c r="N283" t="n">
        <v>0</v>
      </c>
      <c r="O283" t="n">
        <v>0</v>
      </c>
      <c r="P283" t="n">
        <v>0</v>
      </c>
      <c r="Q283" t="n">
        <v>0</v>
      </c>
      <c r="R283" s="2" t="inlineStr"/>
    </row>
    <row r="284" ht="15" customHeight="1">
      <c r="A284" t="inlineStr">
        <is>
          <t>A 73099-2021</t>
        </is>
      </c>
      <c r="B284" s="1" t="n">
        <v>44546</v>
      </c>
      <c r="C284" s="1" t="n">
        <v>45690</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73464-2021</t>
        </is>
      </c>
      <c r="B285" s="1" t="n">
        <v>44551</v>
      </c>
      <c r="C285" s="1" t="n">
        <v>45690</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295-2022</t>
        </is>
      </c>
      <c r="B286" s="1" t="n">
        <v>44565</v>
      </c>
      <c r="C286" s="1" t="n">
        <v>45690</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769-2022</t>
        </is>
      </c>
      <c r="B287" s="1" t="n">
        <v>44570</v>
      </c>
      <c r="C287" s="1" t="n">
        <v>45690</v>
      </c>
      <c r="D287" t="inlineStr">
        <is>
          <t>DALARNAS LÄN</t>
        </is>
      </c>
      <c r="E287" t="inlineStr">
        <is>
          <t>HEDEMORA</t>
        </is>
      </c>
      <c r="G287" t="n">
        <v>5.9</v>
      </c>
      <c r="H287" t="n">
        <v>0</v>
      </c>
      <c r="I287" t="n">
        <v>0</v>
      </c>
      <c r="J287" t="n">
        <v>0</v>
      </c>
      <c r="K287" t="n">
        <v>0</v>
      </c>
      <c r="L287" t="n">
        <v>0</v>
      </c>
      <c r="M287" t="n">
        <v>0</v>
      </c>
      <c r="N287" t="n">
        <v>0</v>
      </c>
      <c r="O287" t="n">
        <v>0</v>
      </c>
      <c r="P287" t="n">
        <v>0</v>
      </c>
      <c r="Q287" t="n">
        <v>0</v>
      </c>
      <c r="R287" s="2" t="inlineStr"/>
    </row>
    <row r="288" ht="15" customHeight="1">
      <c r="A288" t="inlineStr">
        <is>
          <t>A 1666-2022</t>
        </is>
      </c>
      <c r="B288" s="1" t="n">
        <v>44574</v>
      </c>
      <c r="C288" s="1" t="n">
        <v>45690</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1917-2022</t>
        </is>
      </c>
      <c r="B289" s="1" t="n">
        <v>44574</v>
      </c>
      <c r="C289" s="1" t="n">
        <v>45690</v>
      </c>
      <c r="D289" t="inlineStr">
        <is>
          <t>DALARNAS LÄN</t>
        </is>
      </c>
      <c r="E289" t="inlineStr">
        <is>
          <t>HEDEMORA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1973-2022</t>
        </is>
      </c>
      <c r="B290" s="1" t="n">
        <v>44575</v>
      </c>
      <c r="C290" s="1" t="n">
        <v>45690</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1976-2022</t>
        </is>
      </c>
      <c r="B291" s="1" t="n">
        <v>44575</v>
      </c>
      <c r="C291" s="1" t="n">
        <v>45690</v>
      </c>
      <c r="D291" t="inlineStr">
        <is>
          <t>DALARNAS LÄN</t>
        </is>
      </c>
      <c r="E291" t="inlineStr">
        <is>
          <t>HEDEMORA</t>
        </is>
      </c>
      <c r="G291" t="n">
        <v>3.2</v>
      </c>
      <c r="H291" t="n">
        <v>0</v>
      </c>
      <c r="I291" t="n">
        <v>0</v>
      </c>
      <c r="J291" t="n">
        <v>0</v>
      </c>
      <c r="K291" t="n">
        <v>0</v>
      </c>
      <c r="L291" t="n">
        <v>0</v>
      </c>
      <c r="M291" t="n">
        <v>0</v>
      </c>
      <c r="N291" t="n">
        <v>0</v>
      </c>
      <c r="O291" t="n">
        <v>0</v>
      </c>
      <c r="P291" t="n">
        <v>0</v>
      </c>
      <c r="Q291" t="n">
        <v>0</v>
      </c>
      <c r="R291" s="2" t="inlineStr"/>
    </row>
    <row r="292" ht="15" customHeight="1">
      <c r="A292" t="inlineStr">
        <is>
          <t>A 4030-2022</t>
        </is>
      </c>
      <c r="B292" s="1" t="n">
        <v>44588</v>
      </c>
      <c r="C292" s="1" t="n">
        <v>45690</v>
      </c>
      <c r="D292" t="inlineStr">
        <is>
          <t>DALARNAS LÄN</t>
        </is>
      </c>
      <c r="E292" t="inlineStr">
        <is>
          <t>HEDEMORA</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7515-2022</t>
        </is>
      </c>
      <c r="B293" s="1" t="n">
        <v>44607</v>
      </c>
      <c r="C293" s="1" t="n">
        <v>45690</v>
      </c>
      <c r="D293" t="inlineStr">
        <is>
          <t>DALARNAS LÄN</t>
        </is>
      </c>
      <c r="E293" t="inlineStr">
        <is>
          <t>HEDEMORA</t>
        </is>
      </c>
      <c r="G293" t="n">
        <v>3.8</v>
      </c>
      <c r="H293" t="n">
        <v>0</v>
      </c>
      <c r="I293" t="n">
        <v>0</v>
      </c>
      <c r="J293" t="n">
        <v>0</v>
      </c>
      <c r="K293" t="n">
        <v>0</v>
      </c>
      <c r="L293" t="n">
        <v>0</v>
      </c>
      <c r="M293" t="n">
        <v>0</v>
      </c>
      <c r="N293" t="n">
        <v>0</v>
      </c>
      <c r="O293" t="n">
        <v>0</v>
      </c>
      <c r="P293" t="n">
        <v>0</v>
      </c>
      <c r="Q293" t="n">
        <v>0</v>
      </c>
      <c r="R293" s="2" t="inlineStr"/>
    </row>
    <row r="294" ht="15" customHeight="1">
      <c r="A294" t="inlineStr">
        <is>
          <t>A 10408-2022</t>
        </is>
      </c>
      <c r="B294" s="1" t="n">
        <v>44623</v>
      </c>
      <c r="C294" s="1" t="n">
        <v>45690</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11046-2022</t>
        </is>
      </c>
      <c r="B295" s="1" t="n">
        <v>44628</v>
      </c>
      <c r="C295" s="1" t="n">
        <v>45690</v>
      </c>
      <c r="D295" t="inlineStr">
        <is>
          <t>DALARNAS LÄN</t>
        </is>
      </c>
      <c r="E295" t="inlineStr">
        <is>
          <t>HEDEMORA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15635-2022</t>
        </is>
      </c>
      <c r="B296" s="1" t="n">
        <v>44662</v>
      </c>
      <c r="C296" s="1" t="n">
        <v>45690</v>
      </c>
      <c r="D296" t="inlineStr">
        <is>
          <t>DALARNAS LÄN</t>
        </is>
      </c>
      <c r="E296" t="inlineStr">
        <is>
          <t>HEDEMORA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16122-2022</t>
        </is>
      </c>
      <c r="B297" s="1" t="n">
        <v>44665</v>
      </c>
      <c r="C297" s="1" t="n">
        <v>45690</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16779-2022</t>
        </is>
      </c>
      <c r="B298" s="1" t="n">
        <v>44673</v>
      </c>
      <c r="C298" s="1" t="n">
        <v>45690</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17645-2022</t>
        </is>
      </c>
      <c r="B299" s="1" t="n">
        <v>44680</v>
      </c>
      <c r="C299" s="1" t="n">
        <v>45690</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18098-2022</t>
        </is>
      </c>
      <c r="B300" s="1" t="n">
        <v>44684</v>
      </c>
      <c r="C300" s="1" t="n">
        <v>45690</v>
      </c>
      <c r="D300" t="inlineStr">
        <is>
          <t>DALARNAS LÄN</t>
        </is>
      </c>
      <c r="E300" t="inlineStr">
        <is>
          <t>HEDEMORA</t>
        </is>
      </c>
      <c r="G300" t="n">
        <v>4.9</v>
      </c>
      <c r="H300" t="n">
        <v>0</v>
      </c>
      <c r="I300" t="n">
        <v>0</v>
      </c>
      <c r="J300" t="n">
        <v>0</v>
      </c>
      <c r="K300" t="n">
        <v>0</v>
      </c>
      <c r="L300" t="n">
        <v>0</v>
      </c>
      <c r="M300" t="n">
        <v>0</v>
      </c>
      <c r="N300" t="n">
        <v>0</v>
      </c>
      <c r="O300" t="n">
        <v>0</v>
      </c>
      <c r="P300" t="n">
        <v>0</v>
      </c>
      <c r="Q300" t="n">
        <v>0</v>
      </c>
      <c r="R300" s="2" t="inlineStr"/>
    </row>
    <row r="301" ht="15" customHeight="1">
      <c r="A301" t="inlineStr">
        <is>
          <t>A 20177-2022</t>
        </is>
      </c>
      <c r="B301" s="1" t="n">
        <v>44698</v>
      </c>
      <c r="C301" s="1" t="n">
        <v>45690</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21520-2022</t>
        </is>
      </c>
      <c r="B302" s="1" t="n">
        <v>44706</v>
      </c>
      <c r="C302" s="1" t="n">
        <v>45690</v>
      </c>
      <c r="D302" t="inlineStr">
        <is>
          <t>DALARNAS LÄN</t>
        </is>
      </c>
      <c r="E302" t="inlineStr">
        <is>
          <t>HEDEMORA</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22968-2022</t>
        </is>
      </c>
      <c r="B303" s="1" t="n">
        <v>44716</v>
      </c>
      <c r="C303" s="1" t="n">
        <v>45690</v>
      </c>
      <c r="D303" t="inlineStr">
        <is>
          <t>DALARNAS LÄN</t>
        </is>
      </c>
      <c r="E303" t="inlineStr">
        <is>
          <t>HEDEMORA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22970-2022</t>
        </is>
      </c>
      <c r="B304" s="1" t="n">
        <v>44716</v>
      </c>
      <c r="C304" s="1" t="n">
        <v>45690</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22969-2022</t>
        </is>
      </c>
      <c r="B305" s="1" t="n">
        <v>44716</v>
      </c>
      <c r="C305" s="1" t="n">
        <v>45690</v>
      </c>
      <c r="D305" t="inlineStr">
        <is>
          <t>DALARNAS LÄN</t>
        </is>
      </c>
      <c r="E305" t="inlineStr">
        <is>
          <t>HEDEMORA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23329-2022</t>
        </is>
      </c>
      <c r="B306" s="1" t="n">
        <v>44720</v>
      </c>
      <c r="C306" s="1" t="n">
        <v>45690</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23843-2022</t>
        </is>
      </c>
      <c r="B307" s="1" t="n">
        <v>44722</v>
      </c>
      <c r="C307" s="1" t="n">
        <v>45690</v>
      </c>
      <c r="D307" t="inlineStr">
        <is>
          <t>DALARNAS LÄN</t>
        </is>
      </c>
      <c r="E307" t="inlineStr">
        <is>
          <t>HEDEMORA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23839-2022</t>
        </is>
      </c>
      <c r="B308" s="1" t="n">
        <v>44722</v>
      </c>
      <c r="C308" s="1" t="n">
        <v>45690</v>
      </c>
      <c r="D308" t="inlineStr">
        <is>
          <t>DALARNAS LÄN</t>
        </is>
      </c>
      <c r="E308" t="inlineStr">
        <is>
          <t>HEDEMORA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24427-2022</t>
        </is>
      </c>
      <c r="B309" s="1" t="n">
        <v>44726</v>
      </c>
      <c r="C309" s="1" t="n">
        <v>45690</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24446-2022</t>
        </is>
      </c>
      <c r="B310" s="1" t="n">
        <v>44726</v>
      </c>
      <c r="C310" s="1" t="n">
        <v>45690</v>
      </c>
      <c r="D310" t="inlineStr">
        <is>
          <t>DALARNAS LÄN</t>
        </is>
      </c>
      <c r="E310" t="inlineStr">
        <is>
          <t>HEDEMORA</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24706-2022</t>
        </is>
      </c>
      <c r="B311" s="1" t="n">
        <v>44727</v>
      </c>
      <c r="C311" s="1" t="n">
        <v>45690</v>
      </c>
      <c r="D311" t="inlineStr">
        <is>
          <t>DALARNAS LÄN</t>
        </is>
      </c>
      <c r="E311" t="inlineStr">
        <is>
          <t>HEDEMORA</t>
        </is>
      </c>
      <c r="G311" t="n">
        <v>25.4</v>
      </c>
      <c r="H311" t="n">
        <v>0</v>
      </c>
      <c r="I311" t="n">
        <v>0</v>
      </c>
      <c r="J311" t="n">
        <v>0</v>
      </c>
      <c r="K311" t="n">
        <v>0</v>
      </c>
      <c r="L311" t="n">
        <v>0</v>
      </c>
      <c r="M311" t="n">
        <v>0</v>
      </c>
      <c r="N311" t="n">
        <v>0</v>
      </c>
      <c r="O311" t="n">
        <v>0</v>
      </c>
      <c r="P311" t="n">
        <v>0</v>
      </c>
      <c r="Q311" t="n">
        <v>0</v>
      </c>
      <c r="R311" s="2" t="inlineStr"/>
    </row>
    <row r="312" ht="15" customHeight="1">
      <c r="A312" t="inlineStr">
        <is>
          <t>A 25754-2022</t>
        </is>
      </c>
      <c r="B312" s="1" t="n">
        <v>44732</v>
      </c>
      <c r="C312" s="1" t="n">
        <v>45690</v>
      </c>
      <c r="D312" t="inlineStr">
        <is>
          <t>DALARNAS LÄN</t>
        </is>
      </c>
      <c r="E312" t="inlineStr">
        <is>
          <t>HEDEMORA</t>
        </is>
      </c>
      <c r="F312" t="inlineStr">
        <is>
          <t>Bergvik skog väst AB</t>
        </is>
      </c>
      <c r="G312" t="n">
        <v>4.7</v>
      </c>
      <c r="H312" t="n">
        <v>0</v>
      </c>
      <c r="I312" t="n">
        <v>0</v>
      </c>
      <c r="J312" t="n">
        <v>0</v>
      </c>
      <c r="K312" t="n">
        <v>0</v>
      </c>
      <c r="L312" t="n">
        <v>0</v>
      </c>
      <c r="M312" t="n">
        <v>0</v>
      </c>
      <c r="N312" t="n">
        <v>0</v>
      </c>
      <c r="O312" t="n">
        <v>0</v>
      </c>
      <c r="P312" t="n">
        <v>0</v>
      </c>
      <c r="Q312" t="n">
        <v>0</v>
      </c>
      <c r="R312" s="2" t="inlineStr"/>
    </row>
    <row r="313" ht="15" customHeight="1">
      <c r="A313" t="inlineStr">
        <is>
          <t>A 25567-2022</t>
        </is>
      </c>
      <c r="B313" s="1" t="n">
        <v>44732</v>
      </c>
      <c r="C313" s="1" t="n">
        <v>45690</v>
      </c>
      <c r="D313" t="inlineStr">
        <is>
          <t>DALARNAS LÄN</t>
        </is>
      </c>
      <c r="E313" t="inlineStr">
        <is>
          <t>HEDEMORA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25577-2022</t>
        </is>
      </c>
      <c r="B314" s="1" t="n">
        <v>44732</v>
      </c>
      <c r="C314" s="1" t="n">
        <v>45690</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25692-2022</t>
        </is>
      </c>
      <c r="B315" s="1" t="n">
        <v>44732</v>
      </c>
      <c r="C315" s="1" t="n">
        <v>45690</v>
      </c>
      <c r="D315" t="inlineStr">
        <is>
          <t>DALARNAS LÄN</t>
        </is>
      </c>
      <c r="E315" t="inlineStr">
        <is>
          <t>HEDEMORA</t>
        </is>
      </c>
      <c r="F315" t="inlineStr">
        <is>
          <t>Bergvik skog väst AB</t>
        </is>
      </c>
      <c r="G315" t="n">
        <v>22.3</v>
      </c>
      <c r="H315" t="n">
        <v>0</v>
      </c>
      <c r="I315" t="n">
        <v>0</v>
      </c>
      <c r="J315" t="n">
        <v>0</v>
      </c>
      <c r="K315" t="n">
        <v>0</v>
      </c>
      <c r="L315" t="n">
        <v>0</v>
      </c>
      <c r="M315" t="n">
        <v>0</v>
      </c>
      <c r="N315" t="n">
        <v>0</v>
      </c>
      <c r="O315" t="n">
        <v>0</v>
      </c>
      <c r="P315" t="n">
        <v>0</v>
      </c>
      <c r="Q315" t="n">
        <v>0</v>
      </c>
      <c r="R315" s="2" t="inlineStr"/>
    </row>
    <row r="316" ht="15" customHeight="1">
      <c r="A316" t="inlineStr">
        <is>
          <t>A 25691-2022</t>
        </is>
      </c>
      <c r="B316" s="1" t="n">
        <v>44733</v>
      </c>
      <c r="C316" s="1" t="n">
        <v>45690</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27238-2022</t>
        </is>
      </c>
      <c r="B317" s="1" t="n">
        <v>44741</v>
      </c>
      <c r="C317" s="1" t="n">
        <v>45690</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28173-2022</t>
        </is>
      </c>
      <c r="B318" s="1" t="n">
        <v>44746</v>
      </c>
      <c r="C318" s="1" t="n">
        <v>45690</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28105-2022</t>
        </is>
      </c>
      <c r="B319" s="1" t="n">
        <v>44746</v>
      </c>
      <c r="C319" s="1" t="n">
        <v>45690</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29284-2022</t>
        </is>
      </c>
      <c r="B320" s="1" t="n">
        <v>44750</v>
      </c>
      <c r="C320" s="1" t="n">
        <v>45690</v>
      </c>
      <c r="D320" t="inlineStr">
        <is>
          <t>DALARNAS LÄN</t>
        </is>
      </c>
      <c r="E320" t="inlineStr">
        <is>
          <t>HEDEMORA</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29283-2022</t>
        </is>
      </c>
      <c r="B321" s="1" t="n">
        <v>44750</v>
      </c>
      <c r="C321" s="1" t="n">
        <v>45690</v>
      </c>
      <c r="D321" t="inlineStr">
        <is>
          <t>DALARNAS LÄN</t>
        </is>
      </c>
      <c r="E321" t="inlineStr">
        <is>
          <t>HEDEMORA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30163-2022</t>
        </is>
      </c>
      <c r="B322" s="1" t="n">
        <v>44757</v>
      </c>
      <c r="C322" s="1" t="n">
        <v>45690</v>
      </c>
      <c r="D322" t="inlineStr">
        <is>
          <t>DALARNAS LÄN</t>
        </is>
      </c>
      <c r="E322" t="inlineStr">
        <is>
          <t>HEDEMORA</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30162-2022</t>
        </is>
      </c>
      <c r="B323" s="1" t="n">
        <v>44757</v>
      </c>
      <c r="C323" s="1" t="n">
        <v>45690</v>
      </c>
      <c r="D323" t="inlineStr">
        <is>
          <t>DALARNAS LÄN</t>
        </is>
      </c>
      <c r="E323" t="inlineStr">
        <is>
          <t>HEDEMORA</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30205-2022</t>
        </is>
      </c>
      <c r="B324" s="1" t="n">
        <v>44757</v>
      </c>
      <c r="C324" s="1" t="n">
        <v>45690</v>
      </c>
      <c r="D324" t="inlineStr">
        <is>
          <t>DALARNAS LÄN</t>
        </is>
      </c>
      <c r="E324" t="inlineStr">
        <is>
          <t>HEDEMORA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32731-2022</t>
        </is>
      </c>
      <c r="B325" s="1" t="n">
        <v>44783</v>
      </c>
      <c r="C325" s="1" t="n">
        <v>45690</v>
      </c>
      <c r="D325" t="inlineStr">
        <is>
          <t>DALARNAS LÄN</t>
        </is>
      </c>
      <c r="E325" t="inlineStr">
        <is>
          <t>HEDEMORA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32738-2022</t>
        </is>
      </c>
      <c r="B326" s="1" t="n">
        <v>44783</v>
      </c>
      <c r="C326" s="1" t="n">
        <v>45690</v>
      </c>
      <c r="D326" t="inlineStr">
        <is>
          <t>DALARNAS LÄN</t>
        </is>
      </c>
      <c r="E326" t="inlineStr">
        <is>
          <t>HEDEMORA</t>
        </is>
      </c>
      <c r="G326" t="n">
        <v>2.6</v>
      </c>
      <c r="H326" t="n">
        <v>0</v>
      </c>
      <c r="I326" t="n">
        <v>0</v>
      </c>
      <c r="J326" t="n">
        <v>0</v>
      </c>
      <c r="K326" t="n">
        <v>0</v>
      </c>
      <c r="L326" t="n">
        <v>0</v>
      </c>
      <c r="M326" t="n">
        <v>0</v>
      </c>
      <c r="N326" t="n">
        <v>0</v>
      </c>
      <c r="O326" t="n">
        <v>0</v>
      </c>
      <c r="P326" t="n">
        <v>0</v>
      </c>
      <c r="Q326" t="n">
        <v>0</v>
      </c>
      <c r="R326" s="2" t="inlineStr"/>
    </row>
    <row r="327" ht="15" customHeight="1">
      <c r="A327" t="inlineStr">
        <is>
          <t>A 32748-2022</t>
        </is>
      </c>
      <c r="B327" s="1" t="n">
        <v>44783</v>
      </c>
      <c r="C327" s="1" t="n">
        <v>45690</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33071-2022</t>
        </is>
      </c>
      <c r="B328" s="1" t="n">
        <v>44785</v>
      </c>
      <c r="C328" s="1" t="n">
        <v>45690</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34237-2022</t>
        </is>
      </c>
      <c r="B329" s="1" t="n">
        <v>44791</v>
      </c>
      <c r="C329" s="1" t="n">
        <v>45690</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45690</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35806-2022</t>
        </is>
      </c>
      <c r="B331" s="1" t="n">
        <v>44802</v>
      </c>
      <c r="C331" s="1" t="n">
        <v>45690</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36865-2022</t>
        </is>
      </c>
      <c r="B332" s="1" t="n">
        <v>44805</v>
      </c>
      <c r="C332" s="1" t="n">
        <v>45690</v>
      </c>
      <c r="D332" t="inlineStr">
        <is>
          <t>DALARNAS LÄN</t>
        </is>
      </c>
      <c r="E332" t="inlineStr">
        <is>
          <t>HEDEMORA</t>
        </is>
      </c>
      <c r="G332" t="n">
        <v>2.1</v>
      </c>
      <c r="H332" t="n">
        <v>0</v>
      </c>
      <c r="I332" t="n">
        <v>0</v>
      </c>
      <c r="J332" t="n">
        <v>0</v>
      </c>
      <c r="K332" t="n">
        <v>0</v>
      </c>
      <c r="L332" t="n">
        <v>0</v>
      </c>
      <c r="M332" t="n">
        <v>0</v>
      </c>
      <c r="N332" t="n">
        <v>0</v>
      </c>
      <c r="O332" t="n">
        <v>0</v>
      </c>
      <c r="P332" t="n">
        <v>0</v>
      </c>
      <c r="Q332" t="n">
        <v>0</v>
      </c>
      <c r="R332" s="2" t="inlineStr"/>
    </row>
    <row r="333" ht="15" customHeight="1">
      <c r="A333" t="inlineStr">
        <is>
          <t>A 36900-2022</t>
        </is>
      </c>
      <c r="B333" s="1" t="n">
        <v>44805</v>
      </c>
      <c r="C333" s="1" t="n">
        <v>45690</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39046-2022</t>
        </is>
      </c>
      <c r="B334" s="1" t="n">
        <v>44817</v>
      </c>
      <c r="C334" s="1" t="n">
        <v>45690</v>
      </c>
      <c r="D334" t="inlineStr">
        <is>
          <t>DALARNAS LÄN</t>
        </is>
      </c>
      <c r="E334" t="inlineStr">
        <is>
          <t>HEDEMORA</t>
        </is>
      </c>
      <c r="F334" t="inlineStr">
        <is>
          <t>Sveaskog</t>
        </is>
      </c>
      <c r="G334" t="n">
        <v>14.8</v>
      </c>
      <c r="H334" t="n">
        <v>0</v>
      </c>
      <c r="I334" t="n">
        <v>0</v>
      </c>
      <c r="J334" t="n">
        <v>0</v>
      </c>
      <c r="K334" t="n">
        <v>0</v>
      </c>
      <c r="L334" t="n">
        <v>0</v>
      </c>
      <c r="M334" t="n">
        <v>0</v>
      </c>
      <c r="N334" t="n">
        <v>0</v>
      </c>
      <c r="O334" t="n">
        <v>0</v>
      </c>
      <c r="P334" t="n">
        <v>0</v>
      </c>
      <c r="Q334" t="n">
        <v>0</v>
      </c>
      <c r="R334" s="2" t="inlineStr"/>
    </row>
    <row r="335" ht="15" customHeight="1">
      <c r="A335" t="inlineStr">
        <is>
          <t>A 39497-2022</t>
        </is>
      </c>
      <c r="B335" s="1" t="n">
        <v>44817</v>
      </c>
      <c r="C335" s="1" t="n">
        <v>45690</v>
      </c>
      <c r="D335" t="inlineStr">
        <is>
          <t>DALARNAS LÄN</t>
        </is>
      </c>
      <c r="E335" t="inlineStr">
        <is>
          <t>HEDEMORA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39511-2022</t>
        </is>
      </c>
      <c r="B336" s="1" t="n">
        <v>44817</v>
      </c>
      <c r="C336" s="1" t="n">
        <v>45690</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39506-2022</t>
        </is>
      </c>
      <c r="B337" s="1" t="n">
        <v>44817</v>
      </c>
      <c r="C337" s="1" t="n">
        <v>45690</v>
      </c>
      <c r="D337" t="inlineStr">
        <is>
          <t>DALARNAS LÄN</t>
        </is>
      </c>
      <c r="E337" t="inlineStr">
        <is>
          <t>HEDEMORA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39667-2022</t>
        </is>
      </c>
      <c r="B338" s="1" t="n">
        <v>44818</v>
      </c>
      <c r="C338" s="1" t="n">
        <v>45690</v>
      </c>
      <c r="D338" t="inlineStr">
        <is>
          <t>DALARNAS LÄN</t>
        </is>
      </c>
      <c r="E338" t="inlineStr">
        <is>
          <t>HEDEMORA</t>
        </is>
      </c>
      <c r="F338" t="inlineStr">
        <is>
          <t>Sveaskog</t>
        </is>
      </c>
      <c r="G338" t="n">
        <v>20.4</v>
      </c>
      <c r="H338" t="n">
        <v>0</v>
      </c>
      <c r="I338" t="n">
        <v>0</v>
      </c>
      <c r="J338" t="n">
        <v>0</v>
      </c>
      <c r="K338" t="n">
        <v>0</v>
      </c>
      <c r="L338" t="n">
        <v>0</v>
      </c>
      <c r="M338" t="n">
        <v>0</v>
      </c>
      <c r="N338" t="n">
        <v>0</v>
      </c>
      <c r="O338" t="n">
        <v>0</v>
      </c>
      <c r="P338" t="n">
        <v>0</v>
      </c>
      <c r="Q338" t="n">
        <v>0</v>
      </c>
      <c r="R338" s="2" t="inlineStr"/>
    </row>
    <row r="339" ht="15" customHeight="1">
      <c r="A339" t="inlineStr">
        <is>
          <t>A 40030-2022</t>
        </is>
      </c>
      <c r="B339" s="1" t="n">
        <v>44820</v>
      </c>
      <c r="C339" s="1" t="n">
        <v>45690</v>
      </c>
      <c r="D339" t="inlineStr">
        <is>
          <t>DALARNAS LÄN</t>
        </is>
      </c>
      <c r="E339" t="inlineStr">
        <is>
          <t>HEDEMORA</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40025-2022</t>
        </is>
      </c>
      <c r="B340" s="1" t="n">
        <v>44820</v>
      </c>
      <c r="C340" s="1" t="n">
        <v>45690</v>
      </c>
      <c r="D340" t="inlineStr">
        <is>
          <t>DALARNAS LÄN</t>
        </is>
      </c>
      <c r="E340" t="inlineStr">
        <is>
          <t>HEDEMORA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41845-2022</t>
        </is>
      </c>
      <c r="B341" s="1" t="n">
        <v>44828</v>
      </c>
      <c r="C341" s="1" t="n">
        <v>45690</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45276-2022</t>
        </is>
      </c>
      <c r="B342" s="1" t="n">
        <v>44844</v>
      </c>
      <c r="C342" s="1" t="n">
        <v>45690</v>
      </c>
      <c r="D342" t="inlineStr">
        <is>
          <t>DALARNAS LÄN</t>
        </is>
      </c>
      <c r="E342" t="inlineStr">
        <is>
          <t>HEDEMORA</t>
        </is>
      </c>
      <c r="F342" t="inlineStr">
        <is>
          <t>Sveaskog</t>
        </is>
      </c>
      <c r="G342" t="n">
        <v>13.7</v>
      </c>
      <c r="H342" t="n">
        <v>0</v>
      </c>
      <c r="I342" t="n">
        <v>0</v>
      </c>
      <c r="J342" t="n">
        <v>0</v>
      </c>
      <c r="K342" t="n">
        <v>0</v>
      </c>
      <c r="L342" t="n">
        <v>0</v>
      </c>
      <c r="M342" t="n">
        <v>0</v>
      </c>
      <c r="N342" t="n">
        <v>0</v>
      </c>
      <c r="O342" t="n">
        <v>0</v>
      </c>
      <c r="P342" t="n">
        <v>0</v>
      </c>
      <c r="Q342" t="n">
        <v>0</v>
      </c>
      <c r="R342" s="2" t="inlineStr"/>
    </row>
    <row r="343" ht="15" customHeight="1">
      <c r="A343" t="inlineStr">
        <is>
          <t>A 45741-2022</t>
        </is>
      </c>
      <c r="B343" s="1" t="n">
        <v>44846</v>
      </c>
      <c r="C343" s="1" t="n">
        <v>45690</v>
      </c>
      <c r="D343" t="inlineStr">
        <is>
          <t>DALARNAS LÄN</t>
        </is>
      </c>
      <c r="E343" t="inlineStr">
        <is>
          <t>HEDEMORA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48639-2022</t>
        </is>
      </c>
      <c r="B344" s="1" t="n">
        <v>44859</v>
      </c>
      <c r="C344" s="1" t="n">
        <v>45690</v>
      </c>
      <c r="D344" t="inlineStr">
        <is>
          <t>DALARNAS LÄN</t>
        </is>
      </c>
      <c r="E344" t="inlineStr">
        <is>
          <t>HEDEMORA</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49160-2022</t>
        </is>
      </c>
      <c r="B345" s="1" t="n">
        <v>44860</v>
      </c>
      <c r="C345" s="1" t="n">
        <v>45690</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49768-2022</t>
        </is>
      </c>
      <c r="B346" s="1" t="n">
        <v>44862</v>
      </c>
      <c r="C346" s="1" t="n">
        <v>45690</v>
      </c>
      <c r="D346" t="inlineStr">
        <is>
          <t>DALARNAS LÄN</t>
        </is>
      </c>
      <c r="E346" t="inlineStr">
        <is>
          <t>HEDEMORA</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49890-2022</t>
        </is>
      </c>
      <c r="B347" s="1" t="n">
        <v>44864</v>
      </c>
      <c r="C347" s="1" t="n">
        <v>45690</v>
      </c>
      <c r="D347" t="inlineStr">
        <is>
          <t>DALARNAS LÄN</t>
        </is>
      </c>
      <c r="E347" t="inlineStr">
        <is>
          <t>HEDEMORA</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51181-2022</t>
        </is>
      </c>
      <c r="B348" s="1" t="n">
        <v>44868</v>
      </c>
      <c r="C348" s="1" t="n">
        <v>45690</v>
      </c>
      <c r="D348" t="inlineStr">
        <is>
          <t>DALARNAS LÄN</t>
        </is>
      </c>
      <c r="E348" t="inlineStr">
        <is>
          <t>HEDEMORA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51167-2022</t>
        </is>
      </c>
      <c r="B349" s="1" t="n">
        <v>44868</v>
      </c>
      <c r="C349" s="1" t="n">
        <v>45690</v>
      </c>
      <c r="D349" t="inlineStr">
        <is>
          <t>DALARNAS LÄN</t>
        </is>
      </c>
      <c r="E349" t="inlineStr">
        <is>
          <t>HEDEMORA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51520-2022</t>
        </is>
      </c>
      <c r="B350" s="1" t="n">
        <v>44869</v>
      </c>
      <c r="C350" s="1" t="n">
        <v>45690</v>
      </c>
      <c r="D350" t="inlineStr">
        <is>
          <t>DALARNAS LÄN</t>
        </is>
      </c>
      <c r="E350" t="inlineStr">
        <is>
          <t>HEDEMORA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52822-2022</t>
        </is>
      </c>
      <c r="B351" s="1" t="n">
        <v>44875</v>
      </c>
      <c r="C351" s="1" t="n">
        <v>45690</v>
      </c>
      <c r="D351" t="inlineStr">
        <is>
          <t>DALARNAS LÄN</t>
        </is>
      </c>
      <c r="E351" t="inlineStr">
        <is>
          <t>HEDEMORA</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53875-2022</t>
        </is>
      </c>
      <c r="B352" s="1" t="n">
        <v>44880</v>
      </c>
      <c r="C352" s="1" t="n">
        <v>45690</v>
      </c>
      <c r="D352" t="inlineStr">
        <is>
          <t>DALARNAS LÄN</t>
        </is>
      </c>
      <c r="E352" t="inlineStr">
        <is>
          <t>HEDEMORA</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53894-2022</t>
        </is>
      </c>
      <c r="B353" s="1" t="n">
        <v>44880</v>
      </c>
      <c r="C353" s="1" t="n">
        <v>45690</v>
      </c>
      <c r="D353" t="inlineStr">
        <is>
          <t>DALARNAS LÄN</t>
        </is>
      </c>
      <c r="E353" t="inlineStr">
        <is>
          <t>HEDEMORA</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53896-2022</t>
        </is>
      </c>
      <c r="B354" s="1" t="n">
        <v>44880</v>
      </c>
      <c r="C354" s="1" t="n">
        <v>45690</v>
      </c>
      <c r="D354" t="inlineStr">
        <is>
          <t>DALARNAS LÄN</t>
        </is>
      </c>
      <c r="E354" t="inlineStr">
        <is>
          <t>HEDEMORA</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53895-2022</t>
        </is>
      </c>
      <c r="B355" s="1" t="n">
        <v>44880</v>
      </c>
      <c r="C355" s="1" t="n">
        <v>45690</v>
      </c>
      <c r="D355" t="inlineStr">
        <is>
          <t>DALARNAS LÄN</t>
        </is>
      </c>
      <c r="E355" t="inlineStr">
        <is>
          <t>HEDEMORA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54198-2022</t>
        </is>
      </c>
      <c r="B356" s="1" t="n">
        <v>44881</v>
      </c>
      <c r="C356" s="1" t="n">
        <v>45690</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55143-2022</t>
        </is>
      </c>
      <c r="B357" s="1" t="n">
        <v>44886</v>
      </c>
      <c r="C357" s="1" t="n">
        <v>45690</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55145-2022</t>
        </is>
      </c>
      <c r="B358" s="1" t="n">
        <v>44886</v>
      </c>
      <c r="C358" s="1" t="n">
        <v>45690</v>
      </c>
      <c r="D358" t="inlineStr">
        <is>
          <t>DALARNAS LÄN</t>
        </is>
      </c>
      <c r="E358" t="inlineStr">
        <is>
          <t>HEDEMORA</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55142-2022</t>
        </is>
      </c>
      <c r="B359" s="1" t="n">
        <v>44886</v>
      </c>
      <c r="C359" s="1" t="n">
        <v>45690</v>
      </c>
      <c r="D359" t="inlineStr">
        <is>
          <t>DALARNAS LÄN</t>
        </is>
      </c>
      <c r="E359" t="inlineStr">
        <is>
          <t>HEDEMORA</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57143-2022</t>
        </is>
      </c>
      <c r="B360" s="1" t="n">
        <v>44895</v>
      </c>
      <c r="C360" s="1" t="n">
        <v>45690</v>
      </c>
      <c r="D360" t="inlineStr">
        <is>
          <t>DALARNAS LÄN</t>
        </is>
      </c>
      <c r="E360" t="inlineStr">
        <is>
          <t>HEDEMORA</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58005-2022</t>
        </is>
      </c>
      <c r="B361" s="1" t="n">
        <v>44900</v>
      </c>
      <c r="C361" s="1" t="n">
        <v>45690</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58018-2022</t>
        </is>
      </c>
      <c r="B362" s="1" t="n">
        <v>44900</v>
      </c>
      <c r="C362" s="1" t="n">
        <v>45690</v>
      </c>
      <c r="D362" t="inlineStr">
        <is>
          <t>DALARNAS LÄN</t>
        </is>
      </c>
      <c r="E362" t="inlineStr">
        <is>
          <t>HEDEMORA</t>
        </is>
      </c>
      <c r="G362" t="n">
        <v>3.6</v>
      </c>
      <c r="H362" t="n">
        <v>0</v>
      </c>
      <c r="I362" t="n">
        <v>0</v>
      </c>
      <c r="J362" t="n">
        <v>0</v>
      </c>
      <c r="K362" t="n">
        <v>0</v>
      </c>
      <c r="L362" t="n">
        <v>0</v>
      </c>
      <c r="M362" t="n">
        <v>0</v>
      </c>
      <c r="N362" t="n">
        <v>0</v>
      </c>
      <c r="O362" t="n">
        <v>0</v>
      </c>
      <c r="P362" t="n">
        <v>0</v>
      </c>
      <c r="Q362" t="n">
        <v>0</v>
      </c>
      <c r="R362" s="2" t="inlineStr"/>
    </row>
    <row r="363" ht="15" customHeight="1">
      <c r="A363" t="inlineStr">
        <is>
          <t>A 59088-2022</t>
        </is>
      </c>
      <c r="B363" s="1" t="n">
        <v>44904</v>
      </c>
      <c r="C363" s="1" t="n">
        <v>45690</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59280-2022</t>
        </is>
      </c>
      <c r="B364" s="1" t="n">
        <v>44904</v>
      </c>
      <c r="C364" s="1" t="n">
        <v>45690</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60077-2022</t>
        </is>
      </c>
      <c r="B365" s="1" t="n">
        <v>44909</v>
      </c>
      <c r="C365" s="1" t="n">
        <v>45690</v>
      </c>
      <c r="D365" t="inlineStr">
        <is>
          <t>DALARNAS LÄN</t>
        </is>
      </c>
      <c r="E365" t="inlineStr">
        <is>
          <t>HEDEMORA</t>
        </is>
      </c>
      <c r="G365" t="n">
        <v>1.8</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45690</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60475-2022</t>
        </is>
      </c>
      <c r="B367" s="1" t="n">
        <v>44911</v>
      </c>
      <c r="C367" s="1" t="n">
        <v>45690</v>
      </c>
      <c r="D367" t="inlineStr">
        <is>
          <t>DALARNAS LÄN</t>
        </is>
      </c>
      <c r="E367" t="inlineStr">
        <is>
          <t>HEDEMORA</t>
        </is>
      </c>
      <c r="G367" t="n">
        <v>1</v>
      </c>
      <c r="H367" t="n">
        <v>0</v>
      </c>
      <c r="I367" t="n">
        <v>0</v>
      </c>
      <c r="J367" t="n">
        <v>0</v>
      </c>
      <c r="K367" t="n">
        <v>0</v>
      </c>
      <c r="L367" t="n">
        <v>0</v>
      </c>
      <c r="M367" t="n">
        <v>0</v>
      </c>
      <c r="N367" t="n">
        <v>0</v>
      </c>
      <c r="O367" t="n">
        <v>0</v>
      </c>
      <c r="P367" t="n">
        <v>0</v>
      </c>
      <c r="Q367" t="n">
        <v>0</v>
      </c>
      <c r="R367" s="2" t="inlineStr"/>
    </row>
    <row r="368" ht="15" customHeight="1">
      <c r="A368" t="inlineStr">
        <is>
          <t>A 60774-2022</t>
        </is>
      </c>
      <c r="B368" s="1" t="n">
        <v>44914</v>
      </c>
      <c r="C368" s="1" t="n">
        <v>45690</v>
      </c>
      <c r="D368" t="inlineStr">
        <is>
          <t>DALARNAS LÄN</t>
        </is>
      </c>
      <c r="E368" t="inlineStr">
        <is>
          <t>HEDEMORA</t>
        </is>
      </c>
      <c r="G368" t="n">
        <v>11.5</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45690</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61883-2022</t>
        </is>
      </c>
      <c r="B370" s="1" t="n">
        <v>44917</v>
      </c>
      <c r="C370" s="1" t="n">
        <v>45690</v>
      </c>
      <c r="D370" t="inlineStr">
        <is>
          <t>DALARNAS LÄN</t>
        </is>
      </c>
      <c r="E370" t="inlineStr">
        <is>
          <t>HEDEMORA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61886-2022</t>
        </is>
      </c>
      <c r="B371" s="1" t="n">
        <v>44917</v>
      </c>
      <c r="C371" s="1" t="n">
        <v>45690</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62051-2022</t>
        </is>
      </c>
      <c r="B372" s="1" t="n">
        <v>44918</v>
      </c>
      <c r="C372" s="1" t="n">
        <v>45690</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62046-2022</t>
        </is>
      </c>
      <c r="B373" s="1" t="n">
        <v>44918</v>
      </c>
      <c r="C373" s="1" t="n">
        <v>45690</v>
      </c>
      <c r="D373" t="inlineStr">
        <is>
          <t>DALARNAS LÄN</t>
        </is>
      </c>
      <c r="E373" t="inlineStr">
        <is>
          <t>HEDEMORA</t>
        </is>
      </c>
      <c r="G373" t="n">
        <v>1.2</v>
      </c>
      <c r="H373" t="n">
        <v>0</v>
      </c>
      <c r="I373" t="n">
        <v>0</v>
      </c>
      <c r="J373" t="n">
        <v>0</v>
      </c>
      <c r="K373" t="n">
        <v>0</v>
      </c>
      <c r="L373" t="n">
        <v>0</v>
      </c>
      <c r="M373" t="n">
        <v>0</v>
      </c>
      <c r="N373" t="n">
        <v>0</v>
      </c>
      <c r="O373" t="n">
        <v>0</v>
      </c>
      <c r="P373" t="n">
        <v>0</v>
      </c>
      <c r="Q373" t="n">
        <v>0</v>
      </c>
      <c r="R373" s="2" t="inlineStr"/>
    </row>
    <row r="374" ht="15" customHeight="1">
      <c r="A374" t="inlineStr">
        <is>
          <t>A 566-2023</t>
        </is>
      </c>
      <c r="B374" s="1" t="n">
        <v>44925</v>
      </c>
      <c r="C374" s="1" t="n">
        <v>45690</v>
      </c>
      <c r="D374" t="inlineStr">
        <is>
          <t>DALARNAS LÄN</t>
        </is>
      </c>
      <c r="E374" t="inlineStr">
        <is>
          <t>HEDEMORA</t>
        </is>
      </c>
      <c r="G374" t="n">
        <v>13.7</v>
      </c>
      <c r="H374" t="n">
        <v>0</v>
      </c>
      <c r="I374" t="n">
        <v>0</v>
      </c>
      <c r="J374" t="n">
        <v>0</v>
      </c>
      <c r="K374" t="n">
        <v>0</v>
      </c>
      <c r="L374" t="n">
        <v>0</v>
      </c>
      <c r="M374" t="n">
        <v>0</v>
      </c>
      <c r="N374" t="n">
        <v>0</v>
      </c>
      <c r="O374" t="n">
        <v>0</v>
      </c>
      <c r="P374" t="n">
        <v>0</v>
      </c>
      <c r="Q374" t="n">
        <v>0</v>
      </c>
      <c r="R374" s="2" t="inlineStr"/>
    </row>
    <row r="375" ht="15" customHeight="1">
      <c r="A375" t="inlineStr">
        <is>
          <t>A 1140-2023</t>
        </is>
      </c>
      <c r="B375" s="1" t="n">
        <v>44935</v>
      </c>
      <c r="C375" s="1" t="n">
        <v>45690</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2996-2023</t>
        </is>
      </c>
      <c r="B376" s="1" t="n">
        <v>44945</v>
      </c>
      <c r="C376" s="1" t="n">
        <v>45690</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5010-2023</t>
        </is>
      </c>
      <c r="B377" s="1" t="n">
        <v>44956</v>
      </c>
      <c r="C377" s="1" t="n">
        <v>45690</v>
      </c>
      <c r="D377" t="inlineStr">
        <is>
          <t>DALARNAS LÄN</t>
        </is>
      </c>
      <c r="E377" t="inlineStr">
        <is>
          <t>HEDEMORA</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6556-2023</t>
        </is>
      </c>
      <c r="B378" s="1" t="n">
        <v>44961</v>
      </c>
      <c r="C378" s="1" t="n">
        <v>45690</v>
      </c>
      <c r="D378" t="inlineStr">
        <is>
          <t>DALARNAS LÄN</t>
        </is>
      </c>
      <c r="E378" t="inlineStr">
        <is>
          <t>HEDEMORA</t>
        </is>
      </c>
      <c r="G378" t="n">
        <v>3.7</v>
      </c>
      <c r="H378" t="n">
        <v>0</v>
      </c>
      <c r="I378" t="n">
        <v>0</v>
      </c>
      <c r="J378" t="n">
        <v>0</v>
      </c>
      <c r="K378" t="n">
        <v>0</v>
      </c>
      <c r="L378" t="n">
        <v>0</v>
      </c>
      <c r="M378" t="n">
        <v>0</v>
      </c>
      <c r="N378" t="n">
        <v>0</v>
      </c>
      <c r="O378" t="n">
        <v>0</v>
      </c>
      <c r="P378" t="n">
        <v>0</v>
      </c>
      <c r="Q378" t="n">
        <v>0</v>
      </c>
      <c r="R378" s="2" t="inlineStr"/>
    </row>
    <row r="379" ht="15" customHeight="1">
      <c r="A379" t="inlineStr">
        <is>
          <t>A 6806-2023</t>
        </is>
      </c>
      <c r="B379" s="1" t="n">
        <v>44967</v>
      </c>
      <c r="C379" s="1" t="n">
        <v>45690</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8715-2023</t>
        </is>
      </c>
      <c r="B380" s="1" t="n">
        <v>44978</v>
      </c>
      <c r="C380" s="1" t="n">
        <v>45690</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9635-2023</t>
        </is>
      </c>
      <c r="B381" s="1" t="n">
        <v>44984</v>
      </c>
      <c r="C381" s="1" t="n">
        <v>45690</v>
      </c>
      <c r="D381" t="inlineStr">
        <is>
          <t>DALARNAS LÄN</t>
        </is>
      </c>
      <c r="E381" t="inlineStr">
        <is>
          <t>HEDEMORA</t>
        </is>
      </c>
      <c r="G381" t="n">
        <v>2.5</v>
      </c>
      <c r="H381" t="n">
        <v>0</v>
      </c>
      <c r="I381" t="n">
        <v>0</v>
      </c>
      <c r="J381" t="n">
        <v>0</v>
      </c>
      <c r="K381" t="n">
        <v>0</v>
      </c>
      <c r="L381" t="n">
        <v>0</v>
      </c>
      <c r="M381" t="n">
        <v>0</v>
      </c>
      <c r="N381" t="n">
        <v>0</v>
      </c>
      <c r="O381" t="n">
        <v>0</v>
      </c>
      <c r="P381" t="n">
        <v>0</v>
      </c>
      <c r="Q381" t="n">
        <v>0</v>
      </c>
      <c r="R381" s="2" t="inlineStr"/>
    </row>
    <row r="382" ht="15" customHeight="1">
      <c r="A382" t="inlineStr">
        <is>
          <t>A 9920-2023</t>
        </is>
      </c>
      <c r="B382" s="1" t="n">
        <v>44985</v>
      </c>
      <c r="C382" s="1" t="n">
        <v>45690</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9918-2023</t>
        </is>
      </c>
      <c r="B383" s="1" t="n">
        <v>44985</v>
      </c>
      <c r="C383" s="1" t="n">
        <v>45690</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9922-2023</t>
        </is>
      </c>
      <c r="B384" s="1" t="n">
        <v>44985</v>
      </c>
      <c r="C384" s="1" t="n">
        <v>45690</v>
      </c>
      <c r="D384" t="inlineStr">
        <is>
          <t>DALARNAS LÄN</t>
        </is>
      </c>
      <c r="E384" t="inlineStr">
        <is>
          <t>HEDEMORA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9972-2023</t>
        </is>
      </c>
      <c r="B385" s="1" t="n">
        <v>44985</v>
      </c>
      <c r="C385" s="1" t="n">
        <v>45690</v>
      </c>
      <c r="D385" t="inlineStr">
        <is>
          <t>DALARNAS LÄN</t>
        </is>
      </c>
      <c r="E385" t="inlineStr">
        <is>
          <t>HEDEMORA</t>
        </is>
      </c>
      <c r="G385" t="n">
        <v>4.1</v>
      </c>
      <c r="H385" t="n">
        <v>0</v>
      </c>
      <c r="I385" t="n">
        <v>0</v>
      </c>
      <c r="J385" t="n">
        <v>0</v>
      </c>
      <c r="K385" t="n">
        <v>0</v>
      </c>
      <c r="L385" t="n">
        <v>0</v>
      </c>
      <c r="M385" t="n">
        <v>0</v>
      </c>
      <c r="N385" t="n">
        <v>0</v>
      </c>
      <c r="O385" t="n">
        <v>0</v>
      </c>
      <c r="P385" t="n">
        <v>0</v>
      </c>
      <c r="Q385" t="n">
        <v>0</v>
      </c>
      <c r="R385" s="2" t="inlineStr"/>
    </row>
    <row r="386" ht="15" customHeight="1">
      <c r="A386" t="inlineStr">
        <is>
          <t>A 11920-2023</t>
        </is>
      </c>
      <c r="B386" s="1" t="n">
        <v>44995</v>
      </c>
      <c r="C386" s="1" t="n">
        <v>45690</v>
      </c>
      <c r="D386" t="inlineStr">
        <is>
          <t>DALARNAS LÄN</t>
        </is>
      </c>
      <c r="E386" t="inlineStr">
        <is>
          <t>HEDEMORA</t>
        </is>
      </c>
      <c r="G386" t="n">
        <v>10.6</v>
      </c>
      <c r="H386" t="n">
        <v>0</v>
      </c>
      <c r="I386" t="n">
        <v>0</v>
      </c>
      <c r="J386" t="n">
        <v>0</v>
      </c>
      <c r="K386" t="n">
        <v>0</v>
      </c>
      <c r="L386" t="n">
        <v>0</v>
      </c>
      <c r="M386" t="n">
        <v>0</v>
      </c>
      <c r="N386" t="n">
        <v>0</v>
      </c>
      <c r="O386" t="n">
        <v>0</v>
      </c>
      <c r="P386" t="n">
        <v>0</v>
      </c>
      <c r="Q386" t="n">
        <v>0</v>
      </c>
      <c r="R386" s="2" t="inlineStr"/>
    </row>
    <row r="387" ht="15" customHeight="1">
      <c r="A387" t="inlineStr">
        <is>
          <t>A 12259-2023</t>
        </is>
      </c>
      <c r="B387" s="1" t="n">
        <v>44998</v>
      </c>
      <c r="C387" s="1" t="n">
        <v>45690</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13457-2023</t>
        </is>
      </c>
      <c r="B388" s="1" t="n">
        <v>45005</v>
      </c>
      <c r="C388" s="1" t="n">
        <v>45690</v>
      </c>
      <c r="D388" t="inlineStr">
        <is>
          <t>DALARNAS LÄN</t>
        </is>
      </c>
      <c r="E388" t="inlineStr">
        <is>
          <t>HEDEMORA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13596-2023</t>
        </is>
      </c>
      <c r="B389" s="1" t="n">
        <v>45005</v>
      </c>
      <c r="C389" s="1" t="n">
        <v>45690</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14787-2023</t>
        </is>
      </c>
      <c r="B390" s="1" t="n">
        <v>45014</v>
      </c>
      <c r="C390" s="1" t="n">
        <v>45690</v>
      </c>
      <c r="D390" t="inlineStr">
        <is>
          <t>DALARNAS LÄN</t>
        </is>
      </c>
      <c r="E390" t="inlineStr">
        <is>
          <t>HEDEMORA</t>
        </is>
      </c>
      <c r="G390" t="n">
        <v>3.5</v>
      </c>
      <c r="H390" t="n">
        <v>0</v>
      </c>
      <c r="I390" t="n">
        <v>0</v>
      </c>
      <c r="J390" t="n">
        <v>0</v>
      </c>
      <c r="K390" t="n">
        <v>0</v>
      </c>
      <c r="L390" t="n">
        <v>0</v>
      </c>
      <c r="M390" t="n">
        <v>0</v>
      </c>
      <c r="N390" t="n">
        <v>0</v>
      </c>
      <c r="O390" t="n">
        <v>0</v>
      </c>
      <c r="P390" t="n">
        <v>0</v>
      </c>
      <c r="Q390" t="n">
        <v>0</v>
      </c>
      <c r="R390" s="2" t="inlineStr"/>
    </row>
    <row r="391" ht="15" customHeight="1">
      <c r="A391" t="inlineStr">
        <is>
          <t>A 14954-2023</t>
        </is>
      </c>
      <c r="B391" s="1" t="n">
        <v>45015</v>
      </c>
      <c r="C391" s="1" t="n">
        <v>45690</v>
      </c>
      <c r="D391" t="inlineStr">
        <is>
          <t>DALARNAS LÄN</t>
        </is>
      </c>
      <c r="E391" t="inlineStr">
        <is>
          <t>HEDEMORA</t>
        </is>
      </c>
      <c r="G391" t="n">
        <v>5.3</v>
      </c>
      <c r="H391" t="n">
        <v>0</v>
      </c>
      <c r="I391" t="n">
        <v>0</v>
      </c>
      <c r="J391" t="n">
        <v>0</v>
      </c>
      <c r="K391" t="n">
        <v>0</v>
      </c>
      <c r="L391" t="n">
        <v>0</v>
      </c>
      <c r="M391" t="n">
        <v>0</v>
      </c>
      <c r="N391" t="n">
        <v>0</v>
      </c>
      <c r="O391" t="n">
        <v>0</v>
      </c>
      <c r="P391" t="n">
        <v>0</v>
      </c>
      <c r="Q391" t="n">
        <v>0</v>
      </c>
      <c r="R391" s="2" t="inlineStr"/>
    </row>
    <row r="392" ht="15" customHeight="1">
      <c r="A392" t="inlineStr">
        <is>
          <t>A 15858-2023</t>
        </is>
      </c>
      <c r="B392" s="1" t="n">
        <v>45022</v>
      </c>
      <c r="C392" s="1" t="n">
        <v>45690</v>
      </c>
      <c r="D392" t="inlineStr">
        <is>
          <t>DALARNAS LÄN</t>
        </is>
      </c>
      <c r="E392" t="inlineStr">
        <is>
          <t>HEDEMORA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15863-2023</t>
        </is>
      </c>
      <c r="B393" s="1" t="n">
        <v>45022</v>
      </c>
      <c r="C393" s="1" t="n">
        <v>45690</v>
      </c>
      <c r="D393" t="inlineStr">
        <is>
          <t>DALARNAS LÄN</t>
        </is>
      </c>
      <c r="E393" t="inlineStr">
        <is>
          <t>HEDEMORA</t>
        </is>
      </c>
      <c r="F393" t="inlineStr">
        <is>
          <t>Bergvik skog väst AB</t>
        </is>
      </c>
      <c r="G393" t="n">
        <v>4.7</v>
      </c>
      <c r="H393" t="n">
        <v>0</v>
      </c>
      <c r="I393" t="n">
        <v>0</v>
      </c>
      <c r="J393" t="n">
        <v>0</v>
      </c>
      <c r="K393" t="n">
        <v>0</v>
      </c>
      <c r="L393" t="n">
        <v>0</v>
      </c>
      <c r="M393" t="n">
        <v>0</v>
      </c>
      <c r="N393" t="n">
        <v>0</v>
      </c>
      <c r="O393" t="n">
        <v>0</v>
      </c>
      <c r="P393" t="n">
        <v>0</v>
      </c>
      <c r="Q393" t="n">
        <v>0</v>
      </c>
      <c r="R393" s="2" t="inlineStr"/>
    </row>
    <row r="394" ht="15" customHeight="1">
      <c r="A394" t="inlineStr">
        <is>
          <t>A 16046-2023</t>
        </is>
      </c>
      <c r="B394" s="1" t="n">
        <v>45027</v>
      </c>
      <c r="C394" s="1" t="n">
        <v>45690</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row r="395" ht="15" customHeight="1">
      <c r="A395" t="inlineStr">
        <is>
          <t>A 16589-2023</t>
        </is>
      </c>
      <c r="B395" s="1" t="n">
        <v>45030</v>
      </c>
      <c r="C395" s="1" t="n">
        <v>45690</v>
      </c>
      <c r="D395" t="inlineStr">
        <is>
          <t>DALARNAS LÄN</t>
        </is>
      </c>
      <c r="E395" t="inlineStr">
        <is>
          <t>HEDEMORA</t>
        </is>
      </c>
      <c r="G395" t="n">
        <v>0.9</v>
      </c>
      <c r="H395" t="n">
        <v>0</v>
      </c>
      <c r="I395" t="n">
        <v>0</v>
      </c>
      <c r="J395" t="n">
        <v>0</v>
      </c>
      <c r="K395" t="n">
        <v>0</v>
      </c>
      <c r="L395" t="n">
        <v>0</v>
      </c>
      <c r="M395" t="n">
        <v>0</v>
      </c>
      <c r="N395" t="n">
        <v>0</v>
      </c>
      <c r="O395" t="n">
        <v>0</v>
      </c>
      <c r="P395" t="n">
        <v>0</v>
      </c>
      <c r="Q395" t="n">
        <v>0</v>
      </c>
      <c r="R395" s="2" t="inlineStr"/>
    </row>
    <row r="396" ht="15" customHeight="1">
      <c r="A396" t="inlineStr">
        <is>
          <t>A 16821-2023</t>
        </is>
      </c>
      <c r="B396" s="1" t="n">
        <v>45033</v>
      </c>
      <c r="C396" s="1" t="n">
        <v>45690</v>
      </c>
      <c r="D396" t="inlineStr">
        <is>
          <t>DALARNAS LÄN</t>
        </is>
      </c>
      <c r="E396" t="inlineStr">
        <is>
          <t>HEDEMORA</t>
        </is>
      </c>
      <c r="G396" t="n">
        <v>2.1</v>
      </c>
      <c r="H396" t="n">
        <v>0</v>
      </c>
      <c r="I396" t="n">
        <v>0</v>
      </c>
      <c r="J396" t="n">
        <v>0</v>
      </c>
      <c r="K396" t="n">
        <v>0</v>
      </c>
      <c r="L396" t="n">
        <v>0</v>
      </c>
      <c r="M396" t="n">
        <v>0</v>
      </c>
      <c r="N396" t="n">
        <v>0</v>
      </c>
      <c r="O396" t="n">
        <v>0</v>
      </c>
      <c r="P396" t="n">
        <v>0</v>
      </c>
      <c r="Q396" t="n">
        <v>0</v>
      </c>
      <c r="R396" s="2" t="inlineStr"/>
    </row>
    <row r="397" ht="15" customHeight="1">
      <c r="A397" t="inlineStr">
        <is>
          <t>A 17247-2023</t>
        </is>
      </c>
      <c r="B397" s="1" t="n">
        <v>45035</v>
      </c>
      <c r="C397" s="1" t="n">
        <v>45690</v>
      </c>
      <c r="D397" t="inlineStr">
        <is>
          <t>DALARNAS LÄN</t>
        </is>
      </c>
      <c r="E397" t="inlineStr">
        <is>
          <t>HEDEMORA</t>
        </is>
      </c>
      <c r="G397" t="n">
        <v>2.2</v>
      </c>
      <c r="H397" t="n">
        <v>0</v>
      </c>
      <c r="I397" t="n">
        <v>0</v>
      </c>
      <c r="J397" t="n">
        <v>0</v>
      </c>
      <c r="K397" t="n">
        <v>0</v>
      </c>
      <c r="L397" t="n">
        <v>0</v>
      </c>
      <c r="M397" t="n">
        <v>0</v>
      </c>
      <c r="N397" t="n">
        <v>0</v>
      </c>
      <c r="O397" t="n">
        <v>0</v>
      </c>
      <c r="P397" t="n">
        <v>0</v>
      </c>
      <c r="Q397" t="n">
        <v>0</v>
      </c>
      <c r="R397" s="2" t="inlineStr"/>
    </row>
    <row r="398" ht="15" customHeight="1">
      <c r="A398" t="inlineStr">
        <is>
          <t>A 18470-2023</t>
        </is>
      </c>
      <c r="B398" s="1" t="n">
        <v>45042</v>
      </c>
      <c r="C398" s="1" t="n">
        <v>45690</v>
      </c>
      <c r="D398" t="inlineStr">
        <is>
          <t>DALARNAS LÄN</t>
        </is>
      </c>
      <c r="E398" t="inlineStr">
        <is>
          <t>HEDEMORA</t>
        </is>
      </c>
      <c r="G398" t="n">
        <v>2.5</v>
      </c>
      <c r="H398" t="n">
        <v>0</v>
      </c>
      <c r="I398" t="n">
        <v>0</v>
      </c>
      <c r="J398" t="n">
        <v>0</v>
      </c>
      <c r="K398" t="n">
        <v>0</v>
      </c>
      <c r="L398" t="n">
        <v>0</v>
      </c>
      <c r="M398" t="n">
        <v>0</v>
      </c>
      <c r="N398" t="n">
        <v>0</v>
      </c>
      <c r="O398" t="n">
        <v>0</v>
      </c>
      <c r="P398" t="n">
        <v>0</v>
      </c>
      <c r="Q398" t="n">
        <v>0</v>
      </c>
      <c r="R398" s="2" t="inlineStr"/>
    </row>
    <row r="399" ht="15" customHeight="1">
      <c r="A399" t="inlineStr">
        <is>
          <t>A 20153-2023</t>
        </is>
      </c>
      <c r="B399" s="1" t="n">
        <v>45055</v>
      </c>
      <c r="C399" s="1" t="n">
        <v>45690</v>
      </c>
      <c r="D399" t="inlineStr">
        <is>
          <t>DALARNAS LÄN</t>
        </is>
      </c>
      <c r="E399" t="inlineStr">
        <is>
          <t>HEDEMORA</t>
        </is>
      </c>
      <c r="G399" t="n">
        <v>1.7</v>
      </c>
      <c r="H399" t="n">
        <v>0</v>
      </c>
      <c r="I399" t="n">
        <v>0</v>
      </c>
      <c r="J399" t="n">
        <v>0</v>
      </c>
      <c r="K399" t="n">
        <v>0</v>
      </c>
      <c r="L399" t="n">
        <v>0</v>
      </c>
      <c r="M399" t="n">
        <v>0</v>
      </c>
      <c r="N399" t="n">
        <v>0</v>
      </c>
      <c r="O399" t="n">
        <v>0</v>
      </c>
      <c r="P399" t="n">
        <v>0</v>
      </c>
      <c r="Q399" t="n">
        <v>0</v>
      </c>
      <c r="R399" s="2" t="inlineStr"/>
    </row>
    <row r="400" ht="15" customHeight="1">
      <c r="A400" t="inlineStr">
        <is>
          <t>A 20224-2023</t>
        </is>
      </c>
      <c r="B400" s="1" t="n">
        <v>45055</v>
      </c>
      <c r="C400" s="1" t="n">
        <v>45690</v>
      </c>
      <c r="D400" t="inlineStr">
        <is>
          <t>DALARNAS LÄN</t>
        </is>
      </c>
      <c r="E400" t="inlineStr">
        <is>
          <t>HEDEMORA</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20226-2023</t>
        </is>
      </c>
      <c r="B401" s="1" t="n">
        <v>45055</v>
      </c>
      <c r="C401" s="1" t="n">
        <v>45690</v>
      </c>
      <c r="D401" t="inlineStr">
        <is>
          <t>DALARNAS LÄN</t>
        </is>
      </c>
      <c r="E401" t="inlineStr">
        <is>
          <t>HEDEMORA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20237-2023</t>
        </is>
      </c>
      <c r="B402" s="1" t="n">
        <v>45055</v>
      </c>
      <c r="C402" s="1" t="n">
        <v>45690</v>
      </c>
      <c r="D402" t="inlineStr">
        <is>
          <t>DALARNAS LÄN</t>
        </is>
      </c>
      <c r="E402" t="inlineStr">
        <is>
          <t>HEDEMORA</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20229-2023</t>
        </is>
      </c>
      <c r="B403" s="1" t="n">
        <v>45055</v>
      </c>
      <c r="C403" s="1" t="n">
        <v>45690</v>
      </c>
      <c r="D403" t="inlineStr">
        <is>
          <t>DALARNAS LÄN</t>
        </is>
      </c>
      <c r="E403" t="inlineStr">
        <is>
          <t>HEDEMORA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20233-2023</t>
        </is>
      </c>
      <c r="B404" s="1" t="n">
        <v>45055</v>
      </c>
      <c r="C404" s="1" t="n">
        <v>45690</v>
      </c>
      <c r="D404" t="inlineStr">
        <is>
          <t>DALARNAS LÄN</t>
        </is>
      </c>
      <c r="E404" t="inlineStr">
        <is>
          <t>HEDEMORA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20239-2023</t>
        </is>
      </c>
      <c r="B405" s="1" t="n">
        <v>45055</v>
      </c>
      <c r="C405" s="1" t="n">
        <v>45690</v>
      </c>
      <c r="D405" t="inlineStr">
        <is>
          <t>DALARNAS LÄN</t>
        </is>
      </c>
      <c r="E405" t="inlineStr">
        <is>
          <t>HEDEMORA</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21093-2023</t>
        </is>
      </c>
      <c r="B406" s="1" t="n">
        <v>45061</v>
      </c>
      <c r="C406" s="1" t="n">
        <v>45690</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21096-2023</t>
        </is>
      </c>
      <c r="B407" s="1" t="n">
        <v>45061</v>
      </c>
      <c r="C407" s="1" t="n">
        <v>45690</v>
      </c>
      <c r="D407" t="inlineStr">
        <is>
          <t>DALARNAS LÄN</t>
        </is>
      </c>
      <c r="E407" t="inlineStr">
        <is>
          <t>HEDEMORA</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21092-2023</t>
        </is>
      </c>
      <c r="B408" s="1" t="n">
        <v>45061</v>
      </c>
      <c r="C408" s="1" t="n">
        <v>45690</v>
      </c>
      <c r="D408" t="inlineStr">
        <is>
          <t>DALARNAS LÄN</t>
        </is>
      </c>
      <c r="E408" t="inlineStr">
        <is>
          <t>HEDEMORA</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21657-2023</t>
        </is>
      </c>
      <c r="B409" s="1" t="n">
        <v>45063</v>
      </c>
      <c r="C409" s="1" t="n">
        <v>45690</v>
      </c>
      <c r="D409" t="inlineStr">
        <is>
          <t>DALARNAS LÄN</t>
        </is>
      </c>
      <c r="E409" t="inlineStr">
        <is>
          <t>HEDEMORA</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21763-2023</t>
        </is>
      </c>
      <c r="B410" s="1" t="n">
        <v>45065</v>
      </c>
      <c r="C410" s="1" t="n">
        <v>45690</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21762-2023</t>
        </is>
      </c>
      <c r="B411" s="1" t="n">
        <v>45065</v>
      </c>
      <c r="C411" s="1" t="n">
        <v>45690</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22222-2023</t>
        </is>
      </c>
      <c r="B412" s="1" t="n">
        <v>45070</v>
      </c>
      <c r="C412" s="1" t="n">
        <v>45690</v>
      </c>
      <c r="D412" t="inlineStr">
        <is>
          <t>DALARNAS LÄN</t>
        </is>
      </c>
      <c r="E412" t="inlineStr">
        <is>
          <t>HEDEMORA</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22273-2023</t>
        </is>
      </c>
      <c r="B413" s="1" t="n">
        <v>45070</v>
      </c>
      <c r="C413" s="1" t="n">
        <v>45690</v>
      </c>
      <c r="D413" t="inlineStr">
        <is>
          <t>DALARNAS LÄN</t>
        </is>
      </c>
      <c r="E413" t="inlineStr">
        <is>
          <t>HEDEMORA</t>
        </is>
      </c>
      <c r="G413" t="n">
        <v>1.3</v>
      </c>
      <c r="H413" t="n">
        <v>0</v>
      </c>
      <c r="I413" t="n">
        <v>0</v>
      </c>
      <c r="J413" t="n">
        <v>0</v>
      </c>
      <c r="K413" t="n">
        <v>0</v>
      </c>
      <c r="L413" t="n">
        <v>0</v>
      </c>
      <c r="M413" t="n">
        <v>0</v>
      </c>
      <c r="N413" t="n">
        <v>0</v>
      </c>
      <c r="O413" t="n">
        <v>0</v>
      </c>
      <c r="P413" t="n">
        <v>0</v>
      </c>
      <c r="Q413" t="n">
        <v>0</v>
      </c>
      <c r="R413" s="2" t="inlineStr"/>
    </row>
    <row r="414" ht="15" customHeight="1">
      <c r="A414" t="inlineStr">
        <is>
          <t>A 22270-2023</t>
        </is>
      </c>
      <c r="B414" s="1" t="n">
        <v>45070</v>
      </c>
      <c r="C414" s="1" t="n">
        <v>45690</v>
      </c>
      <c r="D414" t="inlineStr">
        <is>
          <t>DALARNAS LÄN</t>
        </is>
      </c>
      <c r="E414" t="inlineStr">
        <is>
          <t>HEDEMORA</t>
        </is>
      </c>
      <c r="G414" t="n">
        <v>1.8</v>
      </c>
      <c r="H414" t="n">
        <v>0</v>
      </c>
      <c r="I414" t="n">
        <v>0</v>
      </c>
      <c r="J414" t="n">
        <v>0</v>
      </c>
      <c r="K414" t="n">
        <v>0</v>
      </c>
      <c r="L414" t="n">
        <v>0</v>
      </c>
      <c r="M414" t="n">
        <v>0</v>
      </c>
      <c r="N414" t="n">
        <v>0</v>
      </c>
      <c r="O414" t="n">
        <v>0</v>
      </c>
      <c r="P414" t="n">
        <v>0</v>
      </c>
      <c r="Q414" t="n">
        <v>0</v>
      </c>
      <c r="R414" s="2" t="inlineStr"/>
    </row>
    <row r="415" ht="15" customHeight="1">
      <c r="A415" t="inlineStr">
        <is>
          <t>A 22726-2023</t>
        </is>
      </c>
      <c r="B415" s="1" t="n">
        <v>45071</v>
      </c>
      <c r="C415" s="1" t="n">
        <v>45690</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23501-2023</t>
        </is>
      </c>
      <c r="B416" s="1" t="n">
        <v>45076</v>
      </c>
      <c r="C416" s="1" t="n">
        <v>45690</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23934-2023</t>
        </is>
      </c>
      <c r="B417" s="1" t="n">
        <v>45078</v>
      </c>
      <c r="C417" s="1" t="n">
        <v>45690</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23968-2023</t>
        </is>
      </c>
      <c r="B418" s="1" t="n">
        <v>45078</v>
      </c>
      <c r="C418" s="1" t="n">
        <v>45690</v>
      </c>
      <c r="D418" t="inlineStr">
        <is>
          <t>DALARNAS LÄN</t>
        </is>
      </c>
      <c r="E418" t="inlineStr">
        <is>
          <t>HEDEMORA</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24569-2023</t>
        </is>
      </c>
      <c r="B419" s="1" t="n">
        <v>45083</v>
      </c>
      <c r="C419" s="1" t="n">
        <v>45690</v>
      </c>
      <c r="D419" t="inlineStr">
        <is>
          <t>DALARNAS LÄN</t>
        </is>
      </c>
      <c r="E419" t="inlineStr">
        <is>
          <t>HEDEMORA</t>
        </is>
      </c>
      <c r="F419" t="inlineStr">
        <is>
          <t>Sveaskog</t>
        </is>
      </c>
      <c r="G419" t="n">
        <v>34.6</v>
      </c>
      <c r="H419" t="n">
        <v>0</v>
      </c>
      <c r="I419" t="n">
        <v>0</v>
      </c>
      <c r="J419" t="n">
        <v>0</v>
      </c>
      <c r="K419" t="n">
        <v>0</v>
      </c>
      <c r="L419" t="n">
        <v>0</v>
      </c>
      <c r="M419" t="n">
        <v>0</v>
      </c>
      <c r="N419" t="n">
        <v>0</v>
      </c>
      <c r="O419" t="n">
        <v>0</v>
      </c>
      <c r="P419" t="n">
        <v>0</v>
      </c>
      <c r="Q419" t="n">
        <v>0</v>
      </c>
      <c r="R419" s="2" t="inlineStr"/>
    </row>
    <row r="420" ht="15" customHeight="1">
      <c r="A420" t="inlineStr">
        <is>
          <t>A 24780-2023</t>
        </is>
      </c>
      <c r="B420" s="1" t="n">
        <v>45084</v>
      </c>
      <c r="C420" s="1" t="n">
        <v>45690</v>
      </c>
      <c r="D420" t="inlineStr">
        <is>
          <t>DALARNAS LÄN</t>
        </is>
      </c>
      <c r="E420" t="inlineStr">
        <is>
          <t>HEDEMORA</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24660-2023</t>
        </is>
      </c>
      <c r="B421" s="1" t="n">
        <v>45084</v>
      </c>
      <c r="C421" s="1" t="n">
        <v>45690</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24792-2023</t>
        </is>
      </c>
      <c r="B422" s="1" t="n">
        <v>45084</v>
      </c>
      <c r="C422" s="1" t="n">
        <v>45690</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24864-2023</t>
        </is>
      </c>
      <c r="B423" s="1" t="n">
        <v>45085</v>
      </c>
      <c r="C423" s="1" t="n">
        <v>45690</v>
      </c>
      <c r="D423" t="inlineStr">
        <is>
          <t>DALARNAS LÄN</t>
        </is>
      </c>
      <c r="E423" t="inlineStr">
        <is>
          <t>HEDEMORA</t>
        </is>
      </c>
      <c r="G423" t="n">
        <v>13.2</v>
      </c>
      <c r="H423" t="n">
        <v>0</v>
      </c>
      <c r="I423" t="n">
        <v>0</v>
      </c>
      <c r="J423" t="n">
        <v>0</v>
      </c>
      <c r="K423" t="n">
        <v>0</v>
      </c>
      <c r="L423" t="n">
        <v>0</v>
      </c>
      <c r="M423" t="n">
        <v>0</v>
      </c>
      <c r="N423" t="n">
        <v>0</v>
      </c>
      <c r="O423" t="n">
        <v>0</v>
      </c>
      <c r="P423" t="n">
        <v>0</v>
      </c>
      <c r="Q423" t="n">
        <v>0</v>
      </c>
      <c r="R423" s="2" t="inlineStr"/>
    </row>
    <row r="424" ht="15" customHeight="1">
      <c r="A424" t="inlineStr">
        <is>
          <t>A 25150-2023</t>
        </is>
      </c>
      <c r="B424" s="1" t="n">
        <v>45086</v>
      </c>
      <c r="C424" s="1" t="n">
        <v>45690</v>
      </c>
      <c r="D424" t="inlineStr">
        <is>
          <t>DALARNAS LÄN</t>
        </is>
      </c>
      <c r="E424" t="inlineStr">
        <is>
          <t>HEDEMORA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45690</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26232-2023</t>
        </is>
      </c>
      <c r="B426" s="1" t="n">
        <v>45091</v>
      </c>
      <c r="C426" s="1" t="n">
        <v>45690</v>
      </c>
      <c r="D426" t="inlineStr">
        <is>
          <t>DALARNAS LÄN</t>
        </is>
      </c>
      <c r="E426" t="inlineStr">
        <is>
          <t>HEDEMORA</t>
        </is>
      </c>
      <c r="G426" t="n">
        <v>3.1</v>
      </c>
      <c r="H426" t="n">
        <v>0</v>
      </c>
      <c r="I426" t="n">
        <v>0</v>
      </c>
      <c r="J426" t="n">
        <v>0</v>
      </c>
      <c r="K426" t="n">
        <v>0</v>
      </c>
      <c r="L426" t="n">
        <v>0</v>
      </c>
      <c r="M426" t="n">
        <v>0</v>
      </c>
      <c r="N426" t="n">
        <v>0</v>
      </c>
      <c r="O426" t="n">
        <v>0</v>
      </c>
      <c r="P426" t="n">
        <v>0</v>
      </c>
      <c r="Q426" t="n">
        <v>0</v>
      </c>
      <c r="R426" s="2" t="inlineStr"/>
    </row>
    <row r="427" ht="15" customHeight="1">
      <c r="A427" t="inlineStr">
        <is>
          <t>A 27695-2023</t>
        </is>
      </c>
      <c r="B427" s="1" t="n">
        <v>45097</v>
      </c>
      <c r="C427" s="1" t="n">
        <v>45690</v>
      </c>
      <c r="D427" t="inlineStr">
        <is>
          <t>DALARNAS LÄN</t>
        </is>
      </c>
      <c r="E427" t="inlineStr">
        <is>
          <t>HEDEMORA</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27696-2023</t>
        </is>
      </c>
      <c r="B428" s="1" t="n">
        <v>45097</v>
      </c>
      <c r="C428" s="1" t="n">
        <v>45690</v>
      </c>
      <c r="D428" t="inlineStr">
        <is>
          <t>DALARNAS LÄN</t>
        </is>
      </c>
      <c r="E428" t="inlineStr">
        <is>
          <t>HEDEMORA</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27965-2023</t>
        </is>
      </c>
      <c r="B429" s="1" t="n">
        <v>45098</v>
      </c>
      <c r="C429" s="1" t="n">
        <v>45690</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27963-2023</t>
        </is>
      </c>
      <c r="B430" s="1" t="n">
        <v>45098</v>
      </c>
      <c r="C430" s="1" t="n">
        <v>45690</v>
      </c>
      <c r="D430" t="inlineStr">
        <is>
          <t>DALARNAS LÄN</t>
        </is>
      </c>
      <c r="E430" t="inlineStr">
        <is>
          <t>HEDEMORA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28029-2023</t>
        </is>
      </c>
      <c r="B431" s="1" t="n">
        <v>45099</v>
      </c>
      <c r="C431" s="1" t="n">
        <v>45690</v>
      </c>
      <c r="D431" t="inlineStr">
        <is>
          <t>DALARNAS LÄN</t>
        </is>
      </c>
      <c r="E431" t="inlineStr">
        <is>
          <t>HEDEMORA</t>
        </is>
      </c>
      <c r="G431" t="n">
        <v>0.6</v>
      </c>
      <c r="H431" t="n">
        <v>0</v>
      </c>
      <c r="I431" t="n">
        <v>0</v>
      </c>
      <c r="J431" t="n">
        <v>0</v>
      </c>
      <c r="K431" t="n">
        <v>0</v>
      </c>
      <c r="L431" t="n">
        <v>0</v>
      </c>
      <c r="M431" t="n">
        <v>0</v>
      </c>
      <c r="N431" t="n">
        <v>0</v>
      </c>
      <c r="O431" t="n">
        <v>0</v>
      </c>
      <c r="P431" t="n">
        <v>0</v>
      </c>
      <c r="Q431" t="n">
        <v>0</v>
      </c>
      <c r="R431" s="2" t="inlineStr"/>
    </row>
    <row r="432" ht="15" customHeight="1">
      <c r="A432" t="inlineStr">
        <is>
          <t>A 28398-2023</t>
        </is>
      </c>
      <c r="B432" s="1" t="n">
        <v>45100</v>
      </c>
      <c r="C432" s="1" t="n">
        <v>45690</v>
      </c>
      <c r="D432" t="inlineStr">
        <is>
          <t>DALARNAS LÄN</t>
        </is>
      </c>
      <c r="E432" t="inlineStr">
        <is>
          <t>HEDEMORA</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29050-2023</t>
        </is>
      </c>
      <c r="B433" s="1" t="n">
        <v>45104</v>
      </c>
      <c r="C433" s="1" t="n">
        <v>45690</v>
      </c>
      <c r="D433" t="inlineStr">
        <is>
          <t>DALARNAS LÄN</t>
        </is>
      </c>
      <c r="E433" t="inlineStr">
        <is>
          <t>HEDEMORA</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29301-2023</t>
        </is>
      </c>
      <c r="B434" s="1" t="n">
        <v>45105</v>
      </c>
      <c r="C434" s="1" t="n">
        <v>45690</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29303-2023</t>
        </is>
      </c>
      <c r="B435" s="1" t="n">
        <v>45105</v>
      </c>
      <c r="C435" s="1" t="n">
        <v>45690</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30013-2023</t>
        </is>
      </c>
      <c r="B436" s="1" t="n">
        <v>45109</v>
      </c>
      <c r="C436" s="1" t="n">
        <v>45690</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30430-2023</t>
        </is>
      </c>
      <c r="B437" s="1" t="n">
        <v>45111</v>
      </c>
      <c r="C437" s="1" t="n">
        <v>45690</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30428-2023</t>
        </is>
      </c>
      <c r="B438" s="1" t="n">
        <v>45111</v>
      </c>
      <c r="C438" s="1" t="n">
        <v>45690</v>
      </c>
      <c r="D438" t="inlineStr">
        <is>
          <t>DALARNAS LÄN</t>
        </is>
      </c>
      <c r="E438" t="inlineStr">
        <is>
          <t>HEDEMORA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30939-2023</t>
        </is>
      </c>
      <c r="B439" s="1" t="n">
        <v>45113</v>
      </c>
      <c r="C439" s="1" t="n">
        <v>45690</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31103-2023</t>
        </is>
      </c>
      <c r="B440" s="1" t="n">
        <v>45113</v>
      </c>
      <c r="C440" s="1" t="n">
        <v>45690</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31253-2023</t>
        </is>
      </c>
      <c r="B441" s="1" t="n">
        <v>45114</v>
      </c>
      <c r="C441" s="1" t="n">
        <v>45690</v>
      </c>
      <c r="D441" t="inlineStr">
        <is>
          <t>DALARNAS LÄN</t>
        </is>
      </c>
      <c r="E441" t="inlineStr">
        <is>
          <t>HEDEMORA</t>
        </is>
      </c>
      <c r="G441" t="n">
        <v>1.6</v>
      </c>
      <c r="H441" t="n">
        <v>0</v>
      </c>
      <c r="I441" t="n">
        <v>0</v>
      </c>
      <c r="J441" t="n">
        <v>0</v>
      </c>
      <c r="K441" t="n">
        <v>0</v>
      </c>
      <c r="L441" t="n">
        <v>0</v>
      </c>
      <c r="M441" t="n">
        <v>0</v>
      </c>
      <c r="N441" t="n">
        <v>0</v>
      </c>
      <c r="O441" t="n">
        <v>0</v>
      </c>
      <c r="P441" t="n">
        <v>0</v>
      </c>
      <c r="Q441" t="n">
        <v>0</v>
      </c>
      <c r="R441" s="2" t="inlineStr"/>
    </row>
    <row r="442" ht="15" customHeight="1">
      <c r="A442" t="inlineStr">
        <is>
          <t>A 33469-2023</t>
        </is>
      </c>
      <c r="B442" s="1" t="n">
        <v>45118</v>
      </c>
      <c r="C442" s="1" t="n">
        <v>45690</v>
      </c>
      <c r="D442" t="inlineStr">
        <is>
          <t>DALARNAS LÄN</t>
        </is>
      </c>
      <c r="E442" t="inlineStr">
        <is>
          <t>HEDEMORA</t>
        </is>
      </c>
      <c r="F442" t="inlineStr">
        <is>
          <t>Bergvik skog väst AB</t>
        </is>
      </c>
      <c r="G442" t="n">
        <v>4.5</v>
      </c>
      <c r="H442" t="n">
        <v>0</v>
      </c>
      <c r="I442" t="n">
        <v>0</v>
      </c>
      <c r="J442" t="n">
        <v>0</v>
      </c>
      <c r="K442" t="n">
        <v>0</v>
      </c>
      <c r="L442" t="n">
        <v>0</v>
      </c>
      <c r="M442" t="n">
        <v>0</v>
      </c>
      <c r="N442" t="n">
        <v>0</v>
      </c>
      <c r="O442" t="n">
        <v>0</v>
      </c>
      <c r="P442" t="n">
        <v>0</v>
      </c>
      <c r="Q442" t="n">
        <v>0</v>
      </c>
      <c r="R442" s="2" t="inlineStr"/>
    </row>
    <row r="443" ht="15" customHeight="1">
      <c r="A443" t="inlineStr">
        <is>
          <t>A 33475-2023</t>
        </is>
      </c>
      <c r="B443" s="1" t="n">
        <v>45118</v>
      </c>
      <c r="C443" s="1" t="n">
        <v>45690</v>
      </c>
      <c r="D443" t="inlineStr">
        <is>
          <t>DALARNAS LÄN</t>
        </is>
      </c>
      <c r="E443" t="inlineStr">
        <is>
          <t>HEDEMORA</t>
        </is>
      </c>
      <c r="F443" t="inlineStr">
        <is>
          <t>Bergvik skog väst AB</t>
        </is>
      </c>
      <c r="G443" t="n">
        <v>7.8</v>
      </c>
      <c r="H443" t="n">
        <v>0</v>
      </c>
      <c r="I443" t="n">
        <v>0</v>
      </c>
      <c r="J443" t="n">
        <v>0</v>
      </c>
      <c r="K443" t="n">
        <v>0</v>
      </c>
      <c r="L443" t="n">
        <v>0</v>
      </c>
      <c r="M443" t="n">
        <v>0</v>
      </c>
      <c r="N443" t="n">
        <v>0</v>
      </c>
      <c r="O443" t="n">
        <v>0</v>
      </c>
      <c r="P443" t="n">
        <v>0</v>
      </c>
      <c r="Q443" t="n">
        <v>0</v>
      </c>
      <c r="R443" s="2" t="inlineStr"/>
    </row>
    <row r="444" ht="15" customHeight="1">
      <c r="A444" t="inlineStr">
        <is>
          <t>A 33775-2023</t>
        </is>
      </c>
      <c r="B444" s="1" t="n">
        <v>45120</v>
      </c>
      <c r="C444" s="1" t="n">
        <v>45690</v>
      </c>
      <c r="D444" t="inlineStr">
        <is>
          <t>DALARNAS LÄN</t>
        </is>
      </c>
      <c r="E444" t="inlineStr">
        <is>
          <t>HEDEMORA</t>
        </is>
      </c>
      <c r="G444" t="n">
        <v>3</v>
      </c>
      <c r="H444" t="n">
        <v>0</v>
      </c>
      <c r="I444" t="n">
        <v>0</v>
      </c>
      <c r="J444" t="n">
        <v>0</v>
      </c>
      <c r="K444" t="n">
        <v>0</v>
      </c>
      <c r="L444" t="n">
        <v>0</v>
      </c>
      <c r="M444" t="n">
        <v>0</v>
      </c>
      <c r="N444" t="n">
        <v>0</v>
      </c>
      <c r="O444" t="n">
        <v>0</v>
      </c>
      <c r="P444" t="n">
        <v>0</v>
      </c>
      <c r="Q444" t="n">
        <v>0</v>
      </c>
      <c r="R444" s="2" t="inlineStr"/>
    </row>
    <row r="445" ht="15" customHeight="1">
      <c r="A445" t="inlineStr">
        <is>
          <t>A 32598-2023</t>
        </is>
      </c>
      <c r="B445" s="1" t="n">
        <v>45121</v>
      </c>
      <c r="C445" s="1" t="n">
        <v>45690</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32607-2023</t>
        </is>
      </c>
      <c r="B446" s="1" t="n">
        <v>45121</v>
      </c>
      <c r="C446" s="1" t="n">
        <v>45690</v>
      </c>
      <c r="D446" t="inlineStr">
        <is>
          <t>DALARNAS LÄN</t>
        </is>
      </c>
      <c r="E446" t="inlineStr">
        <is>
          <t>HEDEMORA</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32720-2023</t>
        </is>
      </c>
      <c r="B447" s="1" t="n">
        <v>45121</v>
      </c>
      <c r="C447" s="1" t="n">
        <v>45690</v>
      </c>
      <c r="D447" t="inlineStr">
        <is>
          <t>DALARNAS LÄN</t>
        </is>
      </c>
      <c r="E447" t="inlineStr">
        <is>
          <t>HEDEMORA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32721-2023</t>
        </is>
      </c>
      <c r="B448" s="1" t="n">
        <v>45121</v>
      </c>
      <c r="C448" s="1" t="n">
        <v>45690</v>
      </c>
      <c r="D448" t="inlineStr">
        <is>
          <t>DALARNAS LÄN</t>
        </is>
      </c>
      <c r="E448" t="inlineStr">
        <is>
          <t>HEDEMORA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32719-2023</t>
        </is>
      </c>
      <c r="B449" s="1" t="n">
        <v>45121</v>
      </c>
      <c r="C449" s="1" t="n">
        <v>45690</v>
      </c>
      <c r="D449" t="inlineStr">
        <is>
          <t>DALARNAS LÄN</t>
        </is>
      </c>
      <c r="E449" t="inlineStr">
        <is>
          <t>HEDEMORA</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33314-2023</t>
        </is>
      </c>
      <c r="B450" s="1" t="n">
        <v>45127</v>
      </c>
      <c r="C450" s="1" t="n">
        <v>45690</v>
      </c>
      <c r="D450" t="inlineStr">
        <is>
          <t>DALARNAS LÄN</t>
        </is>
      </c>
      <c r="E450" t="inlineStr">
        <is>
          <t>HEDEMORA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33313-2023</t>
        </is>
      </c>
      <c r="B451" s="1" t="n">
        <v>45127</v>
      </c>
      <c r="C451" s="1" t="n">
        <v>45690</v>
      </c>
      <c r="D451" t="inlineStr">
        <is>
          <t>DALARNAS LÄN</t>
        </is>
      </c>
      <c r="E451" t="inlineStr">
        <is>
          <t>HEDEMORA</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33315-2023</t>
        </is>
      </c>
      <c r="B452" s="1" t="n">
        <v>45127</v>
      </c>
      <c r="C452" s="1" t="n">
        <v>45690</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35240-2023</t>
        </is>
      </c>
      <c r="B453" s="1" t="n">
        <v>45145</v>
      </c>
      <c r="C453" s="1" t="n">
        <v>45690</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36049-2023</t>
        </is>
      </c>
      <c r="B454" s="1" t="n">
        <v>45149</v>
      </c>
      <c r="C454" s="1" t="n">
        <v>45690</v>
      </c>
      <c r="D454" t="inlineStr">
        <is>
          <t>DALARNAS LÄN</t>
        </is>
      </c>
      <c r="E454" t="inlineStr">
        <is>
          <t>HEDEMORA</t>
        </is>
      </c>
      <c r="G454" t="n">
        <v>3.6</v>
      </c>
      <c r="H454" t="n">
        <v>0</v>
      </c>
      <c r="I454" t="n">
        <v>0</v>
      </c>
      <c r="J454" t="n">
        <v>0</v>
      </c>
      <c r="K454" t="n">
        <v>0</v>
      </c>
      <c r="L454" t="n">
        <v>0</v>
      </c>
      <c r="M454" t="n">
        <v>0</v>
      </c>
      <c r="N454" t="n">
        <v>0</v>
      </c>
      <c r="O454" t="n">
        <v>0</v>
      </c>
      <c r="P454" t="n">
        <v>0</v>
      </c>
      <c r="Q454" t="n">
        <v>0</v>
      </c>
      <c r="R454" s="2" t="inlineStr"/>
    </row>
    <row r="455" ht="15" customHeight="1">
      <c r="A455" t="inlineStr">
        <is>
          <t>A 38032-2023</t>
        </is>
      </c>
      <c r="B455" s="1" t="n">
        <v>45160</v>
      </c>
      <c r="C455" s="1" t="n">
        <v>45690</v>
      </c>
      <c r="D455" t="inlineStr">
        <is>
          <t>DALARNAS LÄN</t>
        </is>
      </c>
      <c r="E455" t="inlineStr">
        <is>
          <t>HEDEMORA</t>
        </is>
      </c>
      <c r="G455" t="n">
        <v>2.8</v>
      </c>
      <c r="H455" t="n">
        <v>0</v>
      </c>
      <c r="I455" t="n">
        <v>0</v>
      </c>
      <c r="J455" t="n">
        <v>0</v>
      </c>
      <c r="K455" t="n">
        <v>0</v>
      </c>
      <c r="L455" t="n">
        <v>0</v>
      </c>
      <c r="M455" t="n">
        <v>0</v>
      </c>
      <c r="N455" t="n">
        <v>0</v>
      </c>
      <c r="O455" t="n">
        <v>0</v>
      </c>
      <c r="P455" t="n">
        <v>0</v>
      </c>
      <c r="Q455" t="n">
        <v>0</v>
      </c>
      <c r="R455" s="2" t="inlineStr"/>
    </row>
    <row r="456" ht="15" customHeight="1">
      <c r="A456" t="inlineStr">
        <is>
          <t>A 38957-2023</t>
        </is>
      </c>
      <c r="B456" s="1" t="n">
        <v>45163</v>
      </c>
      <c r="C456" s="1" t="n">
        <v>45690</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38947-2023</t>
        </is>
      </c>
      <c r="B457" s="1" t="n">
        <v>45163</v>
      </c>
      <c r="C457" s="1" t="n">
        <v>45690</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38951-2023</t>
        </is>
      </c>
      <c r="B458" s="1" t="n">
        <v>45163</v>
      </c>
      <c r="C458" s="1" t="n">
        <v>45690</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41445-2023</t>
        </is>
      </c>
      <c r="B459" s="1" t="n">
        <v>45170</v>
      </c>
      <c r="C459" s="1" t="n">
        <v>45690</v>
      </c>
      <c r="D459" t="inlineStr">
        <is>
          <t>DALARNAS LÄN</t>
        </is>
      </c>
      <c r="E459" t="inlineStr">
        <is>
          <t>HEDEMORA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40707-2023</t>
        </is>
      </c>
      <c r="B460" s="1" t="n">
        <v>45170</v>
      </c>
      <c r="C460" s="1" t="n">
        <v>45690</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41458-2023</t>
        </is>
      </c>
      <c r="B461" s="1" t="n">
        <v>45170</v>
      </c>
      <c r="C461" s="1" t="n">
        <v>45690</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41294-2023</t>
        </is>
      </c>
      <c r="B462" s="1" t="n">
        <v>45170</v>
      </c>
      <c r="C462" s="1" t="n">
        <v>45690</v>
      </c>
      <c r="D462" t="inlineStr">
        <is>
          <t>DALARNAS LÄN</t>
        </is>
      </c>
      <c r="E462" t="inlineStr">
        <is>
          <t>HEDEMORA</t>
        </is>
      </c>
      <c r="F462" t="inlineStr">
        <is>
          <t>Bergvik skog väst AB</t>
        </is>
      </c>
      <c r="G462" t="n">
        <v>16.2</v>
      </c>
      <c r="H462" t="n">
        <v>0</v>
      </c>
      <c r="I462" t="n">
        <v>0</v>
      </c>
      <c r="J462" t="n">
        <v>0</v>
      </c>
      <c r="K462" t="n">
        <v>0</v>
      </c>
      <c r="L462" t="n">
        <v>0</v>
      </c>
      <c r="M462" t="n">
        <v>0</v>
      </c>
      <c r="N462" t="n">
        <v>0</v>
      </c>
      <c r="O462" t="n">
        <v>0</v>
      </c>
      <c r="P462" t="n">
        <v>0</v>
      </c>
      <c r="Q462" t="n">
        <v>0</v>
      </c>
      <c r="R462" s="2" t="inlineStr"/>
    </row>
    <row r="463" ht="15" customHeight="1">
      <c r="A463" t="inlineStr">
        <is>
          <t>A 41435-2023</t>
        </is>
      </c>
      <c r="B463" s="1" t="n">
        <v>45170</v>
      </c>
      <c r="C463" s="1" t="n">
        <v>45690</v>
      </c>
      <c r="D463" t="inlineStr">
        <is>
          <t>DALARNAS LÄN</t>
        </is>
      </c>
      <c r="E463" t="inlineStr">
        <is>
          <t>HEDEMORA</t>
        </is>
      </c>
      <c r="G463" t="n">
        <v>2.9</v>
      </c>
      <c r="H463" t="n">
        <v>0</v>
      </c>
      <c r="I463" t="n">
        <v>0</v>
      </c>
      <c r="J463" t="n">
        <v>0</v>
      </c>
      <c r="K463" t="n">
        <v>0</v>
      </c>
      <c r="L463" t="n">
        <v>0</v>
      </c>
      <c r="M463" t="n">
        <v>0</v>
      </c>
      <c r="N463" t="n">
        <v>0</v>
      </c>
      <c r="O463" t="n">
        <v>0</v>
      </c>
      <c r="P463" t="n">
        <v>0</v>
      </c>
      <c r="Q463" t="n">
        <v>0</v>
      </c>
      <c r="R463" s="2" t="inlineStr"/>
    </row>
    <row r="464" ht="15" customHeight="1">
      <c r="A464" t="inlineStr">
        <is>
          <t>A 41462-2023</t>
        </is>
      </c>
      <c r="B464" s="1" t="n">
        <v>45170</v>
      </c>
      <c r="C464" s="1" t="n">
        <v>45690</v>
      </c>
      <c r="D464" t="inlineStr">
        <is>
          <t>DALARNAS LÄN</t>
        </is>
      </c>
      <c r="E464" t="inlineStr">
        <is>
          <t>HEDEMORA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41523-2023</t>
        </is>
      </c>
      <c r="B465" s="1" t="n">
        <v>45172</v>
      </c>
      <c r="C465" s="1" t="n">
        <v>45690</v>
      </c>
      <c r="D465" t="inlineStr">
        <is>
          <t>DALARNAS LÄN</t>
        </is>
      </c>
      <c r="E465" t="inlineStr">
        <is>
          <t>HEDEMORA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v>
      </c>
      <c r="C466" s="1" t="n">
        <v>45690</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40923-2023</t>
        </is>
      </c>
      <c r="B467" s="1" t="n">
        <v>45173</v>
      </c>
      <c r="C467" s="1" t="n">
        <v>45690</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40918-2023</t>
        </is>
      </c>
      <c r="B468" s="1" t="n">
        <v>45173</v>
      </c>
      <c r="C468" s="1" t="n">
        <v>45690</v>
      </c>
      <c r="D468" t="inlineStr">
        <is>
          <t>DALARNAS LÄN</t>
        </is>
      </c>
      <c r="E468" t="inlineStr">
        <is>
          <t>HEDEMORA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40922-2023</t>
        </is>
      </c>
      <c r="B469" s="1" t="n">
        <v>45173</v>
      </c>
      <c r="C469" s="1" t="n">
        <v>45690</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40921-2023</t>
        </is>
      </c>
      <c r="B470" s="1" t="n">
        <v>45173</v>
      </c>
      <c r="C470" s="1" t="n">
        <v>45690</v>
      </c>
      <c r="D470" t="inlineStr">
        <is>
          <t>DALARNAS LÄN</t>
        </is>
      </c>
      <c r="E470" t="inlineStr">
        <is>
          <t>HEDEMORA</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41324-2023</t>
        </is>
      </c>
      <c r="B471" s="1" t="n">
        <v>45174</v>
      </c>
      <c r="C471" s="1" t="n">
        <v>45690</v>
      </c>
      <c r="D471" t="inlineStr">
        <is>
          <t>DALARNAS LÄN</t>
        </is>
      </c>
      <c r="E471" t="inlineStr">
        <is>
          <t>HEDEMORA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41642-2023</t>
        </is>
      </c>
      <c r="B472" s="1" t="n">
        <v>45175</v>
      </c>
      <c r="C472" s="1" t="n">
        <v>45690</v>
      </c>
      <c r="D472" t="inlineStr">
        <is>
          <t>DALARNAS LÄN</t>
        </is>
      </c>
      <c r="E472" t="inlineStr">
        <is>
          <t>HEDEMORA</t>
        </is>
      </c>
      <c r="G472" t="n">
        <v>2.8</v>
      </c>
      <c r="H472" t="n">
        <v>0</v>
      </c>
      <c r="I472" t="n">
        <v>0</v>
      </c>
      <c r="J472" t="n">
        <v>0</v>
      </c>
      <c r="K472" t="n">
        <v>0</v>
      </c>
      <c r="L472" t="n">
        <v>0</v>
      </c>
      <c r="M472" t="n">
        <v>0</v>
      </c>
      <c r="N472" t="n">
        <v>0</v>
      </c>
      <c r="O472" t="n">
        <v>0</v>
      </c>
      <c r="P472" t="n">
        <v>0</v>
      </c>
      <c r="Q472" t="n">
        <v>0</v>
      </c>
      <c r="R472" s="2" t="inlineStr"/>
    </row>
    <row r="473" ht="15" customHeight="1">
      <c r="A473" t="inlineStr">
        <is>
          <t>A 42387-2023</t>
        </is>
      </c>
      <c r="B473" s="1" t="n">
        <v>45180</v>
      </c>
      <c r="C473" s="1" t="n">
        <v>45690</v>
      </c>
      <c r="D473" t="inlineStr">
        <is>
          <t>DALARNAS LÄN</t>
        </is>
      </c>
      <c r="E473" t="inlineStr">
        <is>
          <t>HEDEMORA</t>
        </is>
      </c>
      <c r="G473" t="n">
        <v>0.6</v>
      </c>
      <c r="H473" t="n">
        <v>0</v>
      </c>
      <c r="I473" t="n">
        <v>0</v>
      </c>
      <c r="J473" t="n">
        <v>0</v>
      </c>
      <c r="K473" t="n">
        <v>0</v>
      </c>
      <c r="L473" t="n">
        <v>0</v>
      </c>
      <c r="M473" t="n">
        <v>0</v>
      </c>
      <c r="N473" t="n">
        <v>0</v>
      </c>
      <c r="O473" t="n">
        <v>0</v>
      </c>
      <c r="P473" t="n">
        <v>0</v>
      </c>
      <c r="Q473" t="n">
        <v>0</v>
      </c>
      <c r="R473" s="2" t="inlineStr"/>
    </row>
    <row r="474" ht="15" customHeight="1">
      <c r="A474" t="inlineStr">
        <is>
          <t>A 42618-2023</t>
        </is>
      </c>
      <c r="B474" s="1" t="n">
        <v>45181</v>
      </c>
      <c r="C474" s="1" t="n">
        <v>45690</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43621-2023</t>
        </is>
      </c>
      <c r="B475" s="1" t="n">
        <v>45184</v>
      </c>
      <c r="C475" s="1" t="n">
        <v>45690</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43785-2023</t>
        </is>
      </c>
      <c r="B476" s="1" t="n">
        <v>45187</v>
      </c>
      <c r="C476" s="1" t="n">
        <v>45690</v>
      </c>
      <c r="D476" t="inlineStr">
        <is>
          <t>DALARNAS LÄN</t>
        </is>
      </c>
      <c r="E476" t="inlineStr">
        <is>
          <t>HEDEMORA</t>
        </is>
      </c>
      <c r="F476" t="inlineStr">
        <is>
          <t>Sveaskog</t>
        </is>
      </c>
      <c r="G476" t="n">
        <v>5.7</v>
      </c>
      <c r="H476" t="n">
        <v>0</v>
      </c>
      <c r="I476" t="n">
        <v>0</v>
      </c>
      <c r="J476" t="n">
        <v>0</v>
      </c>
      <c r="K476" t="n">
        <v>0</v>
      </c>
      <c r="L476" t="n">
        <v>0</v>
      </c>
      <c r="M476" t="n">
        <v>0</v>
      </c>
      <c r="N476" t="n">
        <v>0</v>
      </c>
      <c r="O476" t="n">
        <v>0</v>
      </c>
      <c r="P476" t="n">
        <v>0</v>
      </c>
      <c r="Q476" t="n">
        <v>0</v>
      </c>
      <c r="R476" s="2" t="inlineStr"/>
    </row>
    <row r="477" ht="15" customHeight="1">
      <c r="A477" t="inlineStr">
        <is>
          <t>A 43675-2023</t>
        </is>
      </c>
      <c r="B477" s="1" t="n">
        <v>45187</v>
      </c>
      <c r="C477" s="1" t="n">
        <v>45690</v>
      </c>
      <c r="D477" t="inlineStr">
        <is>
          <t>DALARNAS LÄN</t>
        </is>
      </c>
      <c r="E477" t="inlineStr">
        <is>
          <t>HEDEMORA</t>
        </is>
      </c>
      <c r="G477" t="n">
        <v>1.5</v>
      </c>
      <c r="H477" t="n">
        <v>0</v>
      </c>
      <c r="I477" t="n">
        <v>0</v>
      </c>
      <c r="J477" t="n">
        <v>0</v>
      </c>
      <c r="K477" t="n">
        <v>0</v>
      </c>
      <c r="L477" t="n">
        <v>0</v>
      </c>
      <c r="M477" t="n">
        <v>0</v>
      </c>
      <c r="N477" t="n">
        <v>0</v>
      </c>
      <c r="O477" t="n">
        <v>0</v>
      </c>
      <c r="P477" t="n">
        <v>0</v>
      </c>
      <c r="Q477" t="n">
        <v>0</v>
      </c>
      <c r="R477" s="2" t="inlineStr"/>
      <c r="U477">
        <f>HYPERLINK("https://klasma.github.io/Logging_2083/knärot/A 43675-2023 karta knärot.png", "A 43675-2023")</f>
        <v/>
      </c>
      <c r="V477">
        <f>HYPERLINK("https://klasma.github.io/Logging_2083/klagomål/A 43675-2023 FSC-klagomål.docx", "A 43675-2023")</f>
        <v/>
      </c>
      <c r="W477">
        <f>HYPERLINK("https://klasma.github.io/Logging_2083/klagomålsmail/A 43675-2023 FSC-klagomål mail.docx", "A 43675-2023")</f>
        <v/>
      </c>
      <c r="X477">
        <f>HYPERLINK("https://klasma.github.io/Logging_2083/tillsyn/A 43675-2023 tillsynsbegäran.docx", "A 43675-2023")</f>
        <v/>
      </c>
      <c r="Y477">
        <f>HYPERLINK("https://klasma.github.io/Logging_2083/tillsynsmail/A 43675-2023 tillsynsbegäran mail.docx", "A 43675-2023")</f>
        <v/>
      </c>
    </row>
    <row r="478" ht="15" customHeight="1">
      <c r="A478" t="inlineStr">
        <is>
          <t>A 44587-2023</t>
        </is>
      </c>
      <c r="B478" s="1" t="n">
        <v>45189</v>
      </c>
      <c r="C478" s="1" t="n">
        <v>45690</v>
      </c>
      <c r="D478" t="inlineStr">
        <is>
          <t>DALARNAS LÄN</t>
        </is>
      </c>
      <c r="E478" t="inlineStr">
        <is>
          <t>HEDEMORA</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44750-2023</t>
        </is>
      </c>
      <c r="B479" s="1" t="n">
        <v>45190</v>
      </c>
      <c r="C479" s="1" t="n">
        <v>45690</v>
      </c>
      <c r="D479" t="inlineStr">
        <is>
          <t>DALARNAS LÄN</t>
        </is>
      </c>
      <c r="E479" t="inlineStr">
        <is>
          <t>HEDEMORA</t>
        </is>
      </c>
      <c r="G479" t="n">
        <v>5.4</v>
      </c>
      <c r="H479" t="n">
        <v>0</v>
      </c>
      <c r="I479" t="n">
        <v>0</v>
      </c>
      <c r="J479" t="n">
        <v>0</v>
      </c>
      <c r="K479" t="n">
        <v>0</v>
      </c>
      <c r="L479" t="n">
        <v>0</v>
      </c>
      <c r="M479" t="n">
        <v>0</v>
      </c>
      <c r="N479" t="n">
        <v>0</v>
      </c>
      <c r="O479" t="n">
        <v>0</v>
      </c>
      <c r="P479" t="n">
        <v>0</v>
      </c>
      <c r="Q479" t="n">
        <v>0</v>
      </c>
      <c r="R479" s="2" t="inlineStr"/>
    </row>
    <row r="480" ht="15" customHeight="1">
      <c r="A480" t="inlineStr">
        <is>
          <t>A 46217-2023</t>
        </is>
      </c>
      <c r="B480" s="1" t="n">
        <v>45190</v>
      </c>
      <c r="C480" s="1" t="n">
        <v>45690</v>
      </c>
      <c r="D480" t="inlineStr">
        <is>
          <t>DALARNAS LÄN</t>
        </is>
      </c>
      <c r="E480" t="inlineStr">
        <is>
          <t>HEDEMORA</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45186-2023</t>
        </is>
      </c>
      <c r="B481" s="1" t="n">
        <v>45191</v>
      </c>
      <c r="C481" s="1" t="n">
        <v>45690</v>
      </c>
      <c r="D481" t="inlineStr">
        <is>
          <t>DALARNAS LÄN</t>
        </is>
      </c>
      <c r="E481" t="inlineStr">
        <is>
          <t>HEDEMORA</t>
        </is>
      </c>
      <c r="F481" t="inlineStr">
        <is>
          <t>Sveaskog</t>
        </is>
      </c>
      <c r="G481" t="n">
        <v>18.9</v>
      </c>
      <c r="H481" t="n">
        <v>0</v>
      </c>
      <c r="I481" t="n">
        <v>0</v>
      </c>
      <c r="J481" t="n">
        <v>0</v>
      </c>
      <c r="K481" t="n">
        <v>0</v>
      </c>
      <c r="L481" t="n">
        <v>0</v>
      </c>
      <c r="M481" t="n">
        <v>0</v>
      </c>
      <c r="N481" t="n">
        <v>0</v>
      </c>
      <c r="O481" t="n">
        <v>0</v>
      </c>
      <c r="P481" t="n">
        <v>0</v>
      </c>
      <c r="Q481" t="n">
        <v>0</v>
      </c>
      <c r="R481" s="2" t="inlineStr"/>
    </row>
    <row r="482" ht="15" customHeight="1">
      <c r="A482" t="inlineStr">
        <is>
          <t>A 45589-2023</t>
        </is>
      </c>
      <c r="B482" s="1" t="n">
        <v>45194</v>
      </c>
      <c r="C482" s="1" t="n">
        <v>45690</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48204-2023</t>
        </is>
      </c>
      <c r="B483" s="1" t="n">
        <v>45205</v>
      </c>
      <c r="C483" s="1" t="n">
        <v>45690</v>
      </c>
      <c r="D483" t="inlineStr">
        <is>
          <t>DALARNAS LÄN</t>
        </is>
      </c>
      <c r="E483" t="inlineStr">
        <is>
          <t>HEDEMORA</t>
        </is>
      </c>
      <c r="F483" t="inlineStr">
        <is>
          <t>Kyrkan</t>
        </is>
      </c>
      <c r="G483" t="n">
        <v>21.8</v>
      </c>
      <c r="H483" t="n">
        <v>0</v>
      </c>
      <c r="I483" t="n">
        <v>0</v>
      </c>
      <c r="J483" t="n">
        <v>0</v>
      </c>
      <c r="K483" t="n">
        <v>0</v>
      </c>
      <c r="L483" t="n">
        <v>0</v>
      </c>
      <c r="M483" t="n">
        <v>0</v>
      </c>
      <c r="N483" t="n">
        <v>0</v>
      </c>
      <c r="O483" t="n">
        <v>0</v>
      </c>
      <c r="P483" t="n">
        <v>0</v>
      </c>
      <c r="Q483" t="n">
        <v>0</v>
      </c>
      <c r="R483" s="2" t="inlineStr"/>
      <c r="U483">
        <f>HYPERLINK("https://klasma.github.io/Logging_2083/knärot/A 48204-2023 karta knärot.png", "A 48204-2023")</f>
        <v/>
      </c>
      <c r="V483">
        <f>HYPERLINK("https://klasma.github.io/Logging_2083/klagomål/A 48204-2023 FSC-klagomål.docx", "A 48204-2023")</f>
        <v/>
      </c>
      <c r="W483">
        <f>HYPERLINK("https://klasma.github.io/Logging_2083/klagomålsmail/A 48204-2023 FSC-klagomål mail.docx", "A 48204-2023")</f>
        <v/>
      </c>
      <c r="X483">
        <f>HYPERLINK("https://klasma.github.io/Logging_2083/tillsyn/A 48204-2023 tillsynsbegäran.docx", "A 48204-2023")</f>
        <v/>
      </c>
      <c r="Y483">
        <f>HYPERLINK("https://klasma.github.io/Logging_2083/tillsynsmail/A 48204-2023 tillsynsbegäran mail.docx", "A 48204-2023")</f>
        <v/>
      </c>
    </row>
    <row r="484" ht="15" customHeight="1">
      <c r="A484" t="inlineStr">
        <is>
          <t>A 48254-2023</t>
        </is>
      </c>
      <c r="B484" s="1" t="n">
        <v>45205</v>
      </c>
      <c r="C484" s="1" t="n">
        <v>45690</v>
      </c>
      <c r="D484" t="inlineStr">
        <is>
          <t>DALARNAS LÄN</t>
        </is>
      </c>
      <c r="E484" t="inlineStr">
        <is>
          <t>HEDEMORA</t>
        </is>
      </c>
      <c r="F484" t="inlineStr">
        <is>
          <t>Sveaskog</t>
        </is>
      </c>
      <c r="G484" t="n">
        <v>1.5</v>
      </c>
      <c r="H484" t="n">
        <v>0</v>
      </c>
      <c r="I484" t="n">
        <v>0</v>
      </c>
      <c r="J484" t="n">
        <v>0</v>
      </c>
      <c r="K484" t="n">
        <v>0</v>
      </c>
      <c r="L484" t="n">
        <v>0</v>
      </c>
      <c r="M484" t="n">
        <v>0</v>
      </c>
      <c r="N484" t="n">
        <v>0</v>
      </c>
      <c r="O484" t="n">
        <v>0</v>
      </c>
      <c r="P484" t="n">
        <v>0</v>
      </c>
      <c r="Q484" t="n">
        <v>0</v>
      </c>
      <c r="R484" s="2" t="inlineStr"/>
      <c r="U484">
        <f>HYPERLINK("https://klasma.github.io/Logging_2083/knärot/A 48254-2023 karta knärot.png", "A 48254-2023")</f>
        <v/>
      </c>
      <c r="V484">
        <f>HYPERLINK("https://klasma.github.io/Logging_2083/klagomål/A 48254-2023 FSC-klagomål.docx", "A 48254-2023")</f>
        <v/>
      </c>
      <c r="W484">
        <f>HYPERLINK("https://klasma.github.io/Logging_2083/klagomålsmail/A 48254-2023 FSC-klagomål mail.docx", "A 48254-2023")</f>
        <v/>
      </c>
      <c r="X484">
        <f>HYPERLINK("https://klasma.github.io/Logging_2083/tillsyn/A 48254-2023 tillsynsbegäran.docx", "A 48254-2023")</f>
        <v/>
      </c>
      <c r="Y484">
        <f>HYPERLINK("https://klasma.github.io/Logging_2083/tillsynsmail/A 48254-2023 tillsynsbegäran mail.docx", "A 48254-2023")</f>
        <v/>
      </c>
    </row>
    <row r="485" ht="15" customHeight="1">
      <c r="A485" t="inlineStr">
        <is>
          <t>A 48834-2023</t>
        </is>
      </c>
      <c r="B485" s="1" t="n">
        <v>45209</v>
      </c>
      <c r="C485" s="1" t="n">
        <v>45690</v>
      </c>
      <c r="D485" t="inlineStr">
        <is>
          <t>DALARNAS LÄN</t>
        </is>
      </c>
      <c r="E485" t="inlineStr">
        <is>
          <t>HEDEMORA</t>
        </is>
      </c>
      <c r="G485" t="n">
        <v>1.9</v>
      </c>
      <c r="H485" t="n">
        <v>0</v>
      </c>
      <c r="I485" t="n">
        <v>0</v>
      </c>
      <c r="J485" t="n">
        <v>0</v>
      </c>
      <c r="K485" t="n">
        <v>0</v>
      </c>
      <c r="L485" t="n">
        <v>0</v>
      </c>
      <c r="M485" t="n">
        <v>0</v>
      </c>
      <c r="N485" t="n">
        <v>0</v>
      </c>
      <c r="O485" t="n">
        <v>0</v>
      </c>
      <c r="P485" t="n">
        <v>0</v>
      </c>
      <c r="Q485" t="n">
        <v>0</v>
      </c>
      <c r="R485" s="2" t="inlineStr"/>
    </row>
    <row r="486" ht="15" customHeight="1">
      <c r="A486" t="inlineStr">
        <is>
          <t>A 48826-2023</t>
        </is>
      </c>
      <c r="B486" s="1" t="n">
        <v>45209</v>
      </c>
      <c r="C486" s="1" t="n">
        <v>45690</v>
      </c>
      <c r="D486" t="inlineStr">
        <is>
          <t>DALARNAS LÄN</t>
        </is>
      </c>
      <c r="E486" t="inlineStr">
        <is>
          <t>HEDEMORA</t>
        </is>
      </c>
      <c r="G486" t="n">
        <v>1</v>
      </c>
      <c r="H486" t="n">
        <v>0</v>
      </c>
      <c r="I486" t="n">
        <v>0</v>
      </c>
      <c r="J486" t="n">
        <v>0</v>
      </c>
      <c r="K486" t="n">
        <v>0</v>
      </c>
      <c r="L486" t="n">
        <v>0</v>
      </c>
      <c r="M486" t="n">
        <v>0</v>
      </c>
      <c r="N486" t="n">
        <v>0</v>
      </c>
      <c r="O486" t="n">
        <v>0</v>
      </c>
      <c r="P486" t="n">
        <v>0</v>
      </c>
      <c r="Q486" t="n">
        <v>0</v>
      </c>
      <c r="R486" s="2" t="inlineStr"/>
    </row>
    <row r="487" ht="15" customHeight="1">
      <c r="A487" t="inlineStr">
        <is>
          <t>A 50333-2023</t>
        </is>
      </c>
      <c r="B487" s="1" t="n">
        <v>45216</v>
      </c>
      <c r="C487" s="1" t="n">
        <v>45690</v>
      </c>
      <c r="D487" t="inlineStr">
        <is>
          <t>DALARNAS LÄN</t>
        </is>
      </c>
      <c r="E487" t="inlineStr">
        <is>
          <t>HEDEMORA</t>
        </is>
      </c>
      <c r="G487" t="n">
        <v>1.1</v>
      </c>
      <c r="H487" t="n">
        <v>0</v>
      </c>
      <c r="I487" t="n">
        <v>0</v>
      </c>
      <c r="J487" t="n">
        <v>0</v>
      </c>
      <c r="K487" t="n">
        <v>0</v>
      </c>
      <c r="L487" t="n">
        <v>0</v>
      </c>
      <c r="M487" t="n">
        <v>0</v>
      </c>
      <c r="N487" t="n">
        <v>0</v>
      </c>
      <c r="O487" t="n">
        <v>0</v>
      </c>
      <c r="P487" t="n">
        <v>0</v>
      </c>
      <c r="Q487" t="n">
        <v>0</v>
      </c>
      <c r="R487" s="2" t="inlineStr"/>
    </row>
    <row r="488" ht="15" customHeight="1">
      <c r="A488" t="inlineStr">
        <is>
          <t>A 50885-2023</t>
        </is>
      </c>
      <c r="B488" s="1" t="n">
        <v>45218</v>
      </c>
      <c r="C488" s="1" t="n">
        <v>45690</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51879-2023</t>
        </is>
      </c>
      <c r="B489" s="1" t="n">
        <v>45223</v>
      </c>
      <c r="C489" s="1" t="n">
        <v>45690</v>
      </c>
      <c r="D489" t="inlineStr">
        <is>
          <t>DALARNAS LÄN</t>
        </is>
      </c>
      <c r="E489" t="inlineStr">
        <is>
          <t>HEDEMORA</t>
        </is>
      </c>
      <c r="G489" t="n">
        <v>2.1</v>
      </c>
      <c r="H489" t="n">
        <v>0</v>
      </c>
      <c r="I489" t="n">
        <v>0</v>
      </c>
      <c r="J489" t="n">
        <v>0</v>
      </c>
      <c r="K489" t="n">
        <v>0</v>
      </c>
      <c r="L489" t="n">
        <v>0</v>
      </c>
      <c r="M489" t="n">
        <v>0</v>
      </c>
      <c r="N489" t="n">
        <v>0</v>
      </c>
      <c r="O489" t="n">
        <v>0</v>
      </c>
      <c r="P489" t="n">
        <v>0</v>
      </c>
      <c r="Q489" t="n">
        <v>0</v>
      </c>
      <c r="R489" s="2" t="inlineStr"/>
    </row>
    <row r="490" ht="15" customHeight="1">
      <c r="A490" t="inlineStr">
        <is>
          <t>A 52967-2023</t>
        </is>
      </c>
      <c r="B490" s="1" t="n">
        <v>45226</v>
      </c>
      <c r="C490" s="1" t="n">
        <v>45690</v>
      </c>
      <c r="D490" t="inlineStr">
        <is>
          <t>DALARNAS LÄN</t>
        </is>
      </c>
      <c r="E490" t="inlineStr">
        <is>
          <t>HEDEMORA</t>
        </is>
      </c>
      <c r="F490" t="inlineStr">
        <is>
          <t>Bergvik skog väst AB</t>
        </is>
      </c>
      <c r="G490" t="n">
        <v>8.5</v>
      </c>
      <c r="H490" t="n">
        <v>0</v>
      </c>
      <c r="I490" t="n">
        <v>0</v>
      </c>
      <c r="J490" t="n">
        <v>0</v>
      </c>
      <c r="K490" t="n">
        <v>0</v>
      </c>
      <c r="L490" t="n">
        <v>0</v>
      </c>
      <c r="M490" t="n">
        <v>0</v>
      </c>
      <c r="N490" t="n">
        <v>0</v>
      </c>
      <c r="O490" t="n">
        <v>0</v>
      </c>
      <c r="P490" t="n">
        <v>0</v>
      </c>
      <c r="Q490" t="n">
        <v>0</v>
      </c>
      <c r="R490" s="2" t="inlineStr"/>
    </row>
    <row r="491" ht="15" customHeight="1">
      <c r="A491" t="inlineStr">
        <is>
          <t>A 53743-2023</t>
        </is>
      </c>
      <c r="B491" s="1" t="n">
        <v>45230</v>
      </c>
      <c r="C491" s="1" t="n">
        <v>45690</v>
      </c>
      <c r="D491" t="inlineStr">
        <is>
          <t>DALARNAS LÄN</t>
        </is>
      </c>
      <c r="E491" t="inlineStr">
        <is>
          <t>HEDEMORA</t>
        </is>
      </c>
      <c r="G491" t="n">
        <v>3.8</v>
      </c>
      <c r="H491" t="n">
        <v>0</v>
      </c>
      <c r="I491" t="n">
        <v>0</v>
      </c>
      <c r="J491" t="n">
        <v>0</v>
      </c>
      <c r="K491" t="n">
        <v>0</v>
      </c>
      <c r="L491" t="n">
        <v>0</v>
      </c>
      <c r="M491" t="n">
        <v>0</v>
      </c>
      <c r="N491" t="n">
        <v>0</v>
      </c>
      <c r="O491" t="n">
        <v>0</v>
      </c>
      <c r="P491" t="n">
        <v>0</v>
      </c>
      <c r="Q491" t="n">
        <v>0</v>
      </c>
      <c r="R491" s="2" t="inlineStr"/>
    </row>
    <row r="492" ht="15" customHeight="1">
      <c r="A492" t="inlineStr">
        <is>
          <t>A 53588-2023</t>
        </is>
      </c>
      <c r="B492" s="1" t="n">
        <v>45230</v>
      </c>
      <c r="C492" s="1" t="n">
        <v>45690</v>
      </c>
      <c r="D492" t="inlineStr">
        <is>
          <t>DALARNAS LÄN</t>
        </is>
      </c>
      <c r="E492" t="inlineStr">
        <is>
          <t>HEDEMORA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53584-2023</t>
        </is>
      </c>
      <c r="B493" s="1" t="n">
        <v>45230</v>
      </c>
      <c r="C493" s="1" t="n">
        <v>45690</v>
      </c>
      <c r="D493" t="inlineStr">
        <is>
          <t>DALARNAS LÄN</t>
        </is>
      </c>
      <c r="E493" t="inlineStr">
        <is>
          <t>HEDEMORA</t>
        </is>
      </c>
      <c r="G493" t="n">
        <v>6.6</v>
      </c>
      <c r="H493" t="n">
        <v>0</v>
      </c>
      <c r="I493" t="n">
        <v>0</v>
      </c>
      <c r="J493" t="n">
        <v>0</v>
      </c>
      <c r="K493" t="n">
        <v>0</v>
      </c>
      <c r="L493" t="n">
        <v>0</v>
      </c>
      <c r="M493" t="n">
        <v>0</v>
      </c>
      <c r="N493" t="n">
        <v>0</v>
      </c>
      <c r="O493" t="n">
        <v>0</v>
      </c>
      <c r="P493" t="n">
        <v>0</v>
      </c>
      <c r="Q493" t="n">
        <v>0</v>
      </c>
      <c r="R493" s="2" t="inlineStr"/>
    </row>
    <row r="494" ht="15" customHeight="1">
      <c r="A494" t="inlineStr">
        <is>
          <t>A 53576-2023</t>
        </is>
      </c>
      <c r="B494" s="1" t="n">
        <v>45230</v>
      </c>
      <c r="C494" s="1" t="n">
        <v>45690</v>
      </c>
      <c r="D494" t="inlineStr">
        <is>
          <t>DALARNAS LÄN</t>
        </is>
      </c>
      <c r="E494" t="inlineStr">
        <is>
          <t>HEDEMORA</t>
        </is>
      </c>
      <c r="G494" t="n">
        <v>0.9</v>
      </c>
      <c r="H494" t="n">
        <v>0</v>
      </c>
      <c r="I494" t="n">
        <v>0</v>
      </c>
      <c r="J494" t="n">
        <v>0</v>
      </c>
      <c r="K494" t="n">
        <v>0</v>
      </c>
      <c r="L494" t="n">
        <v>0</v>
      </c>
      <c r="M494" t="n">
        <v>0</v>
      </c>
      <c r="N494" t="n">
        <v>0</v>
      </c>
      <c r="O494" t="n">
        <v>0</v>
      </c>
      <c r="P494" t="n">
        <v>0</v>
      </c>
      <c r="Q494" t="n">
        <v>0</v>
      </c>
      <c r="R494" s="2" t="inlineStr"/>
    </row>
    <row r="495" ht="15" customHeight="1">
      <c r="A495" t="inlineStr">
        <is>
          <t>A 53568-2023</t>
        </is>
      </c>
      <c r="B495" s="1" t="n">
        <v>45230</v>
      </c>
      <c r="C495" s="1" t="n">
        <v>45690</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53586-2023</t>
        </is>
      </c>
      <c r="B496" s="1" t="n">
        <v>45230</v>
      </c>
      <c r="C496" s="1" t="n">
        <v>45690</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54423-2023</t>
        </is>
      </c>
      <c r="B497" s="1" t="n">
        <v>45233</v>
      </c>
      <c r="C497" s="1" t="n">
        <v>45690</v>
      </c>
      <c r="D497" t="inlineStr">
        <is>
          <t>DALARNAS LÄN</t>
        </is>
      </c>
      <c r="E497" t="inlineStr">
        <is>
          <t>HEDEMORA</t>
        </is>
      </c>
      <c r="G497" t="n">
        <v>3.4</v>
      </c>
      <c r="H497" t="n">
        <v>0</v>
      </c>
      <c r="I497" t="n">
        <v>0</v>
      </c>
      <c r="J497" t="n">
        <v>0</v>
      </c>
      <c r="K497" t="n">
        <v>0</v>
      </c>
      <c r="L497" t="n">
        <v>0</v>
      </c>
      <c r="M497" t="n">
        <v>0</v>
      </c>
      <c r="N497" t="n">
        <v>0</v>
      </c>
      <c r="O497" t="n">
        <v>0</v>
      </c>
      <c r="P497" t="n">
        <v>0</v>
      </c>
      <c r="Q497" t="n">
        <v>0</v>
      </c>
      <c r="R497" s="2" t="inlineStr"/>
    </row>
    <row r="498" ht="15" customHeight="1">
      <c r="A498" t="inlineStr">
        <is>
          <t>A 54440-2023</t>
        </is>
      </c>
      <c r="B498" s="1" t="n">
        <v>45233</v>
      </c>
      <c r="C498" s="1" t="n">
        <v>45690</v>
      </c>
      <c r="D498" t="inlineStr">
        <is>
          <t>DALARNAS LÄN</t>
        </is>
      </c>
      <c r="E498" t="inlineStr">
        <is>
          <t>HEDEMORA</t>
        </is>
      </c>
      <c r="G498" t="n">
        <v>1.1</v>
      </c>
      <c r="H498" t="n">
        <v>0</v>
      </c>
      <c r="I498" t="n">
        <v>0</v>
      </c>
      <c r="J498" t="n">
        <v>0</v>
      </c>
      <c r="K498" t="n">
        <v>0</v>
      </c>
      <c r="L498" t="n">
        <v>0</v>
      </c>
      <c r="M498" t="n">
        <v>0</v>
      </c>
      <c r="N498" t="n">
        <v>0</v>
      </c>
      <c r="O498" t="n">
        <v>0</v>
      </c>
      <c r="P498" t="n">
        <v>0</v>
      </c>
      <c r="Q498" t="n">
        <v>0</v>
      </c>
      <c r="R498" s="2" t="inlineStr"/>
    </row>
    <row r="499" ht="15" customHeight="1">
      <c r="A499" t="inlineStr">
        <is>
          <t>A 55881-2023</t>
        </is>
      </c>
      <c r="B499" s="1" t="n">
        <v>45239</v>
      </c>
      <c r="C499" s="1" t="n">
        <v>45690</v>
      </c>
      <c r="D499" t="inlineStr">
        <is>
          <t>DALARNAS LÄN</t>
        </is>
      </c>
      <c r="E499" t="inlineStr">
        <is>
          <t>HEDEMORA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55882-2023</t>
        </is>
      </c>
      <c r="B500" s="1" t="n">
        <v>45239</v>
      </c>
      <c r="C500" s="1" t="n">
        <v>45690</v>
      </c>
      <c r="D500" t="inlineStr">
        <is>
          <t>DALARNAS LÄN</t>
        </is>
      </c>
      <c r="E500" t="inlineStr">
        <is>
          <t>HEDEMORA</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55981-2023</t>
        </is>
      </c>
      <c r="B501" s="1" t="n">
        <v>45240</v>
      </c>
      <c r="C501" s="1" t="n">
        <v>45690</v>
      </c>
      <c r="D501" t="inlineStr">
        <is>
          <t>DALARNAS LÄN</t>
        </is>
      </c>
      <c r="E501" t="inlineStr">
        <is>
          <t>HEDEMORA</t>
        </is>
      </c>
      <c r="G501" t="n">
        <v>3.2</v>
      </c>
      <c r="H501" t="n">
        <v>0</v>
      </c>
      <c r="I501" t="n">
        <v>0</v>
      </c>
      <c r="J501" t="n">
        <v>0</v>
      </c>
      <c r="K501" t="n">
        <v>0</v>
      </c>
      <c r="L501" t="n">
        <v>0</v>
      </c>
      <c r="M501" t="n">
        <v>0</v>
      </c>
      <c r="N501" t="n">
        <v>0</v>
      </c>
      <c r="O501" t="n">
        <v>0</v>
      </c>
      <c r="P501" t="n">
        <v>0</v>
      </c>
      <c r="Q501" t="n">
        <v>0</v>
      </c>
      <c r="R501" s="2" t="inlineStr"/>
    </row>
    <row r="502" ht="15" customHeight="1">
      <c r="A502" t="inlineStr">
        <is>
          <t>A 57486-2023</t>
        </is>
      </c>
      <c r="B502" s="1" t="n">
        <v>45246</v>
      </c>
      <c r="C502" s="1" t="n">
        <v>45690</v>
      </c>
      <c r="D502" t="inlineStr">
        <is>
          <t>DALARNAS LÄN</t>
        </is>
      </c>
      <c r="E502" t="inlineStr">
        <is>
          <t>HEDEMORA</t>
        </is>
      </c>
      <c r="F502" t="inlineStr">
        <is>
          <t>Bergvik skog väst AB</t>
        </is>
      </c>
      <c r="G502" t="n">
        <v>4.2</v>
      </c>
      <c r="H502" t="n">
        <v>0</v>
      </c>
      <c r="I502" t="n">
        <v>0</v>
      </c>
      <c r="J502" t="n">
        <v>0</v>
      </c>
      <c r="K502" t="n">
        <v>0</v>
      </c>
      <c r="L502" t="n">
        <v>0</v>
      </c>
      <c r="M502" t="n">
        <v>0</v>
      </c>
      <c r="N502" t="n">
        <v>0</v>
      </c>
      <c r="O502" t="n">
        <v>0</v>
      </c>
      <c r="P502" t="n">
        <v>0</v>
      </c>
      <c r="Q502" t="n">
        <v>0</v>
      </c>
      <c r="R502" s="2" t="inlineStr"/>
    </row>
    <row r="503" ht="15" customHeight="1">
      <c r="A503" t="inlineStr">
        <is>
          <t>A 58841-2023</t>
        </is>
      </c>
      <c r="B503" s="1" t="n">
        <v>45252</v>
      </c>
      <c r="C503" s="1" t="n">
        <v>45690</v>
      </c>
      <c r="D503" t="inlineStr">
        <is>
          <t>DALARNAS LÄN</t>
        </is>
      </c>
      <c r="E503" t="inlineStr">
        <is>
          <t>HEDEMORA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59249-2023</t>
        </is>
      </c>
      <c r="B504" s="1" t="n">
        <v>45253</v>
      </c>
      <c r="C504" s="1" t="n">
        <v>45690</v>
      </c>
      <c r="D504" t="inlineStr">
        <is>
          <t>DALARNAS LÄN</t>
        </is>
      </c>
      <c r="E504" t="inlineStr">
        <is>
          <t>HEDEMORA</t>
        </is>
      </c>
      <c r="G504" t="n">
        <v>1.2</v>
      </c>
      <c r="H504" t="n">
        <v>0</v>
      </c>
      <c r="I504" t="n">
        <v>0</v>
      </c>
      <c r="J504" t="n">
        <v>0</v>
      </c>
      <c r="K504" t="n">
        <v>0</v>
      </c>
      <c r="L504" t="n">
        <v>0</v>
      </c>
      <c r="M504" t="n">
        <v>0</v>
      </c>
      <c r="N504" t="n">
        <v>0</v>
      </c>
      <c r="O504" t="n">
        <v>0</v>
      </c>
      <c r="P504" t="n">
        <v>0</v>
      </c>
      <c r="Q504" t="n">
        <v>0</v>
      </c>
      <c r="R504" s="2" t="inlineStr"/>
    </row>
    <row r="505" ht="15" customHeight="1">
      <c r="A505" t="inlineStr">
        <is>
          <t>A 59235-2023</t>
        </is>
      </c>
      <c r="B505" s="1" t="n">
        <v>45253</v>
      </c>
      <c r="C505" s="1" t="n">
        <v>45690</v>
      </c>
      <c r="D505" t="inlineStr">
        <is>
          <t>DALARNAS LÄN</t>
        </is>
      </c>
      <c r="E505" t="inlineStr">
        <is>
          <t>HEDEMORA</t>
        </is>
      </c>
      <c r="G505" t="n">
        <v>2.4</v>
      </c>
      <c r="H505" t="n">
        <v>0</v>
      </c>
      <c r="I505" t="n">
        <v>0</v>
      </c>
      <c r="J505" t="n">
        <v>0</v>
      </c>
      <c r="K505" t="n">
        <v>0</v>
      </c>
      <c r="L505" t="n">
        <v>0</v>
      </c>
      <c r="M505" t="n">
        <v>0</v>
      </c>
      <c r="N505" t="n">
        <v>0</v>
      </c>
      <c r="O505" t="n">
        <v>0</v>
      </c>
      <c r="P505" t="n">
        <v>0</v>
      </c>
      <c r="Q505" t="n">
        <v>0</v>
      </c>
      <c r="R505" s="2" t="inlineStr"/>
    </row>
    <row r="506" ht="15" customHeight="1">
      <c r="A506" t="inlineStr">
        <is>
          <t>A 59140-2023</t>
        </is>
      </c>
      <c r="B506" s="1" t="n">
        <v>45253</v>
      </c>
      <c r="C506" s="1" t="n">
        <v>45690</v>
      </c>
      <c r="D506" t="inlineStr">
        <is>
          <t>DALARNAS LÄN</t>
        </is>
      </c>
      <c r="E506" t="inlineStr">
        <is>
          <t>HEDEMORA</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59232-2023</t>
        </is>
      </c>
      <c r="B507" s="1" t="n">
        <v>45253</v>
      </c>
      <c r="C507" s="1" t="n">
        <v>45690</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59515-2023</t>
        </is>
      </c>
      <c r="B508" s="1" t="n">
        <v>45253</v>
      </c>
      <c r="C508" s="1" t="n">
        <v>45690</v>
      </c>
      <c r="D508" t="inlineStr">
        <is>
          <t>DALARNAS LÄN</t>
        </is>
      </c>
      <c r="E508" t="inlineStr">
        <is>
          <t>HEDEMORA</t>
        </is>
      </c>
      <c r="G508" t="n">
        <v>5.1</v>
      </c>
      <c r="H508" t="n">
        <v>0</v>
      </c>
      <c r="I508" t="n">
        <v>0</v>
      </c>
      <c r="J508" t="n">
        <v>0</v>
      </c>
      <c r="K508" t="n">
        <v>0</v>
      </c>
      <c r="L508" t="n">
        <v>0</v>
      </c>
      <c r="M508" t="n">
        <v>0</v>
      </c>
      <c r="N508" t="n">
        <v>0</v>
      </c>
      <c r="O508" t="n">
        <v>0</v>
      </c>
      <c r="P508" t="n">
        <v>0</v>
      </c>
      <c r="Q508" t="n">
        <v>0</v>
      </c>
      <c r="R508" s="2" t="inlineStr"/>
    </row>
    <row r="509" ht="15" customHeight="1">
      <c r="A509" t="inlineStr">
        <is>
          <t>A 59519-2023</t>
        </is>
      </c>
      <c r="B509" s="1" t="n">
        <v>45253</v>
      </c>
      <c r="C509" s="1" t="n">
        <v>45690</v>
      </c>
      <c r="D509" t="inlineStr">
        <is>
          <t>DALARNAS LÄN</t>
        </is>
      </c>
      <c r="E509" t="inlineStr">
        <is>
          <t>HEDEMORA</t>
        </is>
      </c>
      <c r="G509" t="n">
        <v>1.9</v>
      </c>
      <c r="H509" t="n">
        <v>0</v>
      </c>
      <c r="I509" t="n">
        <v>0</v>
      </c>
      <c r="J509" t="n">
        <v>0</v>
      </c>
      <c r="K509" t="n">
        <v>0</v>
      </c>
      <c r="L509" t="n">
        <v>0</v>
      </c>
      <c r="M509" t="n">
        <v>0</v>
      </c>
      <c r="N509" t="n">
        <v>0</v>
      </c>
      <c r="O509" t="n">
        <v>0</v>
      </c>
      <c r="P509" t="n">
        <v>0</v>
      </c>
      <c r="Q509" t="n">
        <v>0</v>
      </c>
      <c r="R509" s="2" t="inlineStr"/>
    </row>
    <row r="510" ht="15" customHeight="1">
      <c r="A510" t="inlineStr">
        <is>
          <t>A 59632-2023</t>
        </is>
      </c>
      <c r="B510" s="1" t="n">
        <v>45254</v>
      </c>
      <c r="C510" s="1" t="n">
        <v>45690</v>
      </c>
      <c r="D510" t="inlineStr">
        <is>
          <t>DALARNAS LÄN</t>
        </is>
      </c>
      <c r="E510" t="inlineStr">
        <is>
          <t>HEDEMORA</t>
        </is>
      </c>
      <c r="G510" t="n">
        <v>1.4</v>
      </c>
      <c r="H510" t="n">
        <v>0</v>
      </c>
      <c r="I510" t="n">
        <v>0</v>
      </c>
      <c r="J510" t="n">
        <v>0</v>
      </c>
      <c r="K510" t="n">
        <v>0</v>
      </c>
      <c r="L510" t="n">
        <v>0</v>
      </c>
      <c r="M510" t="n">
        <v>0</v>
      </c>
      <c r="N510" t="n">
        <v>0</v>
      </c>
      <c r="O510" t="n">
        <v>0</v>
      </c>
      <c r="P510" t="n">
        <v>0</v>
      </c>
      <c r="Q510" t="n">
        <v>0</v>
      </c>
      <c r="R510" s="2" t="inlineStr"/>
    </row>
    <row r="511" ht="15" customHeight="1">
      <c r="A511" t="inlineStr">
        <is>
          <t>A 59728-2023</t>
        </is>
      </c>
      <c r="B511" s="1" t="n">
        <v>45257</v>
      </c>
      <c r="C511" s="1" t="n">
        <v>45690</v>
      </c>
      <c r="D511" t="inlineStr">
        <is>
          <t>DALARNAS LÄN</t>
        </is>
      </c>
      <c r="E511" t="inlineStr">
        <is>
          <t>HEDEMORA</t>
        </is>
      </c>
      <c r="G511" t="n">
        <v>3.7</v>
      </c>
      <c r="H511" t="n">
        <v>0</v>
      </c>
      <c r="I511" t="n">
        <v>0</v>
      </c>
      <c r="J511" t="n">
        <v>0</v>
      </c>
      <c r="K511" t="n">
        <v>0</v>
      </c>
      <c r="L511" t="n">
        <v>0</v>
      </c>
      <c r="M511" t="n">
        <v>0</v>
      </c>
      <c r="N511" t="n">
        <v>0</v>
      </c>
      <c r="O511" t="n">
        <v>0</v>
      </c>
      <c r="P511" t="n">
        <v>0</v>
      </c>
      <c r="Q511" t="n">
        <v>0</v>
      </c>
      <c r="R511" s="2" t="inlineStr"/>
    </row>
    <row r="512" ht="15" customHeight="1">
      <c r="A512" t="inlineStr">
        <is>
          <t>A 60496-2023</t>
        </is>
      </c>
      <c r="B512" s="1" t="n">
        <v>45259</v>
      </c>
      <c r="C512" s="1" t="n">
        <v>45690</v>
      </c>
      <c r="D512" t="inlineStr">
        <is>
          <t>DALARNAS LÄN</t>
        </is>
      </c>
      <c r="E512" t="inlineStr">
        <is>
          <t>HEDEMORA</t>
        </is>
      </c>
      <c r="G512" t="n">
        <v>0.8</v>
      </c>
      <c r="H512" t="n">
        <v>0</v>
      </c>
      <c r="I512" t="n">
        <v>0</v>
      </c>
      <c r="J512" t="n">
        <v>0</v>
      </c>
      <c r="K512" t="n">
        <v>0</v>
      </c>
      <c r="L512" t="n">
        <v>0</v>
      </c>
      <c r="M512" t="n">
        <v>0</v>
      </c>
      <c r="N512" t="n">
        <v>0</v>
      </c>
      <c r="O512" t="n">
        <v>0</v>
      </c>
      <c r="P512" t="n">
        <v>0</v>
      </c>
      <c r="Q512" t="n">
        <v>0</v>
      </c>
      <c r="R512" s="2" t="inlineStr"/>
      <c r="U512">
        <f>HYPERLINK("https://klasma.github.io/Logging_2083/knärot/A 60496-2023 karta knärot.png", "A 60496-2023")</f>
        <v/>
      </c>
      <c r="V512">
        <f>HYPERLINK("https://klasma.github.io/Logging_2083/klagomål/A 60496-2023 FSC-klagomål.docx", "A 60496-2023")</f>
        <v/>
      </c>
      <c r="W512">
        <f>HYPERLINK("https://klasma.github.io/Logging_2083/klagomålsmail/A 60496-2023 FSC-klagomål mail.docx", "A 60496-2023")</f>
        <v/>
      </c>
      <c r="X512">
        <f>HYPERLINK("https://klasma.github.io/Logging_2083/tillsyn/A 60496-2023 tillsynsbegäran.docx", "A 60496-2023")</f>
        <v/>
      </c>
      <c r="Y512">
        <f>HYPERLINK("https://klasma.github.io/Logging_2083/tillsynsmail/A 60496-2023 tillsynsbegäran mail.docx", "A 60496-2023")</f>
        <v/>
      </c>
    </row>
    <row r="513" ht="15" customHeight="1">
      <c r="A513" t="inlineStr">
        <is>
          <t>A 60767-2023</t>
        </is>
      </c>
      <c r="B513" s="1" t="n">
        <v>45260</v>
      </c>
      <c r="C513" s="1" t="n">
        <v>45690</v>
      </c>
      <c r="D513" t="inlineStr">
        <is>
          <t>DALARNAS LÄN</t>
        </is>
      </c>
      <c r="E513" t="inlineStr">
        <is>
          <t>HEDEMORA</t>
        </is>
      </c>
      <c r="G513" t="n">
        <v>3.9</v>
      </c>
      <c r="H513" t="n">
        <v>0</v>
      </c>
      <c r="I513" t="n">
        <v>0</v>
      </c>
      <c r="J513" t="n">
        <v>0</v>
      </c>
      <c r="K513" t="n">
        <v>0</v>
      </c>
      <c r="L513" t="n">
        <v>0</v>
      </c>
      <c r="M513" t="n">
        <v>0</v>
      </c>
      <c r="N513" t="n">
        <v>0</v>
      </c>
      <c r="O513" t="n">
        <v>0</v>
      </c>
      <c r="P513" t="n">
        <v>0</v>
      </c>
      <c r="Q513" t="n">
        <v>0</v>
      </c>
      <c r="R513" s="2" t="inlineStr"/>
    </row>
    <row r="514" ht="15" customHeight="1">
      <c r="A514" t="inlineStr">
        <is>
          <t>A 60806-2023</t>
        </is>
      </c>
      <c r="B514" s="1" t="n">
        <v>45260</v>
      </c>
      <c r="C514" s="1" t="n">
        <v>45690</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60786-2023</t>
        </is>
      </c>
      <c r="B515" s="1" t="n">
        <v>45260</v>
      </c>
      <c r="C515" s="1" t="n">
        <v>45690</v>
      </c>
      <c r="D515" t="inlineStr">
        <is>
          <t>DALARNAS LÄN</t>
        </is>
      </c>
      <c r="E515" t="inlineStr">
        <is>
          <t>HEDEMORA</t>
        </is>
      </c>
      <c r="G515" t="n">
        <v>7.1</v>
      </c>
      <c r="H515" t="n">
        <v>0</v>
      </c>
      <c r="I515" t="n">
        <v>0</v>
      </c>
      <c r="J515" t="n">
        <v>0</v>
      </c>
      <c r="K515" t="n">
        <v>0</v>
      </c>
      <c r="L515" t="n">
        <v>0</v>
      </c>
      <c r="M515" t="n">
        <v>0</v>
      </c>
      <c r="N515" t="n">
        <v>0</v>
      </c>
      <c r="O515" t="n">
        <v>0</v>
      </c>
      <c r="P515" t="n">
        <v>0</v>
      </c>
      <c r="Q515" t="n">
        <v>0</v>
      </c>
      <c r="R515" s="2" t="inlineStr"/>
    </row>
    <row r="516" ht="15" customHeight="1">
      <c r="A516" t="inlineStr">
        <is>
          <t>A 60811-2023</t>
        </is>
      </c>
      <c r="B516" s="1" t="n">
        <v>45260</v>
      </c>
      <c r="C516" s="1" t="n">
        <v>45690</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61671-2023</t>
        </is>
      </c>
      <c r="B517" s="1" t="n">
        <v>45265</v>
      </c>
      <c r="C517" s="1" t="n">
        <v>45690</v>
      </c>
      <c r="D517" t="inlineStr">
        <is>
          <t>DALARNAS LÄN</t>
        </is>
      </c>
      <c r="E517" t="inlineStr">
        <is>
          <t>HEDEMORA</t>
        </is>
      </c>
      <c r="F517" t="inlineStr">
        <is>
          <t>Bergvik skog väst AB</t>
        </is>
      </c>
      <c r="G517" t="n">
        <v>6.5</v>
      </c>
      <c r="H517" t="n">
        <v>0</v>
      </c>
      <c r="I517" t="n">
        <v>0</v>
      </c>
      <c r="J517" t="n">
        <v>0</v>
      </c>
      <c r="K517" t="n">
        <v>0</v>
      </c>
      <c r="L517" t="n">
        <v>0</v>
      </c>
      <c r="M517" t="n">
        <v>0</v>
      </c>
      <c r="N517" t="n">
        <v>0</v>
      </c>
      <c r="O517" t="n">
        <v>0</v>
      </c>
      <c r="P517" t="n">
        <v>0</v>
      </c>
      <c r="Q517" t="n">
        <v>0</v>
      </c>
      <c r="R517" s="2" t="inlineStr"/>
    </row>
    <row r="518" ht="15" customHeight="1">
      <c r="A518" t="inlineStr">
        <is>
          <t>A 62054-2023</t>
        </is>
      </c>
      <c r="B518" s="1" t="n">
        <v>45265</v>
      </c>
      <c r="C518" s="1" t="n">
        <v>45690</v>
      </c>
      <c r="D518" t="inlineStr">
        <is>
          <t>DALARNAS LÄN</t>
        </is>
      </c>
      <c r="E518" t="inlineStr">
        <is>
          <t>HEDEMORA</t>
        </is>
      </c>
      <c r="G518" t="n">
        <v>2.3</v>
      </c>
      <c r="H518" t="n">
        <v>0</v>
      </c>
      <c r="I518" t="n">
        <v>0</v>
      </c>
      <c r="J518" t="n">
        <v>0</v>
      </c>
      <c r="K518" t="n">
        <v>0</v>
      </c>
      <c r="L518" t="n">
        <v>0</v>
      </c>
      <c r="M518" t="n">
        <v>0</v>
      </c>
      <c r="N518" t="n">
        <v>0</v>
      </c>
      <c r="O518" t="n">
        <v>0</v>
      </c>
      <c r="P518" t="n">
        <v>0</v>
      </c>
      <c r="Q518" t="n">
        <v>0</v>
      </c>
      <c r="R518" s="2" t="inlineStr"/>
    </row>
    <row r="519" ht="15" customHeight="1">
      <c r="A519" t="inlineStr">
        <is>
          <t>A 62188-2023</t>
        </is>
      </c>
      <c r="B519" s="1" t="n">
        <v>45267</v>
      </c>
      <c r="C519" s="1" t="n">
        <v>45690</v>
      </c>
      <c r="D519" t="inlineStr">
        <is>
          <t>DALARNAS LÄN</t>
        </is>
      </c>
      <c r="E519" t="inlineStr">
        <is>
          <t>HEDEMORA</t>
        </is>
      </c>
      <c r="G519" t="n">
        <v>2.1</v>
      </c>
      <c r="H519" t="n">
        <v>0</v>
      </c>
      <c r="I519" t="n">
        <v>0</v>
      </c>
      <c r="J519" t="n">
        <v>0</v>
      </c>
      <c r="K519" t="n">
        <v>0</v>
      </c>
      <c r="L519" t="n">
        <v>0</v>
      </c>
      <c r="M519" t="n">
        <v>0</v>
      </c>
      <c r="N519" t="n">
        <v>0</v>
      </c>
      <c r="O519" t="n">
        <v>0</v>
      </c>
      <c r="P519" t="n">
        <v>0</v>
      </c>
      <c r="Q519" t="n">
        <v>0</v>
      </c>
      <c r="R519" s="2" t="inlineStr"/>
    </row>
    <row r="520" ht="15" customHeight="1">
      <c r="A520" t="inlineStr">
        <is>
          <t>A 62386-2023</t>
        </is>
      </c>
      <c r="B520" s="1" t="n">
        <v>45268</v>
      </c>
      <c r="C520" s="1" t="n">
        <v>45690</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62401-2023</t>
        </is>
      </c>
      <c r="B521" s="1" t="n">
        <v>45268</v>
      </c>
      <c r="C521" s="1" t="n">
        <v>45690</v>
      </c>
      <c r="D521" t="inlineStr">
        <is>
          <t>DALARNAS LÄN</t>
        </is>
      </c>
      <c r="E521" t="inlineStr">
        <is>
          <t>HEDEMORA</t>
        </is>
      </c>
      <c r="G521" t="n">
        <v>1.6</v>
      </c>
      <c r="H521" t="n">
        <v>0</v>
      </c>
      <c r="I521" t="n">
        <v>0</v>
      </c>
      <c r="J521" t="n">
        <v>0</v>
      </c>
      <c r="K521" t="n">
        <v>0</v>
      </c>
      <c r="L521" t="n">
        <v>0</v>
      </c>
      <c r="M521" t="n">
        <v>0</v>
      </c>
      <c r="N521" t="n">
        <v>0</v>
      </c>
      <c r="O521" t="n">
        <v>0</v>
      </c>
      <c r="P521" t="n">
        <v>0</v>
      </c>
      <c r="Q521" t="n">
        <v>0</v>
      </c>
      <c r="R521" s="2" t="inlineStr"/>
    </row>
    <row r="522" ht="15" customHeight="1">
      <c r="A522" t="inlineStr">
        <is>
          <t>A 62398-2023</t>
        </is>
      </c>
      <c r="B522" s="1" t="n">
        <v>45268</v>
      </c>
      <c r="C522" s="1" t="n">
        <v>45690</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62374-2023</t>
        </is>
      </c>
      <c r="B523" s="1" t="n">
        <v>45268</v>
      </c>
      <c r="C523" s="1" t="n">
        <v>45690</v>
      </c>
      <c r="D523" t="inlineStr">
        <is>
          <t>DALARNAS LÄN</t>
        </is>
      </c>
      <c r="E523" t="inlineStr">
        <is>
          <t>HEDEMORA</t>
        </is>
      </c>
      <c r="G523" t="n">
        <v>2.5</v>
      </c>
      <c r="H523" t="n">
        <v>0</v>
      </c>
      <c r="I523" t="n">
        <v>0</v>
      </c>
      <c r="J523" t="n">
        <v>0</v>
      </c>
      <c r="K523" t="n">
        <v>0</v>
      </c>
      <c r="L523" t="n">
        <v>0</v>
      </c>
      <c r="M523" t="n">
        <v>0</v>
      </c>
      <c r="N523" t="n">
        <v>0</v>
      </c>
      <c r="O523" t="n">
        <v>0</v>
      </c>
      <c r="P523" t="n">
        <v>0</v>
      </c>
      <c r="Q523" t="n">
        <v>0</v>
      </c>
      <c r="R523" s="2" t="inlineStr"/>
    </row>
    <row r="524" ht="15" customHeight="1">
      <c r="A524" t="inlineStr">
        <is>
          <t>A 63543-2023</t>
        </is>
      </c>
      <c r="B524" s="1" t="n">
        <v>45275</v>
      </c>
      <c r="C524" s="1" t="n">
        <v>45690</v>
      </c>
      <c r="D524" t="inlineStr">
        <is>
          <t>DALARNAS LÄN</t>
        </is>
      </c>
      <c r="E524" t="inlineStr">
        <is>
          <t>HEDEMORA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63925-2023</t>
        </is>
      </c>
      <c r="B525" s="1" t="n">
        <v>45278</v>
      </c>
      <c r="C525" s="1" t="n">
        <v>45690</v>
      </c>
      <c r="D525" t="inlineStr">
        <is>
          <t>DALARNAS LÄN</t>
        </is>
      </c>
      <c r="E525" t="inlineStr">
        <is>
          <t>HEDEMORA</t>
        </is>
      </c>
      <c r="G525" t="n">
        <v>5.2</v>
      </c>
      <c r="H525" t="n">
        <v>0</v>
      </c>
      <c r="I525" t="n">
        <v>0</v>
      </c>
      <c r="J525" t="n">
        <v>0</v>
      </c>
      <c r="K525" t="n">
        <v>0</v>
      </c>
      <c r="L525" t="n">
        <v>0</v>
      </c>
      <c r="M525" t="n">
        <v>0</v>
      </c>
      <c r="N525" t="n">
        <v>0</v>
      </c>
      <c r="O525" t="n">
        <v>0</v>
      </c>
      <c r="P525" t="n">
        <v>0</v>
      </c>
      <c r="Q525" t="n">
        <v>0</v>
      </c>
      <c r="R525" s="2" t="inlineStr"/>
    </row>
    <row r="526" ht="15" customHeight="1">
      <c r="A526" t="inlineStr">
        <is>
          <t>A 63929-2023</t>
        </is>
      </c>
      <c r="B526" s="1" t="n">
        <v>45278</v>
      </c>
      <c r="C526" s="1" t="n">
        <v>45690</v>
      </c>
      <c r="D526" t="inlineStr">
        <is>
          <t>DALARNAS LÄN</t>
        </is>
      </c>
      <c r="E526" t="inlineStr">
        <is>
          <t>HEDEMORA</t>
        </is>
      </c>
      <c r="G526" t="n">
        <v>0.4</v>
      </c>
      <c r="H526" t="n">
        <v>0</v>
      </c>
      <c r="I526" t="n">
        <v>0</v>
      </c>
      <c r="J526" t="n">
        <v>0</v>
      </c>
      <c r="K526" t="n">
        <v>0</v>
      </c>
      <c r="L526" t="n">
        <v>0</v>
      </c>
      <c r="M526" t="n">
        <v>0</v>
      </c>
      <c r="N526" t="n">
        <v>0</v>
      </c>
      <c r="O526" t="n">
        <v>0</v>
      </c>
      <c r="P526" t="n">
        <v>0</v>
      </c>
      <c r="Q526" t="n">
        <v>0</v>
      </c>
      <c r="R526" s="2" t="inlineStr"/>
    </row>
    <row r="527" ht="15" customHeight="1">
      <c r="A527" t="inlineStr">
        <is>
          <t>A 63941-2023</t>
        </is>
      </c>
      <c r="B527" s="1" t="n">
        <v>45278</v>
      </c>
      <c r="C527" s="1" t="n">
        <v>45690</v>
      </c>
      <c r="D527" t="inlineStr">
        <is>
          <t>DALARNAS LÄN</t>
        </is>
      </c>
      <c r="E527" t="inlineStr">
        <is>
          <t>HEDEMORA</t>
        </is>
      </c>
      <c r="G527" t="n">
        <v>1.1</v>
      </c>
      <c r="H527" t="n">
        <v>0</v>
      </c>
      <c r="I527" t="n">
        <v>0</v>
      </c>
      <c r="J527" t="n">
        <v>0</v>
      </c>
      <c r="K527" t="n">
        <v>0</v>
      </c>
      <c r="L527" t="n">
        <v>0</v>
      </c>
      <c r="M527" t="n">
        <v>0</v>
      </c>
      <c r="N527" t="n">
        <v>0</v>
      </c>
      <c r="O527" t="n">
        <v>0</v>
      </c>
      <c r="P527" t="n">
        <v>0</v>
      </c>
      <c r="Q527" t="n">
        <v>0</v>
      </c>
      <c r="R527" s="2" t="inlineStr"/>
    </row>
    <row r="528" ht="15" customHeight="1">
      <c r="A528" t="inlineStr">
        <is>
          <t>A 63926-2023</t>
        </is>
      </c>
      <c r="B528" s="1" t="n">
        <v>45278</v>
      </c>
      <c r="C528" s="1" t="n">
        <v>45690</v>
      </c>
      <c r="D528" t="inlineStr">
        <is>
          <t>DALARNAS LÄN</t>
        </is>
      </c>
      <c r="E528" t="inlineStr">
        <is>
          <t>HEDEMORA</t>
        </is>
      </c>
      <c r="G528" t="n">
        <v>5</v>
      </c>
      <c r="H528" t="n">
        <v>0</v>
      </c>
      <c r="I528" t="n">
        <v>0</v>
      </c>
      <c r="J528" t="n">
        <v>0</v>
      </c>
      <c r="K528" t="n">
        <v>0</v>
      </c>
      <c r="L528" t="n">
        <v>0</v>
      </c>
      <c r="M528" t="n">
        <v>0</v>
      </c>
      <c r="N528" t="n">
        <v>0</v>
      </c>
      <c r="O528" t="n">
        <v>0</v>
      </c>
      <c r="P528" t="n">
        <v>0</v>
      </c>
      <c r="Q528" t="n">
        <v>0</v>
      </c>
      <c r="R528" s="2" t="inlineStr"/>
    </row>
    <row r="529" ht="15" customHeight="1">
      <c r="A529" t="inlineStr">
        <is>
          <t>A 63911-2023</t>
        </is>
      </c>
      <c r="B529" s="1" t="n">
        <v>45278</v>
      </c>
      <c r="C529" s="1" t="n">
        <v>45690</v>
      </c>
      <c r="D529" t="inlineStr">
        <is>
          <t>DALARNAS LÄN</t>
        </is>
      </c>
      <c r="E529" t="inlineStr">
        <is>
          <t>HEDEMORA</t>
        </is>
      </c>
      <c r="G529" t="n">
        <v>8.9</v>
      </c>
      <c r="H529" t="n">
        <v>0</v>
      </c>
      <c r="I529" t="n">
        <v>0</v>
      </c>
      <c r="J529" t="n">
        <v>0</v>
      </c>
      <c r="K529" t="n">
        <v>0</v>
      </c>
      <c r="L529" t="n">
        <v>0</v>
      </c>
      <c r="M529" t="n">
        <v>0</v>
      </c>
      <c r="N529" t="n">
        <v>0</v>
      </c>
      <c r="O529" t="n">
        <v>0</v>
      </c>
      <c r="P529" t="n">
        <v>0</v>
      </c>
      <c r="Q529" t="n">
        <v>0</v>
      </c>
      <c r="R529" s="2" t="inlineStr"/>
    </row>
    <row r="530" ht="15" customHeight="1">
      <c r="A530" t="inlineStr">
        <is>
          <t>A 64276-2023</t>
        </is>
      </c>
      <c r="B530" s="1" t="n">
        <v>45280</v>
      </c>
      <c r="C530" s="1" t="n">
        <v>45690</v>
      </c>
      <c r="D530" t="inlineStr">
        <is>
          <t>DALARNAS LÄN</t>
        </is>
      </c>
      <c r="E530" t="inlineStr">
        <is>
          <t>HEDEMORA</t>
        </is>
      </c>
      <c r="G530" t="n">
        <v>3.5</v>
      </c>
      <c r="H530" t="n">
        <v>0</v>
      </c>
      <c r="I530" t="n">
        <v>0</v>
      </c>
      <c r="J530" t="n">
        <v>0</v>
      </c>
      <c r="K530" t="n">
        <v>0</v>
      </c>
      <c r="L530" t="n">
        <v>0</v>
      </c>
      <c r="M530" t="n">
        <v>0</v>
      </c>
      <c r="N530" t="n">
        <v>0</v>
      </c>
      <c r="O530" t="n">
        <v>0</v>
      </c>
      <c r="P530" t="n">
        <v>0</v>
      </c>
      <c r="Q530" t="n">
        <v>0</v>
      </c>
      <c r="R530" s="2" t="inlineStr"/>
    </row>
    <row r="531" ht="15" customHeight="1">
      <c r="A531" t="inlineStr">
        <is>
          <t>A 64965-2023</t>
        </is>
      </c>
      <c r="B531" s="1" t="n">
        <v>45283</v>
      </c>
      <c r="C531" s="1" t="n">
        <v>45690</v>
      </c>
      <c r="D531" t="inlineStr">
        <is>
          <t>DALARNAS LÄN</t>
        </is>
      </c>
      <c r="E531" t="inlineStr">
        <is>
          <t>HEDEMORA</t>
        </is>
      </c>
      <c r="G531" t="n">
        <v>6</v>
      </c>
      <c r="H531" t="n">
        <v>0</v>
      </c>
      <c r="I531" t="n">
        <v>0</v>
      </c>
      <c r="J531" t="n">
        <v>0</v>
      </c>
      <c r="K531" t="n">
        <v>0</v>
      </c>
      <c r="L531" t="n">
        <v>0</v>
      </c>
      <c r="M531" t="n">
        <v>0</v>
      </c>
      <c r="N531" t="n">
        <v>0</v>
      </c>
      <c r="O531" t="n">
        <v>0</v>
      </c>
      <c r="P531" t="n">
        <v>0</v>
      </c>
      <c r="Q531" t="n">
        <v>0</v>
      </c>
      <c r="R531" s="2" t="inlineStr"/>
    </row>
    <row r="532" ht="15" customHeight="1">
      <c r="A532" t="inlineStr">
        <is>
          <t>A 64964-2023</t>
        </is>
      </c>
      <c r="B532" s="1" t="n">
        <v>45283</v>
      </c>
      <c r="C532" s="1" t="n">
        <v>45690</v>
      </c>
      <c r="D532" t="inlineStr">
        <is>
          <t>DALARNAS LÄN</t>
        </is>
      </c>
      <c r="E532" t="inlineStr">
        <is>
          <t>HEDEMORA</t>
        </is>
      </c>
      <c r="G532" t="n">
        <v>0.9</v>
      </c>
      <c r="H532" t="n">
        <v>0</v>
      </c>
      <c r="I532" t="n">
        <v>0</v>
      </c>
      <c r="J532" t="n">
        <v>0</v>
      </c>
      <c r="K532" t="n">
        <v>0</v>
      </c>
      <c r="L532" t="n">
        <v>0</v>
      </c>
      <c r="M532" t="n">
        <v>0</v>
      </c>
      <c r="N532" t="n">
        <v>0</v>
      </c>
      <c r="O532" t="n">
        <v>0</v>
      </c>
      <c r="P532" t="n">
        <v>0</v>
      </c>
      <c r="Q532" t="n">
        <v>0</v>
      </c>
      <c r="R532" s="2" t="inlineStr"/>
    </row>
    <row r="533" ht="15" customHeight="1">
      <c r="A533" t="inlineStr">
        <is>
          <t>A 65057-2023</t>
        </is>
      </c>
      <c r="B533" s="1" t="n">
        <v>45287</v>
      </c>
      <c r="C533" s="1" t="n">
        <v>45690</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385-2024</t>
        </is>
      </c>
      <c r="B534" s="1" t="n">
        <v>45296</v>
      </c>
      <c r="C534" s="1" t="n">
        <v>45690</v>
      </c>
      <c r="D534" t="inlineStr">
        <is>
          <t>DALARNAS LÄN</t>
        </is>
      </c>
      <c r="E534" t="inlineStr">
        <is>
          <t>HEDEMORA</t>
        </is>
      </c>
      <c r="G534" t="n">
        <v>1.7</v>
      </c>
      <c r="H534" t="n">
        <v>0</v>
      </c>
      <c r="I534" t="n">
        <v>0</v>
      </c>
      <c r="J534" t="n">
        <v>0</v>
      </c>
      <c r="K534" t="n">
        <v>0</v>
      </c>
      <c r="L534" t="n">
        <v>0</v>
      </c>
      <c r="M534" t="n">
        <v>0</v>
      </c>
      <c r="N534" t="n">
        <v>0</v>
      </c>
      <c r="O534" t="n">
        <v>0</v>
      </c>
      <c r="P534" t="n">
        <v>0</v>
      </c>
      <c r="Q534" t="n">
        <v>0</v>
      </c>
      <c r="R534" s="2" t="inlineStr"/>
    </row>
    <row r="535" ht="15" customHeight="1">
      <c r="A535" t="inlineStr">
        <is>
          <t>A 1072-2024</t>
        </is>
      </c>
      <c r="B535" s="1" t="n">
        <v>45302</v>
      </c>
      <c r="C535" s="1" t="n">
        <v>45690</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1168-2024</t>
        </is>
      </c>
      <c r="B536" s="1" t="n">
        <v>45302</v>
      </c>
      <c r="C536" s="1" t="n">
        <v>45690</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2915-2024</t>
        </is>
      </c>
      <c r="B537" s="1" t="n">
        <v>45315</v>
      </c>
      <c r="C537" s="1" t="n">
        <v>45690</v>
      </c>
      <c r="D537" t="inlineStr">
        <is>
          <t>DALARNAS LÄN</t>
        </is>
      </c>
      <c r="E537" t="inlineStr">
        <is>
          <t>HEDEMORA</t>
        </is>
      </c>
      <c r="G537" t="n">
        <v>2</v>
      </c>
      <c r="H537" t="n">
        <v>0</v>
      </c>
      <c r="I537" t="n">
        <v>0</v>
      </c>
      <c r="J537" t="n">
        <v>0</v>
      </c>
      <c r="K537" t="n">
        <v>0</v>
      </c>
      <c r="L537" t="n">
        <v>0</v>
      </c>
      <c r="M537" t="n">
        <v>0</v>
      </c>
      <c r="N537" t="n">
        <v>0</v>
      </c>
      <c r="O537" t="n">
        <v>0</v>
      </c>
      <c r="P537" t="n">
        <v>0</v>
      </c>
      <c r="Q537" t="n">
        <v>0</v>
      </c>
      <c r="R537" s="2" t="inlineStr"/>
    </row>
    <row r="538" ht="15" customHeight="1">
      <c r="A538" t="inlineStr">
        <is>
          <t>A 3089-2024</t>
        </is>
      </c>
      <c r="B538" s="1" t="n">
        <v>45316</v>
      </c>
      <c r="C538" s="1" t="n">
        <v>45690</v>
      </c>
      <c r="D538" t="inlineStr">
        <is>
          <t>DALARNAS LÄN</t>
        </is>
      </c>
      <c r="E538" t="inlineStr">
        <is>
          <t>HEDEMORA</t>
        </is>
      </c>
      <c r="G538" t="n">
        <v>5.5</v>
      </c>
      <c r="H538" t="n">
        <v>0</v>
      </c>
      <c r="I538" t="n">
        <v>0</v>
      </c>
      <c r="J538" t="n">
        <v>0</v>
      </c>
      <c r="K538" t="n">
        <v>0</v>
      </c>
      <c r="L538" t="n">
        <v>0</v>
      </c>
      <c r="M538" t="n">
        <v>0</v>
      </c>
      <c r="N538" t="n">
        <v>0</v>
      </c>
      <c r="O538" t="n">
        <v>0</v>
      </c>
      <c r="P538" t="n">
        <v>0</v>
      </c>
      <c r="Q538" t="n">
        <v>0</v>
      </c>
      <c r="R538" s="2" t="inlineStr"/>
    </row>
    <row r="539" ht="15" customHeight="1">
      <c r="A539" t="inlineStr">
        <is>
          <t>A 4391-2024</t>
        </is>
      </c>
      <c r="B539" s="1" t="n">
        <v>45327</v>
      </c>
      <c r="C539" s="1" t="n">
        <v>45690</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6210-2024</t>
        </is>
      </c>
      <c r="B540" s="1" t="n">
        <v>45337</v>
      </c>
      <c r="C540" s="1" t="n">
        <v>45690</v>
      </c>
      <c r="D540" t="inlineStr">
        <is>
          <t>DALARNAS LÄN</t>
        </is>
      </c>
      <c r="E540" t="inlineStr">
        <is>
          <t>HEDEMORA</t>
        </is>
      </c>
      <c r="G540" t="n">
        <v>2.6</v>
      </c>
      <c r="H540" t="n">
        <v>0</v>
      </c>
      <c r="I540" t="n">
        <v>0</v>
      </c>
      <c r="J540" t="n">
        <v>0</v>
      </c>
      <c r="K540" t="n">
        <v>0</v>
      </c>
      <c r="L540" t="n">
        <v>0</v>
      </c>
      <c r="M540" t="n">
        <v>0</v>
      </c>
      <c r="N540" t="n">
        <v>0</v>
      </c>
      <c r="O540" t="n">
        <v>0</v>
      </c>
      <c r="P540" t="n">
        <v>0</v>
      </c>
      <c r="Q540" t="n">
        <v>0</v>
      </c>
      <c r="R540" s="2" t="inlineStr"/>
    </row>
    <row r="541" ht="15" customHeight="1">
      <c r="A541" t="inlineStr">
        <is>
          <t>A 6880-2024</t>
        </is>
      </c>
      <c r="B541" s="1" t="n">
        <v>45342</v>
      </c>
      <c r="C541" s="1" t="n">
        <v>45690</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6881-2024</t>
        </is>
      </c>
      <c r="B542" s="1" t="n">
        <v>45342</v>
      </c>
      <c r="C542" s="1" t="n">
        <v>45690</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7914-2024</t>
        </is>
      </c>
      <c r="B543" s="1" t="n">
        <v>45350</v>
      </c>
      <c r="C543" s="1" t="n">
        <v>45690</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7916-2024</t>
        </is>
      </c>
      <c r="B544" s="1" t="n">
        <v>45350</v>
      </c>
      <c r="C544" s="1" t="n">
        <v>45690</v>
      </c>
      <c r="D544" t="inlineStr">
        <is>
          <t>DALARNAS LÄN</t>
        </is>
      </c>
      <c r="E544" t="inlineStr">
        <is>
          <t>HEDEMORA</t>
        </is>
      </c>
      <c r="G544" t="n">
        <v>5.8</v>
      </c>
      <c r="H544" t="n">
        <v>0</v>
      </c>
      <c r="I544" t="n">
        <v>0</v>
      </c>
      <c r="J544" t="n">
        <v>0</v>
      </c>
      <c r="K544" t="n">
        <v>0</v>
      </c>
      <c r="L544" t="n">
        <v>0</v>
      </c>
      <c r="M544" t="n">
        <v>0</v>
      </c>
      <c r="N544" t="n">
        <v>0</v>
      </c>
      <c r="O544" t="n">
        <v>0</v>
      </c>
      <c r="P544" t="n">
        <v>0</v>
      </c>
      <c r="Q544" t="n">
        <v>0</v>
      </c>
      <c r="R544" s="2" t="inlineStr"/>
    </row>
    <row r="545" ht="15" customHeight="1">
      <c r="A545" t="inlineStr">
        <is>
          <t>A 9314-2024</t>
        </is>
      </c>
      <c r="B545" s="1" t="n">
        <v>45358</v>
      </c>
      <c r="C545" s="1" t="n">
        <v>45690</v>
      </c>
      <c r="D545" t="inlineStr">
        <is>
          <t>DALARNAS LÄN</t>
        </is>
      </c>
      <c r="E545" t="inlineStr">
        <is>
          <t>HEDEMORA</t>
        </is>
      </c>
      <c r="G545" t="n">
        <v>1.4</v>
      </c>
      <c r="H545" t="n">
        <v>0</v>
      </c>
      <c r="I545" t="n">
        <v>0</v>
      </c>
      <c r="J545" t="n">
        <v>0</v>
      </c>
      <c r="K545" t="n">
        <v>0</v>
      </c>
      <c r="L545" t="n">
        <v>0</v>
      </c>
      <c r="M545" t="n">
        <v>0</v>
      </c>
      <c r="N545" t="n">
        <v>0</v>
      </c>
      <c r="O545" t="n">
        <v>0</v>
      </c>
      <c r="P545" t="n">
        <v>0</v>
      </c>
      <c r="Q545" t="n">
        <v>0</v>
      </c>
      <c r="R545" s="2" t="inlineStr"/>
    </row>
    <row r="546" ht="15" customHeight="1">
      <c r="A546" t="inlineStr">
        <is>
          <t>A 9313-2024</t>
        </is>
      </c>
      <c r="B546" s="1" t="n">
        <v>45358</v>
      </c>
      <c r="C546" s="1" t="n">
        <v>45690</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12126-2024</t>
        </is>
      </c>
      <c r="B547" s="1" t="n">
        <v>45377</v>
      </c>
      <c r="C547" s="1" t="n">
        <v>45690</v>
      </c>
      <c r="D547" t="inlineStr">
        <is>
          <t>DALARNAS LÄN</t>
        </is>
      </c>
      <c r="E547" t="inlineStr">
        <is>
          <t>HEDEMORA</t>
        </is>
      </c>
      <c r="G547" t="n">
        <v>1.5</v>
      </c>
      <c r="H547" t="n">
        <v>0</v>
      </c>
      <c r="I547" t="n">
        <v>0</v>
      </c>
      <c r="J547" t="n">
        <v>0</v>
      </c>
      <c r="K547" t="n">
        <v>0</v>
      </c>
      <c r="L547" t="n">
        <v>0</v>
      </c>
      <c r="M547" t="n">
        <v>0</v>
      </c>
      <c r="N547" t="n">
        <v>0</v>
      </c>
      <c r="O547" t="n">
        <v>0</v>
      </c>
      <c r="P547" t="n">
        <v>0</v>
      </c>
      <c r="Q547" t="n">
        <v>0</v>
      </c>
      <c r="R547" s="2" t="inlineStr"/>
    </row>
    <row r="548" ht="15" customHeight="1">
      <c r="A548" t="inlineStr">
        <is>
          <t>A 12030-2024</t>
        </is>
      </c>
      <c r="B548" s="1" t="n">
        <v>45377</v>
      </c>
      <c r="C548" s="1" t="n">
        <v>45690</v>
      </c>
      <c r="D548" t="inlineStr">
        <is>
          <t>DALARNAS LÄN</t>
        </is>
      </c>
      <c r="E548" t="inlineStr">
        <is>
          <t>HEDEMORA</t>
        </is>
      </c>
      <c r="G548" t="n">
        <v>0.7</v>
      </c>
      <c r="H548" t="n">
        <v>0</v>
      </c>
      <c r="I548" t="n">
        <v>0</v>
      </c>
      <c r="J548" t="n">
        <v>0</v>
      </c>
      <c r="K548" t="n">
        <v>0</v>
      </c>
      <c r="L548" t="n">
        <v>0</v>
      </c>
      <c r="M548" t="n">
        <v>0</v>
      </c>
      <c r="N548" t="n">
        <v>0</v>
      </c>
      <c r="O548" t="n">
        <v>0</v>
      </c>
      <c r="P548" t="n">
        <v>0</v>
      </c>
      <c r="Q548" t="n">
        <v>0</v>
      </c>
      <c r="R548" s="2" t="inlineStr"/>
    </row>
    <row r="549" ht="15" customHeight="1">
      <c r="A549" t="inlineStr">
        <is>
          <t>A 13657-2024</t>
        </is>
      </c>
      <c r="B549" s="1" t="n">
        <v>45390</v>
      </c>
      <c r="C549" s="1" t="n">
        <v>45690</v>
      </c>
      <c r="D549" t="inlineStr">
        <is>
          <t>DALARNAS LÄN</t>
        </is>
      </c>
      <c r="E549" t="inlineStr">
        <is>
          <t>HEDEMORA</t>
        </is>
      </c>
      <c r="G549" t="n">
        <v>3.1</v>
      </c>
      <c r="H549" t="n">
        <v>0</v>
      </c>
      <c r="I549" t="n">
        <v>0</v>
      </c>
      <c r="J549" t="n">
        <v>0</v>
      </c>
      <c r="K549" t="n">
        <v>0</v>
      </c>
      <c r="L549" t="n">
        <v>0</v>
      </c>
      <c r="M549" t="n">
        <v>0</v>
      </c>
      <c r="N549" t="n">
        <v>0</v>
      </c>
      <c r="O549" t="n">
        <v>0</v>
      </c>
      <c r="P549" t="n">
        <v>0</v>
      </c>
      <c r="Q549" t="n">
        <v>0</v>
      </c>
      <c r="R549" s="2" t="inlineStr"/>
    </row>
    <row r="550" ht="15" customHeight="1">
      <c r="A550" t="inlineStr">
        <is>
          <t>A 14120-2024</t>
        </is>
      </c>
      <c r="B550" s="1" t="n">
        <v>45392</v>
      </c>
      <c r="C550" s="1" t="n">
        <v>45690</v>
      </c>
      <c r="D550" t="inlineStr">
        <is>
          <t>DALARNAS LÄN</t>
        </is>
      </c>
      <c r="E550" t="inlineStr">
        <is>
          <t>HEDEMORA</t>
        </is>
      </c>
      <c r="G550" t="n">
        <v>1.2</v>
      </c>
      <c r="H550" t="n">
        <v>0</v>
      </c>
      <c r="I550" t="n">
        <v>0</v>
      </c>
      <c r="J550" t="n">
        <v>0</v>
      </c>
      <c r="K550" t="n">
        <v>0</v>
      </c>
      <c r="L550" t="n">
        <v>0</v>
      </c>
      <c r="M550" t="n">
        <v>0</v>
      </c>
      <c r="N550" t="n">
        <v>0</v>
      </c>
      <c r="O550" t="n">
        <v>0</v>
      </c>
      <c r="P550" t="n">
        <v>0</v>
      </c>
      <c r="Q550" t="n">
        <v>0</v>
      </c>
      <c r="R550" s="2" t="inlineStr"/>
    </row>
    <row r="551" ht="15" customHeight="1">
      <c r="A551" t="inlineStr">
        <is>
          <t>A 15345-2024</t>
        </is>
      </c>
      <c r="B551" s="1" t="n">
        <v>45400</v>
      </c>
      <c r="C551" s="1" t="n">
        <v>45690</v>
      </c>
      <c r="D551" t="inlineStr">
        <is>
          <t>DALARNAS LÄN</t>
        </is>
      </c>
      <c r="E551" t="inlineStr">
        <is>
          <t>HEDEMORA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16413-2024</t>
        </is>
      </c>
      <c r="B552" s="1" t="n">
        <v>45407</v>
      </c>
      <c r="C552" s="1" t="n">
        <v>45690</v>
      </c>
      <c r="D552" t="inlineStr">
        <is>
          <t>DALARNAS LÄN</t>
        </is>
      </c>
      <c r="E552" t="inlineStr">
        <is>
          <t>HEDEMORA</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16410-2024</t>
        </is>
      </c>
      <c r="B553" s="1" t="n">
        <v>45407</v>
      </c>
      <c r="C553" s="1" t="n">
        <v>45690</v>
      </c>
      <c r="D553" t="inlineStr">
        <is>
          <t>DALARNAS LÄN</t>
        </is>
      </c>
      <c r="E553" t="inlineStr">
        <is>
          <t>HEDEMORA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16408-2024</t>
        </is>
      </c>
      <c r="B554" s="1" t="n">
        <v>45407</v>
      </c>
      <c r="C554" s="1" t="n">
        <v>45690</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18223-2024</t>
        </is>
      </c>
      <c r="B555" s="1" t="n">
        <v>45421</v>
      </c>
      <c r="C555" s="1" t="n">
        <v>45690</v>
      </c>
      <c r="D555" t="inlineStr">
        <is>
          <t>DALARNAS LÄN</t>
        </is>
      </c>
      <c r="E555" t="inlineStr">
        <is>
          <t>HEDEMORA</t>
        </is>
      </c>
      <c r="F555" t="inlineStr">
        <is>
          <t>Sveaskog</t>
        </is>
      </c>
      <c r="G555" t="n">
        <v>29.8</v>
      </c>
      <c r="H555" t="n">
        <v>0</v>
      </c>
      <c r="I555" t="n">
        <v>0</v>
      </c>
      <c r="J555" t="n">
        <v>0</v>
      </c>
      <c r="K555" t="n">
        <v>0</v>
      </c>
      <c r="L555" t="n">
        <v>0</v>
      </c>
      <c r="M555" t="n">
        <v>0</v>
      </c>
      <c r="N555" t="n">
        <v>0</v>
      </c>
      <c r="O555" t="n">
        <v>0</v>
      </c>
      <c r="P555" t="n">
        <v>0</v>
      </c>
      <c r="Q555" t="n">
        <v>0</v>
      </c>
      <c r="R555" s="2" t="inlineStr"/>
    </row>
    <row r="556" ht="15" customHeight="1">
      <c r="A556" t="inlineStr">
        <is>
          <t>A 18699-2024</t>
        </is>
      </c>
      <c r="B556" s="1" t="n">
        <v>45426</v>
      </c>
      <c r="C556" s="1" t="n">
        <v>45690</v>
      </c>
      <c r="D556" t="inlineStr">
        <is>
          <t>DALARNAS LÄN</t>
        </is>
      </c>
      <c r="E556" t="inlineStr">
        <is>
          <t>HEDEMORA</t>
        </is>
      </c>
      <c r="G556" t="n">
        <v>6.6</v>
      </c>
      <c r="H556" t="n">
        <v>0</v>
      </c>
      <c r="I556" t="n">
        <v>0</v>
      </c>
      <c r="J556" t="n">
        <v>0</v>
      </c>
      <c r="K556" t="n">
        <v>0</v>
      </c>
      <c r="L556" t="n">
        <v>0</v>
      </c>
      <c r="M556" t="n">
        <v>0</v>
      </c>
      <c r="N556" t="n">
        <v>0</v>
      </c>
      <c r="O556" t="n">
        <v>0</v>
      </c>
      <c r="P556" t="n">
        <v>0</v>
      </c>
      <c r="Q556" t="n">
        <v>0</v>
      </c>
      <c r="R556" s="2" t="inlineStr"/>
    </row>
    <row r="557" ht="15" customHeight="1">
      <c r="A557" t="inlineStr">
        <is>
          <t>A 19353-2024</t>
        </is>
      </c>
      <c r="B557" s="1" t="n">
        <v>45429</v>
      </c>
      <c r="C557" s="1" t="n">
        <v>45690</v>
      </c>
      <c r="D557" t="inlineStr">
        <is>
          <t>DALARNAS LÄN</t>
        </is>
      </c>
      <c r="E557" t="inlineStr">
        <is>
          <t>HEDEMORA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19397-2024</t>
        </is>
      </c>
      <c r="B558" s="1" t="n">
        <v>45429</v>
      </c>
      <c r="C558" s="1" t="n">
        <v>45690</v>
      </c>
      <c r="D558" t="inlineStr">
        <is>
          <t>DALARNAS LÄN</t>
        </is>
      </c>
      <c r="E558" t="inlineStr">
        <is>
          <t>HEDEMORA</t>
        </is>
      </c>
      <c r="G558" t="n">
        <v>1.8</v>
      </c>
      <c r="H558" t="n">
        <v>0</v>
      </c>
      <c r="I558" t="n">
        <v>0</v>
      </c>
      <c r="J558" t="n">
        <v>0</v>
      </c>
      <c r="K558" t="n">
        <v>0</v>
      </c>
      <c r="L558" t="n">
        <v>0</v>
      </c>
      <c r="M558" t="n">
        <v>0</v>
      </c>
      <c r="N558" t="n">
        <v>0</v>
      </c>
      <c r="O558" t="n">
        <v>0</v>
      </c>
      <c r="P558" t="n">
        <v>0</v>
      </c>
      <c r="Q558" t="n">
        <v>0</v>
      </c>
      <c r="R558" s="2" t="inlineStr"/>
    </row>
    <row r="559" ht="15" customHeight="1">
      <c r="A559" t="inlineStr">
        <is>
          <t>A 19473-2024</t>
        </is>
      </c>
      <c r="B559" s="1" t="n">
        <v>45429</v>
      </c>
      <c r="C559" s="1" t="n">
        <v>45690</v>
      </c>
      <c r="D559" t="inlineStr">
        <is>
          <t>DALARNAS LÄN</t>
        </is>
      </c>
      <c r="E559" t="inlineStr">
        <is>
          <t>HEDEMORA</t>
        </is>
      </c>
      <c r="G559" t="n">
        <v>2.5</v>
      </c>
      <c r="H559" t="n">
        <v>0</v>
      </c>
      <c r="I559" t="n">
        <v>0</v>
      </c>
      <c r="J559" t="n">
        <v>0</v>
      </c>
      <c r="K559" t="n">
        <v>0</v>
      </c>
      <c r="L559" t="n">
        <v>0</v>
      </c>
      <c r="M559" t="n">
        <v>0</v>
      </c>
      <c r="N559" t="n">
        <v>0</v>
      </c>
      <c r="O559" t="n">
        <v>0</v>
      </c>
      <c r="P559" t="n">
        <v>0</v>
      </c>
      <c r="Q559" t="n">
        <v>0</v>
      </c>
      <c r="R559" s="2" t="inlineStr"/>
    </row>
    <row r="560" ht="15" customHeight="1">
      <c r="A560" t="inlineStr">
        <is>
          <t>A 19604-2024</t>
        </is>
      </c>
      <c r="B560" s="1" t="n">
        <v>45431</v>
      </c>
      <c r="C560" s="1" t="n">
        <v>45690</v>
      </c>
      <c r="D560" t="inlineStr">
        <is>
          <t>DALARNAS LÄN</t>
        </is>
      </c>
      <c r="E560" t="inlineStr">
        <is>
          <t>HEDEMORA</t>
        </is>
      </c>
      <c r="F560" t="inlineStr">
        <is>
          <t>Bergvik skog väst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20078-2024</t>
        </is>
      </c>
      <c r="B561" s="1" t="n">
        <v>45434</v>
      </c>
      <c r="C561" s="1" t="n">
        <v>45690</v>
      </c>
      <c r="D561" t="inlineStr">
        <is>
          <t>DALARNAS LÄN</t>
        </is>
      </c>
      <c r="E561" t="inlineStr">
        <is>
          <t>HEDEMORA</t>
        </is>
      </c>
      <c r="G561" t="n">
        <v>6.5</v>
      </c>
      <c r="H561" t="n">
        <v>0</v>
      </c>
      <c r="I561" t="n">
        <v>0</v>
      </c>
      <c r="J561" t="n">
        <v>0</v>
      </c>
      <c r="K561" t="n">
        <v>0</v>
      </c>
      <c r="L561" t="n">
        <v>0</v>
      </c>
      <c r="M561" t="n">
        <v>0</v>
      </c>
      <c r="N561" t="n">
        <v>0</v>
      </c>
      <c r="O561" t="n">
        <v>0</v>
      </c>
      <c r="P561" t="n">
        <v>0</v>
      </c>
      <c r="Q561" t="n">
        <v>0</v>
      </c>
      <c r="R561" s="2" t="inlineStr"/>
    </row>
    <row r="562" ht="15" customHeight="1">
      <c r="A562" t="inlineStr">
        <is>
          <t>A 20235-2024</t>
        </is>
      </c>
      <c r="B562" s="1" t="n">
        <v>45434</v>
      </c>
      <c r="C562" s="1" t="n">
        <v>45690</v>
      </c>
      <c r="D562" t="inlineStr">
        <is>
          <t>DALARNAS LÄN</t>
        </is>
      </c>
      <c r="E562" t="inlineStr">
        <is>
          <t>HEDEMORA</t>
        </is>
      </c>
      <c r="G562" t="n">
        <v>1.3</v>
      </c>
      <c r="H562" t="n">
        <v>0</v>
      </c>
      <c r="I562" t="n">
        <v>0</v>
      </c>
      <c r="J562" t="n">
        <v>0</v>
      </c>
      <c r="K562" t="n">
        <v>0</v>
      </c>
      <c r="L562" t="n">
        <v>0</v>
      </c>
      <c r="M562" t="n">
        <v>0</v>
      </c>
      <c r="N562" t="n">
        <v>0</v>
      </c>
      <c r="O562" t="n">
        <v>0</v>
      </c>
      <c r="P562" t="n">
        <v>0</v>
      </c>
      <c r="Q562" t="n">
        <v>0</v>
      </c>
      <c r="R562" s="2" t="inlineStr"/>
    </row>
    <row r="563" ht="15" customHeight="1">
      <c r="A563" t="inlineStr">
        <is>
          <t>A 20504-2024</t>
        </is>
      </c>
      <c r="B563" s="1" t="n">
        <v>45436</v>
      </c>
      <c r="C563" s="1" t="n">
        <v>45690</v>
      </c>
      <c r="D563" t="inlineStr">
        <is>
          <t>DALARNAS LÄN</t>
        </is>
      </c>
      <c r="E563" t="inlineStr">
        <is>
          <t>HEDEMORA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20503-2024</t>
        </is>
      </c>
      <c r="B564" s="1" t="n">
        <v>45436</v>
      </c>
      <c r="C564" s="1" t="n">
        <v>45690</v>
      </c>
      <c r="D564" t="inlineStr">
        <is>
          <t>DALARNAS LÄN</t>
        </is>
      </c>
      <c r="E564" t="inlineStr">
        <is>
          <t>HEDEMORA</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20666-2024</t>
        </is>
      </c>
      <c r="B565" s="1" t="n">
        <v>45436</v>
      </c>
      <c r="C565" s="1" t="n">
        <v>45690</v>
      </c>
      <c r="D565" t="inlineStr">
        <is>
          <t>DALARNAS LÄN</t>
        </is>
      </c>
      <c r="E565" t="inlineStr">
        <is>
          <t>HEDEMORA</t>
        </is>
      </c>
      <c r="G565" t="n">
        <v>5.1</v>
      </c>
      <c r="H565" t="n">
        <v>0</v>
      </c>
      <c r="I565" t="n">
        <v>0</v>
      </c>
      <c r="J565" t="n">
        <v>0</v>
      </c>
      <c r="K565" t="n">
        <v>0</v>
      </c>
      <c r="L565" t="n">
        <v>0</v>
      </c>
      <c r="M565" t="n">
        <v>0</v>
      </c>
      <c r="N565" t="n">
        <v>0</v>
      </c>
      <c r="O565" t="n">
        <v>0</v>
      </c>
      <c r="P565" t="n">
        <v>0</v>
      </c>
      <c r="Q565" t="n">
        <v>0</v>
      </c>
      <c r="R565" s="2" t="inlineStr"/>
    </row>
    <row r="566" ht="15" customHeight="1">
      <c r="A566" t="inlineStr">
        <is>
          <t>A 20670-2024</t>
        </is>
      </c>
      <c r="B566" s="1" t="n">
        <v>45436</v>
      </c>
      <c r="C566" s="1" t="n">
        <v>45690</v>
      </c>
      <c r="D566" t="inlineStr">
        <is>
          <t>DALARNAS LÄN</t>
        </is>
      </c>
      <c r="E566" t="inlineStr">
        <is>
          <t>HEDEMORA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21270-2024</t>
        </is>
      </c>
      <c r="B567" s="1" t="n">
        <v>45440</v>
      </c>
      <c r="C567" s="1" t="n">
        <v>45690</v>
      </c>
      <c r="D567" t="inlineStr">
        <is>
          <t>DALARNAS LÄN</t>
        </is>
      </c>
      <c r="E567" t="inlineStr">
        <is>
          <t>HEDEMORA</t>
        </is>
      </c>
      <c r="G567" t="n">
        <v>4.7</v>
      </c>
      <c r="H567" t="n">
        <v>0</v>
      </c>
      <c r="I567" t="n">
        <v>0</v>
      </c>
      <c r="J567" t="n">
        <v>0</v>
      </c>
      <c r="K567" t="n">
        <v>0</v>
      </c>
      <c r="L567" t="n">
        <v>0</v>
      </c>
      <c r="M567" t="n">
        <v>0</v>
      </c>
      <c r="N567" t="n">
        <v>0</v>
      </c>
      <c r="O567" t="n">
        <v>0</v>
      </c>
      <c r="P567" t="n">
        <v>0</v>
      </c>
      <c r="Q567" t="n">
        <v>0</v>
      </c>
      <c r="R567" s="2" t="inlineStr"/>
    </row>
    <row r="568" ht="15" customHeight="1">
      <c r="A568" t="inlineStr">
        <is>
          <t>A 21514-2024</t>
        </is>
      </c>
      <c r="B568" s="1" t="n">
        <v>45441</v>
      </c>
      <c r="C568" s="1" t="n">
        <v>45690</v>
      </c>
      <c r="D568" t="inlineStr">
        <is>
          <t>DALARNAS LÄN</t>
        </is>
      </c>
      <c r="E568" t="inlineStr">
        <is>
          <t>HEDEMORA</t>
        </is>
      </c>
      <c r="G568" t="n">
        <v>1.5</v>
      </c>
      <c r="H568" t="n">
        <v>0</v>
      </c>
      <c r="I568" t="n">
        <v>0</v>
      </c>
      <c r="J568" t="n">
        <v>0</v>
      </c>
      <c r="K568" t="n">
        <v>0</v>
      </c>
      <c r="L568" t="n">
        <v>0</v>
      </c>
      <c r="M568" t="n">
        <v>0</v>
      </c>
      <c r="N568" t="n">
        <v>0</v>
      </c>
      <c r="O568" t="n">
        <v>0</v>
      </c>
      <c r="P568" t="n">
        <v>0</v>
      </c>
      <c r="Q568" t="n">
        <v>0</v>
      </c>
      <c r="R568" s="2" t="inlineStr"/>
    </row>
    <row r="569" ht="15" customHeight="1">
      <c r="A569" t="inlineStr">
        <is>
          <t>A 21539-2024</t>
        </is>
      </c>
      <c r="B569" s="1" t="n">
        <v>45441</v>
      </c>
      <c r="C569" s="1" t="n">
        <v>45690</v>
      </c>
      <c r="D569" t="inlineStr">
        <is>
          <t>DALARNAS LÄN</t>
        </is>
      </c>
      <c r="E569" t="inlineStr">
        <is>
          <t>HEDEMORA</t>
        </is>
      </c>
      <c r="F569" t="inlineStr">
        <is>
          <t>Sveaskog</t>
        </is>
      </c>
      <c r="G569" t="n">
        <v>11.9</v>
      </c>
      <c r="H569" t="n">
        <v>0</v>
      </c>
      <c r="I569" t="n">
        <v>0</v>
      </c>
      <c r="J569" t="n">
        <v>0</v>
      </c>
      <c r="K569" t="n">
        <v>0</v>
      </c>
      <c r="L569" t="n">
        <v>0</v>
      </c>
      <c r="M569" t="n">
        <v>0</v>
      </c>
      <c r="N569" t="n">
        <v>0</v>
      </c>
      <c r="O569" t="n">
        <v>0</v>
      </c>
      <c r="P569" t="n">
        <v>0</v>
      </c>
      <c r="Q569" t="n">
        <v>0</v>
      </c>
      <c r="R569" s="2" t="inlineStr"/>
    </row>
    <row r="570" ht="15" customHeight="1">
      <c r="A570" t="inlineStr">
        <is>
          <t>A 21595-2024</t>
        </is>
      </c>
      <c r="B570" s="1" t="n">
        <v>45441</v>
      </c>
      <c r="C570" s="1" t="n">
        <v>45690</v>
      </c>
      <c r="D570" t="inlineStr">
        <is>
          <t>DALARNAS LÄN</t>
        </is>
      </c>
      <c r="E570" t="inlineStr">
        <is>
          <t>HEDEMORA</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21538-2024</t>
        </is>
      </c>
      <c r="B571" s="1" t="n">
        <v>45441</v>
      </c>
      <c r="C571" s="1" t="n">
        <v>45690</v>
      </c>
      <c r="D571" t="inlineStr">
        <is>
          <t>DALARNAS LÄN</t>
        </is>
      </c>
      <c r="E571" t="inlineStr">
        <is>
          <t>HEDEMORA</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21763-2024</t>
        </is>
      </c>
      <c r="B572" s="1" t="n">
        <v>45442</v>
      </c>
      <c r="C572" s="1" t="n">
        <v>45690</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row>
    <row r="573" ht="15" customHeight="1">
      <c r="A573" t="inlineStr">
        <is>
          <t>A 21823-2024</t>
        </is>
      </c>
      <c r="B573" s="1" t="n">
        <v>45442</v>
      </c>
      <c r="C573" s="1" t="n">
        <v>45690</v>
      </c>
      <c r="D573" t="inlineStr">
        <is>
          <t>DALARNAS LÄN</t>
        </is>
      </c>
      <c r="E573" t="inlineStr">
        <is>
          <t>HEDEMORA</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22588-2024</t>
        </is>
      </c>
      <c r="B574" s="1" t="n">
        <v>45447</v>
      </c>
      <c r="C574" s="1" t="n">
        <v>45690</v>
      </c>
      <c r="D574" t="inlineStr">
        <is>
          <t>DALARNAS LÄN</t>
        </is>
      </c>
      <c r="E574" t="inlineStr">
        <is>
          <t>HEDEMORA</t>
        </is>
      </c>
      <c r="G574" t="n">
        <v>8.4</v>
      </c>
      <c r="H574" t="n">
        <v>0</v>
      </c>
      <c r="I574" t="n">
        <v>0</v>
      </c>
      <c r="J574" t="n">
        <v>0</v>
      </c>
      <c r="K574" t="n">
        <v>0</v>
      </c>
      <c r="L574" t="n">
        <v>0</v>
      </c>
      <c r="M574" t="n">
        <v>0</v>
      </c>
      <c r="N574" t="n">
        <v>0</v>
      </c>
      <c r="O574" t="n">
        <v>0</v>
      </c>
      <c r="P574" t="n">
        <v>0</v>
      </c>
      <c r="Q574" t="n">
        <v>0</v>
      </c>
      <c r="R574" s="2" t="inlineStr"/>
    </row>
    <row r="575" ht="15" customHeight="1">
      <c r="A575" t="inlineStr">
        <is>
          <t>A 22914-2024</t>
        </is>
      </c>
      <c r="B575" s="1" t="n">
        <v>45448</v>
      </c>
      <c r="C575" s="1" t="n">
        <v>45690</v>
      </c>
      <c r="D575" t="inlineStr">
        <is>
          <t>DALARNAS LÄN</t>
        </is>
      </c>
      <c r="E575" t="inlineStr">
        <is>
          <t>HEDEMORA</t>
        </is>
      </c>
      <c r="G575" t="n">
        <v>2</v>
      </c>
      <c r="H575" t="n">
        <v>0</v>
      </c>
      <c r="I575" t="n">
        <v>0</v>
      </c>
      <c r="J575" t="n">
        <v>0</v>
      </c>
      <c r="K575" t="n">
        <v>0</v>
      </c>
      <c r="L575" t="n">
        <v>0</v>
      </c>
      <c r="M575" t="n">
        <v>0</v>
      </c>
      <c r="N575" t="n">
        <v>0</v>
      </c>
      <c r="O575" t="n">
        <v>0</v>
      </c>
      <c r="P575" t="n">
        <v>0</v>
      </c>
      <c r="Q575" t="n">
        <v>0</v>
      </c>
      <c r="R575" s="2" t="inlineStr"/>
    </row>
    <row r="576" ht="15" customHeight="1">
      <c r="A576" t="inlineStr">
        <is>
          <t>A 23826-2024</t>
        </is>
      </c>
      <c r="B576" s="1" t="n">
        <v>45455</v>
      </c>
      <c r="C576" s="1" t="n">
        <v>45690</v>
      </c>
      <c r="D576" t="inlineStr">
        <is>
          <t>DALARNAS LÄN</t>
        </is>
      </c>
      <c r="E576" t="inlineStr">
        <is>
          <t>HEDEMORA</t>
        </is>
      </c>
      <c r="G576" t="n">
        <v>1.2</v>
      </c>
      <c r="H576" t="n">
        <v>0</v>
      </c>
      <c r="I576" t="n">
        <v>0</v>
      </c>
      <c r="J576" t="n">
        <v>0</v>
      </c>
      <c r="K576" t="n">
        <v>0</v>
      </c>
      <c r="L576" t="n">
        <v>0</v>
      </c>
      <c r="M576" t="n">
        <v>0</v>
      </c>
      <c r="N576" t="n">
        <v>0</v>
      </c>
      <c r="O576" t="n">
        <v>0</v>
      </c>
      <c r="P576" t="n">
        <v>0</v>
      </c>
      <c r="Q576" t="n">
        <v>0</v>
      </c>
      <c r="R576" s="2" t="inlineStr"/>
    </row>
    <row r="577" ht="15" customHeight="1">
      <c r="A577" t="inlineStr">
        <is>
          <t>A 24382-2024</t>
        </is>
      </c>
      <c r="B577" s="1" t="n">
        <v>45457</v>
      </c>
      <c r="C577" s="1" t="n">
        <v>45690</v>
      </c>
      <c r="D577" t="inlineStr">
        <is>
          <t>DALARNAS LÄN</t>
        </is>
      </c>
      <c r="E577" t="inlineStr">
        <is>
          <t>HEDEMORA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24486-2024</t>
        </is>
      </c>
      <c r="B578" s="1" t="n">
        <v>45459</v>
      </c>
      <c r="C578" s="1" t="n">
        <v>45690</v>
      </c>
      <c r="D578" t="inlineStr">
        <is>
          <t>DALARNAS LÄN</t>
        </is>
      </c>
      <c r="E578" t="inlineStr">
        <is>
          <t>HEDEMORA</t>
        </is>
      </c>
      <c r="G578" t="n">
        <v>0.3</v>
      </c>
      <c r="H578" t="n">
        <v>0</v>
      </c>
      <c r="I578" t="n">
        <v>0</v>
      </c>
      <c r="J578" t="n">
        <v>0</v>
      </c>
      <c r="K578" t="n">
        <v>0</v>
      </c>
      <c r="L578" t="n">
        <v>0</v>
      </c>
      <c r="M578" t="n">
        <v>0</v>
      </c>
      <c r="N578" t="n">
        <v>0</v>
      </c>
      <c r="O578" t="n">
        <v>0</v>
      </c>
      <c r="P578" t="n">
        <v>0</v>
      </c>
      <c r="Q578" t="n">
        <v>0</v>
      </c>
      <c r="R578" s="2" t="inlineStr"/>
    </row>
    <row r="579" ht="15" customHeight="1">
      <c r="A579" t="inlineStr">
        <is>
          <t>A 25206-2024</t>
        </is>
      </c>
      <c r="B579" s="1" t="n">
        <v>45462</v>
      </c>
      <c r="C579" s="1" t="n">
        <v>45690</v>
      </c>
      <c r="D579" t="inlineStr">
        <is>
          <t>DALARNAS LÄN</t>
        </is>
      </c>
      <c r="E579" t="inlineStr">
        <is>
          <t>HEDEMORA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25195-2024</t>
        </is>
      </c>
      <c r="B580" s="1" t="n">
        <v>45462</v>
      </c>
      <c r="C580" s="1" t="n">
        <v>45690</v>
      </c>
      <c r="D580" t="inlineStr">
        <is>
          <t>DALARNAS LÄN</t>
        </is>
      </c>
      <c r="E580" t="inlineStr">
        <is>
          <t>HEDEMORA</t>
        </is>
      </c>
      <c r="F580" t="inlineStr">
        <is>
          <t>Övriga statliga verk och myndigheter</t>
        </is>
      </c>
      <c r="G580" t="n">
        <v>3.3</v>
      </c>
      <c r="H580" t="n">
        <v>0</v>
      </c>
      <c r="I580" t="n">
        <v>0</v>
      </c>
      <c r="J580" t="n">
        <v>0</v>
      </c>
      <c r="K580" t="n">
        <v>0</v>
      </c>
      <c r="L580" t="n">
        <v>0</v>
      </c>
      <c r="M580" t="n">
        <v>0</v>
      </c>
      <c r="N580" t="n">
        <v>0</v>
      </c>
      <c r="O580" t="n">
        <v>0</v>
      </c>
      <c r="P580" t="n">
        <v>0</v>
      </c>
      <c r="Q580" t="n">
        <v>0</v>
      </c>
      <c r="R580" s="2" t="inlineStr"/>
    </row>
    <row r="581" ht="15" customHeight="1">
      <c r="A581" t="inlineStr">
        <is>
          <t>A 25643-2024</t>
        </is>
      </c>
      <c r="B581" s="1" t="n">
        <v>45463</v>
      </c>
      <c r="C581" s="1" t="n">
        <v>45690</v>
      </c>
      <c r="D581" t="inlineStr">
        <is>
          <t>DALARNAS LÄN</t>
        </is>
      </c>
      <c r="E581" t="inlineStr">
        <is>
          <t>HEDEMORA</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25645-2024</t>
        </is>
      </c>
      <c r="B582" s="1" t="n">
        <v>45463</v>
      </c>
      <c r="C582" s="1" t="n">
        <v>45690</v>
      </c>
      <c r="D582" t="inlineStr">
        <is>
          <t>DALARNAS LÄN</t>
        </is>
      </c>
      <c r="E582" t="inlineStr">
        <is>
          <t>HEDEMORA</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26452-2024</t>
        </is>
      </c>
      <c r="B583" s="1" t="n">
        <v>45469</v>
      </c>
      <c r="C583" s="1" t="n">
        <v>45690</v>
      </c>
      <c r="D583" t="inlineStr">
        <is>
          <t>DALARNAS LÄN</t>
        </is>
      </c>
      <c r="E583" t="inlineStr">
        <is>
          <t>HEDEMORA</t>
        </is>
      </c>
      <c r="G583" t="n">
        <v>2.3</v>
      </c>
      <c r="H583" t="n">
        <v>0</v>
      </c>
      <c r="I583" t="n">
        <v>0</v>
      </c>
      <c r="J583" t="n">
        <v>0</v>
      </c>
      <c r="K583" t="n">
        <v>0</v>
      </c>
      <c r="L583" t="n">
        <v>0</v>
      </c>
      <c r="M583" t="n">
        <v>0</v>
      </c>
      <c r="N583" t="n">
        <v>0</v>
      </c>
      <c r="O583" t="n">
        <v>0</v>
      </c>
      <c r="P583" t="n">
        <v>0</v>
      </c>
      <c r="Q583" t="n">
        <v>0</v>
      </c>
      <c r="R583" s="2" t="inlineStr"/>
    </row>
    <row r="584" ht="15" customHeight="1">
      <c r="A584" t="inlineStr">
        <is>
          <t>A 26449-2024</t>
        </is>
      </c>
      <c r="B584" s="1" t="n">
        <v>45469</v>
      </c>
      <c r="C584" s="1" t="n">
        <v>45690</v>
      </c>
      <c r="D584" t="inlineStr">
        <is>
          <t>DALARNAS LÄN</t>
        </is>
      </c>
      <c r="E584" t="inlineStr">
        <is>
          <t>HEDEMORA</t>
        </is>
      </c>
      <c r="G584" t="n">
        <v>4.5</v>
      </c>
      <c r="H584" t="n">
        <v>0</v>
      </c>
      <c r="I584" t="n">
        <v>0</v>
      </c>
      <c r="J584" t="n">
        <v>0</v>
      </c>
      <c r="K584" t="n">
        <v>0</v>
      </c>
      <c r="L584" t="n">
        <v>0</v>
      </c>
      <c r="M584" t="n">
        <v>0</v>
      </c>
      <c r="N584" t="n">
        <v>0</v>
      </c>
      <c r="O584" t="n">
        <v>0</v>
      </c>
      <c r="P584" t="n">
        <v>0</v>
      </c>
      <c r="Q584" t="n">
        <v>0</v>
      </c>
      <c r="R584" s="2" t="inlineStr"/>
    </row>
    <row r="585" ht="15" customHeight="1">
      <c r="A585" t="inlineStr">
        <is>
          <t>A 26431-2024</t>
        </is>
      </c>
      <c r="B585" s="1" t="n">
        <v>45469</v>
      </c>
      <c r="C585" s="1" t="n">
        <v>45690</v>
      </c>
      <c r="D585" t="inlineStr">
        <is>
          <t>DALARNAS LÄN</t>
        </is>
      </c>
      <c r="E585" t="inlineStr">
        <is>
          <t>HEDEMORA</t>
        </is>
      </c>
      <c r="G585" t="n">
        <v>1.6</v>
      </c>
      <c r="H585" t="n">
        <v>0</v>
      </c>
      <c r="I585" t="n">
        <v>0</v>
      </c>
      <c r="J585" t="n">
        <v>0</v>
      </c>
      <c r="K585" t="n">
        <v>0</v>
      </c>
      <c r="L585" t="n">
        <v>0</v>
      </c>
      <c r="M585" t="n">
        <v>0</v>
      </c>
      <c r="N585" t="n">
        <v>0</v>
      </c>
      <c r="O585" t="n">
        <v>0</v>
      </c>
      <c r="P585" t="n">
        <v>0</v>
      </c>
      <c r="Q585" t="n">
        <v>0</v>
      </c>
      <c r="R585" s="2" t="inlineStr"/>
      <c r="U585">
        <f>HYPERLINK("https://klasma.github.io/Logging_2083/knärot/A 26431-2024 karta knärot.png", "A 26431-2024")</f>
        <v/>
      </c>
      <c r="V585">
        <f>HYPERLINK("https://klasma.github.io/Logging_2083/klagomål/A 26431-2024 FSC-klagomål.docx", "A 26431-2024")</f>
        <v/>
      </c>
      <c r="W585">
        <f>HYPERLINK("https://klasma.github.io/Logging_2083/klagomålsmail/A 26431-2024 FSC-klagomål mail.docx", "A 26431-2024")</f>
        <v/>
      </c>
      <c r="X585">
        <f>HYPERLINK("https://klasma.github.io/Logging_2083/tillsyn/A 26431-2024 tillsynsbegäran.docx", "A 26431-2024")</f>
        <v/>
      </c>
      <c r="Y585">
        <f>HYPERLINK("https://klasma.github.io/Logging_2083/tillsynsmail/A 26431-2024 tillsynsbegäran mail.docx", "A 26431-2024")</f>
        <v/>
      </c>
    </row>
    <row r="586" ht="15" customHeight="1">
      <c r="A586" t="inlineStr">
        <is>
          <t>A 27610-2024</t>
        </is>
      </c>
      <c r="B586" s="1" t="n">
        <v>45474</v>
      </c>
      <c r="C586" s="1" t="n">
        <v>45690</v>
      </c>
      <c r="D586" t="inlineStr">
        <is>
          <t>DALARNAS LÄN</t>
        </is>
      </c>
      <c r="E586" t="inlineStr">
        <is>
          <t>HEDEMORA</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27609-2024</t>
        </is>
      </c>
      <c r="B587" s="1" t="n">
        <v>45474</v>
      </c>
      <c r="C587" s="1" t="n">
        <v>45690</v>
      </c>
      <c r="D587" t="inlineStr">
        <is>
          <t>DALARNAS LÄN</t>
        </is>
      </c>
      <c r="E587" t="inlineStr">
        <is>
          <t>HEDEMORA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28148-2024</t>
        </is>
      </c>
      <c r="B588" s="1" t="n">
        <v>45476</v>
      </c>
      <c r="C588" s="1" t="n">
        <v>45690</v>
      </c>
      <c r="D588" t="inlineStr">
        <is>
          <t>DALARNAS LÄN</t>
        </is>
      </c>
      <c r="E588" t="inlineStr">
        <is>
          <t>HEDEMORA</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28149-2024</t>
        </is>
      </c>
      <c r="B589" s="1" t="n">
        <v>45476</v>
      </c>
      <c r="C589" s="1" t="n">
        <v>45690</v>
      </c>
      <c r="D589" t="inlineStr">
        <is>
          <t>DALARNAS LÄN</t>
        </is>
      </c>
      <c r="E589" t="inlineStr">
        <is>
          <t>HEDEMORA</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28813-2024</t>
        </is>
      </c>
      <c r="B590" s="1" t="n">
        <v>45478</v>
      </c>
      <c r="C590" s="1" t="n">
        <v>45690</v>
      </c>
      <c r="D590" t="inlineStr">
        <is>
          <t>DALARNAS LÄN</t>
        </is>
      </c>
      <c r="E590" t="inlineStr">
        <is>
          <t>HEDEMORA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29225-2024</t>
        </is>
      </c>
      <c r="B591" s="1" t="n">
        <v>45482</v>
      </c>
      <c r="C591" s="1" t="n">
        <v>45690</v>
      </c>
      <c r="D591" t="inlineStr">
        <is>
          <t>DALARNAS LÄN</t>
        </is>
      </c>
      <c r="E591" t="inlineStr">
        <is>
          <t>HEDEMORA</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29585-2024</t>
        </is>
      </c>
      <c r="B592" s="1" t="n">
        <v>45484</v>
      </c>
      <c r="C592" s="1" t="n">
        <v>45690</v>
      </c>
      <c r="D592" t="inlineStr">
        <is>
          <t>DALARNAS LÄN</t>
        </is>
      </c>
      <c r="E592" t="inlineStr">
        <is>
          <t>HEDEMORA</t>
        </is>
      </c>
      <c r="F592" t="inlineStr">
        <is>
          <t>Bergvik skog väst AB</t>
        </is>
      </c>
      <c r="G592" t="n">
        <v>8.1</v>
      </c>
      <c r="H592" t="n">
        <v>0</v>
      </c>
      <c r="I592" t="n">
        <v>0</v>
      </c>
      <c r="J592" t="n">
        <v>0</v>
      </c>
      <c r="K592" t="n">
        <v>0</v>
      </c>
      <c r="L592" t="n">
        <v>0</v>
      </c>
      <c r="M592" t="n">
        <v>0</v>
      </c>
      <c r="N592" t="n">
        <v>0</v>
      </c>
      <c r="O592" t="n">
        <v>0</v>
      </c>
      <c r="P592" t="n">
        <v>0</v>
      </c>
      <c r="Q592" t="n">
        <v>0</v>
      </c>
      <c r="R592" s="2" t="inlineStr"/>
    </row>
    <row r="593" ht="15" customHeight="1">
      <c r="A593" t="inlineStr">
        <is>
          <t>A 29640-2024</t>
        </is>
      </c>
      <c r="B593" s="1" t="n">
        <v>45484</v>
      </c>
      <c r="C593" s="1" t="n">
        <v>45690</v>
      </c>
      <c r="D593" t="inlineStr">
        <is>
          <t>DALARNAS LÄN</t>
        </is>
      </c>
      <c r="E593" t="inlineStr">
        <is>
          <t>HEDEMORA</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29591-2024</t>
        </is>
      </c>
      <c r="B594" s="1" t="n">
        <v>45484</v>
      </c>
      <c r="C594" s="1" t="n">
        <v>45690</v>
      </c>
      <c r="D594" t="inlineStr">
        <is>
          <t>DALARNAS LÄN</t>
        </is>
      </c>
      <c r="E594" t="inlineStr">
        <is>
          <t>HEDEMORA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29587-2024</t>
        </is>
      </c>
      <c r="B595" s="1" t="n">
        <v>45484</v>
      </c>
      <c r="C595" s="1" t="n">
        <v>45690</v>
      </c>
      <c r="D595" t="inlineStr">
        <is>
          <t>DALARNAS LÄN</t>
        </is>
      </c>
      <c r="E595" t="inlineStr">
        <is>
          <t>HEDEMORA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29833-2024</t>
        </is>
      </c>
      <c r="B596" s="1" t="n">
        <v>45485</v>
      </c>
      <c r="C596" s="1" t="n">
        <v>45690</v>
      </c>
      <c r="D596" t="inlineStr">
        <is>
          <t>DALARNAS LÄN</t>
        </is>
      </c>
      <c r="E596" t="inlineStr">
        <is>
          <t>HEDEMORA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29932-2024</t>
        </is>
      </c>
      <c r="B597" s="1" t="n">
        <v>45488</v>
      </c>
      <c r="C597" s="1" t="n">
        <v>45690</v>
      </c>
      <c r="D597" t="inlineStr">
        <is>
          <t>DALARNAS LÄN</t>
        </is>
      </c>
      <c r="E597" t="inlineStr">
        <is>
          <t>HEDEMORA</t>
        </is>
      </c>
      <c r="G597" t="n">
        <v>11.4</v>
      </c>
      <c r="H597" t="n">
        <v>0</v>
      </c>
      <c r="I597" t="n">
        <v>0</v>
      </c>
      <c r="J597" t="n">
        <v>0</v>
      </c>
      <c r="K597" t="n">
        <v>0</v>
      </c>
      <c r="L597" t="n">
        <v>0</v>
      </c>
      <c r="M597" t="n">
        <v>0</v>
      </c>
      <c r="N597" t="n">
        <v>0</v>
      </c>
      <c r="O597" t="n">
        <v>0</v>
      </c>
      <c r="P597" t="n">
        <v>0</v>
      </c>
      <c r="Q597" t="n">
        <v>0</v>
      </c>
      <c r="R597" s="2" t="inlineStr"/>
    </row>
    <row r="598" ht="15" customHeight="1">
      <c r="A598" t="inlineStr">
        <is>
          <t>A 30252-2024</t>
        </is>
      </c>
      <c r="B598" s="1" t="n">
        <v>45490</v>
      </c>
      <c r="C598" s="1" t="n">
        <v>45690</v>
      </c>
      <c r="D598" t="inlineStr">
        <is>
          <t>DALARNAS LÄN</t>
        </is>
      </c>
      <c r="E598" t="inlineStr">
        <is>
          <t>HEDEMORA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30265-2024</t>
        </is>
      </c>
      <c r="B599" s="1" t="n">
        <v>45490</v>
      </c>
      <c r="C599" s="1" t="n">
        <v>45690</v>
      </c>
      <c r="D599" t="inlineStr">
        <is>
          <t>DALARNAS LÄN</t>
        </is>
      </c>
      <c r="E599" t="inlineStr">
        <is>
          <t>HEDEMORA</t>
        </is>
      </c>
      <c r="G599" t="n">
        <v>3.4</v>
      </c>
      <c r="H599" t="n">
        <v>0</v>
      </c>
      <c r="I599" t="n">
        <v>0</v>
      </c>
      <c r="J599" t="n">
        <v>0</v>
      </c>
      <c r="K599" t="n">
        <v>0</v>
      </c>
      <c r="L599" t="n">
        <v>0</v>
      </c>
      <c r="M599" t="n">
        <v>0</v>
      </c>
      <c r="N599" t="n">
        <v>0</v>
      </c>
      <c r="O599" t="n">
        <v>0</v>
      </c>
      <c r="P599" t="n">
        <v>0</v>
      </c>
      <c r="Q599" t="n">
        <v>0</v>
      </c>
      <c r="R599" s="2" t="inlineStr"/>
    </row>
    <row r="600" ht="15" customHeight="1">
      <c r="A600" t="inlineStr">
        <is>
          <t>A 30905-2024</t>
        </is>
      </c>
      <c r="B600" s="1" t="n">
        <v>45498</v>
      </c>
      <c r="C600" s="1" t="n">
        <v>45690</v>
      </c>
      <c r="D600" t="inlineStr">
        <is>
          <t>DALARNAS LÄN</t>
        </is>
      </c>
      <c r="E600" t="inlineStr">
        <is>
          <t>HEDEMORA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30908-2024</t>
        </is>
      </c>
      <c r="B601" s="1" t="n">
        <v>45498</v>
      </c>
      <c r="C601" s="1" t="n">
        <v>45690</v>
      </c>
      <c r="D601" t="inlineStr">
        <is>
          <t>DALARNAS LÄN</t>
        </is>
      </c>
      <c r="E601" t="inlineStr">
        <is>
          <t>HEDEMORA</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31229-2024</t>
        </is>
      </c>
      <c r="B602" s="1" t="n">
        <v>45503</v>
      </c>
      <c r="C602" s="1" t="n">
        <v>45690</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31365-2024</t>
        </is>
      </c>
      <c r="B603" s="1" t="n">
        <v>45505</v>
      </c>
      <c r="C603" s="1" t="n">
        <v>45690</v>
      </c>
      <c r="D603" t="inlineStr">
        <is>
          <t>DALARNAS LÄN</t>
        </is>
      </c>
      <c r="E603" t="inlineStr">
        <is>
          <t>HEDEMORA</t>
        </is>
      </c>
      <c r="G603" t="n">
        <v>0.4</v>
      </c>
      <c r="H603" t="n">
        <v>0</v>
      </c>
      <c r="I603" t="n">
        <v>0</v>
      </c>
      <c r="J603" t="n">
        <v>0</v>
      </c>
      <c r="K603" t="n">
        <v>0</v>
      </c>
      <c r="L603" t="n">
        <v>0</v>
      </c>
      <c r="M603" t="n">
        <v>0</v>
      </c>
      <c r="N603" t="n">
        <v>0</v>
      </c>
      <c r="O603" t="n">
        <v>0</v>
      </c>
      <c r="P603" t="n">
        <v>0</v>
      </c>
      <c r="Q603" t="n">
        <v>0</v>
      </c>
      <c r="R603" s="2" t="inlineStr"/>
    </row>
    <row r="604" ht="15" customHeight="1">
      <c r="A604" t="inlineStr">
        <is>
          <t>A 31364-2024</t>
        </is>
      </c>
      <c r="B604" s="1" t="n">
        <v>45505</v>
      </c>
      <c r="C604" s="1" t="n">
        <v>45690</v>
      </c>
      <c r="D604" t="inlineStr">
        <is>
          <t>DALARNAS LÄN</t>
        </is>
      </c>
      <c r="E604" t="inlineStr">
        <is>
          <t>HEDEMORA</t>
        </is>
      </c>
      <c r="G604" t="n">
        <v>2</v>
      </c>
      <c r="H604" t="n">
        <v>0</v>
      </c>
      <c r="I604" t="n">
        <v>0</v>
      </c>
      <c r="J604" t="n">
        <v>0</v>
      </c>
      <c r="K604" t="n">
        <v>0</v>
      </c>
      <c r="L604" t="n">
        <v>0</v>
      </c>
      <c r="M604" t="n">
        <v>0</v>
      </c>
      <c r="N604" t="n">
        <v>0</v>
      </c>
      <c r="O604" t="n">
        <v>0</v>
      </c>
      <c r="P604" t="n">
        <v>0</v>
      </c>
      <c r="Q604" t="n">
        <v>0</v>
      </c>
      <c r="R604" s="2" t="inlineStr"/>
    </row>
    <row r="605" ht="15" customHeight="1">
      <c r="A605" t="inlineStr">
        <is>
          <t>A 31825-2024</t>
        </is>
      </c>
      <c r="B605" s="1" t="n">
        <v>45509</v>
      </c>
      <c r="C605" s="1" t="n">
        <v>45690</v>
      </c>
      <c r="D605" t="inlineStr">
        <is>
          <t>DALARNAS LÄN</t>
        </is>
      </c>
      <c r="E605" t="inlineStr">
        <is>
          <t>HEDEMORA</t>
        </is>
      </c>
      <c r="G605" t="n">
        <v>0.1</v>
      </c>
      <c r="H605" t="n">
        <v>0</v>
      </c>
      <c r="I605" t="n">
        <v>0</v>
      </c>
      <c r="J605" t="n">
        <v>0</v>
      </c>
      <c r="K605" t="n">
        <v>0</v>
      </c>
      <c r="L605" t="n">
        <v>0</v>
      </c>
      <c r="M605" t="n">
        <v>0</v>
      </c>
      <c r="N605" t="n">
        <v>0</v>
      </c>
      <c r="O605" t="n">
        <v>0</v>
      </c>
      <c r="P605" t="n">
        <v>0</v>
      </c>
      <c r="Q605" t="n">
        <v>0</v>
      </c>
      <c r="R605" s="2" t="inlineStr"/>
    </row>
    <row r="606" ht="15" customHeight="1">
      <c r="A606" t="inlineStr">
        <is>
          <t>A 31968-2024</t>
        </is>
      </c>
      <c r="B606" s="1" t="n">
        <v>45510</v>
      </c>
      <c r="C606" s="1" t="n">
        <v>45690</v>
      </c>
      <c r="D606" t="inlineStr">
        <is>
          <t>DALARNAS LÄN</t>
        </is>
      </c>
      <c r="E606" t="inlineStr">
        <is>
          <t>HEDEMORA</t>
        </is>
      </c>
      <c r="G606" t="n">
        <v>1.2</v>
      </c>
      <c r="H606" t="n">
        <v>0</v>
      </c>
      <c r="I606" t="n">
        <v>0</v>
      </c>
      <c r="J606" t="n">
        <v>0</v>
      </c>
      <c r="K606" t="n">
        <v>0</v>
      </c>
      <c r="L606" t="n">
        <v>0</v>
      </c>
      <c r="M606" t="n">
        <v>0</v>
      </c>
      <c r="N606" t="n">
        <v>0</v>
      </c>
      <c r="O606" t="n">
        <v>0</v>
      </c>
      <c r="P606" t="n">
        <v>0</v>
      </c>
      <c r="Q606" t="n">
        <v>0</v>
      </c>
      <c r="R606" s="2" t="inlineStr"/>
    </row>
    <row r="607" ht="15" customHeight="1">
      <c r="A607" t="inlineStr">
        <is>
          <t>A 32625-2024</t>
        </is>
      </c>
      <c r="B607" s="1" t="n">
        <v>45513</v>
      </c>
      <c r="C607" s="1" t="n">
        <v>45690</v>
      </c>
      <c r="D607" t="inlineStr">
        <is>
          <t>DALARNAS LÄN</t>
        </is>
      </c>
      <c r="E607" t="inlineStr">
        <is>
          <t>HEDEMORA</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33020-2024</t>
        </is>
      </c>
      <c r="B608" s="1" t="n">
        <v>45517</v>
      </c>
      <c r="C608" s="1" t="n">
        <v>45690</v>
      </c>
      <c r="D608" t="inlineStr">
        <is>
          <t>DALARNAS LÄN</t>
        </is>
      </c>
      <c r="E608" t="inlineStr">
        <is>
          <t>HEDEMORA</t>
        </is>
      </c>
      <c r="G608" t="n">
        <v>4.6</v>
      </c>
      <c r="H608" t="n">
        <v>0</v>
      </c>
      <c r="I608" t="n">
        <v>0</v>
      </c>
      <c r="J608" t="n">
        <v>0</v>
      </c>
      <c r="K608" t="n">
        <v>0</v>
      </c>
      <c r="L608" t="n">
        <v>0</v>
      </c>
      <c r="M608" t="n">
        <v>0</v>
      </c>
      <c r="N608" t="n">
        <v>0</v>
      </c>
      <c r="O608" t="n">
        <v>0</v>
      </c>
      <c r="P608" t="n">
        <v>0</v>
      </c>
      <c r="Q608" t="n">
        <v>0</v>
      </c>
      <c r="R608" s="2" t="inlineStr"/>
    </row>
    <row r="609" ht="15" customHeight="1">
      <c r="A609" t="inlineStr">
        <is>
          <t>A 33244-2024</t>
        </is>
      </c>
      <c r="B609" s="1" t="n">
        <v>45518</v>
      </c>
      <c r="C609" s="1" t="n">
        <v>45690</v>
      </c>
      <c r="D609" t="inlineStr">
        <is>
          <t>DALARNAS LÄN</t>
        </is>
      </c>
      <c r="E609" t="inlineStr">
        <is>
          <t>HEDEMORA</t>
        </is>
      </c>
      <c r="G609" t="n">
        <v>2</v>
      </c>
      <c r="H609" t="n">
        <v>0</v>
      </c>
      <c r="I609" t="n">
        <v>0</v>
      </c>
      <c r="J609" t="n">
        <v>0</v>
      </c>
      <c r="K609" t="n">
        <v>0</v>
      </c>
      <c r="L609" t="n">
        <v>0</v>
      </c>
      <c r="M609" t="n">
        <v>0</v>
      </c>
      <c r="N609" t="n">
        <v>0</v>
      </c>
      <c r="O609" t="n">
        <v>0</v>
      </c>
      <c r="P609" t="n">
        <v>0</v>
      </c>
      <c r="Q609" t="n">
        <v>0</v>
      </c>
      <c r="R609" s="2" t="inlineStr"/>
    </row>
    <row r="610" ht="15" customHeight="1">
      <c r="A610" t="inlineStr">
        <is>
          <t>A 33192-2024</t>
        </is>
      </c>
      <c r="B610" s="1" t="n">
        <v>45518</v>
      </c>
      <c r="C610" s="1" t="n">
        <v>45690</v>
      </c>
      <c r="D610" t="inlineStr">
        <is>
          <t>DALARNAS LÄN</t>
        </is>
      </c>
      <c r="E610" t="inlineStr">
        <is>
          <t>HEDEMORA</t>
        </is>
      </c>
      <c r="G610" t="n">
        <v>1.5</v>
      </c>
      <c r="H610" t="n">
        <v>0</v>
      </c>
      <c r="I610" t="n">
        <v>0</v>
      </c>
      <c r="J610" t="n">
        <v>0</v>
      </c>
      <c r="K610" t="n">
        <v>0</v>
      </c>
      <c r="L610" t="n">
        <v>0</v>
      </c>
      <c r="M610" t="n">
        <v>0</v>
      </c>
      <c r="N610" t="n">
        <v>0</v>
      </c>
      <c r="O610" t="n">
        <v>0</v>
      </c>
      <c r="P610" t="n">
        <v>0</v>
      </c>
      <c r="Q610" t="n">
        <v>0</v>
      </c>
      <c r="R610" s="2" t="inlineStr"/>
    </row>
    <row r="611" ht="15" customHeight="1">
      <c r="A611" t="inlineStr">
        <is>
          <t>A 34537-2024</t>
        </is>
      </c>
      <c r="B611" s="1" t="n">
        <v>45525</v>
      </c>
      <c r="C611" s="1" t="n">
        <v>45690</v>
      </c>
      <c r="D611" t="inlineStr">
        <is>
          <t>DALARNAS LÄN</t>
        </is>
      </c>
      <c r="E611" t="inlineStr">
        <is>
          <t>HEDEMORA</t>
        </is>
      </c>
      <c r="G611" t="n">
        <v>8.4</v>
      </c>
      <c r="H611" t="n">
        <v>0</v>
      </c>
      <c r="I611" t="n">
        <v>0</v>
      </c>
      <c r="J611" t="n">
        <v>0</v>
      </c>
      <c r="K611" t="n">
        <v>0</v>
      </c>
      <c r="L611" t="n">
        <v>0</v>
      </c>
      <c r="M611" t="n">
        <v>0</v>
      </c>
      <c r="N611" t="n">
        <v>0</v>
      </c>
      <c r="O611" t="n">
        <v>0</v>
      </c>
      <c r="P611" t="n">
        <v>0</v>
      </c>
      <c r="Q611" t="n">
        <v>0</v>
      </c>
      <c r="R611" s="2" t="inlineStr"/>
    </row>
    <row r="612" ht="15" customHeight="1">
      <c r="A612" t="inlineStr">
        <is>
          <t>A 34930-2024</t>
        </is>
      </c>
      <c r="B612" s="1" t="n">
        <v>45527</v>
      </c>
      <c r="C612" s="1" t="n">
        <v>45690</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34929-2024</t>
        </is>
      </c>
      <c r="B613" s="1" t="n">
        <v>45527</v>
      </c>
      <c r="C613" s="1" t="n">
        <v>45690</v>
      </c>
      <c r="D613" t="inlineStr">
        <is>
          <t>DALARNAS LÄN</t>
        </is>
      </c>
      <c r="E613" t="inlineStr">
        <is>
          <t>HEDEMORA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34928-2024</t>
        </is>
      </c>
      <c r="B614" s="1" t="n">
        <v>45527</v>
      </c>
      <c r="C614" s="1" t="n">
        <v>45690</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34932-2024</t>
        </is>
      </c>
      <c r="B615" s="1" t="n">
        <v>45527</v>
      </c>
      <c r="C615" s="1" t="n">
        <v>45690</v>
      </c>
      <c r="D615" t="inlineStr">
        <is>
          <t>DALARNAS LÄN</t>
        </is>
      </c>
      <c r="E615" t="inlineStr">
        <is>
          <t>HEDEMORA</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34931-2024</t>
        </is>
      </c>
      <c r="B616" s="1" t="n">
        <v>45527</v>
      </c>
      <c r="C616" s="1" t="n">
        <v>45690</v>
      </c>
      <c r="D616" t="inlineStr">
        <is>
          <t>DALARNAS LÄN</t>
        </is>
      </c>
      <c r="E616" t="inlineStr">
        <is>
          <t>HEDEMORA</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35847-2024</t>
        </is>
      </c>
      <c r="B617" s="1" t="n">
        <v>45532</v>
      </c>
      <c r="C617" s="1" t="n">
        <v>45690</v>
      </c>
      <c r="D617" t="inlineStr">
        <is>
          <t>DALARNAS LÄN</t>
        </is>
      </c>
      <c r="E617" t="inlineStr">
        <is>
          <t>HEDEMORA</t>
        </is>
      </c>
      <c r="G617" t="n">
        <v>4.4</v>
      </c>
      <c r="H617" t="n">
        <v>0</v>
      </c>
      <c r="I617" t="n">
        <v>0</v>
      </c>
      <c r="J617" t="n">
        <v>0</v>
      </c>
      <c r="K617" t="n">
        <v>0</v>
      </c>
      <c r="L617" t="n">
        <v>0</v>
      </c>
      <c r="M617" t="n">
        <v>0</v>
      </c>
      <c r="N617" t="n">
        <v>0</v>
      </c>
      <c r="O617" t="n">
        <v>0</v>
      </c>
      <c r="P617" t="n">
        <v>0</v>
      </c>
      <c r="Q617" t="n">
        <v>0</v>
      </c>
      <c r="R617" s="2" t="inlineStr"/>
    </row>
    <row r="618" ht="15" customHeight="1">
      <c r="A618" t="inlineStr">
        <is>
          <t>A 36298-2024</t>
        </is>
      </c>
      <c r="B618" s="1" t="n">
        <v>45534</v>
      </c>
      <c r="C618" s="1" t="n">
        <v>45690</v>
      </c>
      <c r="D618" t="inlineStr">
        <is>
          <t>DALARNAS LÄN</t>
        </is>
      </c>
      <c r="E618" t="inlineStr">
        <is>
          <t>HEDEMORA</t>
        </is>
      </c>
      <c r="F618" t="inlineStr">
        <is>
          <t>Kommuner</t>
        </is>
      </c>
      <c r="G618" t="n">
        <v>3.4</v>
      </c>
      <c r="H618" t="n">
        <v>0</v>
      </c>
      <c r="I618" t="n">
        <v>0</v>
      </c>
      <c r="J618" t="n">
        <v>0</v>
      </c>
      <c r="K618" t="n">
        <v>0</v>
      </c>
      <c r="L618" t="n">
        <v>0</v>
      </c>
      <c r="M618" t="n">
        <v>0</v>
      </c>
      <c r="N618" t="n">
        <v>0</v>
      </c>
      <c r="O618" t="n">
        <v>0</v>
      </c>
      <c r="P618" t="n">
        <v>0</v>
      </c>
      <c r="Q618" t="n">
        <v>0</v>
      </c>
      <c r="R618" s="2" t="inlineStr"/>
    </row>
    <row r="619" ht="15" customHeight="1">
      <c r="A619" t="inlineStr">
        <is>
          <t>A 36306-2024</t>
        </is>
      </c>
      <c r="B619" s="1" t="n">
        <v>45534</v>
      </c>
      <c r="C619" s="1" t="n">
        <v>45690</v>
      </c>
      <c r="D619" t="inlineStr">
        <is>
          <t>DALARNAS LÄN</t>
        </is>
      </c>
      <c r="E619" t="inlineStr">
        <is>
          <t>HEDEMORA</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36299-2024</t>
        </is>
      </c>
      <c r="B620" s="1" t="n">
        <v>45534</v>
      </c>
      <c r="C620" s="1" t="n">
        <v>45690</v>
      </c>
      <c r="D620" t="inlineStr">
        <is>
          <t>DALARNAS LÄN</t>
        </is>
      </c>
      <c r="E620" t="inlineStr">
        <is>
          <t>HEDEMORA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36304-2024</t>
        </is>
      </c>
      <c r="B621" s="1" t="n">
        <v>45534</v>
      </c>
      <c r="C621" s="1" t="n">
        <v>45690</v>
      </c>
      <c r="D621" t="inlineStr">
        <is>
          <t>DALARNAS LÄN</t>
        </is>
      </c>
      <c r="E621" t="inlineStr">
        <is>
          <t>HEDEMORA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36560-2024</t>
        </is>
      </c>
      <c r="B622" s="1" t="n">
        <v>45537</v>
      </c>
      <c r="C622" s="1" t="n">
        <v>45690</v>
      </c>
      <c r="D622" t="inlineStr">
        <is>
          <t>DALARNAS LÄN</t>
        </is>
      </c>
      <c r="E622" t="inlineStr">
        <is>
          <t>HEDEMORA</t>
        </is>
      </c>
      <c r="F622" t="inlineStr">
        <is>
          <t>Sveaskog</t>
        </is>
      </c>
      <c r="G622" t="n">
        <v>5.6</v>
      </c>
      <c r="H622" t="n">
        <v>0</v>
      </c>
      <c r="I622" t="n">
        <v>0</v>
      </c>
      <c r="J622" t="n">
        <v>0</v>
      </c>
      <c r="K622" t="n">
        <v>0</v>
      </c>
      <c r="L622" t="n">
        <v>0</v>
      </c>
      <c r="M622" t="n">
        <v>0</v>
      </c>
      <c r="N622" t="n">
        <v>0</v>
      </c>
      <c r="O622" t="n">
        <v>0</v>
      </c>
      <c r="P622" t="n">
        <v>0</v>
      </c>
      <c r="Q622" t="n">
        <v>0</v>
      </c>
      <c r="R622" s="2" t="inlineStr"/>
    </row>
    <row r="623" ht="15" customHeight="1">
      <c r="A623" t="inlineStr">
        <is>
          <t>A 36507-2024</t>
        </is>
      </c>
      <c r="B623" s="1" t="n">
        <v>45537</v>
      </c>
      <c r="C623" s="1" t="n">
        <v>45690</v>
      </c>
      <c r="D623" t="inlineStr">
        <is>
          <t>DALARNAS LÄN</t>
        </is>
      </c>
      <c r="E623" t="inlineStr">
        <is>
          <t>HEDEMORA</t>
        </is>
      </c>
      <c r="G623" t="n">
        <v>1.7</v>
      </c>
      <c r="H623" t="n">
        <v>0</v>
      </c>
      <c r="I623" t="n">
        <v>0</v>
      </c>
      <c r="J623" t="n">
        <v>0</v>
      </c>
      <c r="K623" t="n">
        <v>0</v>
      </c>
      <c r="L623" t="n">
        <v>0</v>
      </c>
      <c r="M623" t="n">
        <v>0</v>
      </c>
      <c r="N623" t="n">
        <v>0</v>
      </c>
      <c r="O623" t="n">
        <v>0</v>
      </c>
      <c r="P623" t="n">
        <v>0</v>
      </c>
      <c r="Q623" t="n">
        <v>0</v>
      </c>
      <c r="R623" s="2" t="inlineStr"/>
    </row>
    <row r="624" ht="15" customHeight="1">
      <c r="A624" t="inlineStr">
        <is>
          <t>A 36935-2024</t>
        </is>
      </c>
      <c r="B624" s="1" t="n">
        <v>45538</v>
      </c>
      <c r="C624" s="1" t="n">
        <v>45690</v>
      </c>
      <c r="D624" t="inlineStr">
        <is>
          <t>DALARNAS LÄN</t>
        </is>
      </c>
      <c r="E624" t="inlineStr">
        <is>
          <t>HEDEMORA</t>
        </is>
      </c>
      <c r="G624" t="n">
        <v>1.4</v>
      </c>
      <c r="H624" t="n">
        <v>0</v>
      </c>
      <c r="I624" t="n">
        <v>0</v>
      </c>
      <c r="J624" t="n">
        <v>0</v>
      </c>
      <c r="K624" t="n">
        <v>0</v>
      </c>
      <c r="L624" t="n">
        <v>0</v>
      </c>
      <c r="M624" t="n">
        <v>0</v>
      </c>
      <c r="N624" t="n">
        <v>0</v>
      </c>
      <c r="O624" t="n">
        <v>0</v>
      </c>
      <c r="P624" t="n">
        <v>0</v>
      </c>
      <c r="Q624" t="n">
        <v>0</v>
      </c>
      <c r="R624" s="2" t="inlineStr"/>
    </row>
    <row r="625" ht="15" customHeight="1">
      <c r="A625" t="inlineStr">
        <is>
          <t>A 36938-2024</t>
        </is>
      </c>
      <c r="B625" s="1" t="n">
        <v>45538</v>
      </c>
      <c r="C625" s="1" t="n">
        <v>45690</v>
      </c>
      <c r="D625" t="inlineStr">
        <is>
          <t>DALARNAS LÄN</t>
        </is>
      </c>
      <c r="E625" t="inlineStr">
        <is>
          <t>HEDEMORA</t>
        </is>
      </c>
      <c r="G625" t="n">
        <v>0.6</v>
      </c>
      <c r="H625" t="n">
        <v>0</v>
      </c>
      <c r="I625" t="n">
        <v>0</v>
      </c>
      <c r="J625" t="n">
        <v>0</v>
      </c>
      <c r="K625" t="n">
        <v>0</v>
      </c>
      <c r="L625" t="n">
        <v>0</v>
      </c>
      <c r="M625" t="n">
        <v>0</v>
      </c>
      <c r="N625" t="n">
        <v>0</v>
      </c>
      <c r="O625" t="n">
        <v>0</v>
      </c>
      <c r="P625" t="n">
        <v>0</v>
      </c>
      <c r="Q625" t="n">
        <v>0</v>
      </c>
      <c r="R625" s="2" t="inlineStr"/>
    </row>
    <row r="626" ht="15" customHeight="1">
      <c r="A626" t="inlineStr">
        <is>
          <t>A 37449-2024</t>
        </is>
      </c>
      <c r="B626" s="1" t="n">
        <v>45540</v>
      </c>
      <c r="C626" s="1" t="n">
        <v>45690</v>
      </c>
      <c r="D626" t="inlineStr">
        <is>
          <t>DALARNAS LÄN</t>
        </is>
      </c>
      <c r="E626" t="inlineStr">
        <is>
          <t>HEDEMORA</t>
        </is>
      </c>
      <c r="F626" t="inlineStr">
        <is>
          <t>Bergvik skog väst AB</t>
        </is>
      </c>
      <c r="G626" t="n">
        <v>10.1</v>
      </c>
      <c r="H626" t="n">
        <v>0</v>
      </c>
      <c r="I626" t="n">
        <v>0</v>
      </c>
      <c r="J626" t="n">
        <v>0</v>
      </c>
      <c r="K626" t="n">
        <v>0</v>
      </c>
      <c r="L626" t="n">
        <v>0</v>
      </c>
      <c r="M626" t="n">
        <v>0</v>
      </c>
      <c r="N626" t="n">
        <v>0</v>
      </c>
      <c r="O626" t="n">
        <v>0</v>
      </c>
      <c r="P626" t="n">
        <v>0</v>
      </c>
      <c r="Q626" t="n">
        <v>0</v>
      </c>
      <c r="R626" s="2" t="inlineStr"/>
    </row>
    <row r="627" ht="15" customHeight="1">
      <c r="A627" t="inlineStr">
        <is>
          <t>A 37759-2024</t>
        </is>
      </c>
      <c r="B627" s="1" t="n">
        <v>45541</v>
      </c>
      <c r="C627" s="1" t="n">
        <v>45690</v>
      </c>
      <c r="D627" t="inlineStr">
        <is>
          <t>DALARNAS LÄN</t>
        </is>
      </c>
      <c r="E627" t="inlineStr">
        <is>
          <t>HEDEMORA</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37761-2024</t>
        </is>
      </c>
      <c r="B628" s="1" t="n">
        <v>45541</v>
      </c>
      <c r="C628" s="1" t="n">
        <v>45690</v>
      </c>
      <c r="D628" t="inlineStr">
        <is>
          <t>DALARNAS LÄN</t>
        </is>
      </c>
      <c r="E628" t="inlineStr">
        <is>
          <t>HEDEMORA</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37762-2024</t>
        </is>
      </c>
      <c r="B629" s="1" t="n">
        <v>45541</v>
      </c>
      <c r="C629" s="1" t="n">
        <v>45690</v>
      </c>
      <c r="D629" t="inlineStr">
        <is>
          <t>DALARNAS LÄN</t>
        </is>
      </c>
      <c r="E629" t="inlineStr">
        <is>
          <t>HEDEMORA</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37766-2024</t>
        </is>
      </c>
      <c r="B630" s="1" t="n">
        <v>45541</v>
      </c>
      <c r="C630" s="1" t="n">
        <v>45690</v>
      </c>
      <c r="D630" t="inlineStr">
        <is>
          <t>DALARNAS LÄN</t>
        </is>
      </c>
      <c r="E630" t="inlineStr">
        <is>
          <t>HEDEMORA</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37805-2024</t>
        </is>
      </c>
      <c r="B631" s="1" t="n">
        <v>45543</v>
      </c>
      <c r="C631" s="1" t="n">
        <v>45690</v>
      </c>
      <c r="D631" t="inlineStr">
        <is>
          <t>DALARNAS LÄN</t>
        </is>
      </c>
      <c r="E631" t="inlineStr">
        <is>
          <t>HEDEMORA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37804-2024</t>
        </is>
      </c>
      <c r="B632" s="1" t="n">
        <v>45543</v>
      </c>
      <c r="C632" s="1" t="n">
        <v>45690</v>
      </c>
      <c r="D632" t="inlineStr">
        <is>
          <t>DALARNAS LÄN</t>
        </is>
      </c>
      <c r="E632" t="inlineStr">
        <is>
          <t>HEDEMORA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37806-2024</t>
        </is>
      </c>
      <c r="B633" s="1" t="n">
        <v>45543</v>
      </c>
      <c r="C633" s="1" t="n">
        <v>45690</v>
      </c>
      <c r="D633" t="inlineStr">
        <is>
          <t>DALARNAS LÄN</t>
        </is>
      </c>
      <c r="E633" t="inlineStr">
        <is>
          <t>HEDEMORA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39209-2024</t>
        </is>
      </c>
      <c r="B634" s="1" t="n">
        <v>45548</v>
      </c>
      <c r="C634" s="1" t="n">
        <v>45690</v>
      </c>
      <c r="D634" t="inlineStr">
        <is>
          <t>DALARNAS LÄN</t>
        </is>
      </c>
      <c r="E634" t="inlineStr">
        <is>
          <t>HEDEMORA</t>
        </is>
      </c>
      <c r="G634" t="n">
        <v>2.6</v>
      </c>
      <c r="H634" t="n">
        <v>0</v>
      </c>
      <c r="I634" t="n">
        <v>0</v>
      </c>
      <c r="J634" t="n">
        <v>0</v>
      </c>
      <c r="K634" t="n">
        <v>0</v>
      </c>
      <c r="L634" t="n">
        <v>0</v>
      </c>
      <c r="M634" t="n">
        <v>0</v>
      </c>
      <c r="N634" t="n">
        <v>0</v>
      </c>
      <c r="O634" t="n">
        <v>0</v>
      </c>
      <c r="P634" t="n">
        <v>0</v>
      </c>
      <c r="Q634" t="n">
        <v>0</v>
      </c>
      <c r="R634" s="2" t="inlineStr"/>
    </row>
    <row r="635" ht="15" customHeight="1">
      <c r="A635" t="inlineStr">
        <is>
          <t>A 39531-2024</t>
        </is>
      </c>
      <c r="B635" s="1" t="n">
        <v>45551</v>
      </c>
      <c r="C635" s="1" t="n">
        <v>45690</v>
      </c>
      <c r="D635" t="inlineStr">
        <is>
          <t>DALARNAS LÄN</t>
        </is>
      </c>
      <c r="E635" t="inlineStr">
        <is>
          <t>HEDEMORA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39552-2024</t>
        </is>
      </c>
      <c r="B636" s="1" t="n">
        <v>45551</v>
      </c>
      <c r="C636" s="1" t="n">
        <v>45690</v>
      </c>
      <c r="D636" t="inlineStr">
        <is>
          <t>DALARNAS LÄN</t>
        </is>
      </c>
      <c r="E636" t="inlineStr">
        <is>
          <t>HEDEMORA</t>
        </is>
      </c>
      <c r="F636" t="inlineStr">
        <is>
          <t>Bergvik skog väst AB</t>
        </is>
      </c>
      <c r="G636" t="n">
        <v>24.1</v>
      </c>
      <c r="H636" t="n">
        <v>0</v>
      </c>
      <c r="I636" t="n">
        <v>0</v>
      </c>
      <c r="J636" t="n">
        <v>0</v>
      </c>
      <c r="K636" t="n">
        <v>0</v>
      </c>
      <c r="L636" t="n">
        <v>0</v>
      </c>
      <c r="M636" t="n">
        <v>0</v>
      </c>
      <c r="N636" t="n">
        <v>0</v>
      </c>
      <c r="O636" t="n">
        <v>0</v>
      </c>
      <c r="P636" t="n">
        <v>0</v>
      </c>
      <c r="Q636" t="n">
        <v>0</v>
      </c>
      <c r="R636" s="2" t="inlineStr"/>
    </row>
    <row r="637" ht="15" customHeight="1">
      <c r="A637" t="inlineStr">
        <is>
          <t>A 39530-2024</t>
        </is>
      </c>
      <c r="B637" s="1" t="n">
        <v>45551</v>
      </c>
      <c r="C637" s="1" t="n">
        <v>45690</v>
      </c>
      <c r="D637" t="inlineStr">
        <is>
          <t>DALARNAS LÄN</t>
        </is>
      </c>
      <c r="E637" t="inlineStr">
        <is>
          <t>HEDEMORA</t>
        </is>
      </c>
      <c r="F637" t="inlineStr">
        <is>
          <t>Bergvik skog väst AB</t>
        </is>
      </c>
      <c r="G637" t="n">
        <v>13.8</v>
      </c>
      <c r="H637" t="n">
        <v>0</v>
      </c>
      <c r="I637" t="n">
        <v>0</v>
      </c>
      <c r="J637" t="n">
        <v>0</v>
      </c>
      <c r="K637" t="n">
        <v>0</v>
      </c>
      <c r="L637" t="n">
        <v>0</v>
      </c>
      <c r="M637" t="n">
        <v>0</v>
      </c>
      <c r="N637" t="n">
        <v>0</v>
      </c>
      <c r="O637" t="n">
        <v>0</v>
      </c>
      <c r="P637" t="n">
        <v>0</v>
      </c>
      <c r="Q637" t="n">
        <v>0</v>
      </c>
      <c r="R637" s="2" t="inlineStr"/>
    </row>
    <row r="638" ht="15" customHeight="1">
      <c r="A638" t="inlineStr">
        <is>
          <t>A 40801-2024</t>
        </is>
      </c>
      <c r="B638" s="1" t="n">
        <v>45558</v>
      </c>
      <c r="C638" s="1" t="n">
        <v>45690</v>
      </c>
      <c r="D638" t="inlineStr">
        <is>
          <t>DALARNAS LÄN</t>
        </is>
      </c>
      <c r="E638" t="inlineStr">
        <is>
          <t>HEDEMORA</t>
        </is>
      </c>
      <c r="G638" t="n">
        <v>2.2</v>
      </c>
      <c r="H638" t="n">
        <v>0</v>
      </c>
      <c r="I638" t="n">
        <v>0</v>
      </c>
      <c r="J638" t="n">
        <v>0</v>
      </c>
      <c r="K638" t="n">
        <v>0</v>
      </c>
      <c r="L638" t="n">
        <v>0</v>
      </c>
      <c r="M638" t="n">
        <v>0</v>
      </c>
      <c r="N638" t="n">
        <v>0</v>
      </c>
      <c r="O638" t="n">
        <v>0</v>
      </c>
      <c r="P638" t="n">
        <v>0</v>
      </c>
      <c r="Q638" t="n">
        <v>0</v>
      </c>
      <c r="R638" s="2" t="inlineStr"/>
    </row>
    <row r="639" ht="15" customHeight="1">
      <c r="A639" t="inlineStr">
        <is>
          <t>A 42586-2024</t>
        </is>
      </c>
      <c r="B639" s="1" t="n">
        <v>45565</v>
      </c>
      <c r="C639" s="1" t="n">
        <v>45690</v>
      </c>
      <c r="D639" t="inlineStr">
        <is>
          <t>DALARNAS LÄN</t>
        </is>
      </c>
      <c r="E639" t="inlineStr">
        <is>
          <t>HEDEMORA</t>
        </is>
      </c>
      <c r="G639" t="n">
        <v>0.8</v>
      </c>
      <c r="H639" t="n">
        <v>0</v>
      </c>
      <c r="I639" t="n">
        <v>0</v>
      </c>
      <c r="J639" t="n">
        <v>0</v>
      </c>
      <c r="K639" t="n">
        <v>0</v>
      </c>
      <c r="L639" t="n">
        <v>0</v>
      </c>
      <c r="M639" t="n">
        <v>0</v>
      </c>
      <c r="N639" t="n">
        <v>0</v>
      </c>
      <c r="O639" t="n">
        <v>0</v>
      </c>
      <c r="P639" t="n">
        <v>0</v>
      </c>
      <c r="Q639" t="n">
        <v>0</v>
      </c>
      <c r="R639" s="2" t="inlineStr"/>
    </row>
    <row r="640" ht="15" customHeight="1">
      <c r="A640" t="inlineStr">
        <is>
          <t>A 42891-2024</t>
        </is>
      </c>
      <c r="B640" s="1" t="n">
        <v>45566</v>
      </c>
      <c r="C640" s="1" t="n">
        <v>45690</v>
      </c>
      <c r="D640" t="inlineStr">
        <is>
          <t>DALARNAS LÄN</t>
        </is>
      </c>
      <c r="E640" t="inlineStr">
        <is>
          <t>HEDEMORA</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42890-2024</t>
        </is>
      </c>
      <c r="B641" s="1" t="n">
        <v>45566</v>
      </c>
      <c r="C641" s="1" t="n">
        <v>45690</v>
      </c>
      <c r="D641" t="inlineStr">
        <is>
          <t>DALARNAS LÄN</t>
        </is>
      </c>
      <c r="E641" t="inlineStr">
        <is>
          <t>HEDEMORA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42894-2024</t>
        </is>
      </c>
      <c r="B642" s="1" t="n">
        <v>45566</v>
      </c>
      <c r="C642" s="1" t="n">
        <v>45690</v>
      </c>
      <c r="D642" t="inlineStr">
        <is>
          <t>DALARNAS LÄN</t>
        </is>
      </c>
      <c r="E642" t="inlineStr">
        <is>
          <t>HEDEMORA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42892-2024</t>
        </is>
      </c>
      <c r="B643" s="1" t="n">
        <v>45566</v>
      </c>
      <c r="C643" s="1" t="n">
        <v>45690</v>
      </c>
      <c r="D643" t="inlineStr">
        <is>
          <t>DALARNAS LÄN</t>
        </is>
      </c>
      <c r="E643" t="inlineStr">
        <is>
          <t>HEDEMORA</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42895-2024</t>
        </is>
      </c>
      <c r="B644" s="1" t="n">
        <v>45566</v>
      </c>
      <c r="C644" s="1" t="n">
        <v>45690</v>
      </c>
      <c r="D644" t="inlineStr">
        <is>
          <t>DALARNAS LÄN</t>
        </is>
      </c>
      <c r="E644" t="inlineStr">
        <is>
          <t>HEDEMORA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43621-2024</t>
        </is>
      </c>
      <c r="B645" s="1" t="n">
        <v>45569</v>
      </c>
      <c r="C645" s="1" t="n">
        <v>45690</v>
      </c>
      <c r="D645" t="inlineStr">
        <is>
          <t>DALARNAS LÄN</t>
        </is>
      </c>
      <c r="E645" t="inlineStr">
        <is>
          <t>HEDEMORA</t>
        </is>
      </c>
      <c r="G645" t="n">
        <v>2.4</v>
      </c>
      <c r="H645" t="n">
        <v>0</v>
      </c>
      <c r="I645" t="n">
        <v>0</v>
      </c>
      <c r="J645" t="n">
        <v>0</v>
      </c>
      <c r="K645" t="n">
        <v>0</v>
      </c>
      <c r="L645" t="n">
        <v>0</v>
      </c>
      <c r="M645" t="n">
        <v>0</v>
      </c>
      <c r="N645" t="n">
        <v>0</v>
      </c>
      <c r="O645" t="n">
        <v>0</v>
      </c>
      <c r="P645" t="n">
        <v>0</v>
      </c>
      <c r="Q645" t="n">
        <v>0</v>
      </c>
      <c r="R645" s="2" t="inlineStr"/>
    </row>
    <row r="646" ht="15" customHeight="1">
      <c r="A646" t="inlineStr">
        <is>
          <t>A 43626-2024</t>
        </is>
      </c>
      <c r="B646" s="1" t="n">
        <v>45569</v>
      </c>
      <c r="C646" s="1" t="n">
        <v>45690</v>
      </c>
      <c r="D646" t="inlineStr">
        <is>
          <t>DALARNAS LÄN</t>
        </is>
      </c>
      <c r="E646" t="inlineStr">
        <is>
          <t>HEDEMORA</t>
        </is>
      </c>
      <c r="G646" t="n">
        <v>4.1</v>
      </c>
      <c r="H646" t="n">
        <v>0</v>
      </c>
      <c r="I646" t="n">
        <v>0</v>
      </c>
      <c r="J646" t="n">
        <v>0</v>
      </c>
      <c r="K646" t="n">
        <v>0</v>
      </c>
      <c r="L646" t="n">
        <v>0</v>
      </c>
      <c r="M646" t="n">
        <v>0</v>
      </c>
      <c r="N646" t="n">
        <v>0</v>
      </c>
      <c r="O646" t="n">
        <v>0</v>
      </c>
      <c r="P646" t="n">
        <v>0</v>
      </c>
      <c r="Q646" t="n">
        <v>0</v>
      </c>
      <c r="R646" s="2" t="inlineStr"/>
    </row>
    <row r="647" ht="15" customHeight="1">
      <c r="A647" t="inlineStr">
        <is>
          <t>A 44388-2024</t>
        </is>
      </c>
      <c r="B647" s="1" t="n">
        <v>45573</v>
      </c>
      <c r="C647" s="1" t="n">
        <v>45690</v>
      </c>
      <c r="D647" t="inlineStr">
        <is>
          <t>DALARNAS LÄN</t>
        </is>
      </c>
      <c r="E647" t="inlineStr">
        <is>
          <t>HEDEMORA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44384-2024</t>
        </is>
      </c>
      <c r="B648" s="1" t="n">
        <v>45573</v>
      </c>
      <c r="C648" s="1" t="n">
        <v>45690</v>
      </c>
      <c r="D648" t="inlineStr">
        <is>
          <t>DALARNAS LÄN</t>
        </is>
      </c>
      <c r="E648" t="inlineStr">
        <is>
          <t>HEDEMORA</t>
        </is>
      </c>
      <c r="F648" t="inlineStr">
        <is>
          <t>Bergvik skog väst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44851-2024</t>
        </is>
      </c>
      <c r="B649" s="1" t="n">
        <v>45574</v>
      </c>
      <c r="C649" s="1" t="n">
        <v>45690</v>
      </c>
      <c r="D649" t="inlineStr">
        <is>
          <t>DALARNAS LÄN</t>
        </is>
      </c>
      <c r="E649" t="inlineStr">
        <is>
          <t>HEDEMORA</t>
        </is>
      </c>
      <c r="G649" t="n">
        <v>4.7</v>
      </c>
      <c r="H649" t="n">
        <v>0</v>
      </c>
      <c r="I649" t="n">
        <v>0</v>
      </c>
      <c r="J649" t="n">
        <v>0</v>
      </c>
      <c r="K649" t="n">
        <v>0</v>
      </c>
      <c r="L649" t="n">
        <v>0</v>
      </c>
      <c r="M649" t="n">
        <v>0</v>
      </c>
      <c r="N649" t="n">
        <v>0</v>
      </c>
      <c r="O649" t="n">
        <v>0</v>
      </c>
      <c r="P649" t="n">
        <v>0</v>
      </c>
      <c r="Q649" t="n">
        <v>0</v>
      </c>
      <c r="R649" s="2" t="inlineStr"/>
    </row>
    <row r="650" ht="15" customHeight="1">
      <c r="A650" t="inlineStr">
        <is>
          <t>A 45377-2024</t>
        </is>
      </c>
      <c r="B650" s="1" t="n">
        <v>45576</v>
      </c>
      <c r="C650" s="1" t="n">
        <v>45690</v>
      </c>
      <c r="D650" t="inlineStr">
        <is>
          <t>DALARNAS LÄN</t>
        </is>
      </c>
      <c r="E650" t="inlineStr">
        <is>
          <t>HEDEMORA</t>
        </is>
      </c>
      <c r="G650" t="n">
        <v>1.4</v>
      </c>
      <c r="H650" t="n">
        <v>0</v>
      </c>
      <c r="I650" t="n">
        <v>0</v>
      </c>
      <c r="J650" t="n">
        <v>0</v>
      </c>
      <c r="K650" t="n">
        <v>0</v>
      </c>
      <c r="L650" t="n">
        <v>0</v>
      </c>
      <c r="M650" t="n">
        <v>0</v>
      </c>
      <c r="N650" t="n">
        <v>0</v>
      </c>
      <c r="O650" t="n">
        <v>0</v>
      </c>
      <c r="P650" t="n">
        <v>0</v>
      </c>
      <c r="Q650" t="n">
        <v>0</v>
      </c>
      <c r="R650" s="2" t="inlineStr"/>
    </row>
    <row r="651" ht="15" customHeight="1">
      <c r="A651" t="inlineStr">
        <is>
          <t>A 45709-2024</t>
        </is>
      </c>
      <c r="B651" s="1" t="n">
        <v>45579</v>
      </c>
      <c r="C651" s="1" t="n">
        <v>45690</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45730-2024</t>
        </is>
      </c>
      <c r="B652" s="1" t="n">
        <v>45579</v>
      </c>
      <c r="C652" s="1" t="n">
        <v>45690</v>
      </c>
      <c r="D652" t="inlineStr">
        <is>
          <t>DALARNAS LÄN</t>
        </is>
      </c>
      <c r="E652" t="inlineStr">
        <is>
          <t>HEDEMORA</t>
        </is>
      </c>
      <c r="G652" t="n">
        <v>4.5</v>
      </c>
      <c r="H652" t="n">
        <v>0</v>
      </c>
      <c r="I652" t="n">
        <v>0</v>
      </c>
      <c r="J652" t="n">
        <v>0</v>
      </c>
      <c r="K652" t="n">
        <v>0</v>
      </c>
      <c r="L652" t="n">
        <v>0</v>
      </c>
      <c r="M652" t="n">
        <v>0</v>
      </c>
      <c r="N652" t="n">
        <v>0</v>
      </c>
      <c r="O652" t="n">
        <v>0</v>
      </c>
      <c r="P652" t="n">
        <v>0</v>
      </c>
      <c r="Q652" t="n">
        <v>0</v>
      </c>
      <c r="R652" s="2" t="inlineStr"/>
    </row>
    <row r="653" ht="15" customHeight="1">
      <c r="A653" t="inlineStr">
        <is>
          <t>A 46825-2024</t>
        </is>
      </c>
      <c r="B653" s="1" t="n">
        <v>45583</v>
      </c>
      <c r="C653" s="1" t="n">
        <v>45690</v>
      </c>
      <c r="D653" t="inlineStr">
        <is>
          <t>DALARNAS LÄN</t>
        </is>
      </c>
      <c r="E653" t="inlineStr">
        <is>
          <t>HEDEMORA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48320-2024</t>
        </is>
      </c>
      <c r="B654" s="1" t="n">
        <v>45590</v>
      </c>
      <c r="C654" s="1" t="n">
        <v>45690</v>
      </c>
      <c r="D654" t="inlineStr">
        <is>
          <t>DALARNAS LÄN</t>
        </is>
      </c>
      <c r="E654" t="inlineStr">
        <is>
          <t>HEDEMORA</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48380-2024</t>
        </is>
      </c>
      <c r="B655" s="1" t="n">
        <v>45590</v>
      </c>
      <c r="C655" s="1" t="n">
        <v>45690</v>
      </c>
      <c r="D655" t="inlineStr">
        <is>
          <t>DALARNAS LÄN</t>
        </is>
      </c>
      <c r="E655" t="inlineStr">
        <is>
          <t>HEDEMORA</t>
        </is>
      </c>
      <c r="G655" t="n">
        <v>1.5</v>
      </c>
      <c r="H655" t="n">
        <v>0</v>
      </c>
      <c r="I655" t="n">
        <v>0</v>
      </c>
      <c r="J655" t="n">
        <v>0</v>
      </c>
      <c r="K655" t="n">
        <v>0</v>
      </c>
      <c r="L655" t="n">
        <v>0</v>
      </c>
      <c r="M655" t="n">
        <v>0</v>
      </c>
      <c r="N655" t="n">
        <v>0</v>
      </c>
      <c r="O655" t="n">
        <v>0</v>
      </c>
      <c r="P655" t="n">
        <v>0</v>
      </c>
      <c r="Q655" t="n">
        <v>0</v>
      </c>
      <c r="R655" s="2" t="inlineStr"/>
    </row>
    <row r="656" ht="15" customHeight="1">
      <c r="A656" t="inlineStr">
        <is>
          <t>A 48321-2024</t>
        </is>
      </c>
      <c r="B656" s="1" t="n">
        <v>45590</v>
      </c>
      <c r="C656" s="1" t="n">
        <v>45690</v>
      </c>
      <c r="D656" t="inlineStr">
        <is>
          <t>DALARNAS LÄN</t>
        </is>
      </c>
      <c r="E656" t="inlineStr">
        <is>
          <t>HEDEMORA</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48371-2024</t>
        </is>
      </c>
      <c r="B657" s="1" t="n">
        <v>45590</v>
      </c>
      <c r="C657" s="1" t="n">
        <v>45690</v>
      </c>
      <c r="D657" t="inlineStr">
        <is>
          <t>DALARNAS LÄN</t>
        </is>
      </c>
      <c r="E657" t="inlineStr">
        <is>
          <t>HEDEMORA</t>
        </is>
      </c>
      <c r="G657" t="n">
        <v>8</v>
      </c>
      <c r="H657" t="n">
        <v>0</v>
      </c>
      <c r="I657" t="n">
        <v>0</v>
      </c>
      <c r="J657" t="n">
        <v>0</v>
      </c>
      <c r="K657" t="n">
        <v>0</v>
      </c>
      <c r="L657" t="n">
        <v>0</v>
      </c>
      <c r="M657" t="n">
        <v>0</v>
      </c>
      <c r="N657" t="n">
        <v>0</v>
      </c>
      <c r="O657" t="n">
        <v>0</v>
      </c>
      <c r="P657" t="n">
        <v>0</v>
      </c>
      <c r="Q657" t="n">
        <v>0</v>
      </c>
      <c r="R657" s="2" t="inlineStr"/>
    </row>
    <row r="658" ht="15" customHeight="1">
      <c r="A658" t="inlineStr">
        <is>
          <t>A 49351-2024</t>
        </is>
      </c>
      <c r="B658" s="1" t="n">
        <v>45595</v>
      </c>
      <c r="C658" s="1" t="n">
        <v>45690</v>
      </c>
      <c r="D658" t="inlineStr">
        <is>
          <t>DALARNAS LÄN</t>
        </is>
      </c>
      <c r="E658" t="inlineStr">
        <is>
          <t>HEDEMORA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51256-2024</t>
        </is>
      </c>
      <c r="B659" s="1" t="n">
        <v>45603</v>
      </c>
      <c r="C659" s="1" t="n">
        <v>45690</v>
      </c>
      <c r="D659" t="inlineStr">
        <is>
          <t>DALARNAS LÄN</t>
        </is>
      </c>
      <c r="E659" t="inlineStr">
        <is>
          <t>HEDEMORA</t>
        </is>
      </c>
      <c r="G659" t="n">
        <v>1.3</v>
      </c>
      <c r="H659" t="n">
        <v>0</v>
      </c>
      <c r="I659" t="n">
        <v>0</v>
      </c>
      <c r="J659" t="n">
        <v>0</v>
      </c>
      <c r="K659" t="n">
        <v>0</v>
      </c>
      <c r="L659" t="n">
        <v>0</v>
      </c>
      <c r="M659" t="n">
        <v>0</v>
      </c>
      <c r="N659" t="n">
        <v>0</v>
      </c>
      <c r="O659" t="n">
        <v>0</v>
      </c>
      <c r="P659" t="n">
        <v>0</v>
      </c>
      <c r="Q659" t="n">
        <v>0</v>
      </c>
      <c r="R659" s="2" t="inlineStr"/>
    </row>
    <row r="660" ht="15" customHeight="1">
      <c r="A660" t="inlineStr">
        <is>
          <t>A 51543-2024</t>
        </is>
      </c>
      <c r="B660" s="1" t="n">
        <v>45604</v>
      </c>
      <c r="C660" s="1" t="n">
        <v>45690</v>
      </c>
      <c r="D660" t="inlineStr">
        <is>
          <t>DALARNAS LÄN</t>
        </is>
      </c>
      <c r="E660" t="inlineStr">
        <is>
          <t>HEDEMORA</t>
        </is>
      </c>
      <c r="F660" t="inlineStr">
        <is>
          <t>Sveaskog</t>
        </is>
      </c>
      <c r="G660" t="n">
        <v>15.1</v>
      </c>
      <c r="H660" t="n">
        <v>0</v>
      </c>
      <c r="I660" t="n">
        <v>0</v>
      </c>
      <c r="J660" t="n">
        <v>0</v>
      </c>
      <c r="K660" t="n">
        <v>0</v>
      </c>
      <c r="L660" t="n">
        <v>0</v>
      </c>
      <c r="M660" t="n">
        <v>0</v>
      </c>
      <c r="N660" t="n">
        <v>0</v>
      </c>
      <c r="O660" t="n">
        <v>0</v>
      </c>
      <c r="P660" t="n">
        <v>0</v>
      </c>
      <c r="Q660" t="n">
        <v>0</v>
      </c>
      <c r="R660" s="2" t="inlineStr"/>
    </row>
    <row r="661" ht="15" customHeight="1">
      <c r="A661" t="inlineStr">
        <is>
          <t>A 52945-2024</t>
        </is>
      </c>
      <c r="B661" s="1" t="n">
        <v>45610</v>
      </c>
      <c r="C661" s="1" t="n">
        <v>45690</v>
      </c>
      <c r="D661" t="inlineStr">
        <is>
          <t>DALARNAS LÄN</t>
        </is>
      </c>
      <c r="E661" t="inlineStr">
        <is>
          <t>HEDEMORA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52944-2024</t>
        </is>
      </c>
      <c r="B662" s="1" t="n">
        <v>45610</v>
      </c>
      <c r="C662" s="1" t="n">
        <v>45690</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52942-2024</t>
        </is>
      </c>
      <c r="B663" s="1" t="n">
        <v>45610</v>
      </c>
      <c r="C663" s="1" t="n">
        <v>45690</v>
      </c>
      <c r="D663" t="inlineStr">
        <is>
          <t>DALARNAS LÄN</t>
        </is>
      </c>
      <c r="E663" t="inlineStr">
        <is>
          <t>HEDEMORA</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53922-2024</t>
        </is>
      </c>
      <c r="B664" s="1" t="n">
        <v>45615</v>
      </c>
      <c r="C664" s="1" t="n">
        <v>45690</v>
      </c>
      <c r="D664" t="inlineStr">
        <is>
          <t>DALARNAS LÄN</t>
        </is>
      </c>
      <c r="E664" t="inlineStr">
        <is>
          <t>HEDEMORA</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53923-2024</t>
        </is>
      </c>
      <c r="B665" s="1" t="n">
        <v>45615</v>
      </c>
      <c r="C665" s="1" t="n">
        <v>45690</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54120-2024</t>
        </is>
      </c>
      <c r="B666" s="1" t="n">
        <v>45616</v>
      </c>
      <c r="C666" s="1" t="n">
        <v>45690</v>
      </c>
      <c r="D666" t="inlineStr">
        <is>
          <t>DALARNAS LÄN</t>
        </is>
      </c>
      <c r="E666" t="inlineStr">
        <is>
          <t>HEDEMORA</t>
        </is>
      </c>
      <c r="G666" t="n">
        <v>7.7</v>
      </c>
      <c r="H666" t="n">
        <v>0</v>
      </c>
      <c r="I666" t="n">
        <v>0</v>
      </c>
      <c r="J666" t="n">
        <v>0</v>
      </c>
      <c r="K666" t="n">
        <v>0</v>
      </c>
      <c r="L666" t="n">
        <v>0</v>
      </c>
      <c r="M666" t="n">
        <v>0</v>
      </c>
      <c r="N666" t="n">
        <v>0</v>
      </c>
      <c r="O666" t="n">
        <v>0</v>
      </c>
      <c r="P666" t="n">
        <v>0</v>
      </c>
      <c r="Q666" t="n">
        <v>0</v>
      </c>
      <c r="R666" s="2" t="inlineStr"/>
    </row>
    <row r="667" ht="15" customHeight="1">
      <c r="A667" t="inlineStr">
        <is>
          <t>A 54312-2024</t>
        </is>
      </c>
      <c r="B667" s="1" t="n">
        <v>45617</v>
      </c>
      <c r="C667" s="1" t="n">
        <v>45690</v>
      </c>
      <c r="D667" t="inlineStr">
        <is>
          <t>DALARNAS LÄN</t>
        </is>
      </c>
      <c r="E667" t="inlineStr">
        <is>
          <t>HEDEMORA</t>
        </is>
      </c>
      <c r="F667" t="inlineStr">
        <is>
          <t>Bergvik skog väst AB</t>
        </is>
      </c>
      <c r="G667" t="n">
        <v>13.9</v>
      </c>
      <c r="H667" t="n">
        <v>0</v>
      </c>
      <c r="I667" t="n">
        <v>0</v>
      </c>
      <c r="J667" t="n">
        <v>0</v>
      </c>
      <c r="K667" t="n">
        <v>0</v>
      </c>
      <c r="L667" t="n">
        <v>0</v>
      </c>
      <c r="M667" t="n">
        <v>0</v>
      </c>
      <c r="N667" t="n">
        <v>0</v>
      </c>
      <c r="O667" t="n">
        <v>0</v>
      </c>
      <c r="P667" t="n">
        <v>0</v>
      </c>
      <c r="Q667" t="n">
        <v>0</v>
      </c>
      <c r="R667" s="2" t="inlineStr"/>
    </row>
    <row r="668" ht="15" customHeight="1">
      <c r="A668" t="inlineStr">
        <is>
          <t>A 55392-2024</t>
        </is>
      </c>
      <c r="B668" s="1" t="n">
        <v>45622</v>
      </c>
      <c r="C668" s="1" t="n">
        <v>45690</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55832-2024</t>
        </is>
      </c>
      <c r="B669" s="1" t="n">
        <v>45623</v>
      </c>
      <c r="C669" s="1" t="n">
        <v>45690</v>
      </c>
      <c r="D669" t="inlineStr">
        <is>
          <t>DALARNAS LÄN</t>
        </is>
      </c>
      <c r="E669" t="inlineStr">
        <is>
          <t>HEDEMORA</t>
        </is>
      </c>
      <c r="G669" t="n">
        <v>3</v>
      </c>
      <c r="H669" t="n">
        <v>0</v>
      </c>
      <c r="I669" t="n">
        <v>0</v>
      </c>
      <c r="J669" t="n">
        <v>0</v>
      </c>
      <c r="K669" t="n">
        <v>0</v>
      </c>
      <c r="L669" t="n">
        <v>0</v>
      </c>
      <c r="M669" t="n">
        <v>0</v>
      </c>
      <c r="N669" t="n">
        <v>0</v>
      </c>
      <c r="O669" t="n">
        <v>0</v>
      </c>
      <c r="P669" t="n">
        <v>0</v>
      </c>
      <c r="Q669" t="n">
        <v>0</v>
      </c>
      <c r="R669" s="2" t="inlineStr"/>
    </row>
    <row r="670" ht="15" customHeight="1">
      <c r="A670" t="inlineStr">
        <is>
          <t>A 56620-2024</t>
        </is>
      </c>
      <c r="B670" s="1" t="n">
        <v>45625</v>
      </c>
      <c r="C670" s="1" t="n">
        <v>45690</v>
      </c>
      <c r="D670" t="inlineStr">
        <is>
          <t>DALARNAS LÄN</t>
        </is>
      </c>
      <c r="E670" t="inlineStr">
        <is>
          <t>HEDEMORA</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56668-2024</t>
        </is>
      </c>
      <c r="B671" s="1" t="n">
        <v>45626</v>
      </c>
      <c r="C671" s="1" t="n">
        <v>45690</v>
      </c>
      <c r="D671" t="inlineStr">
        <is>
          <t>DALARNAS LÄN</t>
        </is>
      </c>
      <c r="E671" t="inlineStr">
        <is>
          <t>HEDEMORA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56884-2024</t>
        </is>
      </c>
      <c r="B672" s="1" t="n">
        <v>45628</v>
      </c>
      <c r="C672" s="1" t="n">
        <v>45690</v>
      </c>
      <c r="D672" t="inlineStr">
        <is>
          <t>DALARNAS LÄN</t>
        </is>
      </c>
      <c r="E672" t="inlineStr">
        <is>
          <t>HEDEMORA</t>
        </is>
      </c>
      <c r="G672" t="n">
        <v>2.1</v>
      </c>
      <c r="H672" t="n">
        <v>0</v>
      </c>
      <c r="I672" t="n">
        <v>0</v>
      </c>
      <c r="J672" t="n">
        <v>0</v>
      </c>
      <c r="K672" t="n">
        <v>0</v>
      </c>
      <c r="L672" t="n">
        <v>0</v>
      </c>
      <c r="M672" t="n">
        <v>0</v>
      </c>
      <c r="N672" t="n">
        <v>0</v>
      </c>
      <c r="O672" t="n">
        <v>0</v>
      </c>
      <c r="P672" t="n">
        <v>0</v>
      </c>
      <c r="Q672" t="n">
        <v>0</v>
      </c>
      <c r="R672" s="2" t="inlineStr"/>
    </row>
    <row r="673" ht="15" customHeight="1">
      <c r="A673" t="inlineStr">
        <is>
          <t>A 57745-2024</t>
        </is>
      </c>
      <c r="B673" s="1" t="n">
        <v>45630</v>
      </c>
      <c r="C673" s="1" t="n">
        <v>45690</v>
      </c>
      <c r="D673" t="inlineStr">
        <is>
          <t>DALARNAS LÄN</t>
        </is>
      </c>
      <c r="E673" t="inlineStr">
        <is>
          <t>HEDEMORA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45690</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60780-2024</t>
        </is>
      </c>
      <c r="B675" s="1" t="n">
        <v>45644</v>
      </c>
      <c r="C675" s="1" t="n">
        <v>45690</v>
      </c>
      <c r="D675" t="inlineStr">
        <is>
          <t>DALARNAS LÄN</t>
        </is>
      </c>
      <c r="E675" t="inlineStr">
        <is>
          <t>HEDEMORA</t>
        </is>
      </c>
      <c r="F675" t="inlineStr">
        <is>
          <t>Sveaskog</t>
        </is>
      </c>
      <c r="G675" t="n">
        <v>4.3</v>
      </c>
      <c r="H675" t="n">
        <v>0</v>
      </c>
      <c r="I675" t="n">
        <v>0</v>
      </c>
      <c r="J675" t="n">
        <v>0</v>
      </c>
      <c r="K675" t="n">
        <v>0</v>
      </c>
      <c r="L675" t="n">
        <v>0</v>
      </c>
      <c r="M675" t="n">
        <v>0</v>
      </c>
      <c r="N675" t="n">
        <v>0</v>
      </c>
      <c r="O675" t="n">
        <v>0</v>
      </c>
      <c r="P675" t="n">
        <v>0</v>
      </c>
      <c r="Q675" t="n">
        <v>0</v>
      </c>
      <c r="R675" s="2" t="inlineStr"/>
    </row>
    <row r="676" ht="15" customHeight="1">
      <c r="A676" t="inlineStr">
        <is>
          <t>A 61519-2024</t>
        </is>
      </c>
      <c r="B676" s="1" t="n">
        <v>45646</v>
      </c>
      <c r="C676" s="1" t="n">
        <v>45690</v>
      </c>
      <c r="D676" t="inlineStr">
        <is>
          <t>DALARNAS LÄN</t>
        </is>
      </c>
      <c r="E676" t="inlineStr">
        <is>
          <t>HEDEMORA</t>
        </is>
      </c>
      <c r="G676" t="n">
        <v>4</v>
      </c>
      <c r="H676" t="n">
        <v>0</v>
      </c>
      <c r="I676" t="n">
        <v>0</v>
      </c>
      <c r="J676" t="n">
        <v>0</v>
      </c>
      <c r="K676" t="n">
        <v>0</v>
      </c>
      <c r="L676" t="n">
        <v>0</v>
      </c>
      <c r="M676" t="n">
        <v>0</v>
      </c>
      <c r="N676" t="n">
        <v>0</v>
      </c>
      <c r="O676" t="n">
        <v>0</v>
      </c>
      <c r="P676" t="n">
        <v>0</v>
      </c>
      <c r="Q676" t="n">
        <v>0</v>
      </c>
      <c r="R676" s="2" t="inlineStr"/>
    </row>
    <row r="677" ht="15" customHeight="1">
      <c r="A677" t="inlineStr">
        <is>
          <t>A 193-2025</t>
        </is>
      </c>
      <c r="B677" s="1" t="n">
        <v>45649</v>
      </c>
      <c r="C677" s="1" t="n">
        <v>45690</v>
      </c>
      <c r="D677" t="inlineStr">
        <is>
          <t>DALARNAS LÄN</t>
        </is>
      </c>
      <c r="E677" t="inlineStr">
        <is>
          <t>HEDEMORA</t>
        </is>
      </c>
      <c r="G677" t="n">
        <v>2</v>
      </c>
      <c r="H677" t="n">
        <v>0</v>
      </c>
      <c r="I677" t="n">
        <v>0</v>
      </c>
      <c r="J677" t="n">
        <v>0</v>
      </c>
      <c r="K677" t="n">
        <v>0</v>
      </c>
      <c r="L677" t="n">
        <v>0</v>
      </c>
      <c r="M677" t="n">
        <v>0</v>
      </c>
      <c r="N677" t="n">
        <v>0</v>
      </c>
      <c r="O677" t="n">
        <v>0</v>
      </c>
      <c r="P677" t="n">
        <v>0</v>
      </c>
      <c r="Q677" t="n">
        <v>0</v>
      </c>
      <c r="R677" s="2" t="inlineStr"/>
      <c r="U677">
        <f>HYPERLINK("https://klasma.github.io/Logging_2083/knärot/A 193-2025 karta knärot.png", "A 193-2025")</f>
        <v/>
      </c>
      <c r="V677">
        <f>HYPERLINK("https://klasma.github.io/Logging_2083/klagomål/A 193-2025 FSC-klagomål.docx", "A 193-2025")</f>
        <v/>
      </c>
      <c r="W677">
        <f>HYPERLINK("https://klasma.github.io/Logging_2083/klagomålsmail/A 193-2025 FSC-klagomål mail.docx", "A 193-2025")</f>
        <v/>
      </c>
      <c r="X677">
        <f>HYPERLINK("https://klasma.github.io/Logging_2083/tillsyn/A 193-2025 tillsynsbegäran.docx", "A 193-2025")</f>
        <v/>
      </c>
      <c r="Y677">
        <f>HYPERLINK("https://klasma.github.io/Logging_2083/tillsynsmail/A 193-2025 tillsynsbegäran mail.docx", "A 193-2025")</f>
        <v/>
      </c>
    </row>
    <row r="678" ht="15" customHeight="1">
      <c r="A678" t="inlineStr">
        <is>
          <t>A 183-2025</t>
        </is>
      </c>
      <c r="B678" s="1" t="n">
        <v>45659</v>
      </c>
      <c r="C678" s="1" t="n">
        <v>45690</v>
      </c>
      <c r="D678" t="inlineStr">
        <is>
          <t>DALARNAS LÄN</t>
        </is>
      </c>
      <c r="E678" t="inlineStr">
        <is>
          <t>HEDEMORA</t>
        </is>
      </c>
      <c r="G678" t="n">
        <v>2.4</v>
      </c>
      <c r="H678" t="n">
        <v>0</v>
      </c>
      <c r="I678" t="n">
        <v>0</v>
      </c>
      <c r="J678" t="n">
        <v>0</v>
      </c>
      <c r="K678" t="n">
        <v>0</v>
      </c>
      <c r="L678" t="n">
        <v>0</v>
      </c>
      <c r="M678" t="n">
        <v>0</v>
      </c>
      <c r="N678" t="n">
        <v>0</v>
      </c>
      <c r="O678" t="n">
        <v>0</v>
      </c>
      <c r="P678" t="n">
        <v>0</v>
      </c>
      <c r="Q678" t="n">
        <v>0</v>
      </c>
      <c r="R678" s="2" t="inlineStr"/>
    </row>
    <row r="679" ht="15" customHeight="1">
      <c r="A679" t="inlineStr">
        <is>
          <t>A 3593-2025</t>
        </is>
      </c>
      <c r="B679" s="1" t="n">
        <v>45681</v>
      </c>
      <c r="C679" s="1" t="n">
        <v>45690</v>
      </c>
      <c r="D679" t="inlineStr">
        <is>
          <t>DALARNAS LÄN</t>
        </is>
      </c>
      <c r="E679" t="inlineStr">
        <is>
          <t>HEDEMORA</t>
        </is>
      </c>
      <c r="G679" t="n">
        <v>1.5</v>
      </c>
      <c r="H679" t="n">
        <v>0</v>
      </c>
      <c r="I679" t="n">
        <v>0</v>
      </c>
      <c r="J679" t="n">
        <v>0</v>
      </c>
      <c r="K679" t="n">
        <v>0</v>
      </c>
      <c r="L679" t="n">
        <v>0</v>
      </c>
      <c r="M679" t="n">
        <v>0</v>
      </c>
      <c r="N679" t="n">
        <v>0</v>
      </c>
      <c r="O679" t="n">
        <v>0</v>
      </c>
      <c r="P679" t="n">
        <v>0</v>
      </c>
      <c r="Q679" t="n">
        <v>0</v>
      </c>
      <c r="R679" s="2" t="inlineStr"/>
    </row>
    <row r="680" ht="15" customHeight="1">
      <c r="A680" t="inlineStr">
        <is>
          <t>A 3825-2025</t>
        </is>
      </c>
      <c r="B680" s="1" t="n">
        <v>45681</v>
      </c>
      <c r="C680" s="1" t="n">
        <v>45690</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3942-2025</t>
        </is>
      </c>
      <c r="B681" s="1" t="n">
        <v>45684</v>
      </c>
      <c r="C681" s="1" t="n">
        <v>45690</v>
      </c>
      <c r="D681" t="inlineStr">
        <is>
          <t>DALARNAS LÄN</t>
        </is>
      </c>
      <c r="E681" t="inlineStr">
        <is>
          <t>HEDEMORA</t>
        </is>
      </c>
      <c r="G681" t="n">
        <v>6.2</v>
      </c>
      <c r="H681" t="n">
        <v>0</v>
      </c>
      <c r="I681" t="n">
        <v>0</v>
      </c>
      <c r="J681" t="n">
        <v>0</v>
      </c>
      <c r="K681" t="n">
        <v>0</v>
      </c>
      <c r="L681" t="n">
        <v>0</v>
      </c>
      <c r="M681" t="n">
        <v>0</v>
      </c>
      <c r="N681" t="n">
        <v>0</v>
      </c>
      <c r="O681" t="n">
        <v>0</v>
      </c>
      <c r="P681" t="n">
        <v>0</v>
      </c>
      <c r="Q681" t="n">
        <v>0</v>
      </c>
      <c r="R681" s="2" t="inlineStr"/>
    </row>
    <row r="682">
      <c r="A682" t="inlineStr">
        <is>
          <t>A 3940-2025</t>
        </is>
      </c>
      <c r="B682" s="1" t="n">
        <v>45684</v>
      </c>
      <c r="C682" s="1" t="n">
        <v>45690</v>
      </c>
      <c r="D682" t="inlineStr">
        <is>
          <t>DALARNAS LÄN</t>
        </is>
      </c>
      <c r="E682" t="inlineStr">
        <is>
          <t>HEDEMORA</t>
        </is>
      </c>
      <c r="G682" t="n">
        <v>8</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2025-02-02T16:34:10Z</dcterms:created>
  <dcterms:modified xmlns:dcterms="http://purl.org/dc/terms/" xmlns:xsi="http://www.w3.org/2001/XMLSchema-instance" xsi:type="dcterms:W3CDTF">2025-02-02T16:34:10Z</dcterms:modified>
</cp:coreProperties>
</file>