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45506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45506</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45506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45506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45506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45506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45506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45506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45506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45506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45506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45506</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45506</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45506</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45506</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45506</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45506</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45506</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30003-2024</t>
        </is>
      </c>
      <c r="B20" s="1" t="n">
        <v>45488</v>
      </c>
      <c r="C20" s="1" t="n">
        <v>45506</v>
      </c>
      <c r="D20" t="inlineStr">
        <is>
          <t>DALARNAS LÄN</t>
        </is>
      </c>
      <c r="E20" t="inlineStr">
        <is>
          <t>HEDEMORA</t>
        </is>
      </c>
      <c r="G20" t="n">
        <v>10.4</v>
      </c>
      <c r="H20" t="n">
        <v>2</v>
      </c>
      <c r="I20" t="n">
        <v>2</v>
      </c>
      <c r="J20" t="n">
        <v>2</v>
      </c>
      <c r="K20" t="n">
        <v>1</v>
      </c>
      <c r="L20" t="n">
        <v>0</v>
      </c>
      <c r="M20" t="n">
        <v>0</v>
      </c>
      <c r="N20" t="n">
        <v>0</v>
      </c>
      <c r="O20" t="n">
        <v>3</v>
      </c>
      <c r="P20" t="n">
        <v>1</v>
      </c>
      <c r="Q20" t="n">
        <v>5</v>
      </c>
      <c r="R20" s="2" t="inlineStr">
        <is>
          <t>Knärot
Spillkråka
Ullticka
Rödgul trumpetsvamp
Svavelriska</t>
        </is>
      </c>
      <c r="S20">
        <f>HYPERLINK("https://klasma.github.io/Logging_2083/artfynd/A 30003-2024 artfynd.xlsx", "A 30003-2024")</f>
        <v/>
      </c>
      <c r="T20">
        <f>HYPERLINK("https://klasma.github.io/Logging_2083/kartor/A 30003-2024 karta.png", "A 30003-2024")</f>
        <v/>
      </c>
      <c r="U20">
        <f>HYPERLINK("https://klasma.github.io/Logging_2083/knärot/A 30003-2024 karta knärot.png", "A 30003-2024")</f>
        <v/>
      </c>
      <c r="V20">
        <f>HYPERLINK("https://klasma.github.io/Logging_2083/klagomål/A 30003-2024 FSC-klagomål.docx", "A 30003-2024")</f>
        <v/>
      </c>
      <c r="W20">
        <f>HYPERLINK("https://klasma.github.io/Logging_2083/klagomålsmail/A 30003-2024 FSC-klagomål mail.docx", "A 30003-2024")</f>
        <v/>
      </c>
      <c r="X20">
        <f>HYPERLINK("https://klasma.github.io/Logging_2083/tillsyn/A 30003-2024 tillsynsbegäran.docx", "A 30003-2024")</f>
        <v/>
      </c>
      <c r="Y20">
        <f>HYPERLINK("https://klasma.github.io/Logging_2083/tillsynsmail/A 30003-2024 tillsynsbegäran mail.docx", "A 30003-2024")</f>
        <v/>
      </c>
      <c r="Z20">
        <f>HYPERLINK("https://klasma.github.io/Logging_2083/fåglar/A 30003-2024 prioriterade fågelarter.docx", "A 30003-2024")</f>
        <v/>
      </c>
    </row>
    <row r="21" ht="15" customHeight="1">
      <c r="A21" t="inlineStr">
        <is>
          <t>A 49872-2021</t>
        </is>
      </c>
      <c r="B21" s="1" t="n">
        <v>44455</v>
      </c>
      <c r="C21" s="1" t="n">
        <v>45506</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58719-2021</t>
        </is>
      </c>
      <c r="B22" s="1" t="n">
        <v>44489</v>
      </c>
      <c r="C22" s="1" t="n">
        <v>45506</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45506</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46595-2023</t>
        </is>
      </c>
      <c r="B24" s="1" t="n">
        <v>45194</v>
      </c>
      <c r="C24" s="1" t="n">
        <v>45506</v>
      </c>
      <c r="D24" t="inlineStr">
        <is>
          <t>DALARNAS LÄN</t>
        </is>
      </c>
      <c r="E24" t="inlineStr">
        <is>
          <t>HEDEMORA</t>
        </is>
      </c>
      <c r="G24" t="n">
        <v>13.5</v>
      </c>
      <c r="H24" t="n">
        <v>3</v>
      </c>
      <c r="I24" t="n">
        <v>1</v>
      </c>
      <c r="J24" t="n">
        <v>1</v>
      </c>
      <c r="K24" t="n">
        <v>0</v>
      </c>
      <c r="L24" t="n">
        <v>0</v>
      </c>
      <c r="M24" t="n">
        <v>0</v>
      </c>
      <c r="N24" t="n">
        <v>0</v>
      </c>
      <c r="O24" t="n">
        <v>1</v>
      </c>
      <c r="P24" t="n">
        <v>0</v>
      </c>
      <c r="Q24" t="n">
        <v>4</v>
      </c>
      <c r="R24" s="2" t="inlineStr">
        <is>
          <t>Spillkråka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992-2024</t>
        </is>
      </c>
      <c r="B25" s="1" t="n">
        <v>45301</v>
      </c>
      <c r="C25" s="1" t="n">
        <v>45506</v>
      </c>
      <c r="D25" t="inlineStr">
        <is>
          <t>DALARNAS LÄN</t>
        </is>
      </c>
      <c r="E25" t="inlineStr">
        <is>
          <t>HEDEMORA</t>
        </is>
      </c>
      <c r="G25" t="n">
        <v>4.2</v>
      </c>
      <c r="H25" t="n">
        <v>2</v>
      </c>
      <c r="I25" t="n">
        <v>1</v>
      </c>
      <c r="J25" t="n">
        <v>3</v>
      </c>
      <c r="K25" t="n">
        <v>0</v>
      </c>
      <c r="L25" t="n">
        <v>0</v>
      </c>
      <c r="M25" t="n">
        <v>0</v>
      </c>
      <c r="N25" t="n">
        <v>0</v>
      </c>
      <c r="O25" t="n">
        <v>3</v>
      </c>
      <c r="P25" t="n">
        <v>0</v>
      </c>
      <c r="Q25" t="n">
        <v>4</v>
      </c>
      <c r="R25" s="2" t="inlineStr">
        <is>
          <t>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49272-2020</t>
        </is>
      </c>
      <c r="B26" s="1" t="n">
        <v>44105</v>
      </c>
      <c r="C26" s="1" t="n">
        <v>45506</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45506</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45506</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45506</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45506</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45506</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45506</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49294-2019</t>
        </is>
      </c>
      <c r="B33" s="1" t="n">
        <v>43731</v>
      </c>
      <c r="C33" s="1" t="n">
        <v>45506</v>
      </c>
      <c r="D33" t="inlineStr">
        <is>
          <t>DALARNAS LÄN</t>
        </is>
      </c>
      <c r="E33" t="inlineStr">
        <is>
          <t>HEDEMORA</t>
        </is>
      </c>
      <c r="F33" t="inlineStr">
        <is>
          <t>Sveaskog</t>
        </is>
      </c>
      <c r="G33" t="n">
        <v>7.7</v>
      </c>
      <c r="H33" t="n">
        <v>2</v>
      </c>
      <c r="I33" t="n">
        <v>0</v>
      </c>
      <c r="J33" t="n">
        <v>1</v>
      </c>
      <c r="K33" t="n">
        <v>0</v>
      </c>
      <c r="L33" t="n">
        <v>0</v>
      </c>
      <c r="M33" t="n">
        <v>0</v>
      </c>
      <c r="N33" t="n">
        <v>0</v>
      </c>
      <c r="O33" t="n">
        <v>1</v>
      </c>
      <c r="P33" t="n">
        <v>0</v>
      </c>
      <c r="Q33" t="n">
        <v>2</v>
      </c>
      <c r="R33" s="2" t="inlineStr">
        <is>
          <t>Nordfladdermus
Vattenfladdermus</t>
        </is>
      </c>
      <c r="S33">
        <f>HYPERLINK("https://klasma.github.io/Logging_2083/artfynd/A 49294-2019 artfynd.xlsx", "A 49294-2019")</f>
        <v/>
      </c>
      <c r="T33">
        <f>HYPERLINK("https://klasma.github.io/Logging_2083/kartor/A 49294-2019 karta.png", "A 49294-2019")</f>
        <v/>
      </c>
      <c r="V33">
        <f>HYPERLINK("https://klasma.github.io/Logging_2083/klagomål/A 49294-2019 FSC-klagomål.docx", "A 49294-2019")</f>
        <v/>
      </c>
      <c r="W33">
        <f>HYPERLINK("https://klasma.github.io/Logging_2083/klagomålsmail/A 49294-2019 FSC-klagomål mail.docx", "A 49294-2019")</f>
        <v/>
      </c>
      <c r="X33">
        <f>HYPERLINK("https://klasma.github.io/Logging_2083/tillsyn/A 49294-2019 tillsynsbegäran.docx", "A 49294-2019")</f>
        <v/>
      </c>
      <c r="Y33">
        <f>HYPERLINK("https://klasma.github.io/Logging_2083/tillsynsmail/A 49294-2019 tillsynsbegäran mail.docx", "A 49294-2019")</f>
        <v/>
      </c>
    </row>
    <row r="34" ht="15" customHeight="1">
      <c r="A34" t="inlineStr">
        <is>
          <t>A 7808-2020</t>
        </is>
      </c>
      <c r="B34" s="1" t="n">
        <v>43873</v>
      </c>
      <c r="C34" s="1" t="n">
        <v>45506</v>
      </c>
      <c r="D34" t="inlineStr">
        <is>
          <t>DALARNAS LÄN</t>
        </is>
      </c>
      <c r="E34" t="inlineStr">
        <is>
          <t>HEDEMORA</t>
        </is>
      </c>
      <c r="G34" t="n">
        <v>9.1</v>
      </c>
      <c r="H34" t="n">
        <v>1</v>
      </c>
      <c r="I34" t="n">
        <v>0</v>
      </c>
      <c r="J34" t="n">
        <v>1</v>
      </c>
      <c r="K34" t="n">
        <v>1</v>
      </c>
      <c r="L34" t="n">
        <v>0</v>
      </c>
      <c r="M34" t="n">
        <v>0</v>
      </c>
      <c r="N34" t="n">
        <v>0</v>
      </c>
      <c r="O34" t="n">
        <v>2</v>
      </c>
      <c r="P34" t="n">
        <v>1</v>
      </c>
      <c r="Q34" t="n">
        <v>2</v>
      </c>
      <c r="R34" s="2" t="inlineStr">
        <is>
          <t>Knärot
Ullticka</t>
        </is>
      </c>
      <c r="S34">
        <f>HYPERLINK("https://klasma.github.io/Logging_2083/artfynd/A 7808-2020 artfynd.xlsx", "A 7808-2020")</f>
        <v/>
      </c>
      <c r="T34">
        <f>HYPERLINK("https://klasma.github.io/Logging_2083/kartor/A 7808-2020 karta.png", "A 7808-2020")</f>
        <v/>
      </c>
      <c r="U34">
        <f>HYPERLINK("https://klasma.github.io/Logging_2083/knärot/A 7808-2020 karta knärot.png", "A 7808-2020")</f>
        <v/>
      </c>
      <c r="V34">
        <f>HYPERLINK("https://klasma.github.io/Logging_2083/klagomål/A 7808-2020 FSC-klagomål.docx", "A 7808-2020")</f>
        <v/>
      </c>
      <c r="W34">
        <f>HYPERLINK("https://klasma.github.io/Logging_2083/klagomålsmail/A 7808-2020 FSC-klagomål mail.docx", "A 7808-2020")</f>
        <v/>
      </c>
      <c r="X34">
        <f>HYPERLINK("https://klasma.github.io/Logging_2083/tillsyn/A 7808-2020 tillsynsbegäran.docx", "A 7808-2020")</f>
        <v/>
      </c>
      <c r="Y34">
        <f>HYPERLINK("https://klasma.github.io/Logging_2083/tillsynsmail/A 7808-2020 tillsynsbegäran mail.docx", "A 7808-2020")</f>
        <v/>
      </c>
    </row>
    <row r="35" ht="15" customHeight="1">
      <c r="A35" t="inlineStr">
        <is>
          <t>A 15453-2021</t>
        </is>
      </c>
      <c r="B35" s="1" t="n">
        <v>44285</v>
      </c>
      <c r="C35" s="1" t="n">
        <v>45506</v>
      </c>
      <c r="D35" t="inlineStr">
        <is>
          <t>DALARNAS LÄN</t>
        </is>
      </c>
      <c r="E35" t="inlineStr">
        <is>
          <t>HEDEMORA</t>
        </is>
      </c>
      <c r="G35" t="n">
        <v>2.5</v>
      </c>
      <c r="H35" t="n">
        <v>2</v>
      </c>
      <c r="I35" t="n">
        <v>0</v>
      </c>
      <c r="J35" t="n">
        <v>2</v>
      </c>
      <c r="K35" t="n">
        <v>0</v>
      </c>
      <c r="L35" t="n">
        <v>0</v>
      </c>
      <c r="M35" t="n">
        <v>0</v>
      </c>
      <c r="N35" t="n">
        <v>0</v>
      </c>
      <c r="O35" t="n">
        <v>2</v>
      </c>
      <c r="P35" t="n">
        <v>0</v>
      </c>
      <c r="Q35" t="n">
        <v>2</v>
      </c>
      <c r="R35" s="2" t="inlineStr">
        <is>
          <t>Spillkråka
Tretåig hackspett</t>
        </is>
      </c>
      <c r="S35">
        <f>HYPERLINK("https://klasma.github.io/Logging_2083/artfynd/A 15453-2021 artfynd.xlsx", "A 15453-2021")</f>
        <v/>
      </c>
      <c r="T35">
        <f>HYPERLINK("https://klasma.github.io/Logging_2083/kartor/A 15453-2021 karta.png", "A 15453-2021")</f>
        <v/>
      </c>
      <c r="V35">
        <f>HYPERLINK("https://klasma.github.io/Logging_2083/klagomål/A 15453-2021 FSC-klagomål.docx", "A 15453-2021")</f>
        <v/>
      </c>
      <c r="W35">
        <f>HYPERLINK("https://klasma.github.io/Logging_2083/klagomålsmail/A 15453-2021 FSC-klagomål mail.docx", "A 15453-2021")</f>
        <v/>
      </c>
      <c r="X35">
        <f>HYPERLINK("https://klasma.github.io/Logging_2083/tillsyn/A 15453-2021 tillsynsbegäran.docx", "A 15453-2021")</f>
        <v/>
      </c>
      <c r="Y35">
        <f>HYPERLINK("https://klasma.github.io/Logging_2083/tillsynsmail/A 15453-2021 tillsynsbegäran mail.docx", "A 15453-2021")</f>
        <v/>
      </c>
      <c r="Z35">
        <f>HYPERLINK("https://klasma.github.io/Logging_2083/fåglar/A 15453-2021 prioriterade fågelarter.docx", "A 15453-2021")</f>
        <v/>
      </c>
    </row>
    <row r="36" ht="15" customHeight="1">
      <c r="A36" t="inlineStr">
        <is>
          <t>A 28066-2021</t>
        </is>
      </c>
      <c r="B36" s="1" t="n">
        <v>44355</v>
      </c>
      <c r="C36" s="1" t="n">
        <v>45506</v>
      </c>
      <c r="D36" t="inlineStr">
        <is>
          <t>DALARNAS LÄN</t>
        </is>
      </c>
      <c r="E36" t="inlineStr">
        <is>
          <t>HEDEMORA</t>
        </is>
      </c>
      <c r="F36" t="inlineStr">
        <is>
          <t>Sveaskog</t>
        </is>
      </c>
      <c r="G36" t="n">
        <v>1.7</v>
      </c>
      <c r="H36" t="n">
        <v>1</v>
      </c>
      <c r="I36" t="n">
        <v>1</v>
      </c>
      <c r="J36" t="n">
        <v>0</v>
      </c>
      <c r="K36" t="n">
        <v>0</v>
      </c>
      <c r="L36" t="n">
        <v>0</v>
      </c>
      <c r="M36" t="n">
        <v>0</v>
      </c>
      <c r="N36" t="n">
        <v>0</v>
      </c>
      <c r="O36" t="n">
        <v>0</v>
      </c>
      <c r="P36" t="n">
        <v>0</v>
      </c>
      <c r="Q36" t="n">
        <v>2</v>
      </c>
      <c r="R36" s="2" t="inlineStr">
        <is>
          <t>Bronshjon
Vanlig groda</t>
        </is>
      </c>
      <c r="S36">
        <f>HYPERLINK("https://klasma.github.io/Logging_2083/artfynd/A 28066-2021 artfynd.xlsx", "A 28066-2021")</f>
        <v/>
      </c>
      <c r="T36">
        <f>HYPERLINK("https://klasma.github.io/Logging_2083/kartor/A 28066-2021 karta.png", "A 28066-2021")</f>
        <v/>
      </c>
      <c r="V36">
        <f>HYPERLINK("https://klasma.github.io/Logging_2083/klagomål/A 28066-2021 FSC-klagomål.docx", "A 28066-2021")</f>
        <v/>
      </c>
      <c r="W36">
        <f>HYPERLINK("https://klasma.github.io/Logging_2083/klagomålsmail/A 28066-2021 FSC-klagomål mail.docx", "A 28066-2021")</f>
        <v/>
      </c>
      <c r="X36">
        <f>HYPERLINK("https://klasma.github.io/Logging_2083/tillsyn/A 28066-2021 tillsynsbegäran.docx", "A 28066-2021")</f>
        <v/>
      </c>
      <c r="Y36">
        <f>HYPERLINK("https://klasma.github.io/Logging_2083/tillsynsmail/A 28066-2021 tillsynsbegäran mail.docx", "A 28066-2021")</f>
        <v/>
      </c>
    </row>
    <row r="37" ht="15" customHeight="1">
      <c r="A37" t="inlineStr">
        <is>
          <t>A 34361-2021</t>
        </is>
      </c>
      <c r="B37" s="1" t="n">
        <v>44379</v>
      </c>
      <c r="C37" s="1" t="n">
        <v>45506</v>
      </c>
      <c r="D37" t="inlineStr">
        <is>
          <t>DALARNAS LÄN</t>
        </is>
      </c>
      <c r="E37" t="inlineStr">
        <is>
          <t>HEDEMORA</t>
        </is>
      </c>
      <c r="F37" t="inlineStr">
        <is>
          <t>Sveaskog</t>
        </is>
      </c>
      <c r="G37" t="n">
        <v>1</v>
      </c>
      <c r="H37" t="n">
        <v>1</v>
      </c>
      <c r="I37" t="n">
        <v>0</v>
      </c>
      <c r="J37" t="n">
        <v>1</v>
      </c>
      <c r="K37" t="n">
        <v>1</v>
      </c>
      <c r="L37" t="n">
        <v>0</v>
      </c>
      <c r="M37" t="n">
        <v>0</v>
      </c>
      <c r="N37" t="n">
        <v>0</v>
      </c>
      <c r="O37" t="n">
        <v>2</v>
      </c>
      <c r="P37" t="n">
        <v>1</v>
      </c>
      <c r="Q37" t="n">
        <v>2</v>
      </c>
      <c r="R37" s="2" t="inlineStr">
        <is>
          <t>Knärot
Dofttaggsvamp</t>
        </is>
      </c>
      <c r="S37">
        <f>HYPERLINK("https://klasma.github.io/Logging_2083/artfynd/A 34361-2021 artfynd.xlsx", "A 34361-2021")</f>
        <v/>
      </c>
      <c r="T37">
        <f>HYPERLINK("https://klasma.github.io/Logging_2083/kartor/A 34361-2021 karta.png", "A 34361-2021")</f>
        <v/>
      </c>
      <c r="U37">
        <f>HYPERLINK("https://klasma.github.io/Logging_2083/knärot/A 34361-2021 karta knärot.png", "A 34361-2021")</f>
        <v/>
      </c>
      <c r="V37">
        <f>HYPERLINK("https://klasma.github.io/Logging_2083/klagomål/A 34361-2021 FSC-klagomål.docx", "A 34361-2021")</f>
        <v/>
      </c>
      <c r="W37">
        <f>HYPERLINK("https://klasma.github.io/Logging_2083/klagomålsmail/A 34361-2021 FSC-klagomål mail.docx", "A 34361-2021")</f>
        <v/>
      </c>
      <c r="X37">
        <f>HYPERLINK("https://klasma.github.io/Logging_2083/tillsyn/A 34361-2021 tillsynsbegäran.docx", "A 34361-2021")</f>
        <v/>
      </c>
      <c r="Y37">
        <f>HYPERLINK("https://klasma.github.io/Logging_2083/tillsynsmail/A 34361-2021 tillsynsbegäran mail.docx", "A 34361-2021")</f>
        <v/>
      </c>
    </row>
    <row r="38" ht="15" customHeight="1">
      <c r="A38" t="inlineStr">
        <is>
          <t>A 45884-2021</t>
        </is>
      </c>
      <c r="B38" s="1" t="n">
        <v>44441</v>
      </c>
      <c r="C38" s="1" t="n">
        <v>45506</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3152-2022</t>
        </is>
      </c>
      <c r="B39" s="1" t="n">
        <v>44582</v>
      </c>
      <c r="C39" s="1" t="n">
        <v>45506</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4031-2022</t>
        </is>
      </c>
      <c r="B40" s="1" t="n">
        <v>44588</v>
      </c>
      <c r="C40" s="1" t="n">
        <v>45506</v>
      </c>
      <c r="D40" t="inlineStr">
        <is>
          <t>DALARNAS LÄN</t>
        </is>
      </c>
      <c r="E40" t="inlineStr">
        <is>
          <t>HEDEMORA</t>
        </is>
      </c>
      <c r="F40" t="inlineStr">
        <is>
          <t>Kyrkan</t>
        </is>
      </c>
      <c r="G40" t="n">
        <v>4.3</v>
      </c>
      <c r="H40" t="n">
        <v>1</v>
      </c>
      <c r="I40" t="n">
        <v>1</v>
      </c>
      <c r="J40" t="n">
        <v>0</v>
      </c>
      <c r="K40" t="n">
        <v>0</v>
      </c>
      <c r="L40" t="n">
        <v>0</v>
      </c>
      <c r="M40" t="n">
        <v>0</v>
      </c>
      <c r="N40" t="n">
        <v>0</v>
      </c>
      <c r="O40" t="n">
        <v>0</v>
      </c>
      <c r="P40" t="n">
        <v>0</v>
      </c>
      <c r="Q40" t="n">
        <v>2</v>
      </c>
      <c r="R40" s="2" t="inlineStr">
        <is>
          <t>Stubbspretmossa
Blåsippa</t>
        </is>
      </c>
      <c r="S40">
        <f>HYPERLINK("https://klasma.github.io/Logging_2083/artfynd/A 4031-2022 artfynd.xlsx", "A 4031-2022")</f>
        <v/>
      </c>
      <c r="T40">
        <f>HYPERLINK("https://klasma.github.io/Logging_2083/kartor/A 4031-2022 karta.png", "A 4031-2022")</f>
        <v/>
      </c>
      <c r="V40">
        <f>HYPERLINK("https://klasma.github.io/Logging_2083/klagomål/A 4031-2022 FSC-klagomål.docx", "A 4031-2022")</f>
        <v/>
      </c>
      <c r="W40">
        <f>HYPERLINK("https://klasma.github.io/Logging_2083/klagomålsmail/A 4031-2022 FSC-klagomål mail.docx", "A 4031-2022")</f>
        <v/>
      </c>
      <c r="X40">
        <f>HYPERLINK("https://klasma.github.io/Logging_2083/tillsyn/A 4031-2022 tillsynsbegäran.docx", "A 4031-2022")</f>
        <v/>
      </c>
      <c r="Y40">
        <f>HYPERLINK("https://klasma.github.io/Logging_2083/tillsynsmail/A 4031-2022 tillsynsbegäran mail.docx", "A 4031-2022")</f>
        <v/>
      </c>
    </row>
    <row r="41" ht="15" customHeight="1">
      <c r="A41" t="inlineStr">
        <is>
          <t>A 11751-2023</t>
        </is>
      </c>
      <c r="B41" s="1" t="n">
        <v>44994</v>
      </c>
      <c r="C41" s="1" t="n">
        <v>45506</v>
      </c>
      <c r="D41" t="inlineStr">
        <is>
          <t>DALARNAS LÄN</t>
        </is>
      </c>
      <c r="E41" t="inlineStr">
        <is>
          <t>HEDEMORA</t>
        </is>
      </c>
      <c r="G41" t="n">
        <v>3.7</v>
      </c>
      <c r="H41" t="n">
        <v>1</v>
      </c>
      <c r="I41" t="n">
        <v>0</v>
      </c>
      <c r="J41" t="n">
        <v>1</v>
      </c>
      <c r="K41" t="n">
        <v>0</v>
      </c>
      <c r="L41" t="n">
        <v>0</v>
      </c>
      <c r="M41" t="n">
        <v>0</v>
      </c>
      <c r="N41" t="n">
        <v>0</v>
      </c>
      <c r="O41" t="n">
        <v>1</v>
      </c>
      <c r="P41" t="n">
        <v>0</v>
      </c>
      <c r="Q41" t="n">
        <v>2</v>
      </c>
      <c r="R41" s="2" t="inlineStr">
        <is>
          <t>Vedtrappmossa
Blåsippa</t>
        </is>
      </c>
      <c r="S41">
        <f>HYPERLINK("https://klasma.github.io/Logging_2083/artfynd/A 11751-2023 artfynd.xlsx", "A 11751-2023")</f>
        <v/>
      </c>
      <c r="T41">
        <f>HYPERLINK("https://klasma.github.io/Logging_2083/kartor/A 11751-2023 karta.png", "A 11751-2023")</f>
        <v/>
      </c>
      <c r="V41">
        <f>HYPERLINK("https://klasma.github.io/Logging_2083/klagomål/A 11751-2023 FSC-klagomål.docx", "A 11751-2023")</f>
        <v/>
      </c>
      <c r="W41">
        <f>HYPERLINK("https://klasma.github.io/Logging_2083/klagomålsmail/A 11751-2023 FSC-klagomål mail.docx", "A 11751-2023")</f>
        <v/>
      </c>
      <c r="X41">
        <f>HYPERLINK("https://klasma.github.io/Logging_2083/tillsyn/A 11751-2023 tillsynsbegäran.docx", "A 11751-2023")</f>
        <v/>
      </c>
      <c r="Y41">
        <f>HYPERLINK("https://klasma.github.io/Logging_2083/tillsynsmail/A 11751-2023 tillsynsbegäran mail.docx", "A 11751-2023")</f>
        <v/>
      </c>
    </row>
    <row r="42" ht="15" customHeight="1">
      <c r="A42" t="inlineStr">
        <is>
          <t>A 13916-2023</t>
        </is>
      </c>
      <c r="B42" s="1" t="n">
        <v>45008</v>
      </c>
      <c r="C42" s="1" t="n">
        <v>45506</v>
      </c>
      <c r="D42" t="inlineStr">
        <is>
          <t>DALARNAS LÄN</t>
        </is>
      </c>
      <c r="E42" t="inlineStr">
        <is>
          <t>HEDEMORA</t>
        </is>
      </c>
      <c r="G42" t="n">
        <v>3.9</v>
      </c>
      <c r="H42" t="n">
        <v>1</v>
      </c>
      <c r="I42" t="n">
        <v>0</v>
      </c>
      <c r="J42" t="n">
        <v>1</v>
      </c>
      <c r="K42" t="n">
        <v>1</v>
      </c>
      <c r="L42" t="n">
        <v>0</v>
      </c>
      <c r="M42" t="n">
        <v>0</v>
      </c>
      <c r="N42" t="n">
        <v>0</v>
      </c>
      <c r="O42" t="n">
        <v>2</v>
      </c>
      <c r="P42" t="n">
        <v>1</v>
      </c>
      <c r="Q42" t="n">
        <v>2</v>
      </c>
      <c r="R42" s="2" t="inlineStr">
        <is>
          <t>Knärot
Skrovlig flatbagge</t>
        </is>
      </c>
      <c r="S42">
        <f>HYPERLINK("https://klasma.github.io/Logging_2083/artfynd/A 13916-2023 artfynd.xlsx", "A 13916-2023")</f>
        <v/>
      </c>
      <c r="T42">
        <f>HYPERLINK("https://klasma.github.io/Logging_2083/kartor/A 13916-2023 karta.png", "A 13916-2023")</f>
        <v/>
      </c>
      <c r="U42">
        <f>HYPERLINK("https://klasma.github.io/Logging_2083/knärot/A 13916-2023 karta knärot.png", "A 13916-2023")</f>
        <v/>
      </c>
      <c r="V42">
        <f>HYPERLINK("https://klasma.github.io/Logging_2083/klagomål/A 13916-2023 FSC-klagomål.docx", "A 13916-2023")</f>
        <v/>
      </c>
      <c r="W42">
        <f>HYPERLINK("https://klasma.github.io/Logging_2083/klagomålsmail/A 13916-2023 FSC-klagomål mail.docx", "A 13916-2023")</f>
        <v/>
      </c>
      <c r="X42">
        <f>HYPERLINK("https://klasma.github.io/Logging_2083/tillsyn/A 13916-2023 tillsynsbegäran.docx", "A 13916-2023")</f>
        <v/>
      </c>
      <c r="Y42">
        <f>HYPERLINK("https://klasma.github.io/Logging_2083/tillsynsmail/A 13916-2023 tillsynsbegäran mail.docx", "A 13916-2023")</f>
        <v/>
      </c>
    </row>
    <row r="43" ht="15" customHeight="1">
      <c r="A43" t="inlineStr">
        <is>
          <t>A 13989-2023</t>
        </is>
      </c>
      <c r="B43" s="1" t="n">
        <v>45008</v>
      </c>
      <c r="C43" s="1" t="n">
        <v>45506</v>
      </c>
      <c r="D43" t="inlineStr">
        <is>
          <t>DALARNAS LÄN</t>
        </is>
      </c>
      <c r="E43" t="inlineStr">
        <is>
          <t>HEDEMORA</t>
        </is>
      </c>
      <c r="G43" t="n">
        <v>1.2</v>
      </c>
      <c r="H43" t="n">
        <v>1</v>
      </c>
      <c r="I43" t="n">
        <v>1</v>
      </c>
      <c r="J43" t="n">
        <v>0</v>
      </c>
      <c r="K43" t="n">
        <v>1</v>
      </c>
      <c r="L43" t="n">
        <v>0</v>
      </c>
      <c r="M43" t="n">
        <v>0</v>
      </c>
      <c r="N43" t="n">
        <v>0</v>
      </c>
      <c r="O43" t="n">
        <v>1</v>
      </c>
      <c r="P43" t="n">
        <v>1</v>
      </c>
      <c r="Q43" t="n">
        <v>2</v>
      </c>
      <c r="R43" s="2" t="inlineStr">
        <is>
          <t>Knärot
Bronshjon</t>
        </is>
      </c>
      <c r="S43">
        <f>HYPERLINK("https://klasma.github.io/Logging_2083/artfynd/A 13989-2023 artfynd.xlsx", "A 13989-2023")</f>
        <v/>
      </c>
      <c r="T43">
        <f>HYPERLINK("https://klasma.github.io/Logging_2083/kartor/A 13989-2023 karta.png", "A 13989-2023")</f>
        <v/>
      </c>
      <c r="U43">
        <f>HYPERLINK("https://klasma.github.io/Logging_2083/knärot/A 13989-2023 karta knärot.png", "A 13989-2023")</f>
        <v/>
      </c>
      <c r="V43">
        <f>HYPERLINK("https://klasma.github.io/Logging_2083/klagomål/A 13989-2023 FSC-klagomål.docx", "A 13989-2023")</f>
        <v/>
      </c>
      <c r="W43">
        <f>HYPERLINK("https://klasma.github.io/Logging_2083/klagomålsmail/A 13989-2023 FSC-klagomål mail.docx", "A 13989-2023")</f>
        <v/>
      </c>
      <c r="X43">
        <f>HYPERLINK("https://klasma.github.io/Logging_2083/tillsyn/A 13989-2023 tillsynsbegäran.docx", "A 13989-2023")</f>
        <v/>
      </c>
      <c r="Y43">
        <f>HYPERLINK("https://klasma.github.io/Logging_2083/tillsynsmail/A 13989-2023 tillsynsbegäran mail.docx", "A 13989-2023")</f>
        <v/>
      </c>
    </row>
    <row r="44" ht="15" customHeight="1">
      <c r="A44" t="inlineStr">
        <is>
          <t>A 30944-2023</t>
        </is>
      </c>
      <c r="B44" s="1" t="n">
        <v>45113</v>
      </c>
      <c r="C44" s="1" t="n">
        <v>45506</v>
      </c>
      <c r="D44" t="inlineStr">
        <is>
          <t>DALARNAS LÄN</t>
        </is>
      </c>
      <c r="E44" t="inlineStr">
        <is>
          <t>HEDEMORA</t>
        </is>
      </c>
      <c r="F44" t="inlineStr">
        <is>
          <t>Sveaskog</t>
        </is>
      </c>
      <c r="G44" t="n">
        <v>5.3</v>
      </c>
      <c r="H44" t="n">
        <v>2</v>
      </c>
      <c r="I44" t="n">
        <v>0</v>
      </c>
      <c r="J44" t="n">
        <v>0</v>
      </c>
      <c r="K44" t="n">
        <v>1</v>
      </c>
      <c r="L44" t="n">
        <v>0</v>
      </c>
      <c r="M44" t="n">
        <v>0</v>
      </c>
      <c r="N44" t="n">
        <v>0</v>
      </c>
      <c r="O44" t="n">
        <v>1</v>
      </c>
      <c r="P44" t="n">
        <v>1</v>
      </c>
      <c r="Q44" t="n">
        <v>2</v>
      </c>
      <c r="R44" s="2" t="inlineStr">
        <is>
          <t>Knärot
Fläcknycklar</t>
        </is>
      </c>
      <c r="S44">
        <f>HYPERLINK("https://klasma.github.io/Logging_2083/artfynd/A 30944-2023 artfynd.xlsx", "A 30944-2023")</f>
        <v/>
      </c>
      <c r="T44">
        <f>HYPERLINK("https://klasma.github.io/Logging_2083/kartor/A 30944-2023 karta.png", "A 30944-2023")</f>
        <v/>
      </c>
      <c r="U44">
        <f>HYPERLINK("https://klasma.github.io/Logging_2083/knärot/A 30944-2023 karta knärot.png", "A 30944-2023")</f>
        <v/>
      </c>
      <c r="V44">
        <f>HYPERLINK("https://klasma.github.io/Logging_2083/klagomål/A 30944-2023 FSC-klagomål.docx", "A 30944-2023")</f>
        <v/>
      </c>
      <c r="W44">
        <f>HYPERLINK("https://klasma.github.io/Logging_2083/klagomålsmail/A 30944-2023 FSC-klagomål mail.docx", "A 30944-2023")</f>
        <v/>
      </c>
      <c r="X44">
        <f>HYPERLINK("https://klasma.github.io/Logging_2083/tillsyn/A 30944-2023 tillsynsbegäran.docx", "A 30944-2023")</f>
        <v/>
      </c>
      <c r="Y44">
        <f>HYPERLINK("https://klasma.github.io/Logging_2083/tillsynsmail/A 30944-2023 tillsynsbegäran mail.docx", "A 30944-2023")</f>
        <v/>
      </c>
    </row>
    <row r="45" ht="15" customHeight="1">
      <c r="A45" t="inlineStr">
        <is>
          <t>A 59035-2023</t>
        </is>
      </c>
      <c r="B45" s="1" t="n">
        <v>45252</v>
      </c>
      <c r="C45" s="1" t="n">
        <v>45506</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64277-2023</t>
        </is>
      </c>
      <c r="B46" s="1" t="n">
        <v>45280</v>
      </c>
      <c r="C46" s="1" t="n">
        <v>45506</v>
      </c>
      <c r="D46" t="inlineStr">
        <is>
          <t>DALARNAS LÄN</t>
        </is>
      </c>
      <c r="E46" t="inlineStr">
        <is>
          <t>HEDEMORA</t>
        </is>
      </c>
      <c r="G46" t="n">
        <v>3.1</v>
      </c>
      <c r="H46" t="n">
        <v>0</v>
      </c>
      <c r="I46" t="n">
        <v>2</v>
      </c>
      <c r="J46" t="n">
        <v>0</v>
      </c>
      <c r="K46" t="n">
        <v>0</v>
      </c>
      <c r="L46" t="n">
        <v>0</v>
      </c>
      <c r="M46" t="n">
        <v>0</v>
      </c>
      <c r="N46" t="n">
        <v>0</v>
      </c>
      <c r="O46" t="n">
        <v>0</v>
      </c>
      <c r="P46" t="n">
        <v>0</v>
      </c>
      <c r="Q46" t="n">
        <v>2</v>
      </c>
      <c r="R46" s="2" t="inlineStr">
        <is>
          <t>Bronshjon
Thomsons trägnagare</t>
        </is>
      </c>
      <c r="S46">
        <f>HYPERLINK("https://klasma.github.io/Logging_2083/artfynd/A 64277-2023 artfynd.xlsx", "A 64277-2023")</f>
        <v/>
      </c>
      <c r="T46">
        <f>HYPERLINK("https://klasma.github.io/Logging_2083/kartor/A 64277-2023 karta.png", "A 64277-2023")</f>
        <v/>
      </c>
      <c r="V46">
        <f>HYPERLINK("https://klasma.github.io/Logging_2083/klagomål/A 64277-2023 FSC-klagomål.docx", "A 64277-2023")</f>
        <v/>
      </c>
      <c r="W46">
        <f>HYPERLINK("https://klasma.github.io/Logging_2083/klagomålsmail/A 64277-2023 FSC-klagomål mail.docx", "A 64277-2023")</f>
        <v/>
      </c>
      <c r="X46">
        <f>HYPERLINK("https://klasma.github.io/Logging_2083/tillsyn/A 64277-2023 tillsynsbegäran.docx", "A 64277-2023")</f>
        <v/>
      </c>
      <c r="Y46">
        <f>HYPERLINK("https://klasma.github.io/Logging_2083/tillsynsmail/A 64277-2023 tillsynsbegäran mail.docx", "A 64277-2023")</f>
        <v/>
      </c>
    </row>
    <row r="47" ht="15" customHeight="1">
      <c r="A47" t="inlineStr">
        <is>
          <t>A 19352-2024</t>
        </is>
      </c>
      <c r="B47" s="1" t="n">
        <v>45429</v>
      </c>
      <c r="C47" s="1" t="n">
        <v>45506</v>
      </c>
      <c r="D47" t="inlineStr">
        <is>
          <t>DALARNAS LÄN</t>
        </is>
      </c>
      <c r="E47" t="inlineStr">
        <is>
          <t>HEDEMORA</t>
        </is>
      </c>
      <c r="F47" t="inlineStr">
        <is>
          <t>Sveaskog</t>
        </is>
      </c>
      <c r="G47" t="n">
        <v>22.6</v>
      </c>
      <c r="H47" t="n">
        <v>1</v>
      </c>
      <c r="I47" t="n">
        <v>0</v>
      </c>
      <c r="J47" t="n">
        <v>1</v>
      </c>
      <c r="K47" t="n">
        <v>0</v>
      </c>
      <c r="L47" t="n">
        <v>0</v>
      </c>
      <c r="M47" t="n">
        <v>0</v>
      </c>
      <c r="N47" t="n">
        <v>0</v>
      </c>
      <c r="O47" t="n">
        <v>1</v>
      </c>
      <c r="P47" t="n">
        <v>0</v>
      </c>
      <c r="Q47" t="n">
        <v>2</v>
      </c>
      <c r="R47" s="2" t="inlineStr">
        <is>
          <t>Ullticka
Blåsippa</t>
        </is>
      </c>
      <c r="S47">
        <f>HYPERLINK("https://klasma.github.io/Logging_2083/artfynd/A 19352-2024 artfynd.xlsx", "A 19352-2024")</f>
        <v/>
      </c>
      <c r="T47">
        <f>HYPERLINK("https://klasma.github.io/Logging_2083/kartor/A 19352-2024 karta.png", "A 19352-2024")</f>
        <v/>
      </c>
      <c r="V47">
        <f>HYPERLINK("https://klasma.github.io/Logging_2083/klagomål/A 19352-2024 FSC-klagomål.docx", "A 19352-2024")</f>
        <v/>
      </c>
      <c r="W47">
        <f>HYPERLINK("https://klasma.github.io/Logging_2083/klagomålsmail/A 19352-2024 FSC-klagomål mail.docx", "A 19352-2024")</f>
        <v/>
      </c>
      <c r="X47">
        <f>HYPERLINK("https://klasma.github.io/Logging_2083/tillsyn/A 19352-2024 tillsynsbegäran.docx", "A 19352-2024")</f>
        <v/>
      </c>
      <c r="Y47">
        <f>HYPERLINK("https://klasma.github.io/Logging_2083/tillsynsmail/A 19352-2024 tillsynsbegäran mail.docx", "A 19352-2024")</f>
        <v/>
      </c>
    </row>
    <row r="48" ht="15" customHeight="1">
      <c r="A48" t="inlineStr">
        <is>
          <t>A 9058-2020</t>
        </is>
      </c>
      <c r="B48" s="1" t="n">
        <v>43879</v>
      </c>
      <c r="C48" s="1" t="n">
        <v>45506</v>
      </c>
      <c r="D48" t="inlineStr">
        <is>
          <t>DALARNAS LÄN</t>
        </is>
      </c>
      <c r="E48" t="inlineStr">
        <is>
          <t>HEDEMORA</t>
        </is>
      </c>
      <c r="G48" t="n">
        <v>0.5</v>
      </c>
      <c r="H48" t="n">
        <v>0</v>
      </c>
      <c r="I48" t="n">
        <v>1</v>
      </c>
      <c r="J48" t="n">
        <v>0</v>
      </c>
      <c r="K48" t="n">
        <v>0</v>
      </c>
      <c r="L48" t="n">
        <v>0</v>
      </c>
      <c r="M48" t="n">
        <v>0</v>
      </c>
      <c r="N48" t="n">
        <v>0</v>
      </c>
      <c r="O48" t="n">
        <v>0</v>
      </c>
      <c r="P48" t="n">
        <v>0</v>
      </c>
      <c r="Q48" t="n">
        <v>1</v>
      </c>
      <c r="R48" s="2" t="inlineStr">
        <is>
          <t>Tibast</t>
        </is>
      </c>
      <c r="S48">
        <f>HYPERLINK("https://klasma.github.io/Logging_2083/artfynd/A 9058-2020 artfynd.xlsx", "A 9058-2020")</f>
        <v/>
      </c>
      <c r="T48">
        <f>HYPERLINK("https://klasma.github.io/Logging_2083/kartor/A 9058-2020 karta.png", "A 9058-2020")</f>
        <v/>
      </c>
      <c r="V48">
        <f>HYPERLINK("https://klasma.github.io/Logging_2083/klagomål/A 9058-2020 FSC-klagomål.docx", "A 9058-2020")</f>
        <v/>
      </c>
      <c r="W48">
        <f>HYPERLINK("https://klasma.github.io/Logging_2083/klagomålsmail/A 9058-2020 FSC-klagomål mail.docx", "A 9058-2020")</f>
        <v/>
      </c>
      <c r="X48">
        <f>HYPERLINK("https://klasma.github.io/Logging_2083/tillsyn/A 9058-2020 tillsynsbegäran.docx", "A 9058-2020")</f>
        <v/>
      </c>
      <c r="Y48">
        <f>HYPERLINK("https://klasma.github.io/Logging_2083/tillsynsmail/A 9058-2020 tillsynsbegäran mail.docx", "A 9058-2020")</f>
        <v/>
      </c>
    </row>
    <row r="49" ht="15" customHeight="1">
      <c r="A49" t="inlineStr">
        <is>
          <t>A 9056-2020</t>
        </is>
      </c>
      <c r="B49" s="1" t="n">
        <v>43879</v>
      </c>
      <c r="C49" s="1" t="n">
        <v>45506</v>
      </c>
      <c r="D49" t="inlineStr">
        <is>
          <t>DALARNAS LÄN</t>
        </is>
      </c>
      <c r="E49" t="inlineStr">
        <is>
          <t>HEDEMORA</t>
        </is>
      </c>
      <c r="G49" t="n">
        <v>1.4</v>
      </c>
      <c r="H49" t="n">
        <v>0</v>
      </c>
      <c r="I49" t="n">
        <v>0</v>
      </c>
      <c r="J49" t="n">
        <v>1</v>
      </c>
      <c r="K49" t="n">
        <v>0</v>
      </c>
      <c r="L49" t="n">
        <v>0</v>
      </c>
      <c r="M49" t="n">
        <v>0</v>
      </c>
      <c r="N49" t="n">
        <v>0</v>
      </c>
      <c r="O49" t="n">
        <v>1</v>
      </c>
      <c r="P49" t="n">
        <v>0</v>
      </c>
      <c r="Q49" t="n">
        <v>1</v>
      </c>
      <c r="R49" s="2" t="inlineStr">
        <is>
          <t>Garnlav</t>
        </is>
      </c>
      <c r="S49">
        <f>HYPERLINK("https://klasma.github.io/Logging_2083/artfynd/A 9056-2020 artfynd.xlsx", "A 9056-2020")</f>
        <v/>
      </c>
      <c r="T49">
        <f>HYPERLINK("https://klasma.github.io/Logging_2083/kartor/A 9056-2020 karta.png", "A 9056-2020")</f>
        <v/>
      </c>
      <c r="V49">
        <f>HYPERLINK("https://klasma.github.io/Logging_2083/klagomål/A 9056-2020 FSC-klagomål.docx", "A 9056-2020")</f>
        <v/>
      </c>
      <c r="W49">
        <f>HYPERLINK("https://klasma.github.io/Logging_2083/klagomålsmail/A 9056-2020 FSC-klagomål mail.docx", "A 9056-2020")</f>
        <v/>
      </c>
      <c r="X49">
        <f>HYPERLINK("https://klasma.github.io/Logging_2083/tillsyn/A 9056-2020 tillsynsbegäran.docx", "A 9056-2020")</f>
        <v/>
      </c>
      <c r="Y49">
        <f>HYPERLINK("https://klasma.github.io/Logging_2083/tillsynsmail/A 9056-2020 tillsynsbegäran mail.docx", "A 9056-2020")</f>
        <v/>
      </c>
    </row>
    <row r="50" ht="15" customHeight="1">
      <c r="A50" t="inlineStr">
        <is>
          <t>A 11129-2020</t>
        </is>
      </c>
      <c r="B50" s="1" t="n">
        <v>43889</v>
      </c>
      <c r="C50" s="1" t="n">
        <v>45506</v>
      </c>
      <c r="D50" t="inlineStr">
        <is>
          <t>DALARNAS LÄN</t>
        </is>
      </c>
      <c r="E50" t="inlineStr">
        <is>
          <t>HEDEMORA</t>
        </is>
      </c>
      <c r="G50" t="n">
        <v>2.1</v>
      </c>
      <c r="H50" t="n">
        <v>0</v>
      </c>
      <c r="I50" t="n">
        <v>1</v>
      </c>
      <c r="J50" t="n">
        <v>0</v>
      </c>
      <c r="K50" t="n">
        <v>0</v>
      </c>
      <c r="L50" t="n">
        <v>0</v>
      </c>
      <c r="M50" t="n">
        <v>0</v>
      </c>
      <c r="N50" t="n">
        <v>0</v>
      </c>
      <c r="O50" t="n">
        <v>0</v>
      </c>
      <c r="P50" t="n">
        <v>0</v>
      </c>
      <c r="Q50" t="n">
        <v>1</v>
      </c>
      <c r="R50" s="2" t="inlineStr">
        <is>
          <t>Bollvitmossa</t>
        </is>
      </c>
      <c r="S50">
        <f>HYPERLINK("https://klasma.github.io/Logging_2083/artfynd/A 11129-2020 artfynd.xlsx", "A 11129-2020")</f>
        <v/>
      </c>
      <c r="T50">
        <f>HYPERLINK("https://klasma.github.io/Logging_2083/kartor/A 11129-2020 karta.png", "A 11129-2020")</f>
        <v/>
      </c>
      <c r="V50">
        <f>HYPERLINK("https://klasma.github.io/Logging_2083/klagomål/A 11129-2020 FSC-klagomål.docx", "A 11129-2020")</f>
        <v/>
      </c>
      <c r="W50">
        <f>HYPERLINK("https://klasma.github.io/Logging_2083/klagomålsmail/A 11129-2020 FSC-klagomål mail.docx", "A 11129-2020")</f>
        <v/>
      </c>
      <c r="X50">
        <f>HYPERLINK("https://klasma.github.io/Logging_2083/tillsyn/A 11129-2020 tillsynsbegäran.docx", "A 11129-2020")</f>
        <v/>
      </c>
      <c r="Y50">
        <f>HYPERLINK("https://klasma.github.io/Logging_2083/tillsynsmail/A 11129-2020 tillsynsbegäran mail.docx", "A 11129-2020")</f>
        <v/>
      </c>
    </row>
    <row r="51" ht="15" customHeight="1">
      <c r="A51" t="inlineStr">
        <is>
          <t>A 17882-2020</t>
        </is>
      </c>
      <c r="B51" s="1" t="n">
        <v>43924</v>
      </c>
      <c r="C51" s="1" t="n">
        <v>45506</v>
      </c>
      <c r="D51" t="inlineStr">
        <is>
          <t>DALARNAS LÄN</t>
        </is>
      </c>
      <c r="E51" t="inlineStr">
        <is>
          <t>HEDEMORA</t>
        </is>
      </c>
      <c r="G51" t="n">
        <v>9.300000000000001</v>
      </c>
      <c r="H51" t="n">
        <v>1</v>
      </c>
      <c r="I51" t="n">
        <v>0</v>
      </c>
      <c r="J51" t="n">
        <v>0</v>
      </c>
      <c r="K51" t="n">
        <v>0</v>
      </c>
      <c r="L51" t="n">
        <v>0</v>
      </c>
      <c r="M51" t="n">
        <v>0</v>
      </c>
      <c r="N51" t="n">
        <v>0</v>
      </c>
      <c r="O51" t="n">
        <v>0</v>
      </c>
      <c r="P51" t="n">
        <v>0</v>
      </c>
      <c r="Q51" t="n">
        <v>1</v>
      </c>
      <c r="R51" s="2" t="inlineStr">
        <is>
          <t>Tjäder</t>
        </is>
      </c>
      <c r="S51">
        <f>HYPERLINK("https://klasma.github.io/Logging_2083/artfynd/A 17882-2020 artfynd.xlsx", "A 17882-2020")</f>
        <v/>
      </c>
      <c r="T51">
        <f>HYPERLINK("https://klasma.github.io/Logging_2083/kartor/A 17882-2020 karta.png", "A 17882-2020")</f>
        <v/>
      </c>
      <c r="V51">
        <f>HYPERLINK("https://klasma.github.io/Logging_2083/klagomål/A 17882-2020 FSC-klagomål.docx", "A 17882-2020")</f>
        <v/>
      </c>
      <c r="W51">
        <f>HYPERLINK("https://klasma.github.io/Logging_2083/klagomålsmail/A 17882-2020 FSC-klagomål mail.docx", "A 17882-2020")</f>
        <v/>
      </c>
      <c r="X51">
        <f>HYPERLINK("https://klasma.github.io/Logging_2083/tillsyn/A 17882-2020 tillsynsbegäran.docx", "A 17882-2020")</f>
        <v/>
      </c>
      <c r="Y51">
        <f>HYPERLINK("https://klasma.github.io/Logging_2083/tillsynsmail/A 17882-2020 tillsynsbegäran mail.docx", "A 17882-2020")</f>
        <v/>
      </c>
      <c r="Z51">
        <f>HYPERLINK("https://klasma.github.io/Logging_2083/fåglar/A 17882-2020 prioriterade fågelarter.docx", "A 17882-2020")</f>
        <v/>
      </c>
    </row>
    <row r="52" ht="15" customHeight="1">
      <c r="A52" t="inlineStr">
        <is>
          <t>A 29857-2020</t>
        </is>
      </c>
      <c r="B52" s="1" t="n">
        <v>44006</v>
      </c>
      <c r="C52" s="1" t="n">
        <v>45506</v>
      </c>
      <c r="D52" t="inlineStr">
        <is>
          <t>DALARNAS LÄN</t>
        </is>
      </c>
      <c r="E52" t="inlineStr">
        <is>
          <t>HEDEMORA</t>
        </is>
      </c>
      <c r="G52" t="n">
        <v>0.4</v>
      </c>
      <c r="H52" t="n">
        <v>1</v>
      </c>
      <c r="I52" t="n">
        <v>0</v>
      </c>
      <c r="J52" t="n">
        <v>1</v>
      </c>
      <c r="K52" t="n">
        <v>0</v>
      </c>
      <c r="L52" t="n">
        <v>0</v>
      </c>
      <c r="M52" t="n">
        <v>0</v>
      </c>
      <c r="N52" t="n">
        <v>0</v>
      </c>
      <c r="O52" t="n">
        <v>1</v>
      </c>
      <c r="P52" t="n">
        <v>0</v>
      </c>
      <c r="Q52" t="n">
        <v>1</v>
      </c>
      <c r="R52" s="2" t="inlineStr">
        <is>
          <t>Gulsparv</t>
        </is>
      </c>
      <c r="S52">
        <f>HYPERLINK("https://klasma.github.io/Logging_2083/artfynd/A 29857-2020 artfynd.xlsx", "A 29857-2020")</f>
        <v/>
      </c>
      <c r="T52">
        <f>HYPERLINK("https://klasma.github.io/Logging_2083/kartor/A 29857-2020 karta.png", "A 29857-2020")</f>
        <v/>
      </c>
      <c r="V52">
        <f>HYPERLINK("https://klasma.github.io/Logging_2083/klagomål/A 29857-2020 FSC-klagomål.docx", "A 29857-2020")</f>
        <v/>
      </c>
      <c r="W52">
        <f>HYPERLINK("https://klasma.github.io/Logging_2083/klagomålsmail/A 29857-2020 FSC-klagomål mail.docx", "A 29857-2020")</f>
        <v/>
      </c>
      <c r="X52">
        <f>HYPERLINK("https://klasma.github.io/Logging_2083/tillsyn/A 29857-2020 tillsynsbegäran.docx", "A 29857-2020")</f>
        <v/>
      </c>
      <c r="Y52">
        <f>HYPERLINK("https://klasma.github.io/Logging_2083/tillsynsmail/A 29857-2020 tillsynsbegäran mail.docx", "A 29857-2020")</f>
        <v/>
      </c>
      <c r="Z52">
        <f>HYPERLINK("https://klasma.github.io/Logging_2083/fåglar/A 29857-2020 prioriterade fågelarter.docx", "A 29857-2020")</f>
        <v/>
      </c>
    </row>
    <row r="53" ht="15" customHeight="1">
      <c r="A53" t="inlineStr">
        <is>
          <t>A 49767-2020</t>
        </is>
      </c>
      <c r="B53" s="1" t="n">
        <v>44106</v>
      </c>
      <c r="C53" s="1" t="n">
        <v>45506</v>
      </c>
      <c r="D53" t="inlineStr">
        <is>
          <t>DALARNAS LÄN</t>
        </is>
      </c>
      <c r="E53" t="inlineStr">
        <is>
          <t>HEDEMORA</t>
        </is>
      </c>
      <c r="F53" t="inlineStr">
        <is>
          <t>Sveaskog</t>
        </is>
      </c>
      <c r="G53" t="n">
        <v>6.1</v>
      </c>
      <c r="H53" t="n">
        <v>1</v>
      </c>
      <c r="I53" t="n">
        <v>0</v>
      </c>
      <c r="J53" t="n">
        <v>0</v>
      </c>
      <c r="K53" t="n">
        <v>1</v>
      </c>
      <c r="L53" t="n">
        <v>0</v>
      </c>
      <c r="M53" t="n">
        <v>0</v>
      </c>
      <c r="N53" t="n">
        <v>0</v>
      </c>
      <c r="O53" t="n">
        <v>1</v>
      </c>
      <c r="P53" t="n">
        <v>1</v>
      </c>
      <c r="Q53" t="n">
        <v>1</v>
      </c>
      <c r="R53" s="2" t="inlineStr">
        <is>
          <t>Knärot</t>
        </is>
      </c>
      <c r="S53">
        <f>HYPERLINK("https://klasma.github.io/Logging_2083/artfynd/A 49767-2020 artfynd.xlsx", "A 49767-2020")</f>
        <v/>
      </c>
      <c r="T53">
        <f>HYPERLINK("https://klasma.github.io/Logging_2083/kartor/A 49767-2020 karta.png", "A 49767-2020")</f>
        <v/>
      </c>
      <c r="U53">
        <f>HYPERLINK("https://klasma.github.io/Logging_2083/knärot/A 49767-2020 karta knärot.png", "A 49767-2020")</f>
        <v/>
      </c>
      <c r="V53">
        <f>HYPERLINK("https://klasma.github.io/Logging_2083/klagomål/A 49767-2020 FSC-klagomål.docx", "A 49767-2020")</f>
        <v/>
      </c>
      <c r="W53">
        <f>HYPERLINK("https://klasma.github.io/Logging_2083/klagomålsmail/A 49767-2020 FSC-klagomål mail.docx", "A 49767-2020")</f>
        <v/>
      </c>
      <c r="X53">
        <f>HYPERLINK("https://klasma.github.io/Logging_2083/tillsyn/A 49767-2020 tillsynsbegäran.docx", "A 49767-2020")</f>
        <v/>
      </c>
      <c r="Y53">
        <f>HYPERLINK("https://klasma.github.io/Logging_2083/tillsynsmail/A 49767-2020 tillsynsbegäran mail.docx", "A 49767-2020")</f>
        <v/>
      </c>
    </row>
    <row r="54" ht="15" customHeight="1">
      <c r="A54" t="inlineStr">
        <is>
          <t>A 49768-2020</t>
        </is>
      </c>
      <c r="B54" s="1" t="n">
        <v>44106</v>
      </c>
      <c r="C54" s="1" t="n">
        <v>45506</v>
      </c>
      <c r="D54" t="inlineStr">
        <is>
          <t>DALARNAS LÄN</t>
        </is>
      </c>
      <c r="E54" t="inlineStr">
        <is>
          <t>HEDEMORA</t>
        </is>
      </c>
      <c r="F54" t="inlineStr">
        <is>
          <t>Sveaskog</t>
        </is>
      </c>
      <c r="G54" t="n">
        <v>10</v>
      </c>
      <c r="H54" t="n">
        <v>1</v>
      </c>
      <c r="I54" t="n">
        <v>0</v>
      </c>
      <c r="J54" t="n">
        <v>0</v>
      </c>
      <c r="K54" t="n">
        <v>1</v>
      </c>
      <c r="L54" t="n">
        <v>0</v>
      </c>
      <c r="M54" t="n">
        <v>0</v>
      </c>
      <c r="N54" t="n">
        <v>0</v>
      </c>
      <c r="O54" t="n">
        <v>1</v>
      </c>
      <c r="P54" t="n">
        <v>1</v>
      </c>
      <c r="Q54" t="n">
        <v>1</v>
      </c>
      <c r="R54" s="2" t="inlineStr">
        <is>
          <t>Knärot</t>
        </is>
      </c>
      <c r="S54">
        <f>HYPERLINK("https://klasma.github.io/Logging_2083/artfynd/A 49768-2020 artfynd.xlsx", "A 49768-2020")</f>
        <v/>
      </c>
      <c r="T54">
        <f>HYPERLINK("https://klasma.github.io/Logging_2083/kartor/A 49768-2020 karta.png", "A 49768-2020")</f>
        <v/>
      </c>
      <c r="U54">
        <f>HYPERLINK("https://klasma.github.io/Logging_2083/knärot/A 49768-2020 karta knärot.png", "A 49768-2020")</f>
        <v/>
      </c>
      <c r="V54">
        <f>HYPERLINK("https://klasma.github.io/Logging_2083/klagomål/A 49768-2020 FSC-klagomål.docx", "A 49768-2020")</f>
        <v/>
      </c>
      <c r="W54">
        <f>HYPERLINK("https://klasma.github.io/Logging_2083/klagomålsmail/A 49768-2020 FSC-klagomål mail.docx", "A 49768-2020")</f>
        <v/>
      </c>
      <c r="X54">
        <f>HYPERLINK("https://klasma.github.io/Logging_2083/tillsyn/A 49768-2020 tillsynsbegäran.docx", "A 49768-2020")</f>
        <v/>
      </c>
      <c r="Y54">
        <f>HYPERLINK("https://klasma.github.io/Logging_2083/tillsynsmail/A 49768-2020 tillsynsbegäran mail.docx", "A 49768-2020")</f>
        <v/>
      </c>
    </row>
    <row r="55" ht="15" customHeight="1">
      <c r="A55" t="inlineStr">
        <is>
          <t>A 49765-2020</t>
        </is>
      </c>
      <c r="B55" s="1" t="n">
        <v>44106</v>
      </c>
      <c r="C55" s="1" t="n">
        <v>45506</v>
      </c>
      <c r="D55" t="inlineStr">
        <is>
          <t>DALARNAS LÄN</t>
        </is>
      </c>
      <c r="E55" t="inlineStr">
        <is>
          <t>HEDEMORA</t>
        </is>
      </c>
      <c r="F55" t="inlineStr">
        <is>
          <t>Sveaskog</t>
        </is>
      </c>
      <c r="G55" t="n">
        <v>5.8</v>
      </c>
      <c r="H55" t="n">
        <v>1</v>
      </c>
      <c r="I55" t="n">
        <v>0</v>
      </c>
      <c r="J55" t="n">
        <v>0</v>
      </c>
      <c r="K55" t="n">
        <v>1</v>
      </c>
      <c r="L55" t="n">
        <v>0</v>
      </c>
      <c r="M55" t="n">
        <v>0</v>
      </c>
      <c r="N55" t="n">
        <v>0</v>
      </c>
      <c r="O55" t="n">
        <v>1</v>
      </c>
      <c r="P55" t="n">
        <v>1</v>
      </c>
      <c r="Q55" t="n">
        <v>1</v>
      </c>
      <c r="R55" s="2" t="inlineStr">
        <is>
          <t>Knärot</t>
        </is>
      </c>
      <c r="S55">
        <f>HYPERLINK("https://klasma.github.io/Logging_2083/artfynd/A 49765-2020 artfynd.xlsx", "A 49765-2020")</f>
        <v/>
      </c>
      <c r="T55">
        <f>HYPERLINK("https://klasma.github.io/Logging_2083/kartor/A 49765-2020 karta.png", "A 49765-2020")</f>
        <v/>
      </c>
      <c r="U55">
        <f>HYPERLINK("https://klasma.github.io/Logging_2083/knärot/A 49765-2020 karta knärot.png", "A 49765-2020")</f>
        <v/>
      </c>
      <c r="V55">
        <f>HYPERLINK("https://klasma.github.io/Logging_2083/klagomål/A 49765-2020 FSC-klagomål.docx", "A 49765-2020")</f>
        <v/>
      </c>
      <c r="W55">
        <f>HYPERLINK("https://klasma.github.io/Logging_2083/klagomålsmail/A 49765-2020 FSC-klagomål mail.docx", "A 49765-2020")</f>
        <v/>
      </c>
      <c r="X55">
        <f>HYPERLINK("https://klasma.github.io/Logging_2083/tillsyn/A 49765-2020 tillsynsbegäran.docx", "A 49765-2020")</f>
        <v/>
      </c>
      <c r="Y55">
        <f>HYPERLINK("https://klasma.github.io/Logging_2083/tillsynsmail/A 49765-2020 tillsynsbegäran mail.docx", "A 49765-2020")</f>
        <v/>
      </c>
    </row>
    <row r="56" ht="15" customHeight="1">
      <c r="A56" t="inlineStr">
        <is>
          <t>A 9959-2021</t>
        </is>
      </c>
      <c r="B56" s="1" t="n">
        <v>44253</v>
      </c>
      <c r="C56" s="1" t="n">
        <v>45506</v>
      </c>
      <c r="D56" t="inlineStr">
        <is>
          <t>DALARNAS LÄN</t>
        </is>
      </c>
      <c r="E56" t="inlineStr">
        <is>
          <t>HEDEMORA</t>
        </is>
      </c>
      <c r="G56" t="n">
        <v>1.1</v>
      </c>
      <c r="H56" t="n">
        <v>1</v>
      </c>
      <c r="I56" t="n">
        <v>0</v>
      </c>
      <c r="J56" t="n">
        <v>0</v>
      </c>
      <c r="K56" t="n">
        <v>1</v>
      </c>
      <c r="L56" t="n">
        <v>0</v>
      </c>
      <c r="M56" t="n">
        <v>0</v>
      </c>
      <c r="N56" t="n">
        <v>0</v>
      </c>
      <c r="O56" t="n">
        <v>1</v>
      </c>
      <c r="P56" t="n">
        <v>1</v>
      </c>
      <c r="Q56" t="n">
        <v>1</v>
      </c>
      <c r="R56" s="2" t="inlineStr">
        <is>
          <t>Knärot</t>
        </is>
      </c>
      <c r="S56">
        <f>HYPERLINK("https://klasma.github.io/Logging_2083/artfynd/A 9959-2021 artfynd.xlsx", "A 9959-2021")</f>
        <v/>
      </c>
      <c r="T56">
        <f>HYPERLINK("https://klasma.github.io/Logging_2083/kartor/A 9959-2021 karta.png", "A 9959-2021")</f>
        <v/>
      </c>
      <c r="U56">
        <f>HYPERLINK("https://klasma.github.io/Logging_2083/knärot/A 9959-2021 karta knärot.png", "A 9959-2021")</f>
        <v/>
      </c>
      <c r="V56">
        <f>HYPERLINK("https://klasma.github.io/Logging_2083/klagomål/A 9959-2021 FSC-klagomål.docx", "A 9959-2021")</f>
        <v/>
      </c>
      <c r="W56">
        <f>HYPERLINK("https://klasma.github.io/Logging_2083/klagomålsmail/A 9959-2021 FSC-klagomål mail.docx", "A 9959-2021")</f>
        <v/>
      </c>
      <c r="X56">
        <f>HYPERLINK("https://klasma.github.io/Logging_2083/tillsyn/A 9959-2021 tillsynsbegäran.docx", "A 9959-2021")</f>
        <v/>
      </c>
      <c r="Y56">
        <f>HYPERLINK("https://klasma.github.io/Logging_2083/tillsynsmail/A 9959-2021 tillsynsbegäran mail.docx", "A 9959-2021")</f>
        <v/>
      </c>
    </row>
    <row r="57" ht="15" customHeight="1">
      <c r="A57" t="inlineStr">
        <is>
          <t>A 29214-2021</t>
        </is>
      </c>
      <c r="B57" s="1" t="n">
        <v>44359</v>
      </c>
      <c r="C57" s="1" t="n">
        <v>45506</v>
      </c>
      <c r="D57" t="inlineStr">
        <is>
          <t>DALARNAS LÄN</t>
        </is>
      </c>
      <c r="E57" t="inlineStr">
        <is>
          <t>HEDEMORA</t>
        </is>
      </c>
      <c r="F57" t="inlineStr">
        <is>
          <t>Sveaskog</t>
        </is>
      </c>
      <c r="G57" t="n">
        <v>1.2</v>
      </c>
      <c r="H57" t="n">
        <v>1</v>
      </c>
      <c r="I57" t="n">
        <v>0</v>
      </c>
      <c r="J57" t="n">
        <v>0</v>
      </c>
      <c r="K57" t="n">
        <v>0</v>
      </c>
      <c r="L57" t="n">
        <v>0</v>
      </c>
      <c r="M57" t="n">
        <v>0</v>
      </c>
      <c r="N57" t="n">
        <v>0</v>
      </c>
      <c r="O57" t="n">
        <v>0</v>
      </c>
      <c r="P57" t="n">
        <v>0</v>
      </c>
      <c r="Q57" t="n">
        <v>1</v>
      </c>
      <c r="R57" s="2" t="inlineStr">
        <is>
          <t>Vanlig groda</t>
        </is>
      </c>
      <c r="S57">
        <f>HYPERLINK("https://klasma.github.io/Logging_2083/artfynd/A 29214-2021 artfynd.xlsx", "A 29214-2021")</f>
        <v/>
      </c>
      <c r="T57">
        <f>HYPERLINK("https://klasma.github.io/Logging_2083/kartor/A 29214-2021 karta.png", "A 29214-2021")</f>
        <v/>
      </c>
      <c r="V57">
        <f>HYPERLINK("https://klasma.github.io/Logging_2083/klagomål/A 29214-2021 FSC-klagomål.docx", "A 29214-2021")</f>
        <v/>
      </c>
      <c r="W57">
        <f>HYPERLINK("https://klasma.github.io/Logging_2083/klagomålsmail/A 29214-2021 FSC-klagomål mail.docx", "A 29214-2021")</f>
        <v/>
      </c>
      <c r="X57">
        <f>HYPERLINK("https://klasma.github.io/Logging_2083/tillsyn/A 29214-2021 tillsynsbegäran.docx", "A 29214-2021")</f>
        <v/>
      </c>
      <c r="Y57">
        <f>HYPERLINK("https://klasma.github.io/Logging_2083/tillsynsmail/A 29214-2021 tillsynsbegäran mail.docx", "A 29214-2021")</f>
        <v/>
      </c>
    </row>
    <row r="58" ht="15" customHeight="1">
      <c r="A58" t="inlineStr">
        <is>
          <t>A 31539-2021</t>
        </is>
      </c>
      <c r="B58" s="1" t="n">
        <v>44369</v>
      </c>
      <c r="C58" s="1" t="n">
        <v>45506</v>
      </c>
      <c r="D58" t="inlineStr">
        <is>
          <t>DALARNAS LÄN</t>
        </is>
      </c>
      <c r="E58" t="inlineStr">
        <is>
          <t>HEDEMORA</t>
        </is>
      </c>
      <c r="F58" t="inlineStr">
        <is>
          <t>Sveaskog</t>
        </is>
      </c>
      <c r="G58" t="n">
        <v>13.5</v>
      </c>
      <c r="H58" t="n">
        <v>0</v>
      </c>
      <c r="I58" t="n">
        <v>1</v>
      </c>
      <c r="J58" t="n">
        <v>0</v>
      </c>
      <c r="K58" t="n">
        <v>0</v>
      </c>
      <c r="L58" t="n">
        <v>0</v>
      </c>
      <c r="M58" t="n">
        <v>0</v>
      </c>
      <c r="N58" t="n">
        <v>0</v>
      </c>
      <c r="O58" t="n">
        <v>0</v>
      </c>
      <c r="P58" t="n">
        <v>0</v>
      </c>
      <c r="Q58" t="n">
        <v>1</v>
      </c>
      <c r="R58" s="2" t="inlineStr">
        <is>
          <t>Brandticka</t>
        </is>
      </c>
      <c r="S58">
        <f>HYPERLINK("https://klasma.github.io/Logging_2083/artfynd/A 31539-2021 artfynd.xlsx", "A 31539-2021")</f>
        <v/>
      </c>
      <c r="T58">
        <f>HYPERLINK("https://klasma.github.io/Logging_2083/kartor/A 31539-2021 karta.png", "A 31539-2021")</f>
        <v/>
      </c>
      <c r="V58">
        <f>HYPERLINK("https://klasma.github.io/Logging_2083/klagomål/A 31539-2021 FSC-klagomål.docx", "A 31539-2021")</f>
        <v/>
      </c>
      <c r="W58">
        <f>HYPERLINK("https://klasma.github.io/Logging_2083/klagomålsmail/A 31539-2021 FSC-klagomål mail.docx", "A 31539-2021")</f>
        <v/>
      </c>
      <c r="X58">
        <f>HYPERLINK("https://klasma.github.io/Logging_2083/tillsyn/A 31539-2021 tillsynsbegäran.docx", "A 31539-2021")</f>
        <v/>
      </c>
      <c r="Y58">
        <f>HYPERLINK("https://klasma.github.io/Logging_2083/tillsynsmail/A 31539-2021 tillsynsbegäran mail.docx", "A 31539-2021")</f>
        <v/>
      </c>
    </row>
    <row r="59" ht="15" customHeight="1">
      <c r="A59" t="inlineStr">
        <is>
          <t>A 51111-2021</t>
        </is>
      </c>
      <c r="B59" s="1" t="n">
        <v>44461</v>
      </c>
      <c r="C59" s="1" t="n">
        <v>45506</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48135-2022</t>
        </is>
      </c>
      <c r="B60" s="1" t="n">
        <v>44857</v>
      </c>
      <c r="C60" s="1" t="n">
        <v>45506</v>
      </c>
      <c r="D60" t="inlineStr">
        <is>
          <t>DALARNAS LÄN</t>
        </is>
      </c>
      <c r="E60" t="inlineStr">
        <is>
          <t>HEDEMORA</t>
        </is>
      </c>
      <c r="F60" t="inlineStr">
        <is>
          <t>Sveaskog</t>
        </is>
      </c>
      <c r="G60" t="n">
        <v>5.6</v>
      </c>
      <c r="H60" t="n">
        <v>0</v>
      </c>
      <c r="I60" t="n">
        <v>0</v>
      </c>
      <c r="J60" t="n">
        <v>1</v>
      </c>
      <c r="K60" t="n">
        <v>0</v>
      </c>
      <c r="L60" t="n">
        <v>0</v>
      </c>
      <c r="M60" t="n">
        <v>0</v>
      </c>
      <c r="N60" t="n">
        <v>0</v>
      </c>
      <c r="O60" t="n">
        <v>1</v>
      </c>
      <c r="P60" t="n">
        <v>0</v>
      </c>
      <c r="Q60" t="n">
        <v>1</v>
      </c>
      <c r="R60" s="2" t="inlineStr">
        <is>
          <t>Skrovellav</t>
        </is>
      </c>
      <c r="S60">
        <f>HYPERLINK("https://klasma.github.io/Logging_2083/artfynd/A 48135-2022 artfynd.xlsx", "A 48135-2022")</f>
        <v/>
      </c>
      <c r="T60">
        <f>HYPERLINK("https://klasma.github.io/Logging_2083/kartor/A 48135-2022 karta.png", "A 48135-2022")</f>
        <v/>
      </c>
      <c r="V60">
        <f>HYPERLINK("https://klasma.github.io/Logging_2083/klagomål/A 48135-2022 FSC-klagomål.docx", "A 48135-2022")</f>
        <v/>
      </c>
      <c r="W60">
        <f>HYPERLINK("https://klasma.github.io/Logging_2083/klagomålsmail/A 48135-2022 FSC-klagomål mail.docx", "A 48135-2022")</f>
        <v/>
      </c>
      <c r="X60">
        <f>HYPERLINK("https://klasma.github.io/Logging_2083/tillsyn/A 48135-2022 tillsynsbegäran.docx", "A 48135-2022")</f>
        <v/>
      </c>
      <c r="Y60">
        <f>HYPERLINK("https://klasma.github.io/Logging_2083/tillsynsmail/A 48135-2022 tillsynsbegäran mail.docx", "A 48135-2022")</f>
        <v/>
      </c>
    </row>
    <row r="61" ht="15" customHeight="1">
      <c r="A61" t="inlineStr">
        <is>
          <t>A 51525-2022</t>
        </is>
      </c>
      <c r="B61" s="1" t="n">
        <v>44869</v>
      </c>
      <c r="C61" s="1" t="n">
        <v>45506</v>
      </c>
      <c r="D61" t="inlineStr">
        <is>
          <t>DALARNAS LÄN</t>
        </is>
      </c>
      <c r="E61" t="inlineStr">
        <is>
          <t>HEDEMORA</t>
        </is>
      </c>
      <c r="F61" t="inlineStr">
        <is>
          <t>Sveaskog</t>
        </is>
      </c>
      <c r="G61" t="n">
        <v>20.1</v>
      </c>
      <c r="H61" t="n">
        <v>1</v>
      </c>
      <c r="I61" t="n">
        <v>0</v>
      </c>
      <c r="J61" t="n">
        <v>0</v>
      </c>
      <c r="K61" t="n">
        <v>0</v>
      </c>
      <c r="L61" t="n">
        <v>0</v>
      </c>
      <c r="M61" t="n">
        <v>0</v>
      </c>
      <c r="N61" t="n">
        <v>0</v>
      </c>
      <c r="O61" t="n">
        <v>0</v>
      </c>
      <c r="P61" t="n">
        <v>0</v>
      </c>
      <c r="Q61" t="n">
        <v>1</v>
      </c>
      <c r="R61" s="2" t="inlineStr">
        <is>
          <t>Mattlummer</t>
        </is>
      </c>
      <c r="S61">
        <f>HYPERLINK("https://klasma.github.io/Logging_2083/artfynd/A 51525-2022 artfynd.xlsx", "A 51525-2022")</f>
        <v/>
      </c>
      <c r="T61">
        <f>HYPERLINK("https://klasma.github.io/Logging_2083/kartor/A 51525-2022 karta.png", "A 51525-2022")</f>
        <v/>
      </c>
      <c r="V61">
        <f>HYPERLINK("https://klasma.github.io/Logging_2083/klagomål/A 51525-2022 FSC-klagomål.docx", "A 51525-2022")</f>
        <v/>
      </c>
      <c r="W61">
        <f>HYPERLINK("https://klasma.github.io/Logging_2083/klagomålsmail/A 51525-2022 FSC-klagomål mail.docx", "A 51525-2022")</f>
        <v/>
      </c>
      <c r="X61">
        <f>HYPERLINK("https://klasma.github.io/Logging_2083/tillsyn/A 51525-2022 tillsynsbegäran.docx", "A 51525-2022")</f>
        <v/>
      </c>
      <c r="Y61">
        <f>HYPERLINK("https://klasma.github.io/Logging_2083/tillsynsmail/A 51525-2022 tillsynsbegäran mail.docx", "A 51525-2022")</f>
        <v/>
      </c>
    </row>
    <row r="62" ht="15" customHeight="1">
      <c r="A62" t="inlineStr">
        <is>
          <t>A 53916-2022</t>
        </is>
      </c>
      <c r="B62" s="1" t="n">
        <v>44880</v>
      </c>
      <c r="C62" s="1" t="n">
        <v>45506</v>
      </c>
      <c r="D62" t="inlineStr">
        <is>
          <t>DALARNAS LÄN</t>
        </is>
      </c>
      <c r="E62" t="inlineStr">
        <is>
          <t>HEDEMORA</t>
        </is>
      </c>
      <c r="F62" t="inlineStr">
        <is>
          <t>Sveaskog</t>
        </is>
      </c>
      <c r="G62" t="n">
        <v>12.1</v>
      </c>
      <c r="H62" t="n">
        <v>1</v>
      </c>
      <c r="I62" t="n">
        <v>0</v>
      </c>
      <c r="J62" t="n">
        <v>1</v>
      </c>
      <c r="K62" t="n">
        <v>0</v>
      </c>
      <c r="L62" t="n">
        <v>0</v>
      </c>
      <c r="M62" t="n">
        <v>0</v>
      </c>
      <c r="N62" t="n">
        <v>0</v>
      </c>
      <c r="O62" t="n">
        <v>1</v>
      </c>
      <c r="P62" t="n">
        <v>0</v>
      </c>
      <c r="Q62" t="n">
        <v>1</v>
      </c>
      <c r="R62" s="2" t="inlineStr">
        <is>
          <t>Spillkråka</t>
        </is>
      </c>
      <c r="S62">
        <f>HYPERLINK("https://klasma.github.io/Logging_2083/artfynd/A 53916-2022 artfynd.xlsx", "A 53916-2022")</f>
        <v/>
      </c>
      <c r="T62">
        <f>HYPERLINK("https://klasma.github.io/Logging_2083/kartor/A 53916-2022 karta.png", "A 53916-2022")</f>
        <v/>
      </c>
      <c r="V62">
        <f>HYPERLINK("https://klasma.github.io/Logging_2083/klagomål/A 53916-2022 FSC-klagomål.docx", "A 53916-2022")</f>
        <v/>
      </c>
      <c r="W62">
        <f>HYPERLINK("https://klasma.github.io/Logging_2083/klagomålsmail/A 53916-2022 FSC-klagomål mail.docx", "A 53916-2022")</f>
        <v/>
      </c>
      <c r="X62">
        <f>HYPERLINK("https://klasma.github.io/Logging_2083/tillsyn/A 53916-2022 tillsynsbegäran.docx", "A 53916-2022")</f>
        <v/>
      </c>
      <c r="Y62">
        <f>HYPERLINK("https://klasma.github.io/Logging_2083/tillsynsmail/A 53916-2022 tillsynsbegäran mail.docx", "A 53916-2022")</f>
        <v/>
      </c>
      <c r="Z62">
        <f>HYPERLINK("https://klasma.github.io/Logging_2083/fåglar/A 53916-2022 prioriterade fågelarter.docx", "A 53916-2022")</f>
        <v/>
      </c>
    </row>
    <row r="63" ht="15" customHeight="1">
      <c r="A63" t="inlineStr">
        <is>
          <t>A 55144-2022</t>
        </is>
      </c>
      <c r="B63" s="1" t="n">
        <v>44886</v>
      </c>
      <c r="C63" s="1" t="n">
        <v>45506</v>
      </c>
      <c r="D63" t="inlineStr">
        <is>
          <t>DALARNAS LÄN</t>
        </is>
      </c>
      <c r="E63" t="inlineStr">
        <is>
          <t>HEDEMORA</t>
        </is>
      </c>
      <c r="F63" t="inlineStr">
        <is>
          <t>Sveaskog</t>
        </is>
      </c>
      <c r="G63" t="n">
        <v>2.6</v>
      </c>
      <c r="H63" t="n">
        <v>1</v>
      </c>
      <c r="I63" t="n">
        <v>0</v>
      </c>
      <c r="J63" t="n">
        <v>0</v>
      </c>
      <c r="K63" t="n">
        <v>0</v>
      </c>
      <c r="L63" t="n">
        <v>0</v>
      </c>
      <c r="M63" t="n">
        <v>0</v>
      </c>
      <c r="N63" t="n">
        <v>0</v>
      </c>
      <c r="O63" t="n">
        <v>0</v>
      </c>
      <c r="P63" t="n">
        <v>0</v>
      </c>
      <c r="Q63" t="n">
        <v>1</v>
      </c>
      <c r="R63" s="2" t="inlineStr">
        <is>
          <t>Fläcknycklar</t>
        </is>
      </c>
      <c r="S63">
        <f>HYPERLINK("https://klasma.github.io/Logging_2083/artfynd/A 55144-2022 artfynd.xlsx", "A 55144-2022")</f>
        <v/>
      </c>
      <c r="T63">
        <f>HYPERLINK("https://klasma.github.io/Logging_2083/kartor/A 55144-2022 karta.png", "A 55144-2022")</f>
        <v/>
      </c>
      <c r="V63">
        <f>HYPERLINK("https://klasma.github.io/Logging_2083/klagomål/A 55144-2022 FSC-klagomål.docx", "A 55144-2022")</f>
        <v/>
      </c>
      <c r="W63">
        <f>HYPERLINK("https://klasma.github.io/Logging_2083/klagomålsmail/A 55144-2022 FSC-klagomål mail.docx", "A 55144-2022")</f>
        <v/>
      </c>
      <c r="X63">
        <f>HYPERLINK("https://klasma.github.io/Logging_2083/tillsyn/A 55144-2022 tillsynsbegäran.docx", "A 55144-2022")</f>
        <v/>
      </c>
      <c r="Y63">
        <f>HYPERLINK("https://klasma.github.io/Logging_2083/tillsynsmail/A 55144-2022 tillsynsbegäran mail.docx", "A 55144-2022")</f>
        <v/>
      </c>
    </row>
    <row r="64" ht="15" customHeight="1">
      <c r="A64" t="inlineStr">
        <is>
          <t>A 11742-2023</t>
        </is>
      </c>
      <c r="B64" s="1" t="n">
        <v>44994</v>
      </c>
      <c r="C64" s="1" t="n">
        <v>45506</v>
      </c>
      <c r="D64" t="inlineStr">
        <is>
          <t>DALARNAS LÄN</t>
        </is>
      </c>
      <c r="E64" t="inlineStr">
        <is>
          <t>HEDEMORA</t>
        </is>
      </c>
      <c r="G64" t="n">
        <v>6</v>
      </c>
      <c r="H64" t="n">
        <v>0</v>
      </c>
      <c r="I64" t="n">
        <v>0</v>
      </c>
      <c r="J64" t="n">
        <v>1</v>
      </c>
      <c r="K64" t="n">
        <v>0</v>
      </c>
      <c r="L64" t="n">
        <v>0</v>
      </c>
      <c r="M64" t="n">
        <v>0</v>
      </c>
      <c r="N64" t="n">
        <v>0</v>
      </c>
      <c r="O64" t="n">
        <v>1</v>
      </c>
      <c r="P64" t="n">
        <v>0</v>
      </c>
      <c r="Q64" t="n">
        <v>1</v>
      </c>
      <c r="R64" s="2" t="inlineStr">
        <is>
          <t>Tallticka</t>
        </is>
      </c>
      <c r="S64">
        <f>HYPERLINK("https://klasma.github.io/Logging_2083/artfynd/A 11742-2023 artfynd.xlsx", "A 11742-2023")</f>
        <v/>
      </c>
      <c r="T64">
        <f>HYPERLINK("https://klasma.github.io/Logging_2083/kartor/A 11742-2023 karta.png", "A 11742-2023")</f>
        <v/>
      </c>
      <c r="V64">
        <f>HYPERLINK("https://klasma.github.io/Logging_2083/klagomål/A 11742-2023 FSC-klagomål.docx", "A 11742-2023")</f>
        <v/>
      </c>
      <c r="W64">
        <f>HYPERLINK("https://klasma.github.io/Logging_2083/klagomålsmail/A 11742-2023 FSC-klagomål mail.docx", "A 11742-2023")</f>
        <v/>
      </c>
      <c r="X64">
        <f>HYPERLINK("https://klasma.github.io/Logging_2083/tillsyn/A 11742-2023 tillsynsbegäran.docx", "A 11742-2023")</f>
        <v/>
      </c>
      <c r="Y64">
        <f>HYPERLINK("https://klasma.github.io/Logging_2083/tillsynsmail/A 11742-2023 tillsynsbegäran mail.docx", "A 11742-2023")</f>
        <v/>
      </c>
    </row>
    <row r="65" ht="15" customHeight="1">
      <c r="A65" t="inlineStr">
        <is>
          <t>A 13986-2023</t>
        </is>
      </c>
      <c r="B65" s="1" t="n">
        <v>45008</v>
      </c>
      <c r="C65" s="1" t="n">
        <v>45506</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20231-2023</t>
        </is>
      </c>
      <c r="B66" s="1" t="n">
        <v>45055</v>
      </c>
      <c r="C66" s="1" t="n">
        <v>45506</v>
      </c>
      <c r="D66" t="inlineStr">
        <is>
          <t>DALARNAS LÄN</t>
        </is>
      </c>
      <c r="E66" t="inlineStr">
        <is>
          <t>HEDEMORA</t>
        </is>
      </c>
      <c r="F66" t="inlineStr">
        <is>
          <t>Bergvik skog väst AB</t>
        </is>
      </c>
      <c r="G66" t="n">
        <v>3.9</v>
      </c>
      <c r="H66" t="n">
        <v>1</v>
      </c>
      <c r="I66" t="n">
        <v>0</v>
      </c>
      <c r="J66" t="n">
        <v>1</v>
      </c>
      <c r="K66" t="n">
        <v>0</v>
      </c>
      <c r="L66" t="n">
        <v>0</v>
      </c>
      <c r="M66" t="n">
        <v>0</v>
      </c>
      <c r="N66" t="n">
        <v>0</v>
      </c>
      <c r="O66" t="n">
        <v>1</v>
      </c>
      <c r="P66" t="n">
        <v>0</v>
      </c>
      <c r="Q66" t="n">
        <v>1</v>
      </c>
      <c r="R66" s="2" t="inlineStr">
        <is>
          <t>Tretåig hackspett</t>
        </is>
      </c>
      <c r="S66">
        <f>HYPERLINK("https://klasma.github.io/Logging_2083/artfynd/A 20231-2023 artfynd.xlsx", "A 20231-2023")</f>
        <v/>
      </c>
      <c r="T66">
        <f>HYPERLINK("https://klasma.github.io/Logging_2083/kartor/A 20231-2023 karta.png", "A 20231-2023")</f>
        <v/>
      </c>
      <c r="V66">
        <f>HYPERLINK("https://klasma.github.io/Logging_2083/klagomål/A 20231-2023 FSC-klagomål.docx", "A 20231-2023")</f>
        <v/>
      </c>
      <c r="W66">
        <f>HYPERLINK("https://klasma.github.io/Logging_2083/klagomålsmail/A 20231-2023 FSC-klagomål mail.docx", "A 20231-2023")</f>
        <v/>
      </c>
      <c r="X66">
        <f>HYPERLINK("https://klasma.github.io/Logging_2083/tillsyn/A 20231-2023 tillsynsbegäran.docx", "A 20231-2023")</f>
        <v/>
      </c>
      <c r="Y66">
        <f>HYPERLINK("https://klasma.github.io/Logging_2083/tillsynsmail/A 20231-2023 tillsynsbegäran mail.docx", "A 20231-2023")</f>
        <v/>
      </c>
      <c r="Z66">
        <f>HYPERLINK("https://klasma.github.io/Logging_2083/fåglar/A 20231-2023 prioriterade fågelarter.docx", "A 20231-2023")</f>
        <v/>
      </c>
    </row>
    <row r="67" ht="15" customHeight="1">
      <c r="A67" t="inlineStr">
        <is>
          <t>A 21147-2023</t>
        </is>
      </c>
      <c r="B67" s="1" t="n">
        <v>45057</v>
      </c>
      <c r="C67" s="1" t="n">
        <v>45506</v>
      </c>
      <c r="D67" t="inlineStr">
        <is>
          <t>DALARNAS LÄN</t>
        </is>
      </c>
      <c r="E67" t="inlineStr">
        <is>
          <t>HEDEMORA</t>
        </is>
      </c>
      <c r="G67" t="n">
        <v>10</v>
      </c>
      <c r="H67" t="n">
        <v>1</v>
      </c>
      <c r="I67" t="n">
        <v>0</v>
      </c>
      <c r="J67" t="n">
        <v>0</v>
      </c>
      <c r="K67" t="n">
        <v>0</v>
      </c>
      <c r="L67" t="n">
        <v>0</v>
      </c>
      <c r="M67" t="n">
        <v>0</v>
      </c>
      <c r="N67" t="n">
        <v>0</v>
      </c>
      <c r="O67" t="n">
        <v>0</v>
      </c>
      <c r="P67" t="n">
        <v>0</v>
      </c>
      <c r="Q67" t="n">
        <v>1</v>
      </c>
      <c r="R67" s="2" t="inlineStr">
        <is>
          <t>Blåsippa</t>
        </is>
      </c>
      <c r="S67">
        <f>HYPERLINK("https://klasma.github.io/Logging_2083/artfynd/A 21147-2023 artfynd.xlsx", "A 21147-2023")</f>
        <v/>
      </c>
      <c r="T67">
        <f>HYPERLINK("https://klasma.github.io/Logging_2083/kartor/A 21147-2023 karta.png", "A 21147-2023")</f>
        <v/>
      </c>
      <c r="V67">
        <f>HYPERLINK("https://klasma.github.io/Logging_2083/klagomål/A 21147-2023 FSC-klagomål.docx", "A 21147-2023")</f>
        <v/>
      </c>
      <c r="W67">
        <f>HYPERLINK("https://klasma.github.io/Logging_2083/klagomålsmail/A 21147-2023 FSC-klagomål mail.docx", "A 21147-2023")</f>
        <v/>
      </c>
      <c r="X67">
        <f>HYPERLINK("https://klasma.github.io/Logging_2083/tillsyn/A 21147-2023 tillsynsbegäran.docx", "A 21147-2023")</f>
        <v/>
      </c>
      <c r="Y67">
        <f>HYPERLINK("https://klasma.github.io/Logging_2083/tillsynsmail/A 21147-2023 tillsynsbegäran mail.docx", "A 21147-2023")</f>
        <v/>
      </c>
    </row>
    <row r="68" ht="15" customHeight="1">
      <c r="A68" t="inlineStr">
        <is>
          <t>A 23815-2023</t>
        </is>
      </c>
      <c r="B68" s="1" t="n">
        <v>45078</v>
      </c>
      <c r="C68" s="1" t="n">
        <v>45506</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23815-2023 artfynd.xlsx", "A 23815-2023")</f>
        <v/>
      </c>
      <c r="T68">
        <f>HYPERLINK("https://klasma.github.io/Logging_2083/kartor/A 23815-2023 karta.png", "A 23815-2023")</f>
        <v/>
      </c>
      <c r="U68">
        <f>HYPERLINK("https://klasma.github.io/Logging_2083/knärot/A 23815-2023 karta knärot.png", "A 23815-2023")</f>
        <v/>
      </c>
      <c r="V68">
        <f>HYPERLINK("https://klasma.github.io/Logging_2083/klagomål/A 23815-2023 FSC-klagomål.docx", "A 23815-2023")</f>
        <v/>
      </c>
      <c r="W68">
        <f>HYPERLINK("https://klasma.github.io/Logging_2083/klagomålsmail/A 23815-2023 FSC-klagomål mail.docx", "A 23815-2023")</f>
        <v/>
      </c>
      <c r="X68">
        <f>HYPERLINK("https://klasma.github.io/Logging_2083/tillsyn/A 23815-2023 tillsynsbegäran.docx", "A 23815-2023")</f>
        <v/>
      </c>
      <c r="Y68">
        <f>HYPERLINK("https://klasma.github.io/Logging_2083/tillsynsmail/A 23815-2023 tillsynsbegäran mail.docx", "A 23815-2023")</f>
        <v/>
      </c>
    </row>
    <row r="69" ht="15" customHeight="1">
      <c r="A69" t="inlineStr">
        <is>
          <t>A 28028-2023</t>
        </is>
      </c>
      <c r="B69" s="1" t="n">
        <v>45099</v>
      </c>
      <c r="C69" s="1" t="n">
        <v>45506</v>
      </c>
      <c r="D69" t="inlineStr">
        <is>
          <t>DALARNAS LÄN</t>
        </is>
      </c>
      <c r="E69" t="inlineStr">
        <is>
          <t>HEDEMORA</t>
        </is>
      </c>
      <c r="G69" t="n">
        <v>0.8</v>
      </c>
      <c r="H69" t="n">
        <v>1</v>
      </c>
      <c r="I69" t="n">
        <v>0</v>
      </c>
      <c r="J69" t="n">
        <v>0</v>
      </c>
      <c r="K69" t="n">
        <v>0</v>
      </c>
      <c r="L69" t="n">
        <v>0</v>
      </c>
      <c r="M69" t="n">
        <v>0</v>
      </c>
      <c r="N69" t="n">
        <v>0</v>
      </c>
      <c r="O69" t="n">
        <v>0</v>
      </c>
      <c r="P69" t="n">
        <v>0</v>
      </c>
      <c r="Q69" t="n">
        <v>1</v>
      </c>
      <c r="R69" s="2" t="inlineStr">
        <is>
          <t>Blåsippa</t>
        </is>
      </c>
      <c r="S69">
        <f>HYPERLINK("https://klasma.github.io/Logging_2083/artfynd/A 28028-2023 artfynd.xlsx", "A 28028-2023")</f>
        <v/>
      </c>
      <c r="T69">
        <f>HYPERLINK("https://klasma.github.io/Logging_2083/kartor/A 28028-2023 karta.png", "A 28028-2023")</f>
        <v/>
      </c>
      <c r="V69">
        <f>HYPERLINK("https://klasma.github.io/Logging_2083/klagomål/A 28028-2023 FSC-klagomål.docx", "A 28028-2023")</f>
        <v/>
      </c>
      <c r="W69">
        <f>HYPERLINK("https://klasma.github.io/Logging_2083/klagomålsmail/A 28028-2023 FSC-klagomål mail.docx", "A 28028-2023")</f>
        <v/>
      </c>
      <c r="X69">
        <f>HYPERLINK("https://klasma.github.io/Logging_2083/tillsyn/A 28028-2023 tillsynsbegäran.docx", "A 28028-2023")</f>
        <v/>
      </c>
      <c r="Y69">
        <f>HYPERLINK("https://klasma.github.io/Logging_2083/tillsynsmail/A 28028-2023 tillsynsbegäran mail.docx", "A 28028-2023")</f>
        <v/>
      </c>
    </row>
    <row r="70" ht="15" customHeight="1">
      <c r="A70" t="inlineStr">
        <is>
          <t>A 30936-2023</t>
        </is>
      </c>
      <c r="B70" s="1" t="n">
        <v>45113</v>
      </c>
      <c r="C70" s="1" t="n">
        <v>45506</v>
      </c>
      <c r="D70" t="inlineStr">
        <is>
          <t>DALARNAS LÄN</t>
        </is>
      </c>
      <c r="E70" t="inlineStr">
        <is>
          <t>HEDEMORA</t>
        </is>
      </c>
      <c r="F70" t="inlineStr">
        <is>
          <t>Sveaskog</t>
        </is>
      </c>
      <c r="G70" t="n">
        <v>9.199999999999999</v>
      </c>
      <c r="H70" t="n">
        <v>0</v>
      </c>
      <c r="I70" t="n">
        <v>0</v>
      </c>
      <c r="J70" t="n">
        <v>1</v>
      </c>
      <c r="K70" t="n">
        <v>0</v>
      </c>
      <c r="L70" t="n">
        <v>0</v>
      </c>
      <c r="M70" t="n">
        <v>0</v>
      </c>
      <c r="N70" t="n">
        <v>0</v>
      </c>
      <c r="O70" t="n">
        <v>1</v>
      </c>
      <c r="P70" t="n">
        <v>0</v>
      </c>
      <c r="Q70" t="n">
        <v>1</v>
      </c>
      <c r="R70" s="2" t="inlineStr">
        <is>
          <t>Kolflarnlav</t>
        </is>
      </c>
      <c r="S70">
        <f>HYPERLINK("https://klasma.github.io/Logging_2083/artfynd/A 30936-2023 artfynd.xlsx", "A 30936-2023")</f>
        <v/>
      </c>
      <c r="T70">
        <f>HYPERLINK("https://klasma.github.io/Logging_2083/kartor/A 30936-2023 karta.png", "A 30936-2023")</f>
        <v/>
      </c>
      <c r="V70">
        <f>HYPERLINK("https://klasma.github.io/Logging_2083/klagomål/A 30936-2023 FSC-klagomål.docx", "A 30936-2023")</f>
        <v/>
      </c>
      <c r="W70">
        <f>HYPERLINK("https://klasma.github.io/Logging_2083/klagomålsmail/A 30936-2023 FSC-klagomål mail.docx", "A 30936-2023")</f>
        <v/>
      </c>
      <c r="X70">
        <f>HYPERLINK("https://klasma.github.io/Logging_2083/tillsyn/A 30936-2023 tillsynsbegäran.docx", "A 30936-2023")</f>
        <v/>
      </c>
      <c r="Y70">
        <f>HYPERLINK("https://klasma.github.io/Logging_2083/tillsynsmail/A 30936-2023 tillsynsbegäran mail.docx", "A 30936-2023")</f>
        <v/>
      </c>
    </row>
    <row r="71" ht="15" customHeight="1">
      <c r="A71" t="inlineStr">
        <is>
          <t>A 33023-2023</t>
        </is>
      </c>
      <c r="B71" s="1" t="n">
        <v>45125</v>
      </c>
      <c r="C71" s="1" t="n">
        <v>45506</v>
      </c>
      <c r="D71" t="inlineStr">
        <is>
          <t>DALARNAS LÄN</t>
        </is>
      </c>
      <c r="E71" t="inlineStr">
        <is>
          <t>HEDEMORA</t>
        </is>
      </c>
      <c r="F71" t="inlineStr">
        <is>
          <t>Sveaskog</t>
        </is>
      </c>
      <c r="G71" t="n">
        <v>3.9</v>
      </c>
      <c r="H71" t="n">
        <v>1</v>
      </c>
      <c r="I71" t="n">
        <v>0</v>
      </c>
      <c r="J71" t="n">
        <v>0</v>
      </c>
      <c r="K71" t="n">
        <v>0</v>
      </c>
      <c r="L71" t="n">
        <v>0</v>
      </c>
      <c r="M71" t="n">
        <v>0</v>
      </c>
      <c r="N71" t="n">
        <v>0</v>
      </c>
      <c r="O71" t="n">
        <v>0</v>
      </c>
      <c r="P71" t="n">
        <v>0</v>
      </c>
      <c r="Q71" t="n">
        <v>1</v>
      </c>
      <c r="R71" s="2" t="inlineStr">
        <is>
          <t>Revlummer</t>
        </is>
      </c>
      <c r="S71">
        <f>HYPERLINK("https://klasma.github.io/Logging_2083/artfynd/A 33023-2023 artfynd.xlsx", "A 33023-2023")</f>
        <v/>
      </c>
      <c r="T71">
        <f>HYPERLINK("https://klasma.github.io/Logging_2083/kartor/A 33023-2023 karta.png", "A 33023-2023")</f>
        <v/>
      </c>
      <c r="V71">
        <f>HYPERLINK("https://klasma.github.io/Logging_2083/klagomål/A 33023-2023 FSC-klagomål.docx", "A 33023-2023")</f>
        <v/>
      </c>
      <c r="W71">
        <f>HYPERLINK("https://klasma.github.io/Logging_2083/klagomålsmail/A 33023-2023 FSC-klagomål mail.docx", "A 33023-2023")</f>
        <v/>
      </c>
      <c r="X71">
        <f>HYPERLINK("https://klasma.github.io/Logging_2083/tillsyn/A 33023-2023 tillsynsbegäran.docx", "A 33023-2023")</f>
        <v/>
      </c>
      <c r="Y71">
        <f>HYPERLINK("https://klasma.github.io/Logging_2083/tillsynsmail/A 33023-2023 tillsynsbegäran mail.docx", "A 33023-2023")</f>
        <v/>
      </c>
    </row>
    <row r="72" ht="15" customHeight="1">
      <c r="A72" t="inlineStr">
        <is>
          <t>A 35321-2023</t>
        </is>
      </c>
      <c r="B72" s="1" t="n">
        <v>45146</v>
      </c>
      <c r="C72" s="1" t="n">
        <v>45506</v>
      </c>
      <c r="D72" t="inlineStr">
        <is>
          <t>DALARNAS LÄN</t>
        </is>
      </c>
      <c r="E72" t="inlineStr">
        <is>
          <t>HEDEMORA</t>
        </is>
      </c>
      <c r="G72" t="n">
        <v>3.5</v>
      </c>
      <c r="H72" t="n">
        <v>1</v>
      </c>
      <c r="I72" t="n">
        <v>0</v>
      </c>
      <c r="J72" t="n">
        <v>1</v>
      </c>
      <c r="K72" t="n">
        <v>0</v>
      </c>
      <c r="L72" t="n">
        <v>0</v>
      </c>
      <c r="M72" t="n">
        <v>0</v>
      </c>
      <c r="N72" t="n">
        <v>0</v>
      </c>
      <c r="O72" t="n">
        <v>1</v>
      </c>
      <c r="P72" t="n">
        <v>0</v>
      </c>
      <c r="Q72" t="n">
        <v>1</v>
      </c>
      <c r="R72" s="2" t="inlineStr">
        <is>
          <t>Havsörn</t>
        </is>
      </c>
      <c r="S72">
        <f>HYPERLINK("https://klasma.github.io/Logging_2083/artfynd/A 35321-2023 artfynd.xlsx", "A 35321-2023")</f>
        <v/>
      </c>
      <c r="T72">
        <f>HYPERLINK("https://klasma.github.io/Logging_2083/kartor/A 35321-2023 karta.png", "A 35321-2023")</f>
        <v/>
      </c>
      <c r="V72">
        <f>HYPERLINK("https://klasma.github.io/Logging_2083/klagomål/A 35321-2023 FSC-klagomål.docx", "A 35321-2023")</f>
        <v/>
      </c>
      <c r="W72">
        <f>HYPERLINK("https://klasma.github.io/Logging_2083/klagomålsmail/A 35321-2023 FSC-klagomål mail.docx", "A 35321-2023")</f>
        <v/>
      </c>
      <c r="X72">
        <f>HYPERLINK("https://klasma.github.io/Logging_2083/tillsyn/A 35321-2023 tillsynsbegäran.docx", "A 35321-2023")</f>
        <v/>
      </c>
      <c r="Y72">
        <f>HYPERLINK("https://klasma.github.io/Logging_2083/tillsynsmail/A 35321-2023 tillsynsbegäran mail.docx", "A 35321-2023")</f>
        <v/>
      </c>
      <c r="Z72">
        <f>HYPERLINK("https://klasma.github.io/Logging_2083/fåglar/A 35321-2023 prioriterade fågelarter.docx", "A 35321-2023")</f>
        <v/>
      </c>
    </row>
    <row r="73" ht="15" customHeight="1">
      <c r="A73" t="inlineStr">
        <is>
          <t>A 36849-2023</t>
        </is>
      </c>
      <c r="B73" s="1" t="n">
        <v>45154</v>
      </c>
      <c r="C73" s="1" t="n">
        <v>45506</v>
      </c>
      <c r="D73" t="inlineStr">
        <is>
          <t>DALARNAS LÄN</t>
        </is>
      </c>
      <c r="E73" t="inlineStr">
        <is>
          <t>HEDEMORA</t>
        </is>
      </c>
      <c r="G73" t="n">
        <v>5.8</v>
      </c>
      <c r="H73" t="n">
        <v>1</v>
      </c>
      <c r="I73" t="n">
        <v>0</v>
      </c>
      <c r="J73" t="n">
        <v>0</v>
      </c>
      <c r="K73" t="n">
        <v>1</v>
      </c>
      <c r="L73" t="n">
        <v>0</v>
      </c>
      <c r="M73" t="n">
        <v>0</v>
      </c>
      <c r="N73" t="n">
        <v>0</v>
      </c>
      <c r="O73" t="n">
        <v>1</v>
      </c>
      <c r="P73" t="n">
        <v>1</v>
      </c>
      <c r="Q73" t="n">
        <v>1</v>
      </c>
      <c r="R73" s="2" t="inlineStr">
        <is>
          <t>Knärot</t>
        </is>
      </c>
      <c r="S73">
        <f>HYPERLINK("https://klasma.github.io/Logging_2083/artfynd/A 36849-2023 artfynd.xlsx", "A 36849-2023")</f>
        <v/>
      </c>
      <c r="T73">
        <f>HYPERLINK("https://klasma.github.io/Logging_2083/kartor/A 36849-2023 karta.png", "A 36849-2023")</f>
        <v/>
      </c>
      <c r="U73">
        <f>HYPERLINK("https://klasma.github.io/Logging_2083/knärot/A 36849-2023 karta knärot.png", "A 36849-2023")</f>
        <v/>
      </c>
      <c r="V73">
        <f>HYPERLINK("https://klasma.github.io/Logging_2083/klagomål/A 36849-2023 FSC-klagomål.docx", "A 36849-2023")</f>
        <v/>
      </c>
      <c r="W73">
        <f>HYPERLINK("https://klasma.github.io/Logging_2083/klagomålsmail/A 36849-2023 FSC-klagomål mail.docx", "A 36849-2023")</f>
        <v/>
      </c>
      <c r="X73">
        <f>HYPERLINK("https://klasma.github.io/Logging_2083/tillsyn/A 36849-2023 tillsynsbegäran.docx", "A 36849-2023")</f>
        <v/>
      </c>
      <c r="Y73">
        <f>HYPERLINK("https://klasma.github.io/Logging_2083/tillsynsmail/A 36849-2023 tillsynsbegäran mail.docx", "A 36849-2023")</f>
        <v/>
      </c>
    </row>
    <row r="74" ht="15" customHeight="1">
      <c r="A74" t="inlineStr">
        <is>
          <t>A 37654-2023</t>
        </is>
      </c>
      <c r="B74" s="1" t="n">
        <v>45159</v>
      </c>
      <c r="C74" s="1" t="n">
        <v>45506</v>
      </c>
      <c r="D74" t="inlineStr">
        <is>
          <t>DALARNAS LÄN</t>
        </is>
      </c>
      <c r="E74" t="inlineStr">
        <is>
          <t>HEDEMORA</t>
        </is>
      </c>
      <c r="G74" t="n">
        <v>6.2</v>
      </c>
      <c r="H74" t="n">
        <v>1</v>
      </c>
      <c r="I74" t="n">
        <v>0</v>
      </c>
      <c r="J74" t="n">
        <v>0</v>
      </c>
      <c r="K74" t="n">
        <v>1</v>
      </c>
      <c r="L74" t="n">
        <v>0</v>
      </c>
      <c r="M74" t="n">
        <v>0</v>
      </c>
      <c r="N74" t="n">
        <v>0</v>
      </c>
      <c r="O74" t="n">
        <v>1</v>
      </c>
      <c r="P74" t="n">
        <v>1</v>
      </c>
      <c r="Q74" t="n">
        <v>1</v>
      </c>
      <c r="R74" s="2" t="inlineStr">
        <is>
          <t>Knärot</t>
        </is>
      </c>
      <c r="S74">
        <f>HYPERLINK("https://klasma.github.io/Logging_2083/artfynd/A 37654-2023 artfynd.xlsx", "A 37654-2023")</f>
        <v/>
      </c>
      <c r="T74">
        <f>HYPERLINK("https://klasma.github.io/Logging_2083/kartor/A 37654-2023 karta.png", "A 37654-2023")</f>
        <v/>
      </c>
      <c r="U74">
        <f>HYPERLINK("https://klasma.github.io/Logging_2083/knärot/A 37654-2023 karta knärot.png", "A 37654-2023")</f>
        <v/>
      </c>
      <c r="V74">
        <f>HYPERLINK("https://klasma.github.io/Logging_2083/klagomål/A 37654-2023 FSC-klagomål.docx", "A 37654-2023")</f>
        <v/>
      </c>
      <c r="W74">
        <f>HYPERLINK("https://klasma.github.io/Logging_2083/klagomålsmail/A 37654-2023 FSC-klagomål mail.docx", "A 37654-2023")</f>
        <v/>
      </c>
      <c r="X74">
        <f>HYPERLINK("https://klasma.github.io/Logging_2083/tillsyn/A 37654-2023 tillsynsbegäran.docx", "A 37654-2023")</f>
        <v/>
      </c>
      <c r="Y74">
        <f>HYPERLINK("https://klasma.github.io/Logging_2083/tillsynsmail/A 37654-2023 tillsynsbegäran mail.docx", "A 37654-2023")</f>
        <v/>
      </c>
    </row>
    <row r="75" ht="15" customHeight="1">
      <c r="A75" t="inlineStr">
        <is>
          <t>A 41477-2023</t>
        </is>
      </c>
      <c r="B75" s="1" t="n">
        <v>45171</v>
      </c>
      <c r="C75" s="1" t="n">
        <v>45506</v>
      </c>
      <c r="D75" t="inlineStr">
        <is>
          <t>DALARNAS LÄN</t>
        </is>
      </c>
      <c r="E75" t="inlineStr">
        <is>
          <t>HEDEMORA</t>
        </is>
      </c>
      <c r="F75" t="inlineStr">
        <is>
          <t>Bergvik skog väst AB</t>
        </is>
      </c>
      <c r="G75" t="n">
        <v>9.1</v>
      </c>
      <c r="H75" t="n">
        <v>0</v>
      </c>
      <c r="I75" t="n">
        <v>1</v>
      </c>
      <c r="J75" t="n">
        <v>0</v>
      </c>
      <c r="K75" t="n">
        <v>0</v>
      </c>
      <c r="L75" t="n">
        <v>0</v>
      </c>
      <c r="M75" t="n">
        <v>0</v>
      </c>
      <c r="N75" t="n">
        <v>0</v>
      </c>
      <c r="O75" t="n">
        <v>0</v>
      </c>
      <c r="P75" t="n">
        <v>0</v>
      </c>
      <c r="Q75" t="n">
        <v>1</v>
      </c>
      <c r="R75" s="2" t="inlineStr">
        <is>
          <t>Ögonpyrola</t>
        </is>
      </c>
      <c r="S75">
        <f>HYPERLINK("https://klasma.github.io/Logging_2083/artfynd/A 41477-2023 artfynd.xlsx", "A 41477-2023")</f>
        <v/>
      </c>
      <c r="T75">
        <f>HYPERLINK("https://klasma.github.io/Logging_2083/kartor/A 41477-2023 karta.png", "A 41477-2023")</f>
        <v/>
      </c>
      <c r="V75">
        <f>HYPERLINK("https://klasma.github.io/Logging_2083/klagomål/A 41477-2023 FSC-klagomål.docx", "A 41477-2023")</f>
        <v/>
      </c>
      <c r="W75">
        <f>HYPERLINK("https://klasma.github.io/Logging_2083/klagomålsmail/A 41477-2023 FSC-klagomål mail.docx", "A 41477-2023")</f>
        <v/>
      </c>
      <c r="X75">
        <f>HYPERLINK("https://klasma.github.io/Logging_2083/tillsyn/A 41477-2023 tillsynsbegäran.docx", "A 41477-2023")</f>
        <v/>
      </c>
      <c r="Y75">
        <f>HYPERLINK("https://klasma.github.io/Logging_2083/tillsynsmail/A 41477-2023 tillsynsbegäran mail.docx", "A 41477-2023")</f>
        <v/>
      </c>
    </row>
    <row r="76" ht="15" customHeight="1">
      <c r="A76" t="inlineStr">
        <is>
          <t>A 41078-2023</t>
        </is>
      </c>
      <c r="B76" s="1" t="n">
        <v>45173</v>
      </c>
      <c r="C76" s="1" t="n">
        <v>45506</v>
      </c>
      <c r="D76" t="inlineStr">
        <is>
          <t>DALARNAS LÄN</t>
        </is>
      </c>
      <c r="E76" t="inlineStr">
        <is>
          <t>HEDEMORA</t>
        </is>
      </c>
      <c r="G76" t="n">
        <v>10.3</v>
      </c>
      <c r="H76" t="n">
        <v>0</v>
      </c>
      <c r="I76" t="n">
        <v>1</v>
      </c>
      <c r="J76" t="n">
        <v>0</v>
      </c>
      <c r="K76" t="n">
        <v>0</v>
      </c>
      <c r="L76" t="n">
        <v>0</v>
      </c>
      <c r="M76" t="n">
        <v>0</v>
      </c>
      <c r="N76" t="n">
        <v>0</v>
      </c>
      <c r="O76" t="n">
        <v>0</v>
      </c>
      <c r="P76" t="n">
        <v>0</v>
      </c>
      <c r="Q76" t="n">
        <v>1</v>
      </c>
      <c r="R76" s="2" t="inlineStr">
        <is>
          <t>Bronshjon</t>
        </is>
      </c>
      <c r="S76">
        <f>HYPERLINK("https://klasma.github.io/Logging_2083/artfynd/A 41078-2023 artfynd.xlsx", "A 41078-2023")</f>
        <v/>
      </c>
      <c r="T76">
        <f>HYPERLINK("https://klasma.github.io/Logging_2083/kartor/A 41078-2023 karta.png", "A 41078-2023")</f>
        <v/>
      </c>
      <c r="V76">
        <f>HYPERLINK("https://klasma.github.io/Logging_2083/klagomål/A 41078-2023 FSC-klagomål.docx", "A 41078-2023")</f>
        <v/>
      </c>
      <c r="W76">
        <f>HYPERLINK("https://klasma.github.io/Logging_2083/klagomålsmail/A 41078-2023 FSC-klagomål mail.docx", "A 41078-2023")</f>
        <v/>
      </c>
      <c r="X76">
        <f>HYPERLINK("https://klasma.github.io/Logging_2083/tillsyn/A 41078-2023 tillsynsbegäran.docx", "A 41078-2023")</f>
        <v/>
      </c>
      <c r="Y76">
        <f>HYPERLINK("https://klasma.github.io/Logging_2083/tillsynsmail/A 41078-2023 tillsynsbegäran mail.docx", "A 41078-2023")</f>
        <v/>
      </c>
    </row>
    <row r="77" ht="15" customHeight="1">
      <c r="A77" t="inlineStr">
        <is>
          <t>A 59376-2023</t>
        </is>
      </c>
      <c r="B77" s="1" t="n">
        <v>45253</v>
      </c>
      <c r="C77" s="1" t="n">
        <v>45506</v>
      </c>
      <c r="D77" t="inlineStr">
        <is>
          <t>DALARNAS LÄN</t>
        </is>
      </c>
      <c r="E77" t="inlineStr">
        <is>
          <t>HEDEMORA</t>
        </is>
      </c>
      <c r="F77" t="inlineStr">
        <is>
          <t>Sveaskog</t>
        </is>
      </c>
      <c r="G77" t="n">
        <v>2.4</v>
      </c>
      <c r="H77" t="n">
        <v>1</v>
      </c>
      <c r="I77" t="n">
        <v>0</v>
      </c>
      <c r="J77" t="n">
        <v>1</v>
      </c>
      <c r="K77" t="n">
        <v>0</v>
      </c>
      <c r="L77" t="n">
        <v>0</v>
      </c>
      <c r="M77" t="n">
        <v>0</v>
      </c>
      <c r="N77" t="n">
        <v>0</v>
      </c>
      <c r="O77" t="n">
        <v>1</v>
      </c>
      <c r="P77" t="n">
        <v>0</v>
      </c>
      <c r="Q77" t="n">
        <v>1</v>
      </c>
      <c r="R77" s="2" t="inlineStr">
        <is>
          <t>Spillkråka</t>
        </is>
      </c>
      <c r="S77">
        <f>HYPERLINK("https://klasma.github.io/Logging_2083/artfynd/A 59376-2023 artfynd.xlsx", "A 59376-2023")</f>
        <v/>
      </c>
      <c r="T77">
        <f>HYPERLINK("https://klasma.github.io/Logging_2083/kartor/A 59376-2023 karta.png", "A 59376-2023")</f>
        <v/>
      </c>
      <c r="V77">
        <f>HYPERLINK("https://klasma.github.io/Logging_2083/klagomål/A 59376-2023 FSC-klagomål.docx", "A 59376-2023")</f>
        <v/>
      </c>
      <c r="W77">
        <f>HYPERLINK("https://klasma.github.io/Logging_2083/klagomålsmail/A 59376-2023 FSC-klagomål mail.docx", "A 59376-2023")</f>
        <v/>
      </c>
      <c r="X77">
        <f>HYPERLINK("https://klasma.github.io/Logging_2083/tillsyn/A 59376-2023 tillsynsbegäran.docx", "A 59376-2023")</f>
        <v/>
      </c>
      <c r="Y77">
        <f>HYPERLINK("https://klasma.github.io/Logging_2083/tillsynsmail/A 59376-2023 tillsynsbegäran mail.docx", "A 59376-2023")</f>
        <v/>
      </c>
      <c r="Z77">
        <f>HYPERLINK("https://klasma.github.io/Logging_2083/fåglar/A 59376-2023 prioriterade fågelarter.docx", "A 59376-2023")</f>
        <v/>
      </c>
    </row>
    <row r="78" ht="15" customHeight="1">
      <c r="A78" t="inlineStr">
        <is>
          <t>A 59377-2023</t>
        </is>
      </c>
      <c r="B78" s="1" t="n">
        <v>45253</v>
      </c>
      <c r="C78" s="1" t="n">
        <v>45506</v>
      </c>
      <c r="D78" t="inlineStr">
        <is>
          <t>DALARNAS LÄN</t>
        </is>
      </c>
      <c r="E78" t="inlineStr">
        <is>
          <t>HEDEMORA</t>
        </is>
      </c>
      <c r="F78" t="inlineStr">
        <is>
          <t>Sveaskog</t>
        </is>
      </c>
      <c r="G78" t="n">
        <v>4.6</v>
      </c>
      <c r="H78" t="n">
        <v>0</v>
      </c>
      <c r="I78" t="n">
        <v>0</v>
      </c>
      <c r="J78" t="n">
        <v>1</v>
      </c>
      <c r="K78" t="n">
        <v>0</v>
      </c>
      <c r="L78" t="n">
        <v>0</v>
      </c>
      <c r="M78" t="n">
        <v>0</v>
      </c>
      <c r="N78" t="n">
        <v>0</v>
      </c>
      <c r="O78" t="n">
        <v>1</v>
      </c>
      <c r="P78" t="n">
        <v>0</v>
      </c>
      <c r="Q78" t="n">
        <v>1</v>
      </c>
      <c r="R78" s="2" t="inlineStr">
        <is>
          <t>Ullticka</t>
        </is>
      </c>
      <c r="S78">
        <f>HYPERLINK("https://klasma.github.io/Logging_2083/artfynd/A 59377-2023 artfynd.xlsx", "A 59377-2023")</f>
        <v/>
      </c>
      <c r="T78">
        <f>HYPERLINK("https://klasma.github.io/Logging_2083/kartor/A 59377-2023 karta.png", "A 59377-2023")</f>
        <v/>
      </c>
      <c r="V78">
        <f>HYPERLINK("https://klasma.github.io/Logging_2083/klagomål/A 59377-2023 FSC-klagomål.docx", "A 59377-2023")</f>
        <v/>
      </c>
      <c r="W78">
        <f>HYPERLINK("https://klasma.github.io/Logging_2083/klagomålsmail/A 59377-2023 FSC-klagomål mail.docx", "A 59377-2023")</f>
        <v/>
      </c>
      <c r="X78">
        <f>HYPERLINK("https://klasma.github.io/Logging_2083/tillsyn/A 59377-2023 tillsynsbegäran.docx", "A 59377-2023")</f>
        <v/>
      </c>
      <c r="Y78">
        <f>HYPERLINK("https://klasma.github.io/Logging_2083/tillsynsmail/A 59377-2023 tillsynsbegäran mail.docx", "A 59377-2023")</f>
        <v/>
      </c>
    </row>
    <row r="79" ht="15" customHeight="1">
      <c r="A79" t="inlineStr">
        <is>
          <t>A 59751-2023</t>
        </is>
      </c>
      <c r="B79" s="1" t="n">
        <v>45257</v>
      </c>
      <c r="C79" s="1" t="n">
        <v>45506</v>
      </c>
      <c r="D79" t="inlineStr">
        <is>
          <t>DALARNAS LÄN</t>
        </is>
      </c>
      <c r="E79" t="inlineStr">
        <is>
          <t>HEDEMORA</t>
        </is>
      </c>
      <c r="F79" t="inlineStr">
        <is>
          <t>Sveaskog</t>
        </is>
      </c>
      <c r="G79" t="n">
        <v>0.7</v>
      </c>
      <c r="H79" t="n">
        <v>0</v>
      </c>
      <c r="I79" t="n">
        <v>1</v>
      </c>
      <c r="J79" t="n">
        <v>0</v>
      </c>
      <c r="K79" t="n">
        <v>0</v>
      </c>
      <c r="L79" t="n">
        <v>0</v>
      </c>
      <c r="M79" t="n">
        <v>0</v>
      </c>
      <c r="N79" t="n">
        <v>0</v>
      </c>
      <c r="O79" t="n">
        <v>0</v>
      </c>
      <c r="P79" t="n">
        <v>0</v>
      </c>
      <c r="Q79" t="n">
        <v>1</v>
      </c>
      <c r="R79" s="2" t="inlineStr">
        <is>
          <t>Svavelriska</t>
        </is>
      </c>
      <c r="S79">
        <f>HYPERLINK("https://klasma.github.io/Logging_2083/artfynd/A 59751-2023 artfynd.xlsx", "A 59751-2023")</f>
        <v/>
      </c>
      <c r="T79">
        <f>HYPERLINK("https://klasma.github.io/Logging_2083/kartor/A 59751-2023 karta.png", "A 59751-2023")</f>
        <v/>
      </c>
      <c r="V79">
        <f>HYPERLINK("https://klasma.github.io/Logging_2083/klagomål/A 59751-2023 FSC-klagomål.docx", "A 59751-2023")</f>
        <v/>
      </c>
      <c r="W79">
        <f>HYPERLINK("https://klasma.github.io/Logging_2083/klagomålsmail/A 59751-2023 FSC-klagomål mail.docx", "A 59751-2023")</f>
        <v/>
      </c>
      <c r="X79">
        <f>HYPERLINK("https://klasma.github.io/Logging_2083/tillsyn/A 59751-2023 tillsynsbegäran.docx", "A 59751-2023")</f>
        <v/>
      </c>
      <c r="Y79">
        <f>HYPERLINK("https://klasma.github.io/Logging_2083/tillsynsmail/A 59751-2023 tillsynsbegäran mail.docx", "A 59751-2023")</f>
        <v/>
      </c>
    </row>
    <row r="80" ht="15" customHeight="1">
      <c r="A80" t="inlineStr">
        <is>
          <t>A 63542-2023</t>
        </is>
      </c>
      <c r="B80" s="1" t="n">
        <v>45275</v>
      </c>
      <c r="C80" s="1" t="n">
        <v>45506</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21535-2024</t>
        </is>
      </c>
      <c r="B81" s="1" t="n">
        <v>45441</v>
      </c>
      <c r="C81" s="1" t="n">
        <v>45506</v>
      </c>
      <c r="D81" t="inlineStr">
        <is>
          <t>DALARNAS LÄN</t>
        </is>
      </c>
      <c r="E81" t="inlineStr">
        <is>
          <t>HEDEMORA</t>
        </is>
      </c>
      <c r="F81" t="inlineStr">
        <is>
          <t>Sveaskog</t>
        </is>
      </c>
      <c r="G81" t="n">
        <v>3.4</v>
      </c>
      <c r="H81" t="n">
        <v>1</v>
      </c>
      <c r="I81" t="n">
        <v>0</v>
      </c>
      <c r="J81" t="n">
        <v>0</v>
      </c>
      <c r="K81" t="n">
        <v>1</v>
      </c>
      <c r="L81" t="n">
        <v>0</v>
      </c>
      <c r="M81" t="n">
        <v>0</v>
      </c>
      <c r="N81" t="n">
        <v>0</v>
      </c>
      <c r="O81" t="n">
        <v>1</v>
      </c>
      <c r="P81" t="n">
        <v>1</v>
      </c>
      <c r="Q81" t="n">
        <v>1</v>
      </c>
      <c r="R81" s="2" t="inlineStr">
        <is>
          <t>Knärot</t>
        </is>
      </c>
      <c r="S81">
        <f>HYPERLINK("https://klasma.github.io/Logging_2083/artfynd/A 21535-2024 artfynd.xlsx", "A 21535-2024")</f>
        <v/>
      </c>
      <c r="T81">
        <f>HYPERLINK("https://klasma.github.io/Logging_2083/kartor/A 21535-2024 karta.png", "A 21535-2024")</f>
        <v/>
      </c>
      <c r="U81">
        <f>HYPERLINK("https://klasma.github.io/Logging_2083/knärot/A 21535-2024 karta knärot.png", "A 21535-2024")</f>
        <v/>
      </c>
      <c r="V81">
        <f>HYPERLINK("https://klasma.github.io/Logging_2083/klagomål/A 21535-2024 FSC-klagomål.docx", "A 21535-2024")</f>
        <v/>
      </c>
      <c r="W81">
        <f>HYPERLINK("https://klasma.github.io/Logging_2083/klagomålsmail/A 21535-2024 FSC-klagomål mail.docx", "A 21535-2024")</f>
        <v/>
      </c>
      <c r="X81">
        <f>HYPERLINK("https://klasma.github.io/Logging_2083/tillsyn/A 21535-2024 tillsynsbegäran.docx", "A 21535-2024")</f>
        <v/>
      </c>
      <c r="Y81">
        <f>HYPERLINK("https://klasma.github.io/Logging_2083/tillsynsmail/A 21535-2024 tillsynsbegäran mail.docx", "A 21535-2024")</f>
        <v/>
      </c>
    </row>
    <row r="82" ht="15" customHeight="1">
      <c r="A82" t="inlineStr">
        <is>
          <t>A 19016-2019</t>
        </is>
      </c>
      <c r="B82" s="1" t="n">
        <v>43563</v>
      </c>
      <c r="C82" s="1" t="n">
        <v>45506</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21235-2019</t>
        </is>
      </c>
      <c r="B83" s="1" t="n">
        <v>43579</v>
      </c>
      <c r="C83" s="1" t="n">
        <v>45506</v>
      </c>
      <c r="D83" t="inlineStr">
        <is>
          <t>DALARNAS LÄN</t>
        </is>
      </c>
      <c r="E83" t="inlineStr">
        <is>
          <t>HEDEMORA</t>
        </is>
      </c>
      <c r="G83" t="n">
        <v>3.7</v>
      </c>
      <c r="H83" t="n">
        <v>0</v>
      </c>
      <c r="I83" t="n">
        <v>0</v>
      </c>
      <c r="J83" t="n">
        <v>0</v>
      </c>
      <c r="K83" t="n">
        <v>0</v>
      </c>
      <c r="L83" t="n">
        <v>0</v>
      </c>
      <c r="M83" t="n">
        <v>0</v>
      </c>
      <c r="N83" t="n">
        <v>0</v>
      </c>
      <c r="O83" t="n">
        <v>0</v>
      </c>
      <c r="P83" t="n">
        <v>0</v>
      </c>
      <c r="Q83" t="n">
        <v>0</v>
      </c>
      <c r="R83" s="2" t="inlineStr"/>
    </row>
    <row r="84" ht="15" customHeight="1">
      <c r="A84" t="inlineStr">
        <is>
          <t>A 21212-2019</t>
        </is>
      </c>
      <c r="B84" s="1" t="n">
        <v>43579</v>
      </c>
      <c r="C84" s="1" t="n">
        <v>45506</v>
      </c>
      <c r="D84" t="inlineStr">
        <is>
          <t>DALARNAS LÄN</t>
        </is>
      </c>
      <c r="E84" t="inlineStr">
        <is>
          <t>HEDEMORA</t>
        </is>
      </c>
      <c r="G84" t="n">
        <v>0.9</v>
      </c>
      <c r="H84" t="n">
        <v>0</v>
      </c>
      <c r="I84" t="n">
        <v>0</v>
      </c>
      <c r="J84" t="n">
        <v>0</v>
      </c>
      <c r="K84" t="n">
        <v>0</v>
      </c>
      <c r="L84" t="n">
        <v>0</v>
      </c>
      <c r="M84" t="n">
        <v>0</v>
      </c>
      <c r="N84" t="n">
        <v>0</v>
      </c>
      <c r="O84" t="n">
        <v>0</v>
      </c>
      <c r="P84" t="n">
        <v>0</v>
      </c>
      <c r="Q84" t="n">
        <v>0</v>
      </c>
      <c r="R84" s="2" t="inlineStr"/>
    </row>
    <row r="85" ht="15" customHeight="1">
      <c r="A85" t="inlineStr">
        <is>
          <t>A 22494-2019</t>
        </is>
      </c>
      <c r="B85" s="1" t="n">
        <v>43587</v>
      </c>
      <c r="C85" s="1" t="n">
        <v>45506</v>
      </c>
      <c r="D85" t="inlineStr">
        <is>
          <t>DALARNAS LÄN</t>
        </is>
      </c>
      <c r="E85" t="inlineStr">
        <is>
          <t>HEDEMORA</t>
        </is>
      </c>
      <c r="G85" t="n">
        <v>5.3</v>
      </c>
      <c r="H85" t="n">
        <v>0</v>
      </c>
      <c r="I85" t="n">
        <v>0</v>
      </c>
      <c r="J85" t="n">
        <v>0</v>
      </c>
      <c r="K85" t="n">
        <v>0</v>
      </c>
      <c r="L85" t="n">
        <v>0</v>
      </c>
      <c r="M85" t="n">
        <v>0</v>
      </c>
      <c r="N85" t="n">
        <v>0</v>
      </c>
      <c r="O85" t="n">
        <v>0</v>
      </c>
      <c r="P85" t="n">
        <v>0</v>
      </c>
      <c r="Q85" t="n">
        <v>0</v>
      </c>
      <c r="R85" s="2" t="inlineStr"/>
    </row>
    <row r="86" ht="15" customHeight="1">
      <c r="A86" t="inlineStr">
        <is>
          <t>A 22810-2019</t>
        </is>
      </c>
      <c r="B86" s="1" t="n">
        <v>43590</v>
      </c>
      <c r="C86" s="1" t="n">
        <v>45506</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23492-2019</t>
        </is>
      </c>
      <c r="B87" s="1" t="n">
        <v>43594</v>
      </c>
      <c r="C87" s="1" t="n">
        <v>45506</v>
      </c>
      <c r="D87" t="inlineStr">
        <is>
          <t>DALARNAS LÄN</t>
        </is>
      </c>
      <c r="E87" t="inlineStr">
        <is>
          <t>HEDEMORA</t>
        </is>
      </c>
      <c r="G87" t="n">
        <v>3.2</v>
      </c>
      <c r="H87" t="n">
        <v>0</v>
      </c>
      <c r="I87" t="n">
        <v>0</v>
      </c>
      <c r="J87" t="n">
        <v>0</v>
      </c>
      <c r="K87" t="n">
        <v>0</v>
      </c>
      <c r="L87" t="n">
        <v>0</v>
      </c>
      <c r="M87" t="n">
        <v>0</v>
      </c>
      <c r="N87" t="n">
        <v>0</v>
      </c>
      <c r="O87" t="n">
        <v>0</v>
      </c>
      <c r="P87" t="n">
        <v>0</v>
      </c>
      <c r="Q87" t="n">
        <v>0</v>
      </c>
      <c r="R87" s="2" t="inlineStr"/>
    </row>
    <row r="88" ht="15" customHeight="1">
      <c r="A88" t="inlineStr">
        <is>
          <t>A 23804-2019</t>
        </is>
      </c>
      <c r="B88" s="1" t="n">
        <v>43595</v>
      </c>
      <c r="C88" s="1" t="n">
        <v>45506</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23808-2019</t>
        </is>
      </c>
      <c r="B89" s="1" t="n">
        <v>43595</v>
      </c>
      <c r="C89" s="1" t="n">
        <v>45506</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24904-2019</t>
        </is>
      </c>
      <c r="B90" s="1" t="n">
        <v>43602</v>
      </c>
      <c r="C90" s="1" t="n">
        <v>45506</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26162-2019</t>
        </is>
      </c>
      <c r="B91" s="1" t="n">
        <v>43609</v>
      </c>
      <c r="C91" s="1" t="n">
        <v>45506</v>
      </c>
      <c r="D91" t="inlineStr">
        <is>
          <t>DALARNAS LÄN</t>
        </is>
      </c>
      <c r="E91" t="inlineStr">
        <is>
          <t>HEDEMORA</t>
        </is>
      </c>
      <c r="F91" t="inlineStr">
        <is>
          <t>Sveaskog</t>
        </is>
      </c>
      <c r="G91" t="n">
        <v>12.8</v>
      </c>
      <c r="H91" t="n">
        <v>0</v>
      </c>
      <c r="I91" t="n">
        <v>0</v>
      </c>
      <c r="J91" t="n">
        <v>0</v>
      </c>
      <c r="K91" t="n">
        <v>0</v>
      </c>
      <c r="L91" t="n">
        <v>0</v>
      </c>
      <c r="M91" t="n">
        <v>0</v>
      </c>
      <c r="N91" t="n">
        <v>0</v>
      </c>
      <c r="O91" t="n">
        <v>0</v>
      </c>
      <c r="P91" t="n">
        <v>0</v>
      </c>
      <c r="Q91" t="n">
        <v>0</v>
      </c>
      <c r="R91" s="2" t="inlineStr"/>
    </row>
    <row r="92" ht="15" customHeight="1">
      <c r="A92" t="inlineStr">
        <is>
          <t>A 26167-2019</t>
        </is>
      </c>
      <c r="B92" s="1" t="n">
        <v>43609</v>
      </c>
      <c r="C92" s="1" t="n">
        <v>45506</v>
      </c>
      <c r="D92" t="inlineStr">
        <is>
          <t>DALARNAS LÄN</t>
        </is>
      </c>
      <c r="E92" t="inlineStr">
        <is>
          <t>HEDEMORA</t>
        </is>
      </c>
      <c r="F92" t="inlineStr">
        <is>
          <t>Sveaskog</t>
        </is>
      </c>
      <c r="G92" t="n">
        <v>7</v>
      </c>
      <c r="H92" t="n">
        <v>0</v>
      </c>
      <c r="I92" t="n">
        <v>0</v>
      </c>
      <c r="J92" t="n">
        <v>0</v>
      </c>
      <c r="K92" t="n">
        <v>0</v>
      </c>
      <c r="L92" t="n">
        <v>0</v>
      </c>
      <c r="M92" t="n">
        <v>0</v>
      </c>
      <c r="N92" t="n">
        <v>0</v>
      </c>
      <c r="O92" t="n">
        <v>0</v>
      </c>
      <c r="P92" t="n">
        <v>0</v>
      </c>
      <c r="Q92" t="n">
        <v>0</v>
      </c>
      <c r="R92" s="2" t="inlineStr"/>
    </row>
    <row r="93" ht="15" customHeight="1">
      <c r="A93" t="inlineStr">
        <is>
          <t>A 27393-2019</t>
        </is>
      </c>
      <c r="B93" s="1" t="n">
        <v>43616</v>
      </c>
      <c r="C93" s="1" t="n">
        <v>45506</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27949-2019</t>
        </is>
      </c>
      <c r="B94" s="1" t="n">
        <v>43620</v>
      </c>
      <c r="C94" s="1" t="n">
        <v>45506</v>
      </c>
      <c r="D94" t="inlineStr">
        <is>
          <t>DALARNAS LÄN</t>
        </is>
      </c>
      <c r="E94" t="inlineStr">
        <is>
          <t>HEDEMORA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28696-2019</t>
        </is>
      </c>
      <c r="B95" s="1" t="n">
        <v>43627</v>
      </c>
      <c r="C95" s="1" t="n">
        <v>45506</v>
      </c>
      <c r="D95" t="inlineStr">
        <is>
          <t>DALARNAS LÄN</t>
        </is>
      </c>
      <c r="E95" t="inlineStr">
        <is>
          <t>HEDEMORA</t>
        </is>
      </c>
      <c r="G95" t="n">
        <v>3.2</v>
      </c>
      <c r="H95" t="n">
        <v>0</v>
      </c>
      <c r="I95" t="n">
        <v>0</v>
      </c>
      <c r="J95" t="n">
        <v>0</v>
      </c>
      <c r="K95" t="n">
        <v>0</v>
      </c>
      <c r="L95" t="n">
        <v>0</v>
      </c>
      <c r="M95" t="n">
        <v>0</v>
      </c>
      <c r="N95" t="n">
        <v>0</v>
      </c>
      <c r="O95" t="n">
        <v>0</v>
      </c>
      <c r="P95" t="n">
        <v>0</v>
      </c>
      <c r="Q95" t="n">
        <v>0</v>
      </c>
      <c r="R95" s="2" t="inlineStr"/>
    </row>
    <row r="96" ht="15" customHeight="1">
      <c r="A96" t="inlineStr">
        <is>
          <t>A 30497-2019</t>
        </is>
      </c>
      <c r="B96" s="1" t="n">
        <v>43635</v>
      </c>
      <c r="C96" s="1" t="n">
        <v>45506</v>
      </c>
      <c r="D96" t="inlineStr">
        <is>
          <t>DALARNAS LÄN</t>
        </is>
      </c>
      <c r="E96" t="inlineStr">
        <is>
          <t>HEDEMORA</t>
        </is>
      </c>
      <c r="G96" t="n">
        <v>2.2</v>
      </c>
      <c r="H96" t="n">
        <v>0</v>
      </c>
      <c r="I96" t="n">
        <v>0</v>
      </c>
      <c r="J96" t="n">
        <v>0</v>
      </c>
      <c r="K96" t="n">
        <v>0</v>
      </c>
      <c r="L96" t="n">
        <v>0</v>
      </c>
      <c r="M96" t="n">
        <v>0</v>
      </c>
      <c r="N96" t="n">
        <v>0</v>
      </c>
      <c r="O96" t="n">
        <v>0</v>
      </c>
      <c r="P96" t="n">
        <v>0</v>
      </c>
      <c r="Q96" t="n">
        <v>0</v>
      </c>
      <c r="R96" s="2" t="inlineStr"/>
    </row>
    <row r="97" ht="15" customHeight="1">
      <c r="A97" t="inlineStr">
        <is>
          <t>A 30687-2019</t>
        </is>
      </c>
      <c r="B97" s="1" t="n">
        <v>43636</v>
      </c>
      <c r="C97" s="1" t="n">
        <v>45506</v>
      </c>
      <c r="D97" t="inlineStr">
        <is>
          <t>DALARNAS LÄN</t>
        </is>
      </c>
      <c r="E97" t="inlineStr">
        <is>
          <t>HEDEMORA</t>
        </is>
      </c>
      <c r="G97" t="n">
        <v>0.6</v>
      </c>
      <c r="H97" t="n">
        <v>0</v>
      </c>
      <c r="I97" t="n">
        <v>0</v>
      </c>
      <c r="J97" t="n">
        <v>0</v>
      </c>
      <c r="K97" t="n">
        <v>0</v>
      </c>
      <c r="L97" t="n">
        <v>0</v>
      </c>
      <c r="M97" t="n">
        <v>0</v>
      </c>
      <c r="N97" t="n">
        <v>0</v>
      </c>
      <c r="O97" t="n">
        <v>0</v>
      </c>
      <c r="P97" t="n">
        <v>0</v>
      </c>
      <c r="Q97" t="n">
        <v>0</v>
      </c>
      <c r="R97" s="2" t="inlineStr"/>
    </row>
    <row r="98" ht="15" customHeight="1">
      <c r="A98" t="inlineStr">
        <is>
          <t>A 34027-2019</t>
        </is>
      </c>
      <c r="B98" s="1" t="n">
        <v>43654</v>
      </c>
      <c r="C98" s="1" t="n">
        <v>45506</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35855-2019</t>
        </is>
      </c>
      <c r="B99" s="1" t="n">
        <v>43665</v>
      </c>
      <c r="C99" s="1" t="n">
        <v>45506</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40919-2019</t>
        </is>
      </c>
      <c r="B100" s="1" t="n">
        <v>43697</v>
      </c>
      <c r="C100" s="1" t="n">
        <v>45506</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41399-2019</t>
        </is>
      </c>
      <c r="B101" s="1" t="n">
        <v>43698</v>
      </c>
      <c r="C101" s="1" t="n">
        <v>45506</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43530-2019</t>
        </is>
      </c>
      <c r="B102" s="1" t="n">
        <v>43706</v>
      </c>
      <c r="C102" s="1" t="n">
        <v>45506</v>
      </c>
      <c r="D102" t="inlineStr">
        <is>
          <t>DALARNAS LÄN</t>
        </is>
      </c>
      <c r="E102" t="inlineStr">
        <is>
          <t>HEDEMORA</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46775-2019</t>
        </is>
      </c>
      <c r="B103" s="1" t="n">
        <v>43720</v>
      </c>
      <c r="C103" s="1" t="n">
        <v>45506</v>
      </c>
      <c r="D103" t="inlineStr">
        <is>
          <t>DALARNAS LÄN</t>
        </is>
      </c>
      <c r="E103" t="inlineStr">
        <is>
          <t>HEDEMORA</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46795-2019</t>
        </is>
      </c>
      <c r="B104" s="1" t="n">
        <v>43720</v>
      </c>
      <c r="C104" s="1" t="n">
        <v>45506</v>
      </c>
      <c r="D104" t="inlineStr">
        <is>
          <t>DALARNAS LÄN</t>
        </is>
      </c>
      <c r="E104" t="inlineStr">
        <is>
          <t>HEDEMORA</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47882-2019</t>
        </is>
      </c>
      <c r="B105" s="1" t="n">
        <v>43725</v>
      </c>
      <c r="C105" s="1" t="n">
        <v>45506</v>
      </c>
      <c r="D105" t="inlineStr">
        <is>
          <t>DALARNAS LÄN</t>
        </is>
      </c>
      <c r="E105" t="inlineStr">
        <is>
          <t>HEDEMORA</t>
        </is>
      </c>
      <c r="F105" t="inlineStr">
        <is>
          <t>Sveaskog</t>
        </is>
      </c>
      <c r="G105" t="n">
        <v>4.7</v>
      </c>
      <c r="H105" t="n">
        <v>0</v>
      </c>
      <c r="I105" t="n">
        <v>0</v>
      </c>
      <c r="J105" t="n">
        <v>0</v>
      </c>
      <c r="K105" t="n">
        <v>0</v>
      </c>
      <c r="L105" t="n">
        <v>0</v>
      </c>
      <c r="M105" t="n">
        <v>0</v>
      </c>
      <c r="N105" t="n">
        <v>0</v>
      </c>
      <c r="O105" t="n">
        <v>0</v>
      </c>
      <c r="P105" t="n">
        <v>0</v>
      </c>
      <c r="Q105" t="n">
        <v>0</v>
      </c>
      <c r="R105" s="2" t="inlineStr"/>
    </row>
    <row r="106" ht="15" customHeight="1">
      <c r="A106" t="inlineStr">
        <is>
          <t>A 49197-2019</t>
        </is>
      </c>
      <c r="B106" s="1" t="n">
        <v>43731</v>
      </c>
      <c r="C106" s="1" t="n">
        <v>45506</v>
      </c>
      <c r="D106" t="inlineStr">
        <is>
          <t>DALARNAS LÄN</t>
        </is>
      </c>
      <c r="E106" t="inlineStr">
        <is>
          <t>HEDEMORA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49300-2019</t>
        </is>
      </c>
      <c r="B107" s="1" t="n">
        <v>43731</v>
      </c>
      <c r="C107" s="1" t="n">
        <v>45506</v>
      </c>
      <c r="D107" t="inlineStr">
        <is>
          <t>DALARNAS LÄN</t>
        </is>
      </c>
      <c r="E107" t="inlineStr">
        <is>
          <t>HEDEMORA</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49324-2019</t>
        </is>
      </c>
      <c r="B108" s="1" t="n">
        <v>43731</v>
      </c>
      <c r="C108" s="1" t="n">
        <v>45506</v>
      </c>
      <c r="D108" t="inlineStr">
        <is>
          <t>DALARNAS LÄN</t>
        </is>
      </c>
      <c r="E108" t="inlineStr">
        <is>
          <t>HEDEMORA</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50183-2019</t>
        </is>
      </c>
      <c r="B109" s="1" t="n">
        <v>43734</v>
      </c>
      <c r="C109" s="1" t="n">
        <v>45506</v>
      </c>
      <c r="D109" t="inlineStr">
        <is>
          <t>DALARNAS LÄN</t>
        </is>
      </c>
      <c r="E109" t="inlineStr">
        <is>
          <t>HEDEMORA</t>
        </is>
      </c>
      <c r="G109" t="n">
        <v>1.8</v>
      </c>
      <c r="H109" t="n">
        <v>0</v>
      </c>
      <c r="I109" t="n">
        <v>0</v>
      </c>
      <c r="J109" t="n">
        <v>0</v>
      </c>
      <c r="K109" t="n">
        <v>0</v>
      </c>
      <c r="L109" t="n">
        <v>0</v>
      </c>
      <c r="M109" t="n">
        <v>0</v>
      </c>
      <c r="N109" t="n">
        <v>0</v>
      </c>
      <c r="O109" t="n">
        <v>0</v>
      </c>
      <c r="P109" t="n">
        <v>0</v>
      </c>
      <c r="Q109" t="n">
        <v>0</v>
      </c>
      <c r="R109" s="2" t="inlineStr"/>
    </row>
    <row r="110" ht="15" customHeight="1">
      <c r="A110" t="inlineStr">
        <is>
          <t>A 51877-2019</t>
        </is>
      </c>
      <c r="B110" s="1" t="n">
        <v>43741</v>
      </c>
      <c r="C110" s="1" t="n">
        <v>45506</v>
      </c>
      <c r="D110" t="inlineStr">
        <is>
          <t>DALARNAS LÄN</t>
        </is>
      </c>
      <c r="E110" t="inlineStr">
        <is>
          <t>HEDEMORA</t>
        </is>
      </c>
      <c r="G110" t="n">
        <v>3.3</v>
      </c>
      <c r="H110" t="n">
        <v>0</v>
      </c>
      <c r="I110" t="n">
        <v>0</v>
      </c>
      <c r="J110" t="n">
        <v>0</v>
      </c>
      <c r="K110" t="n">
        <v>0</v>
      </c>
      <c r="L110" t="n">
        <v>0</v>
      </c>
      <c r="M110" t="n">
        <v>0</v>
      </c>
      <c r="N110" t="n">
        <v>0</v>
      </c>
      <c r="O110" t="n">
        <v>0</v>
      </c>
      <c r="P110" t="n">
        <v>0</v>
      </c>
      <c r="Q110" t="n">
        <v>0</v>
      </c>
      <c r="R110" s="2" t="inlineStr"/>
    </row>
    <row r="111" ht="15" customHeight="1">
      <c r="A111" t="inlineStr">
        <is>
          <t>A 53323-2019</t>
        </is>
      </c>
      <c r="B111" s="1" t="n">
        <v>43748</v>
      </c>
      <c r="C111" s="1" t="n">
        <v>45506</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54358-2019</t>
        </is>
      </c>
      <c r="B112" s="1" t="n">
        <v>43754</v>
      </c>
      <c r="C112" s="1" t="n">
        <v>45506</v>
      </c>
      <c r="D112" t="inlineStr">
        <is>
          <t>DALARNAS LÄN</t>
        </is>
      </c>
      <c r="E112" t="inlineStr">
        <is>
          <t>HEDEMORA</t>
        </is>
      </c>
      <c r="G112" t="n">
        <v>5.2</v>
      </c>
      <c r="H112" t="n">
        <v>0</v>
      </c>
      <c r="I112" t="n">
        <v>0</v>
      </c>
      <c r="J112" t="n">
        <v>0</v>
      </c>
      <c r="K112" t="n">
        <v>0</v>
      </c>
      <c r="L112" t="n">
        <v>0</v>
      </c>
      <c r="M112" t="n">
        <v>0</v>
      </c>
      <c r="N112" t="n">
        <v>0</v>
      </c>
      <c r="O112" t="n">
        <v>0</v>
      </c>
      <c r="P112" t="n">
        <v>0</v>
      </c>
      <c r="Q112" t="n">
        <v>0</v>
      </c>
      <c r="R112" s="2" t="inlineStr"/>
    </row>
    <row r="113" ht="15" customHeight="1">
      <c r="A113" t="inlineStr">
        <is>
          <t>A 60139-2019</t>
        </is>
      </c>
      <c r="B113" s="1" t="n">
        <v>43779</v>
      </c>
      <c r="C113" s="1" t="n">
        <v>45506</v>
      </c>
      <c r="D113" t="inlineStr">
        <is>
          <t>DALARNAS LÄN</t>
        </is>
      </c>
      <c r="E113" t="inlineStr">
        <is>
          <t>HEDEMORA</t>
        </is>
      </c>
      <c r="G113" t="n">
        <v>3.6</v>
      </c>
      <c r="H113" t="n">
        <v>0</v>
      </c>
      <c r="I113" t="n">
        <v>0</v>
      </c>
      <c r="J113" t="n">
        <v>0</v>
      </c>
      <c r="K113" t="n">
        <v>0</v>
      </c>
      <c r="L113" t="n">
        <v>0</v>
      </c>
      <c r="M113" t="n">
        <v>0</v>
      </c>
      <c r="N113" t="n">
        <v>0</v>
      </c>
      <c r="O113" t="n">
        <v>0</v>
      </c>
      <c r="P113" t="n">
        <v>0</v>
      </c>
      <c r="Q113" t="n">
        <v>0</v>
      </c>
      <c r="R113" s="2" t="inlineStr"/>
    </row>
    <row r="114" ht="15" customHeight="1">
      <c r="A114" t="inlineStr">
        <is>
          <t>A 60319-2019</t>
        </is>
      </c>
      <c r="B114" s="1" t="n">
        <v>43780</v>
      </c>
      <c r="C114" s="1" t="n">
        <v>45506</v>
      </c>
      <c r="D114" t="inlineStr">
        <is>
          <t>DALARNAS LÄN</t>
        </is>
      </c>
      <c r="E114" t="inlineStr">
        <is>
          <t>HEDEMORA</t>
        </is>
      </c>
      <c r="F114" t="inlineStr">
        <is>
          <t>Bergvik skog väst AB</t>
        </is>
      </c>
      <c r="G114" t="n">
        <v>2.5</v>
      </c>
      <c r="H114" t="n">
        <v>0</v>
      </c>
      <c r="I114" t="n">
        <v>0</v>
      </c>
      <c r="J114" t="n">
        <v>0</v>
      </c>
      <c r="K114" t="n">
        <v>0</v>
      </c>
      <c r="L114" t="n">
        <v>0</v>
      </c>
      <c r="M114" t="n">
        <v>0</v>
      </c>
      <c r="N114" t="n">
        <v>0</v>
      </c>
      <c r="O114" t="n">
        <v>0</v>
      </c>
      <c r="P114" t="n">
        <v>0</v>
      </c>
      <c r="Q114" t="n">
        <v>0</v>
      </c>
      <c r="R114" s="2" t="inlineStr"/>
    </row>
    <row r="115" ht="15" customHeight="1">
      <c r="A115" t="inlineStr">
        <is>
          <t>A 60318-2019</t>
        </is>
      </c>
      <c r="B115" s="1" t="n">
        <v>43780</v>
      </c>
      <c r="C115" s="1" t="n">
        <v>45506</v>
      </c>
      <c r="D115" t="inlineStr">
        <is>
          <t>DALARNAS LÄN</t>
        </is>
      </c>
      <c r="E115" t="inlineStr">
        <is>
          <t>HEDEMORA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60461-2019</t>
        </is>
      </c>
      <c r="B116" s="1" t="n">
        <v>43780</v>
      </c>
      <c r="C116" s="1" t="n">
        <v>45506</v>
      </c>
      <c r="D116" t="inlineStr">
        <is>
          <t>DALARNAS LÄN</t>
        </is>
      </c>
      <c r="E116" t="inlineStr">
        <is>
          <t>HEDEMORA</t>
        </is>
      </c>
      <c r="G116" t="n">
        <v>2.8</v>
      </c>
      <c r="H116" t="n">
        <v>0</v>
      </c>
      <c r="I116" t="n">
        <v>0</v>
      </c>
      <c r="J116" t="n">
        <v>0</v>
      </c>
      <c r="K116" t="n">
        <v>0</v>
      </c>
      <c r="L116" t="n">
        <v>0</v>
      </c>
      <c r="M116" t="n">
        <v>0</v>
      </c>
      <c r="N116" t="n">
        <v>0</v>
      </c>
      <c r="O116" t="n">
        <v>0</v>
      </c>
      <c r="P116" t="n">
        <v>0</v>
      </c>
      <c r="Q116" t="n">
        <v>0</v>
      </c>
      <c r="R116" s="2" t="inlineStr"/>
    </row>
    <row r="117" ht="15" customHeight="1">
      <c r="A117" t="inlineStr">
        <is>
          <t>A 60543-2019</t>
        </is>
      </c>
      <c r="B117" s="1" t="n">
        <v>43781</v>
      </c>
      <c r="C117" s="1" t="n">
        <v>45506</v>
      </c>
      <c r="D117" t="inlineStr">
        <is>
          <t>DALARNAS LÄN</t>
        </is>
      </c>
      <c r="E117" t="inlineStr">
        <is>
          <t>HEDEMORA</t>
        </is>
      </c>
      <c r="G117" t="n">
        <v>4.6</v>
      </c>
      <c r="H117" t="n">
        <v>0</v>
      </c>
      <c r="I117" t="n">
        <v>0</v>
      </c>
      <c r="J117" t="n">
        <v>0</v>
      </c>
      <c r="K117" t="n">
        <v>0</v>
      </c>
      <c r="L117" t="n">
        <v>0</v>
      </c>
      <c r="M117" t="n">
        <v>0</v>
      </c>
      <c r="N117" t="n">
        <v>0</v>
      </c>
      <c r="O117" t="n">
        <v>0</v>
      </c>
      <c r="P117" t="n">
        <v>0</v>
      </c>
      <c r="Q117" t="n">
        <v>0</v>
      </c>
      <c r="R117" s="2" t="inlineStr"/>
    </row>
    <row r="118" ht="15" customHeight="1">
      <c r="A118" t="inlineStr">
        <is>
          <t>A 60529-2019</t>
        </is>
      </c>
      <c r="B118" s="1" t="n">
        <v>43781</v>
      </c>
      <c r="C118" s="1" t="n">
        <v>45506</v>
      </c>
      <c r="D118" t="inlineStr">
        <is>
          <t>DALARNAS LÄN</t>
        </is>
      </c>
      <c r="E118" t="inlineStr">
        <is>
          <t>HEDEMORA</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60556-2019</t>
        </is>
      </c>
      <c r="B119" s="1" t="n">
        <v>43781</v>
      </c>
      <c r="C119" s="1" t="n">
        <v>45506</v>
      </c>
      <c r="D119" t="inlineStr">
        <is>
          <t>DALARNAS LÄN</t>
        </is>
      </c>
      <c r="E119" t="inlineStr">
        <is>
          <t>HEDEMORA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61007-2019</t>
        </is>
      </c>
      <c r="B120" s="1" t="n">
        <v>43782</v>
      </c>
      <c r="C120" s="1" t="n">
        <v>45506</v>
      </c>
      <c r="D120" t="inlineStr">
        <is>
          <t>DALARNAS LÄN</t>
        </is>
      </c>
      <c r="E120" t="inlineStr">
        <is>
          <t>HEDEMORA</t>
        </is>
      </c>
      <c r="G120" t="n">
        <v>0.8</v>
      </c>
      <c r="H120" t="n">
        <v>0</v>
      </c>
      <c r="I120" t="n">
        <v>0</v>
      </c>
      <c r="J120" t="n">
        <v>0</v>
      </c>
      <c r="K120" t="n">
        <v>0</v>
      </c>
      <c r="L120" t="n">
        <v>0</v>
      </c>
      <c r="M120" t="n">
        <v>0</v>
      </c>
      <c r="N120" t="n">
        <v>0</v>
      </c>
      <c r="O120" t="n">
        <v>0</v>
      </c>
      <c r="P120" t="n">
        <v>0</v>
      </c>
      <c r="Q120" t="n">
        <v>0</v>
      </c>
      <c r="R120" s="2" t="inlineStr"/>
    </row>
    <row r="121" ht="15" customHeight="1">
      <c r="A121" t="inlineStr">
        <is>
          <t>A 61382-2019</t>
        </is>
      </c>
      <c r="B121" s="1" t="n">
        <v>43783</v>
      </c>
      <c r="C121" s="1" t="n">
        <v>45506</v>
      </c>
      <c r="D121" t="inlineStr">
        <is>
          <t>DALARNAS LÄN</t>
        </is>
      </c>
      <c r="E121" t="inlineStr">
        <is>
          <t>HEDEMORA</t>
        </is>
      </c>
      <c r="G121" t="n">
        <v>1.8</v>
      </c>
      <c r="H121" t="n">
        <v>0</v>
      </c>
      <c r="I121" t="n">
        <v>0</v>
      </c>
      <c r="J121" t="n">
        <v>0</v>
      </c>
      <c r="K121" t="n">
        <v>0</v>
      </c>
      <c r="L121" t="n">
        <v>0</v>
      </c>
      <c r="M121" t="n">
        <v>0</v>
      </c>
      <c r="N121" t="n">
        <v>0</v>
      </c>
      <c r="O121" t="n">
        <v>0</v>
      </c>
      <c r="P121" t="n">
        <v>0</v>
      </c>
      <c r="Q121" t="n">
        <v>0</v>
      </c>
      <c r="R121" s="2" t="inlineStr"/>
    </row>
    <row r="122" ht="15" customHeight="1">
      <c r="A122" t="inlineStr">
        <is>
          <t>A 63101-2019</t>
        </is>
      </c>
      <c r="B122" s="1" t="n">
        <v>43791</v>
      </c>
      <c r="C122" s="1" t="n">
        <v>45506</v>
      </c>
      <c r="D122" t="inlineStr">
        <is>
          <t>DALARNAS LÄN</t>
        </is>
      </c>
      <c r="E122" t="inlineStr">
        <is>
          <t>HEDEMORA</t>
        </is>
      </c>
      <c r="F122" t="inlineStr">
        <is>
          <t>Kommuner</t>
        </is>
      </c>
      <c r="G122" t="n">
        <v>3.3</v>
      </c>
      <c r="H122" t="n">
        <v>0</v>
      </c>
      <c r="I122" t="n">
        <v>0</v>
      </c>
      <c r="J122" t="n">
        <v>0</v>
      </c>
      <c r="K122" t="n">
        <v>0</v>
      </c>
      <c r="L122" t="n">
        <v>0</v>
      </c>
      <c r="M122" t="n">
        <v>0</v>
      </c>
      <c r="N122" t="n">
        <v>0</v>
      </c>
      <c r="O122" t="n">
        <v>0</v>
      </c>
      <c r="P122" t="n">
        <v>0</v>
      </c>
      <c r="Q122" t="n">
        <v>0</v>
      </c>
      <c r="R122" s="2" t="inlineStr"/>
    </row>
    <row r="123" ht="15" customHeight="1">
      <c r="A123" t="inlineStr">
        <is>
          <t>A 65308-2019</t>
        </is>
      </c>
      <c r="B123" s="1" t="n">
        <v>43802</v>
      </c>
      <c r="C123" s="1" t="n">
        <v>45506</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65315-2019</t>
        </is>
      </c>
      <c r="B124" s="1" t="n">
        <v>43802</v>
      </c>
      <c r="C124" s="1" t="n">
        <v>45506</v>
      </c>
      <c r="D124" t="inlineStr">
        <is>
          <t>DALARNAS LÄN</t>
        </is>
      </c>
      <c r="E124" t="inlineStr">
        <is>
          <t>HEDEMORA</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68856-2019</t>
        </is>
      </c>
      <c r="B125" s="1" t="n">
        <v>43820</v>
      </c>
      <c r="C125" s="1" t="n">
        <v>45506</v>
      </c>
      <c r="D125" t="inlineStr">
        <is>
          <t>DALARNAS LÄN</t>
        </is>
      </c>
      <c r="E125" t="inlineStr">
        <is>
          <t>HEDEMORA</t>
        </is>
      </c>
      <c r="G125" t="n">
        <v>17.6</v>
      </c>
      <c r="H125" t="n">
        <v>0</v>
      </c>
      <c r="I125" t="n">
        <v>0</v>
      </c>
      <c r="J125" t="n">
        <v>0</v>
      </c>
      <c r="K125" t="n">
        <v>0</v>
      </c>
      <c r="L125" t="n">
        <v>0</v>
      </c>
      <c r="M125" t="n">
        <v>0</v>
      </c>
      <c r="N125" t="n">
        <v>0</v>
      </c>
      <c r="O125" t="n">
        <v>0</v>
      </c>
      <c r="P125" t="n">
        <v>0</v>
      </c>
      <c r="Q125" t="n">
        <v>0</v>
      </c>
      <c r="R125" s="2" t="inlineStr"/>
    </row>
    <row r="126" ht="15" customHeight="1">
      <c r="A126" t="inlineStr">
        <is>
          <t>A 1215-2020</t>
        </is>
      </c>
      <c r="B126" s="1" t="n">
        <v>43840</v>
      </c>
      <c r="C126" s="1" t="n">
        <v>45506</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2390-2020</t>
        </is>
      </c>
      <c r="B127" s="1" t="n">
        <v>43847</v>
      </c>
      <c r="C127" s="1" t="n">
        <v>45506</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2846-2020</t>
        </is>
      </c>
      <c r="B128" s="1" t="n">
        <v>43850</v>
      </c>
      <c r="C128" s="1" t="n">
        <v>45506</v>
      </c>
      <c r="D128" t="inlineStr">
        <is>
          <t>DALARNAS LÄN</t>
        </is>
      </c>
      <c r="E128" t="inlineStr">
        <is>
          <t>HEDEMORA</t>
        </is>
      </c>
      <c r="G128" t="n">
        <v>4.2</v>
      </c>
      <c r="H128" t="n">
        <v>0</v>
      </c>
      <c r="I128" t="n">
        <v>0</v>
      </c>
      <c r="J128" t="n">
        <v>0</v>
      </c>
      <c r="K128" t="n">
        <v>0</v>
      </c>
      <c r="L128" t="n">
        <v>0</v>
      </c>
      <c r="M128" t="n">
        <v>0</v>
      </c>
      <c r="N128" t="n">
        <v>0</v>
      </c>
      <c r="O128" t="n">
        <v>0</v>
      </c>
      <c r="P128" t="n">
        <v>0</v>
      </c>
      <c r="Q128" t="n">
        <v>0</v>
      </c>
      <c r="R128" s="2" t="inlineStr"/>
    </row>
    <row r="129" ht="15" customHeight="1">
      <c r="A129" t="inlineStr">
        <is>
          <t>A 2915-2020</t>
        </is>
      </c>
      <c r="B129" s="1" t="n">
        <v>43850</v>
      </c>
      <c r="C129" s="1" t="n">
        <v>45506</v>
      </c>
      <c r="D129" t="inlineStr">
        <is>
          <t>DALARNAS LÄN</t>
        </is>
      </c>
      <c r="E129" t="inlineStr">
        <is>
          <t>HEDEMORA</t>
        </is>
      </c>
      <c r="G129" t="n">
        <v>0.8</v>
      </c>
      <c r="H129" t="n">
        <v>0</v>
      </c>
      <c r="I129" t="n">
        <v>0</v>
      </c>
      <c r="J129" t="n">
        <v>0</v>
      </c>
      <c r="K129" t="n">
        <v>0</v>
      </c>
      <c r="L129" t="n">
        <v>0</v>
      </c>
      <c r="M129" t="n">
        <v>0</v>
      </c>
      <c r="N129" t="n">
        <v>0</v>
      </c>
      <c r="O129" t="n">
        <v>0</v>
      </c>
      <c r="P129" t="n">
        <v>0</v>
      </c>
      <c r="Q129" t="n">
        <v>0</v>
      </c>
      <c r="R129" s="2" t="inlineStr"/>
    </row>
    <row r="130" ht="15" customHeight="1">
      <c r="A130" t="inlineStr">
        <is>
          <t>A 3127-2020</t>
        </is>
      </c>
      <c r="B130" s="1" t="n">
        <v>43851</v>
      </c>
      <c r="C130" s="1" t="n">
        <v>45506</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5353-2020</t>
        </is>
      </c>
      <c r="B131" s="1" t="n">
        <v>43860</v>
      </c>
      <c r="C131" s="1" t="n">
        <v>45506</v>
      </c>
      <c r="D131" t="inlineStr">
        <is>
          <t>DALARNAS LÄN</t>
        </is>
      </c>
      <c r="E131" t="inlineStr">
        <is>
          <t>HEDEMORA</t>
        </is>
      </c>
      <c r="G131" t="n">
        <v>2.4</v>
      </c>
      <c r="H131" t="n">
        <v>0</v>
      </c>
      <c r="I131" t="n">
        <v>0</v>
      </c>
      <c r="J131" t="n">
        <v>0</v>
      </c>
      <c r="K131" t="n">
        <v>0</v>
      </c>
      <c r="L131" t="n">
        <v>0</v>
      </c>
      <c r="M131" t="n">
        <v>0</v>
      </c>
      <c r="N131" t="n">
        <v>0</v>
      </c>
      <c r="O131" t="n">
        <v>0</v>
      </c>
      <c r="P131" t="n">
        <v>0</v>
      </c>
      <c r="Q131" t="n">
        <v>0</v>
      </c>
      <c r="R131" s="2" t="inlineStr"/>
    </row>
    <row r="132" ht="15" customHeight="1">
      <c r="A132" t="inlineStr">
        <is>
          <t>A 5752-2020</t>
        </is>
      </c>
      <c r="B132" s="1" t="n">
        <v>43864</v>
      </c>
      <c r="C132" s="1" t="n">
        <v>45506</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5763-2020</t>
        </is>
      </c>
      <c r="B133" s="1" t="n">
        <v>43864</v>
      </c>
      <c r="C133" s="1" t="n">
        <v>45506</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5950-2020</t>
        </is>
      </c>
      <c r="B134" s="1" t="n">
        <v>43864</v>
      </c>
      <c r="C134" s="1" t="n">
        <v>45506</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6795-2020</t>
        </is>
      </c>
      <c r="B135" s="1" t="n">
        <v>43867</v>
      </c>
      <c r="C135" s="1" t="n">
        <v>45506</v>
      </c>
      <c r="D135" t="inlineStr">
        <is>
          <t>DALARNAS LÄN</t>
        </is>
      </c>
      <c r="E135" t="inlineStr">
        <is>
          <t>HEDEMORA</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6794-2020</t>
        </is>
      </c>
      <c r="B136" s="1" t="n">
        <v>43867</v>
      </c>
      <c r="C136" s="1" t="n">
        <v>45506</v>
      </c>
      <c r="D136" t="inlineStr">
        <is>
          <t>DALARNAS LÄN</t>
        </is>
      </c>
      <c r="E136" t="inlineStr">
        <is>
          <t>HEDEMORA</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7209-2020</t>
        </is>
      </c>
      <c r="B137" s="1" t="n">
        <v>43871</v>
      </c>
      <c r="C137" s="1" t="n">
        <v>45506</v>
      </c>
      <c r="D137" t="inlineStr">
        <is>
          <t>DALARNAS LÄN</t>
        </is>
      </c>
      <c r="E137" t="inlineStr">
        <is>
          <t>HEDEMORA</t>
        </is>
      </c>
      <c r="G137" t="n">
        <v>1.1</v>
      </c>
      <c r="H137" t="n">
        <v>0</v>
      </c>
      <c r="I137" t="n">
        <v>0</v>
      </c>
      <c r="J137" t="n">
        <v>0</v>
      </c>
      <c r="K137" t="n">
        <v>0</v>
      </c>
      <c r="L137" t="n">
        <v>0</v>
      </c>
      <c r="M137" t="n">
        <v>0</v>
      </c>
      <c r="N137" t="n">
        <v>0</v>
      </c>
      <c r="O137" t="n">
        <v>0</v>
      </c>
      <c r="P137" t="n">
        <v>0</v>
      </c>
      <c r="Q137" t="n">
        <v>0</v>
      </c>
      <c r="R137" s="2" t="inlineStr"/>
    </row>
    <row r="138" ht="15" customHeight="1">
      <c r="A138" t="inlineStr">
        <is>
          <t>A 7434-2020</t>
        </is>
      </c>
      <c r="B138" s="1" t="n">
        <v>43871</v>
      </c>
      <c r="C138" s="1" t="n">
        <v>45506</v>
      </c>
      <c r="D138" t="inlineStr">
        <is>
          <t>DALARNAS LÄN</t>
        </is>
      </c>
      <c r="E138" t="inlineStr">
        <is>
          <t>HEDEMORA</t>
        </is>
      </c>
      <c r="G138" t="n">
        <v>4.3</v>
      </c>
      <c r="H138" t="n">
        <v>0</v>
      </c>
      <c r="I138" t="n">
        <v>0</v>
      </c>
      <c r="J138" t="n">
        <v>0</v>
      </c>
      <c r="K138" t="n">
        <v>0</v>
      </c>
      <c r="L138" t="n">
        <v>0</v>
      </c>
      <c r="M138" t="n">
        <v>0</v>
      </c>
      <c r="N138" t="n">
        <v>0</v>
      </c>
      <c r="O138" t="n">
        <v>0</v>
      </c>
      <c r="P138" t="n">
        <v>0</v>
      </c>
      <c r="Q138" t="n">
        <v>0</v>
      </c>
      <c r="R138" s="2" t="inlineStr"/>
    </row>
    <row r="139" ht="15" customHeight="1">
      <c r="A139" t="inlineStr">
        <is>
          <t>A 8181-2020</t>
        </is>
      </c>
      <c r="B139" s="1" t="n">
        <v>43874</v>
      </c>
      <c r="C139" s="1" t="n">
        <v>45506</v>
      </c>
      <c r="D139" t="inlineStr">
        <is>
          <t>DALARNAS LÄN</t>
        </is>
      </c>
      <c r="E139" t="inlineStr">
        <is>
          <t>HEDEMORA</t>
        </is>
      </c>
      <c r="G139" t="n">
        <v>2.4</v>
      </c>
      <c r="H139" t="n">
        <v>0</v>
      </c>
      <c r="I139" t="n">
        <v>0</v>
      </c>
      <c r="J139" t="n">
        <v>0</v>
      </c>
      <c r="K139" t="n">
        <v>0</v>
      </c>
      <c r="L139" t="n">
        <v>0</v>
      </c>
      <c r="M139" t="n">
        <v>0</v>
      </c>
      <c r="N139" t="n">
        <v>0</v>
      </c>
      <c r="O139" t="n">
        <v>0</v>
      </c>
      <c r="P139" t="n">
        <v>0</v>
      </c>
      <c r="Q139" t="n">
        <v>0</v>
      </c>
      <c r="R139" s="2" t="inlineStr"/>
    </row>
    <row r="140" ht="15" customHeight="1">
      <c r="A140" t="inlineStr">
        <is>
          <t>A 8489-2020</t>
        </is>
      </c>
      <c r="B140" s="1" t="n">
        <v>43875</v>
      </c>
      <c r="C140" s="1" t="n">
        <v>45506</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8494-2020</t>
        </is>
      </c>
      <c r="B141" s="1" t="n">
        <v>43875</v>
      </c>
      <c r="C141" s="1" t="n">
        <v>45506</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9042-2020</t>
        </is>
      </c>
      <c r="B142" s="1" t="n">
        <v>43879</v>
      </c>
      <c r="C142" s="1" t="n">
        <v>45506</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9054-2020</t>
        </is>
      </c>
      <c r="B143" s="1" t="n">
        <v>43879</v>
      </c>
      <c r="C143" s="1" t="n">
        <v>45506</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9491-2020</t>
        </is>
      </c>
      <c r="B144" s="1" t="n">
        <v>43880</v>
      </c>
      <c r="C144" s="1" t="n">
        <v>45506</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9714-2020</t>
        </is>
      </c>
      <c r="B145" s="1" t="n">
        <v>43881</v>
      </c>
      <c r="C145" s="1" t="n">
        <v>45506</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10507-2020</t>
        </is>
      </c>
      <c r="B146" s="1" t="n">
        <v>43886</v>
      </c>
      <c r="C146" s="1" t="n">
        <v>45506</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11894-2020</t>
        </is>
      </c>
      <c r="B147" s="1" t="n">
        <v>43894</v>
      </c>
      <c r="C147" s="1" t="n">
        <v>45506</v>
      </c>
      <c r="D147" t="inlineStr">
        <is>
          <t>DALARNAS LÄN</t>
        </is>
      </c>
      <c r="E147" t="inlineStr">
        <is>
          <t>HEDEMORA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13872-2020</t>
        </is>
      </c>
      <c r="B148" s="1" t="n">
        <v>43906</v>
      </c>
      <c r="C148" s="1" t="n">
        <v>45506</v>
      </c>
      <c r="D148" t="inlineStr">
        <is>
          <t>DALARNAS LÄN</t>
        </is>
      </c>
      <c r="E148" t="inlineStr">
        <is>
          <t>HEDEMORA</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14117-2020</t>
        </is>
      </c>
      <c r="B149" s="1" t="n">
        <v>43907</v>
      </c>
      <c r="C149" s="1" t="n">
        <v>45506</v>
      </c>
      <c r="D149" t="inlineStr">
        <is>
          <t>DALARNAS LÄN</t>
        </is>
      </c>
      <c r="E149" t="inlineStr">
        <is>
          <t>HEDEMORA</t>
        </is>
      </c>
      <c r="G149" t="n">
        <v>1.6</v>
      </c>
      <c r="H149" t="n">
        <v>0</v>
      </c>
      <c r="I149" t="n">
        <v>0</v>
      </c>
      <c r="J149" t="n">
        <v>0</v>
      </c>
      <c r="K149" t="n">
        <v>0</v>
      </c>
      <c r="L149" t="n">
        <v>0</v>
      </c>
      <c r="M149" t="n">
        <v>0</v>
      </c>
      <c r="N149" t="n">
        <v>0</v>
      </c>
      <c r="O149" t="n">
        <v>0</v>
      </c>
      <c r="P149" t="n">
        <v>0</v>
      </c>
      <c r="Q149" t="n">
        <v>0</v>
      </c>
      <c r="R149" s="2" t="inlineStr"/>
    </row>
    <row r="150" ht="15" customHeight="1">
      <c r="A150" t="inlineStr">
        <is>
          <t>A 14554-2020</t>
        </is>
      </c>
      <c r="B150" s="1" t="n">
        <v>43908</v>
      </c>
      <c r="C150" s="1" t="n">
        <v>45506</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c r="U150">
        <f>HYPERLINK("https://klasma.github.io/Logging_2083/knärot/A 14554-2020 karta knärot.png", "A 14554-2020")</f>
        <v/>
      </c>
      <c r="V150">
        <f>HYPERLINK("https://klasma.github.io/Logging_2083/klagomål/A 14554-2020 FSC-klagomål.docx", "A 14554-2020")</f>
        <v/>
      </c>
      <c r="W150">
        <f>HYPERLINK("https://klasma.github.io/Logging_2083/klagomålsmail/A 14554-2020 FSC-klagomål mail.docx", "A 14554-2020")</f>
        <v/>
      </c>
      <c r="X150">
        <f>HYPERLINK("https://klasma.github.io/Logging_2083/tillsyn/A 14554-2020 tillsynsbegäran.docx", "A 14554-2020")</f>
        <v/>
      </c>
      <c r="Y150">
        <f>HYPERLINK("https://klasma.github.io/Logging_2083/tillsynsmail/A 14554-2020 tillsynsbegäran mail.docx", "A 14554-2020")</f>
        <v/>
      </c>
    </row>
    <row r="151" ht="15" customHeight="1">
      <c r="A151" t="inlineStr">
        <is>
          <t>A 16641-2020</t>
        </is>
      </c>
      <c r="B151" s="1" t="n">
        <v>43910</v>
      </c>
      <c r="C151" s="1" t="n">
        <v>45506</v>
      </c>
      <c r="D151" t="inlineStr">
        <is>
          <t>DALARNAS LÄN</t>
        </is>
      </c>
      <c r="E151" t="inlineStr">
        <is>
          <t>HEDEMORA</t>
        </is>
      </c>
      <c r="G151" t="n">
        <v>3.3</v>
      </c>
      <c r="H151" t="n">
        <v>0</v>
      </c>
      <c r="I151" t="n">
        <v>0</v>
      </c>
      <c r="J151" t="n">
        <v>0</v>
      </c>
      <c r="K151" t="n">
        <v>0</v>
      </c>
      <c r="L151" t="n">
        <v>0</v>
      </c>
      <c r="M151" t="n">
        <v>0</v>
      </c>
      <c r="N151" t="n">
        <v>0</v>
      </c>
      <c r="O151" t="n">
        <v>0</v>
      </c>
      <c r="P151" t="n">
        <v>0</v>
      </c>
      <c r="Q151" t="n">
        <v>0</v>
      </c>
      <c r="R151" s="2" t="inlineStr"/>
    </row>
    <row r="152" ht="15" customHeight="1">
      <c r="A152" t="inlineStr">
        <is>
          <t>A 17585-2020</t>
        </is>
      </c>
      <c r="B152" s="1" t="n">
        <v>43923</v>
      </c>
      <c r="C152" s="1" t="n">
        <v>45506</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18955-2020</t>
        </is>
      </c>
      <c r="B153" s="1" t="n">
        <v>43935</v>
      </c>
      <c r="C153" s="1" t="n">
        <v>45506</v>
      </c>
      <c r="D153" t="inlineStr">
        <is>
          <t>DALARNAS LÄN</t>
        </is>
      </c>
      <c r="E153" t="inlineStr">
        <is>
          <t>HEDEMORA</t>
        </is>
      </c>
      <c r="G153" t="n">
        <v>1.4</v>
      </c>
      <c r="H153" t="n">
        <v>0</v>
      </c>
      <c r="I153" t="n">
        <v>0</v>
      </c>
      <c r="J153" t="n">
        <v>0</v>
      </c>
      <c r="K153" t="n">
        <v>0</v>
      </c>
      <c r="L153" t="n">
        <v>0</v>
      </c>
      <c r="M153" t="n">
        <v>0</v>
      </c>
      <c r="N153" t="n">
        <v>0</v>
      </c>
      <c r="O153" t="n">
        <v>0</v>
      </c>
      <c r="P153" t="n">
        <v>0</v>
      </c>
      <c r="Q153" t="n">
        <v>0</v>
      </c>
      <c r="R153" s="2" t="inlineStr"/>
    </row>
    <row r="154" ht="15" customHeight="1">
      <c r="A154" t="inlineStr">
        <is>
          <t>A 18824-2020</t>
        </is>
      </c>
      <c r="B154" s="1" t="n">
        <v>43935</v>
      </c>
      <c r="C154" s="1" t="n">
        <v>45506</v>
      </c>
      <c r="D154" t="inlineStr">
        <is>
          <t>DALARNAS LÄN</t>
        </is>
      </c>
      <c r="E154" t="inlineStr">
        <is>
          <t>HEDEMORA</t>
        </is>
      </c>
      <c r="F154" t="inlineStr">
        <is>
          <t>Sveaskog</t>
        </is>
      </c>
      <c r="G154" t="n">
        <v>22.7</v>
      </c>
      <c r="H154" t="n">
        <v>0</v>
      </c>
      <c r="I154" t="n">
        <v>0</v>
      </c>
      <c r="J154" t="n">
        <v>0</v>
      </c>
      <c r="K154" t="n">
        <v>0</v>
      </c>
      <c r="L154" t="n">
        <v>0</v>
      </c>
      <c r="M154" t="n">
        <v>0</v>
      </c>
      <c r="N154" t="n">
        <v>0</v>
      </c>
      <c r="O154" t="n">
        <v>0</v>
      </c>
      <c r="P154" t="n">
        <v>0</v>
      </c>
      <c r="Q154" t="n">
        <v>0</v>
      </c>
      <c r="R154" s="2" t="inlineStr"/>
    </row>
    <row r="155" ht="15" customHeight="1">
      <c r="A155" t="inlineStr">
        <is>
          <t>A 20804-2020</t>
        </is>
      </c>
      <c r="B155" s="1" t="n">
        <v>43949</v>
      </c>
      <c r="C155" s="1" t="n">
        <v>45506</v>
      </c>
      <c r="D155" t="inlineStr">
        <is>
          <t>DALARNAS LÄN</t>
        </is>
      </c>
      <c r="E155" t="inlineStr">
        <is>
          <t>HEDEMORA</t>
        </is>
      </c>
      <c r="G155" t="n">
        <v>4.7</v>
      </c>
      <c r="H155" t="n">
        <v>0</v>
      </c>
      <c r="I155" t="n">
        <v>0</v>
      </c>
      <c r="J155" t="n">
        <v>0</v>
      </c>
      <c r="K155" t="n">
        <v>0</v>
      </c>
      <c r="L155" t="n">
        <v>0</v>
      </c>
      <c r="M155" t="n">
        <v>0</v>
      </c>
      <c r="N155" t="n">
        <v>0</v>
      </c>
      <c r="O155" t="n">
        <v>0</v>
      </c>
      <c r="P155" t="n">
        <v>0</v>
      </c>
      <c r="Q155" t="n">
        <v>0</v>
      </c>
      <c r="R155" s="2" t="inlineStr"/>
    </row>
    <row r="156" ht="15" customHeight="1">
      <c r="A156" t="inlineStr">
        <is>
          <t>A 21254-2020</t>
        </is>
      </c>
      <c r="B156" s="1" t="n">
        <v>43955</v>
      </c>
      <c r="C156" s="1" t="n">
        <v>45506</v>
      </c>
      <c r="D156" t="inlineStr">
        <is>
          <t>DALARNAS LÄN</t>
        </is>
      </c>
      <c r="E156" t="inlineStr">
        <is>
          <t>HEDEMORA</t>
        </is>
      </c>
      <c r="F156" t="inlineStr">
        <is>
          <t>Sveaskog</t>
        </is>
      </c>
      <c r="G156" t="n">
        <v>8.4</v>
      </c>
      <c r="H156" t="n">
        <v>0</v>
      </c>
      <c r="I156" t="n">
        <v>0</v>
      </c>
      <c r="J156" t="n">
        <v>0</v>
      </c>
      <c r="K156" t="n">
        <v>0</v>
      </c>
      <c r="L156" t="n">
        <v>0</v>
      </c>
      <c r="M156" t="n">
        <v>0</v>
      </c>
      <c r="N156" t="n">
        <v>0</v>
      </c>
      <c r="O156" t="n">
        <v>0</v>
      </c>
      <c r="P156" t="n">
        <v>0</v>
      </c>
      <c r="Q156" t="n">
        <v>0</v>
      </c>
      <c r="R156" s="2" t="inlineStr"/>
    </row>
    <row r="157" ht="15" customHeight="1">
      <c r="A157" t="inlineStr">
        <is>
          <t>A 21252-2020</t>
        </is>
      </c>
      <c r="B157" s="1" t="n">
        <v>43955</v>
      </c>
      <c r="C157" s="1" t="n">
        <v>45506</v>
      </c>
      <c r="D157" t="inlineStr">
        <is>
          <t>DALARNAS LÄN</t>
        </is>
      </c>
      <c r="E157" t="inlineStr">
        <is>
          <t>HEDEMORA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21458-2020</t>
        </is>
      </c>
      <c r="B158" s="1" t="n">
        <v>43956</v>
      </c>
      <c r="C158" s="1" t="n">
        <v>45506</v>
      </c>
      <c r="D158" t="inlineStr">
        <is>
          <t>DALARNAS LÄN</t>
        </is>
      </c>
      <c r="E158" t="inlineStr">
        <is>
          <t>HEDEMORA</t>
        </is>
      </c>
      <c r="G158" t="n">
        <v>3.4</v>
      </c>
      <c r="H158" t="n">
        <v>0</v>
      </c>
      <c r="I158" t="n">
        <v>0</v>
      </c>
      <c r="J158" t="n">
        <v>0</v>
      </c>
      <c r="K158" t="n">
        <v>0</v>
      </c>
      <c r="L158" t="n">
        <v>0</v>
      </c>
      <c r="M158" t="n">
        <v>0</v>
      </c>
      <c r="N158" t="n">
        <v>0</v>
      </c>
      <c r="O158" t="n">
        <v>0</v>
      </c>
      <c r="P158" t="n">
        <v>0</v>
      </c>
      <c r="Q158" t="n">
        <v>0</v>
      </c>
      <c r="R158" s="2" t="inlineStr"/>
    </row>
    <row r="159" ht="15" customHeight="1">
      <c r="A159" t="inlineStr">
        <is>
          <t>A 22374-2020</t>
        </is>
      </c>
      <c r="B159" s="1" t="n">
        <v>43962</v>
      </c>
      <c r="C159" s="1" t="n">
        <v>45506</v>
      </c>
      <c r="D159" t="inlineStr">
        <is>
          <t>DALARNAS LÄN</t>
        </is>
      </c>
      <c r="E159" t="inlineStr">
        <is>
          <t>HEDEMORA</t>
        </is>
      </c>
      <c r="F159" t="inlineStr">
        <is>
          <t>Kommuner</t>
        </is>
      </c>
      <c r="G159" t="n">
        <v>9.1</v>
      </c>
      <c r="H159" t="n">
        <v>0</v>
      </c>
      <c r="I159" t="n">
        <v>0</v>
      </c>
      <c r="J159" t="n">
        <v>0</v>
      </c>
      <c r="K159" t="n">
        <v>0</v>
      </c>
      <c r="L159" t="n">
        <v>0</v>
      </c>
      <c r="M159" t="n">
        <v>0</v>
      </c>
      <c r="N159" t="n">
        <v>0</v>
      </c>
      <c r="O159" t="n">
        <v>0</v>
      </c>
      <c r="P159" t="n">
        <v>0</v>
      </c>
      <c r="Q159" t="n">
        <v>0</v>
      </c>
      <c r="R159" s="2" t="inlineStr"/>
    </row>
    <row r="160" ht="15" customHeight="1">
      <c r="A160" t="inlineStr">
        <is>
          <t>A 23402-2020</t>
        </is>
      </c>
      <c r="B160" s="1" t="n">
        <v>43968</v>
      </c>
      <c r="C160" s="1" t="n">
        <v>45506</v>
      </c>
      <c r="D160" t="inlineStr">
        <is>
          <t>DALARNAS LÄN</t>
        </is>
      </c>
      <c r="E160" t="inlineStr">
        <is>
          <t>HEDEMORA</t>
        </is>
      </c>
      <c r="G160" t="n">
        <v>2.9</v>
      </c>
      <c r="H160" t="n">
        <v>0</v>
      </c>
      <c r="I160" t="n">
        <v>0</v>
      </c>
      <c r="J160" t="n">
        <v>0</v>
      </c>
      <c r="K160" t="n">
        <v>0</v>
      </c>
      <c r="L160" t="n">
        <v>0</v>
      </c>
      <c r="M160" t="n">
        <v>0</v>
      </c>
      <c r="N160" t="n">
        <v>0</v>
      </c>
      <c r="O160" t="n">
        <v>0</v>
      </c>
      <c r="P160" t="n">
        <v>0</v>
      </c>
      <c r="Q160" t="n">
        <v>0</v>
      </c>
      <c r="R160" s="2" t="inlineStr"/>
    </row>
    <row r="161" ht="15" customHeight="1">
      <c r="A161" t="inlineStr">
        <is>
          <t>A 23401-2020</t>
        </is>
      </c>
      <c r="B161" s="1" t="n">
        <v>43968</v>
      </c>
      <c r="C161" s="1" t="n">
        <v>45506</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23872-2020</t>
        </is>
      </c>
      <c r="B162" s="1" t="n">
        <v>43971</v>
      </c>
      <c r="C162" s="1" t="n">
        <v>45506</v>
      </c>
      <c r="D162" t="inlineStr">
        <is>
          <t>DALARNAS LÄN</t>
        </is>
      </c>
      <c r="E162" t="inlineStr">
        <is>
          <t>HEDEMORA</t>
        </is>
      </c>
      <c r="G162" t="n">
        <v>3.5</v>
      </c>
      <c r="H162" t="n">
        <v>0</v>
      </c>
      <c r="I162" t="n">
        <v>0</v>
      </c>
      <c r="J162" t="n">
        <v>0</v>
      </c>
      <c r="K162" t="n">
        <v>0</v>
      </c>
      <c r="L162" t="n">
        <v>0</v>
      </c>
      <c r="M162" t="n">
        <v>0</v>
      </c>
      <c r="N162" t="n">
        <v>0</v>
      </c>
      <c r="O162" t="n">
        <v>0</v>
      </c>
      <c r="P162" t="n">
        <v>0</v>
      </c>
      <c r="Q162" t="n">
        <v>0</v>
      </c>
      <c r="R162" s="2" t="inlineStr"/>
    </row>
    <row r="163" ht="15" customHeight="1">
      <c r="A163" t="inlineStr">
        <is>
          <t>A 24759-2020</t>
        </is>
      </c>
      <c r="B163" s="1" t="n">
        <v>43978</v>
      </c>
      <c r="C163" s="1" t="n">
        <v>45506</v>
      </c>
      <c r="D163" t="inlineStr">
        <is>
          <t>DALARNAS LÄN</t>
        </is>
      </c>
      <c r="E163" t="inlineStr">
        <is>
          <t>HEDEMORA</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25623-2020</t>
        </is>
      </c>
      <c r="B164" s="1" t="n">
        <v>43983</v>
      </c>
      <c r="C164" s="1" t="n">
        <v>45506</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25657-2020</t>
        </is>
      </c>
      <c r="B165" s="1" t="n">
        <v>43983</v>
      </c>
      <c r="C165" s="1" t="n">
        <v>45506</v>
      </c>
      <c r="D165" t="inlineStr">
        <is>
          <t>DALARNAS LÄN</t>
        </is>
      </c>
      <c r="E165" t="inlineStr">
        <is>
          <t>HEDEMORA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27050-2020</t>
        </is>
      </c>
      <c r="B166" s="1" t="n">
        <v>43991</v>
      </c>
      <c r="C166" s="1" t="n">
        <v>45506</v>
      </c>
      <c r="D166" t="inlineStr">
        <is>
          <t>DALARNAS LÄN</t>
        </is>
      </c>
      <c r="E166" t="inlineStr">
        <is>
          <t>HEDEMORA</t>
        </is>
      </c>
      <c r="F166" t="inlineStr">
        <is>
          <t>Övriga Aktiebolag</t>
        </is>
      </c>
      <c r="G166" t="n">
        <v>3.3</v>
      </c>
      <c r="H166" t="n">
        <v>0</v>
      </c>
      <c r="I166" t="n">
        <v>0</v>
      </c>
      <c r="J166" t="n">
        <v>0</v>
      </c>
      <c r="K166" t="n">
        <v>0</v>
      </c>
      <c r="L166" t="n">
        <v>0</v>
      </c>
      <c r="M166" t="n">
        <v>0</v>
      </c>
      <c r="N166" t="n">
        <v>0</v>
      </c>
      <c r="O166" t="n">
        <v>0</v>
      </c>
      <c r="P166" t="n">
        <v>0</v>
      </c>
      <c r="Q166" t="n">
        <v>0</v>
      </c>
      <c r="R166" s="2" t="inlineStr"/>
    </row>
    <row r="167" ht="15" customHeight="1">
      <c r="A167" t="inlineStr">
        <is>
          <t>A 27076-2020</t>
        </is>
      </c>
      <c r="B167" s="1" t="n">
        <v>43991</v>
      </c>
      <c r="C167" s="1" t="n">
        <v>45506</v>
      </c>
      <c r="D167" t="inlineStr">
        <is>
          <t>DALARNAS LÄN</t>
        </is>
      </c>
      <c r="E167" t="inlineStr">
        <is>
          <t>HEDEMORA</t>
        </is>
      </c>
      <c r="F167" t="inlineStr">
        <is>
          <t>Övriga Aktiebolag</t>
        </is>
      </c>
      <c r="G167" t="n">
        <v>10.4</v>
      </c>
      <c r="H167" t="n">
        <v>0</v>
      </c>
      <c r="I167" t="n">
        <v>0</v>
      </c>
      <c r="J167" t="n">
        <v>0</v>
      </c>
      <c r="K167" t="n">
        <v>0</v>
      </c>
      <c r="L167" t="n">
        <v>0</v>
      </c>
      <c r="M167" t="n">
        <v>0</v>
      </c>
      <c r="N167" t="n">
        <v>0</v>
      </c>
      <c r="O167" t="n">
        <v>0</v>
      </c>
      <c r="P167" t="n">
        <v>0</v>
      </c>
      <c r="Q167" t="n">
        <v>0</v>
      </c>
      <c r="R167" s="2" t="inlineStr"/>
    </row>
    <row r="168" ht="15" customHeight="1">
      <c r="A168" t="inlineStr">
        <is>
          <t>A 31502-2020</t>
        </is>
      </c>
      <c r="B168" s="1" t="n">
        <v>44013</v>
      </c>
      <c r="C168" s="1" t="n">
        <v>45506</v>
      </c>
      <c r="D168" t="inlineStr">
        <is>
          <t>DALARNAS LÄN</t>
        </is>
      </c>
      <c r="E168" t="inlineStr">
        <is>
          <t>HEDEMORA</t>
        </is>
      </c>
      <c r="F168" t="inlineStr">
        <is>
          <t>Bergvik skog väst AB</t>
        </is>
      </c>
      <c r="G168" t="n">
        <v>10.2</v>
      </c>
      <c r="H168" t="n">
        <v>0</v>
      </c>
      <c r="I168" t="n">
        <v>0</v>
      </c>
      <c r="J168" t="n">
        <v>0</v>
      </c>
      <c r="K168" t="n">
        <v>0</v>
      </c>
      <c r="L168" t="n">
        <v>0</v>
      </c>
      <c r="M168" t="n">
        <v>0</v>
      </c>
      <c r="N168" t="n">
        <v>0</v>
      </c>
      <c r="O168" t="n">
        <v>0</v>
      </c>
      <c r="P168" t="n">
        <v>0</v>
      </c>
      <c r="Q168" t="n">
        <v>0</v>
      </c>
      <c r="R168" s="2" t="inlineStr"/>
    </row>
    <row r="169" ht="15" customHeight="1">
      <c r="A169" t="inlineStr">
        <is>
          <t>A 31579-2020</t>
        </is>
      </c>
      <c r="B169" s="1" t="n">
        <v>44013</v>
      </c>
      <c r="C169" s="1" t="n">
        <v>45506</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32508-2020</t>
        </is>
      </c>
      <c r="B170" s="1" t="n">
        <v>44018</v>
      </c>
      <c r="C170" s="1" t="n">
        <v>45506</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35786-2020</t>
        </is>
      </c>
      <c r="B171" s="1" t="n">
        <v>44046</v>
      </c>
      <c r="C171" s="1" t="n">
        <v>45506</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40865-2020</t>
        </is>
      </c>
      <c r="B172" s="1" t="n">
        <v>44070</v>
      </c>
      <c r="C172" s="1" t="n">
        <v>45506</v>
      </c>
      <c r="D172" t="inlineStr">
        <is>
          <t>DALARNAS LÄN</t>
        </is>
      </c>
      <c r="E172" t="inlineStr">
        <is>
          <t>HEDEMORA</t>
        </is>
      </c>
      <c r="G172" t="n">
        <v>6.1</v>
      </c>
      <c r="H172" t="n">
        <v>0</v>
      </c>
      <c r="I172" t="n">
        <v>0</v>
      </c>
      <c r="J172" t="n">
        <v>0</v>
      </c>
      <c r="K172" t="n">
        <v>0</v>
      </c>
      <c r="L172" t="n">
        <v>0</v>
      </c>
      <c r="M172" t="n">
        <v>0</v>
      </c>
      <c r="N172" t="n">
        <v>0</v>
      </c>
      <c r="O172" t="n">
        <v>0</v>
      </c>
      <c r="P172" t="n">
        <v>0</v>
      </c>
      <c r="Q172" t="n">
        <v>0</v>
      </c>
      <c r="R172" s="2" t="inlineStr"/>
    </row>
    <row r="173" ht="15" customHeight="1">
      <c r="A173" t="inlineStr">
        <is>
          <t>A 40868-2020</t>
        </is>
      </c>
      <c r="B173" s="1" t="n">
        <v>44070</v>
      </c>
      <c r="C173" s="1" t="n">
        <v>45506</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42929-2020</t>
        </is>
      </c>
      <c r="B174" s="1" t="n">
        <v>44078</v>
      </c>
      <c r="C174" s="1" t="n">
        <v>45506</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44110-2020</t>
        </is>
      </c>
      <c r="B175" s="1" t="n">
        <v>44083</v>
      </c>
      <c r="C175" s="1" t="n">
        <v>45506</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44098-2020</t>
        </is>
      </c>
      <c r="B176" s="1" t="n">
        <v>44083</v>
      </c>
      <c r="C176" s="1" t="n">
        <v>45506</v>
      </c>
      <c r="D176" t="inlineStr">
        <is>
          <t>DALARNAS LÄN</t>
        </is>
      </c>
      <c r="E176" t="inlineStr">
        <is>
          <t>HEDEMORA</t>
        </is>
      </c>
      <c r="G176" t="n">
        <v>1.3</v>
      </c>
      <c r="H176" t="n">
        <v>0</v>
      </c>
      <c r="I176" t="n">
        <v>0</v>
      </c>
      <c r="J176" t="n">
        <v>0</v>
      </c>
      <c r="K176" t="n">
        <v>0</v>
      </c>
      <c r="L176" t="n">
        <v>0</v>
      </c>
      <c r="M176" t="n">
        <v>0</v>
      </c>
      <c r="N176" t="n">
        <v>0</v>
      </c>
      <c r="O176" t="n">
        <v>0</v>
      </c>
      <c r="P176" t="n">
        <v>0</v>
      </c>
      <c r="Q176" t="n">
        <v>0</v>
      </c>
      <c r="R176" s="2" t="inlineStr"/>
    </row>
    <row r="177" ht="15" customHeight="1">
      <c r="A177" t="inlineStr">
        <is>
          <t>A 45616-2020</t>
        </is>
      </c>
      <c r="B177" s="1" t="n">
        <v>44084</v>
      </c>
      <c r="C177" s="1" t="n">
        <v>45506</v>
      </c>
      <c r="D177" t="inlineStr">
        <is>
          <t>DALARNAS LÄN</t>
        </is>
      </c>
      <c r="E177" t="inlineStr">
        <is>
          <t>HEDEMORA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45392-2020</t>
        </is>
      </c>
      <c r="B178" s="1" t="n">
        <v>44085</v>
      </c>
      <c r="C178" s="1" t="n">
        <v>45506</v>
      </c>
      <c r="D178" t="inlineStr">
        <is>
          <t>DALARNAS LÄN</t>
        </is>
      </c>
      <c r="E178" t="inlineStr">
        <is>
          <t>HEDEMORA</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46393-2020</t>
        </is>
      </c>
      <c r="B179" s="1" t="n">
        <v>44093</v>
      </c>
      <c r="C179" s="1" t="n">
        <v>45506</v>
      </c>
      <c r="D179" t="inlineStr">
        <is>
          <t>DALARNAS LÄN</t>
        </is>
      </c>
      <c r="E179" t="inlineStr">
        <is>
          <t>HEDEMORA</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46391-2020</t>
        </is>
      </c>
      <c r="B180" s="1" t="n">
        <v>44093</v>
      </c>
      <c r="C180" s="1" t="n">
        <v>45506</v>
      </c>
      <c r="D180" t="inlineStr">
        <is>
          <t>DALARNAS LÄN</t>
        </is>
      </c>
      <c r="E180" t="inlineStr">
        <is>
          <t>HEDEMORA</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46392-2020</t>
        </is>
      </c>
      <c r="B181" s="1" t="n">
        <v>44093</v>
      </c>
      <c r="C181" s="1" t="n">
        <v>45506</v>
      </c>
      <c r="D181" t="inlineStr">
        <is>
          <t>DALARNAS LÄN</t>
        </is>
      </c>
      <c r="E181" t="inlineStr">
        <is>
          <t>HEDEMORA</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49271-2020</t>
        </is>
      </c>
      <c r="B182" s="1" t="n">
        <v>44105</v>
      </c>
      <c r="C182" s="1" t="n">
        <v>45506</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49760-2020</t>
        </is>
      </c>
      <c r="B183" s="1" t="n">
        <v>44106</v>
      </c>
      <c r="C183" s="1" t="n">
        <v>45506</v>
      </c>
      <c r="D183" t="inlineStr">
        <is>
          <t>DALARNAS LÄN</t>
        </is>
      </c>
      <c r="E183" t="inlineStr">
        <is>
          <t>HEDEMORA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49758-2020</t>
        </is>
      </c>
      <c r="B184" s="1" t="n">
        <v>44106</v>
      </c>
      <c r="C184" s="1" t="n">
        <v>45506</v>
      </c>
      <c r="D184" t="inlineStr">
        <is>
          <t>DALARNAS LÄN</t>
        </is>
      </c>
      <c r="E184" t="inlineStr">
        <is>
          <t>HEDEMORA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51495-2020</t>
        </is>
      </c>
      <c r="B185" s="1" t="n">
        <v>44113</v>
      </c>
      <c r="C185" s="1" t="n">
        <v>45506</v>
      </c>
      <c r="D185" t="inlineStr">
        <is>
          <t>DALARNAS LÄN</t>
        </is>
      </c>
      <c r="E185" t="inlineStr">
        <is>
          <t>HEDEMORA</t>
        </is>
      </c>
      <c r="F185" t="inlineStr">
        <is>
          <t>Sveaskog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54347-2020</t>
        </is>
      </c>
      <c r="B186" s="1" t="n">
        <v>44126</v>
      </c>
      <c r="C186" s="1" t="n">
        <v>45506</v>
      </c>
      <c r="D186" t="inlineStr">
        <is>
          <t>DALARNAS LÄN</t>
        </is>
      </c>
      <c r="E186" t="inlineStr">
        <is>
          <t>HEDEMORA</t>
        </is>
      </c>
      <c r="G186" t="n">
        <v>4.1</v>
      </c>
      <c r="H186" t="n">
        <v>0</v>
      </c>
      <c r="I186" t="n">
        <v>0</v>
      </c>
      <c r="J186" t="n">
        <v>0</v>
      </c>
      <c r="K186" t="n">
        <v>0</v>
      </c>
      <c r="L186" t="n">
        <v>0</v>
      </c>
      <c r="M186" t="n">
        <v>0</v>
      </c>
      <c r="N186" t="n">
        <v>0</v>
      </c>
      <c r="O186" t="n">
        <v>0</v>
      </c>
      <c r="P186" t="n">
        <v>0</v>
      </c>
      <c r="Q186" t="n">
        <v>0</v>
      </c>
      <c r="R186" s="2" t="inlineStr"/>
    </row>
    <row r="187" ht="15" customHeight="1">
      <c r="A187" t="inlineStr">
        <is>
          <t>A 57071-2020</t>
        </is>
      </c>
      <c r="B187" s="1" t="n">
        <v>44138</v>
      </c>
      <c r="C187" s="1" t="n">
        <v>45506</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57781-2020</t>
        </is>
      </c>
      <c r="B188" s="1" t="n">
        <v>44141</v>
      </c>
      <c r="C188" s="1" t="n">
        <v>45506</v>
      </c>
      <c r="D188" t="inlineStr">
        <is>
          <t>DALARNAS LÄN</t>
        </is>
      </c>
      <c r="E188" t="inlineStr">
        <is>
          <t>HEDEMORA</t>
        </is>
      </c>
      <c r="G188" t="n">
        <v>3.1</v>
      </c>
      <c r="H188" t="n">
        <v>0</v>
      </c>
      <c r="I188" t="n">
        <v>0</v>
      </c>
      <c r="J188" t="n">
        <v>0</v>
      </c>
      <c r="K188" t="n">
        <v>0</v>
      </c>
      <c r="L188" t="n">
        <v>0</v>
      </c>
      <c r="M188" t="n">
        <v>0</v>
      </c>
      <c r="N188" t="n">
        <v>0</v>
      </c>
      <c r="O188" t="n">
        <v>0</v>
      </c>
      <c r="P188" t="n">
        <v>0</v>
      </c>
      <c r="Q188" t="n">
        <v>0</v>
      </c>
      <c r="R188" s="2" t="inlineStr"/>
    </row>
    <row r="189" ht="15" customHeight="1">
      <c r="A189" t="inlineStr">
        <is>
          <t>A 57936-2020</t>
        </is>
      </c>
      <c r="B189" s="1" t="n">
        <v>44141</v>
      </c>
      <c r="C189" s="1" t="n">
        <v>45506</v>
      </c>
      <c r="D189" t="inlineStr">
        <is>
          <t>DALARNAS LÄN</t>
        </is>
      </c>
      <c r="E189" t="inlineStr">
        <is>
          <t>HEDEMORA</t>
        </is>
      </c>
      <c r="F189" t="inlineStr">
        <is>
          <t>Sveaskog</t>
        </is>
      </c>
      <c r="G189" t="n">
        <v>8</v>
      </c>
      <c r="H189" t="n">
        <v>0</v>
      </c>
      <c r="I189" t="n">
        <v>0</v>
      </c>
      <c r="J189" t="n">
        <v>0</v>
      </c>
      <c r="K189" t="n">
        <v>0</v>
      </c>
      <c r="L189" t="n">
        <v>0</v>
      </c>
      <c r="M189" t="n">
        <v>0</v>
      </c>
      <c r="N189" t="n">
        <v>0</v>
      </c>
      <c r="O189" t="n">
        <v>0</v>
      </c>
      <c r="P189" t="n">
        <v>0</v>
      </c>
      <c r="Q189" t="n">
        <v>0</v>
      </c>
      <c r="R189" s="2" t="inlineStr"/>
    </row>
    <row r="190" ht="15" customHeight="1">
      <c r="A190" t="inlineStr">
        <is>
          <t>A 57779-2020</t>
        </is>
      </c>
      <c r="B190" s="1" t="n">
        <v>44141</v>
      </c>
      <c r="C190" s="1" t="n">
        <v>45506</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58111-2020</t>
        </is>
      </c>
      <c r="B191" s="1" t="n">
        <v>44144</v>
      </c>
      <c r="C191" s="1" t="n">
        <v>45506</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59471-2020</t>
        </is>
      </c>
      <c r="B192" s="1" t="n">
        <v>44148</v>
      </c>
      <c r="C192" s="1" t="n">
        <v>45506</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62373-2020</t>
        </is>
      </c>
      <c r="B193" s="1" t="n">
        <v>44160</v>
      </c>
      <c r="C193" s="1" t="n">
        <v>45506</v>
      </c>
      <c r="D193" t="inlineStr">
        <is>
          <t>DALARNAS LÄN</t>
        </is>
      </c>
      <c r="E193" t="inlineStr">
        <is>
          <t>HEDEMORA</t>
        </is>
      </c>
      <c r="G193" t="n">
        <v>12</v>
      </c>
      <c r="H193" t="n">
        <v>0</v>
      </c>
      <c r="I193" t="n">
        <v>0</v>
      </c>
      <c r="J193" t="n">
        <v>0</v>
      </c>
      <c r="K193" t="n">
        <v>0</v>
      </c>
      <c r="L193" t="n">
        <v>0</v>
      </c>
      <c r="M193" t="n">
        <v>0</v>
      </c>
      <c r="N193" t="n">
        <v>0</v>
      </c>
      <c r="O193" t="n">
        <v>0</v>
      </c>
      <c r="P193" t="n">
        <v>0</v>
      </c>
      <c r="Q193" t="n">
        <v>0</v>
      </c>
      <c r="R193" s="2" t="inlineStr"/>
      <c r="U193">
        <f>HYPERLINK("https://klasma.github.io/Logging_2083/knärot/A 62373-2020 karta knärot.png", "A 62373-2020")</f>
        <v/>
      </c>
      <c r="V193">
        <f>HYPERLINK("https://klasma.github.io/Logging_2083/klagomål/A 62373-2020 FSC-klagomål.docx", "A 62373-2020")</f>
        <v/>
      </c>
      <c r="W193">
        <f>HYPERLINK("https://klasma.github.io/Logging_2083/klagomålsmail/A 62373-2020 FSC-klagomål mail.docx", "A 62373-2020")</f>
        <v/>
      </c>
      <c r="X193">
        <f>HYPERLINK("https://klasma.github.io/Logging_2083/tillsyn/A 62373-2020 tillsynsbegäran.docx", "A 62373-2020")</f>
        <v/>
      </c>
      <c r="Y193">
        <f>HYPERLINK("https://klasma.github.io/Logging_2083/tillsynsmail/A 62373-2020 tillsynsbegäran mail.docx", "A 62373-2020")</f>
        <v/>
      </c>
    </row>
    <row r="194" ht="15" customHeight="1">
      <c r="A194" t="inlineStr">
        <is>
          <t>A 62412-2020</t>
        </is>
      </c>
      <c r="B194" s="1" t="n">
        <v>44160</v>
      </c>
      <c r="C194" s="1" t="n">
        <v>45506</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66064-2020</t>
        </is>
      </c>
      <c r="B195" s="1" t="n">
        <v>44175</v>
      </c>
      <c r="C195" s="1" t="n">
        <v>45506</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67062-2020</t>
        </is>
      </c>
      <c r="B196" s="1" t="n">
        <v>44180</v>
      </c>
      <c r="C196" s="1" t="n">
        <v>45506</v>
      </c>
      <c r="D196" t="inlineStr">
        <is>
          <t>DALARNAS LÄN</t>
        </is>
      </c>
      <c r="E196" t="inlineStr">
        <is>
          <t>HEDEMORA</t>
        </is>
      </c>
      <c r="G196" t="n">
        <v>2.9</v>
      </c>
      <c r="H196" t="n">
        <v>0</v>
      </c>
      <c r="I196" t="n">
        <v>0</v>
      </c>
      <c r="J196" t="n">
        <v>0</v>
      </c>
      <c r="K196" t="n">
        <v>0</v>
      </c>
      <c r="L196" t="n">
        <v>0</v>
      </c>
      <c r="M196" t="n">
        <v>0</v>
      </c>
      <c r="N196" t="n">
        <v>0</v>
      </c>
      <c r="O196" t="n">
        <v>0</v>
      </c>
      <c r="P196" t="n">
        <v>0</v>
      </c>
      <c r="Q196" t="n">
        <v>0</v>
      </c>
      <c r="R196" s="2" t="inlineStr"/>
    </row>
    <row r="197" ht="15" customHeight="1">
      <c r="A197" t="inlineStr">
        <is>
          <t>A 653-2021</t>
        </is>
      </c>
      <c r="B197" s="1" t="n">
        <v>44203</v>
      </c>
      <c r="C197" s="1" t="n">
        <v>45506</v>
      </c>
      <c r="D197" t="inlineStr">
        <is>
          <t>DALARNAS LÄN</t>
        </is>
      </c>
      <c r="E197" t="inlineStr">
        <is>
          <t>HEDEMORA</t>
        </is>
      </c>
      <c r="G197" t="n">
        <v>3.8</v>
      </c>
      <c r="H197" t="n">
        <v>0</v>
      </c>
      <c r="I197" t="n">
        <v>0</v>
      </c>
      <c r="J197" t="n">
        <v>0</v>
      </c>
      <c r="K197" t="n">
        <v>0</v>
      </c>
      <c r="L197" t="n">
        <v>0</v>
      </c>
      <c r="M197" t="n">
        <v>0</v>
      </c>
      <c r="N197" t="n">
        <v>0</v>
      </c>
      <c r="O197" t="n">
        <v>0</v>
      </c>
      <c r="P197" t="n">
        <v>0</v>
      </c>
      <c r="Q197" t="n">
        <v>0</v>
      </c>
      <c r="R197" s="2" t="inlineStr"/>
    </row>
    <row r="198" ht="15" customHeight="1">
      <c r="A198" t="inlineStr">
        <is>
          <t>A 1916-2021</t>
        </is>
      </c>
      <c r="B198" s="1" t="n">
        <v>44210</v>
      </c>
      <c r="C198" s="1" t="n">
        <v>45506</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1973-2021</t>
        </is>
      </c>
      <c r="B199" s="1" t="n">
        <v>44210</v>
      </c>
      <c r="C199" s="1" t="n">
        <v>45506</v>
      </c>
      <c r="D199" t="inlineStr">
        <is>
          <t>DALARNAS LÄN</t>
        </is>
      </c>
      <c r="E199" t="inlineStr">
        <is>
          <t>HEDEMORA</t>
        </is>
      </c>
      <c r="G199" t="n">
        <v>0.8</v>
      </c>
      <c r="H199" t="n">
        <v>0</v>
      </c>
      <c r="I199" t="n">
        <v>0</v>
      </c>
      <c r="J199" t="n">
        <v>0</v>
      </c>
      <c r="K199" t="n">
        <v>0</v>
      </c>
      <c r="L199" t="n">
        <v>0</v>
      </c>
      <c r="M199" t="n">
        <v>0</v>
      </c>
      <c r="N199" t="n">
        <v>0</v>
      </c>
      <c r="O199" t="n">
        <v>0</v>
      </c>
      <c r="P199" t="n">
        <v>0</v>
      </c>
      <c r="Q199" t="n">
        <v>0</v>
      </c>
      <c r="R199" s="2" t="inlineStr"/>
    </row>
    <row r="200" ht="15" customHeight="1">
      <c r="A200" t="inlineStr">
        <is>
          <t>A 1978-2021</t>
        </is>
      </c>
      <c r="B200" s="1" t="n">
        <v>44210</v>
      </c>
      <c r="C200" s="1" t="n">
        <v>45506</v>
      </c>
      <c r="D200" t="inlineStr">
        <is>
          <t>DALARNAS LÄN</t>
        </is>
      </c>
      <c r="E200" t="inlineStr">
        <is>
          <t>HEDEMORA</t>
        </is>
      </c>
      <c r="G200" t="n">
        <v>1</v>
      </c>
      <c r="H200" t="n">
        <v>0</v>
      </c>
      <c r="I200" t="n">
        <v>0</v>
      </c>
      <c r="J200" t="n">
        <v>0</v>
      </c>
      <c r="K200" t="n">
        <v>0</v>
      </c>
      <c r="L200" t="n">
        <v>0</v>
      </c>
      <c r="M200" t="n">
        <v>0</v>
      </c>
      <c r="N200" t="n">
        <v>0</v>
      </c>
      <c r="O200" t="n">
        <v>0</v>
      </c>
      <c r="P200" t="n">
        <v>0</v>
      </c>
      <c r="Q200" t="n">
        <v>0</v>
      </c>
      <c r="R200" s="2" t="inlineStr"/>
    </row>
    <row r="201" ht="15" customHeight="1">
      <c r="A201" t="inlineStr">
        <is>
          <t>A 3314-2021</t>
        </is>
      </c>
      <c r="B201" s="1" t="n">
        <v>44217</v>
      </c>
      <c r="C201" s="1" t="n">
        <v>45506</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6185-2021</t>
        </is>
      </c>
      <c r="B202" s="1" t="n">
        <v>44233</v>
      </c>
      <c r="C202" s="1" t="n">
        <v>45506</v>
      </c>
      <c r="D202" t="inlineStr">
        <is>
          <t>DALARNAS LÄN</t>
        </is>
      </c>
      <c r="E202" t="inlineStr">
        <is>
          <t>HEDEMORA</t>
        </is>
      </c>
      <c r="G202" t="n">
        <v>3.3</v>
      </c>
      <c r="H202" t="n">
        <v>0</v>
      </c>
      <c r="I202" t="n">
        <v>0</v>
      </c>
      <c r="J202" t="n">
        <v>0</v>
      </c>
      <c r="K202" t="n">
        <v>0</v>
      </c>
      <c r="L202" t="n">
        <v>0</v>
      </c>
      <c r="M202" t="n">
        <v>0</v>
      </c>
      <c r="N202" t="n">
        <v>0</v>
      </c>
      <c r="O202" t="n">
        <v>0</v>
      </c>
      <c r="P202" t="n">
        <v>0</v>
      </c>
      <c r="Q202" t="n">
        <v>0</v>
      </c>
      <c r="R202" s="2" t="inlineStr"/>
    </row>
    <row r="203" ht="15" customHeight="1">
      <c r="A203" t="inlineStr">
        <is>
          <t>A 6441-2021</t>
        </is>
      </c>
      <c r="B203" s="1" t="n">
        <v>44235</v>
      </c>
      <c r="C203" s="1" t="n">
        <v>45506</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14456-2021</t>
        </is>
      </c>
      <c r="B204" s="1" t="n">
        <v>44279</v>
      </c>
      <c r="C204" s="1" t="n">
        <v>45506</v>
      </c>
      <c r="D204" t="inlineStr">
        <is>
          <t>DALARNAS LÄN</t>
        </is>
      </c>
      <c r="E204" t="inlineStr">
        <is>
          <t>HEDEMORA</t>
        </is>
      </c>
      <c r="G204" t="n">
        <v>1.2</v>
      </c>
      <c r="H204" t="n">
        <v>0</v>
      </c>
      <c r="I204" t="n">
        <v>0</v>
      </c>
      <c r="J204" t="n">
        <v>0</v>
      </c>
      <c r="K204" t="n">
        <v>0</v>
      </c>
      <c r="L204" t="n">
        <v>0</v>
      </c>
      <c r="M204" t="n">
        <v>0</v>
      </c>
      <c r="N204" t="n">
        <v>0</v>
      </c>
      <c r="O204" t="n">
        <v>0</v>
      </c>
      <c r="P204" t="n">
        <v>0</v>
      </c>
      <c r="Q204" t="n">
        <v>0</v>
      </c>
      <c r="R204" s="2" t="inlineStr"/>
    </row>
    <row r="205" ht="15" customHeight="1">
      <c r="A205" t="inlineStr">
        <is>
          <t>A 15125-2021</t>
        </is>
      </c>
      <c r="B205" s="1" t="n">
        <v>44283</v>
      </c>
      <c r="C205" s="1" t="n">
        <v>45506</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15290-2021</t>
        </is>
      </c>
      <c r="B206" s="1" t="n">
        <v>44284</v>
      </c>
      <c r="C206" s="1" t="n">
        <v>45506</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17464-2021</t>
        </is>
      </c>
      <c r="B207" s="1" t="n">
        <v>44299</v>
      </c>
      <c r="C207" s="1" t="n">
        <v>45506</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18522-2021</t>
        </is>
      </c>
      <c r="B208" s="1" t="n">
        <v>44306</v>
      </c>
      <c r="C208" s="1" t="n">
        <v>45506</v>
      </c>
      <c r="D208" t="inlineStr">
        <is>
          <t>DALARNAS LÄN</t>
        </is>
      </c>
      <c r="E208" t="inlineStr">
        <is>
          <t>HEDEMORA</t>
        </is>
      </c>
      <c r="G208" t="n">
        <v>7</v>
      </c>
      <c r="H208" t="n">
        <v>0</v>
      </c>
      <c r="I208" t="n">
        <v>0</v>
      </c>
      <c r="J208" t="n">
        <v>0</v>
      </c>
      <c r="K208" t="n">
        <v>0</v>
      </c>
      <c r="L208" t="n">
        <v>0</v>
      </c>
      <c r="M208" t="n">
        <v>0</v>
      </c>
      <c r="N208" t="n">
        <v>0</v>
      </c>
      <c r="O208" t="n">
        <v>0</v>
      </c>
      <c r="P208" t="n">
        <v>0</v>
      </c>
      <c r="Q208" t="n">
        <v>0</v>
      </c>
      <c r="R208" s="2" t="inlineStr"/>
    </row>
    <row r="209" ht="15" customHeight="1">
      <c r="A209" t="inlineStr">
        <is>
          <t>A 20330-2021</t>
        </is>
      </c>
      <c r="B209" s="1" t="n">
        <v>44315</v>
      </c>
      <c r="C209" s="1" t="n">
        <v>45506</v>
      </c>
      <c r="D209" t="inlineStr">
        <is>
          <t>DALARNAS LÄN</t>
        </is>
      </c>
      <c r="E209" t="inlineStr">
        <is>
          <t>HEDEMORA</t>
        </is>
      </c>
      <c r="G209" t="n">
        <v>1</v>
      </c>
      <c r="H209" t="n">
        <v>0</v>
      </c>
      <c r="I209" t="n">
        <v>0</v>
      </c>
      <c r="J209" t="n">
        <v>0</v>
      </c>
      <c r="K209" t="n">
        <v>0</v>
      </c>
      <c r="L209" t="n">
        <v>0</v>
      </c>
      <c r="M209" t="n">
        <v>0</v>
      </c>
      <c r="N209" t="n">
        <v>0</v>
      </c>
      <c r="O209" t="n">
        <v>0</v>
      </c>
      <c r="P209" t="n">
        <v>0</v>
      </c>
      <c r="Q209" t="n">
        <v>0</v>
      </c>
      <c r="R209" s="2" t="inlineStr"/>
    </row>
    <row r="210" ht="15" customHeight="1">
      <c r="A210" t="inlineStr">
        <is>
          <t>A 20353-2021</t>
        </is>
      </c>
      <c r="B210" s="1" t="n">
        <v>44315</v>
      </c>
      <c r="C210" s="1" t="n">
        <v>45506</v>
      </c>
      <c r="D210" t="inlineStr">
        <is>
          <t>DALARNAS LÄN</t>
        </is>
      </c>
      <c r="E210" t="inlineStr">
        <is>
          <t>HEDEMORA</t>
        </is>
      </c>
      <c r="G210" t="n">
        <v>0.5</v>
      </c>
      <c r="H210" t="n">
        <v>0</v>
      </c>
      <c r="I210" t="n">
        <v>0</v>
      </c>
      <c r="J210" t="n">
        <v>0</v>
      </c>
      <c r="K210" t="n">
        <v>0</v>
      </c>
      <c r="L210" t="n">
        <v>0</v>
      </c>
      <c r="M210" t="n">
        <v>0</v>
      </c>
      <c r="N210" t="n">
        <v>0</v>
      </c>
      <c r="O210" t="n">
        <v>0</v>
      </c>
      <c r="P210" t="n">
        <v>0</v>
      </c>
      <c r="Q210" t="n">
        <v>0</v>
      </c>
      <c r="R210" s="2" t="inlineStr"/>
    </row>
    <row r="211" ht="15" customHeight="1">
      <c r="A211" t="inlineStr">
        <is>
          <t>A 21171-2021</t>
        </is>
      </c>
      <c r="B211" s="1" t="n">
        <v>44320</v>
      </c>
      <c r="C211" s="1" t="n">
        <v>45506</v>
      </c>
      <c r="D211" t="inlineStr">
        <is>
          <t>DALARNAS LÄN</t>
        </is>
      </c>
      <c r="E211" t="inlineStr">
        <is>
          <t>HEDEMORA</t>
        </is>
      </c>
      <c r="G211" t="n">
        <v>2.8</v>
      </c>
      <c r="H211" t="n">
        <v>0</v>
      </c>
      <c r="I211" t="n">
        <v>0</v>
      </c>
      <c r="J211" t="n">
        <v>0</v>
      </c>
      <c r="K211" t="n">
        <v>0</v>
      </c>
      <c r="L211" t="n">
        <v>0</v>
      </c>
      <c r="M211" t="n">
        <v>0</v>
      </c>
      <c r="N211" t="n">
        <v>0</v>
      </c>
      <c r="O211" t="n">
        <v>0</v>
      </c>
      <c r="P211" t="n">
        <v>0</v>
      </c>
      <c r="Q211" t="n">
        <v>0</v>
      </c>
      <c r="R211" s="2" t="inlineStr"/>
    </row>
    <row r="212" ht="15" customHeight="1">
      <c r="A212" t="inlineStr">
        <is>
          <t>A 21408-2021</t>
        </is>
      </c>
      <c r="B212" s="1" t="n">
        <v>44321</v>
      </c>
      <c r="C212" s="1" t="n">
        <v>45506</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25641-2021</t>
        </is>
      </c>
      <c r="B213" s="1" t="n">
        <v>44343</v>
      </c>
      <c r="C213" s="1" t="n">
        <v>45506</v>
      </c>
      <c r="D213" t="inlineStr">
        <is>
          <t>DALARNAS LÄN</t>
        </is>
      </c>
      <c r="E213" t="inlineStr">
        <is>
          <t>HEDEMORA</t>
        </is>
      </c>
      <c r="G213" t="n">
        <v>11.2</v>
      </c>
      <c r="H213" t="n">
        <v>0</v>
      </c>
      <c r="I213" t="n">
        <v>0</v>
      </c>
      <c r="J213" t="n">
        <v>0</v>
      </c>
      <c r="K213" t="n">
        <v>0</v>
      </c>
      <c r="L213" t="n">
        <v>0</v>
      </c>
      <c r="M213" t="n">
        <v>0</v>
      </c>
      <c r="N213" t="n">
        <v>0</v>
      </c>
      <c r="O213" t="n">
        <v>0</v>
      </c>
      <c r="P213" t="n">
        <v>0</v>
      </c>
      <c r="Q213" t="n">
        <v>0</v>
      </c>
      <c r="R213" s="2" t="inlineStr"/>
    </row>
    <row r="214" ht="15" customHeight="1">
      <c r="A214" t="inlineStr">
        <is>
          <t>A 26612-2021</t>
        </is>
      </c>
      <c r="B214" s="1" t="n">
        <v>44348</v>
      </c>
      <c r="C214" s="1" t="n">
        <v>45506</v>
      </c>
      <c r="D214" t="inlineStr">
        <is>
          <t>DALARNAS LÄN</t>
        </is>
      </c>
      <c r="E214" t="inlineStr">
        <is>
          <t>HEDEMORA</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28067-2021</t>
        </is>
      </c>
      <c r="B215" s="1" t="n">
        <v>44355</v>
      </c>
      <c r="C215" s="1" t="n">
        <v>45506</v>
      </c>
      <c r="D215" t="inlineStr">
        <is>
          <t>DALARNAS LÄN</t>
        </is>
      </c>
      <c r="E215" t="inlineStr">
        <is>
          <t>HEDEMORA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29123-2021</t>
        </is>
      </c>
      <c r="B216" s="1" t="n">
        <v>44358</v>
      </c>
      <c r="C216" s="1" t="n">
        <v>45506</v>
      </c>
      <c r="D216" t="inlineStr">
        <is>
          <t>DALARNAS LÄN</t>
        </is>
      </c>
      <c r="E216" t="inlineStr">
        <is>
          <t>HEDEMORA</t>
        </is>
      </c>
      <c r="G216" t="n">
        <v>5.6</v>
      </c>
      <c r="H216" t="n">
        <v>0</v>
      </c>
      <c r="I216" t="n">
        <v>0</v>
      </c>
      <c r="J216" t="n">
        <v>0</v>
      </c>
      <c r="K216" t="n">
        <v>0</v>
      </c>
      <c r="L216" t="n">
        <v>0</v>
      </c>
      <c r="M216" t="n">
        <v>0</v>
      </c>
      <c r="N216" t="n">
        <v>0</v>
      </c>
      <c r="O216" t="n">
        <v>0</v>
      </c>
      <c r="P216" t="n">
        <v>0</v>
      </c>
      <c r="Q216" t="n">
        <v>0</v>
      </c>
      <c r="R216" s="2" t="inlineStr"/>
    </row>
    <row r="217" ht="15" customHeight="1">
      <c r="A217" t="inlineStr">
        <is>
          <t>A 29208-2021</t>
        </is>
      </c>
      <c r="B217" s="1" t="n">
        <v>44359</v>
      </c>
      <c r="C217" s="1" t="n">
        <v>45506</v>
      </c>
      <c r="D217" t="inlineStr">
        <is>
          <t>DALARNAS LÄN</t>
        </is>
      </c>
      <c r="E217" t="inlineStr">
        <is>
          <t>HEDEMORA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30571-2021</t>
        </is>
      </c>
      <c r="B218" s="1" t="n">
        <v>44364</v>
      </c>
      <c r="C218" s="1" t="n">
        <v>45506</v>
      </c>
      <c r="D218" t="inlineStr">
        <is>
          <t>DALARNAS LÄN</t>
        </is>
      </c>
      <c r="E218" t="inlineStr">
        <is>
          <t>HEDEMORA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30572-2021</t>
        </is>
      </c>
      <c r="B219" s="1" t="n">
        <v>44364</v>
      </c>
      <c r="C219" s="1" t="n">
        <v>45506</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30573-2021</t>
        </is>
      </c>
      <c r="B220" s="1" t="n">
        <v>44364</v>
      </c>
      <c r="C220" s="1" t="n">
        <v>45506</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30574-2021</t>
        </is>
      </c>
      <c r="B221" s="1" t="n">
        <v>44364</v>
      </c>
      <c r="C221" s="1" t="n">
        <v>45506</v>
      </c>
      <c r="D221" t="inlineStr">
        <is>
          <t>DALARNAS LÄN</t>
        </is>
      </c>
      <c r="E221" t="inlineStr">
        <is>
          <t>HEDEMORA</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32071-2021</t>
        </is>
      </c>
      <c r="B222" s="1" t="n">
        <v>44370</v>
      </c>
      <c r="C222" s="1" t="n">
        <v>45506</v>
      </c>
      <c r="D222" t="inlineStr">
        <is>
          <t>DALARNAS LÄN</t>
        </is>
      </c>
      <c r="E222" t="inlineStr">
        <is>
          <t>HEDEMORA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32073-2021</t>
        </is>
      </c>
      <c r="B223" s="1" t="n">
        <v>44370</v>
      </c>
      <c r="C223" s="1" t="n">
        <v>45506</v>
      </c>
      <c r="D223" t="inlineStr">
        <is>
          <t>DALARNAS LÄN</t>
        </is>
      </c>
      <c r="E223" t="inlineStr">
        <is>
          <t>HEDEMORA</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35792-2021</t>
        </is>
      </c>
      <c r="B224" s="1" t="n">
        <v>44386</v>
      </c>
      <c r="C224" s="1" t="n">
        <v>45506</v>
      </c>
      <c r="D224" t="inlineStr">
        <is>
          <t>DALARNAS LÄN</t>
        </is>
      </c>
      <c r="E224" t="inlineStr">
        <is>
          <t>HEDEMORA</t>
        </is>
      </c>
      <c r="F224" t="inlineStr">
        <is>
          <t>Bergvik skog väst AB</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36943-2021</t>
        </is>
      </c>
      <c r="B225" s="1" t="n">
        <v>44393</v>
      </c>
      <c r="C225" s="1" t="n">
        <v>45506</v>
      </c>
      <c r="D225" t="inlineStr">
        <is>
          <t>DALARNAS LÄN</t>
        </is>
      </c>
      <c r="E225" t="inlineStr">
        <is>
          <t>HEDEMORA</t>
        </is>
      </c>
      <c r="F225" t="inlineStr">
        <is>
          <t>Sveaskog</t>
        </is>
      </c>
      <c r="G225" t="n">
        <v>0.5</v>
      </c>
      <c r="H225" t="n">
        <v>0</v>
      </c>
      <c r="I225" t="n">
        <v>0</v>
      </c>
      <c r="J225" t="n">
        <v>0</v>
      </c>
      <c r="K225" t="n">
        <v>0</v>
      </c>
      <c r="L225" t="n">
        <v>0</v>
      </c>
      <c r="M225" t="n">
        <v>0</v>
      </c>
      <c r="N225" t="n">
        <v>0</v>
      </c>
      <c r="O225" t="n">
        <v>0</v>
      </c>
      <c r="P225" t="n">
        <v>0</v>
      </c>
      <c r="Q225" t="n">
        <v>0</v>
      </c>
      <c r="R225" s="2" t="inlineStr"/>
    </row>
    <row r="226" ht="15" customHeight="1">
      <c r="A226" t="inlineStr">
        <is>
          <t>A 39411-2021</t>
        </is>
      </c>
      <c r="B226" s="1" t="n">
        <v>44414</v>
      </c>
      <c r="C226" s="1" t="n">
        <v>45506</v>
      </c>
      <c r="D226" t="inlineStr">
        <is>
          <t>DALARNAS LÄN</t>
        </is>
      </c>
      <c r="E226" t="inlineStr">
        <is>
          <t>HEDEMORA</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40930-2021</t>
        </is>
      </c>
      <c r="B227" s="1" t="n">
        <v>44421</v>
      </c>
      <c r="C227" s="1" t="n">
        <v>45506</v>
      </c>
      <c r="D227" t="inlineStr">
        <is>
          <t>DALARNAS LÄN</t>
        </is>
      </c>
      <c r="E227" t="inlineStr">
        <is>
          <t>HEDEMORA</t>
        </is>
      </c>
      <c r="G227" t="n">
        <v>6.5</v>
      </c>
      <c r="H227" t="n">
        <v>0</v>
      </c>
      <c r="I227" t="n">
        <v>0</v>
      </c>
      <c r="J227" t="n">
        <v>0</v>
      </c>
      <c r="K227" t="n">
        <v>0</v>
      </c>
      <c r="L227" t="n">
        <v>0</v>
      </c>
      <c r="M227" t="n">
        <v>0</v>
      </c>
      <c r="N227" t="n">
        <v>0</v>
      </c>
      <c r="O227" t="n">
        <v>0</v>
      </c>
      <c r="P227" t="n">
        <v>0</v>
      </c>
      <c r="Q227" t="n">
        <v>0</v>
      </c>
      <c r="R227" s="2" t="inlineStr"/>
    </row>
    <row r="228" ht="15" customHeight="1">
      <c r="A228" t="inlineStr">
        <is>
          <t>A 40938-2021</t>
        </is>
      </c>
      <c r="B228" s="1" t="n">
        <v>44421</v>
      </c>
      <c r="C228" s="1" t="n">
        <v>45506</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41047-2021</t>
        </is>
      </c>
      <c r="B229" s="1" t="n">
        <v>44421</v>
      </c>
      <c r="C229" s="1" t="n">
        <v>45506</v>
      </c>
      <c r="D229" t="inlineStr">
        <is>
          <t>DALARNAS LÄN</t>
        </is>
      </c>
      <c r="E229" t="inlineStr">
        <is>
          <t>HEDEMORA</t>
        </is>
      </c>
      <c r="F229" t="inlineStr">
        <is>
          <t>Sveaskog</t>
        </is>
      </c>
      <c r="G229" t="n">
        <v>3.2</v>
      </c>
      <c r="H229" t="n">
        <v>0</v>
      </c>
      <c r="I229" t="n">
        <v>0</v>
      </c>
      <c r="J229" t="n">
        <v>0</v>
      </c>
      <c r="K229" t="n">
        <v>0</v>
      </c>
      <c r="L229" t="n">
        <v>0</v>
      </c>
      <c r="M229" t="n">
        <v>0</v>
      </c>
      <c r="N229" t="n">
        <v>0</v>
      </c>
      <c r="O229" t="n">
        <v>0</v>
      </c>
      <c r="P229" t="n">
        <v>0</v>
      </c>
      <c r="Q229" t="n">
        <v>0</v>
      </c>
      <c r="R229" s="2" t="inlineStr"/>
      <c r="U229">
        <f>HYPERLINK("https://klasma.github.io/Logging_2083/knärot/A 41047-2021 karta knärot.png", "A 41047-2021")</f>
        <v/>
      </c>
      <c r="V229">
        <f>HYPERLINK("https://klasma.github.io/Logging_2083/klagomål/A 41047-2021 FSC-klagomål.docx", "A 41047-2021")</f>
        <v/>
      </c>
      <c r="W229">
        <f>HYPERLINK("https://klasma.github.io/Logging_2083/klagomålsmail/A 41047-2021 FSC-klagomål mail.docx", "A 41047-2021")</f>
        <v/>
      </c>
      <c r="X229">
        <f>HYPERLINK("https://klasma.github.io/Logging_2083/tillsyn/A 41047-2021 tillsynsbegäran.docx", "A 41047-2021")</f>
        <v/>
      </c>
      <c r="Y229">
        <f>HYPERLINK("https://klasma.github.io/Logging_2083/tillsynsmail/A 41047-2021 tillsynsbegäran mail.docx", "A 41047-2021")</f>
        <v/>
      </c>
    </row>
    <row r="230" ht="15" customHeight="1">
      <c r="A230" t="inlineStr">
        <is>
          <t>A 44065-2021</t>
        </is>
      </c>
      <c r="B230" s="1" t="n">
        <v>44434</v>
      </c>
      <c r="C230" s="1" t="n">
        <v>45506</v>
      </c>
      <c r="D230" t="inlineStr">
        <is>
          <t>DALARNAS LÄN</t>
        </is>
      </c>
      <c r="E230" t="inlineStr">
        <is>
          <t>HEDEMORA</t>
        </is>
      </c>
      <c r="F230" t="inlineStr">
        <is>
          <t>Bergvik skog väst AB</t>
        </is>
      </c>
      <c r="G230" t="n">
        <v>9.1</v>
      </c>
      <c r="H230" t="n">
        <v>0</v>
      </c>
      <c r="I230" t="n">
        <v>0</v>
      </c>
      <c r="J230" t="n">
        <v>0</v>
      </c>
      <c r="K230" t="n">
        <v>0</v>
      </c>
      <c r="L230" t="n">
        <v>0</v>
      </c>
      <c r="M230" t="n">
        <v>0</v>
      </c>
      <c r="N230" t="n">
        <v>0</v>
      </c>
      <c r="O230" t="n">
        <v>0</v>
      </c>
      <c r="P230" t="n">
        <v>0</v>
      </c>
      <c r="Q230" t="n">
        <v>0</v>
      </c>
      <c r="R230" s="2" t="inlineStr"/>
    </row>
    <row r="231" ht="15" customHeight="1">
      <c r="A231" t="inlineStr">
        <is>
          <t>A 44960-2021</t>
        </is>
      </c>
      <c r="B231" s="1" t="n">
        <v>44438</v>
      </c>
      <c r="C231" s="1" t="n">
        <v>45506</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44957-2021</t>
        </is>
      </c>
      <c r="B232" s="1" t="n">
        <v>44438</v>
      </c>
      <c r="C232" s="1" t="n">
        <v>45506</v>
      </c>
      <c r="D232" t="inlineStr">
        <is>
          <t>DALARNAS LÄN</t>
        </is>
      </c>
      <c r="E232" t="inlineStr">
        <is>
          <t>HEDEMORA</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44966-2021</t>
        </is>
      </c>
      <c r="B233" s="1" t="n">
        <v>44438</v>
      </c>
      <c r="C233" s="1" t="n">
        <v>45506</v>
      </c>
      <c r="D233" t="inlineStr">
        <is>
          <t>DALARNAS LÄN</t>
        </is>
      </c>
      <c r="E233" t="inlineStr">
        <is>
          <t>HEDEMORA</t>
        </is>
      </c>
      <c r="F233" t="inlineStr">
        <is>
          <t>Sveaskog</t>
        </is>
      </c>
      <c r="G233" t="n">
        <v>5.6</v>
      </c>
      <c r="H233" t="n">
        <v>0</v>
      </c>
      <c r="I233" t="n">
        <v>0</v>
      </c>
      <c r="J233" t="n">
        <v>0</v>
      </c>
      <c r="K233" t="n">
        <v>0</v>
      </c>
      <c r="L233" t="n">
        <v>0</v>
      </c>
      <c r="M233" t="n">
        <v>0</v>
      </c>
      <c r="N233" t="n">
        <v>0</v>
      </c>
      <c r="O233" t="n">
        <v>0</v>
      </c>
      <c r="P233" t="n">
        <v>0</v>
      </c>
      <c r="Q233" t="n">
        <v>0</v>
      </c>
      <c r="R233" s="2" t="inlineStr"/>
    </row>
    <row r="234" ht="15" customHeight="1">
      <c r="A234" t="inlineStr">
        <is>
          <t>A 46235-2021</t>
        </is>
      </c>
      <c r="B234" s="1" t="n">
        <v>44442</v>
      </c>
      <c r="C234" s="1" t="n">
        <v>45506</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48323-2021</t>
        </is>
      </c>
      <c r="B235" s="1" t="n">
        <v>44450</v>
      </c>
      <c r="C235" s="1" t="n">
        <v>45506</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49636-2021</t>
        </is>
      </c>
      <c r="B236" s="1" t="n">
        <v>44455</v>
      </c>
      <c r="C236" s="1" t="n">
        <v>45506</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50441-2021</t>
        </is>
      </c>
      <c r="B237" s="1" t="n">
        <v>44456</v>
      </c>
      <c r="C237" s="1" t="n">
        <v>45506</v>
      </c>
      <c r="D237" t="inlineStr">
        <is>
          <t>DALARNAS LÄN</t>
        </is>
      </c>
      <c r="E237" t="inlineStr">
        <is>
          <t>HEDEMORA</t>
        </is>
      </c>
      <c r="F237" t="inlineStr">
        <is>
          <t>Bergvik skog väst AB</t>
        </is>
      </c>
      <c r="G237" t="n">
        <v>6.4</v>
      </c>
      <c r="H237" t="n">
        <v>0</v>
      </c>
      <c r="I237" t="n">
        <v>0</v>
      </c>
      <c r="J237" t="n">
        <v>0</v>
      </c>
      <c r="K237" t="n">
        <v>0</v>
      </c>
      <c r="L237" t="n">
        <v>0</v>
      </c>
      <c r="M237" t="n">
        <v>0</v>
      </c>
      <c r="N237" t="n">
        <v>0</v>
      </c>
      <c r="O237" t="n">
        <v>0</v>
      </c>
      <c r="P237" t="n">
        <v>0</v>
      </c>
      <c r="Q237" t="n">
        <v>0</v>
      </c>
      <c r="R237" s="2" t="inlineStr"/>
    </row>
    <row r="238" ht="15" customHeight="1">
      <c r="A238" t="inlineStr">
        <is>
          <t>A 51106-2021</t>
        </is>
      </c>
      <c r="B238" s="1" t="n">
        <v>44461</v>
      </c>
      <c r="C238" s="1" t="n">
        <v>45506</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45506</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52215-2021</t>
        </is>
      </c>
      <c r="B240" s="1" t="n">
        <v>44462</v>
      </c>
      <c r="C240" s="1" t="n">
        <v>45506</v>
      </c>
      <c r="D240" t="inlineStr">
        <is>
          <t>DALARNAS LÄN</t>
        </is>
      </c>
      <c r="E240" t="inlineStr">
        <is>
          <t>HEDEMORA</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52221-2021</t>
        </is>
      </c>
      <c r="B241" s="1" t="n">
        <v>44462</v>
      </c>
      <c r="C241" s="1" t="n">
        <v>45506</v>
      </c>
      <c r="D241" t="inlineStr">
        <is>
          <t>DALARNAS LÄN</t>
        </is>
      </c>
      <c r="E241" t="inlineStr">
        <is>
          <t>HEDEMORA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52425-2021</t>
        </is>
      </c>
      <c r="B242" s="1" t="n">
        <v>44466</v>
      </c>
      <c r="C242" s="1" t="n">
        <v>45506</v>
      </c>
      <c r="D242" t="inlineStr">
        <is>
          <t>DALARNAS LÄN</t>
        </is>
      </c>
      <c r="E242" t="inlineStr">
        <is>
          <t>HEDEMORA</t>
        </is>
      </c>
      <c r="G242" t="n">
        <v>2.3</v>
      </c>
      <c r="H242" t="n">
        <v>0</v>
      </c>
      <c r="I242" t="n">
        <v>0</v>
      </c>
      <c r="J242" t="n">
        <v>0</v>
      </c>
      <c r="K242" t="n">
        <v>0</v>
      </c>
      <c r="L242" t="n">
        <v>0</v>
      </c>
      <c r="M242" t="n">
        <v>0</v>
      </c>
      <c r="N242" t="n">
        <v>0</v>
      </c>
      <c r="O242" t="n">
        <v>0</v>
      </c>
      <c r="P242" t="n">
        <v>0</v>
      </c>
      <c r="Q242" t="n">
        <v>0</v>
      </c>
      <c r="R242" s="2" t="inlineStr"/>
    </row>
    <row r="243" ht="15" customHeight="1">
      <c r="A243" t="inlineStr">
        <is>
          <t>A 52511-2021</t>
        </is>
      </c>
      <c r="B243" s="1" t="n">
        <v>44466</v>
      </c>
      <c r="C243" s="1" t="n">
        <v>45506</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53443-2021</t>
        </is>
      </c>
      <c r="B244" s="1" t="n">
        <v>44468</v>
      </c>
      <c r="C244" s="1" t="n">
        <v>45506</v>
      </c>
      <c r="D244" t="inlineStr">
        <is>
          <t>DALARNAS LÄN</t>
        </is>
      </c>
      <c r="E244" t="inlineStr">
        <is>
          <t>HEDEMORA</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54310-2021</t>
        </is>
      </c>
      <c r="B245" s="1" t="n">
        <v>44472</v>
      </c>
      <c r="C245" s="1" t="n">
        <v>45506</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55195-2021</t>
        </is>
      </c>
      <c r="B246" s="1" t="n">
        <v>44475</v>
      </c>
      <c r="C246" s="1" t="n">
        <v>45506</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57117-2021</t>
        </is>
      </c>
      <c r="B247" s="1" t="n">
        <v>44482</v>
      </c>
      <c r="C247" s="1" t="n">
        <v>45506</v>
      </c>
      <c r="D247" t="inlineStr">
        <is>
          <t>DALARNAS LÄN</t>
        </is>
      </c>
      <c r="E247" t="inlineStr">
        <is>
          <t>HEDEMORA</t>
        </is>
      </c>
      <c r="F247" t="inlineStr">
        <is>
          <t>Bergvik skog väst AB</t>
        </is>
      </c>
      <c r="G247" t="n">
        <v>14.3</v>
      </c>
      <c r="H247" t="n">
        <v>0</v>
      </c>
      <c r="I247" t="n">
        <v>0</v>
      </c>
      <c r="J247" t="n">
        <v>0</v>
      </c>
      <c r="K247" t="n">
        <v>0</v>
      </c>
      <c r="L247" t="n">
        <v>0</v>
      </c>
      <c r="M247" t="n">
        <v>0</v>
      </c>
      <c r="N247" t="n">
        <v>0</v>
      </c>
      <c r="O247" t="n">
        <v>0</v>
      </c>
      <c r="P247" t="n">
        <v>0</v>
      </c>
      <c r="Q247" t="n">
        <v>0</v>
      </c>
      <c r="R247" s="2" t="inlineStr"/>
    </row>
    <row r="248" ht="15" customHeight="1">
      <c r="A248" t="inlineStr">
        <is>
          <t>A 59491-2021</t>
        </is>
      </c>
      <c r="B248" s="1" t="n">
        <v>44491</v>
      </c>
      <c r="C248" s="1" t="n">
        <v>45506</v>
      </c>
      <c r="D248" t="inlineStr">
        <is>
          <t>DALARNAS LÄN</t>
        </is>
      </c>
      <c r="E248" t="inlineStr">
        <is>
          <t>HEDEMORA</t>
        </is>
      </c>
      <c r="G248" t="n">
        <v>2.2</v>
      </c>
      <c r="H248" t="n">
        <v>0</v>
      </c>
      <c r="I248" t="n">
        <v>0</v>
      </c>
      <c r="J248" t="n">
        <v>0</v>
      </c>
      <c r="K248" t="n">
        <v>0</v>
      </c>
      <c r="L248" t="n">
        <v>0</v>
      </c>
      <c r="M248" t="n">
        <v>0</v>
      </c>
      <c r="N248" t="n">
        <v>0</v>
      </c>
      <c r="O248" t="n">
        <v>0</v>
      </c>
      <c r="P248" t="n">
        <v>0</v>
      </c>
      <c r="Q248" t="n">
        <v>0</v>
      </c>
      <c r="R248" s="2" t="inlineStr"/>
    </row>
    <row r="249" ht="15" customHeight="1">
      <c r="A249" t="inlineStr">
        <is>
          <t>A 59495-2021</t>
        </is>
      </c>
      <c r="B249" s="1" t="n">
        <v>44491</v>
      </c>
      <c r="C249" s="1" t="n">
        <v>45506</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60418-2021</t>
        </is>
      </c>
      <c r="B250" s="1" t="n">
        <v>44495</v>
      </c>
      <c r="C250" s="1" t="n">
        <v>45506</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61533-2021</t>
        </is>
      </c>
      <c r="B251" s="1" t="n">
        <v>44501</v>
      </c>
      <c r="C251" s="1" t="n">
        <v>45506</v>
      </c>
      <c r="D251" t="inlineStr">
        <is>
          <t>DALARNAS LÄN</t>
        </is>
      </c>
      <c r="E251" t="inlineStr">
        <is>
          <t>HEDEMORA</t>
        </is>
      </c>
      <c r="G251" t="n">
        <v>1.6</v>
      </c>
      <c r="H251" t="n">
        <v>0</v>
      </c>
      <c r="I251" t="n">
        <v>0</v>
      </c>
      <c r="J251" t="n">
        <v>0</v>
      </c>
      <c r="K251" t="n">
        <v>0</v>
      </c>
      <c r="L251" t="n">
        <v>0</v>
      </c>
      <c r="M251" t="n">
        <v>0</v>
      </c>
      <c r="N251" t="n">
        <v>0</v>
      </c>
      <c r="O251" t="n">
        <v>0</v>
      </c>
      <c r="P251" t="n">
        <v>0</v>
      </c>
      <c r="Q251" t="n">
        <v>0</v>
      </c>
      <c r="R251" s="2" t="inlineStr"/>
    </row>
    <row r="252" ht="15" customHeight="1">
      <c r="A252" t="inlineStr">
        <is>
          <t>A 62305-2021</t>
        </is>
      </c>
      <c r="B252" s="1" t="n">
        <v>44502</v>
      </c>
      <c r="C252" s="1" t="n">
        <v>45506</v>
      </c>
      <c r="D252" t="inlineStr">
        <is>
          <t>DALARNAS LÄN</t>
        </is>
      </c>
      <c r="E252" t="inlineStr">
        <is>
          <t>HEDEMORA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63908-2021</t>
        </is>
      </c>
      <c r="B253" s="1" t="n">
        <v>44509</v>
      </c>
      <c r="C253" s="1" t="n">
        <v>45506</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64473-2021</t>
        </is>
      </c>
      <c r="B254" s="1" t="n">
        <v>44511</v>
      </c>
      <c r="C254" s="1" t="n">
        <v>45506</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67282-2021</t>
        </is>
      </c>
      <c r="B255" s="1" t="n">
        <v>44523</v>
      </c>
      <c r="C255" s="1" t="n">
        <v>45506</v>
      </c>
      <c r="D255" t="inlineStr">
        <is>
          <t>DALARNAS LÄN</t>
        </is>
      </c>
      <c r="E255" t="inlineStr">
        <is>
          <t>HEDEMORA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67288-2021</t>
        </is>
      </c>
      <c r="B256" s="1" t="n">
        <v>44523</v>
      </c>
      <c r="C256" s="1" t="n">
        <v>45506</v>
      </c>
      <c r="D256" t="inlineStr">
        <is>
          <t>DALARNAS LÄN</t>
        </is>
      </c>
      <c r="E256" t="inlineStr">
        <is>
          <t>HEDEMORA</t>
        </is>
      </c>
      <c r="F256" t="inlineStr">
        <is>
          <t>Övriga Aktiebolag</t>
        </is>
      </c>
      <c r="G256" t="n">
        <v>1.6</v>
      </c>
      <c r="H256" t="n">
        <v>0</v>
      </c>
      <c r="I256" t="n">
        <v>0</v>
      </c>
      <c r="J256" t="n">
        <v>0</v>
      </c>
      <c r="K256" t="n">
        <v>0</v>
      </c>
      <c r="L256" t="n">
        <v>0</v>
      </c>
      <c r="M256" t="n">
        <v>0</v>
      </c>
      <c r="N256" t="n">
        <v>0</v>
      </c>
      <c r="O256" t="n">
        <v>0</v>
      </c>
      <c r="P256" t="n">
        <v>0</v>
      </c>
      <c r="Q256" t="n">
        <v>0</v>
      </c>
      <c r="R256" s="2" t="inlineStr"/>
    </row>
    <row r="257" ht="15" customHeight="1">
      <c r="A257" t="inlineStr">
        <is>
          <t>A 68553-2021</t>
        </is>
      </c>
      <c r="B257" s="1" t="n">
        <v>44529</v>
      </c>
      <c r="C257" s="1" t="n">
        <v>45506</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68457-2021</t>
        </is>
      </c>
      <c r="B258" s="1" t="n">
        <v>44529</v>
      </c>
      <c r="C258" s="1" t="n">
        <v>45506</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69624-2021</t>
        </is>
      </c>
      <c r="B259" s="1" t="n">
        <v>44532</v>
      </c>
      <c r="C259" s="1" t="n">
        <v>45506</v>
      </c>
      <c r="D259" t="inlineStr">
        <is>
          <t>DALARNAS LÄN</t>
        </is>
      </c>
      <c r="E259" t="inlineStr">
        <is>
          <t>HEDEMORA</t>
        </is>
      </c>
      <c r="G259" t="n">
        <v>0.4</v>
      </c>
      <c r="H259" t="n">
        <v>0</v>
      </c>
      <c r="I259" t="n">
        <v>0</v>
      </c>
      <c r="J259" t="n">
        <v>0</v>
      </c>
      <c r="K259" t="n">
        <v>0</v>
      </c>
      <c r="L259" t="n">
        <v>0</v>
      </c>
      <c r="M259" t="n">
        <v>0</v>
      </c>
      <c r="N259" t="n">
        <v>0</v>
      </c>
      <c r="O259" t="n">
        <v>0</v>
      </c>
      <c r="P259" t="n">
        <v>0</v>
      </c>
      <c r="Q259" t="n">
        <v>0</v>
      </c>
      <c r="R259" s="2" t="inlineStr"/>
    </row>
    <row r="260" ht="15" customHeight="1">
      <c r="A260" t="inlineStr">
        <is>
          <t>A 73099-2021</t>
        </is>
      </c>
      <c r="B260" s="1" t="n">
        <v>44546</v>
      </c>
      <c r="C260" s="1" t="n">
        <v>45506</v>
      </c>
      <c r="D260" t="inlineStr">
        <is>
          <t>DALARNAS LÄN</t>
        </is>
      </c>
      <c r="E260" t="inlineStr">
        <is>
          <t>HEDEMORA</t>
        </is>
      </c>
      <c r="G260" t="n">
        <v>4.5</v>
      </c>
      <c r="H260" t="n">
        <v>0</v>
      </c>
      <c r="I260" t="n">
        <v>0</v>
      </c>
      <c r="J260" t="n">
        <v>0</v>
      </c>
      <c r="K260" t="n">
        <v>0</v>
      </c>
      <c r="L260" t="n">
        <v>0</v>
      </c>
      <c r="M260" t="n">
        <v>0</v>
      </c>
      <c r="N260" t="n">
        <v>0</v>
      </c>
      <c r="O260" t="n">
        <v>0</v>
      </c>
      <c r="P260" t="n">
        <v>0</v>
      </c>
      <c r="Q260" t="n">
        <v>0</v>
      </c>
      <c r="R260" s="2" t="inlineStr"/>
    </row>
    <row r="261" ht="15" customHeight="1">
      <c r="A261" t="inlineStr">
        <is>
          <t>A 73464-2021</t>
        </is>
      </c>
      <c r="B261" s="1" t="n">
        <v>44551</v>
      </c>
      <c r="C261" s="1" t="n">
        <v>45506</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295-2022</t>
        </is>
      </c>
      <c r="B262" s="1" t="n">
        <v>44565</v>
      </c>
      <c r="C262" s="1" t="n">
        <v>45506</v>
      </c>
      <c r="D262" t="inlineStr">
        <is>
          <t>DALARNAS LÄN</t>
        </is>
      </c>
      <c r="E262" t="inlineStr">
        <is>
          <t>HEDEMORA</t>
        </is>
      </c>
      <c r="G262" t="n">
        <v>0.5</v>
      </c>
      <c r="H262" t="n">
        <v>0</v>
      </c>
      <c r="I262" t="n">
        <v>0</v>
      </c>
      <c r="J262" t="n">
        <v>0</v>
      </c>
      <c r="K262" t="n">
        <v>0</v>
      </c>
      <c r="L262" t="n">
        <v>0</v>
      </c>
      <c r="M262" t="n">
        <v>0</v>
      </c>
      <c r="N262" t="n">
        <v>0</v>
      </c>
      <c r="O262" t="n">
        <v>0</v>
      </c>
      <c r="P262" t="n">
        <v>0</v>
      </c>
      <c r="Q262" t="n">
        <v>0</v>
      </c>
      <c r="R262" s="2" t="inlineStr"/>
    </row>
    <row r="263" ht="15" customHeight="1">
      <c r="A263" t="inlineStr">
        <is>
          <t>A 769-2022</t>
        </is>
      </c>
      <c r="B263" s="1" t="n">
        <v>44570</v>
      </c>
      <c r="C263" s="1" t="n">
        <v>45506</v>
      </c>
      <c r="D263" t="inlineStr">
        <is>
          <t>DALARNAS LÄN</t>
        </is>
      </c>
      <c r="E263" t="inlineStr">
        <is>
          <t>HEDEMORA</t>
        </is>
      </c>
      <c r="G263" t="n">
        <v>5.9</v>
      </c>
      <c r="H263" t="n">
        <v>0</v>
      </c>
      <c r="I263" t="n">
        <v>0</v>
      </c>
      <c r="J263" t="n">
        <v>0</v>
      </c>
      <c r="K263" t="n">
        <v>0</v>
      </c>
      <c r="L263" t="n">
        <v>0</v>
      </c>
      <c r="M263" t="n">
        <v>0</v>
      </c>
      <c r="N263" t="n">
        <v>0</v>
      </c>
      <c r="O263" t="n">
        <v>0</v>
      </c>
      <c r="P263" t="n">
        <v>0</v>
      </c>
      <c r="Q263" t="n">
        <v>0</v>
      </c>
      <c r="R263" s="2" t="inlineStr"/>
    </row>
    <row r="264" ht="15" customHeight="1">
      <c r="A264" t="inlineStr">
        <is>
          <t>A 1666-2022</t>
        </is>
      </c>
      <c r="B264" s="1" t="n">
        <v>44574</v>
      </c>
      <c r="C264" s="1" t="n">
        <v>45506</v>
      </c>
      <c r="D264" t="inlineStr">
        <is>
          <t>DALARNAS LÄN</t>
        </is>
      </c>
      <c r="E264" t="inlineStr">
        <is>
          <t>HEDEMORA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45506</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1973-2022</t>
        </is>
      </c>
      <c r="B266" s="1" t="n">
        <v>44575</v>
      </c>
      <c r="C266" s="1" t="n">
        <v>45506</v>
      </c>
      <c r="D266" t="inlineStr">
        <is>
          <t>DALARNAS LÄN</t>
        </is>
      </c>
      <c r="E266" t="inlineStr">
        <is>
          <t>HEDEMORA</t>
        </is>
      </c>
      <c r="G266" t="n">
        <v>1.2</v>
      </c>
      <c r="H266" t="n">
        <v>0</v>
      </c>
      <c r="I266" t="n">
        <v>0</v>
      </c>
      <c r="J266" t="n">
        <v>0</v>
      </c>
      <c r="K266" t="n">
        <v>0</v>
      </c>
      <c r="L266" t="n">
        <v>0</v>
      </c>
      <c r="M266" t="n">
        <v>0</v>
      </c>
      <c r="N266" t="n">
        <v>0</v>
      </c>
      <c r="O266" t="n">
        <v>0</v>
      </c>
      <c r="P266" t="n">
        <v>0</v>
      </c>
      <c r="Q266" t="n">
        <v>0</v>
      </c>
      <c r="R266" s="2" t="inlineStr"/>
    </row>
    <row r="267" ht="15" customHeight="1">
      <c r="A267" t="inlineStr">
        <is>
          <t>A 1976-2022</t>
        </is>
      </c>
      <c r="B267" s="1" t="n">
        <v>44575</v>
      </c>
      <c r="C267" s="1" t="n">
        <v>45506</v>
      </c>
      <c r="D267" t="inlineStr">
        <is>
          <t>DALARNAS LÄN</t>
        </is>
      </c>
      <c r="E267" t="inlineStr">
        <is>
          <t>HEDEMORA</t>
        </is>
      </c>
      <c r="G267" t="n">
        <v>3.2</v>
      </c>
      <c r="H267" t="n">
        <v>0</v>
      </c>
      <c r="I267" t="n">
        <v>0</v>
      </c>
      <c r="J267" t="n">
        <v>0</v>
      </c>
      <c r="K267" t="n">
        <v>0</v>
      </c>
      <c r="L267" t="n">
        <v>0</v>
      </c>
      <c r="M267" t="n">
        <v>0</v>
      </c>
      <c r="N267" t="n">
        <v>0</v>
      </c>
      <c r="O267" t="n">
        <v>0</v>
      </c>
      <c r="P267" t="n">
        <v>0</v>
      </c>
      <c r="Q267" t="n">
        <v>0</v>
      </c>
      <c r="R267" s="2" t="inlineStr"/>
    </row>
    <row r="268" ht="15" customHeight="1">
      <c r="A268" t="inlineStr">
        <is>
          <t>A 4030-2022</t>
        </is>
      </c>
      <c r="B268" s="1" t="n">
        <v>44588</v>
      </c>
      <c r="C268" s="1" t="n">
        <v>45506</v>
      </c>
      <c r="D268" t="inlineStr">
        <is>
          <t>DALARNAS LÄN</t>
        </is>
      </c>
      <c r="E268" t="inlineStr">
        <is>
          <t>HEDEMORA</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7515-2022</t>
        </is>
      </c>
      <c r="B269" s="1" t="n">
        <v>44607</v>
      </c>
      <c r="C269" s="1" t="n">
        <v>45506</v>
      </c>
      <c r="D269" t="inlineStr">
        <is>
          <t>DALARNAS LÄN</t>
        </is>
      </c>
      <c r="E269" t="inlineStr">
        <is>
          <t>HEDEMORA</t>
        </is>
      </c>
      <c r="G269" t="n">
        <v>3.8</v>
      </c>
      <c r="H269" t="n">
        <v>0</v>
      </c>
      <c r="I269" t="n">
        <v>0</v>
      </c>
      <c r="J269" t="n">
        <v>0</v>
      </c>
      <c r="K269" t="n">
        <v>0</v>
      </c>
      <c r="L269" t="n">
        <v>0</v>
      </c>
      <c r="M269" t="n">
        <v>0</v>
      </c>
      <c r="N269" t="n">
        <v>0</v>
      </c>
      <c r="O269" t="n">
        <v>0</v>
      </c>
      <c r="P269" t="n">
        <v>0</v>
      </c>
      <c r="Q269" t="n">
        <v>0</v>
      </c>
      <c r="R269" s="2" t="inlineStr"/>
    </row>
    <row r="270" ht="15" customHeight="1">
      <c r="A270" t="inlineStr">
        <is>
          <t>A 10408-2022</t>
        </is>
      </c>
      <c r="B270" s="1" t="n">
        <v>44623</v>
      </c>
      <c r="C270" s="1" t="n">
        <v>45506</v>
      </c>
      <c r="D270" t="inlineStr">
        <is>
          <t>DALARNAS LÄN</t>
        </is>
      </c>
      <c r="E270" t="inlineStr">
        <is>
          <t>HEDEMORA</t>
        </is>
      </c>
      <c r="G270" t="n">
        <v>1.2</v>
      </c>
      <c r="H270" t="n">
        <v>0</v>
      </c>
      <c r="I270" t="n">
        <v>0</v>
      </c>
      <c r="J270" t="n">
        <v>0</v>
      </c>
      <c r="K270" t="n">
        <v>0</v>
      </c>
      <c r="L270" t="n">
        <v>0</v>
      </c>
      <c r="M270" t="n">
        <v>0</v>
      </c>
      <c r="N270" t="n">
        <v>0</v>
      </c>
      <c r="O270" t="n">
        <v>0</v>
      </c>
      <c r="P270" t="n">
        <v>0</v>
      </c>
      <c r="Q270" t="n">
        <v>0</v>
      </c>
      <c r="R270" s="2" t="inlineStr"/>
    </row>
    <row r="271" ht="15" customHeight="1">
      <c r="A271" t="inlineStr">
        <is>
          <t>A 11046-2022</t>
        </is>
      </c>
      <c r="B271" s="1" t="n">
        <v>44628</v>
      </c>
      <c r="C271" s="1" t="n">
        <v>45506</v>
      </c>
      <c r="D271" t="inlineStr">
        <is>
          <t>DALARNAS LÄN</t>
        </is>
      </c>
      <c r="E271" t="inlineStr">
        <is>
          <t>HEDEMORA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15635-2022</t>
        </is>
      </c>
      <c r="B272" s="1" t="n">
        <v>44662</v>
      </c>
      <c r="C272" s="1" t="n">
        <v>45506</v>
      </c>
      <c r="D272" t="inlineStr">
        <is>
          <t>DALARNAS LÄN</t>
        </is>
      </c>
      <c r="E272" t="inlineStr">
        <is>
          <t>HEDEMORA</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16122-2022</t>
        </is>
      </c>
      <c r="B273" s="1" t="n">
        <v>44665</v>
      </c>
      <c r="C273" s="1" t="n">
        <v>45506</v>
      </c>
      <c r="D273" t="inlineStr">
        <is>
          <t>DALARNAS LÄN</t>
        </is>
      </c>
      <c r="E273" t="inlineStr">
        <is>
          <t>HEDEMORA</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16779-2022</t>
        </is>
      </c>
      <c r="B274" s="1" t="n">
        <v>44673</v>
      </c>
      <c r="C274" s="1" t="n">
        <v>45506</v>
      </c>
      <c r="D274" t="inlineStr">
        <is>
          <t>DALARNAS LÄN</t>
        </is>
      </c>
      <c r="E274" t="inlineStr">
        <is>
          <t>HEDEMORA</t>
        </is>
      </c>
      <c r="G274" t="n">
        <v>1.8</v>
      </c>
      <c r="H274" t="n">
        <v>0</v>
      </c>
      <c r="I274" t="n">
        <v>0</v>
      </c>
      <c r="J274" t="n">
        <v>0</v>
      </c>
      <c r="K274" t="n">
        <v>0</v>
      </c>
      <c r="L274" t="n">
        <v>0</v>
      </c>
      <c r="M274" t="n">
        <v>0</v>
      </c>
      <c r="N274" t="n">
        <v>0</v>
      </c>
      <c r="O274" t="n">
        <v>0</v>
      </c>
      <c r="P274" t="n">
        <v>0</v>
      </c>
      <c r="Q274" t="n">
        <v>0</v>
      </c>
      <c r="R274" s="2" t="inlineStr"/>
    </row>
    <row r="275" ht="15" customHeight="1">
      <c r="A275" t="inlineStr">
        <is>
          <t>A 17645-2022</t>
        </is>
      </c>
      <c r="B275" s="1" t="n">
        <v>44680</v>
      </c>
      <c r="C275" s="1" t="n">
        <v>45506</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18098-2022</t>
        </is>
      </c>
      <c r="B276" s="1" t="n">
        <v>44684</v>
      </c>
      <c r="C276" s="1" t="n">
        <v>45506</v>
      </c>
      <c r="D276" t="inlineStr">
        <is>
          <t>DALARNAS LÄN</t>
        </is>
      </c>
      <c r="E276" t="inlineStr">
        <is>
          <t>HEDEMORA</t>
        </is>
      </c>
      <c r="G276" t="n">
        <v>4.9</v>
      </c>
      <c r="H276" t="n">
        <v>0</v>
      </c>
      <c r="I276" t="n">
        <v>0</v>
      </c>
      <c r="J276" t="n">
        <v>0</v>
      </c>
      <c r="K276" t="n">
        <v>0</v>
      </c>
      <c r="L276" t="n">
        <v>0</v>
      </c>
      <c r="M276" t="n">
        <v>0</v>
      </c>
      <c r="N276" t="n">
        <v>0</v>
      </c>
      <c r="O276" t="n">
        <v>0</v>
      </c>
      <c r="P276" t="n">
        <v>0</v>
      </c>
      <c r="Q276" t="n">
        <v>0</v>
      </c>
      <c r="R276" s="2" t="inlineStr"/>
    </row>
    <row r="277" ht="15" customHeight="1">
      <c r="A277" t="inlineStr">
        <is>
          <t>A 20177-2022</t>
        </is>
      </c>
      <c r="B277" s="1" t="n">
        <v>44698</v>
      </c>
      <c r="C277" s="1" t="n">
        <v>45506</v>
      </c>
      <c r="D277" t="inlineStr">
        <is>
          <t>DALARNAS LÄN</t>
        </is>
      </c>
      <c r="E277" t="inlineStr">
        <is>
          <t>HEDEMORA</t>
        </is>
      </c>
      <c r="G277" t="n">
        <v>3.9</v>
      </c>
      <c r="H277" t="n">
        <v>0</v>
      </c>
      <c r="I277" t="n">
        <v>0</v>
      </c>
      <c r="J277" t="n">
        <v>0</v>
      </c>
      <c r="K277" t="n">
        <v>0</v>
      </c>
      <c r="L277" t="n">
        <v>0</v>
      </c>
      <c r="M277" t="n">
        <v>0</v>
      </c>
      <c r="N277" t="n">
        <v>0</v>
      </c>
      <c r="O277" t="n">
        <v>0</v>
      </c>
      <c r="P277" t="n">
        <v>0</v>
      </c>
      <c r="Q277" t="n">
        <v>0</v>
      </c>
      <c r="R277" s="2" t="inlineStr"/>
    </row>
    <row r="278" ht="15" customHeight="1">
      <c r="A278" t="inlineStr">
        <is>
          <t>A 21520-2022</t>
        </is>
      </c>
      <c r="B278" s="1" t="n">
        <v>44706</v>
      </c>
      <c r="C278" s="1" t="n">
        <v>45506</v>
      </c>
      <c r="D278" t="inlineStr">
        <is>
          <t>DALARNAS LÄN</t>
        </is>
      </c>
      <c r="E278" t="inlineStr">
        <is>
          <t>HEDEMORA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22968-2022</t>
        </is>
      </c>
      <c r="B279" s="1" t="n">
        <v>44716</v>
      </c>
      <c r="C279" s="1" t="n">
        <v>45506</v>
      </c>
      <c r="D279" t="inlineStr">
        <is>
          <t>DALARNAS LÄN</t>
        </is>
      </c>
      <c r="E279" t="inlineStr">
        <is>
          <t>HEDEMORA</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22970-2022</t>
        </is>
      </c>
      <c r="B280" s="1" t="n">
        <v>44716</v>
      </c>
      <c r="C280" s="1" t="n">
        <v>45506</v>
      </c>
      <c r="D280" t="inlineStr">
        <is>
          <t>DALARNAS LÄN</t>
        </is>
      </c>
      <c r="E280" t="inlineStr">
        <is>
          <t>HEDEMORA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22969-2022</t>
        </is>
      </c>
      <c r="B281" s="1" t="n">
        <v>44716</v>
      </c>
      <c r="C281" s="1" t="n">
        <v>45506</v>
      </c>
      <c r="D281" t="inlineStr">
        <is>
          <t>DALARNAS LÄN</t>
        </is>
      </c>
      <c r="E281" t="inlineStr">
        <is>
          <t>HEDEMORA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23329-2022</t>
        </is>
      </c>
      <c r="B282" s="1" t="n">
        <v>44720</v>
      </c>
      <c r="C282" s="1" t="n">
        <v>45506</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23843-2022</t>
        </is>
      </c>
      <c r="B283" s="1" t="n">
        <v>44722</v>
      </c>
      <c r="C283" s="1" t="n">
        <v>45506</v>
      </c>
      <c r="D283" t="inlineStr">
        <is>
          <t>DALARNAS LÄN</t>
        </is>
      </c>
      <c r="E283" t="inlineStr">
        <is>
          <t>HEDEMORA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23839-2022</t>
        </is>
      </c>
      <c r="B284" s="1" t="n">
        <v>44722</v>
      </c>
      <c r="C284" s="1" t="n">
        <v>45506</v>
      </c>
      <c r="D284" t="inlineStr">
        <is>
          <t>DALARNAS LÄN</t>
        </is>
      </c>
      <c r="E284" t="inlineStr">
        <is>
          <t>HEDEMORA</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24427-2022</t>
        </is>
      </c>
      <c r="B285" s="1" t="n">
        <v>44726</v>
      </c>
      <c r="C285" s="1" t="n">
        <v>45506</v>
      </c>
      <c r="D285" t="inlineStr">
        <is>
          <t>DALARNAS LÄN</t>
        </is>
      </c>
      <c r="E285" t="inlineStr">
        <is>
          <t>HEDEMORA</t>
        </is>
      </c>
      <c r="G285" t="n">
        <v>1.7</v>
      </c>
      <c r="H285" t="n">
        <v>0</v>
      </c>
      <c r="I285" t="n">
        <v>0</v>
      </c>
      <c r="J285" t="n">
        <v>0</v>
      </c>
      <c r="K285" t="n">
        <v>0</v>
      </c>
      <c r="L285" t="n">
        <v>0</v>
      </c>
      <c r="M285" t="n">
        <v>0</v>
      </c>
      <c r="N285" t="n">
        <v>0</v>
      </c>
      <c r="O285" t="n">
        <v>0</v>
      </c>
      <c r="P285" t="n">
        <v>0</v>
      </c>
      <c r="Q285" t="n">
        <v>0</v>
      </c>
      <c r="R285" s="2" t="inlineStr"/>
    </row>
    <row r="286" ht="15" customHeight="1">
      <c r="A286" t="inlineStr">
        <is>
          <t>A 24446-2022</t>
        </is>
      </c>
      <c r="B286" s="1" t="n">
        <v>44726</v>
      </c>
      <c r="C286" s="1" t="n">
        <v>45506</v>
      </c>
      <c r="D286" t="inlineStr">
        <is>
          <t>DALARNAS LÄN</t>
        </is>
      </c>
      <c r="E286" t="inlineStr">
        <is>
          <t>HEDEMORA</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24706-2022</t>
        </is>
      </c>
      <c r="B287" s="1" t="n">
        <v>44727</v>
      </c>
      <c r="C287" s="1" t="n">
        <v>45506</v>
      </c>
      <c r="D287" t="inlineStr">
        <is>
          <t>DALARNAS LÄN</t>
        </is>
      </c>
      <c r="E287" t="inlineStr">
        <is>
          <t>HEDEMORA</t>
        </is>
      </c>
      <c r="G287" t="n">
        <v>25.4</v>
      </c>
      <c r="H287" t="n">
        <v>0</v>
      </c>
      <c r="I287" t="n">
        <v>0</v>
      </c>
      <c r="J287" t="n">
        <v>0</v>
      </c>
      <c r="K287" t="n">
        <v>0</v>
      </c>
      <c r="L287" t="n">
        <v>0</v>
      </c>
      <c r="M287" t="n">
        <v>0</v>
      </c>
      <c r="N287" t="n">
        <v>0</v>
      </c>
      <c r="O287" t="n">
        <v>0</v>
      </c>
      <c r="P287" t="n">
        <v>0</v>
      </c>
      <c r="Q287" t="n">
        <v>0</v>
      </c>
      <c r="R287" s="2" t="inlineStr"/>
    </row>
    <row r="288" ht="15" customHeight="1">
      <c r="A288" t="inlineStr">
        <is>
          <t>A 25754-2022</t>
        </is>
      </c>
      <c r="B288" s="1" t="n">
        <v>44732</v>
      </c>
      <c r="C288" s="1" t="n">
        <v>45506</v>
      </c>
      <c r="D288" t="inlineStr">
        <is>
          <t>DALARNAS LÄN</t>
        </is>
      </c>
      <c r="E288" t="inlineStr">
        <is>
          <t>HEDEMORA</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25567-2022</t>
        </is>
      </c>
      <c r="B289" s="1" t="n">
        <v>44732</v>
      </c>
      <c r="C289" s="1" t="n">
        <v>45506</v>
      </c>
      <c r="D289" t="inlineStr">
        <is>
          <t>DALARNAS LÄN</t>
        </is>
      </c>
      <c r="E289" t="inlineStr">
        <is>
          <t>HEDEMORA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25577-2022</t>
        </is>
      </c>
      <c r="B290" s="1" t="n">
        <v>44732</v>
      </c>
      <c r="C290" s="1" t="n">
        <v>45506</v>
      </c>
      <c r="D290" t="inlineStr">
        <is>
          <t>DALARNAS LÄN</t>
        </is>
      </c>
      <c r="E290" t="inlineStr">
        <is>
          <t>HEDEMORA</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25692-2022</t>
        </is>
      </c>
      <c r="B291" s="1" t="n">
        <v>44732</v>
      </c>
      <c r="C291" s="1" t="n">
        <v>45506</v>
      </c>
      <c r="D291" t="inlineStr">
        <is>
          <t>DALARNAS LÄN</t>
        </is>
      </c>
      <c r="E291" t="inlineStr">
        <is>
          <t>HEDEMORA</t>
        </is>
      </c>
      <c r="F291" t="inlineStr">
        <is>
          <t>Bergvik skog väst AB</t>
        </is>
      </c>
      <c r="G291" t="n">
        <v>22.3</v>
      </c>
      <c r="H291" t="n">
        <v>0</v>
      </c>
      <c r="I291" t="n">
        <v>0</v>
      </c>
      <c r="J291" t="n">
        <v>0</v>
      </c>
      <c r="K291" t="n">
        <v>0</v>
      </c>
      <c r="L291" t="n">
        <v>0</v>
      </c>
      <c r="M291" t="n">
        <v>0</v>
      </c>
      <c r="N291" t="n">
        <v>0</v>
      </c>
      <c r="O291" t="n">
        <v>0</v>
      </c>
      <c r="P291" t="n">
        <v>0</v>
      </c>
      <c r="Q291" t="n">
        <v>0</v>
      </c>
      <c r="R291" s="2" t="inlineStr"/>
    </row>
    <row r="292" ht="15" customHeight="1">
      <c r="A292" t="inlineStr">
        <is>
          <t>A 25691-2022</t>
        </is>
      </c>
      <c r="B292" s="1" t="n">
        <v>44733</v>
      </c>
      <c r="C292" s="1" t="n">
        <v>45506</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27238-2022</t>
        </is>
      </c>
      <c r="B293" s="1" t="n">
        <v>44741</v>
      </c>
      <c r="C293" s="1" t="n">
        <v>45506</v>
      </c>
      <c r="D293" t="inlineStr">
        <is>
          <t>DALARNAS LÄN</t>
        </is>
      </c>
      <c r="E293" t="inlineStr">
        <is>
          <t>HEDEMORA</t>
        </is>
      </c>
      <c r="G293" t="n">
        <v>1.5</v>
      </c>
      <c r="H293" t="n">
        <v>0</v>
      </c>
      <c r="I293" t="n">
        <v>0</v>
      </c>
      <c r="J293" t="n">
        <v>0</v>
      </c>
      <c r="K293" t="n">
        <v>0</v>
      </c>
      <c r="L293" t="n">
        <v>0</v>
      </c>
      <c r="M293" t="n">
        <v>0</v>
      </c>
      <c r="N293" t="n">
        <v>0</v>
      </c>
      <c r="O293" t="n">
        <v>0</v>
      </c>
      <c r="P293" t="n">
        <v>0</v>
      </c>
      <c r="Q293" t="n">
        <v>0</v>
      </c>
      <c r="R293" s="2" t="inlineStr"/>
    </row>
    <row r="294" ht="15" customHeight="1">
      <c r="A294" t="inlineStr">
        <is>
          <t>A 28173-2022</t>
        </is>
      </c>
      <c r="B294" s="1" t="n">
        <v>44746</v>
      </c>
      <c r="C294" s="1" t="n">
        <v>45506</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28105-2022</t>
        </is>
      </c>
      <c r="B295" s="1" t="n">
        <v>44746</v>
      </c>
      <c r="C295" s="1" t="n">
        <v>45506</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29284-2022</t>
        </is>
      </c>
      <c r="B296" s="1" t="n">
        <v>44750</v>
      </c>
      <c r="C296" s="1" t="n">
        <v>45506</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29283-2022</t>
        </is>
      </c>
      <c r="B297" s="1" t="n">
        <v>44750</v>
      </c>
      <c r="C297" s="1" t="n">
        <v>45506</v>
      </c>
      <c r="D297" t="inlineStr">
        <is>
          <t>DALARNAS LÄN</t>
        </is>
      </c>
      <c r="E297" t="inlineStr">
        <is>
          <t>HEDEMORA</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30163-2022</t>
        </is>
      </c>
      <c r="B298" s="1" t="n">
        <v>44757</v>
      </c>
      <c r="C298" s="1" t="n">
        <v>45506</v>
      </c>
      <c r="D298" t="inlineStr">
        <is>
          <t>DALARNAS LÄN</t>
        </is>
      </c>
      <c r="E298" t="inlineStr">
        <is>
          <t>HEDEMORA</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30162-2022</t>
        </is>
      </c>
      <c r="B299" s="1" t="n">
        <v>44757</v>
      </c>
      <c r="C299" s="1" t="n">
        <v>45506</v>
      </c>
      <c r="D299" t="inlineStr">
        <is>
          <t>DALARNAS LÄN</t>
        </is>
      </c>
      <c r="E299" t="inlineStr">
        <is>
          <t>HEDEMORA</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30205-2022</t>
        </is>
      </c>
      <c r="B300" s="1" t="n">
        <v>44757</v>
      </c>
      <c r="C300" s="1" t="n">
        <v>45506</v>
      </c>
      <c r="D300" t="inlineStr">
        <is>
          <t>DALARNAS LÄN</t>
        </is>
      </c>
      <c r="E300" t="inlineStr">
        <is>
          <t>HEDEMORA</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32731-2022</t>
        </is>
      </c>
      <c r="B301" s="1" t="n">
        <v>44783</v>
      </c>
      <c r="C301" s="1" t="n">
        <v>45506</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32738-2022</t>
        </is>
      </c>
      <c r="B302" s="1" t="n">
        <v>44783</v>
      </c>
      <c r="C302" s="1" t="n">
        <v>45506</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32748-2022</t>
        </is>
      </c>
      <c r="B303" s="1" t="n">
        <v>44783</v>
      </c>
      <c r="C303" s="1" t="n">
        <v>45506</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33071-2022</t>
        </is>
      </c>
      <c r="B304" s="1" t="n">
        <v>44785</v>
      </c>
      <c r="C304" s="1" t="n">
        <v>45506</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34237-2022</t>
        </is>
      </c>
      <c r="B305" s="1" t="n">
        <v>44791</v>
      </c>
      <c r="C305" s="1" t="n">
        <v>45506</v>
      </c>
      <c r="D305" t="inlineStr">
        <is>
          <t>DALARNAS LÄN</t>
        </is>
      </c>
      <c r="E305" t="inlineStr">
        <is>
          <t>HEDEMORA</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34409-2022</t>
        </is>
      </c>
      <c r="B306" s="1" t="n">
        <v>44792</v>
      </c>
      <c r="C306" s="1" t="n">
        <v>45506</v>
      </c>
      <c r="D306" t="inlineStr">
        <is>
          <t>DALARNAS LÄN</t>
        </is>
      </c>
      <c r="E306" t="inlineStr">
        <is>
          <t>HEDEMORA</t>
        </is>
      </c>
      <c r="G306" t="n">
        <v>13.7</v>
      </c>
      <c r="H306" t="n">
        <v>0</v>
      </c>
      <c r="I306" t="n">
        <v>0</v>
      </c>
      <c r="J306" t="n">
        <v>0</v>
      </c>
      <c r="K306" t="n">
        <v>0</v>
      </c>
      <c r="L306" t="n">
        <v>0</v>
      </c>
      <c r="M306" t="n">
        <v>0</v>
      </c>
      <c r="N306" t="n">
        <v>0</v>
      </c>
      <c r="O306" t="n">
        <v>0</v>
      </c>
      <c r="P306" t="n">
        <v>0</v>
      </c>
      <c r="Q306" t="n">
        <v>0</v>
      </c>
      <c r="R306" s="2" t="inlineStr"/>
    </row>
    <row r="307" ht="15" customHeight="1">
      <c r="A307" t="inlineStr">
        <is>
          <t>A 35806-2022</t>
        </is>
      </c>
      <c r="B307" s="1" t="n">
        <v>44802</v>
      </c>
      <c r="C307" s="1" t="n">
        <v>45506</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36865-2022</t>
        </is>
      </c>
      <c r="B308" s="1" t="n">
        <v>44805</v>
      </c>
      <c r="C308" s="1" t="n">
        <v>45506</v>
      </c>
      <c r="D308" t="inlineStr">
        <is>
          <t>DALARNAS LÄN</t>
        </is>
      </c>
      <c r="E308" t="inlineStr">
        <is>
          <t>HEDEMORA</t>
        </is>
      </c>
      <c r="G308" t="n">
        <v>2.1</v>
      </c>
      <c r="H308" t="n">
        <v>0</v>
      </c>
      <c r="I308" t="n">
        <v>0</v>
      </c>
      <c r="J308" t="n">
        <v>0</v>
      </c>
      <c r="K308" t="n">
        <v>0</v>
      </c>
      <c r="L308" t="n">
        <v>0</v>
      </c>
      <c r="M308" t="n">
        <v>0</v>
      </c>
      <c r="N308" t="n">
        <v>0</v>
      </c>
      <c r="O308" t="n">
        <v>0</v>
      </c>
      <c r="P308" t="n">
        <v>0</v>
      </c>
      <c r="Q308" t="n">
        <v>0</v>
      </c>
      <c r="R308" s="2" t="inlineStr"/>
    </row>
    <row r="309" ht="15" customHeight="1">
      <c r="A309" t="inlineStr">
        <is>
          <t>A 36900-2022</t>
        </is>
      </c>
      <c r="B309" s="1" t="n">
        <v>44805</v>
      </c>
      <c r="C309" s="1" t="n">
        <v>45506</v>
      </c>
      <c r="D309" t="inlineStr">
        <is>
          <t>DALARNAS LÄN</t>
        </is>
      </c>
      <c r="E309" t="inlineStr">
        <is>
          <t>HEDEMORA</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39046-2022</t>
        </is>
      </c>
      <c r="B310" s="1" t="n">
        <v>44817</v>
      </c>
      <c r="C310" s="1" t="n">
        <v>45506</v>
      </c>
      <c r="D310" t="inlineStr">
        <is>
          <t>DALARNAS LÄN</t>
        </is>
      </c>
      <c r="E310" t="inlineStr">
        <is>
          <t>HEDEMORA</t>
        </is>
      </c>
      <c r="F310" t="inlineStr">
        <is>
          <t>Sveaskog</t>
        </is>
      </c>
      <c r="G310" t="n">
        <v>14.8</v>
      </c>
      <c r="H310" t="n">
        <v>0</v>
      </c>
      <c r="I310" t="n">
        <v>0</v>
      </c>
      <c r="J310" t="n">
        <v>0</v>
      </c>
      <c r="K310" t="n">
        <v>0</v>
      </c>
      <c r="L310" t="n">
        <v>0</v>
      </c>
      <c r="M310" t="n">
        <v>0</v>
      </c>
      <c r="N310" t="n">
        <v>0</v>
      </c>
      <c r="O310" t="n">
        <v>0</v>
      </c>
      <c r="P310" t="n">
        <v>0</v>
      </c>
      <c r="Q310" t="n">
        <v>0</v>
      </c>
      <c r="R310" s="2" t="inlineStr"/>
    </row>
    <row r="311" ht="15" customHeight="1">
      <c r="A311" t="inlineStr">
        <is>
          <t>A 39497-2022</t>
        </is>
      </c>
      <c r="B311" s="1" t="n">
        <v>44817</v>
      </c>
      <c r="C311" s="1" t="n">
        <v>45506</v>
      </c>
      <c r="D311" t="inlineStr">
        <is>
          <t>DALARNAS LÄN</t>
        </is>
      </c>
      <c r="E311" t="inlineStr">
        <is>
          <t>HEDEMORA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39511-2022</t>
        </is>
      </c>
      <c r="B312" s="1" t="n">
        <v>44817</v>
      </c>
      <c r="C312" s="1" t="n">
        <v>45506</v>
      </c>
      <c r="D312" t="inlineStr">
        <is>
          <t>DALARNAS LÄN</t>
        </is>
      </c>
      <c r="E312" t="inlineStr">
        <is>
          <t>HEDEMORA</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39506-2022</t>
        </is>
      </c>
      <c r="B313" s="1" t="n">
        <v>44817</v>
      </c>
      <c r="C313" s="1" t="n">
        <v>45506</v>
      </c>
      <c r="D313" t="inlineStr">
        <is>
          <t>DALARNAS LÄN</t>
        </is>
      </c>
      <c r="E313" t="inlineStr">
        <is>
          <t>HEDEMORA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39667-2022</t>
        </is>
      </c>
      <c r="B314" s="1" t="n">
        <v>44818</v>
      </c>
      <c r="C314" s="1" t="n">
        <v>45506</v>
      </c>
      <c r="D314" t="inlineStr">
        <is>
          <t>DALARNAS LÄN</t>
        </is>
      </c>
      <c r="E314" t="inlineStr">
        <is>
          <t>HEDEMORA</t>
        </is>
      </c>
      <c r="F314" t="inlineStr">
        <is>
          <t>Sveaskog</t>
        </is>
      </c>
      <c r="G314" t="n">
        <v>20.4</v>
      </c>
      <c r="H314" t="n">
        <v>0</v>
      </c>
      <c r="I314" t="n">
        <v>0</v>
      </c>
      <c r="J314" t="n">
        <v>0</v>
      </c>
      <c r="K314" t="n">
        <v>0</v>
      </c>
      <c r="L314" t="n">
        <v>0</v>
      </c>
      <c r="M314" t="n">
        <v>0</v>
      </c>
      <c r="N314" t="n">
        <v>0</v>
      </c>
      <c r="O314" t="n">
        <v>0</v>
      </c>
      <c r="P314" t="n">
        <v>0</v>
      </c>
      <c r="Q314" t="n">
        <v>0</v>
      </c>
      <c r="R314" s="2" t="inlineStr"/>
    </row>
    <row r="315" ht="15" customHeight="1">
      <c r="A315" t="inlineStr">
        <is>
          <t>A 40030-2022</t>
        </is>
      </c>
      <c r="B315" s="1" t="n">
        <v>44820</v>
      </c>
      <c r="C315" s="1" t="n">
        <v>45506</v>
      </c>
      <c r="D315" t="inlineStr">
        <is>
          <t>DALARNAS LÄN</t>
        </is>
      </c>
      <c r="E315" t="inlineStr">
        <is>
          <t>HEDEMORA</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40025-2022</t>
        </is>
      </c>
      <c r="B316" s="1" t="n">
        <v>44820</v>
      </c>
      <c r="C316" s="1" t="n">
        <v>45506</v>
      </c>
      <c r="D316" t="inlineStr">
        <is>
          <t>DALARNAS LÄN</t>
        </is>
      </c>
      <c r="E316" t="inlineStr">
        <is>
          <t>HEDEMORA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41845-2022</t>
        </is>
      </c>
      <c r="B317" s="1" t="n">
        <v>44828</v>
      </c>
      <c r="C317" s="1" t="n">
        <v>45506</v>
      </c>
      <c r="D317" t="inlineStr">
        <is>
          <t>DALARNAS LÄN</t>
        </is>
      </c>
      <c r="E317" t="inlineStr">
        <is>
          <t>HEDEMORA</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45276-2022</t>
        </is>
      </c>
      <c r="B318" s="1" t="n">
        <v>44844</v>
      </c>
      <c r="C318" s="1" t="n">
        <v>45506</v>
      </c>
      <c r="D318" t="inlineStr">
        <is>
          <t>DALARNAS LÄN</t>
        </is>
      </c>
      <c r="E318" t="inlineStr">
        <is>
          <t>HEDEMORA</t>
        </is>
      </c>
      <c r="F318" t="inlineStr">
        <is>
          <t>Sveaskog</t>
        </is>
      </c>
      <c r="G318" t="n">
        <v>13.7</v>
      </c>
      <c r="H318" t="n">
        <v>0</v>
      </c>
      <c r="I318" t="n">
        <v>0</v>
      </c>
      <c r="J318" t="n">
        <v>0</v>
      </c>
      <c r="K318" t="n">
        <v>0</v>
      </c>
      <c r="L318" t="n">
        <v>0</v>
      </c>
      <c r="M318" t="n">
        <v>0</v>
      </c>
      <c r="N318" t="n">
        <v>0</v>
      </c>
      <c r="O318" t="n">
        <v>0</v>
      </c>
      <c r="P318" t="n">
        <v>0</v>
      </c>
      <c r="Q318" t="n">
        <v>0</v>
      </c>
      <c r="R318" s="2" t="inlineStr"/>
    </row>
    <row r="319" ht="15" customHeight="1">
      <c r="A319" t="inlineStr">
        <is>
          <t>A 45741-2022</t>
        </is>
      </c>
      <c r="B319" s="1" t="n">
        <v>44846</v>
      </c>
      <c r="C319" s="1" t="n">
        <v>45506</v>
      </c>
      <c r="D319" t="inlineStr">
        <is>
          <t>DALARNAS LÄN</t>
        </is>
      </c>
      <c r="E319" t="inlineStr">
        <is>
          <t>HEDEMORA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48639-2022</t>
        </is>
      </c>
      <c r="B320" s="1" t="n">
        <v>44859</v>
      </c>
      <c r="C320" s="1" t="n">
        <v>45506</v>
      </c>
      <c r="D320" t="inlineStr">
        <is>
          <t>DALARNAS LÄN</t>
        </is>
      </c>
      <c r="E320" t="inlineStr">
        <is>
          <t>HEDEMORA</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49160-2022</t>
        </is>
      </c>
      <c r="B321" s="1" t="n">
        <v>44860</v>
      </c>
      <c r="C321" s="1" t="n">
        <v>45506</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49768-2022</t>
        </is>
      </c>
      <c r="B322" s="1" t="n">
        <v>44862</v>
      </c>
      <c r="C322" s="1" t="n">
        <v>45506</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49889-2022</t>
        </is>
      </c>
      <c r="B323" s="1" t="n">
        <v>44864</v>
      </c>
      <c r="C323" s="1" t="n">
        <v>45506</v>
      </c>
      <c r="D323" t="inlineStr">
        <is>
          <t>DALARNAS LÄN</t>
        </is>
      </c>
      <c r="E323" t="inlineStr">
        <is>
          <t>HEDEMORA</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49890-2022</t>
        </is>
      </c>
      <c r="B324" s="1" t="n">
        <v>44864</v>
      </c>
      <c r="C324" s="1" t="n">
        <v>45506</v>
      </c>
      <c r="D324" t="inlineStr">
        <is>
          <t>DALARNAS LÄN</t>
        </is>
      </c>
      <c r="E324" t="inlineStr">
        <is>
          <t>HEDEMORA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51181-2022</t>
        </is>
      </c>
      <c r="B325" s="1" t="n">
        <v>44868</v>
      </c>
      <c r="C325" s="1" t="n">
        <v>45506</v>
      </c>
      <c r="D325" t="inlineStr">
        <is>
          <t>DALARNAS LÄN</t>
        </is>
      </c>
      <c r="E325" t="inlineStr">
        <is>
          <t>HEDEMORA</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51167-2022</t>
        </is>
      </c>
      <c r="B326" s="1" t="n">
        <v>44868</v>
      </c>
      <c r="C326" s="1" t="n">
        <v>45506</v>
      </c>
      <c r="D326" t="inlineStr">
        <is>
          <t>DALARNAS LÄN</t>
        </is>
      </c>
      <c r="E326" t="inlineStr">
        <is>
          <t>HEDEMORA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51520-2022</t>
        </is>
      </c>
      <c r="B327" s="1" t="n">
        <v>44869</v>
      </c>
      <c r="C327" s="1" t="n">
        <v>45506</v>
      </c>
      <c r="D327" t="inlineStr">
        <is>
          <t>DALARNAS LÄN</t>
        </is>
      </c>
      <c r="E327" t="inlineStr">
        <is>
          <t>HEDEMORA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52822-2022</t>
        </is>
      </c>
      <c r="B328" s="1" t="n">
        <v>44875</v>
      </c>
      <c r="C328" s="1" t="n">
        <v>45506</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53875-2022</t>
        </is>
      </c>
      <c r="B329" s="1" t="n">
        <v>44880</v>
      </c>
      <c r="C329" s="1" t="n">
        <v>45506</v>
      </c>
      <c r="D329" t="inlineStr">
        <is>
          <t>DALARNAS LÄN</t>
        </is>
      </c>
      <c r="E329" t="inlineStr">
        <is>
          <t>HEDEMORA</t>
        </is>
      </c>
      <c r="F329" t="inlineStr">
        <is>
          <t>Bergvik skog väst AB</t>
        </is>
      </c>
      <c r="G329" t="n">
        <v>6.8</v>
      </c>
      <c r="H329" t="n">
        <v>0</v>
      </c>
      <c r="I329" t="n">
        <v>0</v>
      </c>
      <c r="J329" t="n">
        <v>0</v>
      </c>
      <c r="K329" t="n">
        <v>0</v>
      </c>
      <c r="L329" t="n">
        <v>0</v>
      </c>
      <c r="M329" t="n">
        <v>0</v>
      </c>
      <c r="N329" t="n">
        <v>0</v>
      </c>
      <c r="O329" t="n">
        <v>0</v>
      </c>
      <c r="P329" t="n">
        <v>0</v>
      </c>
      <c r="Q329" t="n">
        <v>0</v>
      </c>
      <c r="R329" s="2" t="inlineStr"/>
    </row>
    <row r="330" ht="15" customHeight="1">
      <c r="A330" t="inlineStr">
        <is>
          <t>A 53894-2022</t>
        </is>
      </c>
      <c r="B330" s="1" t="n">
        <v>44880</v>
      </c>
      <c r="C330" s="1" t="n">
        <v>45506</v>
      </c>
      <c r="D330" t="inlineStr">
        <is>
          <t>DALARNAS LÄN</t>
        </is>
      </c>
      <c r="E330" t="inlineStr">
        <is>
          <t>HEDEMORA</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53896-2022</t>
        </is>
      </c>
      <c r="B331" s="1" t="n">
        <v>44880</v>
      </c>
      <c r="C331" s="1" t="n">
        <v>45506</v>
      </c>
      <c r="D331" t="inlineStr">
        <is>
          <t>DALARNAS LÄN</t>
        </is>
      </c>
      <c r="E331" t="inlineStr">
        <is>
          <t>HEDEMORA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53895-2022</t>
        </is>
      </c>
      <c r="B332" s="1" t="n">
        <v>44880</v>
      </c>
      <c r="C332" s="1" t="n">
        <v>45506</v>
      </c>
      <c r="D332" t="inlineStr">
        <is>
          <t>DALARNAS LÄN</t>
        </is>
      </c>
      <c r="E332" t="inlineStr">
        <is>
          <t>HEDEMORA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53915-2022</t>
        </is>
      </c>
      <c r="B333" s="1" t="n">
        <v>44880</v>
      </c>
      <c r="C333" s="1" t="n">
        <v>45506</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54198-2022</t>
        </is>
      </c>
      <c r="B334" s="1" t="n">
        <v>44881</v>
      </c>
      <c r="C334" s="1" t="n">
        <v>45506</v>
      </c>
      <c r="D334" t="inlineStr">
        <is>
          <t>DALARNAS LÄN</t>
        </is>
      </c>
      <c r="E334" t="inlineStr">
        <is>
          <t>HEDEMORA</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54197-2022</t>
        </is>
      </c>
      <c r="B335" s="1" t="n">
        <v>44881</v>
      </c>
      <c r="C335" s="1" t="n">
        <v>45506</v>
      </c>
      <c r="D335" t="inlineStr">
        <is>
          <t>DALARNAS LÄN</t>
        </is>
      </c>
      <c r="E335" t="inlineStr">
        <is>
          <t>HEDEMORA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54196-2022</t>
        </is>
      </c>
      <c r="B336" s="1" t="n">
        <v>44881</v>
      </c>
      <c r="C336" s="1" t="n">
        <v>45506</v>
      </c>
      <c r="D336" t="inlineStr">
        <is>
          <t>DALARNAS LÄN</t>
        </is>
      </c>
      <c r="E336" t="inlineStr">
        <is>
          <t>HEDEMORA</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54849-2022</t>
        </is>
      </c>
      <c r="B337" s="1" t="n">
        <v>44883</v>
      </c>
      <c r="C337" s="1" t="n">
        <v>45506</v>
      </c>
      <c r="D337" t="inlineStr">
        <is>
          <t>DALARNAS LÄN</t>
        </is>
      </c>
      <c r="E337" t="inlineStr">
        <is>
          <t>HEDEMORA</t>
        </is>
      </c>
      <c r="F337" t="inlineStr">
        <is>
          <t>Sveaskog</t>
        </is>
      </c>
      <c r="G337" t="n">
        <v>8.5</v>
      </c>
      <c r="H337" t="n">
        <v>0</v>
      </c>
      <c r="I337" t="n">
        <v>0</v>
      </c>
      <c r="J337" t="n">
        <v>0</v>
      </c>
      <c r="K337" t="n">
        <v>0</v>
      </c>
      <c r="L337" t="n">
        <v>0</v>
      </c>
      <c r="M337" t="n">
        <v>0</v>
      </c>
      <c r="N337" t="n">
        <v>0</v>
      </c>
      <c r="O337" t="n">
        <v>0</v>
      </c>
      <c r="P337" t="n">
        <v>0</v>
      </c>
      <c r="Q337" t="n">
        <v>0</v>
      </c>
      <c r="R337" s="2" t="inlineStr"/>
    </row>
    <row r="338" ht="15" customHeight="1">
      <c r="A338" t="inlineStr">
        <is>
          <t>A 55143-2022</t>
        </is>
      </c>
      <c r="B338" s="1" t="n">
        <v>44886</v>
      </c>
      <c r="C338" s="1" t="n">
        <v>45506</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55145-2022</t>
        </is>
      </c>
      <c r="B339" s="1" t="n">
        <v>44886</v>
      </c>
      <c r="C339" s="1" t="n">
        <v>45506</v>
      </c>
      <c r="D339" t="inlineStr">
        <is>
          <t>DALARNAS LÄN</t>
        </is>
      </c>
      <c r="E339" t="inlineStr">
        <is>
          <t>HEDEMORA</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55142-2022</t>
        </is>
      </c>
      <c r="B340" s="1" t="n">
        <v>44886</v>
      </c>
      <c r="C340" s="1" t="n">
        <v>45506</v>
      </c>
      <c r="D340" t="inlineStr">
        <is>
          <t>DALARNAS LÄN</t>
        </is>
      </c>
      <c r="E340" t="inlineStr">
        <is>
          <t>HEDEMORA</t>
        </is>
      </c>
      <c r="F340" t="inlineStr">
        <is>
          <t>Sveaskog</t>
        </is>
      </c>
      <c r="G340" t="n">
        <v>6.4</v>
      </c>
      <c r="H340" t="n">
        <v>0</v>
      </c>
      <c r="I340" t="n">
        <v>0</v>
      </c>
      <c r="J340" t="n">
        <v>0</v>
      </c>
      <c r="K340" t="n">
        <v>0</v>
      </c>
      <c r="L340" t="n">
        <v>0</v>
      </c>
      <c r="M340" t="n">
        <v>0</v>
      </c>
      <c r="N340" t="n">
        <v>0</v>
      </c>
      <c r="O340" t="n">
        <v>0</v>
      </c>
      <c r="P340" t="n">
        <v>0</v>
      </c>
      <c r="Q340" t="n">
        <v>0</v>
      </c>
      <c r="R340" s="2" t="inlineStr"/>
    </row>
    <row r="341" ht="15" customHeight="1">
      <c r="A341" t="inlineStr">
        <is>
          <t>A 57143-2022</t>
        </is>
      </c>
      <c r="B341" s="1" t="n">
        <v>44895</v>
      </c>
      <c r="C341" s="1" t="n">
        <v>45506</v>
      </c>
      <c r="D341" t="inlineStr">
        <is>
          <t>DALARNAS LÄN</t>
        </is>
      </c>
      <c r="E341" t="inlineStr">
        <is>
          <t>HEDEMORA</t>
        </is>
      </c>
      <c r="F341" t="inlineStr">
        <is>
          <t>Bergvik skog väst AB</t>
        </is>
      </c>
      <c r="G341" t="n">
        <v>9.9</v>
      </c>
      <c r="H341" t="n">
        <v>0</v>
      </c>
      <c r="I341" t="n">
        <v>0</v>
      </c>
      <c r="J341" t="n">
        <v>0</v>
      </c>
      <c r="K341" t="n">
        <v>0</v>
      </c>
      <c r="L341" t="n">
        <v>0</v>
      </c>
      <c r="M341" t="n">
        <v>0</v>
      </c>
      <c r="N341" t="n">
        <v>0</v>
      </c>
      <c r="O341" t="n">
        <v>0</v>
      </c>
      <c r="P341" t="n">
        <v>0</v>
      </c>
      <c r="Q341" t="n">
        <v>0</v>
      </c>
      <c r="R341" s="2" t="inlineStr"/>
    </row>
    <row r="342" ht="15" customHeight="1">
      <c r="A342" t="inlineStr">
        <is>
          <t>A 58005-2022</t>
        </is>
      </c>
      <c r="B342" s="1" t="n">
        <v>44900</v>
      </c>
      <c r="C342" s="1" t="n">
        <v>45506</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58018-2022</t>
        </is>
      </c>
      <c r="B343" s="1" t="n">
        <v>44900</v>
      </c>
      <c r="C343" s="1" t="n">
        <v>45506</v>
      </c>
      <c r="D343" t="inlineStr">
        <is>
          <t>DALARNAS LÄN</t>
        </is>
      </c>
      <c r="E343" t="inlineStr">
        <is>
          <t>HEDEMORA</t>
        </is>
      </c>
      <c r="G343" t="n">
        <v>3.6</v>
      </c>
      <c r="H343" t="n">
        <v>0</v>
      </c>
      <c r="I343" t="n">
        <v>0</v>
      </c>
      <c r="J343" t="n">
        <v>0</v>
      </c>
      <c r="K343" t="n">
        <v>0</v>
      </c>
      <c r="L343" t="n">
        <v>0</v>
      </c>
      <c r="M343" t="n">
        <v>0</v>
      </c>
      <c r="N343" t="n">
        <v>0</v>
      </c>
      <c r="O343" t="n">
        <v>0</v>
      </c>
      <c r="P343" t="n">
        <v>0</v>
      </c>
      <c r="Q343" t="n">
        <v>0</v>
      </c>
      <c r="R343" s="2" t="inlineStr"/>
    </row>
    <row r="344" ht="15" customHeight="1">
      <c r="A344" t="inlineStr">
        <is>
          <t>A 59088-2022</t>
        </is>
      </c>
      <c r="B344" s="1" t="n">
        <v>44904</v>
      </c>
      <c r="C344" s="1" t="n">
        <v>45506</v>
      </c>
      <c r="D344" t="inlineStr">
        <is>
          <t>DALARNAS LÄN</t>
        </is>
      </c>
      <c r="E344" t="inlineStr">
        <is>
          <t>HEDEMORA</t>
        </is>
      </c>
      <c r="G344" t="n">
        <v>2.2</v>
      </c>
      <c r="H344" t="n">
        <v>0</v>
      </c>
      <c r="I344" t="n">
        <v>0</v>
      </c>
      <c r="J344" t="n">
        <v>0</v>
      </c>
      <c r="K344" t="n">
        <v>0</v>
      </c>
      <c r="L344" t="n">
        <v>0</v>
      </c>
      <c r="M344" t="n">
        <v>0</v>
      </c>
      <c r="N344" t="n">
        <v>0</v>
      </c>
      <c r="O344" t="n">
        <v>0</v>
      </c>
      <c r="P344" t="n">
        <v>0</v>
      </c>
      <c r="Q344" t="n">
        <v>0</v>
      </c>
      <c r="R344" s="2" t="inlineStr"/>
    </row>
    <row r="345" ht="15" customHeight="1">
      <c r="A345" t="inlineStr">
        <is>
          <t>A 59280-2022</t>
        </is>
      </c>
      <c r="B345" s="1" t="n">
        <v>44904</v>
      </c>
      <c r="C345" s="1" t="n">
        <v>45506</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60077-2022</t>
        </is>
      </c>
      <c r="B346" s="1" t="n">
        <v>44909</v>
      </c>
      <c r="C346" s="1" t="n">
        <v>45506</v>
      </c>
      <c r="D346" t="inlineStr">
        <is>
          <t>DALARNAS LÄN</t>
        </is>
      </c>
      <c r="E346" t="inlineStr">
        <is>
          <t>HEDEMORA</t>
        </is>
      </c>
      <c r="G346" t="n">
        <v>1.8</v>
      </c>
      <c r="H346" t="n">
        <v>0</v>
      </c>
      <c r="I346" t="n">
        <v>0</v>
      </c>
      <c r="J346" t="n">
        <v>0</v>
      </c>
      <c r="K346" t="n">
        <v>0</v>
      </c>
      <c r="L346" t="n">
        <v>0</v>
      </c>
      <c r="M346" t="n">
        <v>0</v>
      </c>
      <c r="N346" t="n">
        <v>0</v>
      </c>
      <c r="O346" t="n">
        <v>0</v>
      </c>
      <c r="P346" t="n">
        <v>0</v>
      </c>
      <c r="Q346" t="n">
        <v>0</v>
      </c>
      <c r="R346" s="2" t="inlineStr"/>
    </row>
    <row r="347" ht="15" customHeight="1">
      <c r="A347" t="inlineStr">
        <is>
          <t>A 60078-2022</t>
        </is>
      </c>
      <c r="B347" s="1" t="n">
        <v>44909</v>
      </c>
      <c r="C347" s="1" t="n">
        <v>45506</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v>
      </c>
      <c r="C348" s="1" t="n">
        <v>45506</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60774-2022</t>
        </is>
      </c>
      <c r="B349" s="1" t="n">
        <v>44914</v>
      </c>
      <c r="C349" s="1" t="n">
        <v>45506</v>
      </c>
      <c r="D349" t="inlineStr">
        <is>
          <t>DALARNAS LÄN</t>
        </is>
      </c>
      <c r="E349" t="inlineStr">
        <is>
          <t>HEDEMORA</t>
        </is>
      </c>
      <c r="G349" t="n">
        <v>11.5</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45506</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61883-2022</t>
        </is>
      </c>
      <c r="B351" s="1" t="n">
        <v>44917</v>
      </c>
      <c r="C351" s="1" t="n">
        <v>45506</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61886-2022</t>
        </is>
      </c>
      <c r="B352" s="1" t="n">
        <v>44917</v>
      </c>
      <c r="C352" s="1" t="n">
        <v>45506</v>
      </c>
      <c r="D352" t="inlineStr">
        <is>
          <t>DALARNAS LÄN</t>
        </is>
      </c>
      <c r="E352" t="inlineStr">
        <is>
          <t>HEDEMORA</t>
        </is>
      </c>
      <c r="G352" t="n">
        <v>1.9</v>
      </c>
      <c r="H352" t="n">
        <v>0</v>
      </c>
      <c r="I352" t="n">
        <v>0</v>
      </c>
      <c r="J352" t="n">
        <v>0</v>
      </c>
      <c r="K352" t="n">
        <v>0</v>
      </c>
      <c r="L352" t="n">
        <v>0</v>
      </c>
      <c r="M352" t="n">
        <v>0</v>
      </c>
      <c r="N352" t="n">
        <v>0</v>
      </c>
      <c r="O352" t="n">
        <v>0</v>
      </c>
      <c r="P352" t="n">
        <v>0</v>
      </c>
      <c r="Q352" t="n">
        <v>0</v>
      </c>
      <c r="R352" s="2" t="inlineStr"/>
    </row>
    <row r="353" ht="15" customHeight="1">
      <c r="A353" t="inlineStr">
        <is>
          <t>A 62051-2022</t>
        </is>
      </c>
      <c r="B353" s="1" t="n">
        <v>44918</v>
      </c>
      <c r="C353" s="1" t="n">
        <v>45506</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62046-2022</t>
        </is>
      </c>
      <c r="B354" s="1" t="n">
        <v>44918</v>
      </c>
      <c r="C354" s="1" t="n">
        <v>45506</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566-2023</t>
        </is>
      </c>
      <c r="B355" s="1" t="n">
        <v>44925</v>
      </c>
      <c r="C355" s="1" t="n">
        <v>45506</v>
      </c>
      <c r="D355" t="inlineStr">
        <is>
          <t>DALARNAS LÄN</t>
        </is>
      </c>
      <c r="E355" t="inlineStr">
        <is>
          <t>HEDEMORA</t>
        </is>
      </c>
      <c r="G355" t="n">
        <v>13.7</v>
      </c>
      <c r="H355" t="n">
        <v>0</v>
      </c>
      <c r="I355" t="n">
        <v>0</v>
      </c>
      <c r="J355" t="n">
        <v>0</v>
      </c>
      <c r="K355" t="n">
        <v>0</v>
      </c>
      <c r="L355" t="n">
        <v>0</v>
      </c>
      <c r="M355" t="n">
        <v>0</v>
      </c>
      <c r="N355" t="n">
        <v>0</v>
      </c>
      <c r="O355" t="n">
        <v>0</v>
      </c>
      <c r="P355" t="n">
        <v>0</v>
      </c>
      <c r="Q355" t="n">
        <v>0</v>
      </c>
      <c r="R355" s="2" t="inlineStr"/>
    </row>
    <row r="356" ht="15" customHeight="1">
      <c r="A356" t="inlineStr">
        <is>
          <t>A 1140-2023</t>
        </is>
      </c>
      <c r="B356" s="1" t="n">
        <v>44935</v>
      </c>
      <c r="C356" s="1" t="n">
        <v>45506</v>
      </c>
      <c r="D356" t="inlineStr">
        <is>
          <t>DALARNAS LÄN</t>
        </is>
      </c>
      <c r="E356" t="inlineStr">
        <is>
          <t>HEDEMORA</t>
        </is>
      </c>
      <c r="G356" t="n">
        <v>3.5</v>
      </c>
      <c r="H356" t="n">
        <v>0</v>
      </c>
      <c r="I356" t="n">
        <v>0</v>
      </c>
      <c r="J356" t="n">
        <v>0</v>
      </c>
      <c r="K356" t="n">
        <v>0</v>
      </c>
      <c r="L356" t="n">
        <v>0</v>
      </c>
      <c r="M356" t="n">
        <v>0</v>
      </c>
      <c r="N356" t="n">
        <v>0</v>
      </c>
      <c r="O356" t="n">
        <v>0</v>
      </c>
      <c r="P356" t="n">
        <v>0</v>
      </c>
      <c r="Q356" t="n">
        <v>0</v>
      </c>
      <c r="R356" s="2" t="inlineStr"/>
    </row>
    <row r="357" ht="15" customHeight="1">
      <c r="A357" t="inlineStr">
        <is>
          <t>A 2996-2023</t>
        </is>
      </c>
      <c r="B357" s="1" t="n">
        <v>44945</v>
      </c>
      <c r="C357" s="1" t="n">
        <v>45506</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5010-2023</t>
        </is>
      </c>
      <c r="B358" s="1" t="n">
        <v>44956</v>
      </c>
      <c r="C358" s="1" t="n">
        <v>45506</v>
      </c>
      <c r="D358" t="inlineStr">
        <is>
          <t>DALARNAS LÄN</t>
        </is>
      </c>
      <c r="E358" t="inlineStr">
        <is>
          <t>HEDEMORA</t>
        </is>
      </c>
      <c r="F358" t="inlineStr">
        <is>
          <t>Bergvik skog väst AB</t>
        </is>
      </c>
      <c r="G358" t="n">
        <v>5</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45506</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6806-2023</t>
        </is>
      </c>
      <c r="B360" s="1" t="n">
        <v>44967</v>
      </c>
      <c r="C360" s="1" t="n">
        <v>45506</v>
      </c>
      <c r="D360" t="inlineStr">
        <is>
          <t>DALARNAS LÄN</t>
        </is>
      </c>
      <c r="E360" t="inlineStr">
        <is>
          <t>HEDEMORA</t>
        </is>
      </c>
      <c r="G360" t="n">
        <v>0.8</v>
      </c>
      <c r="H360" t="n">
        <v>0</v>
      </c>
      <c r="I360" t="n">
        <v>0</v>
      </c>
      <c r="J360" t="n">
        <v>0</v>
      </c>
      <c r="K360" t="n">
        <v>0</v>
      </c>
      <c r="L360" t="n">
        <v>0</v>
      </c>
      <c r="M360" t="n">
        <v>0</v>
      </c>
      <c r="N360" t="n">
        <v>0</v>
      </c>
      <c r="O360" t="n">
        <v>0</v>
      </c>
      <c r="P360" t="n">
        <v>0</v>
      </c>
      <c r="Q360" t="n">
        <v>0</v>
      </c>
      <c r="R360" s="2" t="inlineStr"/>
    </row>
    <row r="361" ht="15" customHeight="1">
      <c r="A361" t="inlineStr">
        <is>
          <t>A 8715-2023</t>
        </is>
      </c>
      <c r="B361" s="1" t="n">
        <v>44978</v>
      </c>
      <c r="C361" s="1" t="n">
        <v>45506</v>
      </c>
      <c r="D361" t="inlineStr">
        <is>
          <t>DALARNAS LÄN</t>
        </is>
      </c>
      <c r="E361" t="inlineStr">
        <is>
          <t>HEDEMORA</t>
        </is>
      </c>
      <c r="G361" t="n">
        <v>4.4</v>
      </c>
      <c r="H361" t="n">
        <v>0</v>
      </c>
      <c r="I361" t="n">
        <v>0</v>
      </c>
      <c r="J361" t="n">
        <v>0</v>
      </c>
      <c r="K361" t="n">
        <v>0</v>
      </c>
      <c r="L361" t="n">
        <v>0</v>
      </c>
      <c r="M361" t="n">
        <v>0</v>
      </c>
      <c r="N361" t="n">
        <v>0</v>
      </c>
      <c r="O361" t="n">
        <v>0</v>
      </c>
      <c r="P361" t="n">
        <v>0</v>
      </c>
      <c r="Q361" t="n">
        <v>0</v>
      </c>
      <c r="R361" s="2" t="inlineStr"/>
    </row>
    <row r="362" ht="15" customHeight="1">
      <c r="A362" t="inlineStr">
        <is>
          <t>A 9635-2023</t>
        </is>
      </c>
      <c r="B362" s="1" t="n">
        <v>44984</v>
      </c>
      <c r="C362" s="1" t="n">
        <v>45506</v>
      </c>
      <c r="D362" t="inlineStr">
        <is>
          <t>DALARNAS LÄN</t>
        </is>
      </c>
      <c r="E362" t="inlineStr">
        <is>
          <t>HEDEMORA</t>
        </is>
      </c>
      <c r="G362" t="n">
        <v>2.5</v>
      </c>
      <c r="H362" t="n">
        <v>0</v>
      </c>
      <c r="I362" t="n">
        <v>0</v>
      </c>
      <c r="J362" t="n">
        <v>0</v>
      </c>
      <c r="K362" t="n">
        <v>0</v>
      </c>
      <c r="L362" t="n">
        <v>0</v>
      </c>
      <c r="M362" t="n">
        <v>0</v>
      </c>
      <c r="N362" t="n">
        <v>0</v>
      </c>
      <c r="O362" t="n">
        <v>0</v>
      </c>
      <c r="P362" t="n">
        <v>0</v>
      </c>
      <c r="Q362" t="n">
        <v>0</v>
      </c>
      <c r="R362" s="2" t="inlineStr"/>
    </row>
    <row r="363" ht="15" customHeight="1">
      <c r="A363" t="inlineStr">
        <is>
          <t>A 9920-2023</t>
        </is>
      </c>
      <c r="B363" s="1" t="n">
        <v>44985</v>
      </c>
      <c r="C363" s="1" t="n">
        <v>45506</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9918-2023</t>
        </is>
      </c>
      <c r="B364" s="1" t="n">
        <v>44985</v>
      </c>
      <c r="C364" s="1" t="n">
        <v>45506</v>
      </c>
      <c r="D364" t="inlineStr">
        <is>
          <t>DALARNAS LÄN</t>
        </is>
      </c>
      <c r="E364" t="inlineStr">
        <is>
          <t>HEDEMORA</t>
        </is>
      </c>
      <c r="G364" t="n">
        <v>1.7</v>
      </c>
      <c r="H364" t="n">
        <v>0</v>
      </c>
      <c r="I364" t="n">
        <v>0</v>
      </c>
      <c r="J364" t="n">
        <v>0</v>
      </c>
      <c r="K364" t="n">
        <v>0</v>
      </c>
      <c r="L364" t="n">
        <v>0</v>
      </c>
      <c r="M364" t="n">
        <v>0</v>
      </c>
      <c r="N364" t="n">
        <v>0</v>
      </c>
      <c r="O364" t="n">
        <v>0</v>
      </c>
      <c r="P364" t="n">
        <v>0</v>
      </c>
      <c r="Q364" t="n">
        <v>0</v>
      </c>
      <c r="R364" s="2" t="inlineStr"/>
    </row>
    <row r="365" ht="15" customHeight="1">
      <c r="A365" t="inlineStr">
        <is>
          <t>A 9922-2023</t>
        </is>
      </c>
      <c r="B365" s="1" t="n">
        <v>44985</v>
      </c>
      <c r="C365" s="1" t="n">
        <v>45506</v>
      </c>
      <c r="D365" t="inlineStr">
        <is>
          <t>DALARNAS LÄN</t>
        </is>
      </c>
      <c r="E365" t="inlineStr">
        <is>
          <t>HEDEMORA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9972-2023</t>
        </is>
      </c>
      <c r="B366" s="1" t="n">
        <v>44985</v>
      </c>
      <c r="C366" s="1" t="n">
        <v>45506</v>
      </c>
      <c r="D366" t="inlineStr">
        <is>
          <t>DALARNAS LÄN</t>
        </is>
      </c>
      <c r="E366" t="inlineStr">
        <is>
          <t>HEDEMORA</t>
        </is>
      </c>
      <c r="G366" t="n">
        <v>4.1</v>
      </c>
      <c r="H366" t="n">
        <v>0</v>
      </c>
      <c r="I366" t="n">
        <v>0</v>
      </c>
      <c r="J366" t="n">
        <v>0</v>
      </c>
      <c r="K366" t="n">
        <v>0</v>
      </c>
      <c r="L366" t="n">
        <v>0</v>
      </c>
      <c r="M366" t="n">
        <v>0</v>
      </c>
      <c r="N366" t="n">
        <v>0</v>
      </c>
      <c r="O366" t="n">
        <v>0</v>
      </c>
      <c r="P366" t="n">
        <v>0</v>
      </c>
      <c r="Q366" t="n">
        <v>0</v>
      </c>
      <c r="R366" s="2" t="inlineStr"/>
    </row>
    <row r="367" ht="15" customHeight="1">
      <c r="A367" t="inlineStr">
        <is>
          <t>A 11920-2023</t>
        </is>
      </c>
      <c r="B367" s="1" t="n">
        <v>44995</v>
      </c>
      <c r="C367" s="1" t="n">
        <v>45506</v>
      </c>
      <c r="D367" t="inlineStr">
        <is>
          <t>DALARNAS LÄN</t>
        </is>
      </c>
      <c r="E367" t="inlineStr">
        <is>
          <t>HEDEMORA</t>
        </is>
      </c>
      <c r="G367" t="n">
        <v>10.6</v>
      </c>
      <c r="H367" t="n">
        <v>0</v>
      </c>
      <c r="I367" t="n">
        <v>0</v>
      </c>
      <c r="J367" t="n">
        <v>0</v>
      </c>
      <c r="K367" t="n">
        <v>0</v>
      </c>
      <c r="L367" t="n">
        <v>0</v>
      </c>
      <c r="M367" t="n">
        <v>0</v>
      </c>
      <c r="N367" t="n">
        <v>0</v>
      </c>
      <c r="O367" t="n">
        <v>0</v>
      </c>
      <c r="P367" t="n">
        <v>0</v>
      </c>
      <c r="Q367" t="n">
        <v>0</v>
      </c>
      <c r="R367" s="2" t="inlineStr"/>
    </row>
    <row r="368" ht="15" customHeight="1">
      <c r="A368" t="inlineStr">
        <is>
          <t>A 12259-2023</t>
        </is>
      </c>
      <c r="B368" s="1" t="n">
        <v>44998</v>
      </c>
      <c r="C368" s="1" t="n">
        <v>45506</v>
      </c>
      <c r="D368" t="inlineStr">
        <is>
          <t>DALARNAS LÄN</t>
        </is>
      </c>
      <c r="E368" t="inlineStr">
        <is>
          <t>HEDEMORA</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13457-2023</t>
        </is>
      </c>
      <c r="B369" s="1" t="n">
        <v>45005</v>
      </c>
      <c r="C369" s="1" t="n">
        <v>45506</v>
      </c>
      <c r="D369" t="inlineStr">
        <is>
          <t>DALARNAS LÄN</t>
        </is>
      </c>
      <c r="E369" t="inlineStr">
        <is>
          <t>HEDEMORA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13596-2023</t>
        </is>
      </c>
      <c r="B370" s="1" t="n">
        <v>45005</v>
      </c>
      <c r="C370" s="1" t="n">
        <v>45506</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14787-2023</t>
        </is>
      </c>
      <c r="B371" s="1" t="n">
        <v>45014</v>
      </c>
      <c r="C371" s="1" t="n">
        <v>45506</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14954-2023</t>
        </is>
      </c>
      <c r="B372" s="1" t="n">
        <v>45015</v>
      </c>
      <c r="C372" s="1" t="n">
        <v>45506</v>
      </c>
      <c r="D372" t="inlineStr">
        <is>
          <t>DALARNAS LÄN</t>
        </is>
      </c>
      <c r="E372" t="inlineStr">
        <is>
          <t>HEDEMORA</t>
        </is>
      </c>
      <c r="G372" t="n">
        <v>5.3</v>
      </c>
      <c r="H372" t="n">
        <v>0</v>
      </c>
      <c r="I372" t="n">
        <v>0</v>
      </c>
      <c r="J372" t="n">
        <v>0</v>
      </c>
      <c r="K372" t="n">
        <v>0</v>
      </c>
      <c r="L372" t="n">
        <v>0</v>
      </c>
      <c r="M372" t="n">
        <v>0</v>
      </c>
      <c r="N372" t="n">
        <v>0</v>
      </c>
      <c r="O372" t="n">
        <v>0</v>
      </c>
      <c r="P372" t="n">
        <v>0</v>
      </c>
      <c r="Q372" t="n">
        <v>0</v>
      </c>
      <c r="R372" s="2" t="inlineStr"/>
    </row>
    <row r="373" ht="15" customHeight="1">
      <c r="A373" t="inlineStr">
        <is>
          <t>A 15858-2023</t>
        </is>
      </c>
      <c r="B373" s="1" t="n">
        <v>45022</v>
      </c>
      <c r="C373" s="1" t="n">
        <v>45506</v>
      </c>
      <c r="D373" t="inlineStr">
        <is>
          <t>DALARNAS LÄN</t>
        </is>
      </c>
      <c r="E373" t="inlineStr">
        <is>
          <t>HEDEMORA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15863-2023</t>
        </is>
      </c>
      <c r="B374" s="1" t="n">
        <v>45022</v>
      </c>
      <c r="C374" s="1" t="n">
        <v>45506</v>
      </c>
      <c r="D374" t="inlineStr">
        <is>
          <t>DALARNAS LÄN</t>
        </is>
      </c>
      <c r="E374" t="inlineStr">
        <is>
          <t>HEDEMORA</t>
        </is>
      </c>
      <c r="F374" t="inlineStr">
        <is>
          <t>Bergvik skog väst AB</t>
        </is>
      </c>
      <c r="G374" t="n">
        <v>4.7</v>
      </c>
      <c r="H374" t="n">
        <v>0</v>
      </c>
      <c r="I374" t="n">
        <v>0</v>
      </c>
      <c r="J374" t="n">
        <v>0</v>
      </c>
      <c r="K374" t="n">
        <v>0</v>
      </c>
      <c r="L374" t="n">
        <v>0</v>
      </c>
      <c r="M374" t="n">
        <v>0</v>
      </c>
      <c r="N374" t="n">
        <v>0</v>
      </c>
      <c r="O374" t="n">
        <v>0</v>
      </c>
      <c r="P374" t="n">
        <v>0</v>
      </c>
      <c r="Q374" t="n">
        <v>0</v>
      </c>
      <c r="R374" s="2" t="inlineStr"/>
    </row>
    <row r="375" ht="15" customHeight="1">
      <c r="A375" t="inlineStr">
        <is>
          <t>A 16046-2023</t>
        </is>
      </c>
      <c r="B375" s="1" t="n">
        <v>45027</v>
      </c>
      <c r="C375" s="1" t="n">
        <v>45506</v>
      </c>
      <c r="D375" t="inlineStr">
        <is>
          <t>DALARNAS LÄN</t>
        </is>
      </c>
      <c r="E375" t="inlineStr">
        <is>
          <t>HEDEMORA</t>
        </is>
      </c>
      <c r="G375" t="n">
        <v>2.8</v>
      </c>
      <c r="H375" t="n">
        <v>0</v>
      </c>
      <c r="I375" t="n">
        <v>0</v>
      </c>
      <c r="J375" t="n">
        <v>0</v>
      </c>
      <c r="K375" t="n">
        <v>0</v>
      </c>
      <c r="L375" t="n">
        <v>0</v>
      </c>
      <c r="M375" t="n">
        <v>0</v>
      </c>
      <c r="N375" t="n">
        <v>0</v>
      </c>
      <c r="O375" t="n">
        <v>0</v>
      </c>
      <c r="P375" t="n">
        <v>0</v>
      </c>
      <c r="Q375" t="n">
        <v>0</v>
      </c>
      <c r="R375" s="2" t="inlineStr"/>
    </row>
    <row r="376" ht="15" customHeight="1">
      <c r="A376" t="inlineStr">
        <is>
          <t>A 16589-2023</t>
        </is>
      </c>
      <c r="B376" s="1" t="n">
        <v>45030</v>
      </c>
      <c r="C376" s="1" t="n">
        <v>45506</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16821-2023</t>
        </is>
      </c>
      <c r="B377" s="1" t="n">
        <v>45033</v>
      </c>
      <c r="C377" s="1" t="n">
        <v>45506</v>
      </c>
      <c r="D377" t="inlineStr">
        <is>
          <t>DALARNAS LÄN</t>
        </is>
      </c>
      <c r="E377" t="inlineStr">
        <is>
          <t>HEDEMORA</t>
        </is>
      </c>
      <c r="G377" t="n">
        <v>2.1</v>
      </c>
      <c r="H377" t="n">
        <v>0</v>
      </c>
      <c r="I377" t="n">
        <v>0</v>
      </c>
      <c r="J377" t="n">
        <v>0</v>
      </c>
      <c r="K377" t="n">
        <v>0</v>
      </c>
      <c r="L377" t="n">
        <v>0</v>
      </c>
      <c r="M377" t="n">
        <v>0</v>
      </c>
      <c r="N377" t="n">
        <v>0</v>
      </c>
      <c r="O377" t="n">
        <v>0</v>
      </c>
      <c r="P377" t="n">
        <v>0</v>
      </c>
      <c r="Q377" t="n">
        <v>0</v>
      </c>
      <c r="R377" s="2" t="inlineStr"/>
    </row>
    <row r="378" ht="15" customHeight="1">
      <c r="A378" t="inlineStr">
        <is>
          <t>A 17247-2023</t>
        </is>
      </c>
      <c r="B378" s="1" t="n">
        <v>45035</v>
      </c>
      <c r="C378" s="1" t="n">
        <v>45506</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18470-2023</t>
        </is>
      </c>
      <c r="B379" s="1" t="n">
        <v>45042</v>
      </c>
      <c r="C379" s="1" t="n">
        <v>45506</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20153-2023</t>
        </is>
      </c>
      <c r="B380" s="1" t="n">
        <v>45055</v>
      </c>
      <c r="C380" s="1" t="n">
        <v>45506</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20224-2023</t>
        </is>
      </c>
      <c r="B381" s="1" t="n">
        <v>45055</v>
      </c>
      <c r="C381" s="1" t="n">
        <v>45506</v>
      </c>
      <c r="D381" t="inlineStr">
        <is>
          <t>DALARNAS LÄN</t>
        </is>
      </c>
      <c r="E381" t="inlineStr">
        <is>
          <t>HEDEMORA</t>
        </is>
      </c>
      <c r="F381" t="inlineStr">
        <is>
          <t>Bergvik skog väst AB</t>
        </is>
      </c>
      <c r="G381" t="n">
        <v>5.2</v>
      </c>
      <c r="H381" t="n">
        <v>0</v>
      </c>
      <c r="I381" t="n">
        <v>0</v>
      </c>
      <c r="J381" t="n">
        <v>0</v>
      </c>
      <c r="K381" t="n">
        <v>0</v>
      </c>
      <c r="L381" t="n">
        <v>0</v>
      </c>
      <c r="M381" t="n">
        <v>0</v>
      </c>
      <c r="N381" t="n">
        <v>0</v>
      </c>
      <c r="O381" t="n">
        <v>0</v>
      </c>
      <c r="P381" t="n">
        <v>0</v>
      </c>
      <c r="Q381" t="n">
        <v>0</v>
      </c>
      <c r="R381" s="2" t="inlineStr"/>
    </row>
    <row r="382" ht="15" customHeight="1">
      <c r="A382" t="inlineStr">
        <is>
          <t>A 20226-2023</t>
        </is>
      </c>
      <c r="B382" s="1" t="n">
        <v>45055</v>
      </c>
      <c r="C382" s="1" t="n">
        <v>45506</v>
      </c>
      <c r="D382" t="inlineStr">
        <is>
          <t>DALARNAS LÄN</t>
        </is>
      </c>
      <c r="E382" t="inlineStr">
        <is>
          <t>HEDEMORA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20237-2023</t>
        </is>
      </c>
      <c r="B383" s="1" t="n">
        <v>45055</v>
      </c>
      <c r="C383" s="1" t="n">
        <v>45506</v>
      </c>
      <c r="D383" t="inlineStr">
        <is>
          <t>DALARNAS LÄN</t>
        </is>
      </c>
      <c r="E383" t="inlineStr">
        <is>
          <t>HEDEMORA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20229-2023</t>
        </is>
      </c>
      <c r="B384" s="1" t="n">
        <v>45055</v>
      </c>
      <c r="C384" s="1" t="n">
        <v>45506</v>
      </c>
      <c r="D384" t="inlineStr">
        <is>
          <t>DALARNAS LÄN</t>
        </is>
      </c>
      <c r="E384" t="inlineStr">
        <is>
          <t>HEDEMORA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20233-2023</t>
        </is>
      </c>
      <c r="B385" s="1" t="n">
        <v>45055</v>
      </c>
      <c r="C385" s="1" t="n">
        <v>45506</v>
      </c>
      <c r="D385" t="inlineStr">
        <is>
          <t>DALARNAS LÄN</t>
        </is>
      </c>
      <c r="E385" t="inlineStr">
        <is>
          <t>HEDEMORA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20239-2023</t>
        </is>
      </c>
      <c r="B386" s="1" t="n">
        <v>45055</v>
      </c>
      <c r="C386" s="1" t="n">
        <v>45506</v>
      </c>
      <c r="D386" t="inlineStr">
        <is>
          <t>DALARNAS LÄN</t>
        </is>
      </c>
      <c r="E386" t="inlineStr">
        <is>
          <t>HEDEMORA</t>
        </is>
      </c>
      <c r="F386" t="inlineStr">
        <is>
          <t>Bergvik skog väst AB</t>
        </is>
      </c>
      <c r="G386" t="n">
        <v>5</v>
      </c>
      <c r="H386" t="n">
        <v>0</v>
      </c>
      <c r="I386" t="n">
        <v>0</v>
      </c>
      <c r="J386" t="n">
        <v>0</v>
      </c>
      <c r="K386" t="n">
        <v>0</v>
      </c>
      <c r="L386" t="n">
        <v>0</v>
      </c>
      <c r="M386" t="n">
        <v>0</v>
      </c>
      <c r="N386" t="n">
        <v>0</v>
      </c>
      <c r="O386" t="n">
        <v>0</v>
      </c>
      <c r="P386" t="n">
        <v>0</v>
      </c>
      <c r="Q386" t="n">
        <v>0</v>
      </c>
      <c r="R386" s="2" t="inlineStr"/>
    </row>
    <row r="387" ht="15" customHeight="1">
      <c r="A387" t="inlineStr">
        <is>
          <t>A 21093-2023</t>
        </is>
      </c>
      <c r="B387" s="1" t="n">
        <v>45061</v>
      </c>
      <c r="C387" s="1" t="n">
        <v>45506</v>
      </c>
      <c r="D387" t="inlineStr">
        <is>
          <t>DALARNAS LÄN</t>
        </is>
      </c>
      <c r="E387" t="inlineStr">
        <is>
          <t>HEDEMORA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21096-2023</t>
        </is>
      </c>
      <c r="B388" s="1" t="n">
        <v>45061</v>
      </c>
      <c r="C388" s="1" t="n">
        <v>45506</v>
      </c>
      <c r="D388" t="inlineStr">
        <is>
          <t>DALARNAS LÄN</t>
        </is>
      </c>
      <c r="E388" t="inlineStr">
        <is>
          <t>HEDEMORA</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21092-2023</t>
        </is>
      </c>
      <c r="B389" s="1" t="n">
        <v>45061</v>
      </c>
      <c r="C389" s="1" t="n">
        <v>45506</v>
      </c>
      <c r="D389" t="inlineStr">
        <is>
          <t>DALARNAS LÄN</t>
        </is>
      </c>
      <c r="E389" t="inlineStr">
        <is>
          <t>HEDEMORA</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21657-2023</t>
        </is>
      </c>
      <c r="B390" s="1" t="n">
        <v>45063</v>
      </c>
      <c r="C390" s="1" t="n">
        <v>45506</v>
      </c>
      <c r="D390" t="inlineStr">
        <is>
          <t>DALARNAS LÄN</t>
        </is>
      </c>
      <c r="E390" t="inlineStr">
        <is>
          <t>HEDEMORA</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21763-2023</t>
        </is>
      </c>
      <c r="B391" s="1" t="n">
        <v>45065</v>
      </c>
      <c r="C391" s="1" t="n">
        <v>45506</v>
      </c>
      <c r="D391" t="inlineStr">
        <is>
          <t>DALARNAS LÄN</t>
        </is>
      </c>
      <c r="E391" t="inlineStr">
        <is>
          <t>HEDEMORA</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21762-2023</t>
        </is>
      </c>
      <c r="B392" s="1" t="n">
        <v>45065</v>
      </c>
      <c r="C392" s="1" t="n">
        <v>45506</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22222-2023</t>
        </is>
      </c>
      <c r="B393" s="1" t="n">
        <v>45070</v>
      </c>
      <c r="C393" s="1" t="n">
        <v>45506</v>
      </c>
      <c r="D393" t="inlineStr">
        <is>
          <t>DALARNAS LÄN</t>
        </is>
      </c>
      <c r="E393" t="inlineStr">
        <is>
          <t>HEDEMORA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22273-2023</t>
        </is>
      </c>
      <c r="B394" s="1" t="n">
        <v>45070</v>
      </c>
      <c r="C394" s="1" t="n">
        <v>45506</v>
      </c>
      <c r="D394" t="inlineStr">
        <is>
          <t>DALARNAS LÄN</t>
        </is>
      </c>
      <c r="E394" t="inlineStr">
        <is>
          <t>HEDEMORA</t>
        </is>
      </c>
      <c r="G394" t="n">
        <v>1.3</v>
      </c>
      <c r="H394" t="n">
        <v>0</v>
      </c>
      <c r="I394" t="n">
        <v>0</v>
      </c>
      <c r="J394" t="n">
        <v>0</v>
      </c>
      <c r="K394" t="n">
        <v>0</v>
      </c>
      <c r="L394" t="n">
        <v>0</v>
      </c>
      <c r="M394" t="n">
        <v>0</v>
      </c>
      <c r="N394" t="n">
        <v>0</v>
      </c>
      <c r="O394" t="n">
        <v>0</v>
      </c>
      <c r="P394" t="n">
        <v>0</v>
      </c>
      <c r="Q394" t="n">
        <v>0</v>
      </c>
      <c r="R394" s="2" t="inlineStr"/>
    </row>
    <row r="395" ht="15" customHeight="1">
      <c r="A395" t="inlineStr">
        <is>
          <t>A 22270-2023</t>
        </is>
      </c>
      <c r="B395" s="1" t="n">
        <v>45070</v>
      </c>
      <c r="C395" s="1" t="n">
        <v>45506</v>
      </c>
      <c r="D395" t="inlineStr">
        <is>
          <t>DALARNAS LÄN</t>
        </is>
      </c>
      <c r="E395" t="inlineStr">
        <is>
          <t>HEDEMORA</t>
        </is>
      </c>
      <c r="G395" t="n">
        <v>1.8</v>
      </c>
      <c r="H395" t="n">
        <v>0</v>
      </c>
      <c r="I395" t="n">
        <v>0</v>
      </c>
      <c r="J395" t="n">
        <v>0</v>
      </c>
      <c r="K395" t="n">
        <v>0</v>
      </c>
      <c r="L395" t="n">
        <v>0</v>
      </c>
      <c r="M395" t="n">
        <v>0</v>
      </c>
      <c r="N395" t="n">
        <v>0</v>
      </c>
      <c r="O395" t="n">
        <v>0</v>
      </c>
      <c r="P395" t="n">
        <v>0</v>
      </c>
      <c r="Q395" t="n">
        <v>0</v>
      </c>
      <c r="R395" s="2" t="inlineStr"/>
    </row>
    <row r="396" ht="15" customHeight="1">
      <c r="A396" t="inlineStr">
        <is>
          <t>A 22726-2023</t>
        </is>
      </c>
      <c r="B396" s="1" t="n">
        <v>45071</v>
      </c>
      <c r="C396" s="1" t="n">
        <v>45506</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23501-2023</t>
        </is>
      </c>
      <c r="B397" s="1" t="n">
        <v>45076</v>
      </c>
      <c r="C397" s="1" t="n">
        <v>45506</v>
      </c>
      <c r="D397" t="inlineStr">
        <is>
          <t>DALARNAS LÄN</t>
        </is>
      </c>
      <c r="E397" t="inlineStr">
        <is>
          <t>HEDEMORA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23934-2023</t>
        </is>
      </c>
      <c r="B398" s="1" t="n">
        <v>45078</v>
      </c>
      <c r="C398" s="1" t="n">
        <v>45506</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23968-2023</t>
        </is>
      </c>
      <c r="B399" s="1" t="n">
        <v>45078</v>
      </c>
      <c r="C399" s="1" t="n">
        <v>45506</v>
      </c>
      <c r="D399" t="inlineStr">
        <is>
          <t>DALARNAS LÄN</t>
        </is>
      </c>
      <c r="E399" t="inlineStr">
        <is>
          <t>HEDEMORA</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24569-2023</t>
        </is>
      </c>
      <c r="B400" s="1" t="n">
        <v>45083</v>
      </c>
      <c r="C400" s="1" t="n">
        <v>45506</v>
      </c>
      <c r="D400" t="inlineStr">
        <is>
          <t>DALARNAS LÄN</t>
        </is>
      </c>
      <c r="E400" t="inlineStr">
        <is>
          <t>HEDEMORA</t>
        </is>
      </c>
      <c r="F400" t="inlineStr">
        <is>
          <t>Sveaskog</t>
        </is>
      </c>
      <c r="G400" t="n">
        <v>34.6</v>
      </c>
      <c r="H400" t="n">
        <v>0</v>
      </c>
      <c r="I400" t="n">
        <v>0</v>
      </c>
      <c r="J400" t="n">
        <v>0</v>
      </c>
      <c r="K400" t="n">
        <v>0</v>
      </c>
      <c r="L400" t="n">
        <v>0</v>
      </c>
      <c r="M400" t="n">
        <v>0</v>
      </c>
      <c r="N400" t="n">
        <v>0</v>
      </c>
      <c r="O400" t="n">
        <v>0</v>
      </c>
      <c r="P400" t="n">
        <v>0</v>
      </c>
      <c r="Q400" t="n">
        <v>0</v>
      </c>
      <c r="R400" s="2" t="inlineStr"/>
    </row>
    <row r="401" ht="15" customHeight="1">
      <c r="A401" t="inlineStr">
        <is>
          <t>A 24780-2023</t>
        </is>
      </c>
      <c r="B401" s="1" t="n">
        <v>45084</v>
      </c>
      <c r="C401" s="1" t="n">
        <v>45506</v>
      </c>
      <c r="D401" t="inlineStr">
        <is>
          <t>DALARNAS LÄN</t>
        </is>
      </c>
      <c r="E401" t="inlineStr">
        <is>
          <t>HEDEMORA</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24660-2023</t>
        </is>
      </c>
      <c r="B402" s="1" t="n">
        <v>45084</v>
      </c>
      <c r="C402" s="1" t="n">
        <v>45506</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24792-2023</t>
        </is>
      </c>
      <c r="B403" s="1" t="n">
        <v>45084</v>
      </c>
      <c r="C403" s="1" t="n">
        <v>45506</v>
      </c>
      <c r="D403" t="inlineStr">
        <is>
          <t>DALARNAS LÄN</t>
        </is>
      </c>
      <c r="E403" t="inlineStr">
        <is>
          <t>HEDEMORA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24864-2023</t>
        </is>
      </c>
      <c r="B404" s="1" t="n">
        <v>45085</v>
      </c>
      <c r="C404" s="1" t="n">
        <v>45506</v>
      </c>
      <c r="D404" t="inlineStr">
        <is>
          <t>DALARNAS LÄN</t>
        </is>
      </c>
      <c r="E404" t="inlineStr">
        <is>
          <t>HEDEMORA</t>
        </is>
      </c>
      <c r="G404" t="n">
        <v>13.2</v>
      </c>
      <c r="H404" t="n">
        <v>0</v>
      </c>
      <c r="I404" t="n">
        <v>0</v>
      </c>
      <c r="J404" t="n">
        <v>0</v>
      </c>
      <c r="K404" t="n">
        <v>0</v>
      </c>
      <c r="L404" t="n">
        <v>0</v>
      </c>
      <c r="M404" t="n">
        <v>0</v>
      </c>
      <c r="N404" t="n">
        <v>0</v>
      </c>
      <c r="O404" t="n">
        <v>0</v>
      </c>
      <c r="P404" t="n">
        <v>0</v>
      </c>
      <c r="Q404" t="n">
        <v>0</v>
      </c>
      <c r="R404" s="2" t="inlineStr"/>
    </row>
    <row r="405" ht="15" customHeight="1">
      <c r="A405" t="inlineStr">
        <is>
          <t>A 25150-2023</t>
        </is>
      </c>
      <c r="B405" s="1" t="n">
        <v>45086</v>
      </c>
      <c r="C405" s="1" t="n">
        <v>45506</v>
      </c>
      <c r="D405" t="inlineStr">
        <is>
          <t>DALARNAS LÄN</t>
        </is>
      </c>
      <c r="E405" t="inlineStr">
        <is>
          <t>HEDEMORA</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25155-2023</t>
        </is>
      </c>
      <c r="B406" s="1" t="n">
        <v>45086</v>
      </c>
      <c r="C406" s="1" t="n">
        <v>45506</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26232-2023</t>
        </is>
      </c>
      <c r="B407" s="1" t="n">
        <v>45091</v>
      </c>
      <c r="C407" s="1" t="n">
        <v>45506</v>
      </c>
      <c r="D407" t="inlineStr">
        <is>
          <t>DALARNAS LÄN</t>
        </is>
      </c>
      <c r="E407" t="inlineStr">
        <is>
          <t>HEDEMORA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27695-2023</t>
        </is>
      </c>
      <c r="B408" s="1" t="n">
        <v>45097</v>
      </c>
      <c r="C408" s="1" t="n">
        <v>45506</v>
      </c>
      <c r="D408" t="inlineStr">
        <is>
          <t>DALARNAS LÄN</t>
        </is>
      </c>
      <c r="E408" t="inlineStr">
        <is>
          <t>HEDEMORA</t>
        </is>
      </c>
      <c r="F408" t="inlineStr">
        <is>
          <t>Sveaskog</t>
        </is>
      </c>
      <c r="G408" t="n">
        <v>6.5</v>
      </c>
      <c r="H408" t="n">
        <v>0</v>
      </c>
      <c r="I408" t="n">
        <v>0</v>
      </c>
      <c r="J408" t="n">
        <v>0</v>
      </c>
      <c r="K408" t="n">
        <v>0</v>
      </c>
      <c r="L408" t="n">
        <v>0</v>
      </c>
      <c r="M408" t="n">
        <v>0</v>
      </c>
      <c r="N408" t="n">
        <v>0</v>
      </c>
      <c r="O408" t="n">
        <v>0</v>
      </c>
      <c r="P408" t="n">
        <v>0</v>
      </c>
      <c r="Q408" t="n">
        <v>0</v>
      </c>
      <c r="R408" s="2" t="inlineStr"/>
    </row>
    <row r="409" ht="15" customHeight="1">
      <c r="A409" t="inlineStr">
        <is>
          <t>A 27696-2023</t>
        </is>
      </c>
      <c r="B409" s="1" t="n">
        <v>45097</v>
      </c>
      <c r="C409" s="1" t="n">
        <v>45506</v>
      </c>
      <c r="D409" t="inlineStr">
        <is>
          <t>DALARNAS LÄN</t>
        </is>
      </c>
      <c r="E409" t="inlineStr">
        <is>
          <t>HEDEMORA</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27965-2023</t>
        </is>
      </c>
      <c r="B410" s="1" t="n">
        <v>45098</v>
      </c>
      <c r="C410" s="1" t="n">
        <v>45506</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27963-2023</t>
        </is>
      </c>
      <c r="B411" s="1" t="n">
        <v>45098</v>
      </c>
      <c r="C411" s="1" t="n">
        <v>45506</v>
      </c>
      <c r="D411" t="inlineStr">
        <is>
          <t>DALARNAS LÄN</t>
        </is>
      </c>
      <c r="E411" t="inlineStr">
        <is>
          <t>HEDEMORA</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28029-2023</t>
        </is>
      </c>
      <c r="B412" s="1" t="n">
        <v>45099</v>
      </c>
      <c r="C412" s="1" t="n">
        <v>45506</v>
      </c>
      <c r="D412" t="inlineStr">
        <is>
          <t>DALARNAS LÄN</t>
        </is>
      </c>
      <c r="E412" t="inlineStr">
        <is>
          <t>HEDEMORA</t>
        </is>
      </c>
      <c r="G412" t="n">
        <v>0.6</v>
      </c>
      <c r="H412" t="n">
        <v>0</v>
      </c>
      <c r="I412" t="n">
        <v>0</v>
      </c>
      <c r="J412" t="n">
        <v>0</v>
      </c>
      <c r="K412" t="n">
        <v>0</v>
      </c>
      <c r="L412" t="n">
        <v>0</v>
      </c>
      <c r="M412" t="n">
        <v>0</v>
      </c>
      <c r="N412" t="n">
        <v>0</v>
      </c>
      <c r="O412" t="n">
        <v>0</v>
      </c>
      <c r="P412" t="n">
        <v>0</v>
      </c>
      <c r="Q412" t="n">
        <v>0</v>
      </c>
      <c r="R412" s="2" t="inlineStr"/>
    </row>
    <row r="413" ht="15" customHeight="1">
      <c r="A413" t="inlineStr">
        <is>
          <t>A 28398-2023</t>
        </is>
      </c>
      <c r="B413" s="1" t="n">
        <v>45100</v>
      </c>
      <c r="C413" s="1" t="n">
        <v>45506</v>
      </c>
      <c r="D413" t="inlineStr">
        <is>
          <t>DALARNAS LÄN</t>
        </is>
      </c>
      <c r="E413" t="inlineStr">
        <is>
          <t>HEDEMORA</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29050-2023</t>
        </is>
      </c>
      <c r="B414" s="1" t="n">
        <v>45104</v>
      </c>
      <c r="C414" s="1" t="n">
        <v>45506</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29301-2023</t>
        </is>
      </c>
      <c r="B415" s="1" t="n">
        <v>45105</v>
      </c>
      <c r="C415" s="1" t="n">
        <v>45506</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29303-2023</t>
        </is>
      </c>
      <c r="B416" s="1" t="n">
        <v>45105</v>
      </c>
      <c r="C416" s="1" t="n">
        <v>45506</v>
      </c>
      <c r="D416" t="inlineStr">
        <is>
          <t>DALARNAS LÄN</t>
        </is>
      </c>
      <c r="E416" t="inlineStr">
        <is>
          <t>HEDEMORA</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30013-2023</t>
        </is>
      </c>
      <c r="B417" s="1" t="n">
        <v>45109</v>
      </c>
      <c r="C417" s="1" t="n">
        <v>45506</v>
      </c>
      <c r="D417" t="inlineStr">
        <is>
          <t>DALARNAS LÄN</t>
        </is>
      </c>
      <c r="E417" t="inlineStr">
        <is>
          <t>HEDEMORA</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30014-2023</t>
        </is>
      </c>
      <c r="B418" s="1" t="n">
        <v>45109</v>
      </c>
      <c r="C418" s="1" t="n">
        <v>45506</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30430-2023</t>
        </is>
      </c>
      <c r="B419" s="1" t="n">
        <v>45111</v>
      </c>
      <c r="C419" s="1" t="n">
        <v>45506</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30428-2023</t>
        </is>
      </c>
      <c r="B420" s="1" t="n">
        <v>45111</v>
      </c>
      <c r="C420" s="1" t="n">
        <v>45506</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30939-2023</t>
        </is>
      </c>
      <c r="B421" s="1" t="n">
        <v>45113</v>
      </c>
      <c r="C421" s="1" t="n">
        <v>45506</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31103-2023</t>
        </is>
      </c>
      <c r="B422" s="1" t="n">
        <v>45113</v>
      </c>
      <c r="C422" s="1" t="n">
        <v>45506</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31253-2023</t>
        </is>
      </c>
      <c r="B423" s="1" t="n">
        <v>45114</v>
      </c>
      <c r="C423" s="1" t="n">
        <v>45506</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33469-2023</t>
        </is>
      </c>
      <c r="B424" s="1" t="n">
        <v>45118</v>
      </c>
      <c r="C424" s="1" t="n">
        <v>45506</v>
      </c>
      <c r="D424" t="inlineStr">
        <is>
          <t>DALARNAS LÄN</t>
        </is>
      </c>
      <c r="E424" t="inlineStr">
        <is>
          <t>HEDEMORA</t>
        </is>
      </c>
      <c r="F424" t="inlineStr">
        <is>
          <t>Bergvik skog väst AB</t>
        </is>
      </c>
      <c r="G424" t="n">
        <v>4.5</v>
      </c>
      <c r="H424" t="n">
        <v>0</v>
      </c>
      <c r="I424" t="n">
        <v>0</v>
      </c>
      <c r="J424" t="n">
        <v>0</v>
      </c>
      <c r="K424" t="n">
        <v>0</v>
      </c>
      <c r="L424" t="n">
        <v>0</v>
      </c>
      <c r="M424" t="n">
        <v>0</v>
      </c>
      <c r="N424" t="n">
        <v>0</v>
      </c>
      <c r="O424" t="n">
        <v>0</v>
      </c>
      <c r="P424" t="n">
        <v>0</v>
      </c>
      <c r="Q424" t="n">
        <v>0</v>
      </c>
      <c r="R424" s="2" t="inlineStr"/>
    </row>
    <row r="425" ht="15" customHeight="1">
      <c r="A425" t="inlineStr">
        <is>
          <t>A 33475-2023</t>
        </is>
      </c>
      <c r="B425" s="1" t="n">
        <v>45118</v>
      </c>
      <c r="C425" s="1" t="n">
        <v>45506</v>
      </c>
      <c r="D425" t="inlineStr">
        <is>
          <t>DALARNAS LÄN</t>
        </is>
      </c>
      <c r="E425" t="inlineStr">
        <is>
          <t>HEDEMORA</t>
        </is>
      </c>
      <c r="F425" t="inlineStr">
        <is>
          <t>Bergvik skog väst AB</t>
        </is>
      </c>
      <c r="G425" t="n">
        <v>7.8</v>
      </c>
      <c r="H425" t="n">
        <v>0</v>
      </c>
      <c r="I425" t="n">
        <v>0</v>
      </c>
      <c r="J425" t="n">
        <v>0</v>
      </c>
      <c r="K425" t="n">
        <v>0</v>
      </c>
      <c r="L425" t="n">
        <v>0</v>
      </c>
      <c r="M425" t="n">
        <v>0</v>
      </c>
      <c r="N425" t="n">
        <v>0</v>
      </c>
      <c r="O425" t="n">
        <v>0</v>
      </c>
      <c r="P425" t="n">
        <v>0</v>
      </c>
      <c r="Q425" t="n">
        <v>0</v>
      </c>
      <c r="R425" s="2" t="inlineStr"/>
    </row>
    <row r="426" ht="15" customHeight="1">
      <c r="A426" t="inlineStr">
        <is>
          <t>A 33775-2023</t>
        </is>
      </c>
      <c r="B426" s="1" t="n">
        <v>45120</v>
      </c>
      <c r="C426" s="1" t="n">
        <v>45506</v>
      </c>
      <c r="D426" t="inlineStr">
        <is>
          <t>DALARNAS LÄN</t>
        </is>
      </c>
      <c r="E426" t="inlineStr">
        <is>
          <t>HEDEMORA</t>
        </is>
      </c>
      <c r="G426" t="n">
        <v>3</v>
      </c>
      <c r="H426" t="n">
        <v>0</v>
      </c>
      <c r="I426" t="n">
        <v>0</v>
      </c>
      <c r="J426" t="n">
        <v>0</v>
      </c>
      <c r="K426" t="n">
        <v>0</v>
      </c>
      <c r="L426" t="n">
        <v>0</v>
      </c>
      <c r="M426" t="n">
        <v>0</v>
      </c>
      <c r="N426" t="n">
        <v>0</v>
      </c>
      <c r="O426" t="n">
        <v>0</v>
      </c>
      <c r="P426" t="n">
        <v>0</v>
      </c>
      <c r="Q426" t="n">
        <v>0</v>
      </c>
      <c r="R426" s="2" t="inlineStr"/>
    </row>
    <row r="427" ht="15" customHeight="1">
      <c r="A427" t="inlineStr">
        <is>
          <t>A 32598-2023</t>
        </is>
      </c>
      <c r="B427" s="1" t="n">
        <v>45121</v>
      </c>
      <c r="C427" s="1" t="n">
        <v>45506</v>
      </c>
      <c r="D427" t="inlineStr">
        <is>
          <t>DALARNAS LÄN</t>
        </is>
      </c>
      <c r="E427" t="inlineStr">
        <is>
          <t>HEDEMORA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32607-2023</t>
        </is>
      </c>
      <c r="B428" s="1" t="n">
        <v>45121</v>
      </c>
      <c r="C428" s="1" t="n">
        <v>45506</v>
      </c>
      <c r="D428" t="inlineStr">
        <is>
          <t>DALARNAS LÄN</t>
        </is>
      </c>
      <c r="E428" t="inlineStr">
        <is>
          <t>HEDEMORA</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32720-2023</t>
        </is>
      </c>
      <c r="B429" s="1" t="n">
        <v>45121</v>
      </c>
      <c r="C429" s="1" t="n">
        <v>45506</v>
      </c>
      <c r="D429" t="inlineStr">
        <is>
          <t>DALARNAS LÄN</t>
        </is>
      </c>
      <c r="E429" t="inlineStr">
        <is>
          <t>HEDEMORA</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32721-2023</t>
        </is>
      </c>
      <c r="B430" s="1" t="n">
        <v>45121</v>
      </c>
      <c r="C430" s="1" t="n">
        <v>45506</v>
      </c>
      <c r="D430" t="inlineStr">
        <is>
          <t>DALARNAS LÄN</t>
        </is>
      </c>
      <c r="E430" t="inlineStr">
        <is>
          <t>HEDEMORA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32719-2023</t>
        </is>
      </c>
      <c r="B431" s="1" t="n">
        <v>45121</v>
      </c>
      <c r="C431" s="1" t="n">
        <v>45506</v>
      </c>
      <c r="D431" t="inlineStr">
        <is>
          <t>DALARNAS LÄN</t>
        </is>
      </c>
      <c r="E431" t="inlineStr">
        <is>
          <t>HEDEMORA</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33314-2023</t>
        </is>
      </c>
      <c r="B432" s="1" t="n">
        <v>45127</v>
      </c>
      <c r="C432" s="1" t="n">
        <v>45506</v>
      </c>
      <c r="D432" t="inlineStr">
        <is>
          <t>DALARNAS LÄN</t>
        </is>
      </c>
      <c r="E432" t="inlineStr">
        <is>
          <t>HEDEMORA</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33313-2023</t>
        </is>
      </c>
      <c r="B433" s="1" t="n">
        <v>45127</v>
      </c>
      <c r="C433" s="1" t="n">
        <v>45506</v>
      </c>
      <c r="D433" t="inlineStr">
        <is>
          <t>DALARNAS LÄN</t>
        </is>
      </c>
      <c r="E433" t="inlineStr">
        <is>
          <t>HEDEMORA</t>
        </is>
      </c>
      <c r="F433" t="inlineStr">
        <is>
          <t>Bergvik skog väst AB</t>
        </is>
      </c>
      <c r="G433" t="n">
        <v>8.6</v>
      </c>
      <c r="H433" t="n">
        <v>0</v>
      </c>
      <c r="I433" t="n">
        <v>0</v>
      </c>
      <c r="J433" t="n">
        <v>0</v>
      </c>
      <c r="K433" t="n">
        <v>0</v>
      </c>
      <c r="L433" t="n">
        <v>0</v>
      </c>
      <c r="M433" t="n">
        <v>0</v>
      </c>
      <c r="N433" t="n">
        <v>0</v>
      </c>
      <c r="O433" t="n">
        <v>0</v>
      </c>
      <c r="P433" t="n">
        <v>0</v>
      </c>
      <c r="Q433" t="n">
        <v>0</v>
      </c>
      <c r="R433" s="2" t="inlineStr"/>
    </row>
    <row r="434" ht="15" customHeight="1">
      <c r="A434" t="inlineStr">
        <is>
          <t>A 33315-2023</t>
        </is>
      </c>
      <c r="B434" s="1" t="n">
        <v>45127</v>
      </c>
      <c r="C434" s="1" t="n">
        <v>45506</v>
      </c>
      <c r="D434" t="inlineStr">
        <is>
          <t>DALARNAS LÄN</t>
        </is>
      </c>
      <c r="E434" t="inlineStr">
        <is>
          <t>HEDEMORA</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35240-2023</t>
        </is>
      </c>
      <c r="B435" s="1" t="n">
        <v>45145</v>
      </c>
      <c r="C435" s="1" t="n">
        <v>45506</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36049-2023</t>
        </is>
      </c>
      <c r="B436" s="1" t="n">
        <v>45149</v>
      </c>
      <c r="C436" s="1" t="n">
        <v>45506</v>
      </c>
      <c r="D436" t="inlineStr">
        <is>
          <t>DALARNAS LÄN</t>
        </is>
      </c>
      <c r="E436" t="inlineStr">
        <is>
          <t>HEDEMORA</t>
        </is>
      </c>
      <c r="G436" t="n">
        <v>3.6</v>
      </c>
      <c r="H436" t="n">
        <v>0</v>
      </c>
      <c r="I436" t="n">
        <v>0</v>
      </c>
      <c r="J436" t="n">
        <v>0</v>
      </c>
      <c r="K436" t="n">
        <v>0</v>
      </c>
      <c r="L436" t="n">
        <v>0</v>
      </c>
      <c r="M436" t="n">
        <v>0</v>
      </c>
      <c r="N436" t="n">
        <v>0</v>
      </c>
      <c r="O436" t="n">
        <v>0</v>
      </c>
      <c r="P436" t="n">
        <v>0</v>
      </c>
      <c r="Q436" t="n">
        <v>0</v>
      </c>
      <c r="R436" s="2" t="inlineStr"/>
    </row>
    <row r="437" ht="15" customHeight="1">
      <c r="A437" t="inlineStr">
        <is>
          <t>A 38032-2023</t>
        </is>
      </c>
      <c r="B437" s="1" t="n">
        <v>45160</v>
      </c>
      <c r="C437" s="1" t="n">
        <v>45506</v>
      </c>
      <c r="D437" t="inlineStr">
        <is>
          <t>DALARNAS LÄN</t>
        </is>
      </c>
      <c r="E437" t="inlineStr">
        <is>
          <t>HEDEMORA</t>
        </is>
      </c>
      <c r="G437" t="n">
        <v>2.8</v>
      </c>
      <c r="H437" t="n">
        <v>0</v>
      </c>
      <c r="I437" t="n">
        <v>0</v>
      </c>
      <c r="J437" t="n">
        <v>0</v>
      </c>
      <c r="K437" t="n">
        <v>0</v>
      </c>
      <c r="L437" t="n">
        <v>0</v>
      </c>
      <c r="M437" t="n">
        <v>0</v>
      </c>
      <c r="N437" t="n">
        <v>0</v>
      </c>
      <c r="O437" t="n">
        <v>0</v>
      </c>
      <c r="P437" t="n">
        <v>0</v>
      </c>
      <c r="Q437" t="n">
        <v>0</v>
      </c>
      <c r="R437" s="2" t="inlineStr"/>
    </row>
    <row r="438" ht="15" customHeight="1">
      <c r="A438" t="inlineStr">
        <is>
          <t>A 38957-2023</t>
        </is>
      </c>
      <c r="B438" s="1" t="n">
        <v>45163</v>
      </c>
      <c r="C438" s="1" t="n">
        <v>45506</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38947-2023</t>
        </is>
      </c>
      <c r="B439" s="1" t="n">
        <v>45163</v>
      </c>
      <c r="C439" s="1" t="n">
        <v>45506</v>
      </c>
      <c r="D439" t="inlineStr">
        <is>
          <t>DALARNAS LÄN</t>
        </is>
      </c>
      <c r="E439" t="inlineStr">
        <is>
          <t>HEDEMORA</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38951-2023</t>
        </is>
      </c>
      <c r="B440" s="1" t="n">
        <v>45163</v>
      </c>
      <c r="C440" s="1" t="n">
        <v>45506</v>
      </c>
      <c r="D440" t="inlineStr">
        <is>
          <t>DALARNAS LÄN</t>
        </is>
      </c>
      <c r="E440" t="inlineStr">
        <is>
          <t>HEDEMORA</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41445-2023</t>
        </is>
      </c>
      <c r="B441" s="1" t="n">
        <v>45170</v>
      </c>
      <c r="C441" s="1" t="n">
        <v>45506</v>
      </c>
      <c r="D441" t="inlineStr">
        <is>
          <t>DALARNAS LÄN</t>
        </is>
      </c>
      <c r="E441" t="inlineStr">
        <is>
          <t>HEDEMORA</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40707-2023</t>
        </is>
      </c>
      <c r="B442" s="1" t="n">
        <v>45170</v>
      </c>
      <c r="C442" s="1" t="n">
        <v>45506</v>
      </c>
      <c r="D442" t="inlineStr">
        <is>
          <t>DALARNAS LÄN</t>
        </is>
      </c>
      <c r="E442" t="inlineStr">
        <is>
          <t>HEDEMORA</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41458-2023</t>
        </is>
      </c>
      <c r="B443" s="1" t="n">
        <v>45170</v>
      </c>
      <c r="C443" s="1" t="n">
        <v>45506</v>
      </c>
      <c r="D443" t="inlineStr">
        <is>
          <t>DALARNAS LÄN</t>
        </is>
      </c>
      <c r="E443" t="inlineStr">
        <is>
          <t>HEDEMORA</t>
        </is>
      </c>
      <c r="F443" t="inlineStr">
        <is>
          <t>Bergvik skog väst AB</t>
        </is>
      </c>
      <c r="G443" t="n">
        <v>5.8</v>
      </c>
      <c r="H443" t="n">
        <v>0</v>
      </c>
      <c r="I443" t="n">
        <v>0</v>
      </c>
      <c r="J443" t="n">
        <v>0</v>
      </c>
      <c r="K443" t="n">
        <v>0</v>
      </c>
      <c r="L443" t="n">
        <v>0</v>
      </c>
      <c r="M443" t="n">
        <v>0</v>
      </c>
      <c r="N443" t="n">
        <v>0</v>
      </c>
      <c r="O443" t="n">
        <v>0</v>
      </c>
      <c r="P443" t="n">
        <v>0</v>
      </c>
      <c r="Q443" t="n">
        <v>0</v>
      </c>
      <c r="R443" s="2" t="inlineStr"/>
    </row>
    <row r="444" ht="15" customHeight="1">
      <c r="A444" t="inlineStr">
        <is>
          <t>A 41294-2023</t>
        </is>
      </c>
      <c r="B444" s="1" t="n">
        <v>45170</v>
      </c>
      <c r="C444" s="1" t="n">
        <v>45506</v>
      </c>
      <c r="D444" t="inlineStr">
        <is>
          <t>DALARNAS LÄN</t>
        </is>
      </c>
      <c r="E444" t="inlineStr">
        <is>
          <t>HEDEMORA</t>
        </is>
      </c>
      <c r="F444" t="inlineStr">
        <is>
          <t>Bergvik skog väst AB</t>
        </is>
      </c>
      <c r="G444" t="n">
        <v>16.2</v>
      </c>
      <c r="H444" t="n">
        <v>0</v>
      </c>
      <c r="I444" t="n">
        <v>0</v>
      </c>
      <c r="J444" t="n">
        <v>0</v>
      </c>
      <c r="K444" t="n">
        <v>0</v>
      </c>
      <c r="L444" t="n">
        <v>0</v>
      </c>
      <c r="M444" t="n">
        <v>0</v>
      </c>
      <c r="N444" t="n">
        <v>0</v>
      </c>
      <c r="O444" t="n">
        <v>0</v>
      </c>
      <c r="P444" t="n">
        <v>0</v>
      </c>
      <c r="Q444" t="n">
        <v>0</v>
      </c>
      <c r="R444" s="2" t="inlineStr"/>
    </row>
    <row r="445" ht="15" customHeight="1">
      <c r="A445" t="inlineStr">
        <is>
          <t>A 41435-2023</t>
        </is>
      </c>
      <c r="B445" s="1" t="n">
        <v>45170</v>
      </c>
      <c r="C445" s="1" t="n">
        <v>45506</v>
      </c>
      <c r="D445" t="inlineStr">
        <is>
          <t>DALARNAS LÄN</t>
        </is>
      </c>
      <c r="E445" t="inlineStr">
        <is>
          <t>HEDEMORA</t>
        </is>
      </c>
      <c r="G445" t="n">
        <v>2.9</v>
      </c>
      <c r="H445" t="n">
        <v>0</v>
      </c>
      <c r="I445" t="n">
        <v>0</v>
      </c>
      <c r="J445" t="n">
        <v>0</v>
      </c>
      <c r="K445" t="n">
        <v>0</v>
      </c>
      <c r="L445" t="n">
        <v>0</v>
      </c>
      <c r="M445" t="n">
        <v>0</v>
      </c>
      <c r="N445" t="n">
        <v>0</v>
      </c>
      <c r="O445" t="n">
        <v>0</v>
      </c>
      <c r="P445" t="n">
        <v>0</v>
      </c>
      <c r="Q445" t="n">
        <v>0</v>
      </c>
      <c r="R445" s="2" t="inlineStr"/>
    </row>
    <row r="446" ht="15" customHeight="1">
      <c r="A446" t="inlineStr">
        <is>
          <t>A 41462-2023</t>
        </is>
      </c>
      <c r="B446" s="1" t="n">
        <v>45170</v>
      </c>
      <c r="C446" s="1" t="n">
        <v>45506</v>
      </c>
      <c r="D446" t="inlineStr">
        <is>
          <t>DALARNAS LÄN</t>
        </is>
      </c>
      <c r="E446" t="inlineStr">
        <is>
          <t>HEDEMORA</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41523-2023</t>
        </is>
      </c>
      <c r="B447" s="1" t="n">
        <v>45172</v>
      </c>
      <c r="C447" s="1" t="n">
        <v>45506</v>
      </c>
      <c r="D447" t="inlineStr">
        <is>
          <t>DALARNAS LÄN</t>
        </is>
      </c>
      <c r="E447" t="inlineStr">
        <is>
          <t>HEDEMORA</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40919-2023</t>
        </is>
      </c>
      <c r="B448" s="1" t="n">
        <v>45173</v>
      </c>
      <c r="C448" s="1" t="n">
        <v>45506</v>
      </c>
      <c r="D448" t="inlineStr">
        <is>
          <t>DALARNAS LÄN</t>
        </is>
      </c>
      <c r="E448" t="inlineStr">
        <is>
          <t>HEDEMORA</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40923-2023</t>
        </is>
      </c>
      <c r="B449" s="1" t="n">
        <v>45173</v>
      </c>
      <c r="C449" s="1" t="n">
        <v>45506</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40918-2023</t>
        </is>
      </c>
      <c r="B450" s="1" t="n">
        <v>45173</v>
      </c>
      <c r="C450" s="1" t="n">
        <v>45506</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40922-2023</t>
        </is>
      </c>
      <c r="B451" s="1" t="n">
        <v>45173</v>
      </c>
      <c r="C451" s="1" t="n">
        <v>45506</v>
      </c>
      <c r="D451" t="inlineStr">
        <is>
          <t>DALARNAS LÄN</t>
        </is>
      </c>
      <c r="E451" t="inlineStr">
        <is>
          <t>HEDEMORA</t>
        </is>
      </c>
      <c r="F451" t="inlineStr">
        <is>
          <t>Bergvik skog väst AB</t>
        </is>
      </c>
      <c r="G451" t="n">
        <v>5.8</v>
      </c>
      <c r="H451" t="n">
        <v>0</v>
      </c>
      <c r="I451" t="n">
        <v>0</v>
      </c>
      <c r="J451" t="n">
        <v>0</v>
      </c>
      <c r="K451" t="n">
        <v>0</v>
      </c>
      <c r="L451" t="n">
        <v>0</v>
      </c>
      <c r="M451" t="n">
        <v>0</v>
      </c>
      <c r="N451" t="n">
        <v>0</v>
      </c>
      <c r="O451" t="n">
        <v>0</v>
      </c>
      <c r="P451" t="n">
        <v>0</v>
      </c>
      <c r="Q451" t="n">
        <v>0</v>
      </c>
      <c r="R451" s="2" t="inlineStr"/>
    </row>
    <row r="452" ht="15" customHeight="1">
      <c r="A452" t="inlineStr">
        <is>
          <t>A 40921-2023</t>
        </is>
      </c>
      <c r="B452" s="1" t="n">
        <v>45173</v>
      </c>
      <c r="C452" s="1" t="n">
        <v>45506</v>
      </c>
      <c r="D452" t="inlineStr">
        <is>
          <t>DALARNAS LÄN</t>
        </is>
      </c>
      <c r="E452" t="inlineStr">
        <is>
          <t>HEDEMORA</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41324-2023</t>
        </is>
      </c>
      <c r="B453" s="1" t="n">
        <v>45174</v>
      </c>
      <c r="C453" s="1" t="n">
        <v>45506</v>
      </c>
      <c r="D453" t="inlineStr">
        <is>
          <t>DALARNAS LÄN</t>
        </is>
      </c>
      <c r="E453" t="inlineStr">
        <is>
          <t>HEDEMORA</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41642-2023</t>
        </is>
      </c>
      <c r="B454" s="1" t="n">
        <v>45175</v>
      </c>
      <c r="C454" s="1" t="n">
        <v>45506</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42387-2023</t>
        </is>
      </c>
      <c r="B455" s="1" t="n">
        <v>45180</v>
      </c>
      <c r="C455" s="1" t="n">
        <v>45506</v>
      </c>
      <c r="D455" t="inlineStr">
        <is>
          <t>DALARNAS LÄN</t>
        </is>
      </c>
      <c r="E455" t="inlineStr">
        <is>
          <t>HEDEMORA</t>
        </is>
      </c>
      <c r="G455" t="n">
        <v>0.6</v>
      </c>
      <c r="H455" t="n">
        <v>0</v>
      </c>
      <c r="I455" t="n">
        <v>0</v>
      </c>
      <c r="J455" t="n">
        <v>0</v>
      </c>
      <c r="K455" t="n">
        <v>0</v>
      </c>
      <c r="L455" t="n">
        <v>0</v>
      </c>
      <c r="M455" t="n">
        <v>0</v>
      </c>
      <c r="N455" t="n">
        <v>0</v>
      </c>
      <c r="O455" t="n">
        <v>0</v>
      </c>
      <c r="P455" t="n">
        <v>0</v>
      </c>
      <c r="Q455" t="n">
        <v>0</v>
      </c>
      <c r="R455" s="2" t="inlineStr"/>
    </row>
    <row r="456" ht="15" customHeight="1">
      <c r="A456" t="inlineStr">
        <is>
          <t>A 42618-2023</t>
        </is>
      </c>
      <c r="B456" s="1" t="n">
        <v>45181</v>
      </c>
      <c r="C456" s="1" t="n">
        <v>45506</v>
      </c>
      <c r="D456" t="inlineStr">
        <is>
          <t>DALARNAS LÄN</t>
        </is>
      </c>
      <c r="E456" t="inlineStr">
        <is>
          <t>HEDEMORA</t>
        </is>
      </c>
      <c r="G456" t="n">
        <v>3.8</v>
      </c>
      <c r="H456" t="n">
        <v>0</v>
      </c>
      <c r="I456" t="n">
        <v>0</v>
      </c>
      <c r="J456" t="n">
        <v>0</v>
      </c>
      <c r="K456" t="n">
        <v>0</v>
      </c>
      <c r="L456" t="n">
        <v>0</v>
      </c>
      <c r="M456" t="n">
        <v>0</v>
      </c>
      <c r="N456" t="n">
        <v>0</v>
      </c>
      <c r="O456" t="n">
        <v>0</v>
      </c>
      <c r="P456" t="n">
        <v>0</v>
      </c>
      <c r="Q456" t="n">
        <v>0</v>
      </c>
      <c r="R456" s="2" t="inlineStr"/>
    </row>
    <row r="457" ht="15" customHeight="1">
      <c r="A457" t="inlineStr">
        <is>
          <t>A 43621-2023</t>
        </is>
      </c>
      <c r="B457" s="1" t="n">
        <v>45184</v>
      </c>
      <c r="C457" s="1" t="n">
        <v>45506</v>
      </c>
      <c r="D457" t="inlineStr">
        <is>
          <t>DALARNAS LÄN</t>
        </is>
      </c>
      <c r="E457" t="inlineStr">
        <is>
          <t>HEDEMORA</t>
        </is>
      </c>
      <c r="G457" t="n">
        <v>0.7</v>
      </c>
      <c r="H457" t="n">
        <v>0</v>
      </c>
      <c r="I457" t="n">
        <v>0</v>
      </c>
      <c r="J457" t="n">
        <v>0</v>
      </c>
      <c r="K457" t="n">
        <v>0</v>
      </c>
      <c r="L457" t="n">
        <v>0</v>
      </c>
      <c r="M457" t="n">
        <v>0</v>
      </c>
      <c r="N457" t="n">
        <v>0</v>
      </c>
      <c r="O457" t="n">
        <v>0</v>
      </c>
      <c r="P457" t="n">
        <v>0</v>
      </c>
      <c r="Q457" t="n">
        <v>0</v>
      </c>
      <c r="R457" s="2" t="inlineStr"/>
    </row>
    <row r="458" ht="15" customHeight="1">
      <c r="A458" t="inlineStr">
        <is>
          <t>A 43785-2023</t>
        </is>
      </c>
      <c r="B458" s="1" t="n">
        <v>45187</v>
      </c>
      <c r="C458" s="1" t="n">
        <v>45506</v>
      </c>
      <c r="D458" t="inlineStr">
        <is>
          <t>DALARNAS LÄN</t>
        </is>
      </c>
      <c r="E458" t="inlineStr">
        <is>
          <t>HEDEMORA</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43675-2023</t>
        </is>
      </c>
      <c r="B459" s="1" t="n">
        <v>45187</v>
      </c>
      <c r="C459" s="1" t="n">
        <v>45506</v>
      </c>
      <c r="D459" t="inlineStr">
        <is>
          <t>DALARNAS LÄN</t>
        </is>
      </c>
      <c r="E459" t="inlineStr">
        <is>
          <t>HEDEMORA</t>
        </is>
      </c>
      <c r="G459" t="n">
        <v>1.5</v>
      </c>
      <c r="H459" t="n">
        <v>0</v>
      </c>
      <c r="I459" t="n">
        <v>0</v>
      </c>
      <c r="J459" t="n">
        <v>0</v>
      </c>
      <c r="K459" t="n">
        <v>0</v>
      </c>
      <c r="L459" t="n">
        <v>0</v>
      </c>
      <c r="M459" t="n">
        <v>0</v>
      </c>
      <c r="N459" t="n">
        <v>0</v>
      </c>
      <c r="O459" t="n">
        <v>0</v>
      </c>
      <c r="P459" t="n">
        <v>0</v>
      </c>
      <c r="Q459" t="n">
        <v>0</v>
      </c>
      <c r="R459" s="2" t="inlineStr"/>
      <c r="U459">
        <f>HYPERLINK("https://klasma.github.io/Logging_2083/knärot/A 43675-2023 karta knärot.png", "A 43675-2023")</f>
        <v/>
      </c>
      <c r="V459">
        <f>HYPERLINK("https://klasma.github.io/Logging_2083/klagomål/A 43675-2023 FSC-klagomål.docx", "A 43675-2023")</f>
        <v/>
      </c>
      <c r="W459">
        <f>HYPERLINK("https://klasma.github.io/Logging_2083/klagomålsmail/A 43675-2023 FSC-klagomål mail.docx", "A 43675-2023")</f>
        <v/>
      </c>
      <c r="X459">
        <f>HYPERLINK("https://klasma.github.io/Logging_2083/tillsyn/A 43675-2023 tillsynsbegäran.docx", "A 43675-2023")</f>
        <v/>
      </c>
      <c r="Y459">
        <f>HYPERLINK("https://klasma.github.io/Logging_2083/tillsynsmail/A 43675-2023 tillsynsbegäran mail.docx", "A 43675-2023")</f>
        <v/>
      </c>
    </row>
    <row r="460" ht="15" customHeight="1">
      <c r="A460" t="inlineStr">
        <is>
          <t>A 44587-2023</t>
        </is>
      </c>
      <c r="B460" s="1" t="n">
        <v>45189</v>
      </c>
      <c r="C460" s="1" t="n">
        <v>45506</v>
      </c>
      <c r="D460" t="inlineStr">
        <is>
          <t>DALARNAS LÄN</t>
        </is>
      </c>
      <c r="E460" t="inlineStr">
        <is>
          <t>HEDEMORA</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44750-2023</t>
        </is>
      </c>
      <c r="B461" s="1" t="n">
        <v>45190</v>
      </c>
      <c r="C461" s="1" t="n">
        <v>45506</v>
      </c>
      <c r="D461" t="inlineStr">
        <is>
          <t>DALARNAS LÄN</t>
        </is>
      </c>
      <c r="E461" t="inlineStr">
        <is>
          <t>HEDEMORA</t>
        </is>
      </c>
      <c r="G461" t="n">
        <v>5.4</v>
      </c>
      <c r="H461" t="n">
        <v>0</v>
      </c>
      <c r="I461" t="n">
        <v>0</v>
      </c>
      <c r="J461" t="n">
        <v>0</v>
      </c>
      <c r="K461" t="n">
        <v>0</v>
      </c>
      <c r="L461" t="n">
        <v>0</v>
      </c>
      <c r="M461" t="n">
        <v>0</v>
      </c>
      <c r="N461" t="n">
        <v>0</v>
      </c>
      <c r="O461" t="n">
        <v>0</v>
      </c>
      <c r="P461" t="n">
        <v>0</v>
      </c>
      <c r="Q461" t="n">
        <v>0</v>
      </c>
      <c r="R461" s="2" t="inlineStr"/>
    </row>
    <row r="462" ht="15" customHeight="1">
      <c r="A462" t="inlineStr">
        <is>
          <t>A 46217-2023</t>
        </is>
      </c>
      <c r="B462" s="1" t="n">
        <v>45190</v>
      </c>
      <c r="C462" s="1" t="n">
        <v>45506</v>
      </c>
      <c r="D462" t="inlineStr">
        <is>
          <t>DALARNAS LÄN</t>
        </is>
      </c>
      <c r="E462" t="inlineStr">
        <is>
          <t>HEDEMORA</t>
        </is>
      </c>
      <c r="F462" t="inlineStr">
        <is>
          <t>Bergvik skog väst AB</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45186-2023</t>
        </is>
      </c>
      <c r="B463" s="1" t="n">
        <v>45191</v>
      </c>
      <c r="C463" s="1" t="n">
        <v>45506</v>
      </c>
      <c r="D463" t="inlineStr">
        <is>
          <t>DALARNAS LÄN</t>
        </is>
      </c>
      <c r="E463" t="inlineStr">
        <is>
          <t>HEDEMORA</t>
        </is>
      </c>
      <c r="F463" t="inlineStr">
        <is>
          <t>Sveaskog</t>
        </is>
      </c>
      <c r="G463" t="n">
        <v>18.9</v>
      </c>
      <c r="H463" t="n">
        <v>0</v>
      </c>
      <c r="I463" t="n">
        <v>0</v>
      </c>
      <c r="J463" t="n">
        <v>0</v>
      </c>
      <c r="K463" t="n">
        <v>0</v>
      </c>
      <c r="L463" t="n">
        <v>0</v>
      </c>
      <c r="M463" t="n">
        <v>0</v>
      </c>
      <c r="N463" t="n">
        <v>0</v>
      </c>
      <c r="O463" t="n">
        <v>0</v>
      </c>
      <c r="P463" t="n">
        <v>0</v>
      </c>
      <c r="Q463" t="n">
        <v>0</v>
      </c>
      <c r="R463" s="2" t="inlineStr"/>
    </row>
    <row r="464" ht="15" customHeight="1">
      <c r="A464" t="inlineStr">
        <is>
          <t>A 45589-2023</t>
        </is>
      </c>
      <c r="B464" s="1" t="n">
        <v>45194</v>
      </c>
      <c r="C464" s="1" t="n">
        <v>45506</v>
      </c>
      <c r="D464" t="inlineStr">
        <is>
          <t>DALARNAS LÄN</t>
        </is>
      </c>
      <c r="E464" t="inlineStr">
        <is>
          <t>HEDEMORA</t>
        </is>
      </c>
      <c r="G464" t="n">
        <v>0.7</v>
      </c>
      <c r="H464" t="n">
        <v>0</v>
      </c>
      <c r="I464" t="n">
        <v>0</v>
      </c>
      <c r="J464" t="n">
        <v>0</v>
      </c>
      <c r="K464" t="n">
        <v>0</v>
      </c>
      <c r="L464" t="n">
        <v>0</v>
      </c>
      <c r="M464" t="n">
        <v>0</v>
      </c>
      <c r="N464" t="n">
        <v>0</v>
      </c>
      <c r="O464" t="n">
        <v>0</v>
      </c>
      <c r="P464" t="n">
        <v>0</v>
      </c>
      <c r="Q464" t="n">
        <v>0</v>
      </c>
      <c r="R464" s="2" t="inlineStr"/>
    </row>
    <row r="465" ht="15" customHeight="1">
      <c r="A465" t="inlineStr">
        <is>
          <t>A 48204-2023</t>
        </is>
      </c>
      <c r="B465" s="1" t="n">
        <v>45205</v>
      </c>
      <c r="C465" s="1" t="n">
        <v>45506</v>
      </c>
      <c r="D465" t="inlineStr">
        <is>
          <t>DALARNAS LÄN</t>
        </is>
      </c>
      <c r="E465" t="inlineStr">
        <is>
          <t>HEDEMORA</t>
        </is>
      </c>
      <c r="F465" t="inlineStr">
        <is>
          <t>Kyrkan</t>
        </is>
      </c>
      <c r="G465" t="n">
        <v>21.8</v>
      </c>
      <c r="H465" t="n">
        <v>0</v>
      </c>
      <c r="I465" t="n">
        <v>0</v>
      </c>
      <c r="J465" t="n">
        <v>0</v>
      </c>
      <c r="K465" t="n">
        <v>0</v>
      </c>
      <c r="L465" t="n">
        <v>0</v>
      </c>
      <c r="M465" t="n">
        <v>0</v>
      </c>
      <c r="N465" t="n">
        <v>0</v>
      </c>
      <c r="O465" t="n">
        <v>0</v>
      </c>
      <c r="P465" t="n">
        <v>0</v>
      </c>
      <c r="Q465" t="n">
        <v>0</v>
      </c>
      <c r="R465" s="2" t="inlineStr"/>
    </row>
    <row r="466" ht="15" customHeight="1">
      <c r="A466" t="inlineStr">
        <is>
          <t>A 48254-2023</t>
        </is>
      </c>
      <c r="B466" s="1" t="n">
        <v>45205</v>
      </c>
      <c r="C466" s="1" t="n">
        <v>45506</v>
      </c>
      <c r="D466" t="inlineStr">
        <is>
          <t>DALARNAS LÄN</t>
        </is>
      </c>
      <c r="E466" t="inlineStr">
        <is>
          <t>HEDEMORA</t>
        </is>
      </c>
      <c r="F466" t="inlineStr">
        <is>
          <t>Sveaskog</t>
        </is>
      </c>
      <c r="G466" t="n">
        <v>1.5</v>
      </c>
      <c r="H466" t="n">
        <v>0</v>
      </c>
      <c r="I466" t="n">
        <v>0</v>
      </c>
      <c r="J466" t="n">
        <v>0</v>
      </c>
      <c r="K466" t="n">
        <v>0</v>
      </c>
      <c r="L466" t="n">
        <v>0</v>
      </c>
      <c r="M466" t="n">
        <v>0</v>
      </c>
      <c r="N466" t="n">
        <v>0</v>
      </c>
      <c r="O466" t="n">
        <v>0</v>
      </c>
      <c r="P466" t="n">
        <v>0</v>
      </c>
      <c r="Q466" t="n">
        <v>0</v>
      </c>
      <c r="R466" s="2" t="inlineStr"/>
      <c r="U466">
        <f>HYPERLINK("https://klasma.github.io/Logging_2083/knärot/A 48254-2023 karta knärot.png", "A 48254-2023")</f>
        <v/>
      </c>
      <c r="V466">
        <f>HYPERLINK("https://klasma.github.io/Logging_2083/klagomål/A 48254-2023 FSC-klagomål.docx", "A 48254-2023")</f>
        <v/>
      </c>
      <c r="W466">
        <f>HYPERLINK("https://klasma.github.io/Logging_2083/klagomålsmail/A 48254-2023 FSC-klagomål mail.docx", "A 48254-2023")</f>
        <v/>
      </c>
      <c r="X466">
        <f>HYPERLINK("https://klasma.github.io/Logging_2083/tillsyn/A 48254-2023 tillsynsbegäran.docx", "A 48254-2023")</f>
        <v/>
      </c>
      <c r="Y466">
        <f>HYPERLINK("https://klasma.github.io/Logging_2083/tillsynsmail/A 48254-2023 tillsynsbegäran mail.docx", "A 48254-2023")</f>
        <v/>
      </c>
    </row>
    <row r="467" ht="15" customHeight="1">
      <c r="A467" t="inlineStr">
        <is>
          <t>A 48834-2023</t>
        </is>
      </c>
      <c r="B467" s="1" t="n">
        <v>45209</v>
      </c>
      <c r="C467" s="1" t="n">
        <v>45506</v>
      </c>
      <c r="D467" t="inlineStr">
        <is>
          <t>DALARNAS LÄN</t>
        </is>
      </c>
      <c r="E467" t="inlineStr">
        <is>
          <t>HEDEMORA</t>
        </is>
      </c>
      <c r="G467" t="n">
        <v>1.9</v>
      </c>
      <c r="H467" t="n">
        <v>0</v>
      </c>
      <c r="I467" t="n">
        <v>0</v>
      </c>
      <c r="J467" t="n">
        <v>0</v>
      </c>
      <c r="K467" t="n">
        <v>0</v>
      </c>
      <c r="L467" t="n">
        <v>0</v>
      </c>
      <c r="M467" t="n">
        <v>0</v>
      </c>
      <c r="N467" t="n">
        <v>0</v>
      </c>
      <c r="O467" t="n">
        <v>0</v>
      </c>
      <c r="P467" t="n">
        <v>0</v>
      </c>
      <c r="Q467" t="n">
        <v>0</v>
      </c>
      <c r="R467" s="2" t="inlineStr"/>
    </row>
    <row r="468" ht="15" customHeight="1">
      <c r="A468" t="inlineStr">
        <is>
          <t>A 48826-2023</t>
        </is>
      </c>
      <c r="B468" s="1" t="n">
        <v>45209</v>
      </c>
      <c r="C468" s="1" t="n">
        <v>45506</v>
      </c>
      <c r="D468" t="inlineStr">
        <is>
          <t>DALARNAS LÄN</t>
        </is>
      </c>
      <c r="E468" t="inlineStr">
        <is>
          <t>HEDEMORA</t>
        </is>
      </c>
      <c r="G468" t="n">
        <v>1</v>
      </c>
      <c r="H468" t="n">
        <v>0</v>
      </c>
      <c r="I468" t="n">
        <v>0</v>
      </c>
      <c r="J468" t="n">
        <v>0</v>
      </c>
      <c r="K468" t="n">
        <v>0</v>
      </c>
      <c r="L468" t="n">
        <v>0</v>
      </c>
      <c r="M468" t="n">
        <v>0</v>
      </c>
      <c r="N468" t="n">
        <v>0</v>
      </c>
      <c r="O468" t="n">
        <v>0</v>
      </c>
      <c r="P468" t="n">
        <v>0</v>
      </c>
      <c r="Q468" t="n">
        <v>0</v>
      </c>
      <c r="R468" s="2" t="inlineStr"/>
    </row>
    <row r="469" ht="15" customHeight="1">
      <c r="A469" t="inlineStr">
        <is>
          <t>A 50333-2023</t>
        </is>
      </c>
      <c r="B469" s="1" t="n">
        <v>45216</v>
      </c>
      <c r="C469" s="1" t="n">
        <v>45506</v>
      </c>
      <c r="D469" t="inlineStr">
        <is>
          <t>DALARNAS LÄN</t>
        </is>
      </c>
      <c r="E469" t="inlineStr">
        <is>
          <t>HEDEMORA</t>
        </is>
      </c>
      <c r="G469" t="n">
        <v>1.1</v>
      </c>
      <c r="H469" t="n">
        <v>0</v>
      </c>
      <c r="I469" t="n">
        <v>0</v>
      </c>
      <c r="J469" t="n">
        <v>0</v>
      </c>
      <c r="K469" t="n">
        <v>0</v>
      </c>
      <c r="L469" t="n">
        <v>0</v>
      </c>
      <c r="M469" t="n">
        <v>0</v>
      </c>
      <c r="N469" t="n">
        <v>0</v>
      </c>
      <c r="O469" t="n">
        <v>0</v>
      </c>
      <c r="P469" t="n">
        <v>0</v>
      </c>
      <c r="Q469" t="n">
        <v>0</v>
      </c>
      <c r="R469" s="2" t="inlineStr"/>
    </row>
    <row r="470" ht="15" customHeight="1">
      <c r="A470" t="inlineStr">
        <is>
          <t>A 50885-2023</t>
        </is>
      </c>
      <c r="B470" s="1" t="n">
        <v>45218</v>
      </c>
      <c r="C470" s="1" t="n">
        <v>45506</v>
      </c>
      <c r="D470" t="inlineStr">
        <is>
          <t>DALARNAS LÄN</t>
        </is>
      </c>
      <c r="E470" t="inlineStr">
        <is>
          <t>HEDEMORA</t>
        </is>
      </c>
      <c r="G470" t="n">
        <v>0.7</v>
      </c>
      <c r="H470" t="n">
        <v>0</v>
      </c>
      <c r="I470" t="n">
        <v>0</v>
      </c>
      <c r="J470" t="n">
        <v>0</v>
      </c>
      <c r="K470" t="n">
        <v>0</v>
      </c>
      <c r="L470" t="n">
        <v>0</v>
      </c>
      <c r="M470" t="n">
        <v>0</v>
      </c>
      <c r="N470" t="n">
        <v>0</v>
      </c>
      <c r="O470" t="n">
        <v>0</v>
      </c>
      <c r="P470" t="n">
        <v>0</v>
      </c>
      <c r="Q470" t="n">
        <v>0</v>
      </c>
      <c r="R470" s="2" t="inlineStr"/>
    </row>
    <row r="471" ht="15" customHeight="1">
      <c r="A471" t="inlineStr">
        <is>
          <t>A 51879-2023</t>
        </is>
      </c>
      <c r="B471" s="1" t="n">
        <v>45223</v>
      </c>
      <c r="C471" s="1" t="n">
        <v>45506</v>
      </c>
      <c r="D471" t="inlineStr">
        <is>
          <t>DALARNAS LÄN</t>
        </is>
      </c>
      <c r="E471" t="inlineStr">
        <is>
          <t>HEDEMORA</t>
        </is>
      </c>
      <c r="G471" t="n">
        <v>2.1</v>
      </c>
      <c r="H471" t="n">
        <v>0</v>
      </c>
      <c r="I471" t="n">
        <v>0</v>
      </c>
      <c r="J471" t="n">
        <v>0</v>
      </c>
      <c r="K471" t="n">
        <v>0</v>
      </c>
      <c r="L471" t="n">
        <v>0</v>
      </c>
      <c r="M471" t="n">
        <v>0</v>
      </c>
      <c r="N471" t="n">
        <v>0</v>
      </c>
      <c r="O471" t="n">
        <v>0</v>
      </c>
      <c r="P471" t="n">
        <v>0</v>
      </c>
      <c r="Q471" t="n">
        <v>0</v>
      </c>
      <c r="R471" s="2" t="inlineStr"/>
    </row>
    <row r="472" ht="15" customHeight="1">
      <c r="A472" t="inlineStr">
        <is>
          <t>A 53031-2023</t>
        </is>
      </c>
      <c r="B472" s="1" t="n">
        <v>45226</v>
      </c>
      <c r="C472" s="1" t="n">
        <v>45506</v>
      </c>
      <c r="D472" t="inlineStr">
        <is>
          <t>DALARNAS LÄN</t>
        </is>
      </c>
      <c r="E472" t="inlineStr">
        <is>
          <t>HEDEMORA</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52967-2023</t>
        </is>
      </c>
      <c r="B473" s="1" t="n">
        <v>45226</v>
      </c>
      <c r="C473" s="1" t="n">
        <v>45506</v>
      </c>
      <c r="D473" t="inlineStr">
        <is>
          <t>DALARNAS LÄN</t>
        </is>
      </c>
      <c r="E473" t="inlineStr">
        <is>
          <t>HEDEMORA</t>
        </is>
      </c>
      <c r="F473" t="inlineStr">
        <is>
          <t>Bergvik skog väst AB</t>
        </is>
      </c>
      <c r="G473" t="n">
        <v>8.5</v>
      </c>
      <c r="H473" t="n">
        <v>0</v>
      </c>
      <c r="I473" t="n">
        <v>0</v>
      </c>
      <c r="J473" t="n">
        <v>0</v>
      </c>
      <c r="K473" t="n">
        <v>0</v>
      </c>
      <c r="L473" t="n">
        <v>0</v>
      </c>
      <c r="M473" t="n">
        <v>0</v>
      </c>
      <c r="N473" t="n">
        <v>0</v>
      </c>
      <c r="O473" t="n">
        <v>0</v>
      </c>
      <c r="P473" t="n">
        <v>0</v>
      </c>
      <c r="Q473" t="n">
        <v>0</v>
      </c>
      <c r="R473" s="2" t="inlineStr"/>
    </row>
    <row r="474" ht="15" customHeight="1">
      <c r="A474" t="inlineStr">
        <is>
          <t>A 53743-2023</t>
        </is>
      </c>
      <c r="B474" s="1" t="n">
        <v>45230</v>
      </c>
      <c r="C474" s="1" t="n">
        <v>45506</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53588-2023</t>
        </is>
      </c>
      <c r="B475" s="1" t="n">
        <v>45230</v>
      </c>
      <c r="C475" s="1" t="n">
        <v>45506</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53584-2023</t>
        </is>
      </c>
      <c r="B476" s="1" t="n">
        <v>45230</v>
      </c>
      <c r="C476" s="1" t="n">
        <v>45506</v>
      </c>
      <c r="D476" t="inlineStr">
        <is>
          <t>DALARNAS LÄN</t>
        </is>
      </c>
      <c r="E476" t="inlineStr">
        <is>
          <t>HEDEMORA</t>
        </is>
      </c>
      <c r="G476" t="n">
        <v>6.6</v>
      </c>
      <c r="H476" t="n">
        <v>0</v>
      </c>
      <c r="I476" t="n">
        <v>0</v>
      </c>
      <c r="J476" t="n">
        <v>0</v>
      </c>
      <c r="K476" t="n">
        <v>0</v>
      </c>
      <c r="L476" t="n">
        <v>0</v>
      </c>
      <c r="M476" t="n">
        <v>0</v>
      </c>
      <c r="N476" t="n">
        <v>0</v>
      </c>
      <c r="O476" t="n">
        <v>0</v>
      </c>
      <c r="P476" t="n">
        <v>0</v>
      </c>
      <c r="Q476" t="n">
        <v>0</v>
      </c>
      <c r="R476" s="2" t="inlineStr"/>
    </row>
    <row r="477" ht="15" customHeight="1">
      <c r="A477" t="inlineStr">
        <is>
          <t>A 53576-2023</t>
        </is>
      </c>
      <c r="B477" s="1" t="n">
        <v>45230</v>
      </c>
      <c r="C477" s="1" t="n">
        <v>45506</v>
      </c>
      <c r="D477" t="inlineStr">
        <is>
          <t>DALARNAS LÄN</t>
        </is>
      </c>
      <c r="E477" t="inlineStr">
        <is>
          <t>HEDEMORA</t>
        </is>
      </c>
      <c r="G477" t="n">
        <v>0.9</v>
      </c>
      <c r="H477" t="n">
        <v>0</v>
      </c>
      <c r="I477" t="n">
        <v>0</v>
      </c>
      <c r="J477" t="n">
        <v>0</v>
      </c>
      <c r="K477" t="n">
        <v>0</v>
      </c>
      <c r="L477" t="n">
        <v>0</v>
      </c>
      <c r="M477" t="n">
        <v>0</v>
      </c>
      <c r="N477" t="n">
        <v>0</v>
      </c>
      <c r="O477" t="n">
        <v>0</v>
      </c>
      <c r="P477" t="n">
        <v>0</v>
      </c>
      <c r="Q477" t="n">
        <v>0</v>
      </c>
      <c r="R477" s="2" t="inlineStr"/>
    </row>
    <row r="478" ht="15" customHeight="1">
      <c r="A478" t="inlineStr">
        <is>
          <t>A 53568-2023</t>
        </is>
      </c>
      <c r="B478" s="1" t="n">
        <v>45230</v>
      </c>
      <c r="C478" s="1" t="n">
        <v>45506</v>
      </c>
      <c r="D478" t="inlineStr">
        <is>
          <t>DALARNAS LÄN</t>
        </is>
      </c>
      <c r="E478" t="inlineStr">
        <is>
          <t>HEDEMORA</t>
        </is>
      </c>
      <c r="G478" t="n">
        <v>1.2</v>
      </c>
      <c r="H478" t="n">
        <v>0</v>
      </c>
      <c r="I478" t="n">
        <v>0</v>
      </c>
      <c r="J478" t="n">
        <v>0</v>
      </c>
      <c r="K478" t="n">
        <v>0</v>
      </c>
      <c r="L478" t="n">
        <v>0</v>
      </c>
      <c r="M478" t="n">
        <v>0</v>
      </c>
      <c r="N478" t="n">
        <v>0</v>
      </c>
      <c r="O478" t="n">
        <v>0</v>
      </c>
      <c r="P478" t="n">
        <v>0</v>
      </c>
      <c r="Q478" t="n">
        <v>0</v>
      </c>
      <c r="R478" s="2" t="inlineStr"/>
    </row>
    <row r="479" ht="15" customHeight="1">
      <c r="A479" t="inlineStr">
        <is>
          <t>A 53586-2023</t>
        </is>
      </c>
      <c r="B479" s="1" t="n">
        <v>45230</v>
      </c>
      <c r="C479" s="1" t="n">
        <v>45506</v>
      </c>
      <c r="D479" t="inlineStr">
        <is>
          <t>DALARNAS LÄN</t>
        </is>
      </c>
      <c r="E479" t="inlineStr">
        <is>
          <t>HEDEMORA</t>
        </is>
      </c>
      <c r="G479" t="n">
        <v>2.4</v>
      </c>
      <c r="H479" t="n">
        <v>0</v>
      </c>
      <c r="I479" t="n">
        <v>0</v>
      </c>
      <c r="J479" t="n">
        <v>0</v>
      </c>
      <c r="K479" t="n">
        <v>0</v>
      </c>
      <c r="L479" t="n">
        <v>0</v>
      </c>
      <c r="M479" t="n">
        <v>0</v>
      </c>
      <c r="N479" t="n">
        <v>0</v>
      </c>
      <c r="O479" t="n">
        <v>0</v>
      </c>
      <c r="P479" t="n">
        <v>0</v>
      </c>
      <c r="Q479" t="n">
        <v>0</v>
      </c>
      <c r="R479" s="2" t="inlineStr"/>
    </row>
    <row r="480" ht="15" customHeight="1">
      <c r="A480" t="inlineStr">
        <is>
          <t>A 54423-2023</t>
        </is>
      </c>
      <c r="B480" s="1" t="n">
        <v>45233</v>
      </c>
      <c r="C480" s="1" t="n">
        <v>45506</v>
      </c>
      <c r="D480" t="inlineStr">
        <is>
          <t>DALARNAS LÄN</t>
        </is>
      </c>
      <c r="E480" t="inlineStr">
        <is>
          <t>HEDEMORA</t>
        </is>
      </c>
      <c r="G480" t="n">
        <v>3.4</v>
      </c>
      <c r="H480" t="n">
        <v>0</v>
      </c>
      <c r="I480" t="n">
        <v>0</v>
      </c>
      <c r="J480" t="n">
        <v>0</v>
      </c>
      <c r="K480" t="n">
        <v>0</v>
      </c>
      <c r="L480" t="n">
        <v>0</v>
      </c>
      <c r="M480" t="n">
        <v>0</v>
      </c>
      <c r="N480" t="n">
        <v>0</v>
      </c>
      <c r="O480" t="n">
        <v>0</v>
      </c>
      <c r="P480" t="n">
        <v>0</v>
      </c>
      <c r="Q480" t="n">
        <v>0</v>
      </c>
      <c r="R480" s="2" t="inlineStr"/>
    </row>
    <row r="481" ht="15" customHeight="1">
      <c r="A481" t="inlineStr">
        <is>
          <t>A 54440-2023</t>
        </is>
      </c>
      <c r="B481" s="1" t="n">
        <v>45233</v>
      </c>
      <c r="C481" s="1" t="n">
        <v>45506</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55881-2023</t>
        </is>
      </c>
      <c r="B482" s="1" t="n">
        <v>45239</v>
      </c>
      <c r="C482" s="1" t="n">
        <v>45506</v>
      </c>
      <c r="D482" t="inlineStr">
        <is>
          <t>DALARNAS LÄN</t>
        </is>
      </c>
      <c r="E482" t="inlineStr">
        <is>
          <t>HEDEMORA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55882-2023</t>
        </is>
      </c>
      <c r="B483" s="1" t="n">
        <v>45239</v>
      </c>
      <c r="C483" s="1" t="n">
        <v>45506</v>
      </c>
      <c r="D483" t="inlineStr">
        <is>
          <t>DALARNAS LÄN</t>
        </is>
      </c>
      <c r="E483" t="inlineStr">
        <is>
          <t>HEDEMORA</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55981-2023</t>
        </is>
      </c>
      <c r="B484" s="1" t="n">
        <v>45240</v>
      </c>
      <c r="C484" s="1" t="n">
        <v>45506</v>
      </c>
      <c r="D484" t="inlineStr">
        <is>
          <t>DALARNAS LÄN</t>
        </is>
      </c>
      <c r="E484" t="inlineStr">
        <is>
          <t>HEDEMORA</t>
        </is>
      </c>
      <c r="G484" t="n">
        <v>3.2</v>
      </c>
      <c r="H484" t="n">
        <v>0</v>
      </c>
      <c r="I484" t="n">
        <v>0</v>
      </c>
      <c r="J484" t="n">
        <v>0</v>
      </c>
      <c r="K484" t="n">
        <v>0</v>
      </c>
      <c r="L484" t="n">
        <v>0</v>
      </c>
      <c r="M484" t="n">
        <v>0</v>
      </c>
      <c r="N484" t="n">
        <v>0</v>
      </c>
      <c r="O484" t="n">
        <v>0</v>
      </c>
      <c r="P484" t="n">
        <v>0</v>
      </c>
      <c r="Q484" t="n">
        <v>0</v>
      </c>
      <c r="R484" s="2" t="inlineStr"/>
    </row>
    <row r="485" ht="15" customHeight="1">
      <c r="A485" t="inlineStr">
        <is>
          <t>A 57486-2023</t>
        </is>
      </c>
      <c r="B485" s="1" t="n">
        <v>45246</v>
      </c>
      <c r="C485" s="1" t="n">
        <v>45506</v>
      </c>
      <c r="D485" t="inlineStr">
        <is>
          <t>DALARNAS LÄN</t>
        </is>
      </c>
      <c r="E485" t="inlineStr">
        <is>
          <t>HEDEMORA</t>
        </is>
      </c>
      <c r="F485" t="inlineStr">
        <is>
          <t>Bergvik skog väst AB</t>
        </is>
      </c>
      <c r="G485" t="n">
        <v>4.2</v>
      </c>
      <c r="H485" t="n">
        <v>0</v>
      </c>
      <c r="I485" t="n">
        <v>0</v>
      </c>
      <c r="J485" t="n">
        <v>0</v>
      </c>
      <c r="K485" t="n">
        <v>0</v>
      </c>
      <c r="L485" t="n">
        <v>0</v>
      </c>
      <c r="M485" t="n">
        <v>0</v>
      </c>
      <c r="N485" t="n">
        <v>0</v>
      </c>
      <c r="O485" t="n">
        <v>0</v>
      </c>
      <c r="P485" t="n">
        <v>0</v>
      </c>
      <c r="Q485" t="n">
        <v>0</v>
      </c>
      <c r="R485" s="2" t="inlineStr"/>
    </row>
    <row r="486" ht="15" customHeight="1">
      <c r="A486" t="inlineStr">
        <is>
          <t>A 58841-2023</t>
        </is>
      </c>
      <c r="B486" s="1" t="n">
        <v>45252</v>
      </c>
      <c r="C486" s="1" t="n">
        <v>45506</v>
      </c>
      <c r="D486" t="inlineStr">
        <is>
          <t>DALARNAS LÄN</t>
        </is>
      </c>
      <c r="E486" t="inlineStr">
        <is>
          <t>HEDEMORA</t>
        </is>
      </c>
      <c r="G486" t="n">
        <v>14.8</v>
      </c>
      <c r="H486" t="n">
        <v>0</v>
      </c>
      <c r="I486" t="n">
        <v>0</v>
      </c>
      <c r="J486" t="n">
        <v>0</v>
      </c>
      <c r="K486" t="n">
        <v>0</v>
      </c>
      <c r="L486" t="n">
        <v>0</v>
      </c>
      <c r="M486" t="n">
        <v>0</v>
      </c>
      <c r="N486" t="n">
        <v>0</v>
      </c>
      <c r="O486" t="n">
        <v>0</v>
      </c>
      <c r="P486" t="n">
        <v>0</v>
      </c>
      <c r="Q486" t="n">
        <v>0</v>
      </c>
      <c r="R486" s="2" t="inlineStr"/>
    </row>
    <row r="487" ht="15" customHeight="1">
      <c r="A487" t="inlineStr">
        <is>
          <t>A 59249-2023</t>
        </is>
      </c>
      <c r="B487" s="1" t="n">
        <v>45253</v>
      </c>
      <c r="C487" s="1" t="n">
        <v>45506</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59235-2023</t>
        </is>
      </c>
      <c r="B488" s="1" t="n">
        <v>45253</v>
      </c>
      <c r="C488" s="1" t="n">
        <v>45506</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59140-2023</t>
        </is>
      </c>
      <c r="B489" s="1" t="n">
        <v>45253</v>
      </c>
      <c r="C489" s="1" t="n">
        <v>45506</v>
      </c>
      <c r="D489" t="inlineStr">
        <is>
          <t>DALARNAS LÄN</t>
        </is>
      </c>
      <c r="E489" t="inlineStr">
        <is>
          <t>HEDEMORA</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59232-2023</t>
        </is>
      </c>
      <c r="B490" s="1" t="n">
        <v>45253</v>
      </c>
      <c r="C490" s="1" t="n">
        <v>45506</v>
      </c>
      <c r="D490" t="inlineStr">
        <is>
          <t>DALARNAS LÄN</t>
        </is>
      </c>
      <c r="E490" t="inlineStr">
        <is>
          <t>HEDEMORA</t>
        </is>
      </c>
      <c r="G490" t="n">
        <v>3.7</v>
      </c>
      <c r="H490" t="n">
        <v>0</v>
      </c>
      <c r="I490" t="n">
        <v>0</v>
      </c>
      <c r="J490" t="n">
        <v>0</v>
      </c>
      <c r="K490" t="n">
        <v>0</v>
      </c>
      <c r="L490" t="n">
        <v>0</v>
      </c>
      <c r="M490" t="n">
        <v>0</v>
      </c>
      <c r="N490" t="n">
        <v>0</v>
      </c>
      <c r="O490" t="n">
        <v>0</v>
      </c>
      <c r="P490" t="n">
        <v>0</v>
      </c>
      <c r="Q490" t="n">
        <v>0</v>
      </c>
      <c r="R490" s="2" t="inlineStr"/>
    </row>
    <row r="491" ht="15" customHeight="1">
      <c r="A491" t="inlineStr">
        <is>
          <t>A 59515-2023</t>
        </is>
      </c>
      <c r="B491" s="1" t="n">
        <v>45253</v>
      </c>
      <c r="C491" s="1" t="n">
        <v>45506</v>
      </c>
      <c r="D491" t="inlineStr">
        <is>
          <t>DALARNAS LÄN</t>
        </is>
      </c>
      <c r="E491" t="inlineStr">
        <is>
          <t>HEDEMORA</t>
        </is>
      </c>
      <c r="G491" t="n">
        <v>5.1</v>
      </c>
      <c r="H491" t="n">
        <v>0</v>
      </c>
      <c r="I491" t="n">
        <v>0</v>
      </c>
      <c r="J491" t="n">
        <v>0</v>
      </c>
      <c r="K491" t="n">
        <v>0</v>
      </c>
      <c r="L491" t="n">
        <v>0</v>
      </c>
      <c r="M491" t="n">
        <v>0</v>
      </c>
      <c r="N491" t="n">
        <v>0</v>
      </c>
      <c r="O491" t="n">
        <v>0</v>
      </c>
      <c r="P491" t="n">
        <v>0</v>
      </c>
      <c r="Q491" t="n">
        <v>0</v>
      </c>
      <c r="R491" s="2" t="inlineStr"/>
    </row>
    <row r="492" ht="15" customHeight="1">
      <c r="A492" t="inlineStr">
        <is>
          <t>A 59519-2023</t>
        </is>
      </c>
      <c r="B492" s="1" t="n">
        <v>45253</v>
      </c>
      <c r="C492" s="1" t="n">
        <v>45506</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59632-2023</t>
        </is>
      </c>
      <c r="B493" s="1" t="n">
        <v>45254</v>
      </c>
      <c r="C493" s="1" t="n">
        <v>45506</v>
      </c>
      <c r="D493" t="inlineStr">
        <is>
          <t>DALARNAS LÄN</t>
        </is>
      </c>
      <c r="E493" t="inlineStr">
        <is>
          <t>HEDEMORA</t>
        </is>
      </c>
      <c r="G493" t="n">
        <v>1.4</v>
      </c>
      <c r="H493" t="n">
        <v>0</v>
      </c>
      <c r="I493" t="n">
        <v>0</v>
      </c>
      <c r="J493" t="n">
        <v>0</v>
      </c>
      <c r="K493" t="n">
        <v>0</v>
      </c>
      <c r="L493" t="n">
        <v>0</v>
      </c>
      <c r="M493" t="n">
        <v>0</v>
      </c>
      <c r="N493" t="n">
        <v>0</v>
      </c>
      <c r="O493" t="n">
        <v>0</v>
      </c>
      <c r="P493" t="n">
        <v>0</v>
      </c>
      <c r="Q493" t="n">
        <v>0</v>
      </c>
      <c r="R493" s="2" t="inlineStr"/>
    </row>
    <row r="494" ht="15" customHeight="1">
      <c r="A494" t="inlineStr">
        <is>
          <t>A 59728-2023</t>
        </is>
      </c>
      <c r="B494" s="1" t="n">
        <v>45257</v>
      </c>
      <c r="C494" s="1" t="n">
        <v>45506</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60496-2023</t>
        </is>
      </c>
      <c r="B495" s="1" t="n">
        <v>45259</v>
      </c>
      <c r="C495" s="1" t="n">
        <v>45506</v>
      </c>
      <c r="D495" t="inlineStr">
        <is>
          <t>DALARNAS LÄN</t>
        </is>
      </c>
      <c r="E495" t="inlineStr">
        <is>
          <t>HEDEMORA</t>
        </is>
      </c>
      <c r="G495" t="n">
        <v>0.8</v>
      </c>
      <c r="H495" t="n">
        <v>0</v>
      </c>
      <c r="I495" t="n">
        <v>0</v>
      </c>
      <c r="J495" t="n">
        <v>0</v>
      </c>
      <c r="K495" t="n">
        <v>0</v>
      </c>
      <c r="L495" t="n">
        <v>0</v>
      </c>
      <c r="M495" t="n">
        <v>0</v>
      </c>
      <c r="N495" t="n">
        <v>0</v>
      </c>
      <c r="O495" t="n">
        <v>0</v>
      </c>
      <c r="P495" t="n">
        <v>0</v>
      </c>
      <c r="Q495" t="n">
        <v>0</v>
      </c>
      <c r="R495" s="2" t="inlineStr"/>
      <c r="U495">
        <f>HYPERLINK("https://klasma.github.io/Logging_2083/knärot/A 60496-2023 karta knärot.png", "A 60496-2023")</f>
        <v/>
      </c>
      <c r="V495">
        <f>HYPERLINK("https://klasma.github.io/Logging_2083/klagomål/A 60496-2023 FSC-klagomål.docx", "A 60496-2023")</f>
        <v/>
      </c>
      <c r="W495">
        <f>HYPERLINK("https://klasma.github.io/Logging_2083/klagomålsmail/A 60496-2023 FSC-klagomål mail.docx", "A 60496-2023")</f>
        <v/>
      </c>
      <c r="X495">
        <f>HYPERLINK("https://klasma.github.io/Logging_2083/tillsyn/A 60496-2023 tillsynsbegäran.docx", "A 60496-2023")</f>
        <v/>
      </c>
      <c r="Y495">
        <f>HYPERLINK("https://klasma.github.io/Logging_2083/tillsynsmail/A 60496-2023 tillsynsbegäran mail.docx", "A 60496-2023")</f>
        <v/>
      </c>
    </row>
    <row r="496" ht="15" customHeight="1">
      <c r="A496" t="inlineStr">
        <is>
          <t>A 60767-2023</t>
        </is>
      </c>
      <c r="B496" s="1" t="n">
        <v>45260</v>
      </c>
      <c r="C496" s="1" t="n">
        <v>45506</v>
      </c>
      <c r="D496" t="inlineStr">
        <is>
          <t>DALARNAS LÄN</t>
        </is>
      </c>
      <c r="E496" t="inlineStr">
        <is>
          <t>HEDEMORA</t>
        </is>
      </c>
      <c r="G496" t="n">
        <v>3.9</v>
      </c>
      <c r="H496" t="n">
        <v>0</v>
      </c>
      <c r="I496" t="n">
        <v>0</v>
      </c>
      <c r="J496" t="n">
        <v>0</v>
      </c>
      <c r="K496" t="n">
        <v>0</v>
      </c>
      <c r="L496" t="n">
        <v>0</v>
      </c>
      <c r="M496" t="n">
        <v>0</v>
      </c>
      <c r="N496" t="n">
        <v>0</v>
      </c>
      <c r="O496" t="n">
        <v>0</v>
      </c>
      <c r="P496" t="n">
        <v>0</v>
      </c>
      <c r="Q496" t="n">
        <v>0</v>
      </c>
      <c r="R496" s="2" t="inlineStr"/>
    </row>
    <row r="497" ht="15" customHeight="1">
      <c r="A497" t="inlineStr">
        <is>
          <t>A 60806-2023</t>
        </is>
      </c>
      <c r="B497" s="1" t="n">
        <v>45260</v>
      </c>
      <c r="C497" s="1" t="n">
        <v>45506</v>
      </c>
      <c r="D497" t="inlineStr">
        <is>
          <t>DALARNAS LÄN</t>
        </is>
      </c>
      <c r="E497" t="inlineStr">
        <is>
          <t>HEDEMORA</t>
        </is>
      </c>
      <c r="G497" t="n">
        <v>1.7</v>
      </c>
      <c r="H497" t="n">
        <v>0</v>
      </c>
      <c r="I497" t="n">
        <v>0</v>
      </c>
      <c r="J497" t="n">
        <v>0</v>
      </c>
      <c r="K497" t="n">
        <v>0</v>
      </c>
      <c r="L497" t="n">
        <v>0</v>
      </c>
      <c r="M497" t="n">
        <v>0</v>
      </c>
      <c r="N497" t="n">
        <v>0</v>
      </c>
      <c r="O497" t="n">
        <v>0</v>
      </c>
      <c r="P497" t="n">
        <v>0</v>
      </c>
      <c r="Q497" t="n">
        <v>0</v>
      </c>
      <c r="R497" s="2" t="inlineStr"/>
    </row>
    <row r="498" ht="15" customHeight="1">
      <c r="A498" t="inlineStr">
        <is>
          <t>A 60786-2023</t>
        </is>
      </c>
      <c r="B498" s="1" t="n">
        <v>45260</v>
      </c>
      <c r="C498" s="1" t="n">
        <v>45506</v>
      </c>
      <c r="D498" t="inlineStr">
        <is>
          <t>DALARNAS LÄN</t>
        </is>
      </c>
      <c r="E498" t="inlineStr">
        <is>
          <t>HEDEMORA</t>
        </is>
      </c>
      <c r="G498" t="n">
        <v>7.1</v>
      </c>
      <c r="H498" t="n">
        <v>0</v>
      </c>
      <c r="I498" t="n">
        <v>0</v>
      </c>
      <c r="J498" t="n">
        <v>0</v>
      </c>
      <c r="K498" t="n">
        <v>0</v>
      </c>
      <c r="L498" t="n">
        <v>0</v>
      </c>
      <c r="M498" t="n">
        <v>0</v>
      </c>
      <c r="N498" t="n">
        <v>0</v>
      </c>
      <c r="O498" t="n">
        <v>0</v>
      </c>
      <c r="P498" t="n">
        <v>0</v>
      </c>
      <c r="Q498" t="n">
        <v>0</v>
      </c>
      <c r="R498" s="2" t="inlineStr"/>
    </row>
    <row r="499" ht="15" customHeight="1">
      <c r="A499" t="inlineStr">
        <is>
          <t>A 60811-2023</t>
        </is>
      </c>
      <c r="B499" s="1" t="n">
        <v>45260</v>
      </c>
      <c r="C499" s="1" t="n">
        <v>45506</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61671-2023</t>
        </is>
      </c>
      <c r="B500" s="1" t="n">
        <v>45265</v>
      </c>
      <c r="C500" s="1" t="n">
        <v>45506</v>
      </c>
      <c r="D500" t="inlineStr">
        <is>
          <t>DALARNAS LÄN</t>
        </is>
      </c>
      <c r="E500" t="inlineStr">
        <is>
          <t>HEDEMORA</t>
        </is>
      </c>
      <c r="F500" t="inlineStr">
        <is>
          <t>Bergvik skog väst AB</t>
        </is>
      </c>
      <c r="G500" t="n">
        <v>6.5</v>
      </c>
      <c r="H500" t="n">
        <v>0</v>
      </c>
      <c r="I500" t="n">
        <v>0</v>
      </c>
      <c r="J500" t="n">
        <v>0</v>
      </c>
      <c r="K500" t="n">
        <v>0</v>
      </c>
      <c r="L500" t="n">
        <v>0</v>
      </c>
      <c r="M500" t="n">
        <v>0</v>
      </c>
      <c r="N500" t="n">
        <v>0</v>
      </c>
      <c r="O500" t="n">
        <v>0</v>
      </c>
      <c r="P500" t="n">
        <v>0</v>
      </c>
      <c r="Q500" t="n">
        <v>0</v>
      </c>
      <c r="R500" s="2" t="inlineStr"/>
    </row>
    <row r="501" ht="15" customHeight="1">
      <c r="A501" t="inlineStr">
        <is>
          <t>A 62054-2023</t>
        </is>
      </c>
      <c r="B501" s="1" t="n">
        <v>45265</v>
      </c>
      <c r="C501" s="1" t="n">
        <v>45506</v>
      </c>
      <c r="D501" t="inlineStr">
        <is>
          <t>DALARNAS LÄN</t>
        </is>
      </c>
      <c r="E501" t="inlineStr">
        <is>
          <t>HEDEMORA</t>
        </is>
      </c>
      <c r="G501" t="n">
        <v>2.3</v>
      </c>
      <c r="H501" t="n">
        <v>0</v>
      </c>
      <c r="I501" t="n">
        <v>0</v>
      </c>
      <c r="J501" t="n">
        <v>0</v>
      </c>
      <c r="K501" t="n">
        <v>0</v>
      </c>
      <c r="L501" t="n">
        <v>0</v>
      </c>
      <c r="M501" t="n">
        <v>0</v>
      </c>
      <c r="N501" t="n">
        <v>0</v>
      </c>
      <c r="O501" t="n">
        <v>0</v>
      </c>
      <c r="P501" t="n">
        <v>0</v>
      </c>
      <c r="Q501" t="n">
        <v>0</v>
      </c>
      <c r="R501" s="2" t="inlineStr"/>
    </row>
    <row r="502" ht="15" customHeight="1">
      <c r="A502" t="inlineStr">
        <is>
          <t>A 62188-2023</t>
        </is>
      </c>
      <c r="B502" s="1" t="n">
        <v>45267</v>
      </c>
      <c r="C502" s="1" t="n">
        <v>45506</v>
      </c>
      <c r="D502" t="inlineStr">
        <is>
          <t>DALARNAS LÄN</t>
        </is>
      </c>
      <c r="E502" t="inlineStr">
        <is>
          <t>HEDEMORA</t>
        </is>
      </c>
      <c r="G502" t="n">
        <v>2.1</v>
      </c>
      <c r="H502" t="n">
        <v>0</v>
      </c>
      <c r="I502" t="n">
        <v>0</v>
      </c>
      <c r="J502" t="n">
        <v>0</v>
      </c>
      <c r="K502" t="n">
        <v>0</v>
      </c>
      <c r="L502" t="n">
        <v>0</v>
      </c>
      <c r="M502" t="n">
        <v>0</v>
      </c>
      <c r="N502" t="n">
        <v>0</v>
      </c>
      <c r="O502" t="n">
        <v>0</v>
      </c>
      <c r="P502" t="n">
        <v>0</v>
      </c>
      <c r="Q502" t="n">
        <v>0</v>
      </c>
      <c r="R502" s="2" t="inlineStr"/>
    </row>
    <row r="503" ht="15" customHeight="1">
      <c r="A503" t="inlineStr">
        <is>
          <t>A 62386-2023</t>
        </is>
      </c>
      <c r="B503" s="1" t="n">
        <v>45268</v>
      </c>
      <c r="C503" s="1" t="n">
        <v>45506</v>
      </c>
      <c r="D503" t="inlineStr">
        <is>
          <t>DALARNAS LÄN</t>
        </is>
      </c>
      <c r="E503" t="inlineStr">
        <is>
          <t>HEDEMORA</t>
        </is>
      </c>
      <c r="G503" t="n">
        <v>1.7</v>
      </c>
      <c r="H503" t="n">
        <v>0</v>
      </c>
      <c r="I503" t="n">
        <v>0</v>
      </c>
      <c r="J503" t="n">
        <v>0</v>
      </c>
      <c r="K503" t="n">
        <v>0</v>
      </c>
      <c r="L503" t="n">
        <v>0</v>
      </c>
      <c r="M503" t="n">
        <v>0</v>
      </c>
      <c r="N503" t="n">
        <v>0</v>
      </c>
      <c r="O503" t="n">
        <v>0</v>
      </c>
      <c r="P503" t="n">
        <v>0</v>
      </c>
      <c r="Q503" t="n">
        <v>0</v>
      </c>
      <c r="R503" s="2" t="inlineStr"/>
    </row>
    <row r="504" ht="15" customHeight="1">
      <c r="A504" t="inlineStr">
        <is>
          <t>A 62401-2023</t>
        </is>
      </c>
      <c r="B504" s="1" t="n">
        <v>45268</v>
      </c>
      <c r="C504" s="1" t="n">
        <v>45506</v>
      </c>
      <c r="D504" t="inlineStr">
        <is>
          <t>DALARNAS LÄN</t>
        </is>
      </c>
      <c r="E504" t="inlineStr">
        <is>
          <t>HEDEMORA</t>
        </is>
      </c>
      <c r="G504" t="n">
        <v>1.6</v>
      </c>
      <c r="H504" t="n">
        <v>0</v>
      </c>
      <c r="I504" t="n">
        <v>0</v>
      </c>
      <c r="J504" t="n">
        <v>0</v>
      </c>
      <c r="K504" t="n">
        <v>0</v>
      </c>
      <c r="L504" t="n">
        <v>0</v>
      </c>
      <c r="M504" t="n">
        <v>0</v>
      </c>
      <c r="N504" t="n">
        <v>0</v>
      </c>
      <c r="O504" t="n">
        <v>0</v>
      </c>
      <c r="P504" t="n">
        <v>0</v>
      </c>
      <c r="Q504" t="n">
        <v>0</v>
      </c>
      <c r="R504" s="2" t="inlineStr"/>
    </row>
    <row r="505" ht="15" customHeight="1">
      <c r="A505" t="inlineStr">
        <is>
          <t>A 62398-2023</t>
        </is>
      </c>
      <c r="B505" s="1" t="n">
        <v>45268</v>
      </c>
      <c r="C505" s="1" t="n">
        <v>45506</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62374-2023</t>
        </is>
      </c>
      <c r="B506" s="1" t="n">
        <v>45268</v>
      </c>
      <c r="C506" s="1" t="n">
        <v>45506</v>
      </c>
      <c r="D506" t="inlineStr">
        <is>
          <t>DALARNAS LÄN</t>
        </is>
      </c>
      <c r="E506" t="inlineStr">
        <is>
          <t>HEDEMORA</t>
        </is>
      </c>
      <c r="G506" t="n">
        <v>2.5</v>
      </c>
      <c r="H506" t="n">
        <v>0</v>
      </c>
      <c r="I506" t="n">
        <v>0</v>
      </c>
      <c r="J506" t="n">
        <v>0</v>
      </c>
      <c r="K506" t="n">
        <v>0</v>
      </c>
      <c r="L506" t="n">
        <v>0</v>
      </c>
      <c r="M506" t="n">
        <v>0</v>
      </c>
      <c r="N506" t="n">
        <v>0</v>
      </c>
      <c r="O506" t="n">
        <v>0</v>
      </c>
      <c r="P506" t="n">
        <v>0</v>
      </c>
      <c r="Q506" t="n">
        <v>0</v>
      </c>
      <c r="R506" s="2" t="inlineStr"/>
    </row>
    <row r="507" ht="15" customHeight="1">
      <c r="A507" t="inlineStr">
        <is>
          <t>A 63543-2023</t>
        </is>
      </c>
      <c r="B507" s="1" t="n">
        <v>45275</v>
      </c>
      <c r="C507" s="1" t="n">
        <v>45506</v>
      </c>
      <c r="D507" t="inlineStr">
        <is>
          <t>DALARNAS LÄN</t>
        </is>
      </c>
      <c r="E507" t="inlineStr">
        <is>
          <t>HEDEMORA</t>
        </is>
      </c>
      <c r="G507" t="n">
        <v>1.3</v>
      </c>
      <c r="H507" t="n">
        <v>0</v>
      </c>
      <c r="I507" t="n">
        <v>0</v>
      </c>
      <c r="J507" t="n">
        <v>0</v>
      </c>
      <c r="K507" t="n">
        <v>0</v>
      </c>
      <c r="L507" t="n">
        <v>0</v>
      </c>
      <c r="M507" t="n">
        <v>0</v>
      </c>
      <c r="N507" t="n">
        <v>0</v>
      </c>
      <c r="O507" t="n">
        <v>0</v>
      </c>
      <c r="P507" t="n">
        <v>0</v>
      </c>
      <c r="Q507" t="n">
        <v>0</v>
      </c>
      <c r="R507" s="2" t="inlineStr"/>
    </row>
    <row r="508" ht="15" customHeight="1">
      <c r="A508" t="inlineStr">
        <is>
          <t>A 63925-2023</t>
        </is>
      </c>
      <c r="B508" s="1" t="n">
        <v>45278</v>
      </c>
      <c r="C508" s="1" t="n">
        <v>45506</v>
      </c>
      <c r="D508" t="inlineStr">
        <is>
          <t>DALARNAS LÄN</t>
        </is>
      </c>
      <c r="E508" t="inlineStr">
        <is>
          <t>HEDEMORA</t>
        </is>
      </c>
      <c r="G508" t="n">
        <v>5.2</v>
      </c>
      <c r="H508" t="n">
        <v>0</v>
      </c>
      <c r="I508" t="n">
        <v>0</v>
      </c>
      <c r="J508" t="n">
        <v>0</v>
      </c>
      <c r="K508" t="n">
        <v>0</v>
      </c>
      <c r="L508" t="n">
        <v>0</v>
      </c>
      <c r="M508" t="n">
        <v>0</v>
      </c>
      <c r="N508" t="n">
        <v>0</v>
      </c>
      <c r="O508" t="n">
        <v>0</v>
      </c>
      <c r="P508" t="n">
        <v>0</v>
      </c>
      <c r="Q508" t="n">
        <v>0</v>
      </c>
      <c r="R508" s="2" t="inlineStr"/>
    </row>
    <row r="509" ht="15" customHeight="1">
      <c r="A509" t="inlineStr">
        <is>
          <t>A 63929-2023</t>
        </is>
      </c>
      <c r="B509" s="1" t="n">
        <v>45278</v>
      </c>
      <c r="C509" s="1" t="n">
        <v>45506</v>
      </c>
      <c r="D509" t="inlineStr">
        <is>
          <t>DALARNAS LÄN</t>
        </is>
      </c>
      <c r="E509" t="inlineStr">
        <is>
          <t>HEDEMORA</t>
        </is>
      </c>
      <c r="G509" t="n">
        <v>0.4</v>
      </c>
      <c r="H509" t="n">
        <v>0</v>
      </c>
      <c r="I509" t="n">
        <v>0</v>
      </c>
      <c r="J509" t="n">
        <v>0</v>
      </c>
      <c r="K509" t="n">
        <v>0</v>
      </c>
      <c r="L509" t="n">
        <v>0</v>
      </c>
      <c r="M509" t="n">
        <v>0</v>
      </c>
      <c r="N509" t="n">
        <v>0</v>
      </c>
      <c r="O509" t="n">
        <v>0</v>
      </c>
      <c r="P509" t="n">
        <v>0</v>
      </c>
      <c r="Q509" t="n">
        <v>0</v>
      </c>
      <c r="R509" s="2" t="inlineStr"/>
    </row>
    <row r="510" ht="15" customHeight="1">
      <c r="A510" t="inlineStr">
        <is>
          <t>A 63941-2023</t>
        </is>
      </c>
      <c r="B510" s="1" t="n">
        <v>45278</v>
      </c>
      <c r="C510" s="1" t="n">
        <v>45506</v>
      </c>
      <c r="D510" t="inlineStr">
        <is>
          <t>DALARNAS LÄN</t>
        </is>
      </c>
      <c r="E510" t="inlineStr">
        <is>
          <t>HEDEMORA</t>
        </is>
      </c>
      <c r="G510" t="n">
        <v>1.1</v>
      </c>
      <c r="H510" t="n">
        <v>0</v>
      </c>
      <c r="I510" t="n">
        <v>0</v>
      </c>
      <c r="J510" t="n">
        <v>0</v>
      </c>
      <c r="K510" t="n">
        <v>0</v>
      </c>
      <c r="L510" t="n">
        <v>0</v>
      </c>
      <c r="M510" t="n">
        <v>0</v>
      </c>
      <c r="N510" t="n">
        <v>0</v>
      </c>
      <c r="O510" t="n">
        <v>0</v>
      </c>
      <c r="P510" t="n">
        <v>0</v>
      </c>
      <c r="Q510" t="n">
        <v>0</v>
      </c>
      <c r="R510" s="2" t="inlineStr"/>
    </row>
    <row r="511" ht="15" customHeight="1">
      <c r="A511" t="inlineStr">
        <is>
          <t>A 63926-2023</t>
        </is>
      </c>
      <c r="B511" s="1" t="n">
        <v>45278</v>
      </c>
      <c r="C511" s="1" t="n">
        <v>45506</v>
      </c>
      <c r="D511" t="inlineStr">
        <is>
          <t>DALARNAS LÄN</t>
        </is>
      </c>
      <c r="E511" t="inlineStr">
        <is>
          <t>HEDEMORA</t>
        </is>
      </c>
      <c r="G511" t="n">
        <v>5</v>
      </c>
      <c r="H511" t="n">
        <v>0</v>
      </c>
      <c r="I511" t="n">
        <v>0</v>
      </c>
      <c r="J511" t="n">
        <v>0</v>
      </c>
      <c r="K511" t="n">
        <v>0</v>
      </c>
      <c r="L511" t="n">
        <v>0</v>
      </c>
      <c r="M511" t="n">
        <v>0</v>
      </c>
      <c r="N511" t="n">
        <v>0</v>
      </c>
      <c r="O511" t="n">
        <v>0</v>
      </c>
      <c r="P511" t="n">
        <v>0</v>
      </c>
      <c r="Q511" t="n">
        <v>0</v>
      </c>
      <c r="R511" s="2" t="inlineStr"/>
    </row>
    <row r="512" ht="15" customHeight="1">
      <c r="A512" t="inlineStr">
        <is>
          <t>A 63911-2023</t>
        </is>
      </c>
      <c r="B512" s="1" t="n">
        <v>45278</v>
      </c>
      <c r="C512" s="1" t="n">
        <v>45506</v>
      </c>
      <c r="D512" t="inlineStr">
        <is>
          <t>DALARNAS LÄN</t>
        </is>
      </c>
      <c r="E512" t="inlineStr">
        <is>
          <t>HEDEMORA</t>
        </is>
      </c>
      <c r="G512" t="n">
        <v>8.9</v>
      </c>
      <c r="H512" t="n">
        <v>0</v>
      </c>
      <c r="I512" t="n">
        <v>0</v>
      </c>
      <c r="J512" t="n">
        <v>0</v>
      </c>
      <c r="K512" t="n">
        <v>0</v>
      </c>
      <c r="L512" t="n">
        <v>0</v>
      </c>
      <c r="M512" t="n">
        <v>0</v>
      </c>
      <c r="N512" t="n">
        <v>0</v>
      </c>
      <c r="O512" t="n">
        <v>0</v>
      </c>
      <c r="P512" t="n">
        <v>0</v>
      </c>
      <c r="Q512" t="n">
        <v>0</v>
      </c>
      <c r="R512" s="2" t="inlineStr"/>
    </row>
    <row r="513" ht="15" customHeight="1">
      <c r="A513" t="inlineStr">
        <is>
          <t>A 64276-2023</t>
        </is>
      </c>
      <c r="B513" s="1" t="n">
        <v>45280</v>
      </c>
      <c r="C513" s="1" t="n">
        <v>45506</v>
      </c>
      <c r="D513" t="inlineStr">
        <is>
          <t>DALARNAS LÄN</t>
        </is>
      </c>
      <c r="E513" t="inlineStr">
        <is>
          <t>HEDEMORA</t>
        </is>
      </c>
      <c r="G513" t="n">
        <v>3.5</v>
      </c>
      <c r="H513" t="n">
        <v>0</v>
      </c>
      <c r="I513" t="n">
        <v>0</v>
      </c>
      <c r="J513" t="n">
        <v>0</v>
      </c>
      <c r="K513" t="n">
        <v>0</v>
      </c>
      <c r="L513" t="n">
        <v>0</v>
      </c>
      <c r="M513" t="n">
        <v>0</v>
      </c>
      <c r="N513" t="n">
        <v>0</v>
      </c>
      <c r="O513" t="n">
        <v>0</v>
      </c>
      <c r="P513" t="n">
        <v>0</v>
      </c>
      <c r="Q513" t="n">
        <v>0</v>
      </c>
      <c r="R513" s="2" t="inlineStr"/>
    </row>
    <row r="514" ht="15" customHeight="1">
      <c r="A514" t="inlineStr">
        <is>
          <t>A 64965-2023</t>
        </is>
      </c>
      <c r="B514" s="1" t="n">
        <v>45283</v>
      </c>
      <c r="C514" s="1" t="n">
        <v>45506</v>
      </c>
      <c r="D514" t="inlineStr">
        <is>
          <t>DALARNAS LÄN</t>
        </is>
      </c>
      <c r="E514" t="inlineStr">
        <is>
          <t>HEDEMORA</t>
        </is>
      </c>
      <c r="G514" t="n">
        <v>6</v>
      </c>
      <c r="H514" t="n">
        <v>0</v>
      </c>
      <c r="I514" t="n">
        <v>0</v>
      </c>
      <c r="J514" t="n">
        <v>0</v>
      </c>
      <c r="K514" t="n">
        <v>0</v>
      </c>
      <c r="L514" t="n">
        <v>0</v>
      </c>
      <c r="M514" t="n">
        <v>0</v>
      </c>
      <c r="N514" t="n">
        <v>0</v>
      </c>
      <c r="O514" t="n">
        <v>0</v>
      </c>
      <c r="P514" t="n">
        <v>0</v>
      </c>
      <c r="Q514" t="n">
        <v>0</v>
      </c>
      <c r="R514" s="2" t="inlineStr"/>
    </row>
    <row r="515" ht="15" customHeight="1">
      <c r="A515" t="inlineStr">
        <is>
          <t>A 64964-2023</t>
        </is>
      </c>
      <c r="B515" s="1" t="n">
        <v>45283</v>
      </c>
      <c r="C515" s="1" t="n">
        <v>45506</v>
      </c>
      <c r="D515" t="inlineStr">
        <is>
          <t>DALARNAS LÄN</t>
        </is>
      </c>
      <c r="E515" t="inlineStr">
        <is>
          <t>HEDEMORA</t>
        </is>
      </c>
      <c r="G515" t="n">
        <v>0.9</v>
      </c>
      <c r="H515" t="n">
        <v>0</v>
      </c>
      <c r="I515" t="n">
        <v>0</v>
      </c>
      <c r="J515" t="n">
        <v>0</v>
      </c>
      <c r="K515" t="n">
        <v>0</v>
      </c>
      <c r="L515" t="n">
        <v>0</v>
      </c>
      <c r="M515" t="n">
        <v>0</v>
      </c>
      <c r="N515" t="n">
        <v>0</v>
      </c>
      <c r="O515" t="n">
        <v>0</v>
      </c>
      <c r="P515" t="n">
        <v>0</v>
      </c>
      <c r="Q515" t="n">
        <v>0</v>
      </c>
      <c r="R515" s="2" t="inlineStr"/>
    </row>
    <row r="516" ht="15" customHeight="1">
      <c r="A516" t="inlineStr">
        <is>
          <t>A 65057-2023</t>
        </is>
      </c>
      <c r="B516" s="1" t="n">
        <v>45287</v>
      </c>
      <c r="C516" s="1" t="n">
        <v>45506</v>
      </c>
      <c r="D516" t="inlineStr">
        <is>
          <t>DALARNAS LÄN</t>
        </is>
      </c>
      <c r="E516" t="inlineStr">
        <is>
          <t>HEDEMORA</t>
        </is>
      </c>
      <c r="G516" t="n">
        <v>1.8</v>
      </c>
      <c r="H516" t="n">
        <v>0</v>
      </c>
      <c r="I516" t="n">
        <v>0</v>
      </c>
      <c r="J516" t="n">
        <v>0</v>
      </c>
      <c r="K516" t="n">
        <v>0</v>
      </c>
      <c r="L516" t="n">
        <v>0</v>
      </c>
      <c r="M516" t="n">
        <v>0</v>
      </c>
      <c r="N516" t="n">
        <v>0</v>
      </c>
      <c r="O516" t="n">
        <v>0</v>
      </c>
      <c r="P516" t="n">
        <v>0</v>
      </c>
      <c r="Q516" t="n">
        <v>0</v>
      </c>
      <c r="R516" s="2" t="inlineStr"/>
    </row>
    <row r="517" ht="15" customHeight="1">
      <c r="A517" t="inlineStr">
        <is>
          <t>A 385-2024</t>
        </is>
      </c>
      <c r="B517" s="1" t="n">
        <v>45296</v>
      </c>
      <c r="C517" s="1" t="n">
        <v>45506</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1072-2024</t>
        </is>
      </c>
      <c r="B518" s="1" t="n">
        <v>45302</v>
      </c>
      <c r="C518" s="1" t="n">
        <v>45506</v>
      </c>
      <c r="D518" t="inlineStr">
        <is>
          <t>DALARNAS LÄN</t>
        </is>
      </c>
      <c r="E518" t="inlineStr">
        <is>
          <t>HEDEMORA</t>
        </is>
      </c>
      <c r="G518" t="n">
        <v>1.8</v>
      </c>
      <c r="H518" t="n">
        <v>0</v>
      </c>
      <c r="I518" t="n">
        <v>0</v>
      </c>
      <c r="J518" t="n">
        <v>0</v>
      </c>
      <c r="K518" t="n">
        <v>0</v>
      </c>
      <c r="L518" t="n">
        <v>0</v>
      </c>
      <c r="M518" t="n">
        <v>0</v>
      </c>
      <c r="N518" t="n">
        <v>0</v>
      </c>
      <c r="O518" t="n">
        <v>0</v>
      </c>
      <c r="P518" t="n">
        <v>0</v>
      </c>
      <c r="Q518" t="n">
        <v>0</v>
      </c>
      <c r="R518" s="2" t="inlineStr"/>
    </row>
    <row r="519" ht="15" customHeight="1">
      <c r="A519" t="inlineStr">
        <is>
          <t>A 1168-2024</t>
        </is>
      </c>
      <c r="B519" s="1" t="n">
        <v>45302</v>
      </c>
      <c r="C519" s="1" t="n">
        <v>45506</v>
      </c>
      <c r="D519" t="inlineStr">
        <is>
          <t>DALARNAS LÄN</t>
        </is>
      </c>
      <c r="E519" t="inlineStr">
        <is>
          <t>HEDEMORA</t>
        </is>
      </c>
      <c r="G519" t="n">
        <v>1.4</v>
      </c>
      <c r="H519" t="n">
        <v>0</v>
      </c>
      <c r="I519" t="n">
        <v>0</v>
      </c>
      <c r="J519" t="n">
        <v>0</v>
      </c>
      <c r="K519" t="n">
        <v>0</v>
      </c>
      <c r="L519" t="n">
        <v>0</v>
      </c>
      <c r="M519" t="n">
        <v>0</v>
      </c>
      <c r="N519" t="n">
        <v>0</v>
      </c>
      <c r="O519" t="n">
        <v>0</v>
      </c>
      <c r="P519" t="n">
        <v>0</v>
      </c>
      <c r="Q519" t="n">
        <v>0</v>
      </c>
      <c r="R519" s="2" t="inlineStr"/>
    </row>
    <row r="520" ht="15" customHeight="1">
      <c r="A520" t="inlineStr">
        <is>
          <t>A 2915-2024</t>
        </is>
      </c>
      <c r="B520" s="1" t="n">
        <v>45315</v>
      </c>
      <c r="C520" s="1" t="n">
        <v>45506</v>
      </c>
      <c r="D520" t="inlineStr">
        <is>
          <t>DALARNAS LÄN</t>
        </is>
      </c>
      <c r="E520" t="inlineStr">
        <is>
          <t>HEDEMORA</t>
        </is>
      </c>
      <c r="G520" t="n">
        <v>2</v>
      </c>
      <c r="H520" t="n">
        <v>0</v>
      </c>
      <c r="I520" t="n">
        <v>0</v>
      </c>
      <c r="J520" t="n">
        <v>0</v>
      </c>
      <c r="K520" t="n">
        <v>0</v>
      </c>
      <c r="L520" t="n">
        <v>0</v>
      </c>
      <c r="M520" t="n">
        <v>0</v>
      </c>
      <c r="N520" t="n">
        <v>0</v>
      </c>
      <c r="O520" t="n">
        <v>0</v>
      </c>
      <c r="P520" t="n">
        <v>0</v>
      </c>
      <c r="Q520" t="n">
        <v>0</v>
      </c>
      <c r="R520" s="2" t="inlineStr"/>
    </row>
    <row r="521" ht="15" customHeight="1">
      <c r="A521" t="inlineStr">
        <is>
          <t>A 3089-2024</t>
        </is>
      </c>
      <c r="B521" s="1" t="n">
        <v>45316</v>
      </c>
      <c r="C521" s="1" t="n">
        <v>45506</v>
      </c>
      <c r="D521" t="inlineStr">
        <is>
          <t>DALARNAS LÄN</t>
        </is>
      </c>
      <c r="E521" t="inlineStr">
        <is>
          <t>HEDEMORA</t>
        </is>
      </c>
      <c r="G521" t="n">
        <v>5.5</v>
      </c>
      <c r="H521" t="n">
        <v>0</v>
      </c>
      <c r="I521" t="n">
        <v>0</v>
      </c>
      <c r="J521" t="n">
        <v>0</v>
      </c>
      <c r="K521" t="n">
        <v>0</v>
      </c>
      <c r="L521" t="n">
        <v>0</v>
      </c>
      <c r="M521" t="n">
        <v>0</v>
      </c>
      <c r="N521" t="n">
        <v>0</v>
      </c>
      <c r="O521" t="n">
        <v>0</v>
      </c>
      <c r="P521" t="n">
        <v>0</v>
      </c>
      <c r="Q521" t="n">
        <v>0</v>
      </c>
      <c r="R521" s="2" t="inlineStr"/>
    </row>
    <row r="522" ht="15" customHeight="1">
      <c r="A522" t="inlineStr">
        <is>
          <t>A 4391-2024</t>
        </is>
      </c>
      <c r="B522" s="1" t="n">
        <v>45327</v>
      </c>
      <c r="C522" s="1" t="n">
        <v>45506</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6210-2024</t>
        </is>
      </c>
      <c r="B523" s="1" t="n">
        <v>45337</v>
      </c>
      <c r="C523" s="1" t="n">
        <v>45506</v>
      </c>
      <c r="D523" t="inlineStr">
        <is>
          <t>DALARNAS LÄN</t>
        </is>
      </c>
      <c r="E523" t="inlineStr">
        <is>
          <t>HEDEMORA</t>
        </is>
      </c>
      <c r="G523" t="n">
        <v>2.6</v>
      </c>
      <c r="H523" t="n">
        <v>0</v>
      </c>
      <c r="I523" t="n">
        <v>0</v>
      </c>
      <c r="J523" t="n">
        <v>0</v>
      </c>
      <c r="K523" t="n">
        <v>0</v>
      </c>
      <c r="L523" t="n">
        <v>0</v>
      </c>
      <c r="M523" t="n">
        <v>0</v>
      </c>
      <c r="N523" t="n">
        <v>0</v>
      </c>
      <c r="O523" t="n">
        <v>0</v>
      </c>
      <c r="P523" t="n">
        <v>0</v>
      </c>
      <c r="Q523" t="n">
        <v>0</v>
      </c>
      <c r="R523" s="2" t="inlineStr"/>
    </row>
    <row r="524" ht="15" customHeight="1">
      <c r="A524" t="inlineStr">
        <is>
          <t>A 6880-2024</t>
        </is>
      </c>
      <c r="B524" s="1" t="n">
        <v>45342</v>
      </c>
      <c r="C524" s="1" t="n">
        <v>45506</v>
      </c>
      <c r="D524" t="inlineStr">
        <is>
          <t>DALARNAS LÄN</t>
        </is>
      </c>
      <c r="E524" t="inlineStr">
        <is>
          <t>HEDEMORA</t>
        </is>
      </c>
      <c r="G524" t="n">
        <v>4.1</v>
      </c>
      <c r="H524" t="n">
        <v>0</v>
      </c>
      <c r="I524" t="n">
        <v>0</v>
      </c>
      <c r="J524" t="n">
        <v>0</v>
      </c>
      <c r="K524" t="n">
        <v>0</v>
      </c>
      <c r="L524" t="n">
        <v>0</v>
      </c>
      <c r="M524" t="n">
        <v>0</v>
      </c>
      <c r="N524" t="n">
        <v>0</v>
      </c>
      <c r="O524" t="n">
        <v>0</v>
      </c>
      <c r="P524" t="n">
        <v>0</v>
      </c>
      <c r="Q524" t="n">
        <v>0</v>
      </c>
      <c r="R524" s="2" t="inlineStr"/>
    </row>
    <row r="525" ht="15" customHeight="1">
      <c r="A525" t="inlineStr">
        <is>
          <t>A 6881-2024</t>
        </is>
      </c>
      <c r="B525" s="1" t="n">
        <v>45342</v>
      </c>
      <c r="C525" s="1" t="n">
        <v>45506</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7914-2024</t>
        </is>
      </c>
      <c r="B526" s="1" t="n">
        <v>45350</v>
      </c>
      <c r="C526" s="1" t="n">
        <v>45506</v>
      </c>
      <c r="D526" t="inlineStr">
        <is>
          <t>DALARNAS LÄN</t>
        </is>
      </c>
      <c r="E526" t="inlineStr">
        <is>
          <t>HEDEMORA</t>
        </is>
      </c>
      <c r="G526" t="n">
        <v>4.1</v>
      </c>
      <c r="H526" t="n">
        <v>0</v>
      </c>
      <c r="I526" t="n">
        <v>0</v>
      </c>
      <c r="J526" t="n">
        <v>0</v>
      </c>
      <c r="K526" t="n">
        <v>0</v>
      </c>
      <c r="L526" t="n">
        <v>0</v>
      </c>
      <c r="M526" t="n">
        <v>0</v>
      </c>
      <c r="N526" t="n">
        <v>0</v>
      </c>
      <c r="O526" t="n">
        <v>0</v>
      </c>
      <c r="P526" t="n">
        <v>0</v>
      </c>
      <c r="Q526" t="n">
        <v>0</v>
      </c>
      <c r="R526" s="2" t="inlineStr"/>
    </row>
    <row r="527" ht="15" customHeight="1">
      <c r="A527" t="inlineStr">
        <is>
          <t>A 7916-2024</t>
        </is>
      </c>
      <c r="B527" s="1" t="n">
        <v>45350</v>
      </c>
      <c r="C527" s="1" t="n">
        <v>45506</v>
      </c>
      <c r="D527" t="inlineStr">
        <is>
          <t>DALARNAS LÄN</t>
        </is>
      </c>
      <c r="E527" t="inlineStr">
        <is>
          <t>HEDEMORA</t>
        </is>
      </c>
      <c r="G527" t="n">
        <v>5.8</v>
      </c>
      <c r="H527" t="n">
        <v>0</v>
      </c>
      <c r="I527" t="n">
        <v>0</v>
      </c>
      <c r="J527" t="n">
        <v>0</v>
      </c>
      <c r="K527" t="n">
        <v>0</v>
      </c>
      <c r="L527" t="n">
        <v>0</v>
      </c>
      <c r="M527" t="n">
        <v>0</v>
      </c>
      <c r="N527" t="n">
        <v>0</v>
      </c>
      <c r="O527" t="n">
        <v>0</v>
      </c>
      <c r="P527" t="n">
        <v>0</v>
      </c>
      <c r="Q527" t="n">
        <v>0</v>
      </c>
      <c r="R527" s="2" t="inlineStr"/>
    </row>
    <row r="528" ht="15" customHeight="1">
      <c r="A528" t="inlineStr">
        <is>
          <t>A 9314-2024</t>
        </is>
      </c>
      <c r="B528" s="1" t="n">
        <v>45358</v>
      </c>
      <c r="C528" s="1" t="n">
        <v>45506</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9313-2024</t>
        </is>
      </c>
      <c r="B529" s="1" t="n">
        <v>45358</v>
      </c>
      <c r="C529" s="1" t="n">
        <v>45506</v>
      </c>
      <c r="D529" t="inlineStr">
        <is>
          <t>DALARNAS LÄN</t>
        </is>
      </c>
      <c r="E529" t="inlineStr">
        <is>
          <t>HEDEMORA</t>
        </is>
      </c>
      <c r="G529" t="n">
        <v>1.2</v>
      </c>
      <c r="H529" t="n">
        <v>0</v>
      </c>
      <c r="I529" t="n">
        <v>0</v>
      </c>
      <c r="J529" t="n">
        <v>0</v>
      </c>
      <c r="K529" t="n">
        <v>0</v>
      </c>
      <c r="L529" t="n">
        <v>0</v>
      </c>
      <c r="M529" t="n">
        <v>0</v>
      </c>
      <c r="N529" t="n">
        <v>0</v>
      </c>
      <c r="O529" t="n">
        <v>0</v>
      </c>
      <c r="P529" t="n">
        <v>0</v>
      </c>
      <c r="Q529" t="n">
        <v>0</v>
      </c>
      <c r="R529" s="2" t="inlineStr"/>
    </row>
    <row r="530" ht="15" customHeight="1">
      <c r="A530" t="inlineStr">
        <is>
          <t>A 12126-2024</t>
        </is>
      </c>
      <c r="B530" s="1" t="n">
        <v>45377</v>
      </c>
      <c r="C530" s="1" t="n">
        <v>45506</v>
      </c>
      <c r="D530" t="inlineStr">
        <is>
          <t>DALARNAS LÄN</t>
        </is>
      </c>
      <c r="E530" t="inlineStr">
        <is>
          <t>HEDEMORA</t>
        </is>
      </c>
      <c r="G530" t="n">
        <v>1.5</v>
      </c>
      <c r="H530" t="n">
        <v>0</v>
      </c>
      <c r="I530" t="n">
        <v>0</v>
      </c>
      <c r="J530" t="n">
        <v>0</v>
      </c>
      <c r="K530" t="n">
        <v>0</v>
      </c>
      <c r="L530" t="n">
        <v>0</v>
      </c>
      <c r="M530" t="n">
        <v>0</v>
      </c>
      <c r="N530" t="n">
        <v>0</v>
      </c>
      <c r="O530" t="n">
        <v>0</v>
      </c>
      <c r="P530" t="n">
        <v>0</v>
      </c>
      <c r="Q530" t="n">
        <v>0</v>
      </c>
      <c r="R530" s="2" t="inlineStr"/>
    </row>
    <row r="531" ht="15" customHeight="1">
      <c r="A531" t="inlineStr">
        <is>
          <t>A 12030-2024</t>
        </is>
      </c>
      <c r="B531" s="1" t="n">
        <v>45377</v>
      </c>
      <c r="C531" s="1" t="n">
        <v>45506</v>
      </c>
      <c r="D531" t="inlineStr">
        <is>
          <t>DALARNAS LÄN</t>
        </is>
      </c>
      <c r="E531" t="inlineStr">
        <is>
          <t>HEDEMORA</t>
        </is>
      </c>
      <c r="G531" t="n">
        <v>0.7</v>
      </c>
      <c r="H531" t="n">
        <v>0</v>
      </c>
      <c r="I531" t="n">
        <v>0</v>
      </c>
      <c r="J531" t="n">
        <v>0</v>
      </c>
      <c r="K531" t="n">
        <v>0</v>
      </c>
      <c r="L531" t="n">
        <v>0</v>
      </c>
      <c r="M531" t="n">
        <v>0</v>
      </c>
      <c r="N531" t="n">
        <v>0</v>
      </c>
      <c r="O531" t="n">
        <v>0</v>
      </c>
      <c r="P531" t="n">
        <v>0</v>
      </c>
      <c r="Q531" t="n">
        <v>0</v>
      </c>
      <c r="R531" s="2" t="inlineStr"/>
    </row>
    <row r="532" ht="15" customHeight="1">
      <c r="A532" t="inlineStr">
        <is>
          <t>A 13657-2024</t>
        </is>
      </c>
      <c r="B532" s="1" t="n">
        <v>45390</v>
      </c>
      <c r="C532" s="1" t="n">
        <v>45506</v>
      </c>
      <c r="D532" t="inlineStr">
        <is>
          <t>DALARNAS LÄN</t>
        </is>
      </c>
      <c r="E532" t="inlineStr">
        <is>
          <t>HEDEMORA</t>
        </is>
      </c>
      <c r="G532" t="n">
        <v>3.1</v>
      </c>
      <c r="H532" t="n">
        <v>0</v>
      </c>
      <c r="I532" t="n">
        <v>0</v>
      </c>
      <c r="J532" t="n">
        <v>0</v>
      </c>
      <c r="K532" t="n">
        <v>0</v>
      </c>
      <c r="L532" t="n">
        <v>0</v>
      </c>
      <c r="M532" t="n">
        <v>0</v>
      </c>
      <c r="N532" t="n">
        <v>0</v>
      </c>
      <c r="O532" t="n">
        <v>0</v>
      </c>
      <c r="P532" t="n">
        <v>0</v>
      </c>
      <c r="Q532" t="n">
        <v>0</v>
      </c>
      <c r="R532" s="2" t="inlineStr"/>
    </row>
    <row r="533" ht="15" customHeight="1">
      <c r="A533" t="inlineStr">
        <is>
          <t>A 14120-2024</t>
        </is>
      </c>
      <c r="B533" s="1" t="n">
        <v>45392</v>
      </c>
      <c r="C533" s="1" t="n">
        <v>45506</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15345-2024</t>
        </is>
      </c>
      <c r="B534" s="1" t="n">
        <v>45400</v>
      </c>
      <c r="C534" s="1" t="n">
        <v>45506</v>
      </c>
      <c r="D534" t="inlineStr">
        <is>
          <t>DALARNAS LÄN</t>
        </is>
      </c>
      <c r="E534" t="inlineStr">
        <is>
          <t>HEDEMORA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16413-2024</t>
        </is>
      </c>
      <c r="B535" s="1" t="n">
        <v>45407</v>
      </c>
      <c r="C535" s="1" t="n">
        <v>45506</v>
      </c>
      <c r="D535" t="inlineStr">
        <is>
          <t>DALARNAS LÄN</t>
        </is>
      </c>
      <c r="E535" t="inlineStr">
        <is>
          <t>HEDEMORA</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16410-2024</t>
        </is>
      </c>
      <c r="B536" s="1" t="n">
        <v>45407</v>
      </c>
      <c r="C536" s="1" t="n">
        <v>45506</v>
      </c>
      <c r="D536" t="inlineStr">
        <is>
          <t>DALARNAS LÄN</t>
        </is>
      </c>
      <c r="E536" t="inlineStr">
        <is>
          <t>HEDEMORA</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16408-2024</t>
        </is>
      </c>
      <c r="B537" s="1" t="n">
        <v>45407</v>
      </c>
      <c r="C537" s="1" t="n">
        <v>45506</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18223-2024</t>
        </is>
      </c>
      <c r="B538" s="1" t="n">
        <v>45421</v>
      </c>
      <c r="C538" s="1" t="n">
        <v>45506</v>
      </c>
      <c r="D538" t="inlineStr">
        <is>
          <t>DALARNAS LÄN</t>
        </is>
      </c>
      <c r="E538" t="inlineStr">
        <is>
          <t>HEDEMORA</t>
        </is>
      </c>
      <c r="F538" t="inlineStr">
        <is>
          <t>Sveaskog</t>
        </is>
      </c>
      <c r="G538" t="n">
        <v>29.8</v>
      </c>
      <c r="H538" t="n">
        <v>0</v>
      </c>
      <c r="I538" t="n">
        <v>0</v>
      </c>
      <c r="J538" t="n">
        <v>0</v>
      </c>
      <c r="K538" t="n">
        <v>0</v>
      </c>
      <c r="L538" t="n">
        <v>0</v>
      </c>
      <c r="M538" t="n">
        <v>0</v>
      </c>
      <c r="N538" t="n">
        <v>0</v>
      </c>
      <c r="O538" t="n">
        <v>0</v>
      </c>
      <c r="P538" t="n">
        <v>0</v>
      </c>
      <c r="Q538" t="n">
        <v>0</v>
      </c>
      <c r="R538" s="2" t="inlineStr"/>
    </row>
    <row r="539" ht="15" customHeight="1">
      <c r="A539" t="inlineStr">
        <is>
          <t>A 18699-2024</t>
        </is>
      </c>
      <c r="B539" s="1" t="n">
        <v>45426</v>
      </c>
      <c r="C539" s="1" t="n">
        <v>45506</v>
      </c>
      <c r="D539" t="inlineStr">
        <is>
          <t>DALARNAS LÄN</t>
        </is>
      </c>
      <c r="E539" t="inlineStr">
        <is>
          <t>HEDEMORA</t>
        </is>
      </c>
      <c r="G539" t="n">
        <v>6.6</v>
      </c>
      <c r="H539" t="n">
        <v>0</v>
      </c>
      <c r="I539" t="n">
        <v>0</v>
      </c>
      <c r="J539" t="n">
        <v>0</v>
      </c>
      <c r="K539" t="n">
        <v>0</v>
      </c>
      <c r="L539" t="n">
        <v>0</v>
      </c>
      <c r="M539" t="n">
        <v>0</v>
      </c>
      <c r="N539" t="n">
        <v>0</v>
      </c>
      <c r="O539" t="n">
        <v>0</v>
      </c>
      <c r="P539" t="n">
        <v>0</v>
      </c>
      <c r="Q539" t="n">
        <v>0</v>
      </c>
      <c r="R539" s="2" t="inlineStr"/>
    </row>
    <row r="540" ht="15" customHeight="1">
      <c r="A540" t="inlineStr">
        <is>
          <t>A 19353-2024</t>
        </is>
      </c>
      <c r="B540" s="1" t="n">
        <v>45429</v>
      </c>
      <c r="C540" s="1" t="n">
        <v>45506</v>
      </c>
      <c r="D540" t="inlineStr">
        <is>
          <t>DALARNAS LÄN</t>
        </is>
      </c>
      <c r="E540" t="inlineStr">
        <is>
          <t>HEDEMORA</t>
        </is>
      </c>
      <c r="F540" t="inlineStr">
        <is>
          <t>Sveaskog</t>
        </is>
      </c>
      <c r="G540" t="n">
        <v>16.3</v>
      </c>
      <c r="H540" t="n">
        <v>0</v>
      </c>
      <c r="I540" t="n">
        <v>0</v>
      </c>
      <c r="J540" t="n">
        <v>0</v>
      </c>
      <c r="K540" t="n">
        <v>0</v>
      </c>
      <c r="L540" t="n">
        <v>0</v>
      </c>
      <c r="M540" t="n">
        <v>0</v>
      </c>
      <c r="N540" t="n">
        <v>0</v>
      </c>
      <c r="O540" t="n">
        <v>0</v>
      </c>
      <c r="P540" t="n">
        <v>0</v>
      </c>
      <c r="Q540" t="n">
        <v>0</v>
      </c>
      <c r="R540" s="2" t="inlineStr"/>
    </row>
    <row r="541" ht="15" customHeight="1">
      <c r="A541" t="inlineStr">
        <is>
          <t>A 19397-2024</t>
        </is>
      </c>
      <c r="B541" s="1" t="n">
        <v>45429</v>
      </c>
      <c r="C541" s="1" t="n">
        <v>45506</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19473-2024</t>
        </is>
      </c>
      <c r="B542" s="1" t="n">
        <v>45429</v>
      </c>
      <c r="C542" s="1" t="n">
        <v>45506</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19604-2024</t>
        </is>
      </c>
      <c r="B543" s="1" t="n">
        <v>45431</v>
      </c>
      <c r="C543" s="1" t="n">
        <v>45506</v>
      </c>
      <c r="D543" t="inlineStr">
        <is>
          <t>DALARNAS LÄN</t>
        </is>
      </c>
      <c r="E543" t="inlineStr">
        <is>
          <t>HEDEMORA</t>
        </is>
      </c>
      <c r="F543" t="inlineStr">
        <is>
          <t>Bergvik skog väst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20078-2024</t>
        </is>
      </c>
      <c r="B544" s="1" t="n">
        <v>45434</v>
      </c>
      <c r="C544" s="1" t="n">
        <v>45506</v>
      </c>
      <c r="D544" t="inlineStr">
        <is>
          <t>DALARNAS LÄN</t>
        </is>
      </c>
      <c r="E544" t="inlineStr">
        <is>
          <t>HEDEMORA</t>
        </is>
      </c>
      <c r="G544" t="n">
        <v>6.5</v>
      </c>
      <c r="H544" t="n">
        <v>0</v>
      </c>
      <c r="I544" t="n">
        <v>0</v>
      </c>
      <c r="J544" t="n">
        <v>0</v>
      </c>
      <c r="K544" t="n">
        <v>0</v>
      </c>
      <c r="L544" t="n">
        <v>0</v>
      </c>
      <c r="M544" t="n">
        <v>0</v>
      </c>
      <c r="N544" t="n">
        <v>0</v>
      </c>
      <c r="O544" t="n">
        <v>0</v>
      </c>
      <c r="P544" t="n">
        <v>0</v>
      </c>
      <c r="Q544" t="n">
        <v>0</v>
      </c>
      <c r="R544" s="2" t="inlineStr"/>
    </row>
    <row r="545" ht="15" customHeight="1">
      <c r="A545" t="inlineStr">
        <is>
          <t>A 20235-2024</t>
        </is>
      </c>
      <c r="B545" s="1" t="n">
        <v>45434</v>
      </c>
      <c r="C545" s="1" t="n">
        <v>45506</v>
      </c>
      <c r="D545" t="inlineStr">
        <is>
          <t>DALARNAS LÄN</t>
        </is>
      </c>
      <c r="E545" t="inlineStr">
        <is>
          <t>HEDEMORA</t>
        </is>
      </c>
      <c r="G545" t="n">
        <v>1.3</v>
      </c>
      <c r="H545" t="n">
        <v>0</v>
      </c>
      <c r="I545" t="n">
        <v>0</v>
      </c>
      <c r="J545" t="n">
        <v>0</v>
      </c>
      <c r="K545" t="n">
        <v>0</v>
      </c>
      <c r="L545" t="n">
        <v>0</v>
      </c>
      <c r="M545" t="n">
        <v>0</v>
      </c>
      <c r="N545" t="n">
        <v>0</v>
      </c>
      <c r="O545" t="n">
        <v>0</v>
      </c>
      <c r="P545" t="n">
        <v>0</v>
      </c>
      <c r="Q545" t="n">
        <v>0</v>
      </c>
      <c r="R545" s="2" t="inlineStr"/>
    </row>
    <row r="546" ht="15" customHeight="1">
      <c r="A546" t="inlineStr">
        <is>
          <t>A 20504-2024</t>
        </is>
      </c>
      <c r="B546" s="1" t="n">
        <v>45436</v>
      </c>
      <c r="C546" s="1" t="n">
        <v>45506</v>
      </c>
      <c r="D546" t="inlineStr">
        <is>
          <t>DALARNAS LÄN</t>
        </is>
      </c>
      <c r="E546" t="inlineStr">
        <is>
          <t>HEDEMORA</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20503-2024</t>
        </is>
      </c>
      <c r="B547" s="1" t="n">
        <v>45436</v>
      </c>
      <c r="C547" s="1" t="n">
        <v>45506</v>
      </c>
      <c r="D547" t="inlineStr">
        <is>
          <t>DALARNAS LÄN</t>
        </is>
      </c>
      <c r="E547" t="inlineStr">
        <is>
          <t>HEDEMORA</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20666-2024</t>
        </is>
      </c>
      <c r="B548" s="1" t="n">
        <v>45436</v>
      </c>
      <c r="C548" s="1" t="n">
        <v>45506</v>
      </c>
      <c r="D548" t="inlineStr">
        <is>
          <t>DALARNAS LÄN</t>
        </is>
      </c>
      <c r="E548" t="inlineStr">
        <is>
          <t>HEDEMORA</t>
        </is>
      </c>
      <c r="G548" t="n">
        <v>5.1</v>
      </c>
      <c r="H548" t="n">
        <v>0</v>
      </c>
      <c r="I548" t="n">
        <v>0</v>
      </c>
      <c r="J548" t="n">
        <v>0</v>
      </c>
      <c r="K548" t="n">
        <v>0</v>
      </c>
      <c r="L548" t="n">
        <v>0</v>
      </c>
      <c r="M548" t="n">
        <v>0</v>
      </c>
      <c r="N548" t="n">
        <v>0</v>
      </c>
      <c r="O548" t="n">
        <v>0</v>
      </c>
      <c r="P548" t="n">
        <v>0</v>
      </c>
      <c r="Q548" t="n">
        <v>0</v>
      </c>
      <c r="R548" s="2" t="inlineStr"/>
    </row>
    <row r="549" ht="15" customHeight="1">
      <c r="A549" t="inlineStr">
        <is>
          <t>A 20670-2024</t>
        </is>
      </c>
      <c r="B549" s="1" t="n">
        <v>45436</v>
      </c>
      <c r="C549" s="1" t="n">
        <v>45506</v>
      </c>
      <c r="D549" t="inlineStr">
        <is>
          <t>DALARNAS LÄN</t>
        </is>
      </c>
      <c r="E549" t="inlineStr">
        <is>
          <t>HEDEMORA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21270-2024</t>
        </is>
      </c>
      <c r="B550" s="1" t="n">
        <v>45440</v>
      </c>
      <c r="C550" s="1" t="n">
        <v>45506</v>
      </c>
      <c r="D550" t="inlineStr">
        <is>
          <t>DALARNAS LÄN</t>
        </is>
      </c>
      <c r="E550" t="inlineStr">
        <is>
          <t>HEDEMORA</t>
        </is>
      </c>
      <c r="G550" t="n">
        <v>4.7</v>
      </c>
      <c r="H550" t="n">
        <v>0</v>
      </c>
      <c r="I550" t="n">
        <v>0</v>
      </c>
      <c r="J550" t="n">
        <v>0</v>
      </c>
      <c r="K550" t="n">
        <v>0</v>
      </c>
      <c r="L550" t="n">
        <v>0</v>
      </c>
      <c r="M550" t="n">
        <v>0</v>
      </c>
      <c r="N550" t="n">
        <v>0</v>
      </c>
      <c r="O550" t="n">
        <v>0</v>
      </c>
      <c r="P550" t="n">
        <v>0</v>
      </c>
      <c r="Q550" t="n">
        <v>0</v>
      </c>
      <c r="R550" s="2" t="inlineStr"/>
    </row>
    <row r="551" ht="15" customHeight="1">
      <c r="A551" t="inlineStr">
        <is>
          <t>A 21514-2024</t>
        </is>
      </c>
      <c r="B551" s="1" t="n">
        <v>45441</v>
      </c>
      <c r="C551" s="1" t="n">
        <v>45506</v>
      </c>
      <c r="D551" t="inlineStr">
        <is>
          <t>DALARNAS LÄN</t>
        </is>
      </c>
      <c r="E551" t="inlineStr">
        <is>
          <t>HEDEMORA</t>
        </is>
      </c>
      <c r="G551" t="n">
        <v>1.5</v>
      </c>
      <c r="H551" t="n">
        <v>0</v>
      </c>
      <c r="I551" t="n">
        <v>0</v>
      </c>
      <c r="J551" t="n">
        <v>0</v>
      </c>
      <c r="K551" t="n">
        <v>0</v>
      </c>
      <c r="L551" t="n">
        <v>0</v>
      </c>
      <c r="M551" t="n">
        <v>0</v>
      </c>
      <c r="N551" t="n">
        <v>0</v>
      </c>
      <c r="O551" t="n">
        <v>0</v>
      </c>
      <c r="P551" t="n">
        <v>0</v>
      </c>
      <c r="Q551" t="n">
        <v>0</v>
      </c>
      <c r="R551" s="2" t="inlineStr"/>
    </row>
    <row r="552" ht="15" customHeight="1">
      <c r="A552" t="inlineStr">
        <is>
          <t>A 21539-2024</t>
        </is>
      </c>
      <c r="B552" s="1" t="n">
        <v>45441</v>
      </c>
      <c r="C552" s="1" t="n">
        <v>45506</v>
      </c>
      <c r="D552" t="inlineStr">
        <is>
          <t>DALARNAS LÄN</t>
        </is>
      </c>
      <c r="E552" t="inlineStr">
        <is>
          <t>HEDEMORA</t>
        </is>
      </c>
      <c r="F552" t="inlineStr">
        <is>
          <t>Sveaskog</t>
        </is>
      </c>
      <c r="G552" t="n">
        <v>11.9</v>
      </c>
      <c r="H552" t="n">
        <v>0</v>
      </c>
      <c r="I552" t="n">
        <v>0</v>
      </c>
      <c r="J552" t="n">
        <v>0</v>
      </c>
      <c r="K552" t="n">
        <v>0</v>
      </c>
      <c r="L552" t="n">
        <v>0</v>
      </c>
      <c r="M552" t="n">
        <v>0</v>
      </c>
      <c r="N552" t="n">
        <v>0</v>
      </c>
      <c r="O552" t="n">
        <v>0</v>
      </c>
      <c r="P552" t="n">
        <v>0</v>
      </c>
      <c r="Q552" t="n">
        <v>0</v>
      </c>
      <c r="R552" s="2" t="inlineStr"/>
    </row>
    <row r="553" ht="15" customHeight="1">
      <c r="A553" t="inlineStr">
        <is>
          <t>A 21595-2024</t>
        </is>
      </c>
      <c r="B553" s="1" t="n">
        <v>45441</v>
      </c>
      <c r="C553" s="1" t="n">
        <v>45506</v>
      </c>
      <c r="D553" t="inlineStr">
        <is>
          <t>DALARNAS LÄN</t>
        </is>
      </c>
      <c r="E553" t="inlineStr">
        <is>
          <t>HEDEMORA</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21538-2024</t>
        </is>
      </c>
      <c r="B554" s="1" t="n">
        <v>45441</v>
      </c>
      <c r="C554" s="1" t="n">
        <v>45506</v>
      </c>
      <c r="D554" t="inlineStr">
        <is>
          <t>DALARNAS LÄN</t>
        </is>
      </c>
      <c r="E554" t="inlineStr">
        <is>
          <t>HEDEMORA</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21763-2024</t>
        </is>
      </c>
      <c r="B555" s="1" t="n">
        <v>45442</v>
      </c>
      <c r="C555" s="1" t="n">
        <v>45506</v>
      </c>
      <c r="D555" t="inlineStr">
        <is>
          <t>DALARNAS LÄN</t>
        </is>
      </c>
      <c r="E555" t="inlineStr">
        <is>
          <t>HEDEMORA</t>
        </is>
      </c>
      <c r="G555" t="n">
        <v>1.6</v>
      </c>
      <c r="H555" t="n">
        <v>0</v>
      </c>
      <c r="I555" t="n">
        <v>0</v>
      </c>
      <c r="J555" t="n">
        <v>0</v>
      </c>
      <c r="K555" t="n">
        <v>0</v>
      </c>
      <c r="L555" t="n">
        <v>0</v>
      </c>
      <c r="M555" t="n">
        <v>0</v>
      </c>
      <c r="N555" t="n">
        <v>0</v>
      </c>
      <c r="O555" t="n">
        <v>0</v>
      </c>
      <c r="P555" t="n">
        <v>0</v>
      </c>
      <c r="Q555" t="n">
        <v>0</v>
      </c>
      <c r="R555" s="2" t="inlineStr"/>
    </row>
    <row r="556" ht="15" customHeight="1">
      <c r="A556" t="inlineStr">
        <is>
          <t>A 21823-2024</t>
        </is>
      </c>
      <c r="B556" s="1" t="n">
        <v>45442</v>
      </c>
      <c r="C556" s="1" t="n">
        <v>45506</v>
      </c>
      <c r="D556" t="inlineStr">
        <is>
          <t>DALARNAS LÄN</t>
        </is>
      </c>
      <c r="E556" t="inlineStr">
        <is>
          <t>HEDEMORA</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22588-2024</t>
        </is>
      </c>
      <c r="B557" s="1" t="n">
        <v>45447</v>
      </c>
      <c r="C557" s="1" t="n">
        <v>45506</v>
      </c>
      <c r="D557" t="inlineStr">
        <is>
          <t>DALARNAS LÄN</t>
        </is>
      </c>
      <c r="E557" t="inlineStr">
        <is>
          <t>HEDEMORA</t>
        </is>
      </c>
      <c r="G557" t="n">
        <v>8.4</v>
      </c>
      <c r="H557" t="n">
        <v>0</v>
      </c>
      <c r="I557" t="n">
        <v>0</v>
      </c>
      <c r="J557" t="n">
        <v>0</v>
      </c>
      <c r="K557" t="n">
        <v>0</v>
      </c>
      <c r="L557" t="n">
        <v>0</v>
      </c>
      <c r="M557" t="n">
        <v>0</v>
      </c>
      <c r="N557" t="n">
        <v>0</v>
      </c>
      <c r="O557" t="n">
        <v>0</v>
      </c>
      <c r="P557" t="n">
        <v>0</v>
      </c>
      <c r="Q557" t="n">
        <v>0</v>
      </c>
      <c r="R557" s="2" t="inlineStr"/>
    </row>
    <row r="558" ht="15" customHeight="1">
      <c r="A558" t="inlineStr">
        <is>
          <t>A 22914-2024</t>
        </is>
      </c>
      <c r="B558" s="1" t="n">
        <v>45448</v>
      </c>
      <c r="C558" s="1" t="n">
        <v>45506</v>
      </c>
      <c r="D558" t="inlineStr">
        <is>
          <t>DALARNAS LÄN</t>
        </is>
      </c>
      <c r="E558" t="inlineStr">
        <is>
          <t>HEDEMORA</t>
        </is>
      </c>
      <c r="G558" t="n">
        <v>2</v>
      </c>
      <c r="H558" t="n">
        <v>0</v>
      </c>
      <c r="I558" t="n">
        <v>0</v>
      </c>
      <c r="J558" t="n">
        <v>0</v>
      </c>
      <c r="K558" t="n">
        <v>0</v>
      </c>
      <c r="L558" t="n">
        <v>0</v>
      </c>
      <c r="M558" t="n">
        <v>0</v>
      </c>
      <c r="N558" t="n">
        <v>0</v>
      </c>
      <c r="O558" t="n">
        <v>0</v>
      </c>
      <c r="P558" t="n">
        <v>0</v>
      </c>
      <c r="Q558" t="n">
        <v>0</v>
      </c>
      <c r="R558" s="2" t="inlineStr"/>
    </row>
    <row r="559" ht="15" customHeight="1">
      <c r="A559" t="inlineStr">
        <is>
          <t>A 23826-2024</t>
        </is>
      </c>
      <c r="B559" s="1" t="n">
        <v>45455</v>
      </c>
      <c r="C559" s="1" t="n">
        <v>45506</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row r="560" ht="15" customHeight="1">
      <c r="A560" t="inlineStr">
        <is>
          <t>A 24382-2024</t>
        </is>
      </c>
      <c r="B560" s="1" t="n">
        <v>45457</v>
      </c>
      <c r="C560" s="1" t="n">
        <v>45506</v>
      </c>
      <c r="D560" t="inlineStr">
        <is>
          <t>DALARNAS LÄN</t>
        </is>
      </c>
      <c r="E560" t="inlineStr">
        <is>
          <t>HEDEMORA</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24486-2024</t>
        </is>
      </c>
      <c r="B561" s="1" t="n">
        <v>45459</v>
      </c>
      <c r="C561" s="1" t="n">
        <v>45506</v>
      </c>
      <c r="D561" t="inlineStr">
        <is>
          <t>DALARNAS LÄN</t>
        </is>
      </c>
      <c r="E561" t="inlineStr">
        <is>
          <t>HEDEMORA</t>
        </is>
      </c>
      <c r="G561" t="n">
        <v>0.3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45506</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25195-2024</t>
        </is>
      </c>
      <c r="B563" s="1" t="n">
        <v>45462</v>
      </c>
      <c r="C563" s="1" t="n">
        <v>45506</v>
      </c>
      <c r="D563" t="inlineStr">
        <is>
          <t>DALARNAS LÄN</t>
        </is>
      </c>
      <c r="E563" t="inlineStr">
        <is>
          <t>HEDEMORA</t>
        </is>
      </c>
      <c r="F563" t="inlineStr">
        <is>
          <t>Övriga statliga verk och myndigheter</t>
        </is>
      </c>
      <c r="G563" t="n">
        <v>3.3</v>
      </c>
      <c r="H563" t="n">
        <v>0</v>
      </c>
      <c r="I563" t="n">
        <v>0</v>
      </c>
      <c r="J563" t="n">
        <v>0</v>
      </c>
      <c r="K563" t="n">
        <v>0</v>
      </c>
      <c r="L563" t="n">
        <v>0</v>
      </c>
      <c r="M563" t="n">
        <v>0</v>
      </c>
      <c r="N563" t="n">
        <v>0</v>
      </c>
      <c r="O563" t="n">
        <v>0</v>
      </c>
      <c r="P563" t="n">
        <v>0</v>
      </c>
      <c r="Q563" t="n">
        <v>0</v>
      </c>
      <c r="R563" s="2" t="inlineStr"/>
    </row>
    <row r="564" ht="15" customHeight="1">
      <c r="A564" t="inlineStr">
        <is>
          <t>A 25643-2024</t>
        </is>
      </c>
      <c r="B564" s="1" t="n">
        <v>45463</v>
      </c>
      <c r="C564" s="1" t="n">
        <v>45506</v>
      </c>
      <c r="D564" t="inlineStr">
        <is>
          <t>DALARNAS LÄN</t>
        </is>
      </c>
      <c r="E564" t="inlineStr">
        <is>
          <t>HEDEMORA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25645-2024</t>
        </is>
      </c>
      <c r="B565" s="1" t="n">
        <v>45463</v>
      </c>
      <c r="C565" s="1" t="n">
        <v>45506</v>
      </c>
      <c r="D565" t="inlineStr">
        <is>
          <t>DALARNAS LÄN</t>
        </is>
      </c>
      <c r="E565" t="inlineStr">
        <is>
          <t>HEDEMORA</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26452-2024</t>
        </is>
      </c>
      <c r="B566" s="1" t="n">
        <v>45469</v>
      </c>
      <c r="C566" s="1" t="n">
        <v>45506</v>
      </c>
      <c r="D566" t="inlineStr">
        <is>
          <t>DALARNAS LÄN</t>
        </is>
      </c>
      <c r="E566" t="inlineStr">
        <is>
          <t>HEDEMORA</t>
        </is>
      </c>
      <c r="G566" t="n">
        <v>2.3</v>
      </c>
      <c r="H566" t="n">
        <v>0</v>
      </c>
      <c r="I566" t="n">
        <v>0</v>
      </c>
      <c r="J566" t="n">
        <v>0</v>
      </c>
      <c r="K566" t="n">
        <v>0</v>
      </c>
      <c r="L566" t="n">
        <v>0</v>
      </c>
      <c r="M566" t="n">
        <v>0</v>
      </c>
      <c r="N566" t="n">
        <v>0</v>
      </c>
      <c r="O566" t="n">
        <v>0</v>
      </c>
      <c r="P566" t="n">
        <v>0</v>
      </c>
      <c r="Q566" t="n">
        <v>0</v>
      </c>
      <c r="R566" s="2" t="inlineStr"/>
    </row>
    <row r="567" ht="15" customHeight="1">
      <c r="A567" t="inlineStr">
        <is>
          <t>A 26449-2024</t>
        </is>
      </c>
      <c r="B567" s="1" t="n">
        <v>45469</v>
      </c>
      <c r="C567" s="1" t="n">
        <v>45506</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row r="568" ht="15" customHeight="1">
      <c r="A568" t="inlineStr">
        <is>
          <t>A 26431-2024</t>
        </is>
      </c>
      <c r="B568" s="1" t="n">
        <v>45469</v>
      </c>
      <c r="C568" s="1" t="n">
        <v>45506</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c r="U568">
        <f>HYPERLINK("https://klasma.github.io/Logging_2083/knärot/A 26431-2024 karta knärot.png", "A 26431-2024")</f>
        <v/>
      </c>
      <c r="V568">
        <f>HYPERLINK("https://klasma.github.io/Logging_2083/klagomål/A 26431-2024 FSC-klagomål.docx", "A 26431-2024")</f>
        <v/>
      </c>
      <c r="W568">
        <f>HYPERLINK("https://klasma.github.io/Logging_2083/klagomålsmail/A 26431-2024 FSC-klagomål mail.docx", "A 26431-2024")</f>
        <v/>
      </c>
      <c r="X568">
        <f>HYPERLINK("https://klasma.github.io/Logging_2083/tillsyn/A 26431-2024 tillsynsbegäran.docx", "A 26431-2024")</f>
        <v/>
      </c>
      <c r="Y568">
        <f>HYPERLINK("https://klasma.github.io/Logging_2083/tillsynsmail/A 26431-2024 tillsynsbegäran mail.docx", "A 26431-2024")</f>
        <v/>
      </c>
    </row>
    <row r="569" ht="15" customHeight="1">
      <c r="A569" t="inlineStr">
        <is>
          <t>A 27611-2024</t>
        </is>
      </c>
      <c r="B569" s="1" t="n">
        <v>45474</v>
      </c>
      <c r="C569" s="1" t="n">
        <v>45506</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27610-2024</t>
        </is>
      </c>
      <c r="B570" s="1" t="n">
        <v>45474</v>
      </c>
      <c r="C570" s="1" t="n">
        <v>45506</v>
      </c>
      <c r="D570" t="inlineStr">
        <is>
          <t>DALARNAS LÄN</t>
        </is>
      </c>
      <c r="E570" t="inlineStr">
        <is>
          <t>HEDEMORA</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27609-2024</t>
        </is>
      </c>
      <c r="B571" s="1" t="n">
        <v>45474</v>
      </c>
      <c r="C571" s="1" t="n">
        <v>45506</v>
      </c>
      <c r="D571" t="inlineStr">
        <is>
          <t>DALARNAS LÄN</t>
        </is>
      </c>
      <c r="E571" t="inlineStr">
        <is>
          <t>HEDEMORA</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28148-2024</t>
        </is>
      </c>
      <c r="B572" s="1" t="n">
        <v>45476</v>
      </c>
      <c r="C572" s="1" t="n">
        <v>45506</v>
      </c>
      <c r="D572" t="inlineStr">
        <is>
          <t>DALARNAS LÄN</t>
        </is>
      </c>
      <c r="E572" t="inlineStr">
        <is>
          <t>HEDEMORA</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28149-2024</t>
        </is>
      </c>
      <c r="B573" s="1" t="n">
        <v>45476</v>
      </c>
      <c r="C573" s="1" t="n">
        <v>45506</v>
      </c>
      <c r="D573" t="inlineStr">
        <is>
          <t>DALARNAS LÄN</t>
        </is>
      </c>
      <c r="E573" t="inlineStr">
        <is>
          <t>HEDEMORA</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28813-2024</t>
        </is>
      </c>
      <c r="B574" s="1" t="n">
        <v>45478</v>
      </c>
      <c r="C574" s="1" t="n">
        <v>45506</v>
      </c>
      <c r="D574" t="inlineStr">
        <is>
          <t>DALARNAS LÄN</t>
        </is>
      </c>
      <c r="E574" t="inlineStr">
        <is>
          <t>HEDEMORA</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29225-2024</t>
        </is>
      </c>
      <c r="B575" s="1" t="n">
        <v>45482</v>
      </c>
      <c r="C575" s="1" t="n">
        <v>45506</v>
      </c>
      <c r="D575" t="inlineStr">
        <is>
          <t>DALARNAS LÄN</t>
        </is>
      </c>
      <c r="E575" t="inlineStr">
        <is>
          <t>HEDEMORA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29585-2024</t>
        </is>
      </c>
      <c r="B576" s="1" t="n">
        <v>45484</v>
      </c>
      <c r="C576" s="1" t="n">
        <v>45506</v>
      </c>
      <c r="D576" t="inlineStr">
        <is>
          <t>DALARNAS LÄN</t>
        </is>
      </c>
      <c r="E576" t="inlineStr">
        <is>
          <t>HEDEMORA</t>
        </is>
      </c>
      <c r="F576" t="inlineStr">
        <is>
          <t>Bergvik skog väst AB</t>
        </is>
      </c>
      <c r="G576" t="n">
        <v>8.1</v>
      </c>
      <c r="H576" t="n">
        <v>0</v>
      </c>
      <c r="I576" t="n">
        <v>0</v>
      </c>
      <c r="J576" t="n">
        <v>0</v>
      </c>
      <c r="K576" t="n">
        <v>0</v>
      </c>
      <c r="L576" t="n">
        <v>0</v>
      </c>
      <c r="M576" t="n">
        <v>0</v>
      </c>
      <c r="N576" t="n">
        <v>0</v>
      </c>
      <c r="O576" t="n">
        <v>0</v>
      </c>
      <c r="P576" t="n">
        <v>0</v>
      </c>
      <c r="Q576" t="n">
        <v>0</v>
      </c>
      <c r="R576" s="2" t="inlineStr"/>
    </row>
    <row r="577" ht="15" customHeight="1">
      <c r="A577" t="inlineStr">
        <is>
          <t>A 29587-2024</t>
        </is>
      </c>
      <c r="B577" s="1" t="n">
        <v>45484</v>
      </c>
      <c r="C577" s="1" t="n">
        <v>45506</v>
      </c>
      <c r="D577" t="inlineStr">
        <is>
          <t>DALARNAS LÄN</t>
        </is>
      </c>
      <c r="E577" t="inlineStr">
        <is>
          <t>HEDEMORA</t>
        </is>
      </c>
      <c r="F577" t="inlineStr">
        <is>
          <t>Bergvik skog väst AB</t>
        </is>
      </c>
      <c r="G577" t="n">
        <v>3.4</v>
      </c>
      <c r="H577" t="n">
        <v>0</v>
      </c>
      <c r="I577" t="n">
        <v>0</v>
      </c>
      <c r="J577" t="n">
        <v>0</v>
      </c>
      <c r="K577" t="n">
        <v>0</v>
      </c>
      <c r="L577" t="n">
        <v>0</v>
      </c>
      <c r="M577" t="n">
        <v>0</v>
      </c>
      <c r="N577" t="n">
        <v>0</v>
      </c>
      <c r="O577" t="n">
        <v>0</v>
      </c>
      <c r="P577" t="n">
        <v>0</v>
      </c>
      <c r="Q577" t="n">
        <v>0</v>
      </c>
      <c r="R577" s="2" t="inlineStr"/>
    </row>
    <row r="578" ht="15" customHeight="1">
      <c r="A578" t="inlineStr">
        <is>
          <t>A 29591-2024</t>
        </is>
      </c>
      <c r="B578" s="1" t="n">
        <v>45484</v>
      </c>
      <c r="C578" s="1" t="n">
        <v>45506</v>
      </c>
      <c r="D578" t="inlineStr">
        <is>
          <t>DALARNAS LÄN</t>
        </is>
      </c>
      <c r="E578" t="inlineStr">
        <is>
          <t>HEDEMORA</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29640-2024</t>
        </is>
      </c>
      <c r="B579" s="1" t="n">
        <v>45484</v>
      </c>
      <c r="C579" s="1" t="n">
        <v>45506</v>
      </c>
      <c r="D579" t="inlineStr">
        <is>
          <t>DALARNAS LÄN</t>
        </is>
      </c>
      <c r="E579" t="inlineStr">
        <is>
          <t>HEDEMORA</t>
        </is>
      </c>
      <c r="F579" t="inlineStr">
        <is>
          <t>Bergvik skog väst AB</t>
        </is>
      </c>
      <c r="G579" t="n">
        <v>8.6</v>
      </c>
      <c r="H579" t="n">
        <v>0</v>
      </c>
      <c r="I579" t="n">
        <v>0</v>
      </c>
      <c r="J579" t="n">
        <v>0</v>
      </c>
      <c r="K579" t="n">
        <v>0</v>
      </c>
      <c r="L579" t="n">
        <v>0</v>
      </c>
      <c r="M579" t="n">
        <v>0</v>
      </c>
      <c r="N579" t="n">
        <v>0</v>
      </c>
      <c r="O579" t="n">
        <v>0</v>
      </c>
      <c r="P579" t="n">
        <v>0</v>
      </c>
      <c r="Q579" t="n">
        <v>0</v>
      </c>
      <c r="R579" s="2" t="inlineStr"/>
    </row>
    <row r="580" ht="15" customHeight="1">
      <c r="A580" t="inlineStr">
        <is>
          <t>A 29833-2024</t>
        </is>
      </c>
      <c r="B580" s="1" t="n">
        <v>45485</v>
      </c>
      <c r="C580" s="1" t="n">
        <v>45506</v>
      </c>
      <c r="D580" t="inlineStr">
        <is>
          <t>DALARNAS LÄN</t>
        </is>
      </c>
      <c r="E580" t="inlineStr">
        <is>
          <t>HEDEMORA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29932-2024</t>
        </is>
      </c>
      <c r="B581" s="1" t="n">
        <v>45488</v>
      </c>
      <c r="C581" s="1" t="n">
        <v>45506</v>
      </c>
      <c r="D581" t="inlineStr">
        <is>
          <t>DALARNAS LÄN</t>
        </is>
      </c>
      <c r="E581" t="inlineStr">
        <is>
          <t>HEDEMORA</t>
        </is>
      </c>
      <c r="G581" t="n">
        <v>11.4</v>
      </c>
      <c r="H581" t="n">
        <v>0</v>
      </c>
      <c r="I581" t="n">
        <v>0</v>
      </c>
      <c r="J581" t="n">
        <v>0</v>
      </c>
      <c r="K581" t="n">
        <v>0</v>
      </c>
      <c r="L581" t="n">
        <v>0</v>
      </c>
      <c r="M581" t="n">
        <v>0</v>
      </c>
      <c r="N581" t="n">
        <v>0</v>
      </c>
      <c r="O581" t="n">
        <v>0</v>
      </c>
      <c r="P581" t="n">
        <v>0</v>
      </c>
      <c r="Q581" t="n">
        <v>0</v>
      </c>
      <c r="R581" s="2" t="inlineStr"/>
    </row>
    <row r="582" ht="15" customHeight="1">
      <c r="A582" t="inlineStr">
        <is>
          <t>A 30004-2024</t>
        </is>
      </c>
      <c r="B582" s="1" t="n">
        <v>45488</v>
      </c>
      <c r="C582" s="1" t="n">
        <v>45506</v>
      </c>
      <c r="D582" t="inlineStr">
        <is>
          <t>DALARNAS LÄN</t>
        </is>
      </c>
      <c r="E582" t="inlineStr">
        <is>
          <t>HEDEMORA</t>
        </is>
      </c>
      <c r="G582" t="n">
        <v>14.5</v>
      </c>
      <c r="H582" t="n">
        <v>0</v>
      </c>
      <c r="I582" t="n">
        <v>0</v>
      </c>
      <c r="J582" t="n">
        <v>0</v>
      </c>
      <c r="K582" t="n">
        <v>0</v>
      </c>
      <c r="L582" t="n">
        <v>0</v>
      </c>
      <c r="M582" t="n">
        <v>0</v>
      </c>
      <c r="N582" t="n">
        <v>0</v>
      </c>
      <c r="O582" t="n">
        <v>0</v>
      </c>
      <c r="P582" t="n">
        <v>0</v>
      </c>
      <c r="Q582" t="n">
        <v>0</v>
      </c>
      <c r="R582" s="2" t="inlineStr"/>
    </row>
    <row r="583" ht="15" customHeight="1">
      <c r="A583" t="inlineStr">
        <is>
          <t>A 30265-2024</t>
        </is>
      </c>
      <c r="B583" s="1" t="n">
        <v>45490</v>
      </c>
      <c r="C583" s="1" t="n">
        <v>45506</v>
      </c>
      <c r="D583" t="inlineStr">
        <is>
          <t>DALARNAS LÄN</t>
        </is>
      </c>
      <c r="E583" t="inlineStr">
        <is>
          <t>HEDEMORA</t>
        </is>
      </c>
      <c r="G583" t="n">
        <v>3.4</v>
      </c>
      <c r="H583" t="n">
        <v>0</v>
      </c>
      <c r="I583" t="n">
        <v>0</v>
      </c>
      <c r="J583" t="n">
        <v>0</v>
      </c>
      <c r="K583" t="n">
        <v>0</v>
      </c>
      <c r="L583" t="n">
        <v>0</v>
      </c>
      <c r="M583" t="n">
        <v>0</v>
      </c>
      <c r="N583" t="n">
        <v>0</v>
      </c>
      <c r="O583" t="n">
        <v>0</v>
      </c>
      <c r="P583" t="n">
        <v>0</v>
      </c>
      <c r="Q583" t="n">
        <v>0</v>
      </c>
      <c r="R583" s="2" t="inlineStr"/>
    </row>
    <row r="584" ht="15" customHeight="1">
      <c r="A584" t="inlineStr">
        <is>
          <t>A 30252-2024</t>
        </is>
      </c>
      <c r="B584" s="1" t="n">
        <v>45490</v>
      </c>
      <c r="C584" s="1" t="n">
        <v>45506</v>
      </c>
      <c r="D584" t="inlineStr">
        <is>
          <t>DALARNAS LÄN</t>
        </is>
      </c>
      <c r="E584" t="inlineStr">
        <is>
          <t>HEDEMORA</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30905-2024</t>
        </is>
      </c>
      <c r="B585" s="1" t="n">
        <v>45498</v>
      </c>
      <c r="C585" s="1" t="n">
        <v>45506</v>
      </c>
      <c r="D585" t="inlineStr">
        <is>
          <t>DALARNAS LÄN</t>
        </is>
      </c>
      <c r="E585" t="inlineStr">
        <is>
          <t>HEDEMORA</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30908-2024</t>
        </is>
      </c>
      <c r="B586" s="1" t="n">
        <v>45498</v>
      </c>
      <c r="C586" s="1" t="n">
        <v>45506</v>
      </c>
      <c r="D586" t="inlineStr">
        <is>
          <t>DALARNAS LÄN</t>
        </is>
      </c>
      <c r="E586" t="inlineStr">
        <is>
          <t>HEDEMORA</t>
        </is>
      </c>
      <c r="F586" t="inlineStr">
        <is>
          <t>Bergvik skog väst AB</t>
        </is>
      </c>
      <c r="G586" t="n">
        <v>2.8</v>
      </c>
      <c r="H586" t="n">
        <v>0</v>
      </c>
      <c r="I586" t="n">
        <v>0</v>
      </c>
      <c r="J586" t="n">
        <v>0</v>
      </c>
      <c r="K586" t="n">
        <v>0</v>
      </c>
      <c r="L586" t="n">
        <v>0</v>
      </c>
      <c r="M586" t="n">
        <v>0</v>
      </c>
      <c r="N586" t="n">
        <v>0</v>
      </c>
      <c r="O586" t="n">
        <v>0</v>
      </c>
      <c r="P586" t="n">
        <v>0</v>
      </c>
      <c r="Q586" t="n">
        <v>0</v>
      </c>
      <c r="R586" s="2" t="inlineStr"/>
    </row>
    <row r="587" ht="15" customHeight="1">
      <c r="A587" t="inlineStr">
        <is>
          <t>A 30913-2024</t>
        </is>
      </c>
      <c r="B587" s="1" t="n">
        <v>45498</v>
      </c>
      <c r="C587" s="1" t="n">
        <v>45506</v>
      </c>
      <c r="D587" t="inlineStr">
        <is>
          <t>DALARNAS LÄN</t>
        </is>
      </c>
      <c r="E587" t="inlineStr">
        <is>
          <t>HEDEMORA</t>
        </is>
      </c>
      <c r="G587" t="n">
        <v>4.4</v>
      </c>
      <c r="H587" t="n">
        <v>0</v>
      </c>
      <c r="I587" t="n">
        <v>0</v>
      </c>
      <c r="J587" t="n">
        <v>0</v>
      </c>
      <c r="K587" t="n">
        <v>0</v>
      </c>
      <c r="L587" t="n">
        <v>0</v>
      </c>
      <c r="M587" t="n">
        <v>0</v>
      </c>
      <c r="N587" t="n">
        <v>0</v>
      </c>
      <c r="O587" t="n">
        <v>0</v>
      </c>
      <c r="P587" t="n">
        <v>0</v>
      </c>
      <c r="Q587" t="n">
        <v>0</v>
      </c>
      <c r="R587" s="2" t="inlineStr"/>
    </row>
    <row r="588" ht="15" customHeight="1">
      <c r="A588" t="inlineStr">
        <is>
          <t>A 31229-2024</t>
        </is>
      </c>
      <c r="B588" s="1" t="n">
        <v>45503</v>
      </c>
      <c r="C588" s="1" t="n">
        <v>45506</v>
      </c>
      <c r="D588" t="inlineStr">
        <is>
          <t>DALARNAS LÄN</t>
        </is>
      </c>
      <c r="E588" t="inlineStr">
        <is>
          <t>HEDEMORA</t>
        </is>
      </c>
      <c r="G588" t="n">
        <v>3.4</v>
      </c>
      <c r="H588" t="n">
        <v>0</v>
      </c>
      <c r="I588" t="n">
        <v>0</v>
      </c>
      <c r="J588" t="n">
        <v>0</v>
      </c>
      <c r="K588" t="n">
        <v>0</v>
      </c>
      <c r="L588" t="n">
        <v>0</v>
      </c>
      <c r="M588" t="n">
        <v>0</v>
      </c>
      <c r="N588" t="n">
        <v>0</v>
      </c>
      <c r="O588" t="n">
        <v>0</v>
      </c>
      <c r="P588" t="n">
        <v>0</v>
      </c>
      <c r="Q588" t="n">
        <v>0</v>
      </c>
      <c r="R588" s="2" t="inlineStr"/>
    </row>
    <row r="589" ht="15" customHeight="1">
      <c r="A589" t="inlineStr">
        <is>
          <t>A 31365-2024</t>
        </is>
      </c>
      <c r="B589" s="1" t="n">
        <v>45505</v>
      </c>
      <c r="C589" s="1" t="n">
        <v>45506</v>
      </c>
      <c r="D589" t="inlineStr">
        <is>
          <t>DALARNAS LÄN</t>
        </is>
      </c>
      <c r="E589" t="inlineStr">
        <is>
          <t>HEDEMORA</t>
        </is>
      </c>
      <c r="G589" t="n">
        <v>0.4</v>
      </c>
      <c r="H589" t="n">
        <v>0</v>
      </c>
      <c r="I589" t="n">
        <v>0</v>
      </c>
      <c r="J589" t="n">
        <v>0</v>
      </c>
      <c r="K589" t="n">
        <v>0</v>
      </c>
      <c r="L589" t="n">
        <v>0</v>
      </c>
      <c r="M589" t="n">
        <v>0</v>
      </c>
      <c r="N589" t="n">
        <v>0</v>
      </c>
      <c r="O589" t="n">
        <v>0</v>
      </c>
      <c r="P589" t="n">
        <v>0</v>
      </c>
      <c r="Q589" t="n">
        <v>0</v>
      </c>
      <c r="R589" s="2" t="inlineStr"/>
    </row>
    <row r="590" ht="15" customHeight="1">
      <c r="A590" t="inlineStr">
        <is>
          <t>A 31364-2024</t>
        </is>
      </c>
      <c r="B590" s="1" t="n">
        <v>45505</v>
      </c>
      <c r="C590" s="1" t="n">
        <v>45506</v>
      </c>
      <c r="D590" t="inlineStr">
        <is>
          <t>DALARNAS LÄN</t>
        </is>
      </c>
      <c r="E590" t="inlineStr">
        <is>
          <t>HEDEMORA</t>
        </is>
      </c>
      <c r="G590" t="n">
        <v>2</v>
      </c>
      <c r="H590" t="n">
        <v>0</v>
      </c>
      <c r="I590" t="n">
        <v>0</v>
      </c>
      <c r="J590" t="n">
        <v>0</v>
      </c>
      <c r="K590" t="n">
        <v>0</v>
      </c>
      <c r="L590" t="n">
        <v>0</v>
      </c>
      <c r="M590" t="n">
        <v>0</v>
      </c>
      <c r="N590" t="n">
        <v>0</v>
      </c>
      <c r="O590" t="n">
        <v>0</v>
      </c>
      <c r="P590" t="n">
        <v>0</v>
      </c>
      <c r="Q590" t="n">
        <v>0</v>
      </c>
      <c r="R590" s="2" t="inlineStr"/>
    </row>
    <row r="591">
      <c r="A591" t="inlineStr">
        <is>
          <t>A 31363-2024</t>
        </is>
      </c>
      <c r="B591" s="1" t="n">
        <v>45505</v>
      </c>
      <c r="C591" s="1" t="n">
        <v>45506</v>
      </c>
      <c r="D591" t="inlineStr">
        <is>
          <t>DALARNAS LÄN</t>
        </is>
      </c>
      <c r="E591" t="inlineStr">
        <is>
          <t>HEDEMORA</t>
        </is>
      </c>
      <c r="G591" t="n">
        <v>5</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2024-08-02T13:41:14Z</dcterms:created>
  <dcterms:modified xmlns:dcterms="http://purl.org/dc/terms/" xmlns:xsi="http://www.w3.org/2001/XMLSchema-instance" xsi:type="dcterms:W3CDTF">2024-08-02T13:41:15Z</dcterms:modified>
</cp:coreProperties>
</file>