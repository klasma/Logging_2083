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45587</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45587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45587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45587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45587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45587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45587</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45587</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45587</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45587</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45587</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45587</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45587</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45587</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45587</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45587</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45587</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45587</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45587</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45587</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45587</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45587</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45587</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45587</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45587</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45587</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45587</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45587</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45587</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45587</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45587</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45587</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45587</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45587</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45587</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45587</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45587</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45587</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45587</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45587</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45587</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45587</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45587</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45587</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45587</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45587</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45587</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45587</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45587</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45587</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45587</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45587</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45587</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45587</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45587</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45587</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45587</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45587</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45587</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45587</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45587</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45587</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45587</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45587</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45587</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45587</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54849-2022</t>
        </is>
      </c>
      <c r="B68" s="1" t="n">
        <v>44883</v>
      </c>
      <c r="C68" s="1" t="n">
        <v>45587</v>
      </c>
      <c r="D68" t="inlineStr">
        <is>
          <t>DALARNAS LÄN</t>
        </is>
      </c>
      <c r="E68" t="inlineStr">
        <is>
          <t>HEDEMORA</t>
        </is>
      </c>
      <c r="F68" t="inlineStr">
        <is>
          <t>Sveaskog</t>
        </is>
      </c>
      <c r="G68" t="n">
        <v>8.5</v>
      </c>
      <c r="H68" t="n">
        <v>0</v>
      </c>
      <c r="I68" t="n">
        <v>0</v>
      </c>
      <c r="J68" t="n">
        <v>1</v>
      </c>
      <c r="K68" t="n">
        <v>0</v>
      </c>
      <c r="L68" t="n">
        <v>0</v>
      </c>
      <c r="M68" t="n">
        <v>0</v>
      </c>
      <c r="N68" t="n">
        <v>0</v>
      </c>
      <c r="O68" t="n">
        <v>1</v>
      </c>
      <c r="P68" t="n">
        <v>0</v>
      </c>
      <c r="Q68" t="n">
        <v>1</v>
      </c>
      <c r="R68" s="2" t="inlineStr">
        <is>
          <t>Garnlav</t>
        </is>
      </c>
      <c r="S68">
        <f>HYPERLINK("https://klasma.github.io/Logging_2083/artfynd/A 54849-2022 artfynd.xlsx", "A 54849-2022")</f>
        <v/>
      </c>
      <c r="T68">
        <f>HYPERLINK("https://klasma.github.io/Logging_2083/kartor/A 54849-2022 karta.png", "A 54849-2022")</f>
        <v/>
      </c>
      <c r="V68">
        <f>HYPERLINK("https://klasma.github.io/Logging_2083/klagomål/A 54849-2022 FSC-klagomål.docx", "A 54849-2022")</f>
        <v/>
      </c>
      <c r="W68">
        <f>HYPERLINK("https://klasma.github.io/Logging_2083/klagomålsmail/A 54849-2022 FSC-klagomål mail.docx", "A 54849-2022")</f>
        <v/>
      </c>
      <c r="X68">
        <f>HYPERLINK("https://klasma.github.io/Logging_2083/tillsyn/A 54849-2022 tillsynsbegäran.docx", "A 54849-2022")</f>
        <v/>
      </c>
      <c r="Y68">
        <f>HYPERLINK("https://klasma.github.io/Logging_2083/tillsynsmail/A 54849-2022 tillsynsbegäran mail.docx", "A 54849-2022")</f>
        <v/>
      </c>
    </row>
    <row r="69" ht="15" customHeight="1">
      <c r="A69" t="inlineStr">
        <is>
          <t>A 55144-2022</t>
        </is>
      </c>
      <c r="B69" s="1" t="n">
        <v>44886</v>
      </c>
      <c r="C69" s="1" t="n">
        <v>45587</v>
      </c>
      <c r="D69" t="inlineStr">
        <is>
          <t>DALARNAS LÄN</t>
        </is>
      </c>
      <c r="E69" t="inlineStr">
        <is>
          <t>HEDEMORA</t>
        </is>
      </c>
      <c r="F69" t="inlineStr">
        <is>
          <t>Sveaskog</t>
        </is>
      </c>
      <c r="G69" t="n">
        <v>2.6</v>
      </c>
      <c r="H69" t="n">
        <v>1</v>
      </c>
      <c r="I69" t="n">
        <v>0</v>
      </c>
      <c r="J69" t="n">
        <v>0</v>
      </c>
      <c r="K69" t="n">
        <v>0</v>
      </c>
      <c r="L69" t="n">
        <v>0</v>
      </c>
      <c r="M69" t="n">
        <v>0</v>
      </c>
      <c r="N69" t="n">
        <v>0</v>
      </c>
      <c r="O69" t="n">
        <v>0</v>
      </c>
      <c r="P69" t="n">
        <v>0</v>
      </c>
      <c r="Q69" t="n">
        <v>1</v>
      </c>
      <c r="R69" s="2" t="inlineStr">
        <is>
          <t>Fläcknycklar</t>
        </is>
      </c>
      <c r="S69">
        <f>HYPERLINK("https://klasma.github.io/Logging_2083/artfynd/A 55144-2022 artfynd.xlsx", "A 55144-2022")</f>
        <v/>
      </c>
      <c r="T69">
        <f>HYPERLINK("https://klasma.github.io/Logging_2083/kartor/A 55144-2022 karta.png", "A 55144-2022")</f>
        <v/>
      </c>
      <c r="V69">
        <f>HYPERLINK("https://klasma.github.io/Logging_2083/klagomål/A 55144-2022 FSC-klagomål.docx", "A 55144-2022")</f>
        <v/>
      </c>
      <c r="W69">
        <f>HYPERLINK("https://klasma.github.io/Logging_2083/klagomålsmail/A 55144-2022 FSC-klagomål mail.docx", "A 55144-2022")</f>
        <v/>
      </c>
      <c r="X69">
        <f>HYPERLINK("https://klasma.github.io/Logging_2083/tillsyn/A 55144-2022 tillsynsbegäran.docx", "A 55144-2022")</f>
        <v/>
      </c>
      <c r="Y69">
        <f>HYPERLINK("https://klasma.github.io/Logging_2083/tillsynsmail/A 55144-2022 tillsynsbegäran mail.docx", "A 55144-2022")</f>
        <v/>
      </c>
    </row>
    <row r="70" ht="15" customHeight="1">
      <c r="A70" t="inlineStr">
        <is>
          <t>A 11742-2023</t>
        </is>
      </c>
      <c r="B70" s="1" t="n">
        <v>44994</v>
      </c>
      <c r="C70" s="1" t="n">
        <v>45587</v>
      </c>
      <c r="D70" t="inlineStr">
        <is>
          <t>DALARNAS LÄN</t>
        </is>
      </c>
      <c r="E70" t="inlineStr">
        <is>
          <t>HEDEMORA</t>
        </is>
      </c>
      <c r="G70" t="n">
        <v>6</v>
      </c>
      <c r="H70" t="n">
        <v>0</v>
      </c>
      <c r="I70" t="n">
        <v>0</v>
      </c>
      <c r="J70" t="n">
        <v>1</v>
      </c>
      <c r="K70" t="n">
        <v>0</v>
      </c>
      <c r="L70" t="n">
        <v>0</v>
      </c>
      <c r="M70" t="n">
        <v>0</v>
      </c>
      <c r="N70" t="n">
        <v>0</v>
      </c>
      <c r="O70" t="n">
        <v>1</v>
      </c>
      <c r="P70" t="n">
        <v>0</v>
      </c>
      <c r="Q70" t="n">
        <v>1</v>
      </c>
      <c r="R70" s="2" t="inlineStr">
        <is>
          <t>Tallticka</t>
        </is>
      </c>
      <c r="S70">
        <f>HYPERLINK("https://klasma.github.io/Logging_2083/artfynd/A 11742-2023 artfynd.xlsx", "A 11742-2023")</f>
        <v/>
      </c>
      <c r="T70">
        <f>HYPERLINK("https://klasma.github.io/Logging_2083/kartor/A 11742-2023 karta.png", "A 11742-2023")</f>
        <v/>
      </c>
      <c r="V70">
        <f>HYPERLINK("https://klasma.github.io/Logging_2083/klagomål/A 11742-2023 FSC-klagomål.docx", "A 11742-2023")</f>
        <v/>
      </c>
      <c r="W70">
        <f>HYPERLINK("https://klasma.github.io/Logging_2083/klagomålsmail/A 11742-2023 FSC-klagomål mail.docx", "A 11742-2023")</f>
        <v/>
      </c>
      <c r="X70">
        <f>HYPERLINK("https://klasma.github.io/Logging_2083/tillsyn/A 11742-2023 tillsynsbegäran.docx", "A 11742-2023")</f>
        <v/>
      </c>
      <c r="Y70">
        <f>HYPERLINK("https://klasma.github.io/Logging_2083/tillsynsmail/A 11742-2023 tillsynsbegäran mail.docx", "A 11742-2023")</f>
        <v/>
      </c>
    </row>
    <row r="71" ht="15" customHeight="1">
      <c r="A71" t="inlineStr">
        <is>
          <t>A 13986-2023</t>
        </is>
      </c>
      <c r="B71" s="1" t="n">
        <v>45008</v>
      </c>
      <c r="C71" s="1" t="n">
        <v>45587</v>
      </c>
      <c r="D71" t="inlineStr">
        <is>
          <t>DALARNAS LÄN</t>
        </is>
      </c>
      <c r="E71" t="inlineStr">
        <is>
          <t>HEDEMORA</t>
        </is>
      </c>
      <c r="G71" t="n">
        <v>0.8</v>
      </c>
      <c r="H71" t="n">
        <v>1</v>
      </c>
      <c r="I71" t="n">
        <v>0</v>
      </c>
      <c r="J71" t="n">
        <v>0</v>
      </c>
      <c r="K71" t="n">
        <v>1</v>
      </c>
      <c r="L71" t="n">
        <v>0</v>
      </c>
      <c r="M71" t="n">
        <v>0</v>
      </c>
      <c r="N71" t="n">
        <v>0</v>
      </c>
      <c r="O71" t="n">
        <v>1</v>
      </c>
      <c r="P71" t="n">
        <v>1</v>
      </c>
      <c r="Q71" t="n">
        <v>1</v>
      </c>
      <c r="R71" s="2" t="inlineStr">
        <is>
          <t>Knärot</t>
        </is>
      </c>
      <c r="S71">
        <f>HYPERLINK("https://klasma.github.io/Logging_2083/artfynd/A 13986-2023 artfynd.xlsx", "A 13986-2023")</f>
        <v/>
      </c>
      <c r="T71">
        <f>HYPERLINK("https://klasma.github.io/Logging_2083/kartor/A 13986-2023 karta.png", "A 13986-2023")</f>
        <v/>
      </c>
      <c r="U71">
        <f>HYPERLINK("https://klasma.github.io/Logging_2083/knärot/A 13986-2023 karta knärot.png", "A 13986-2023")</f>
        <v/>
      </c>
      <c r="V71">
        <f>HYPERLINK("https://klasma.github.io/Logging_2083/klagomål/A 13986-2023 FSC-klagomål.docx", "A 13986-2023")</f>
        <v/>
      </c>
      <c r="W71">
        <f>HYPERLINK("https://klasma.github.io/Logging_2083/klagomålsmail/A 13986-2023 FSC-klagomål mail.docx", "A 13986-2023")</f>
        <v/>
      </c>
      <c r="X71">
        <f>HYPERLINK("https://klasma.github.io/Logging_2083/tillsyn/A 13986-2023 tillsynsbegäran.docx", "A 13986-2023")</f>
        <v/>
      </c>
      <c r="Y71">
        <f>HYPERLINK("https://klasma.github.io/Logging_2083/tillsynsmail/A 13986-2023 tillsynsbegäran mail.docx", "A 13986-2023")</f>
        <v/>
      </c>
    </row>
    <row r="72" ht="15" customHeight="1">
      <c r="A72" t="inlineStr">
        <is>
          <t>A 20231-2023</t>
        </is>
      </c>
      <c r="B72" s="1" t="n">
        <v>45055</v>
      </c>
      <c r="C72" s="1" t="n">
        <v>45587</v>
      </c>
      <c r="D72" t="inlineStr">
        <is>
          <t>DALARNAS LÄN</t>
        </is>
      </c>
      <c r="E72" t="inlineStr">
        <is>
          <t>HEDEMORA</t>
        </is>
      </c>
      <c r="F72" t="inlineStr">
        <is>
          <t>Bergvik skog väst AB</t>
        </is>
      </c>
      <c r="G72" t="n">
        <v>3.9</v>
      </c>
      <c r="H72" t="n">
        <v>1</v>
      </c>
      <c r="I72" t="n">
        <v>0</v>
      </c>
      <c r="J72" t="n">
        <v>1</v>
      </c>
      <c r="K72" t="n">
        <v>0</v>
      </c>
      <c r="L72" t="n">
        <v>0</v>
      </c>
      <c r="M72" t="n">
        <v>0</v>
      </c>
      <c r="N72" t="n">
        <v>0</v>
      </c>
      <c r="O72" t="n">
        <v>1</v>
      </c>
      <c r="P72" t="n">
        <v>0</v>
      </c>
      <c r="Q72" t="n">
        <v>1</v>
      </c>
      <c r="R72" s="2" t="inlineStr">
        <is>
          <t>Tretåig hackspett</t>
        </is>
      </c>
      <c r="S72">
        <f>HYPERLINK("https://klasma.github.io/Logging_2083/artfynd/A 20231-2023 artfynd.xlsx", "A 20231-2023")</f>
        <v/>
      </c>
      <c r="T72">
        <f>HYPERLINK("https://klasma.github.io/Logging_2083/kartor/A 20231-2023 karta.png", "A 20231-2023")</f>
        <v/>
      </c>
      <c r="V72">
        <f>HYPERLINK("https://klasma.github.io/Logging_2083/klagomål/A 20231-2023 FSC-klagomål.docx", "A 20231-2023")</f>
        <v/>
      </c>
      <c r="W72">
        <f>HYPERLINK("https://klasma.github.io/Logging_2083/klagomålsmail/A 20231-2023 FSC-klagomål mail.docx", "A 20231-2023")</f>
        <v/>
      </c>
      <c r="X72">
        <f>HYPERLINK("https://klasma.github.io/Logging_2083/tillsyn/A 20231-2023 tillsynsbegäran.docx", "A 20231-2023")</f>
        <v/>
      </c>
      <c r="Y72">
        <f>HYPERLINK("https://klasma.github.io/Logging_2083/tillsynsmail/A 20231-2023 tillsynsbegäran mail.docx", "A 20231-2023")</f>
        <v/>
      </c>
      <c r="Z72">
        <f>HYPERLINK("https://klasma.github.io/Logging_2083/fåglar/A 20231-2023 prioriterade fågelarter.docx", "A 20231-2023")</f>
        <v/>
      </c>
    </row>
    <row r="73" ht="15" customHeight="1">
      <c r="A73" t="inlineStr">
        <is>
          <t>A 21147-2023</t>
        </is>
      </c>
      <c r="B73" s="1" t="n">
        <v>45057</v>
      </c>
      <c r="C73" s="1" t="n">
        <v>45587</v>
      </c>
      <c r="D73" t="inlineStr">
        <is>
          <t>DALARNAS LÄN</t>
        </is>
      </c>
      <c r="E73" t="inlineStr">
        <is>
          <t>HEDEMORA</t>
        </is>
      </c>
      <c r="G73" t="n">
        <v>10</v>
      </c>
      <c r="H73" t="n">
        <v>1</v>
      </c>
      <c r="I73" t="n">
        <v>0</v>
      </c>
      <c r="J73" t="n">
        <v>0</v>
      </c>
      <c r="K73" t="n">
        <v>0</v>
      </c>
      <c r="L73" t="n">
        <v>0</v>
      </c>
      <c r="M73" t="n">
        <v>0</v>
      </c>
      <c r="N73" t="n">
        <v>0</v>
      </c>
      <c r="O73" t="n">
        <v>0</v>
      </c>
      <c r="P73" t="n">
        <v>0</v>
      </c>
      <c r="Q73" t="n">
        <v>1</v>
      </c>
      <c r="R73" s="2" t="inlineStr">
        <is>
          <t>Blåsippa</t>
        </is>
      </c>
      <c r="S73">
        <f>HYPERLINK("https://klasma.github.io/Logging_2083/artfynd/A 21147-2023 artfynd.xlsx", "A 21147-2023")</f>
        <v/>
      </c>
      <c r="T73">
        <f>HYPERLINK("https://klasma.github.io/Logging_2083/kartor/A 21147-2023 karta.png", "A 21147-2023")</f>
        <v/>
      </c>
      <c r="V73">
        <f>HYPERLINK("https://klasma.github.io/Logging_2083/klagomål/A 21147-2023 FSC-klagomål.docx", "A 21147-2023")</f>
        <v/>
      </c>
      <c r="W73">
        <f>HYPERLINK("https://klasma.github.io/Logging_2083/klagomålsmail/A 21147-2023 FSC-klagomål mail.docx", "A 21147-2023")</f>
        <v/>
      </c>
      <c r="X73">
        <f>HYPERLINK("https://klasma.github.io/Logging_2083/tillsyn/A 21147-2023 tillsynsbegäran.docx", "A 21147-2023")</f>
        <v/>
      </c>
      <c r="Y73">
        <f>HYPERLINK("https://klasma.github.io/Logging_2083/tillsynsmail/A 21147-2023 tillsynsbegäran mail.docx", "A 21147-2023")</f>
        <v/>
      </c>
    </row>
    <row r="74" ht="15" customHeight="1">
      <c r="A74" t="inlineStr">
        <is>
          <t>A 23815-2023</t>
        </is>
      </c>
      <c r="B74" s="1" t="n">
        <v>45078</v>
      </c>
      <c r="C74" s="1" t="n">
        <v>45587</v>
      </c>
      <c r="D74" t="inlineStr">
        <is>
          <t>DALARNAS LÄN</t>
        </is>
      </c>
      <c r="E74" t="inlineStr">
        <is>
          <t>HEDEMORA</t>
        </is>
      </c>
      <c r="G74" t="n">
        <v>3.1</v>
      </c>
      <c r="H74" t="n">
        <v>1</v>
      </c>
      <c r="I74" t="n">
        <v>0</v>
      </c>
      <c r="J74" t="n">
        <v>0</v>
      </c>
      <c r="K74" t="n">
        <v>1</v>
      </c>
      <c r="L74" t="n">
        <v>0</v>
      </c>
      <c r="M74" t="n">
        <v>0</v>
      </c>
      <c r="N74" t="n">
        <v>0</v>
      </c>
      <c r="O74" t="n">
        <v>1</v>
      </c>
      <c r="P74" t="n">
        <v>1</v>
      </c>
      <c r="Q74" t="n">
        <v>1</v>
      </c>
      <c r="R74" s="2" t="inlineStr">
        <is>
          <t>Knärot</t>
        </is>
      </c>
      <c r="S74">
        <f>HYPERLINK("https://klasma.github.io/Logging_2083/artfynd/A 23815-2023 artfynd.xlsx", "A 23815-2023")</f>
        <v/>
      </c>
      <c r="T74">
        <f>HYPERLINK("https://klasma.github.io/Logging_2083/kartor/A 23815-2023 karta.png", "A 23815-2023")</f>
        <v/>
      </c>
      <c r="U74">
        <f>HYPERLINK("https://klasma.github.io/Logging_2083/knärot/A 23815-2023 karta knärot.png", "A 23815-2023")</f>
        <v/>
      </c>
      <c r="V74">
        <f>HYPERLINK("https://klasma.github.io/Logging_2083/klagomål/A 23815-2023 FSC-klagomål.docx", "A 23815-2023")</f>
        <v/>
      </c>
      <c r="W74">
        <f>HYPERLINK("https://klasma.github.io/Logging_2083/klagomålsmail/A 23815-2023 FSC-klagomål mail.docx", "A 23815-2023")</f>
        <v/>
      </c>
      <c r="X74">
        <f>HYPERLINK("https://klasma.github.io/Logging_2083/tillsyn/A 23815-2023 tillsynsbegäran.docx", "A 23815-2023")</f>
        <v/>
      </c>
      <c r="Y74">
        <f>HYPERLINK("https://klasma.github.io/Logging_2083/tillsynsmail/A 23815-2023 tillsynsbegäran mail.docx", "A 23815-2023")</f>
        <v/>
      </c>
    </row>
    <row r="75" ht="15" customHeight="1">
      <c r="A75" t="inlineStr">
        <is>
          <t>A 28028-2023</t>
        </is>
      </c>
      <c r="B75" s="1" t="n">
        <v>45099</v>
      </c>
      <c r="C75" s="1" t="n">
        <v>45587</v>
      </c>
      <c r="D75" t="inlineStr">
        <is>
          <t>DALARNAS LÄN</t>
        </is>
      </c>
      <c r="E75" t="inlineStr">
        <is>
          <t>HEDEMORA</t>
        </is>
      </c>
      <c r="G75" t="n">
        <v>0.8</v>
      </c>
      <c r="H75" t="n">
        <v>1</v>
      </c>
      <c r="I75" t="n">
        <v>0</v>
      </c>
      <c r="J75" t="n">
        <v>0</v>
      </c>
      <c r="K75" t="n">
        <v>0</v>
      </c>
      <c r="L75" t="n">
        <v>0</v>
      </c>
      <c r="M75" t="n">
        <v>0</v>
      </c>
      <c r="N75" t="n">
        <v>0</v>
      </c>
      <c r="O75" t="n">
        <v>0</v>
      </c>
      <c r="P75" t="n">
        <v>0</v>
      </c>
      <c r="Q75" t="n">
        <v>1</v>
      </c>
      <c r="R75" s="2" t="inlineStr">
        <is>
          <t>Blåsippa</t>
        </is>
      </c>
      <c r="S75">
        <f>HYPERLINK("https://klasma.github.io/Logging_2083/artfynd/A 28028-2023 artfynd.xlsx", "A 28028-2023")</f>
        <v/>
      </c>
      <c r="T75">
        <f>HYPERLINK("https://klasma.github.io/Logging_2083/kartor/A 28028-2023 karta.png", "A 28028-2023")</f>
        <v/>
      </c>
      <c r="V75">
        <f>HYPERLINK("https://klasma.github.io/Logging_2083/klagomål/A 28028-2023 FSC-klagomål.docx", "A 28028-2023")</f>
        <v/>
      </c>
      <c r="W75">
        <f>HYPERLINK("https://klasma.github.io/Logging_2083/klagomålsmail/A 28028-2023 FSC-klagomål mail.docx", "A 28028-2023")</f>
        <v/>
      </c>
      <c r="X75">
        <f>HYPERLINK("https://klasma.github.io/Logging_2083/tillsyn/A 28028-2023 tillsynsbegäran.docx", "A 28028-2023")</f>
        <v/>
      </c>
      <c r="Y75">
        <f>HYPERLINK("https://klasma.github.io/Logging_2083/tillsynsmail/A 28028-2023 tillsynsbegäran mail.docx", "A 28028-2023")</f>
        <v/>
      </c>
    </row>
    <row r="76" ht="15" customHeight="1">
      <c r="A76" t="inlineStr">
        <is>
          <t>A 30936-2023</t>
        </is>
      </c>
      <c r="B76" s="1" t="n">
        <v>45113</v>
      </c>
      <c r="C76" s="1" t="n">
        <v>45587</v>
      </c>
      <c r="D76" t="inlineStr">
        <is>
          <t>DALARNAS LÄN</t>
        </is>
      </c>
      <c r="E76" t="inlineStr">
        <is>
          <t>HEDEMORA</t>
        </is>
      </c>
      <c r="F76" t="inlineStr">
        <is>
          <t>Sveaskog</t>
        </is>
      </c>
      <c r="G76" t="n">
        <v>9.199999999999999</v>
      </c>
      <c r="H76" t="n">
        <v>0</v>
      </c>
      <c r="I76" t="n">
        <v>0</v>
      </c>
      <c r="J76" t="n">
        <v>1</v>
      </c>
      <c r="K76" t="n">
        <v>0</v>
      </c>
      <c r="L76" t="n">
        <v>0</v>
      </c>
      <c r="M76" t="n">
        <v>0</v>
      </c>
      <c r="N76" t="n">
        <v>0</v>
      </c>
      <c r="O76" t="n">
        <v>1</v>
      </c>
      <c r="P76" t="n">
        <v>0</v>
      </c>
      <c r="Q76" t="n">
        <v>1</v>
      </c>
      <c r="R76" s="2" t="inlineStr">
        <is>
          <t>Kolflarnlav</t>
        </is>
      </c>
      <c r="S76">
        <f>HYPERLINK("https://klasma.github.io/Logging_2083/artfynd/A 30936-2023 artfynd.xlsx", "A 30936-2023")</f>
        <v/>
      </c>
      <c r="T76">
        <f>HYPERLINK("https://klasma.github.io/Logging_2083/kartor/A 30936-2023 karta.png", "A 30936-2023")</f>
        <v/>
      </c>
      <c r="V76">
        <f>HYPERLINK("https://klasma.github.io/Logging_2083/klagomål/A 30936-2023 FSC-klagomål.docx", "A 30936-2023")</f>
        <v/>
      </c>
      <c r="W76">
        <f>HYPERLINK("https://klasma.github.io/Logging_2083/klagomålsmail/A 30936-2023 FSC-klagomål mail.docx", "A 30936-2023")</f>
        <v/>
      </c>
      <c r="X76">
        <f>HYPERLINK("https://klasma.github.io/Logging_2083/tillsyn/A 30936-2023 tillsynsbegäran.docx", "A 30936-2023")</f>
        <v/>
      </c>
      <c r="Y76">
        <f>HYPERLINK("https://klasma.github.io/Logging_2083/tillsynsmail/A 30936-2023 tillsynsbegäran mail.docx", "A 30936-2023")</f>
        <v/>
      </c>
    </row>
    <row r="77" ht="15" customHeight="1">
      <c r="A77" t="inlineStr">
        <is>
          <t>A 33023-2023</t>
        </is>
      </c>
      <c r="B77" s="1" t="n">
        <v>45125</v>
      </c>
      <c r="C77" s="1" t="n">
        <v>45587</v>
      </c>
      <c r="D77" t="inlineStr">
        <is>
          <t>DALARNAS LÄN</t>
        </is>
      </c>
      <c r="E77" t="inlineStr">
        <is>
          <t>HEDEMORA</t>
        </is>
      </c>
      <c r="F77" t="inlineStr">
        <is>
          <t>Sveaskog</t>
        </is>
      </c>
      <c r="G77" t="n">
        <v>3.9</v>
      </c>
      <c r="H77" t="n">
        <v>1</v>
      </c>
      <c r="I77" t="n">
        <v>0</v>
      </c>
      <c r="J77" t="n">
        <v>0</v>
      </c>
      <c r="K77" t="n">
        <v>0</v>
      </c>
      <c r="L77" t="n">
        <v>0</v>
      </c>
      <c r="M77" t="n">
        <v>0</v>
      </c>
      <c r="N77" t="n">
        <v>0</v>
      </c>
      <c r="O77" t="n">
        <v>0</v>
      </c>
      <c r="P77" t="n">
        <v>0</v>
      </c>
      <c r="Q77" t="n">
        <v>1</v>
      </c>
      <c r="R77" s="2" t="inlineStr">
        <is>
          <t>Revlummer</t>
        </is>
      </c>
      <c r="S77">
        <f>HYPERLINK("https://klasma.github.io/Logging_2083/artfynd/A 33023-2023 artfynd.xlsx", "A 33023-2023")</f>
        <v/>
      </c>
      <c r="T77">
        <f>HYPERLINK("https://klasma.github.io/Logging_2083/kartor/A 33023-2023 karta.png", "A 33023-2023")</f>
        <v/>
      </c>
      <c r="V77">
        <f>HYPERLINK("https://klasma.github.io/Logging_2083/klagomål/A 33023-2023 FSC-klagomål.docx", "A 33023-2023")</f>
        <v/>
      </c>
      <c r="W77">
        <f>HYPERLINK("https://klasma.github.io/Logging_2083/klagomålsmail/A 33023-2023 FSC-klagomål mail.docx", "A 33023-2023")</f>
        <v/>
      </c>
      <c r="X77">
        <f>HYPERLINK("https://klasma.github.io/Logging_2083/tillsyn/A 33023-2023 tillsynsbegäran.docx", "A 33023-2023")</f>
        <v/>
      </c>
      <c r="Y77">
        <f>HYPERLINK("https://klasma.github.io/Logging_2083/tillsynsmail/A 33023-2023 tillsynsbegäran mail.docx", "A 33023-2023")</f>
        <v/>
      </c>
    </row>
    <row r="78" ht="15" customHeight="1">
      <c r="A78" t="inlineStr">
        <is>
          <t>A 35321-2023</t>
        </is>
      </c>
      <c r="B78" s="1" t="n">
        <v>45146</v>
      </c>
      <c r="C78" s="1" t="n">
        <v>45587</v>
      </c>
      <c r="D78" t="inlineStr">
        <is>
          <t>DALARNAS LÄN</t>
        </is>
      </c>
      <c r="E78" t="inlineStr">
        <is>
          <t>HEDEMORA</t>
        </is>
      </c>
      <c r="G78" t="n">
        <v>3.5</v>
      </c>
      <c r="H78" t="n">
        <v>1</v>
      </c>
      <c r="I78" t="n">
        <v>0</v>
      </c>
      <c r="J78" t="n">
        <v>1</v>
      </c>
      <c r="K78" t="n">
        <v>0</v>
      </c>
      <c r="L78" t="n">
        <v>0</v>
      </c>
      <c r="M78" t="n">
        <v>0</v>
      </c>
      <c r="N78" t="n">
        <v>0</v>
      </c>
      <c r="O78" t="n">
        <v>1</v>
      </c>
      <c r="P78" t="n">
        <v>0</v>
      </c>
      <c r="Q78" t="n">
        <v>1</v>
      </c>
      <c r="R78" s="2" t="inlineStr">
        <is>
          <t>Havsörn</t>
        </is>
      </c>
      <c r="S78">
        <f>HYPERLINK("https://klasma.github.io/Logging_2083/artfynd/A 35321-2023 artfynd.xlsx", "A 35321-2023")</f>
        <v/>
      </c>
      <c r="T78">
        <f>HYPERLINK("https://klasma.github.io/Logging_2083/kartor/A 35321-2023 karta.png", "A 35321-2023")</f>
        <v/>
      </c>
      <c r="V78">
        <f>HYPERLINK("https://klasma.github.io/Logging_2083/klagomål/A 35321-2023 FSC-klagomål.docx", "A 35321-2023")</f>
        <v/>
      </c>
      <c r="W78">
        <f>HYPERLINK("https://klasma.github.io/Logging_2083/klagomålsmail/A 35321-2023 FSC-klagomål mail.docx", "A 35321-2023")</f>
        <v/>
      </c>
      <c r="X78">
        <f>HYPERLINK("https://klasma.github.io/Logging_2083/tillsyn/A 35321-2023 tillsynsbegäran.docx", "A 35321-2023")</f>
        <v/>
      </c>
      <c r="Y78">
        <f>HYPERLINK("https://klasma.github.io/Logging_2083/tillsynsmail/A 35321-2023 tillsynsbegäran mail.docx", "A 35321-2023")</f>
        <v/>
      </c>
      <c r="Z78">
        <f>HYPERLINK("https://klasma.github.io/Logging_2083/fåglar/A 35321-2023 prioriterade fågelarter.docx", "A 35321-2023")</f>
        <v/>
      </c>
    </row>
    <row r="79" ht="15" customHeight="1">
      <c r="A79" t="inlineStr">
        <is>
          <t>A 36849-2023</t>
        </is>
      </c>
      <c r="B79" s="1" t="n">
        <v>45154</v>
      </c>
      <c r="C79" s="1" t="n">
        <v>45587</v>
      </c>
      <c r="D79" t="inlineStr">
        <is>
          <t>DALARNAS LÄN</t>
        </is>
      </c>
      <c r="E79" t="inlineStr">
        <is>
          <t>HEDEMORA</t>
        </is>
      </c>
      <c r="G79" t="n">
        <v>5.8</v>
      </c>
      <c r="H79" t="n">
        <v>1</v>
      </c>
      <c r="I79" t="n">
        <v>0</v>
      </c>
      <c r="J79" t="n">
        <v>0</v>
      </c>
      <c r="K79" t="n">
        <v>1</v>
      </c>
      <c r="L79" t="n">
        <v>0</v>
      </c>
      <c r="M79" t="n">
        <v>0</v>
      </c>
      <c r="N79" t="n">
        <v>0</v>
      </c>
      <c r="O79" t="n">
        <v>1</v>
      </c>
      <c r="P79" t="n">
        <v>1</v>
      </c>
      <c r="Q79" t="n">
        <v>1</v>
      </c>
      <c r="R79" s="2" t="inlineStr">
        <is>
          <t>Knärot</t>
        </is>
      </c>
      <c r="S79">
        <f>HYPERLINK("https://klasma.github.io/Logging_2083/artfynd/A 36849-2023 artfynd.xlsx", "A 36849-2023")</f>
        <v/>
      </c>
      <c r="T79">
        <f>HYPERLINK("https://klasma.github.io/Logging_2083/kartor/A 36849-2023 karta.png", "A 36849-2023")</f>
        <v/>
      </c>
      <c r="U79">
        <f>HYPERLINK("https://klasma.github.io/Logging_2083/knärot/A 36849-2023 karta knärot.png", "A 36849-2023")</f>
        <v/>
      </c>
      <c r="V79">
        <f>HYPERLINK("https://klasma.github.io/Logging_2083/klagomål/A 36849-2023 FSC-klagomål.docx", "A 36849-2023")</f>
        <v/>
      </c>
      <c r="W79">
        <f>HYPERLINK("https://klasma.github.io/Logging_2083/klagomålsmail/A 36849-2023 FSC-klagomål mail.docx", "A 36849-2023")</f>
        <v/>
      </c>
      <c r="X79">
        <f>HYPERLINK("https://klasma.github.io/Logging_2083/tillsyn/A 36849-2023 tillsynsbegäran.docx", "A 36849-2023")</f>
        <v/>
      </c>
      <c r="Y79">
        <f>HYPERLINK("https://klasma.github.io/Logging_2083/tillsynsmail/A 36849-2023 tillsynsbegäran mail.docx", "A 36849-2023")</f>
        <v/>
      </c>
    </row>
    <row r="80" ht="15" customHeight="1">
      <c r="A80" t="inlineStr">
        <is>
          <t>A 37654-2023</t>
        </is>
      </c>
      <c r="B80" s="1" t="n">
        <v>45159</v>
      </c>
      <c r="C80" s="1" t="n">
        <v>45587</v>
      </c>
      <c r="D80" t="inlineStr">
        <is>
          <t>DALARNAS LÄN</t>
        </is>
      </c>
      <c r="E80" t="inlineStr">
        <is>
          <t>HEDEMORA</t>
        </is>
      </c>
      <c r="G80" t="n">
        <v>6.2</v>
      </c>
      <c r="H80" t="n">
        <v>1</v>
      </c>
      <c r="I80" t="n">
        <v>0</v>
      </c>
      <c r="J80" t="n">
        <v>0</v>
      </c>
      <c r="K80" t="n">
        <v>1</v>
      </c>
      <c r="L80" t="n">
        <v>0</v>
      </c>
      <c r="M80" t="n">
        <v>0</v>
      </c>
      <c r="N80" t="n">
        <v>0</v>
      </c>
      <c r="O80" t="n">
        <v>1</v>
      </c>
      <c r="P80" t="n">
        <v>1</v>
      </c>
      <c r="Q80" t="n">
        <v>1</v>
      </c>
      <c r="R80" s="2" t="inlineStr">
        <is>
          <t>Knärot</t>
        </is>
      </c>
      <c r="S80">
        <f>HYPERLINK("https://klasma.github.io/Logging_2083/artfynd/A 37654-2023 artfynd.xlsx", "A 37654-2023")</f>
        <v/>
      </c>
      <c r="T80">
        <f>HYPERLINK("https://klasma.github.io/Logging_2083/kartor/A 37654-2023 karta.png", "A 37654-2023")</f>
        <v/>
      </c>
      <c r="U80">
        <f>HYPERLINK("https://klasma.github.io/Logging_2083/knärot/A 37654-2023 karta knärot.png", "A 37654-2023")</f>
        <v/>
      </c>
      <c r="V80">
        <f>HYPERLINK("https://klasma.github.io/Logging_2083/klagomål/A 37654-2023 FSC-klagomål.docx", "A 37654-2023")</f>
        <v/>
      </c>
      <c r="W80">
        <f>HYPERLINK("https://klasma.github.io/Logging_2083/klagomålsmail/A 37654-2023 FSC-klagomål mail.docx", "A 37654-2023")</f>
        <v/>
      </c>
      <c r="X80">
        <f>HYPERLINK("https://klasma.github.io/Logging_2083/tillsyn/A 37654-2023 tillsynsbegäran.docx", "A 37654-2023")</f>
        <v/>
      </c>
      <c r="Y80">
        <f>HYPERLINK("https://klasma.github.io/Logging_2083/tillsynsmail/A 37654-2023 tillsynsbegäran mail.docx", "A 37654-2023")</f>
        <v/>
      </c>
    </row>
    <row r="81" ht="15" customHeight="1">
      <c r="A81" t="inlineStr">
        <is>
          <t>A 41477-2023</t>
        </is>
      </c>
      <c r="B81" s="1" t="n">
        <v>45171</v>
      </c>
      <c r="C81" s="1" t="n">
        <v>45587</v>
      </c>
      <c r="D81" t="inlineStr">
        <is>
          <t>DALARNAS LÄN</t>
        </is>
      </c>
      <c r="E81" t="inlineStr">
        <is>
          <t>HEDEMORA</t>
        </is>
      </c>
      <c r="F81" t="inlineStr">
        <is>
          <t>Bergvik skog väst AB</t>
        </is>
      </c>
      <c r="G81" t="n">
        <v>9.1</v>
      </c>
      <c r="H81" t="n">
        <v>0</v>
      </c>
      <c r="I81" t="n">
        <v>1</v>
      </c>
      <c r="J81" t="n">
        <v>0</v>
      </c>
      <c r="K81" t="n">
        <v>0</v>
      </c>
      <c r="L81" t="n">
        <v>0</v>
      </c>
      <c r="M81" t="n">
        <v>0</v>
      </c>
      <c r="N81" t="n">
        <v>0</v>
      </c>
      <c r="O81" t="n">
        <v>0</v>
      </c>
      <c r="P81" t="n">
        <v>0</v>
      </c>
      <c r="Q81" t="n">
        <v>1</v>
      </c>
      <c r="R81" s="2" t="inlineStr">
        <is>
          <t>Ögonpyrola</t>
        </is>
      </c>
      <c r="S81">
        <f>HYPERLINK("https://klasma.github.io/Logging_2083/artfynd/A 41477-2023 artfynd.xlsx", "A 41477-2023")</f>
        <v/>
      </c>
      <c r="T81">
        <f>HYPERLINK("https://klasma.github.io/Logging_2083/kartor/A 41477-2023 karta.png", "A 41477-2023")</f>
        <v/>
      </c>
      <c r="V81">
        <f>HYPERLINK("https://klasma.github.io/Logging_2083/klagomål/A 41477-2023 FSC-klagomål.docx", "A 41477-2023")</f>
        <v/>
      </c>
      <c r="W81">
        <f>HYPERLINK("https://klasma.github.io/Logging_2083/klagomålsmail/A 41477-2023 FSC-klagomål mail.docx", "A 41477-2023")</f>
        <v/>
      </c>
      <c r="X81">
        <f>HYPERLINK("https://klasma.github.io/Logging_2083/tillsyn/A 41477-2023 tillsynsbegäran.docx", "A 41477-2023")</f>
        <v/>
      </c>
      <c r="Y81">
        <f>HYPERLINK("https://klasma.github.io/Logging_2083/tillsynsmail/A 41477-2023 tillsynsbegäran mail.docx", "A 41477-2023")</f>
        <v/>
      </c>
    </row>
    <row r="82" ht="15" customHeight="1">
      <c r="A82" t="inlineStr">
        <is>
          <t>A 41078-2023</t>
        </is>
      </c>
      <c r="B82" s="1" t="n">
        <v>45173</v>
      </c>
      <c r="C82" s="1" t="n">
        <v>45587</v>
      </c>
      <c r="D82" t="inlineStr">
        <is>
          <t>DALARNAS LÄN</t>
        </is>
      </c>
      <c r="E82" t="inlineStr">
        <is>
          <t>HEDEMORA</t>
        </is>
      </c>
      <c r="G82" t="n">
        <v>10.3</v>
      </c>
      <c r="H82" t="n">
        <v>0</v>
      </c>
      <c r="I82" t="n">
        <v>1</v>
      </c>
      <c r="J82" t="n">
        <v>0</v>
      </c>
      <c r="K82" t="n">
        <v>0</v>
      </c>
      <c r="L82" t="n">
        <v>0</v>
      </c>
      <c r="M82" t="n">
        <v>0</v>
      </c>
      <c r="N82" t="n">
        <v>0</v>
      </c>
      <c r="O82" t="n">
        <v>0</v>
      </c>
      <c r="P82" t="n">
        <v>0</v>
      </c>
      <c r="Q82" t="n">
        <v>1</v>
      </c>
      <c r="R82" s="2" t="inlineStr">
        <is>
          <t>Bronshjon</t>
        </is>
      </c>
      <c r="S82">
        <f>HYPERLINK("https://klasma.github.io/Logging_2083/artfynd/A 41078-2023 artfynd.xlsx", "A 41078-2023")</f>
        <v/>
      </c>
      <c r="T82">
        <f>HYPERLINK("https://klasma.github.io/Logging_2083/kartor/A 41078-2023 karta.png", "A 41078-2023")</f>
        <v/>
      </c>
      <c r="V82">
        <f>HYPERLINK("https://klasma.github.io/Logging_2083/klagomål/A 41078-2023 FSC-klagomål.docx", "A 41078-2023")</f>
        <v/>
      </c>
      <c r="W82">
        <f>HYPERLINK("https://klasma.github.io/Logging_2083/klagomålsmail/A 41078-2023 FSC-klagomål mail.docx", "A 41078-2023")</f>
        <v/>
      </c>
      <c r="X82">
        <f>HYPERLINK("https://klasma.github.io/Logging_2083/tillsyn/A 41078-2023 tillsynsbegäran.docx", "A 41078-2023")</f>
        <v/>
      </c>
      <c r="Y82">
        <f>HYPERLINK("https://klasma.github.io/Logging_2083/tillsynsmail/A 41078-2023 tillsynsbegäran mail.docx", "A 41078-2023")</f>
        <v/>
      </c>
    </row>
    <row r="83" ht="15" customHeight="1">
      <c r="A83" t="inlineStr">
        <is>
          <t>A 59376-2023</t>
        </is>
      </c>
      <c r="B83" s="1" t="n">
        <v>45253</v>
      </c>
      <c r="C83" s="1" t="n">
        <v>45587</v>
      </c>
      <c r="D83" t="inlineStr">
        <is>
          <t>DALARNAS LÄN</t>
        </is>
      </c>
      <c r="E83" t="inlineStr">
        <is>
          <t>HEDEMORA</t>
        </is>
      </c>
      <c r="F83" t="inlineStr">
        <is>
          <t>Sveaskog</t>
        </is>
      </c>
      <c r="G83" t="n">
        <v>2.4</v>
      </c>
      <c r="H83" t="n">
        <v>1</v>
      </c>
      <c r="I83" t="n">
        <v>0</v>
      </c>
      <c r="J83" t="n">
        <v>1</v>
      </c>
      <c r="K83" t="n">
        <v>0</v>
      </c>
      <c r="L83" t="n">
        <v>0</v>
      </c>
      <c r="M83" t="n">
        <v>0</v>
      </c>
      <c r="N83" t="n">
        <v>0</v>
      </c>
      <c r="O83" t="n">
        <v>1</v>
      </c>
      <c r="P83" t="n">
        <v>0</v>
      </c>
      <c r="Q83" t="n">
        <v>1</v>
      </c>
      <c r="R83" s="2" t="inlineStr">
        <is>
          <t>Spillkråka</t>
        </is>
      </c>
      <c r="S83">
        <f>HYPERLINK("https://klasma.github.io/Logging_2083/artfynd/A 59376-2023 artfynd.xlsx", "A 59376-2023")</f>
        <v/>
      </c>
      <c r="T83">
        <f>HYPERLINK("https://klasma.github.io/Logging_2083/kartor/A 59376-2023 karta.png", "A 59376-2023")</f>
        <v/>
      </c>
      <c r="V83">
        <f>HYPERLINK("https://klasma.github.io/Logging_2083/klagomål/A 59376-2023 FSC-klagomål.docx", "A 59376-2023")</f>
        <v/>
      </c>
      <c r="W83">
        <f>HYPERLINK("https://klasma.github.io/Logging_2083/klagomålsmail/A 59376-2023 FSC-klagomål mail.docx", "A 59376-2023")</f>
        <v/>
      </c>
      <c r="X83">
        <f>HYPERLINK("https://klasma.github.io/Logging_2083/tillsyn/A 59376-2023 tillsynsbegäran.docx", "A 59376-2023")</f>
        <v/>
      </c>
      <c r="Y83">
        <f>HYPERLINK("https://klasma.github.io/Logging_2083/tillsynsmail/A 59376-2023 tillsynsbegäran mail.docx", "A 59376-2023")</f>
        <v/>
      </c>
      <c r="Z83">
        <f>HYPERLINK("https://klasma.github.io/Logging_2083/fåglar/A 59376-2023 prioriterade fågelarter.docx", "A 59376-2023")</f>
        <v/>
      </c>
    </row>
    <row r="84" ht="15" customHeight="1">
      <c r="A84" t="inlineStr">
        <is>
          <t>A 59377-2023</t>
        </is>
      </c>
      <c r="B84" s="1" t="n">
        <v>45253</v>
      </c>
      <c r="C84" s="1" t="n">
        <v>45587</v>
      </c>
      <c r="D84" t="inlineStr">
        <is>
          <t>DALARNAS LÄN</t>
        </is>
      </c>
      <c r="E84" t="inlineStr">
        <is>
          <t>HEDEMORA</t>
        </is>
      </c>
      <c r="F84" t="inlineStr">
        <is>
          <t>Sveaskog</t>
        </is>
      </c>
      <c r="G84" t="n">
        <v>4.6</v>
      </c>
      <c r="H84" t="n">
        <v>0</v>
      </c>
      <c r="I84" t="n">
        <v>0</v>
      </c>
      <c r="J84" t="n">
        <v>1</v>
      </c>
      <c r="K84" t="n">
        <v>0</v>
      </c>
      <c r="L84" t="n">
        <v>0</v>
      </c>
      <c r="M84" t="n">
        <v>0</v>
      </c>
      <c r="N84" t="n">
        <v>0</v>
      </c>
      <c r="O84" t="n">
        <v>1</v>
      </c>
      <c r="P84" t="n">
        <v>0</v>
      </c>
      <c r="Q84" t="n">
        <v>1</v>
      </c>
      <c r="R84" s="2" t="inlineStr">
        <is>
          <t>Ullticka</t>
        </is>
      </c>
      <c r="S84">
        <f>HYPERLINK("https://klasma.github.io/Logging_2083/artfynd/A 59377-2023 artfynd.xlsx", "A 59377-2023")</f>
        <v/>
      </c>
      <c r="T84">
        <f>HYPERLINK("https://klasma.github.io/Logging_2083/kartor/A 59377-2023 karta.png", "A 59377-2023")</f>
        <v/>
      </c>
      <c r="V84">
        <f>HYPERLINK("https://klasma.github.io/Logging_2083/klagomål/A 59377-2023 FSC-klagomål.docx", "A 59377-2023")</f>
        <v/>
      </c>
      <c r="W84">
        <f>HYPERLINK("https://klasma.github.io/Logging_2083/klagomålsmail/A 59377-2023 FSC-klagomål mail.docx", "A 59377-2023")</f>
        <v/>
      </c>
      <c r="X84">
        <f>HYPERLINK("https://klasma.github.io/Logging_2083/tillsyn/A 59377-2023 tillsynsbegäran.docx", "A 59377-2023")</f>
        <v/>
      </c>
      <c r="Y84">
        <f>HYPERLINK("https://klasma.github.io/Logging_2083/tillsynsmail/A 59377-2023 tillsynsbegäran mail.docx", "A 59377-2023")</f>
        <v/>
      </c>
    </row>
    <row r="85" ht="15" customHeight="1">
      <c r="A85" t="inlineStr">
        <is>
          <t>A 59751-2023</t>
        </is>
      </c>
      <c r="B85" s="1" t="n">
        <v>45257</v>
      </c>
      <c r="C85" s="1" t="n">
        <v>45587</v>
      </c>
      <c r="D85" t="inlineStr">
        <is>
          <t>DALARNAS LÄN</t>
        </is>
      </c>
      <c r="E85" t="inlineStr">
        <is>
          <t>HEDEMORA</t>
        </is>
      </c>
      <c r="F85" t="inlineStr">
        <is>
          <t>Sveaskog</t>
        </is>
      </c>
      <c r="G85" t="n">
        <v>0.7</v>
      </c>
      <c r="H85" t="n">
        <v>0</v>
      </c>
      <c r="I85" t="n">
        <v>1</v>
      </c>
      <c r="J85" t="n">
        <v>0</v>
      </c>
      <c r="K85" t="n">
        <v>0</v>
      </c>
      <c r="L85" t="n">
        <v>0</v>
      </c>
      <c r="M85" t="n">
        <v>0</v>
      </c>
      <c r="N85" t="n">
        <v>0</v>
      </c>
      <c r="O85" t="n">
        <v>0</v>
      </c>
      <c r="P85" t="n">
        <v>0</v>
      </c>
      <c r="Q85" t="n">
        <v>1</v>
      </c>
      <c r="R85" s="2" t="inlineStr">
        <is>
          <t>Svavelriska</t>
        </is>
      </c>
      <c r="S85">
        <f>HYPERLINK("https://klasma.github.io/Logging_2083/artfynd/A 59751-2023 artfynd.xlsx", "A 59751-2023")</f>
        <v/>
      </c>
      <c r="T85">
        <f>HYPERLINK("https://klasma.github.io/Logging_2083/kartor/A 59751-2023 karta.png", "A 59751-2023")</f>
        <v/>
      </c>
      <c r="V85">
        <f>HYPERLINK("https://klasma.github.io/Logging_2083/klagomål/A 59751-2023 FSC-klagomål.docx", "A 59751-2023")</f>
        <v/>
      </c>
      <c r="W85">
        <f>HYPERLINK("https://klasma.github.io/Logging_2083/klagomålsmail/A 59751-2023 FSC-klagomål mail.docx", "A 59751-2023")</f>
        <v/>
      </c>
      <c r="X85">
        <f>HYPERLINK("https://klasma.github.io/Logging_2083/tillsyn/A 59751-2023 tillsynsbegäran.docx", "A 59751-2023")</f>
        <v/>
      </c>
      <c r="Y85">
        <f>HYPERLINK("https://klasma.github.io/Logging_2083/tillsynsmail/A 59751-2023 tillsynsbegäran mail.docx", "A 59751-2023")</f>
        <v/>
      </c>
    </row>
    <row r="86" ht="15" customHeight="1">
      <c r="A86" t="inlineStr">
        <is>
          <t>A 63542-2023</t>
        </is>
      </c>
      <c r="B86" s="1" t="n">
        <v>45275</v>
      </c>
      <c r="C86" s="1" t="n">
        <v>45587</v>
      </c>
      <c r="D86" t="inlineStr">
        <is>
          <t>DALARNAS LÄN</t>
        </is>
      </c>
      <c r="E86" t="inlineStr">
        <is>
          <t>HEDEMORA</t>
        </is>
      </c>
      <c r="G86" t="n">
        <v>2.1</v>
      </c>
      <c r="H86" t="n">
        <v>1</v>
      </c>
      <c r="I86" t="n">
        <v>0</v>
      </c>
      <c r="J86" t="n">
        <v>1</v>
      </c>
      <c r="K86" t="n">
        <v>0</v>
      </c>
      <c r="L86" t="n">
        <v>0</v>
      </c>
      <c r="M86" t="n">
        <v>0</v>
      </c>
      <c r="N86" t="n">
        <v>0</v>
      </c>
      <c r="O86" t="n">
        <v>1</v>
      </c>
      <c r="P86" t="n">
        <v>0</v>
      </c>
      <c r="Q86" t="n">
        <v>1</v>
      </c>
      <c r="R86" s="2" t="inlineStr">
        <is>
          <t>Spillkråka</t>
        </is>
      </c>
      <c r="S86">
        <f>HYPERLINK("https://klasma.github.io/Logging_2083/artfynd/A 63542-2023 artfynd.xlsx", "A 63542-2023")</f>
        <v/>
      </c>
      <c r="T86">
        <f>HYPERLINK("https://klasma.github.io/Logging_2083/kartor/A 63542-2023 karta.png", "A 63542-2023")</f>
        <v/>
      </c>
      <c r="V86">
        <f>HYPERLINK("https://klasma.github.io/Logging_2083/klagomål/A 63542-2023 FSC-klagomål.docx", "A 63542-2023")</f>
        <v/>
      </c>
      <c r="W86">
        <f>HYPERLINK("https://klasma.github.io/Logging_2083/klagomålsmail/A 63542-2023 FSC-klagomål mail.docx", "A 63542-2023")</f>
        <v/>
      </c>
      <c r="X86">
        <f>HYPERLINK("https://klasma.github.io/Logging_2083/tillsyn/A 63542-2023 tillsynsbegäran.docx", "A 63542-2023")</f>
        <v/>
      </c>
      <c r="Y86">
        <f>HYPERLINK("https://klasma.github.io/Logging_2083/tillsynsmail/A 63542-2023 tillsynsbegäran mail.docx", "A 63542-2023")</f>
        <v/>
      </c>
      <c r="Z86">
        <f>HYPERLINK("https://klasma.github.io/Logging_2083/fåglar/A 63542-2023 prioriterade fågelarter.docx", "A 63542-2023")</f>
        <v/>
      </c>
    </row>
    <row r="87" ht="15" customHeight="1">
      <c r="A87" t="inlineStr">
        <is>
          <t>A 21535-2024</t>
        </is>
      </c>
      <c r="B87" s="1" t="n">
        <v>45441</v>
      </c>
      <c r="C87" s="1" t="n">
        <v>45587</v>
      </c>
      <c r="D87" t="inlineStr">
        <is>
          <t>DALARNAS LÄN</t>
        </is>
      </c>
      <c r="E87" t="inlineStr">
        <is>
          <t>HEDEMORA</t>
        </is>
      </c>
      <c r="F87" t="inlineStr">
        <is>
          <t>Sveaskog</t>
        </is>
      </c>
      <c r="G87" t="n">
        <v>3.4</v>
      </c>
      <c r="H87" t="n">
        <v>1</v>
      </c>
      <c r="I87" t="n">
        <v>0</v>
      </c>
      <c r="J87" t="n">
        <v>0</v>
      </c>
      <c r="K87" t="n">
        <v>1</v>
      </c>
      <c r="L87" t="n">
        <v>0</v>
      </c>
      <c r="M87" t="n">
        <v>0</v>
      </c>
      <c r="N87" t="n">
        <v>0</v>
      </c>
      <c r="O87" t="n">
        <v>1</v>
      </c>
      <c r="P87" t="n">
        <v>1</v>
      </c>
      <c r="Q87" t="n">
        <v>1</v>
      </c>
      <c r="R87" s="2" t="inlineStr">
        <is>
          <t>Knärot</t>
        </is>
      </c>
      <c r="S87">
        <f>HYPERLINK("https://klasma.github.io/Logging_2083/artfynd/A 21535-2024 artfynd.xlsx", "A 21535-2024")</f>
        <v/>
      </c>
      <c r="T87">
        <f>HYPERLINK("https://klasma.github.io/Logging_2083/kartor/A 21535-2024 karta.png", "A 21535-2024")</f>
        <v/>
      </c>
      <c r="U87">
        <f>HYPERLINK("https://klasma.github.io/Logging_2083/knärot/A 21535-2024 karta knärot.png", "A 21535-2024")</f>
        <v/>
      </c>
      <c r="V87">
        <f>HYPERLINK("https://klasma.github.io/Logging_2083/klagomål/A 21535-2024 FSC-klagomål.docx", "A 21535-2024")</f>
        <v/>
      </c>
      <c r="W87">
        <f>HYPERLINK("https://klasma.github.io/Logging_2083/klagomålsmail/A 21535-2024 FSC-klagomål mail.docx", "A 21535-2024")</f>
        <v/>
      </c>
      <c r="X87">
        <f>HYPERLINK("https://klasma.github.io/Logging_2083/tillsyn/A 21535-2024 tillsynsbegäran.docx", "A 21535-2024")</f>
        <v/>
      </c>
      <c r="Y87">
        <f>HYPERLINK("https://klasma.github.io/Logging_2083/tillsynsmail/A 21535-2024 tillsynsbegäran mail.docx", "A 21535-2024")</f>
        <v/>
      </c>
    </row>
    <row r="88" ht="15" customHeight="1">
      <c r="A88" t="inlineStr">
        <is>
          <t>A 42614-2024</t>
        </is>
      </c>
      <c r="B88" s="1" t="n">
        <v>45565</v>
      </c>
      <c r="C88" s="1" t="n">
        <v>45587</v>
      </c>
      <c r="D88" t="inlineStr">
        <is>
          <t>DALARNAS LÄN</t>
        </is>
      </c>
      <c r="E88" t="inlineStr">
        <is>
          <t>HEDEMORA</t>
        </is>
      </c>
      <c r="F88" t="inlineStr">
        <is>
          <t>Sveaskog</t>
        </is>
      </c>
      <c r="G88" t="n">
        <v>3</v>
      </c>
      <c r="H88" t="n">
        <v>1</v>
      </c>
      <c r="I88" t="n">
        <v>0</v>
      </c>
      <c r="J88" t="n">
        <v>1</v>
      </c>
      <c r="K88" t="n">
        <v>0</v>
      </c>
      <c r="L88" t="n">
        <v>0</v>
      </c>
      <c r="M88" t="n">
        <v>0</v>
      </c>
      <c r="N88" t="n">
        <v>0</v>
      </c>
      <c r="O88" t="n">
        <v>1</v>
      </c>
      <c r="P88" t="n">
        <v>0</v>
      </c>
      <c r="Q88" t="n">
        <v>1</v>
      </c>
      <c r="R88" s="2" t="inlineStr">
        <is>
          <t>Talltita</t>
        </is>
      </c>
      <c r="S88">
        <f>HYPERLINK("https://klasma.github.io/Logging_2083/artfynd/A 42614-2024 artfynd.xlsx", "A 42614-2024")</f>
        <v/>
      </c>
      <c r="T88">
        <f>HYPERLINK("https://klasma.github.io/Logging_2083/kartor/A 42614-2024 karta.png", "A 42614-2024")</f>
        <v/>
      </c>
      <c r="V88">
        <f>HYPERLINK("https://klasma.github.io/Logging_2083/klagomål/A 42614-2024 FSC-klagomål.docx", "A 42614-2024")</f>
        <v/>
      </c>
      <c r="W88">
        <f>HYPERLINK("https://klasma.github.io/Logging_2083/klagomålsmail/A 42614-2024 FSC-klagomål mail.docx", "A 42614-2024")</f>
        <v/>
      </c>
      <c r="X88">
        <f>HYPERLINK("https://klasma.github.io/Logging_2083/tillsyn/A 42614-2024 tillsynsbegäran.docx", "A 42614-2024")</f>
        <v/>
      </c>
      <c r="Y88">
        <f>HYPERLINK("https://klasma.github.io/Logging_2083/tillsynsmail/A 42614-2024 tillsynsbegäran mail.docx", "A 42614-2024")</f>
        <v/>
      </c>
      <c r="Z88">
        <f>HYPERLINK("https://klasma.github.io/Logging_2083/fåglar/A 42614-2024 prioriterade fågelarter.docx", "A 42614-2024")</f>
        <v/>
      </c>
    </row>
    <row r="89" ht="15" customHeight="1">
      <c r="A89" t="inlineStr">
        <is>
          <t>A 19016-2019</t>
        </is>
      </c>
      <c r="B89" s="1" t="n">
        <v>43563</v>
      </c>
      <c r="C89" s="1" t="n">
        <v>45587</v>
      </c>
      <c r="D89" t="inlineStr">
        <is>
          <t>DALARNAS LÄN</t>
        </is>
      </c>
      <c r="E89" t="inlineStr">
        <is>
          <t>HEDEMORA</t>
        </is>
      </c>
      <c r="G89" t="n">
        <v>1</v>
      </c>
      <c r="H89" t="n">
        <v>0</v>
      </c>
      <c r="I89" t="n">
        <v>0</v>
      </c>
      <c r="J89" t="n">
        <v>0</v>
      </c>
      <c r="K89" t="n">
        <v>0</v>
      </c>
      <c r="L89" t="n">
        <v>0</v>
      </c>
      <c r="M89" t="n">
        <v>0</v>
      </c>
      <c r="N89" t="n">
        <v>0</v>
      </c>
      <c r="O89" t="n">
        <v>0</v>
      </c>
      <c r="P89" t="n">
        <v>0</v>
      </c>
      <c r="Q89" t="n">
        <v>0</v>
      </c>
      <c r="R89" s="2" t="inlineStr"/>
    </row>
    <row r="90" ht="15" customHeight="1">
      <c r="A90" t="inlineStr">
        <is>
          <t>A 21235-2019</t>
        </is>
      </c>
      <c r="B90" s="1" t="n">
        <v>43579</v>
      </c>
      <c r="C90" s="1" t="n">
        <v>45587</v>
      </c>
      <c r="D90" t="inlineStr">
        <is>
          <t>DALARNAS LÄN</t>
        </is>
      </c>
      <c r="E90" t="inlineStr">
        <is>
          <t>HEDEMORA</t>
        </is>
      </c>
      <c r="G90" t="n">
        <v>3.7</v>
      </c>
      <c r="H90" t="n">
        <v>0</v>
      </c>
      <c r="I90" t="n">
        <v>0</v>
      </c>
      <c r="J90" t="n">
        <v>0</v>
      </c>
      <c r="K90" t="n">
        <v>0</v>
      </c>
      <c r="L90" t="n">
        <v>0</v>
      </c>
      <c r="M90" t="n">
        <v>0</v>
      </c>
      <c r="N90" t="n">
        <v>0</v>
      </c>
      <c r="O90" t="n">
        <v>0</v>
      </c>
      <c r="P90" t="n">
        <v>0</v>
      </c>
      <c r="Q90" t="n">
        <v>0</v>
      </c>
      <c r="R90" s="2" t="inlineStr"/>
    </row>
    <row r="91" ht="15" customHeight="1">
      <c r="A91" t="inlineStr">
        <is>
          <t>A 21212-2019</t>
        </is>
      </c>
      <c r="B91" s="1" t="n">
        <v>43579</v>
      </c>
      <c r="C91" s="1" t="n">
        <v>45587</v>
      </c>
      <c r="D91" t="inlineStr">
        <is>
          <t>DALARNAS LÄN</t>
        </is>
      </c>
      <c r="E91" t="inlineStr">
        <is>
          <t>HEDEMORA</t>
        </is>
      </c>
      <c r="G91" t="n">
        <v>0.9</v>
      </c>
      <c r="H91" t="n">
        <v>0</v>
      </c>
      <c r="I91" t="n">
        <v>0</v>
      </c>
      <c r="J91" t="n">
        <v>0</v>
      </c>
      <c r="K91" t="n">
        <v>0</v>
      </c>
      <c r="L91" t="n">
        <v>0</v>
      </c>
      <c r="M91" t="n">
        <v>0</v>
      </c>
      <c r="N91" t="n">
        <v>0</v>
      </c>
      <c r="O91" t="n">
        <v>0</v>
      </c>
      <c r="P91" t="n">
        <v>0</v>
      </c>
      <c r="Q91" t="n">
        <v>0</v>
      </c>
      <c r="R91" s="2" t="inlineStr"/>
    </row>
    <row r="92" ht="15" customHeight="1">
      <c r="A92" t="inlineStr">
        <is>
          <t>A 22494-2019</t>
        </is>
      </c>
      <c r="B92" s="1" t="n">
        <v>43587</v>
      </c>
      <c r="C92" s="1" t="n">
        <v>45587</v>
      </c>
      <c r="D92" t="inlineStr">
        <is>
          <t>DALARNAS LÄN</t>
        </is>
      </c>
      <c r="E92" t="inlineStr">
        <is>
          <t>HEDEMORA</t>
        </is>
      </c>
      <c r="G92" t="n">
        <v>5.3</v>
      </c>
      <c r="H92" t="n">
        <v>0</v>
      </c>
      <c r="I92" t="n">
        <v>0</v>
      </c>
      <c r="J92" t="n">
        <v>0</v>
      </c>
      <c r="K92" t="n">
        <v>0</v>
      </c>
      <c r="L92" t="n">
        <v>0</v>
      </c>
      <c r="M92" t="n">
        <v>0</v>
      </c>
      <c r="N92" t="n">
        <v>0</v>
      </c>
      <c r="O92" t="n">
        <v>0</v>
      </c>
      <c r="P92" t="n">
        <v>0</v>
      </c>
      <c r="Q92" t="n">
        <v>0</v>
      </c>
      <c r="R92" s="2" t="inlineStr"/>
    </row>
    <row r="93" ht="15" customHeight="1">
      <c r="A93" t="inlineStr">
        <is>
          <t>A 22810-2019</t>
        </is>
      </c>
      <c r="B93" s="1" t="n">
        <v>43590</v>
      </c>
      <c r="C93" s="1" t="n">
        <v>45587</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23492-2019</t>
        </is>
      </c>
      <c r="B94" s="1" t="n">
        <v>43594</v>
      </c>
      <c r="C94" s="1" t="n">
        <v>45587</v>
      </c>
      <c r="D94" t="inlineStr">
        <is>
          <t>DALARNAS LÄN</t>
        </is>
      </c>
      <c r="E94" t="inlineStr">
        <is>
          <t>HEDEMORA</t>
        </is>
      </c>
      <c r="G94" t="n">
        <v>3.2</v>
      </c>
      <c r="H94" t="n">
        <v>0</v>
      </c>
      <c r="I94" t="n">
        <v>0</v>
      </c>
      <c r="J94" t="n">
        <v>0</v>
      </c>
      <c r="K94" t="n">
        <v>0</v>
      </c>
      <c r="L94" t="n">
        <v>0</v>
      </c>
      <c r="M94" t="n">
        <v>0</v>
      </c>
      <c r="N94" t="n">
        <v>0</v>
      </c>
      <c r="O94" t="n">
        <v>0</v>
      </c>
      <c r="P94" t="n">
        <v>0</v>
      </c>
      <c r="Q94" t="n">
        <v>0</v>
      </c>
      <c r="R94" s="2" t="inlineStr"/>
    </row>
    <row r="95" ht="15" customHeight="1">
      <c r="A95" t="inlineStr">
        <is>
          <t>A 23804-2019</t>
        </is>
      </c>
      <c r="B95" s="1" t="n">
        <v>43595</v>
      </c>
      <c r="C95" s="1" t="n">
        <v>45587</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23808-2019</t>
        </is>
      </c>
      <c r="B96" s="1" t="n">
        <v>43595</v>
      </c>
      <c r="C96" s="1" t="n">
        <v>45587</v>
      </c>
      <c r="D96" t="inlineStr">
        <is>
          <t>DALARNAS LÄN</t>
        </is>
      </c>
      <c r="E96" t="inlineStr">
        <is>
          <t>HEDEMORA</t>
        </is>
      </c>
      <c r="G96" t="n">
        <v>1.3</v>
      </c>
      <c r="H96" t="n">
        <v>0</v>
      </c>
      <c r="I96" t="n">
        <v>0</v>
      </c>
      <c r="J96" t="n">
        <v>0</v>
      </c>
      <c r="K96" t="n">
        <v>0</v>
      </c>
      <c r="L96" t="n">
        <v>0</v>
      </c>
      <c r="M96" t="n">
        <v>0</v>
      </c>
      <c r="N96" t="n">
        <v>0</v>
      </c>
      <c r="O96" t="n">
        <v>0</v>
      </c>
      <c r="P96" t="n">
        <v>0</v>
      </c>
      <c r="Q96" t="n">
        <v>0</v>
      </c>
      <c r="R96" s="2" t="inlineStr"/>
    </row>
    <row r="97" ht="15" customHeight="1">
      <c r="A97" t="inlineStr">
        <is>
          <t>A 24904-2019</t>
        </is>
      </c>
      <c r="B97" s="1" t="n">
        <v>43602</v>
      </c>
      <c r="C97" s="1" t="n">
        <v>45587</v>
      </c>
      <c r="D97" t="inlineStr">
        <is>
          <t>DALARNAS LÄN</t>
        </is>
      </c>
      <c r="E97" t="inlineStr">
        <is>
          <t>HEDEMORA</t>
        </is>
      </c>
      <c r="G97" t="n">
        <v>1.3</v>
      </c>
      <c r="H97" t="n">
        <v>0</v>
      </c>
      <c r="I97" t="n">
        <v>0</v>
      </c>
      <c r="J97" t="n">
        <v>0</v>
      </c>
      <c r="K97" t="n">
        <v>0</v>
      </c>
      <c r="L97" t="n">
        <v>0</v>
      </c>
      <c r="M97" t="n">
        <v>0</v>
      </c>
      <c r="N97" t="n">
        <v>0</v>
      </c>
      <c r="O97" t="n">
        <v>0</v>
      </c>
      <c r="P97" t="n">
        <v>0</v>
      </c>
      <c r="Q97" t="n">
        <v>0</v>
      </c>
      <c r="R97" s="2" t="inlineStr"/>
    </row>
    <row r="98" ht="15" customHeight="1">
      <c r="A98" t="inlineStr">
        <is>
          <t>A 26162-2019</t>
        </is>
      </c>
      <c r="B98" s="1" t="n">
        <v>43609</v>
      </c>
      <c r="C98" s="1" t="n">
        <v>45587</v>
      </c>
      <c r="D98" t="inlineStr">
        <is>
          <t>DALARNAS LÄN</t>
        </is>
      </c>
      <c r="E98" t="inlineStr">
        <is>
          <t>HEDEMORA</t>
        </is>
      </c>
      <c r="F98" t="inlineStr">
        <is>
          <t>Sveaskog</t>
        </is>
      </c>
      <c r="G98" t="n">
        <v>12.8</v>
      </c>
      <c r="H98" t="n">
        <v>0</v>
      </c>
      <c r="I98" t="n">
        <v>0</v>
      </c>
      <c r="J98" t="n">
        <v>0</v>
      </c>
      <c r="K98" t="n">
        <v>0</v>
      </c>
      <c r="L98" t="n">
        <v>0</v>
      </c>
      <c r="M98" t="n">
        <v>0</v>
      </c>
      <c r="N98" t="n">
        <v>0</v>
      </c>
      <c r="O98" t="n">
        <v>0</v>
      </c>
      <c r="P98" t="n">
        <v>0</v>
      </c>
      <c r="Q98" t="n">
        <v>0</v>
      </c>
      <c r="R98" s="2" t="inlineStr"/>
    </row>
    <row r="99" ht="15" customHeight="1">
      <c r="A99" t="inlineStr">
        <is>
          <t>A 26167-2019</t>
        </is>
      </c>
      <c r="B99" s="1" t="n">
        <v>43609</v>
      </c>
      <c r="C99" s="1" t="n">
        <v>45587</v>
      </c>
      <c r="D99" t="inlineStr">
        <is>
          <t>DALARNAS LÄN</t>
        </is>
      </c>
      <c r="E99" t="inlineStr">
        <is>
          <t>HEDEMORA</t>
        </is>
      </c>
      <c r="F99" t="inlineStr">
        <is>
          <t>Sveaskog</t>
        </is>
      </c>
      <c r="G99" t="n">
        <v>7</v>
      </c>
      <c r="H99" t="n">
        <v>0</v>
      </c>
      <c r="I99" t="n">
        <v>0</v>
      </c>
      <c r="J99" t="n">
        <v>0</v>
      </c>
      <c r="K99" t="n">
        <v>0</v>
      </c>
      <c r="L99" t="n">
        <v>0</v>
      </c>
      <c r="M99" t="n">
        <v>0</v>
      </c>
      <c r="N99" t="n">
        <v>0</v>
      </c>
      <c r="O99" t="n">
        <v>0</v>
      </c>
      <c r="P99" t="n">
        <v>0</v>
      </c>
      <c r="Q99" t="n">
        <v>0</v>
      </c>
      <c r="R99" s="2" t="inlineStr"/>
    </row>
    <row r="100" ht="15" customHeight="1">
      <c r="A100" t="inlineStr">
        <is>
          <t>A 27393-2019</t>
        </is>
      </c>
      <c r="B100" s="1" t="n">
        <v>43616</v>
      </c>
      <c r="C100" s="1" t="n">
        <v>45587</v>
      </c>
      <c r="D100" t="inlineStr">
        <is>
          <t>DALARNAS LÄN</t>
        </is>
      </c>
      <c r="E100" t="inlineStr">
        <is>
          <t>HEDEMORA</t>
        </is>
      </c>
      <c r="G100" t="n">
        <v>1.4</v>
      </c>
      <c r="H100" t="n">
        <v>0</v>
      </c>
      <c r="I100" t="n">
        <v>0</v>
      </c>
      <c r="J100" t="n">
        <v>0</v>
      </c>
      <c r="K100" t="n">
        <v>0</v>
      </c>
      <c r="L100" t="n">
        <v>0</v>
      </c>
      <c r="M100" t="n">
        <v>0</v>
      </c>
      <c r="N100" t="n">
        <v>0</v>
      </c>
      <c r="O100" t="n">
        <v>0</v>
      </c>
      <c r="P100" t="n">
        <v>0</v>
      </c>
      <c r="Q100" t="n">
        <v>0</v>
      </c>
      <c r="R100" s="2" t="inlineStr"/>
    </row>
    <row r="101" ht="15" customHeight="1">
      <c r="A101" t="inlineStr">
        <is>
          <t>A 27949-2019</t>
        </is>
      </c>
      <c r="B101" s="1" t="n">
        <v>43620</v>
      </c>
      <c r="C101" s="1" t="n">
        <v>45587</v>
      </c>
      <c r="D101" t="inlineStr">
        <is>
          <t>DALARNAS LÄN</t>
        </is>
      </c>
      <c r="E101" t="inlineStr">
        <is>
          <t>HEDEMORA</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28696-2019</t>
        </is>
      </c>
      <c r="B102" s="1" t="n">
        <v>43627</v>
      </c>
      <c r="C102" s="1" t="n">
        <v>45587</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30497-2019</t>
        </is>
      </c>
      <c r="B103" s="1" t="n">
        <v>43635</v>
      </c>
      <c r="C103" s="1" t="n">
        <v>45587</v>
      </c>
      <c r="D103" t="inlineStr">
        <is>
          <t>DALARNAS LÄN</t>
        </is>
      </c>
      <c r="E103" t="inlineStr">
        <is>
          <t>HEDEMORA</t>
        </is>
      </c>
      <c r="G103" t="n">
        <v>2.2</v>
      </c>
      <c r="H103" t="n">
        <v>0</v>
      </c>
      <c r="I103" t="n">
        <v>0</v>
      </c>
      <c r="J103" t="n">
        <v>0</v>
      </c>
      <c r="K103" t="n">
        <v>0</v>
      </c>
      <c r="L103" t="n">
        <v>0</v>
      </c>
      <c r="M103" t="n">
        <v>0</v>
      </c>
      <c r="N103" t="n">
        <v>0</v>
      </c>
      <c r="O103" t="n">
        <v>0</v>
      </c>
      <c r="P103" t="n">
        <v>0</v>
      </c>
      <c r="Q103" t="n">
        <v>0</v>
      </c>
      <c r="R103" s="2" t="inlineStr"/>
    </row>
    <row r="104" ht="15" customHeight="1">
      <c r="A104" t="inlineStr">
        <is>
          <t>A 30687-2019</t>
        </is>
      </c>
      <c r="B104" s="1" t="n">
        <v>43636</v>
      </c>
      <c r="C104" s="1" t="n">
        <v>45587</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34027-2019</t>
        </is>
      </c>
      <c r="B105" s="1" t="n">
        <v>43654</v>
      </c>
      <c r="C105" s="1" t="n">
        <v>45587</v>
      </c>
      <c r="D105" t="inlineStr">
        <is>
          <t>DALARNAS LÄN</t>
        </is>
      </c>
      <c r="E105" t="inlineStr">
        <is>
          <t>HEDEMORA</t>
        </is>
      </c>
      <c r="G105" t="n">
        <v>3.7</v>
      </c>
      <c r="H105" t="n">
        <v>0</v>
      </c>
      <c r="I105" t="n">
        <v>0</v>
      </c>
      <c r="J105" t="n">
        <v>0</v>
      </c>
      <c r="K105" t="n">
        <v>0</v>
      </c>
      <c r="L105" t="n">
        <v>0</v>
      </c>
      <c r="M105" t="n">
        <v>0</v>
      </c>
      <c r="N105" t="n">
        <v>0</v>
      </c>
      <c r="O105" t="n">
        <v>0</v>
      </c>
      <c r="P105" t="n">
        <v>0</v>
      </c>
      <c r="Q105" t="n">
        <v>0</v>
      </c>
      <c r="R105" s="2" t="inlineStr"/>
    </row>
    <row r="106" ht="15" customHeight="1">
      <c r="A106" t="inlineStr">
        <is>
          <t>A 35855-2019</t>
        </is>
      </c>
      <c r="B106" s="1" t="n">
        <v>43665</v>
      </c>
      <c r="C106" s="1" t="n">
        <v>45587</v>
      </c>
      <c r="D106" t="inlineStr">
        <is>
          <t>DALARNAS LÄN</t>
        </is>
      </c>
      <c r="E106" t="inlineStr">
        <is>
          <t>HEDEMORA</t>
        </is>
      </c>
      <c r="F106" t="inlineStr">
        <is>
          <t>Sveaskog</t>
        </is>
      </c>
      <c r="G106" t="n">
        <v>1</v>
      </c>
      <c r="H106" t="n">
        <v>0</v>
      </c>
      <c r="I106" t="n">
        <v>0</v>
      </c>
      <c r="J106" t="n">
        <v>0</v>
      </c>
      <c r="K106" t="n">
        <v>0</v>
      </c>
      <c r="L106" t="n">
        <v>0</v>
      </c>
      <c r="M106" t="n">
        <v>0</v>
      </c>
      <c r="N106" t="n">
        <v>0</v>
      </c>
      <c r="O106" t="n">
        <v>0</v>
      </c>
      <c r="P106" t="n">
        <v>0</v>
      </c>
      <c r="Q106" t="n">
        <v>0</v>
      </c>
      <c r="R106" s="2" t="inlineStr"/>
    </row>
    <row r="107" ht="15" customHeight="1">
      <c r="A107" t="inlineStr">
        <is>
          <t>A 40919-2019</t>
        </is>
      </c>
      <c r="B107" s="1" t="n">
        <v>43697</v>
      </c>
      <c r="C107" s="1" t="n">
        <v>45587</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41399-2019</t>
        </is>
      </c>
      <c r="B108" s="1" t="n">
        <v>43698</v>
      </c>
      <c r="C108" s="1" t="n">
        <v>45587</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43530-2019</t>
        </is>
      </c>
      <c r="B109" s="1" t="n">
        <v>43706</v>
      </c>
      <c r="C109" s="1" t="n">
        <v>45587</v>
      </c>
      <c r="D109" t="inlineStr">
        <is>
          <t>DALARNAS LÄN</t>
        </is>
      </c>
      <c r="E109" t="inlineStr">
        <is>
          <t>HEDEMORA</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46775-2019</t>
        </is>
      </c>
      <c r="B110" s="1" t="n">
        <v>43720</v>
      </c>
      <c r="C110" s="1" t="n">
        <v>45587</v>
      </c>
      <c r="D110" t="inlineStr">
        <is>
          <t>DALARNAS LÄN</t>
        </is>
      </c>
      <c r="E110" t="inlineStr">
        <is>
          <t>HEDEMORA</t>
        </is>
      </c>
      <c r="F110" t="inlineStr">
        <is>
          <t>Sveaskog</t>
        </is>
      </c>
      <c r="G110" t="n">
        <v>1.2</v>
      </c>
      <c r="H110" t="n">
        <v>0</v>
      </c>
      <c r="I110" t="n">
        <v>0</v>
      </c>
      <c r="J110" t="n">
        <v>0</v>
      </c>
      <c r="K110" t="n">
        <v>0</v>
      </c>
      <c r="L110" t="n">
        <v>0</v>
      </c>
      <c r="M110" t="n">
        <v>0</v>
      </c>
      <c r="N110" t="n">
        <v>0</v>
      </c>
      <c r="O110" t="n">
        <v>0</v>
      </c>
      <c r="P110" t="n">
        <v>0</v>
      </c>
      <c r="Q110" t="n">
        <v>0</v>
      </c>
      <c r="R110" s="2" t="inlineStr"/>
    </row>
    <row r="111" ht="15" customHeight="1">
      <c r="A111" t="inlineStr">
        <is>
          <t>A 46795-2019</t>
        </is>
      </c>
      <c r="B111" s="1" t="n">
        <v>43720</v>
      </c>
      <c r="C111" s="1" t="n">
        <v>45587</v>
      </c>
      <c r="D111" t="inlineStr">
        <is>
          <t>DALARNAS LÄN</t>
        </is>
      </c>
      <c r="E111" t="inlineStr">
        <is>
          <t>HEDEMORA</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47882-2019</t>
        </is>
      </c>
      <c r="B112" s="1" t="n">
        <v>43725</v>
      </c>
      <c r="C112" s="1" t="n">
        <v>45587</v>
      </c>
      <c r="D112" t="inlineStr">
        <is>
          <t>DALARNAS LÄN</t>
        </is>
      </c>
      <c r="E112" t="inlineStr">
        <is>
          <t>HEDEMORA</t>
        </is>
      </c>
      <c r="F112" t="inlineStr">
        <is>
          <t>Sveaskog</t>
        </is>
      </c>
      <c r="G112" t="n">
        <v>4.7</v>
      </c>
      <c r="H112" t="n">
        <v>0</v>
      </c>
      <c r="I112" t="n">
        <v>0</v>
      </c>
      <c r="J112" t="n">
        <v>0</v>
      </c>
      <c r="K112" t="n">
        <v>0</v>
      </c>
      <c r="L112" t="n">
        <v>0</v>
      </c>
      <c r="M112" t="n">
        <v>0</v>
      </c>
      <c r="N112" t="n">
        <v>0</v>
      </c>
      <c r="O112" t="n">
        <v>0</v>
      </c>
      <c r="P112" t="n">
        <v>0</v>
      </c>
      <c r="Q112" t="n">
        <v>0</v>
      </c>
      <c r="R112" s="2" t="inlineStr"/>
    </row>
    <row r="113" ht="15" customHeight="1">
      <c r="A113" t="inlineStr">
        <is>
          <t>A 49197-2019</t>
        </is>
      </c>
      <c r="B113" s="1" t="n">
        <v>43731</v>
      </c>
      <c r="C113" s="1" t="n">
        <v>45587</v>
      </c>
      <c r="D113" t="inlineStr">
        <is>
          <t>DALARNAS LÄN</t>
        </is>
      </c>
      <c r="E113" t="inlineStr">
        <is>
          <t>HEDEMORA</t>
        </is>
      </c>
      <c r="F113" t="inlineStr">
        <is>
          <t>Sveaskog</t>
        </is>
      </c>
      <c r="G113" t="n">
        <v>2.1</v>
      </c>
      <c r="H113" t="n">
        <v>0</v>
      </c>
      <c r="I113" t="n">
        <v>0</v>
      </c>
      <c r="J113" t="n">
        <v>0</v>
      </c>
      <c r="K113" t="n">
        <v>0</v>
      </c>
      <c r="L113" t="n">
        <v>0</v>
      </c>
      <c r="M113" t="n">
        <v>0</v>
      </c>
      <c r="N113" t="n">
        <v>0</v>
      </c>
      <c r="O113" t="n">
        <v>0</v>
      </c>
      <c r="P113" t="n">
        <v>0</v>
      </c>
      <c r="Q113" t="n">
        <v>0</v>
      </c>
      <c r="R113" s="2" t="inlineStr"/>
    </row>
    <row r="114" ht="15" customHeight="1">
      <c r="A114" t="inlineStr">
        <is>
          <t>A 49300-2019</t>
        </is>
      </c>
      <c r="B114" s="1" t="n">
        <v>43731</v>
      </c>
      <c r="C114" s="1" t="n">
        <v>45587</v>
      </c>
      <c r="D114" t="inlineStr">
        <is>
          <t>DALARNAS LÄN</t>
        </is>
      </c>
      <c r="E114" t="inlineStr">
        <is>
          <t>HEDEMORA</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49324-2019</t>
        </is>
      </c>
      <c r="B115" s="1" t="n">
        <v>43731</v>
      </c>
      <c r="C115" s="1" t="n">
        <v>45587</v>
      </c>
      <c r="D115" t="inlineStr">
        <is>
          <t>DALARNAS LÄN</t>
        </is>
      </c>
      <c r="E115" t="inlineStr">
        <is>
          <t>HEDEMORA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50183-2019</t>
        </is>
      </c>
      <c r="B116" s="1" t="n">
        <v>43734</v>
      </c>
      <c r="C116" s="1" t="n">
        <v>45587</v>
      </c>
      <c r="D116" t="inlineStr">
        <is>
          <t>DALARNAS LÄN</t>
        </is>
      </c>
      <c r="E116" t="inlineStr">
        <is>
          <t>HEDEMORA</t>
        </is>
      </c>
      <c r="G116" t="n">
        <v>1.8</v>
      </c>
      <c r="H116" t="n">
        <v>0</v>
      </c>
      <c r="I116" t="n">
        <v>0</v>
      </c>
      <c r="J116" t="n">
        <v>0</v>
      </c>
      <c r="K116" t="n">
        <v>0</v>
      </c>
      <c r="L116" t="n">
        <v>0</v>
      </c>
      <c r="M116" t="n">
        <v>0</v>
      </c>
      <c r="N116" t="n">
        <v>0</v>
      </c>
      <c r="O116" t="n">
        <v>0</v>
      </c>
      <c r="P116" t="n">
        <v>0</v>
      </c>
      <c r="Q116" t="n">
        <v>0</v>
      </c>
      <c r="R116" s="2" t="inlineStr"/>
    </row>
    <row r="117" ht="15" customHeight="1">
      <c r="A117" t="inlineStr">
        <is>
          <t>A 51877-2019</t>
        </is>
      </c>
      <c r="B117" s="1" t="n">
        <v>43741</v>
      </c>
      <c r="C117" s="1" t="n">
        <v>45587</v>
      </c>
      <c r="D117" t="inlineStr">
        <is>
          <t>DALARNAS LÄN</t>
        </is>
      </c>
      <c r="E117" t="inlineStr">
        <is>
          <t>HEDEMORA</t>
        </is>
      </c>
      <c r="G117" t="n">
        <v>3.3</v>
      </c>
      <c r="H117" t="n">
        <v>0</v>
      </c>
      <c r="I117" t="n">
        <v>0</v>
      </c>
      <c r="J117" t="n">
        <v>0</v>
      </c>
      <c r="K117" t="n">
        <v>0</v>
      </c>
      <c r="L117" t="n">
        <v>0</v>
      </c>
      <c r="M117" t="n">
        <v>0</v>
      </c>
      <c r="N117" t="n">
        <v>0</v>
      </c>
      <c r="O117" t="n">
        <v>0</v>
      </c>
      <c r="P117" t="n">
        <v>0</v>
      </c>
      <c r="Q117" t="n">
        <v>0</v>
      </c>
      <c r="R117" s="2" t="inlineStr"/>
    </row>
    <row r="118" ht="15" customHeight="1">
      <c r="A118" t="inlineStr">
        <is>
          <t>A 53323-2019</t>
        </is>
      </c>
      <c r="B118" s="1" t="n">
        <v>43748</v>
      </c>
      <c r="C118" s="1" t="n">
        <v>45587</v>
      </c>
      <c r="D118" t="inlineStr">
        <is>
          <t>DALARNAS LÄN</t>
        </is>
      </c>
      <c r="E118" t="inlineStr">
        <is>
          <t>HEDEMORA</t>
        </is>
      </c>
      <c r="G118" t="n">
        <v>2.2</v>
      </c>
      <c r="H118" t="n">
        <v>0</v>
      </c>
      <c r="I118" t="n">
        <v>0</v>
      </c>
      <c r="J118" t="n">
        <v>0</v>
      </c>
      <c r="K118" t="n">
        <v>0</v>
      </c>
      <c r="L118" t="n">
        <v>0</v>
      </c>
      <c r="M118" t="n">
        <v>0</v>
      </c>
      <c r="N118" t="n">
        <v>0</v>
      </c>
      <c r="O118" t="n">
        <v>0</v>
      </c>
      <c r="P118" t="n">
        <v>0</v>
      </c>
      <c r="Q118" t="n">
        <v>0</v>
      </c>
      <c r="R118" s="2" t="inlineStr"/>
    </row>
    <row r="119" ht="15" customHeight="1">
      <c r="A119" t="inlineStr">
        <is>
          <t>A 54358-2019</t>
        </is>
      </c>
      <c r="B119" s="1" t="n">
        <v>43754</v>
      </c>
      <c r="C119" s="1" t="n">
        <v>45587</v>
      </c>
      <c r="D119" t="inlineStr">
        <is>
          <t>DALARNAS LÄN</t>
        </is>
      </c>
      <c r="E119" t="inlineStr">
        <is>
          <t>HEDEMORA</t>
        </is>
      </c>
      <c r="G119" t="n">
        <v>5.2</v>
      </c>
      <c r="H119" t="n">
        <v>0</v>
      </c>
      <c r="I119" t="n">
        <v>0</v>
      </c>
      <c r="J119" t="n">
        <v>0</v>
      </c>
      <c r="K119" t="n">
        <v>0</v>
      </c>
      <c r="L119" t="n">
        <v>0</v>
      </c>
      <c r="M119" t="n">
        <v>0</v>
      </c>
      <c r="N119" t="n">
        <v>0</v>
      </c>
      <c r="O119" t="n">
        <v>0</v>
      </c>
      <c r="P119" t="n">
        <v>0</v>
      </c>
      <c r="Q119" t="n">
        <v>0</v>
      </c>
      <c r="R119" s="2" t="inlineStr"/>
    </row>
    <row r="120" ht="15" customHeight="1">
      <c r="A120" t="inlineStr">
        <is>
          <t>A 60139-2019</t>
        </is>
      </c>
      <c r="B120" s="1" t="n">
        <v>43779</v>
      </c>
      <c r="C120" s="1" t="n">
        <v>45587</v>
      </c>
      <c r="D120" t="inlineStr">
        <is>
          <t>DALARNAS LÄN</t>
        </is>
      </c>
      <c r="E120" t="inlineStr">
        <is>
          <t>HEDEMORA</t>
        </is>
      </c>
      <c r="G120" t="n">
        <v>3.6</v>
      </c>
      <c r="H120" t="n">
        <v>0</v>
      </c>
      <c r="I120" t="n">
        <v>0</v>
      </c>
      <c r="J120" t="n">
        <v>0</v>
      </c>
      <c r="K120" t="n">
        <v>0</v>
      </c>
      <c r="L120" t="n">
        <v>0</v>
      </c>
      <c r="M120" t="n">
        <v>0</v>
      </c>
      <c r="N120" t="n">
        <v>0</v>
      </c>
      <c r="O120" t="n">
        <v>0</v>
      </c>
      <c r="P120" t="n">
        <v>0</v>
      </c>
      <c r="Q120" t="n">
        <v>0</v>
      </c>
      <c r="R120" s="2" t="inlineStr"/>
    </row>
    <row r="121" ht="15" customHeight="1">
      <c r="A121" t="inlineStr">
        <is>
          <t>A 60319-2019</t>
        </is>
      </c>
      <c r="B121" s="1" t="n">
        <v>43780</v>
      </c>
      <c r="C121" s="1" t="n">
        <v>45587</v>
      </c>
      <c r="D121" t="inlineStr">
        <is>
          <t>DALARNAS LÄN</t>
        </is>
      </c>
      <c r="E121" t="inlineStr">
        <is>
          <t>HEDEMORA</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60318-2019</t>
        </is>
      </c>
      <c r="B122" s="1" t="n">
        <v>43780</v>
      </c>
      <c r="C122" s="1" t="n">
        <v>45587</v>
      </c>
      <c r="D122" t="inlineStr">
        <is>
          <t>DALARNAS LÄN</t>
        </is>
      </c>
      <c r="E122" t="inlineStr">
        <is>
          <t>HEDEMORA</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60461-2019</t>
        </is>
      </c>
      <c r="B123" s="1" t="n">
        <v>43780</v>
      </c>
      <c r="C123" s="1" t="n">
        <v>45587</v>
      </c>
      <c r="D123" t="inlineStr">
        <is>
          <t>DALARNAS LÄN</t>
        </is>
      </c>
      <c r="E123" t="inlineStr">
        <is>
          <t>HEDEMORA</t>
        </is>
      </c>
      <c r="G123" t="n">
        <v>2.8</v>
      </c>
      <c r="H123" t="n">
        <v>0</v>
      </c>
      <c r="I123" t="n">
        <v>0</v>
      </c>
      <c r="J123" t="n">
        <v>0</v>
      </c>
      <c r="K123" t="n">
        <v>0</v>
      </c>
      <c r="L123" t="n">
        <v>0</v>
      </c>
      <c r="M123" t="n">
        <v>0</v>
      </c>
      <c r="N123" t="n">
        <v>0</v>
      </c>
      <c r="O123" t="n">
        <v>0</v>
      </c>
      <c r="P123" t="n">
        <v>0</v>
      </c>
      <c r="Q123" t="n">
        <v>0</v>
      </c>
      <c r="R123" s="2" t="inlineStr"/>
    </row>
    <row r="124" ht="15" customHeight="1">
      <c r="A124" t="inlineStr">
        <is>
          <t>A 60543-2019</t>
        </is>
      </c>
      <c r="B124" s="1" t="n">
        <v>43781</v>
      </c>
      <c r="C124" s="1" t="n">
        <v>45587</v>
      </c>
      <c r="D124" t="inlineStr">
        <is>
          <t>DALARNAS LÄN</t>
        </is>
      </c>
      <c r="E124" t="inlineStr">
        <is>
          <t>HEDEMORA</t>
        </is>
      </c>
      <c r="G124" t="n">
        <v>4.6</v>
      </c>
      <c r="H124" t="n">
        <v>0</v>
      </c>
      <c r="I124" t="n">
        <v>0</v>
      </c>
      <c r="J124" t="n">
        <v>0</v>
      </c>
      <c r="K124" t="n">
        <v>0</v>
      </c>
      <c r="L124" t="n">
        <v>0</v>
      </c>
      <c r="M124" t="n">
        <v>0</v>
      </c>
      <c r="N124" t="n">
        <v>0</v>
      </c>
      <c r="O124" t="n">
        <v>0</v>
      </c>
      <c r="P124" t="n">
        <v>0</v>
      </c>
      <c r="Q124" t="n">
        <v>0</v>
      </c>
      <c r="R124" s="2" t="inlineStr"/>
    </row>
    <row r="125" ht="15" customHeight="1">
      <c r="A125" t="inlineStr">
        <is>
          <t>A 60529-2019</t>
        </is>
      </c>
      <c r="B125" s="1" t="n">
        <v>43781</v>
      </c>
      <c r="C125" s="1" t="n">
        <v>45587</v>
      </c>
      <c r="D125" t="inlineStr">
        <is>
          <t>DALARNAS LÄN</t>
        </is>
      </c>
      <c r="E125" t="inlineStr">
        <is>
          <t>HEDEMORA</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60556-2019</t>
        </is>
      </c>
      <c r="B126" s="1" t="n">
        <v>43781</v>
      </c>
      <c r="C126" s="1" t="n">
        <v>45587</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61007-2019</t>
        </is>
      </c>
      <c r="B127" s="1" t="n">
        <v>43782</v>
      </c>
      <c r="C127" s="1" t="n">
        <v>45587</v>
      </c>
      <c r="D127" t="inlineStr">
        <is>
          <t>DALARNAS LÄN</t>
        </is>
      </c>
      <c r="E127" t="inlineStr">
        <is>
          <t>HEDEMORA</t>
        </is>
      </c>
      <c r="G127" t="n">
        <v>0.8</v>
      </c>
      <c r="H127" t="n">
        <v>0</v>
      </c>
      <c r="I127" t="n">
        <v>0</v>
      </c>
      <c r="J127" t="n">
        <v>0</v>
      </c>
      <c r="K127" t="n">
        <v>0</v>
      </c>
      <c r="L127" t="n">
        <v>0</v>
      </c>
      <c r="M127" t="n">
        <v>0</v>
      </c>
      <c r="N127" t="n">
        <v>0</v>
      </c>
      <c r="O127" t="n">
        <v>0</v>
      </c>
      <c r="P127" t="n">
        <v>0</v>
      </c>
      <c r="Q127" t="n">
        <v>0</v>
      </c>
      <c r="R127" s="2" t="inlineStr"/>
    </row>
    <row r="128" ht="15" customHeight="1">
      <c r="A128" t="inlineStr">
        <is>
          <t>A 61382-2019</t>
        </is>
      </c>
      <c r="B128" s="1" t="n">
        <v>43783</v>
      </c>
      <c r="C128" s="1" t="n">
        <v>45587</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63101-2019</t>
        </is>
      </c>
      <c r="B129" s="1" t="n">
        <v>43791</v>
      </c>
      <c r="C129" s="1" t="n">
        <v>45587</v>
      </c>
      <c r="D129" t="inlineStr">
        <is>
          <t>DALARNAS LÄN</t>
        </is>
      </c>
      <c r="E129" t="inlineStr">
        <is>
          <t>HEDEMORA</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65308-2019</t>
        </is>
      </c>
      <c r="B130" s="1" t="n">
        <v>43802</v>
      </c>
      <c r="C130" s="1" t="n">
        <v>45587</v>
      </c>
      <c r="D130" t="inlineStr">
        <is>
          <t>DALARNAS LÄN</t>
        </is>
      </c>
      <c r="E130" t="inlineStr">
        <is>
          <t>HEDEMORA</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65315-2019</t>
        </is>
      </c>
      <c r="B131" s="1" t="n">
        <v>43802</v>
      </c>
      <c r="C131" s="1" t="n">
        <v>45587</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68856-2019</t>
        </is>
      </c>
      <c r="B132" s="1" t="n">
        <v>43820</v>
      </c>
      <c r="C132" s="1" t="n">
        <v>45587</v>
      </c>
      <c r="D132" t="inlineStr">
        <is>
          <t>DALARNAS LÄN</t>
        </is>
      </c>
      <c r="E132" t="inlineStr">
        <is>
          <t>HEDEMORA</t>
        </is>
      </c>
      <c r="G132" t="n">
        <v>17.6</v>
      </c>
      <c r="H132" t="n">
        <v>0</v>
      </c>
      <c r="I132" t="n">
        <v>0</v>
      </c>
      <c r="J132" t="n">
        <v>0</v>
      </c>
      <c r="K132" t="n">
        <v>0</v>
      </c>
      <c r="L132" t="n">
        <v>0</v>
      </c>
      <c r="M132" t="n">
        <v>0</v>
      </c>
      <c r="N132" t="n">
        <v>0</v>
      </c>
      <c r="O132" t="n">
        <v>0</v>
      </c>
      <c r="P132" t="n">
        <v>0</v>
      </c>
      <c r="Q132" t="n">
        <v>0</v>
      </c>
      <c r="R132" s="2" t="inlineStr"/>
    </row>
    <row r="133" ht="15" customHeight="1">
      <c r="A133" t="inlineStr">
        <is>
          <t>A 1215-2020</t>
        </is>
      </c>
      <c r="B133" s="1" t="n">
        <v>43840</v>
      </c>
      <c r="C133" s="1" t="n">
        <v>45587</v>
      </c>
      <c r="D133" t="inlineStr">
        <is>
          <t>DALARNAS LÄN</t>
        </is>
      </c>
      <c r="E133" t="inlineStr">
        <is>
          <t>HEDEMORA</t>
        </is>
      </c>
      <c r="F133" t="inlineStr">
        <is>
          <t>Sveaskog</t>
        </is>
      </c>
      <c r="G133" t="n">
        <v>7</v>
      </c>
      <c r="H133" t="n">
        <v>0</v>
      </c>
      <c r="I133" t="n">
        <v>0</v>
      </c>
      <c r="J133" t="n">
        <v>0</v>
      </c>
      <c r="K133" t="n">
        <v>0</v>
      </c>
      <c r="L133" t="n">
        <v>0</v>
      </c>
      <c r="M133" t="n">
        <v>0</v>
      </c>
      <c r="N133" t="n">
        <v>0</v>
      </c>
      <c r="O133" t="n">
        <v>0</v>
      </c>
      <c r="P133" t="n">
        <v>0</v>
      </c>
      <c r="Q133" t="n">
        <v>0</v>
      </c>
      <c r="R133" s="2" t="inlineStr"/>
    </row>
    <row r="134" ht="15" customHeight="1">
      <c r="A134" t="inlineStr">
        <is>
          <t>A 2390-2020</t>
        </is>
      </c>
      <c r="B134" s="1" t="n">
        <v>43847</v>
      </c>
      <c r="C134" s="1" t="n">
        <v>45587</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2846-2020</t>
        </is>
      </c>
      <c r="B135" s="1" t="n">
        <v>43850</v>
      </c>
      <c r="C135" s="1" t="n">
        <v>45587</v>
      </c>
      <c r="D135" t="inlineStr">
        <is>
          <t>DALARNAS LÄN</t>
        </is>
      </c>
      <c r="E135" t="inlineStr">
        <is>
          <t>HEDEMORA</t>
        </is>
      </c>
      <c r="G135" t="n">
        <v>4.2</v>
      </c>
      <c r="H135" t="n">
        <v>0</v>
      </c>
      <c r="I135" t="n">
        <v>0</v>
      </c>
      <c r="J135" t="n">
        <v>0</v>
      </c>
      <c r="K135" t="n">
        <v>0</v>
      </c>
      <c r="L135" t="n">
        <v>0</v>
      </c>
      <c r="M135" t="n">
        <v>0</v>
      </c>
      <c r="N135" t="n">
        <v>0</v>
      </c>
      <c r="O135" t="n">
        <v>0</v>
      </c>
      <c r="P135" t="n">
        <v>0</v>
      </c>
      <c r="Q135" t="n">
        <v>0</v>
      </c>
      <c r="R135" s="2" t="inlineStr"/>
    </row>
    <row r="136" ht="15" customHeight="1">
      <c r="A136" t="inlineStr">
        <is>
          <t>A 2915-2020</t>
        </is>
      </c>
      <c r="B136" s="1" t="n">
        <v>43850</v>
      </c>
      <c r="C136" s="1" t="n">
        <v>45587</v>
      </c>
      <c r="D136" t="inlineStr">
        <is>
          <t>DALARNAS LÄN</t>
        </is>
      </c>
      <c r="E136" t="inlineStr">
        <is>
          <t>HEDEMORA</t>
        </is>
      </c>
      <c r="G136" t="n">
        <v>0.8</v>
      </c>
      <c r="H136" t="n">
        <v>0</v>
      </c>
      <c r="I136" t="n">
        <v>0</v>
      </c>
      <c r="J136" t="n">
        <v>0</v>
      </c>
      <c r="K136" t="n">
        <v>0</v>
      </c>
      <c r="L136" t="n">
        <v>0</v>
      </c>
      <c r="M136" t="n">
        <v>0</v>
      </c>
      <c r="N136" t="n">
        <v>0</v>
      </c>
      <c r="O136" t="n">
        <v>0</v>
      </c>
      <c r="P136" t="n">
        <v>0</v>
      </c>
      <c r="Q136" t="n">
        <v>0</v>
      </c>
      <c r="R136" s="2" t="inlineStr"/>
    </row>
    <row r="137" ht="15" customHeight="1">
      <c r="A137" t="inlineStr">
        <is>
          <t>A 3127-2020</t>
        </is>
      </c>
      <c r="B137" s="1" t="n">
        <v>43851</v>
      </c>
      <c r="C137" s="1" t="n">
        <v>45587</v>
      </c>
      <c r="D137" t="inlineStr">
        <is>
          <t>DALARNAS LÄN</t>
        </is>
      </c>
      <c r="E137" t="inlineStr">
        <is>
          <t>HEDEMORA</t>
        </is>
      </c>
      <c r="G137" t="n">
        <v>1.5</v>
      </c>
      <c r="H137" t="n">
        <v>0</v>
      </c>
      <c r="I137" t="n">
        <v>0</v>
      </c>
      <c r="J137" t="n">
        <v>0</v>
      </c>
      <c r="K137" t="n">
        <v>0</v>
      </c>
      <c r="L137" t="n">
        <v>0</v>
      </c>
      <c r="M137" t="n">
        <v>0</v>
      </c>
      <c r="N137" t="n">
        <v>0</v>
      </c>
      <c r="O137" t="n">
        <v>0</v>
      </c>
      <c r="P137" t="n">
        <v>0</v>
      </c>
      <c r="Q137" t="n">
        <v>0</v>
      </c>
      <c r="R137" s="2" t="inlineStr"/>
    </row>
    <row r="138" ht="15" customHeight="1">
      <c r="A138" t="inlineStr">
        <is>
          <t>A 5353-2020</t>
        </is>
      </c>
      <c r="B138" s="1" t="n">
        <v>43860</v>
      </c>
      <c r="C138" s="1" t="n">
        <v>45587</v>
      </c>
      <c r="D138" t="inlineStr">
        <is>
          <t>DALARNAS LÄN</t>
        </is>
      </c>
      <c r="E138" t="inlineStr">
        <is>
          <t>HEDEMORA</t>
        </is>
      </c>
      <c r="G138" t="n">
        <v>2.4</v>
      </c>
      <c r="H138" t="n">
        <v>0</v>
      </c>
      <c r="I138" t="n">
        <v>0</v>
      </c>
      <c r="J138" t="n">
        <v>0</v>
      </c>
      <c r="K138" t="n">
        <v>0</v>
      </c>
      <c r="L138" t="n">
        <v>0</v>
      </c>
      <c r="M138" t="n">
        <v>0</v>
      </c>
      <c r="N138" t="n">
        <v>0</v>
      </c>
      <c r="O138" t="n">
        <v>0</v>
      </c>
      <c r="P138" t="n">
        <v>0</v>
      </c>
      <c r="Q138" t="n">
        <v>0</v>
      </c>
      <c r="R138" s="2" t="inlineStr"/>
    </row>
    <row r="139" ht="15" customHeight="1">
      <c r="A139" t="inlineStr">
        <is>
          <t>A 5752-2020</t>
        </is>
      </c>
      <c r="B139" s="1" t="n">
        <v>43864</v>
      </c>
      <c r="C139" s="1" t="n">
        <v>45587</v>
      </c>
      <c r="D139" t="inlineStr">
        <is>
          <t>DALARNAS LÄN</t>
        </is>
      </c>
      <c r="E139" t="inlineStr">
        <is>
          <t>HEDEMORA</t>
        </is>
      </c>
      <c r="G139" t="n">
        <v>2.6</v>
      </c>
      <c r="H139" t="n">
        <v>0</v>
      </c>
      <c r="I139" t="n">
        <v>0</v>
      </c>
      <c r="J139" t="n">
        <v>0</v>
      </c>
      <c r="K139" t="n">
        <v>0</v>
      </c>
      <c r="L139" t="n">
        <v>0</v>
      </c>
      <c r="M139" t="n">
        <v>0</v>
      </c>
      <c r="N139" t="n">
        <v>0</v>
      </c>
      <c r="O139" t="n">
        <v>0</v>
      </c>
      <c r="P139" t="n">
        <v>0</v>
      </c>
      <c r="Q139" t="n">
        <v>0</v>
      </c>
      <c r="R139" s="2" t="inlineStr"/>
    </row>
    <row r="140" ht="15" customHeight="1">
      <c r="A140" t="inlineStr">
        <is>
          <t>A 5763-2020</t>
        </is>
      </c>
      <c r="B140" s="1" t="n">
        <v>43864</v>
      </c>
      <c r="C140" s="1" t="n">
        <v>45587</v>
      </c>
      <c r="D140" t="inlineStr">
        <is>
          <t>DALARNAS LÄN</t>
        </is>
      </c>
      <c r="E140" t="inlineStr">
        <is>
          <t>HEDEMORA</t>
        </is>
      </c>
      <c r="G140" t="n">
        <v>0.9</v>
      </c>
      <c r="H140" t="n">
        <v>0</v>
      </c>
      <c r="I140" t="n">
        <v>0</v>
      </c>
      <c r="J140" t="n">
        <v>0</v>
      </c>
      <c r="K140" t="n">
        <v>0</v>
      </c>
      <c r="L140" t="n">
        <v>0</v>
      </c>
      <c r="M140" t="n">
        <v>0</v>
      </c>
      <c r="N140" t="n">
        <v>0</v>
      </c>
      <c r="O140" t="n">
        <v>0</v>
      </c>
      <c r="P140" t="n">
        <v>0</v>
      </c>
      <c r="Q140" t="n">
        <v>0</v>
      </c>
      <c r="R140" s="2" t="inlineStr"/>
    </row>
    <row r="141" ht="15" customHeight="1">
      <c r="A141" t="inlineStr">
        <is>
          <t>A 5950-2020</t>
        </is>
      </c>
      <c r="B141" s="1" t="n">
        <v>43864</v>
      </c>
      <c r="C141" s="1" t="n">
        <v>45587</v>
      </c>
      <c r="D141" t="inlineStr">
        <is>
          <t>DALARNAS LÄN</t>
        </is>
      </c>
      <c r="E141" t="inlineStr">
        <is>
          <t>HEDEMORA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6795-2020</t>
        </is>
      </c>
      <c r="B142" s="1" t="n">
        <v>43867</v>
      </c>
      <c r="C142" s="1" t="n">
        <v>45587</v>
      </c>
      <c r="D142" t="inlineStr">
        <is>
          <t>DALARNAS LÄN</t>
        </is>
      </c>
      <c r="E142" t="inlineStr">
        <is>
          <t>HEDEMORA</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6794-2020</t>
        </is>
      </c>
      <c r="B143" s="1" t="n">
        <v>43867</v>
      </c>
      <c r="C143" s="1" t="n">
        <v>45587</v>
      </c>
      <c r="D143" t="inlineStr">
        <is>
          <t>DALARNAS LÄN</t>
        </is>
      </c>
      <c r="E143" t="inlineStr">
        <is>
          <t>HEDEMORA</t>
        </is>
      </c>
      <c r="F143" t="inlineStr">
        <is>
          <t>Sveaskog</t>
        </is>
      </c>
      <c r="G143" t="n">
        <v>0.4</v>
      </c>
      <c r="H143" t="n">
        <v>0</v>
      </c>
      <c r="I143" t="n">
        <v>0</v>
      </c>
      <c r="J143" t="n">
        <v>0</v>
      </c>
      <c r="K143" t="n">
        <v>0</v>
      </c>
      <c r="L143" t="n">
        <v>0</v>
      </c>
      <c r="M143" t="n">
        <v>0</v>
      </c>
      <c r="N143" t="n">
        <v>0</v>
      </c>
      <c r="O143" t="n">
        <v>0</v>
      </c>
      <c r="P143" t="n">
        <v>0</v>
      </c>
      <c r="Q143" t="n">
        <v>0</v>
      </c>
      <c r="R143" s="2" t="inlineStr"/>
    </row>
    <row r="144" ht="15" customHeight="1">
      <c r="A144" t="inlineStr">
        <is>
          <t>A 7209-2020</t>
        </is>
      </c>
      <c r="B144" s="1" t="n">
        <v>43871</v>
      </c>
      <c r="C144" s="1" t="n">
        <v>45587</v>
      </c>
      <c r="D144" t="inlineStr">
        <is>
          <t>DALARNAS LÄN</t>
        </is>
      </c>
      <c r="E144" t="inlineStr">
        <is>
          <t>HEDEMORA</t>
        </is>
      </c>
      <c r="G144" t="n">
        <v>1.1</v>
      </c>
      <c r="H144" t="n">
        <v>0</v>
      </c>
      <c r="I144" t="n">
        <v>0</v>
      </c>
      <c r="J144" t="n">
        <v>0</v>
      </c>
      <c r="K144" t="n">
        <v>0</v>
      </c>
      <c r="L144" t="n">
        <v>0</v>
      </c>
      <c r="M144" t="n">
        <v>0</v>
      </c>
      <c r="N144" t="n">
        <v>0</v>
      </c>
      <c r="O144" t="n">
        <v>0</v>
      </c>
      <c r="P144" t="n">
        <v>0</v>
      </c>
      <c r="Q144" t="n">
        <v>0</v>
      </c>
      <c r="R144" s="2" t="inlineStr"/>
    </row>
    <row r="145" ht="15" customHeight="1">
      <c r="A145" t="inlineStr">
        <is>
          <t>A 7434-2020</t>
        </is>
      </c>
      <c r="B145" s="1" t="n">
        <v>43871</v>
      </c>
      <c r="C145" s="1" t="n">
        <v>45587</v>
      </c>
      <c r="D145" t="inlineStr">
        <is>
          <t>DALARNAS LÄN</t>
        </is>
      </c>
      <c r="E145" t="inlineStr">
        <is>
          <t>HEDEMORA</t>
        </is>
      </c>
      <c r="G145" t="n">
        <v>4.3</v>
      </c>
      <c r="H145" t="n">
        <v>0</v>
      </c>
      <c r="I145" t="n">
        <v>0</v>
      </c>
      <c r="J145" t="n">
        <v>0</v>
      </c>
      <c r="K145" t="n">
        <v>0</v>
      </c>
      <c r="L145" t="n">
        <v>0</v>
      </c>
      <c r="M145" t="n">
        <v>0</v>
      </c>
      <c r="N145" t="n">
        <v>0</v>
      </c>
      <c r="O145" t="n">
        <v>0</v>
      </c>
      <c r="P145" t="n">
        <v>0</v>
      </c>
      <c r="Q145" t="n">
        <v>0</v>
      </c>
      <c r="R145" s="2" t="inlineStr"/>
    </row>
    <row r="146" ht="15" customHeight="1">
      <c r="A146" t="inlineStr">
        <is>
          <t>A 8181-2020</t>
        </is>
      </c>
      <c r="B146" s="1" t="n">
        <v>43874</v>
      </c>
      <c r="C146" s="1" t="n">
        <v>45587</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8489-2020</t>
        </is>
      </c>
      <c r="B147" s="1" t="n">
        <v>43875</v>
      </c>
      <c r="C147" s="1" t="n">
        <v>45587</v>
      </c>
      <c r="D147" t="inlineStr">
        <is>
          <t>DALARNAS LÄN</t>
        </is>
      </c>
      <c r="E147" t="inlineStr">
        <is>
          <t>HEDEMORA</t>
        </is>
      </c>
      <c r="G147" t="n">
        <v>0.5</v>
      </c>
      <c r="H147" t="n">
        <v>0</v>
      </c>
      <c r="I147" t="n">
        <v>0</v>
      </c>
      <c r="J147" t="n">
        <v>0</v>
      </c>
      <c r="K147" t="n">
        <v>0</v>
      </c>
      <c r="L147" t="n">
        <v>0</v>
      </c>
      <c r="M147" t="n">
        <v>0</v>
      </c>
      <c r="N147" t="n">
        <v>0</v>
      </c>
      <c r="O147" t="n">
        <v>0</v>
      </c>
      <c r="P147" t="n">
        <v>0</v>
      </c>
      <c r="Q147" t="n">
        <v>0</v>
      </c>
      <c r="R147" s="2" t="inlineStr"/>
    </row>
    <row r="148" ht="15" customHeight="1">
      <c r="A148" t="inlineStr">
        <is>
          <t>A 8494-2020</t>
        </is>
      </c>
      <c r="B148" s="1" t="n">
        <v>43875</v>
      </c>
      <c r="C148" s="1" t="n">
        <v>45587</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9042-2020</t>
        </is>
      </c>
      <c r="B149" s="1" t="n">
        <v>43879</v>
      </c>
      <c r="C149" s="1" t="n">
        <v>45587</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9054-2020</t>
        </is>
      </c>
      <c r="B150" s="1" t="n">
        <v>43879</v>
      </c>
      <c r="C150" s="1" t="n">
        <v>45587</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9491-2020</t>
        </is>
      </c>
      <c r="B151" s="1" t="n">
        <v>43880</v>
      </c>
      <c r="C151" s="1" t="n">
        <v>45587</v>
      </c>
      <c r="D151" t="inlineStr">
        <is>
          <t>DALARNAS LÄN</t>
        </is>
      </c>
      <c r="E151" t="inlineStr">
        <is>
          <t>HEDEMORA</t>
        </is>
      </c>
      <c r="G151" t="n">
        <v>1.9</v>
      </c>
      <c r="H151" t="n">
        <v>0</v>
      </c>
      <c r="I151" t="n">
        <v>0</v>
      </c>
      <c r="J151" t="n">
        <v>0</v>
      </c>
      <c r="K151" t="n">
        <v>0</v>
      </c>
      <c r="L151" t="n">
        <v>0</v>
      </c>
      <c r="M151" t="n">
        <v>0</v>
      </c>
      <c r="N151" t="n">
        <v>0</v>
      </c>
      <c r="O151" t="n">
        <v>0</v>
      </c>
      <c r="P151" t="n">
        <v>0</v>
      </c>
      <c r="Q151" t="n">
        <v>0</v>
      </c>
      <c r="R151" s="2" t="inlineStr"/>
    </row>
    <row r="152" ht="15" customHeight="1">
      <c r="A152" t="inlineStr">
        <is>
          <t>A 9714-2020</t>
        </is>
      </c>
      <c r="B152" s="1" t="n">
        <v>43881</v>
      </c>
      <c r="C152" s="1" t="n">
        <v>45587</v>
      </c>
      <c r="D152" t="inlineStr">
        <is>
          <t>DALARNAS LÄN</t>
        </is>
      </c>
      <c r="E152" t="inlineStr">
        <is>
          <t>HEDEMORA</t>
        </is>
      </c>
      <c r="G152" t="n">
        <v>0.6</v>
      </c>
      <c r="H152" t="n">
        <v>0</v>
      </c>
      <c r="I152" t="n">
        <v>0</v>
      </c>
      <c r="J152" t="n">
        <v>0</v>
      </c>
      <c r="K152" t="n">
        <v>0</v>
      </c>
      <c r="L152" t="n">
        <v>0</v>
      </c>
      <c r="M152" t="n">
        <v>0</v>
      </c>
      <c r="N152" t="n">
        <v>0</v>
      </c>
      <c r="O152" t="n">
        <v>0</v>
      </c>
      <c r="P152" t="n">
        <v>0</v>
      </c>
      <c r="Q152" t="n">
        <v>0</v>
      </c>
      <c r="R152" s="2" t="inlineStr"/>
    </row>
    <row r="153" ht="15" customHeight="1">
      <c r="A153" t="inlineStr">
        <is>
          <t>A 10507-2020</t>
        </is>
      </c>
      <c r="B153" s="1" t="n">
        <v>43886</v>
      </c>
      <c r="C153" s="1" t="n">
        <v>45587</v>
      </c>
      <c r="D153" t="inlineStr">
        <is>
          <t>DALARNAS LÄN</t>
        </is>
      </c>
      <c r="E153" t="inlineStr">
        <is>
          <t>HEDEMORA</t>
        </is>
      </c>
      <c r="G153" t="n">
        <v>1.7</v>
      </c>
      <c r="H153" t="n">
        <v>0</v>
      </c>
      <c r="I153" t="n">
        <v>0</v>
      </c>
      <c r="J153" t="n">
        <v>0</v>
      </c>
      <c r="K153" t="n">
        <v>0</v>
      </c>
      <c r="L153" t="n">
        <v>0</v>
      </c>
      <c r="M153" t="n">
        <v>0</v>
      </c>
      <c r="N153" t="n">
        <v>0</v>
      </c>
      <c r="O153" t="n">
        <v>0</v>
      </c>
      <c r="P153" t="n">
        <v>0</v>
      </c>
      <c r="Q153" t="n">
        <v>0</v>
      </c>
      <c r="R153" s="2" t="inlineStr"/>
    </row>
    <row r="154" ht="15" customHeight="1">
      <c r="A154" t="inlineStr">
        <is>
          <t>A 11894-2020</t>
        </is>
      </c>
      <c r="B154" s="1" t="n">
        <v>43894</v>
      </c>
      <c r="C154" s="1" t="n">
        <v>45587</v>
      </c>
      <c r="D154" t="inlineStr">
        <is>
          <t>DALARNAS LÄN</t>
        </is>
      </c>
      <c r="E154" t="inlineStr">
        <is>
          <t>HEDEMORA</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13872-2020</t>
        </is>
      </c>
      <c r="B155" s="1" t="n">
        <v>43906</v>
      </c>
      <c r="C155" s="1" t="n">
        <v>45587</v>
      </c>
      <c r="D155" t="inlineStr">
        <is>
          <t>DALARNAS LÄN</t>
        </is>
      </c>
      <c r="E155" t="inlineStr">
        <is>
          <t>HEDEMORA</t>
        </is>
      </c>
      <c r="F155" t="inlineStr">
        <is>
          <t>Övriga Aktiebolag</t>
        </is>
      </c>
      <c r="G155" t="n">
        <v>5.4</v>
      </c>
      <c r="H155" t="n">
        <v>0</v>
      </c>
      <c r="I155" t="n">
        <v>0</v>
      </c>
      <c r="J155" t="n">
        <v>0</v>
      </c>
      <c r="K155" t="n">
        <v>0</v>
      </c>
      <c r="L155" t="n">
        <v>0</v>
      </c>
      <c r="M155" t="n">
        <v>0</v>
      </c>
      <c r="N155" t="n">
        <v>0</v>
      </c>
      <c r="O155" t="n">
        <v>0</v>
      </c>
      <c r="P155" t="n">
        <v>0</v>
      </c>
      <c r="Q155" t="n">
        <v>0</v>
      </c>
      <c r="R155" s="2" t="inlineStr"/>
    </row>
    <row r="156" ht="15" customHeight="1">
      <c r="A156" t="inlineStr">
        <is>
          <t>A 14117-2020</t>
        </is>
      </c>
      <c r="B156" s="1" t="n">
        <v>43907</v>
      </c>
      <c r="C156" s="1" t="n">
        <v>45587</v>
      </c>
      <c r="D156" t="inlineStr">
        <is>
          <t>DALARNAS LÄN</t>
        </is>
      </c>
      <c r="E156" t="inlineStr">
        <is>
          <t>HEDEMORA</t>
        </is>
      </c>
      <c r="G156" t="n">
        <v>1.6</v>
      </c>
      <c r="H156" t="n">
        <v>0</v>
      </c>
      <c r="I156" t="n">
        <v>0</v>
      </c>
      <c r="J156" t="n">
        <v>0</v>
      </c>
      <c r="K156" t="n">
        <v>0</v>
      </c>
      <c r="L156" t="n">
        <v>0</v>
      </c>
      <c r="M156" t="n">
        <v>0</v>
      </c>
      <c r="N156" t="n">
        <v>0</v>
      </c>
      <c r="O156" t="n">
        <v>0</v>
      </c>
      <c r="P156" t="n">
        <v>0</v>
      </c>
      <c r="Q156" t="n">
        <v>0</v>
      </c>
      <c r="R156" s="2" t="inlineStr"/>
    </row>
    <row r="157" ht="15" customHeight="1">
      <c r="A157" t="inlineStr">
        <is>
          <t>A 14554-2020</t>
        </is>
      </c>
      <c r="B157" s="1" t="n">
        <v>43908</v>
      </c>
      <c r="C157" s="1" t="n">
        <v>45587</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c r="U157">
        <f>HYPERLINK("https://klasma.github.io/Logging_2083/knärot/A 14554-2020 karta knärot.png", "A 14554-2020")</f>
        <v/>
      </c>
      <c r="V157">
        <f>HYPERLINK("https://klasma.github.io/Logging_2083/klagomål/A 14554-2020 FSC-klagomål.docx", "A 14554-2020")</f>
        <v/>
      </c>
      <c r="W157">
        <f>HYPERLINK("https://klasma.github.io/Logging_2083/klagomålsmail/A 14554-2020 FSC-klagomål mail.docx", "A 14554-2020")</f>
        <v/>
      </c>
      <c r="X157">
        <f>HYPERLINK("https://klasma.github.io/Logging_2083/tillsyn/A 14554-2020 tillsynsbegäran.docx", "A 14554-2020")</f>
        <v/>
      </c>
      <c r="Y157">
        <f>HYPERLINK("https://klasma.github.io/Logging_2083/tillsynsmail/A 14554-2020 tillsynsbegäran mail.docx", "A 14554-2020")</f>
        <v/>
      </c>
    </row>
    <row r="158" ht="15" customHeight="1">
      <c r="A158" t="inlineStr">
        <is>
          <t>A 16641-2020</t>
        </is>
      </c>
      <c r="B158" s="1" t="n">
        <v>43910</v>
      </c>
      <c r="C158" s="1" t="n">
        <v>45587</v>
      </c>
      <c r="D158" t="inlineStr">
        <is>
          <t>DALARNAS LÄN</t>
        </is>
      </c>
      <c r="E158" t="inlineStr">
        <is>
          <t>HEDEMORA</t>
        </is>
      </c>
      <c r="G158" t="n">
        <v>3.3</v>
      </c>
      <c r="H158" t="n">
        <v>0</v>
      </c>
      <c r="I158" t="n">
        <v>0</v>
      </c>
      <c r="J158" t="n">
        <v>0</v>
      </c>
      <c r="K158" t="n">
        <v>0</v>
      </c>
      <c r="L158" t="n">
        <v>0</v>
      </c>
      <c r="M158" t="n">
        <v>0</v>
      </c>
      <c r="N158" t="n">
        <v>0</v>
      </c>
      <c r="O158" t="n">
        <v>0</v>
      </c>
      <c r="P158" t="n">
        <v>0</v>
      </c>
      <c r="Q158" t="n">
        <v>0</v>
      </c>
      <c r="R158" s="2" t="inlineStr"/>
    </row>
    <row r="159" ht="15" customHeight="1">
      <c r="A159" t="inlineStr">
        <is>
          <t>A 17585-2020</t>
        </is>
      </c>
      <c r="B159" s="1" t="n">
        <v>43923</v>
      </c>
      <c r="C159" s="1" t="n">
        <v>45587</v>
      </c>
      <c r="D159" t="inlineStr">
        <is>
          <t>DALARNAS LÄN</t>
        </is>
      </c>
      <c r="E159" t="inlineStr">
        <is>
          <t>HEDEMORA</t>
        </is>
      </c>
      <c r="G159" t="n">
        <v>0.7</v>
      </c>
      <c r="H159" t="n">
        <v>0</v>
      </c>
      <c r="I159" t="n">
        <v>0</v>
      </c>
      <c r="J159" t="n">
        <v>0</v>
      </c>
      <c r="K159" t="n">
        <v>0</v>
      </c>
      <c r="L159" t="n">
        <v>0</v>
      </c>
      <c r="M159" t="n">
        <v>0</v>
      </c>
      <c r="N159" t="n">
        <v>0</v>
      </c>
      <c r="O159" t="n">
        <v>0</v>
      </c>
      <c r="P159" t="n">
        <v>0</v>
      </c>
      <c r="Q159" t="n">
        <v>0</v>
      </c>
      <c r="R159" s="2" t="inlineStr"/>
    </row>
    <row r="160" ht="15" customHeight="1">
      <c r="A160" t="inlineStr">
        <is>
          <t>A 18955-2020</t>
        </is>
      </c>
      <c r="B160" s="1" t="n">
        <v>43935</v>
      </c>
      <c r="C160" s="1" t="n">
        <v>45587</v>
      </c>
      <c r="D160" t="inlineStr">
        <is>
          <t>DALARNAS LÄN</t>
        </is>
      </c>
      <c r="E160" t="inlineStr">
        <is>
          <t>HEDEMORA</t>
        </is>
      </c>
      <c r="G160" t="n">
        <v>1.4</v>
      </c>
      <c r="H160" t="n">
        <v>0</v>
      </c>
      <c r="I160" t="n">
        <v>0</v>
      </c>
      <c r="J160" t="n">
        <v>0</v>
      </c>
      <c r="K160" t="n">
        <v>0</v>
      </c>
      <c r="L160" t="n">
        <v>0</v>
      </c>
      <c r="M160" t="n">
        <v>0</v>
      </c>
      <c r="N160" t="n">
        <v>0</v>
      </c>
      <c r="O160" t="n">
        <v>0</v>
      </c>
      <c r="P160" t="n">
        <v>0</v>
      </c>
      <c r="Q160" t="n">
        <v>0</v>
      </c>
      <c r="R160" s="2" t="inlineStr"/>
    </row>
    <row r="161" ht="15" customHeight="1">
      <c r="A161" t="inlineStr">
        <is>
          <t>A 18824-2020</t>
        </is>
      </c>
      <c r="B161" s="1" t="n">
        <v>43935</v>
      </c>
      <c r="C161" s="1" t="n">
        <v>45587</v>
      </c>
      <c r="D161" t="inlineStr">
        <is>
          <t>DALARNAS LÄN</t>
        </is>
      </c>
      <c r="E161" t="inlineStr">
        <is>
          <t>HEDEMORA</t>
        </is>
      </c>
      <c r="F161" t="inlineStr">
        <is>
          <t>Sveaskog</t>
        </is>
      </c>
      <c r="G161" t="n">
        <v>22.7</v>
      </c>
      <c r="H161" t="n">
        <v>0</v>
      </c>
      <c r="I161" t="n">
        <v>0</v>
      </c>
      <c r="J161" t="n">
        <v>0</v>
      </c>
      <c r="K161" t="n">
        <v>0</v>
      </c>
      <c r="L161" t="n">
        <v>0</v>
      </c>
      <c r="M161" t="n">
        <v>0</v>
      </c>
      <c r="N161" t="n">
        <v>0</v>
      </c>
      <c r="O161" t="n">
        <v>0</v>
      </c>
      <c r="P161" t="n">
        <v>0</v>
      </c>
      <c r="Q161" t="n">
        <v>0</v>
      </c>
      <c r="R161" s="2" t="inlineStr"/>
    </row>
    <row r="162" ht="15" customHeight="1">
      <c r="A162" t="inlineStr">
        <is>
          <t>A 20804-2020</t>
        </is>
      </c>
      <c r="B162" s="1" t="n">
        <v>43949</v>
      </c>
      <c r="C162" s="1" t="n">
        <v>45587</v>
      </c>
      <c r="D162" t="inlineStr">
        <is>
          <t>DALARNAS LÄN</t>
        </is>
      </c>
      <c r="E162" t="inlineStr">
        <is>
          <t>HEDEMORA</t>
        </is>
      </c>
      <c r="G162" t="n">
        <v>4.7</v>
      </c>
      <c r="H162" t="n">
        <v>0</v>
      </c>
      <c r="I162" t="n">
        <v>0</v>
      </c>
      <c r="J162" t="n">
        <v>0</v>
      </c>
      <c r="K162" t="n">
        <v>0</v>
      </c>
      <c r="L162" t="n">
        <v>0</v>
      </c>
      <c r="M162" t="n">
        <v>0</v>
      </c>
      <c r="N162" t="n">
        <v>0</v>
      </c>
      <c r="O162" t="n">
        <v>0</v>
      </c>
      <c r="P162" t="n">
        <v>0</v>
      </c>
      <c r="Q162" t="n">
        <v>0</v>
      </c>
      <c r="R162" s="2" t="inlineStr"/>
    </row>
    <row r="163" ht="15" customHeight="1">
      <c r="A163" t="inlineStr">
        <is>
          <t>A 21254-2020</t>
        </is>
      </c>
      <c r="B163" s="1" t="n">
        <v>43955</v>
      </c>
      <c r="C163" s="1" t="n">
        <v>45587</v>
      </c>
      <c r="D163" t="inlineStr">
        <is>
          <t>DALARNAS LÄN</t>
        </is>
      </c>
      <c r="E163" t="inlineStr">
        <is>
          <t>HEDEMORA</t>
        </is>
      </c>
      <c r="F163" t="inlineStr">
        <is>
          <t>Sveaskog</t>
        </is>
      </c>
      <c r="G163" t="n">
        <v>8.4</v>
      </c>
      <c r="H163" t="n">
        <v>0</v>
      </c>
      <c r="I163" t="n">
        <v>0</v>
      </c>
      <c r="J163" t="n">
        <v>0</v>
      </c>
      <c r="K163" t="n">
        <v>0</v>
      </c>
      <c r="L163" t="n">
        <v>0</v>
      </c>
      <c r="M163" t="n">
        <v>0</v>
      </c>
      <c r="N163" t="n">
        <v>0</v>
      </c>
      <c r="O163" t="n">
        <v>0</v>
      </c>
      <c r="P163" t="n">
        <v>0</v>
      </c>
      <c r="Q163" t="n">
        <v>0</v>
      </c>
      <c r="R163" s="2" t="inlineStr"/>
    </row>
    <row r="164" ht="15" customHeight="1">
      <c r="A164" t="inlineStr">
        <is>
          <t>A 21252-2020</t>
        </is>
      </c>
      <c r="B164" s="1" t="n">
        <v>43955</v>
      </c>
      <c r="C164" s="1" t="n">
        <v>45587</v>
      </c>
      <c r="D164" t="inlineStr">
        <is>
          <t>DALARNAS LÄN</t>
        </is>
      </c>
      <c r="E164" t="inlineStr">
        <is>
          <t>HEDEMORA</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21458-2020</t>
        </is>
      </c>
      <c r="B165" s="1" t="n">
        <v>43956</v>
      </c>
      <c r="C165" s="1" t="n">
        <v>45587</v>
      </c>
      <c r="D165" t="inlineStr">
        <is>
          <t>DALARNAS LÄN</t>
        </is>
      </c>
      <c r="E165" t="inlineStr">
        <is>
          <t>HEDEMORA</t>
        </is>
      </c>
      <c r="G165" t="n">
        <v>3.4</v>
      </c>
      <c r="H165" t="n">
        <v>0</v>
      </c>
      <c r="I165" t="n">
        <v>0</v>
      </c>
      <c r="J165" t="n">
        <v>0</v>
      </c>
      <c r="K165" t="n">
        <v>0</v>
      </c>
      <c r="L165" t="n">
        <v>0</v>
      </c>
      <c r="M165" t="n">
        <v>0</v>
      </c>
      <c r="N165" t="n">
        <v>0</v>
      </c>
      <c r="O165" t="n">
        <v>0</v>
      </c>
      <c r="P165" t="n">
        <v>0</v>
      </c>
      <c r="Q165" t="n">
        <v>0</v>
      </c>
      <c r="R165" s="2" t="inlineStr"/>
    </row>
    <row r="166" ht="15" customHeight="1">
      <c r="A166" t="inlineStr">
        <is>
          <t>A 22374-2020</t>
        </is>
      </c>
      <c r="B166" s="1" t="n">
        <v>43962</v>
      </c>
      <c r="C166" s="1" t="n">
        <v>45587</v>
      </c>
      <c r="D166" t="inlineStr">
        <is>
          <t>DALARNAS LÄN</t>
        </is>
      </c>
      <c r="E166" t="inlineStr">
        <is>
          <t>HEDEMORA</t>
        </is>
      </c>
      <c r="F166" t="inlineStr">
        <is>
          <t>Kommuner</t>
        </is>
      </c>
      <c r="G166" t="n">
        <v>9.1</v>
      </c>
      <c r="H166" t="n">
        <v>0</v>
      </c>
      <c r="I166" t="n">
        <v>0</v>
      </c>
      <c r="J166" t="n">
        <v>0</v>
      </c>
      <c r="K166" t="n">
        <v>0</v>
      </c>
      <c r="L166" t="n">
        <v>0</v>
      </c>
      <c r="M166" t="n">
        <v>0</v>
      </c>
      <c r="N166" t="n">
        <v>0</v>
      </c>
      <c r="O166" t="n">
        <v>0</v>
      </c>
      <c r="P166" t="n">
        <v>0</v>
      </c>
      <c r="Q166" t="n">
        <v>0</v>
      </c>
      <c r="R166" s="2" t="inlineStr"/>
    </row>
    <row r="167" ht="15" customHeight="1">
      <c r="A167" t="inlineStr">
        <is>
          <t>A 23402-2020</t>
        </is>
      </c>
      <c r="B167" s="1" t="n">
        <v>43968</v>
      </c>
      <c r="C167" s="1" t="n">
        <v>45587</v>
      </c>
      <c r="D167" t="inlineStr">
        <is>
          <t>DALARNAS LÄN</t>
        </is>
      </c>
      <c r="E167" t="inlineStr">
        <is>
          <t>HEDEMORA</t>
        </is>
      </c>
      <c r="G167" t="n">
        <v>2.9</v>
      </c>
      <c r="H167" t="n">
        <v>0</v>
      </c>
      <c r="I167" t="n">
        <v>0</v>
      </c>
      <c r="J167" t="n">
        <v>0</v>
      </c>
      <c r="K167" t="n">
        <v>0</v>
      </c>
      <c r="L167" t="n">
        <v>0</v>
      </c>
      <c r="M167" t="n">
        <v>0</v>
      </c>
      <c r="N167" t="n">
        <v>0</v>
      </c>
      <c r="O167" t="n">
        <v>0</v>
      </c>
      <c r="P167" t="n">
        <v>0</v>
      </c>
      <c r="Q167" t="n">
        <v>0</v>
      </c>
      <c r="R167" s="2" t="inlineStr"/>
    </row>
    <row r="168" ht="15" customHeight="1">
      <c r="A168" t="inlineStr">
        <is>
          <t>A 23401-2020</t>
        </is>
      </c>
      <c r="B168" s="1" t="n">
        <v>43968</v>
      </c>
      <c r="C168" s="1" t="n">
        <v>45587</v>
      </c>
      <c r="D168" t="inlineStr">
        <is>
          <t>DALARNAS LÄN</t>
        </is>
      </c>
      <c r="E168" t="inlineStr">
        <is>
          <t>HEDEMORA</t>
        </is>
      </c>
      <c r="G168" t="n">
        <v>2.5</v>
      </c>
      <c r="H168" t="n">
        <v>0</v>
      </c>
      <c r="I168" t="n">
        <v>0</v>
      </c>
      <c r="J168" t="n">
        <v>0</v>
      </c>
      <c r="K168" t="n">
        <v>0</v>
      </c>
      <c r="L168" t="n">
        <v>0</v>
      </c>
      <c r="M168" t="n">
        <v>0</v>
      </c>
      <c r="N168" t="n">
        <v>0</v>
      </c>
      <c r="O168" t="n">
        <v>0</v>
      </c>
      <c r="P168" t="n">
        <v>0</v>
      </c>
      <c r="Q168" t="n">
        <v>0</v>
      </c>
      <c r="R168" s="2" t="inlineStr"/>
    </row>
    <row r="169" ht="15" customHeight="1">
      <c r="A169" t="inlineStr">
        <is>
          <t>A 23872-2020</t>
        </is>
      </c>
      <c r="B169" s="1" t="n">
        <v>43971</v>
      </c>
      <c r="C169" s="1" t="n">
        <v>45587</v>
      </c>
      <c r="D169" t="inlineStr">
        <is>
          <t>DALARNAS LÄN</t>
        </is>
      </c>
      <c r="E169" t="inlineStr">
        <is>
          <t>HEDEMORA</t>
        </is>
      </c>
      <c r="G169" t="n">
        <v>3.5</v>
      </c>
      <c r="H169" t="n">
        <v>0</v>
      </c>
      <c r="I169" t="n">
        <v>0</v>
      </c>
      <c r="J169" t="n">
        <v>0</v>
      </c>
      <c r="K169" t="n">
        <v>0</v>
      </c>
      <c r="L169" t="n">
        <v>0</v>
      </c>
      <c r="M169" t="n">
        <v>0</v>
      </c>
      <c r="N169" t="n">
        <v>0</v>
      </c>
      <c r="O169" t="n">
        <v>0</v>
      </c>
      <c r="P169" t="n">
        <v>0</v>
      </c>
      <c r="Q169" t="n">
        <v>0</v>
      </c>
      <c r="R169" s="2" t="inlineStr"/>
    </row>
    <row r="170" ht="15" customHeight="1">
      <c r="A170" t="inlineStr">
        <is>
          <t>A 24759-2020</t>
        </is>
      </c>
      <c r="B170" s="1" t="n">
        <v>43978</v>
      </c>
      <c r="C170" s="1" t="n">
        <v>45587</v>
      </c>
      <c r="D170" t="inlineStr">
        <is>
          <t>DALARNAS LÄN</t>
        </is>
      </c>
      <c r="E170" t="inlineStr">
        <is>
          <t>HEDEMORA</t>
        </is>
      </c>
      <c r="F170" t="inlineStr">
        <is>
          <t>Sveaskog</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25623-2020</t>
        </is>
      </c>
      <c r="B171" s="1" t="n">
        <v>43983</v>
      </c>
      <c r="C171" s="1" t="n">
        <v>45587</v>
      </c>
      <c r="D171" t="inlineStr">
        <is>
          <t>DALARNAS LÄN</t>
        </is>
      </c>
      <c r="E171" t="inlineStr">
        <is>
          <t>HEDEMORA</t>
        </is>
      </c>
      <c r="G171" t="n">
        <v>1.5</v>
      </c>
      <c r="H171" t="n">
        <v>0</v>
      </c>
      <c r="I171" t="n">
        <v>0</v>
      </c>
      <c r="J171" t="n">
        <v>0</v>
      </c>
      <c r="K171" t="n">
        <v>0</v>
      </c>
      <c r="L171" t="n">
        <v>0</v>
      </c>
      <c r="M171" t="n">
        <v>0</v>
      </c>
      <c r="N171" t="n">
        <v>0</v>
      </c>
      <c r="O171" t="n">
        <v>0</v>
      </c>
      <c r="P171" t="n">
        <v>0</v>
      </c>
      <c r="Q171" t="n">
        <v>0</v>
      </c>
      <c r="R171" s="2" t="inlineStr"/>
    </row>
    <row r="172" ht="15" customHeight="1">
      <c r="A172" t="inlineStr">
        <is>
          <t>A 25657-2020</t>
        </is>
      </c>
      <c r="B172" s="1" t="n">
        <v>43983</v>
      </c>
      <c r="C172" s="1" t="n">
        <v>45587</v>
      </c>
      <c r="D172" t="inlineStr">
        <is>
          <t>DALARNAS LÄN</t>
        </is>
      </c>
      <c r="E172" t="inlineStr">
        <is>
          <t>HEDEMORA</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27050-2020</t>
        </is>
      </c>
      <c r="B173" s="1" t="n">
        <v>43991</v>
      </c>
      <c r="C173" s="1" t="n">
        <v>45587</v>
      </c>
      <c r="D173" t="inlineStr">
        <is>
          <t>DALARNAS LÄN</t>
        </is>
      </c>
      <c r="E173" t="inlineStr">
        <is>
          <t>HEDEMORA</t>
        </is>
      </c>
      <c r="F173" t="inlineStr">
        <is>
          <t>Övriga Aktiebolag</t>
        </is>
      </c>
      <c r="G173" t="n">
        <v>3.3</v>
      </c>
      <c r="H173" t="n">
        <v>0</v>
      </c>
      <c r="I173" t="n">
        <v>0</v>
      </c>
      <c r="J173" t="n">
        <v>0</v>
      </c>
      <c r="K173" t="n">
        <v>0</v>
      </c>
      <c r="L173" t="n">
        <v>0</v>
      </c>
      <c r="M173" t="n">
        <v>0</v>
      </c>
      <c r="N173" t="n">
        <v>0</v>
      </c>
      <c r="O173" t="n">
        <v>0</v>
      </c>
      <c r="P173" t="n">
        <v>0</v>
      </c>
      <c r="Q173" t="n">
        <v>0</v>
      </c>
      <c r="R173" s="2" t="inlineStr"/>
    </row>
    <row r="174" ht="15" customHeight="1">
      <c r="A174" t="inlineStr">
        <is>
          <t>A 27076-2020</t>
        </is>
      </c>
      <c r="B174" s="1" t="n">
        <v>43991</v>
      </c>
      <c r="C174" s="1" t="n">
        <v>45587</v>
      </c>
      <c r="D174" t="inlineStr">
        <is>
          <t>DALARNAS LÄN</t>
        </is>
      </c>
      <c r="E174" t="inlineStr">
        <is>
          <t>HEDEMORA</t>
        </is>
      </c>
      <c r="F174" t="inlineStr">
        <is>
          <t>Övriga Aktiebolag</t>
        </is>
      </c>
      <c r="G174" t="n">
        <v>10.4</v>
      </c>
      <c r="H174" t="n">
        <v>0</v>
      </c>
      <c r="I174" t="n">
        <v>0</v>
      </c>
      <c r="J174" t="n">
        <v>0</v>
      </c>
      <c r="K174" t="n">
        <v>0</v>
      </c>
      <c r="L174" t="n">
        <v>0</v>
      </c>
      <c r="M174" t="n">
        <v>0</v>
      </c>
      <c r="N174" t="n">
        <v>0</v>
      </c>
      <c r="O174" t="n">
        <v>0</v>
      </c>
      <c r="P174" t="n">
        <v>0</v>
      </c>
      <c r="Q174" t="n">
        <v>0</v>
      </c>
      <c r="R174" s="2" t="inlineStr"/>
    </row>
    <row r="175" ht="15" customHeight="1">
      <c r="A175" t="inlineStr">
        <is>
          <t>A 31502-2020</t>
        </is>
      </c>
      <c r="B175" s="1" t="n">
        <v>44013</v>
      </c>
      <c r="C175" s="1" t="n">
        <v>45587</v>
      </c>
      <c r="D175" t="inlineStr">
        <is>
          <t>DALARNAS LÄN</t>
        </is>
      </c>
      <c r="E175" t="inlineStr">
        <is>
          <t>HEDEMORA</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31579-2020</t>
        </is>
      </c>
      <c r="B176" s="1" t="n">
        <v>44013</v>
      </c>
      <c r="C176" s="1" t="n">
        <v>45587</v>
      </c>
      <c r="D176" t="inlineStr">
        <is>
          <t>DALARNAS LÄN</t>
        </is>
      </c>
      <c r="E176" t="inlineStr">
        <is>
          <t>HEDEMORA</t>
        </is>
      </c>
      <c r="G176" t="n">
        <v>1.4</v>
      </c>
      <c r="H176" t="n">
        <v>0</v>
      </c>
      <c r="I176" t="n">
        <v>0</v>
      </c>
      <c r="J176" t="n">
        <v>0</v>
      </c>
      <c r="K176" t="n">
        <v>0</v>
      </c>
      <c r="L176" t="n">
        <v>0</v>
      </c>
      <c r="M176" t="n">
        <v>0</v>
      </c>
      <c r="N176" t="n">
        <v>0</v>
      </c>
      <c r="O176" t="n">
        <v>0</v>
      </c>
      <c r="P176" t="n">
        <v>0</v>
      </c>
      <c r="Q176" t="n">
        <v>0</v>
      </c>
      <c r="R176" s="2" t="inlineStr"/>
    </row>
    <row r="177" ht="15" customHeight="1">
      <c r="A177" t="inlineStr">
        <is>
          <t>A 32508-2020</t>
        </is>
      </c>
      <c r="B177" s="1" t="n">
        <v>44018</v>
      </c>
      <c r="C177" s="1" t="n">
        <v>45587</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row>
    <row r="178" ht="15" customHeight="1">
      <c r="A178" t="inlineStr">
        <is>
          <t>A 35786-2020</t>
        </is>
      </c>
      <c r="B178" s="1" t="n">
        <v>44046</v>
      </c>
      <c r="C178" s="1" t="n">
        <v>45587</v>
      </c>
      <c r="D178" t="inlineStr">
        <is>
          <t>DALARNAS LÄN</t>
        </is>
      </c>
      <c r="E178" t="inlineStr">
        <is>
          <t>HEDEMORA</t>
        </is>
      </c>
      <c r="G178" t="n">
        <v>1.9</v>
      </c>
      <c r="H178" t="n">
        <v>0</v>
      </c>
      <c r="I178" t="n">
        <v>0</v>
      </c>
      <c r="J178" t="n">
        <v>0</v>
      </c>
      <c r="K178" t="n">
        <v>0</v>
      </c>
      <c r="L178" t="n">
        <v>0</v>
      </c>
      <c r="M178" t="n">
        <v>0</v>
      </c>
      <c r="N178" t="n">
        <v>0</v>
      </c>
      <c r="O178" t="n">
        <v>0</v>
      </c>
      <c r="P178" t="n">
        <v>0</v>
      </c>
      <c r="Q178" t="n">
        <v>0</v>
      </c>
      <c r="R178" s="2" t="inlineStr"/>
    </row>
    <row r="179" ht="15" customHeight="1">
      <c r="A179" t="inlineStr">
        <is>
          <t>A 40865-2020</t>
        </is>
      </c>
      <c r="B179" s="1" t="n">
        <v>44070</v>
      </c>
      <c r="C179" s="1" t="n">
        <v>45587</v>
      </c>
      <c r="D179" t="inlineStr">
        <is>
          <t>DALARNAS LÄN</t>
        </is>
      </c>
      <c r="E179" t="inlineStr">
        <is>
          <t>HEDEMORA</t>
        </is>
      </c>
      <c r="G179" t="n">
        <v>6.1</v>
      </c>
      <c r="H179" t="n">
        <v>0</v>
      </c>
      <c r="I179" t="n">
        <v>0</v>
      </c>
      <c r="J179" t="n">
        <v>0</v>
      </c>
      <c r="K179" t="n">
        <v>0</v>
      </c>
      <c r="L179" t="n">
        <v>0</v>
      </c>
      <c r="M179" t="n">
        <v>0</v>
      </c>
      <c r="N179" t="n">
        <v>0</v>
      </c>
      <c r="O179" t="n">
        <v>0</v>
      </c>
      <c r="P179" t="n">
        <v>0</v>
      </c>
      <c r="Q179" t="n">
        <v>0</v>
      </c>
      <c r="R179" s="2" t="inlineStr"/>
    </row>
    <row r="180" ht="15" customHeight="1">
      <c r="A180" t="inlineStr">
        <is>
          <t>A 40868-2020</t>
        </is>
      </c>
      <c r="B180" s="1" t="n">
        <v>44070</v>
      </c>
      <c r="C180" s="1" t="n">
        <v>45587</v>
      </c>
      <c r="D180" t="inlineStr">
        <is>
          <t>DALARNAS LÄN</t>
        </is>
      </c>
      <c r="E180" t="inlineStr">
        <is>
          <t>HEDEMORA</t>
        </is>
      </c>
      <c r="G180" t="n">
        <v>1.7</v>
      </c>
      <c r="H180" t="n">
        <v>0</v>
      </c>
      <c r="I180" t="n">
        <v>0</v>
      </c>
      <c r="J180" t="n">
        <v>0</v>
      </c>
      <c r="K180" t="n">
        <v>0</v>
      </c>
      <c r="L180" t="n">
        <v>0</v>
      </c>
      <c r="M180" t="n">
        <v>0</v>
      </c>
      <c r="N180" t="n">
        <v>0</v>
      </c>
      <c r="O180" t="n">
        <v>0</v>
      </c>
      <c r="P180" t="n">
        <v>0</v>
      </c>
      <c r="Q180" t="n">
        <v>0</v>
      </c>
      <c r="R180" s="2" t="inlineStr"/>
    </row>
    <row r="181" ht="15" customHeight="1">
      <c r="A181" t="inlineStr">
        <is>
          <t>A 42929-2020</t>
        </is>
      </c>
      <c r="B181" s="1" t="n">
        <v>44078</v>
      </c>
      <c r="C181" s="1" t="n">
        <v>45587</v>
      </c>
      <c r="D181" t="inlineStr">
        <is>
          <t>DALARNAS LÄN</t>
        </is>
      </c>
      <c r="E181" t="inlineStr">
        <is>
          <t>HEDEMORA</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44110-2020</t>
        </is>
      </c>
      <c r="B182" s="1" t="n">
        <v>44083</v>
      </c>
      <c r="C182" s="1" t="n">
        <v>45587</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44098-2020</t>
        </is>
      </c>
      <c r="B183" s="1" t="n">
        <v>44083</v>
      </c>
      <c r="C183" s="1" t="n">
        <v>45587</v>
      </c>
      <c r="D183" t="inlineStr">
        <is>
          <t>DALARNAS LÄN</t>
        </is>
      </c>
      <c r="E183" t="inlineStr">
        <is>
          <t>HEDEMORA</t>
        </is>
      </c>
      <c r="G183" t="n">
        <v>1.3</v>
      </c>
      <c r="H183" t="n">
        <v>0</v>
      </c>
      <c r="I183" t="n">
        <v>0</v>
      </c>
      <c r="J183" t="n">
        <v>0</v>
      </c>
      <c r="K183" t="n">
        <v>0</v>
      </c>
      <c r="L183" t="n">
        <v>0</v>
      </c>
      <c r="M183" t="n">
        <v>0</v>
      </c>
      <c r="N183" t="n">
        <v>0</v>
      </c>
      <c r="O183" t="n">
        <v>0</v>
      </c>
      <c r="P183" t="n">
        <v>0</v>
      </c>
      <c r="Q183" t="n">
        <v>0</v>
      </c>
      <c r="R183" s="2" t="inlineStr"/>
    </row>
    <row r="184" ht="15" customHeight="1">
      <c r="A184" t="inlineStr">
        <is>
          <t>A 45616-2020</t>
        </is>
      </c>
      <c r="B184" s="1" t="n">
        <v>44084</v>
      </c>
      <c r="C184" s="1" t="n">
        <v>45587</v>
      </c>
      <c r="D184" t="inlineStr">
        <is>
          <t>DALARNAS LÄN</t>
        </is>
      </c>
      <c r="E184" t="inlineStr">
        <is>
          <t>HEDEMORA</t>
        </is>
      </c>
      <c r="F184" t="inlineStr">
        <is>
          <t>Bergvik skog väst AB</t>
        </is>
      </c>
      <c r="G184" t="n">
        <v>2.9</v>
      </c>
      <c r="H184" t="n">
        <v>0</v>
      </c>
      <c r="I184" t="n">
        <v>0</v>
      </c>
      <c r="J184" t="n">
        <v>0</v>
      </c>
      <c r="K184" t="n">
        <v>0</v>
      </c>
      <c r="L184" t="n">
        <v>0</v>
      </c>
      <c r="M184" t="n">
        <v>0</v>
      </c>
      <c r="N184" t="n">
        <v>0</v>
      </c>
      <c r="O184" t="n">
        <v>0</v>
      </c>
      <c r="P184" t="n">
        <v>0</v>
      </c>
      <c r="Q184" t="n">
        <v>0</v>
      </c>
      <c r="R184" s="2" t="inlineStr"/>
    </row>
    <row r="185" ht="15" customHeight="1">
      <c r="A185" t="inlineStr">
        <is>
          <t>A 45392-2020</t>
        </is>
      </c>
      <c r="B185" s="1" t="n">
        <v>44085</v>
      </c>
      <c r="C185" s="1" t="n">
        <v>45587</v>
      </c>
      <c r="D185" t="inlineStr">
        <is>
          <t>DALARNAS LÄN</t>
        </is>
      </c>
      <c r="E185" t="inlineStr">
        <is>
          <t>HEDEMORA</t>
        </is>
      </c>
      <c r="F185" t="inlineStr">
        <is>
          <t>Bergvik skog väst AB</t>
        </is>
      </c>
      <c r="G185" t="n">
        <v>2.7</v>
      </c>
      <c r="H185" t="n">
        <v>0</v>
      </c>
      <c r="I185" t="n">
        <v>0</v>
      </c>
      <c r="J185" t="n">
        <v>0</v>
      </c>
      <c r="K185" t="n">
        <v>0</v>
      </c>
      <c r="L185" t="n">
        <v>0</v>
      </c>
      <c r="M185" t="n">
        <v>0</v>
      </c>
      <c r="N185" t="n">
        <v>0</v>
      </c>
      <c r="O185" t="n">
        <v>0</v>
      </c>
      <c r="P185" t="n">
        <v>0</v>
      </c>
      <c r="Q185" t="n">
        <v>0</v>
      </c>
      <c r="R185" s="2" t="inlineStr"/>
    </row>
    <row r="186" ht="15" customHeight="1">
      <c r="A186" t="inlineStr">
        <is>
          <t>A 46393-2020</t>
        </is>
      </c>
      <c r="B186" s="1" t="n">
        <v>44093</v>
      </c>
      <c r="C186" s="1" t="n">
        <v>45587</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46391-2020</t>
        </is>
      </c>
      <c r="B187" s="1" t="n">
        <v>44093</v>
      </c>
      <c r="C187" s="1" t="n">
        <v>45587</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46392-2020</t>
        </is>
      </c>
      <c r="B188" s="1" t="n">
        <v>44093</v>
      </c>
      <c r="C188" s="1" t="n">
        <v>45587</v>
      </c>
      <c r="D188" t="inlineStr">
        <is>
          <t>DALARNAS LÄN</t>
        </is>
      </c>
      <c r="E188" t="inlineStr">
        <is>
          <t>HEDEMORA</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49271-2020</t>
        </is>
      </c>
      <c r="B189" s="1" t="n">
        <v>44105</v>
      </c>
      <c r="C189" s="1" t="n">
        <v>45587</v>
      </c>
      <c r="D189" t="inlineStr">
        <is>
          <t>DALARNAS LÄN</t>
        </is>
      </c>
      <c r="E189" t="inlineStr">
        <is>
          <t>HEDEMORA</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49760-2020</t>
        </is>
      </c>
      <c r="B190" s="1" t="n">
        <v>44106</v>
      </c>
      <c r="C190" s="1" t="n">
        <v>45587</v>
      </c>
      <c r="D190" t="inlineStr">
        <is>
          <t>DALARNAS LÄN</t>
        </is>
      </c>
      <c r="E190" t="inlineStr">
        <is>
          <t>HEDEMORA</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49758-2020</t>
        </is>
      </c>
      <c r="B191" s="1" t="n">
        <v>44106</v>
      </c>
      <c r="C191" s="1" t="n">
        <v>45587</v>
      </c>
      <c r="D191" t="inlineStr">
        <is>
          <t>DALARNAS LÄN</t>
        </is>
      </c>
      <c r="E191" t="inlineStr">
        <is>
          <t>HEDEMORA</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51495-2020</t>
        </is>
      </c>
      <c r="B192" s="1" t="n">
        <v>44113</v>
      </c>
      <c r="C192" s="1" t="n">
        <v>45587</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54347-2020</t>
        </is>
      </c>
      <c r="B193" s="1" t="n">
        <v>44126</v>
      </c>
      <c r="C193" s="1" t="n">
        <v>45587</v>
      </c>
      <c r="D193" t="inlineStr">
        <is>
          <t>DALARNAS LÄN</t>
        </is>
      </c>
      <c r="E193" t="inlineStr">
        <is>
          <t>HEDEMORA</t>
        </is>
      </c>
      <c r="G193" t="n">
        <v>4.1</v>
      </c>
      <c r="H193" t="n">
        <v>0</v>
      </c>
      <c r="I193" t="n">
        <v>0</v>
      </c>
      <c r="J193" t="n">
        <v>0</v>
      </c>
      <c r="K193" t="n">
        <v>0</v>
      </c>
      <c r="L193" t="n">
        <v>0</v>
      </c>
      <c r="M193" t="n">
        <v>0</v>
      </c>
      <c r="N193" t="n">
        <v>0</v>
      </c>
      <c r="O193" t="n">
        <v>0</v>
      </c>
      <c r="P193" t="n">
        <v>0</v>
      </c>
      <c r="Q193" t="n">
        <v>0</v>
      </c>
      <c r="R193" s="2" t="inlineStr"/>
    </row>
    <row r="194" ht="15" customHeight="1">
      <c r="A194" t="inlineStr">
        <is>
          <t>A 57071-2020</t>
        </is>
      </c>
      <c r="B194" s="1" t="n">
        <v>44138</v>
      </c>
      <c r="C194" s="1" t="n">
        <v>45587</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57781-2020</t>
        </is>
      </c>
      <c r="B195" s="1" t="n">
        <v>44141</v>
      </c>
      <c r="C195" s="1" t="n">
        <v>45587</v>
      </c>
      <c r="D195" t="inlineStr">
        <is>
          <t>DALARNAS LÄN</t>
        </is>
      </c>
      <c r="E195" t="inlineStr">
        <is>
          <t>HEDEMORA</t>
        </is>
      </c>
      <c r="G195" t="n">
        <v>3.1</v>
      </c>
      <c r="H195" t="n">
        <v>0</v>
      </c>
      <c r="I195" t="n">
        <v>0</v>
      </c>
      <c r="J195" t="n">
        <v>0</v>
      </c>
      <c r="K195" t="n">
        <v>0</v>
      </c>
      <c r="L195" t="n">
        <v>0</v>
      </c>
      <c r="M195" t="n">
        <v>0</v>
      </c>
      <c r="N195" t="n">
        <v>0</v>
      </c>
      <c r="O195" t="n">
        <v>0</v>
      </c>
      <c r="P195" t="n">
        <v>0</v>
      </c>
      <c r="Q195" t="n">
        <v>0</v>
      </c>
      <c r="R195" s="2" t="inlineStr"/>
    </row>
    <row r="196" ht="15" customHeight="1">
      <c r="A196" t="inlineStr">
        <is>
          <t>A 57936-2020</t>
        </is>
      </c>
      <c r="B196" s="1" t="n">
        <v>44141</v>
      </c>
      <c r="C196" s="1" t="n">
        <v>45587</v>
      </c>
      <c r="D196" t="inlineStr">
        <is>
          <t>DALARNAS LÄN</t>
        </is>
      </c>
      <c r="E196" t="inlineStr">
        <is>
          <t>HEDEMORA</t>
        </is>
      </c>
      <c r="F196" t="inlineStr">
        <is>
          <t>Sveaskog</t>
        </is>
      </c>
      <c r="G196" t="n">
        <v>8</v>
      </c>
      <c r="H196" t="n">
        <v>0</v>
      </c>
      <c r="I196" t="n">
        <v>0</v>
      </c>
      <c r="J196" t="n">
        <v>0</v>
      </c>
      <c r="K196" t="n">
        <v>0</v>
      </c>
      <c r="L196" t="n">
        <v>0</v>
      </c>
      <c r="M196" t="n">
        <v>0</v>
      </c>
      <c r="N196" t="n">
        <v>0</v>
      </c>
      <c r="O196" t="n">
        <v>0</v>
      </c>
      <c r="P196" t="n">
        <v>0</v>
      </c>
      <c r="Q196" t="n">
        <v>0</v>
      </c>
      <c r="R196" s="2" t="inlineStr"/>
    </row>
    <row r="197" ht="15" customHeight="1">
      <c r="A197" t="inlineStr">
        <is>
          <t>A 57779-2020</t>
        </is>
      </c>
      <c r="B197" s="1" t="n">
        <v>44141</v>
      </c>
      <c r="C197" s="1" t="n">
        <v>45587</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58111-2020</t>
        </is>
      </c>
      <c r="B198" s="1" t="n">
        <v>44144</v>
      </c>
      <c r="C198" s="1" t="n">
        <v>45587</v>
      </c>
      <c r="D198" t="inlineStr">
        <is>
          <t>DALARNAS LÄN</t>
        </is>
      </c>
      <c r="E198" t="inlineStr">
        <is>
          <t>HEDEMORA</t>
        </is>
      </c>
      <c r="G198" t="n">
        <v>3.1</v>
      </c>
      <c r="H198" t="n">
        <v>0</v>
      </c>
      <c r="I198" t="n">
        <v>0</v>
      </c>
      <c r="J198" t="n">
        <v>0</v>
      </c>
      <c r="K198" t="n">
        <v>0</v>
      </c>
      <c r="L198" t="n">
        <v>0</v>
      </c>
      <c r="M198" t="n">
        <v>0</v>
      </c>
      <c r="N198" t="n">
        <v>0</v>
      </c>
      <c r="O198" t="n">
        <v>0</v>
      </c>
      <c r="P198" t="n">
        <v>0</v>
      </c>
      <c r="Q198" t="n">
        <v>0</v>
      </c>
      <c r="R198" s="2" t="inlineStr"/>
    </row>
    <row r="199" ht="15" customHeight="1">
      <c r="A199" t="inlineStr">
        <is>
          <t>A 59471-2020</t>
        </is>
      </c>
      <c r="B199" s="1" t="n">
        <v>44148</v>
      </c>
      <c r="C199" s="1" t="n">
        <v>45587</v>
      </c>
      <c r="D199" t="inlineStr">
        <is>
          <t>DALARNAS LÄN</t>
        </is>
      </c>
      <c r="E199" t="inlineStr">
        <is>
          <t>HEDEMORA</t>
        </is>
      </c>
      <c r="G199" t="n">
        <v>1.2</v>
      </c>
      <c r="H199" t="n">
        <v>0</v>
      </c>
      <c r="I199" t="n">
        <v>0</v>
      </c>
      <c r="J199" t="n">
        <v>0</v>
      </c>
      <c r="K199" t="n">
        <v>0</v>
      </c>
      <c r="L199" t="n">
        <v>0</v>
      </c>
      <c r="M199" t="n">
        <v>0</v>
      </c>
      <c r="N199" t="n">
        <v>0</v>
      </c>
      <c r="O199" t="n">
        <v>0</v>
      </c>
      <c r="P199" t="n">
        <v>0</v>
      </c>
      <c r="Q199" t="n">
        <v>0</v>
      </c>
      <c r="R199" s="2" t="inlineStr"/>
    </row>
    <row r="200" ht="15" customHeight="1">
      <c r="A200" t="inlineStr">
        <is>
          <t>A 62373-2020</t>
        </is>
      </c>
      <c r="B200" s="1" t="n">
        <v>44160</v>
      </c>
      <c r="C200" s="1" t="n">
        <v>45587</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c r="U200">
        <f>HYPERLINK("https://klasma.github.io/Logging_2083/knärot/A 62373-2020 karta knärot.png", "A 62373-2020")</f>
        <v/>
      </c>
      <c r="V200">
        <f>HYPERLINK("https://klasma.github.io/Logging_2083/klagomål/A 62373-2020 FSC-klagomål.docx", "A 62373-2020")</f>
        <v/>
      </c>
      <c r="W200">
        <f>HYPERLINK("https://klasma.github.io/Logging_2083/klagomålsmail/A 62373-2020 FSC-klagomål mail.docx", "A 62373-2020")</f>
        <v/>
      </c>
      <c r="X200">
        <f>HYPERLINK("https://klasma.github.io/Logging_2083/tillsyn/A 62373-2020 tillsynsbegäran.docx", "A 62373-2020")</f>
        <v/>
      </c>
      <c r="Y200">
        <f>HYPERLINK("https://klasma.github.io/Logging_2083/tillsynsmail/A 62373-2020 tillsynsbegäran mail.docx", "A 62373-2020")</f>
        <v/>
      </c>
    </row>
    <row r="201" ht="15" customHeight="1">
      <c r="A201" t="inlineStr">
        <is>
          <t>A 62412-2020</t>
        </is>
      </c>
      <c r="B201" s="1" t="n">
        <v>44160</v>
      </c>
      <c r="C201" s="1" t="n">
        <v>45587</v>
      </c>
      <c r="D201" t="inlineStr">
        <is>
          <t>DALARNAS LÄN</t>
        </is>
      </c>
      <c r="E201" t="inlineStr">
        <is>
          <t>HEDEMORA</t>
        </is>
      </c>
      <c r="G201" t="n">
        <v>2.4</v>
      </c>
      <c r="H201" t="n">
        <v>0</v>
      </c>
      <c r="I201" t="n">
        <v>0</v>
      </c>
      <c r="J201" t="n">
        <v>0</v>
      </c>
      <c r="K201" t="n">
        <v>0</v>
      </c>
      <c r="L201" t="n">
        <v>0</v>
      </c>
      <c r="M201" t="n">
        <v>0</v>
      </c>
      <c r="N201" t="n">
        <v>0</v>
      </c>
      <c r="O201" t="n">
        <v>0</v>
      </c>
      <c r="P201" t="n">
        <v>0</v>
      </c>
      <c r="Q201" t="n">
        <v>0</v>
      </c>
      <c r="R201" s="2" t="inlineStr"/>
    </row>
    <row r="202" ht="15" customHeight="1">
      <c r="A202" t="inlineStr">
        <is>
          <t>A 66064-2020</t>
        </is>
      </c>
      <c r="B202" s="1" t="n">
        <v>44175</v>
      </c>
      <c r="C202" s="1" t="n">
        <v>45587</v>
      </c>
      <c r="D202" t="inlineStr">
        <is>
          <t>DALARNAS LÄN</t>
        </is>
      </c>
      <c r="E202" t="inlineStr">
        <is>
          <t>HEDEMORA</t>
        </is>
      </c>
      <c r="G202" t="n">
        <v>1.7</v>
      </c>
      <c r="H202" t="n">
        <v>0</v>
      </c>
      <c r="I202" t="n">
        <v>0</v>
      </c>
      <c r="J202" t="n">
        <v>0</v>
      </c>
      <c r="K202" t="n">
        <v>0</v>
      </c>
      <c r="L202" t="n">
        <v>0</v>
      </c>
      <c r="M202" t="n">
        <v>0</v>
      </c>
      <c r="N202" t="n">
        <v>0</v>
      </c>
      <c r="O202" t="n">
        <v>0</v>
      </c>
      <c r="P202" t="n">
        <v>0</v>
      </c>
      <c r="Q202" t="n">
        <v>0</v>
      </c>
      <c r="R202" s="2" t="inlineStr"/>
    </row>
    <row r="203" ht="15" customHeight="1">
      <c r="A203" t="inlineStr">
        <is>
          <t>A 67062-2020</t>
        </is>
      </c>
      <c r="B203" s="1" t="n">
        <v>44180</v>
      </c>
      <c r="C203" s="1" t="n">
        <v>45587</v>
      </c>
      <c r="D203" t="inlineStr">
        <is>
          <t>DALARNAS LÄN</t>
        </is>
      </c>
      <c r="E203" t="inlineStr">
        <is>
          <t>HEDEMORA</t>
        </is>
      </c>
      <c r="G203" t="n">
        <v>2.9</v>
      </c>
      <c r="H203" t="n">
        <v>0</v>
      </c>
      <c r="I203" t="n">
        <v>0</v>
      </c>
      <c r="J203" t="n">
        <v>0</v>
      </c>
      <c r="K203" t="n">
        <v>0</v>
      </c>
      <c r="L203" t="n">
        <v>0</v>
      </c>
      <c r="M203" t="n">
        <v>0</v>
      </c>
      <c r="N203" t="n">
        <v>0</v>
      </c>
      <c r="O203" t="n">
        <v>0</v>
      </c>
      <c r="P203" t="n">
        <v>0</v>
      </c>
      <c r="Q203" t="n">
        <v>0</v>
      </c>
      <c r="R203" s="2" t="inlineStr"/>
    </row>
    <row r="204" ht="15" customHeight="1">
      <c r="A204" t="inlineStr">
        <is>
          <t>A 653-2021</t>
        </is>
      </c>
      <c r="B204" s="1" t="n">
        <v>44203</v>
      </c>
      <c r="C204" s="1" t="n">
        <v>45587</v>
      </c>
      <c r="D204" t="inlineStr">
        <is>
          <t>DALARNAS LÄN</t>
        </is>
      </c>
      <c r="E204" t="inlineStr">
        <is>
          <t>HEDEMORA</t>
        </is>
      </c>
      <c r="G204" t="n">
        <v>3.8</v>
      </c>
      <c r="H204" t="n">
        <v>0</v>
      </c>
      <c r="I204" t="n">
        <v>0</v>
      </c>
      <c r="J204" t="n">
        <v>0</v>
      </c>
      <c r="K204" t="n">
        <v>0</v>
      </c>
      <c r="L204" t="n">
        <v>0</v>
      </c>
      <c r="M204" t="n">
        <v>0</v>
      </c>
      <c r="N204" t="n">
        <v>0</v>
      </c>
      <c r="O204" t="n">
        <v>0</v>
      </c>
      <c r="P204" t="n">
        <v>0</v>
      </c>
      <c r="Q204" t="n">
        <v>0</v>
      </c>
      <c r="R204" s="2" t="inlineStr"/>
    </row>
    <row r="205" ht="15" customHeight="1">
      <c r="A205" t="inlineStr">
        <is>
          <t>A 1916-2021</t>
        </is>
      </c>
      <c r="B205" s="1" t="n">
        <v>44210</v>
      </c>
      <c r="C205" s="1" t="n">
        <v>45587</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1973-2021</t>
        </is>
      </c>
      <c r="B206" s="1" t="n">
        <v>44210</v>
      </c>
      <c r="C206" s="1" t="n">
        <v>45587</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1978-2021</t>
        </is>
      </c>
      <c r="B207" s="1" t="n">
        <v>44210</v>
      </c>
      <c r="C207" s="1" t="n">
        <v>45587</v>
      </c>
      <c r="D207" t="inlineStr">
        <is>
          <t>DALARNAS LÄN</t>
        </is>
      </c>
      <c r="E207" t="inlineStr">
        <is>
          <t>HEDEMORA</t>
        </is>
      </c>
      <c r="G207" t="n">
        <v>1</v>
      </c>
      <c r="H207" t="n">
        <v>0</v>
      </c>
      <c r="I207" t="n">
        <v>0</v>
      </c>
      <c r="J207" t="n">
        <v>0</v>
      </c>
      <c r="K207" t="n">
        <v>0</v>
      </c>
      <c r="L207" t="n">
        <v>0</v>
      </c>
      <c r="M207" t="n">
        <v>0</v>
      </c>
      <c r="N207" t="n">
        <v>0</v>
      </c>
      <c r="O207" t="n">
        <v>0</v>
      </c>
      <c r="P207" t="n">
        <v>0</v>
      </c>
      <c r="Q207" t="n">
        <v>0</v>
      </c>
      <c r="R207" s="2" t="inlineStr"/>
    </row>
    <row r="208" ht="15" customHeight="1">
      <c r="A208" t="inlineStr">
        <is>
          <t>A 3314-2021</t>
        </is>
      </c>
      <c r="B208" s="1" t="n">
        <v>44217</v>
      </c>
      <c r="C208" s="1" t="n">
        <v>45587</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6185-2021</t>
        </is>
      </c>
      <c r="B209" s="1" t="n">
        <v>44233</v>
      </c>
      <c r="C209" s="1" t="n">
        <v>45587</v>
      </c>
      <c r="D209" t="inlineStr">
        <is>
          <t>DALARNAS LÄN</t>
        </is>
      </c>
      <c r="E209" t="inlineStr">
        <is>
          <t>HEDEMORA</t>
        </is>
      </c>
      <c r="G209" t="n">
        <v>3.3</v>
      </c>
      <c r="H209" t="n">
        <v>0</v>
      </c>
      <c r="I209" t="n">
        <v>0</v>
      </c>
      <c r="J209" t="n">
        <v>0</v>
      </c>
      <c r="K209" t="n">
        <v>0</v>
      </c>
      <c r="L209" t="n">
        <v>0</v>
      </c>
      <c r="M209" t="n">
        <v>0</v>
      </c>
      <c r="N209" t="n">
        <v>0</v>
      </c>
      <c r="O209" t="n">
        <v>0</v>
      </c>
      <c r="P209" t="n">
        <v>0</v>
      </c>
      <c r="Q209" t="n">
        <v>0</v>
      </c>
      <c r="R209" s="2" t="inlineStr"/>
    </row>
    <row r="210" ht="15" customHeight="1">
      <c r="A210" t="inlineStr">
        <is>
          <t>A 6441-2021</t>
        </is>
      </c>
      <c r="B210" s="1" t="n">
        <v>44235</v>
      </c>
      <c r="C210" s="1" t="n">
        <v>45587</v>
      </c>
      <c r="D210" t="inlineStr">
        <is>
          <t>DALARNAS LÄN</t>
        </is>
      </c>
      <c r="E210" t="inlineStr">
        <is>
          <t>HEDEMORA</t>
        </is>
      </c>
      <c r="G210" t="n">
        <v>0.7</v>
      </c>
      <c r="H210" t="n">
        <v>0</v>
      </c>
      <c r="I210" t="n">
        <v>0</v>
      </c>
      <c r="J210" t="n">
        <v>0</v>
      </c>
      <c r="K210" t="n">
        <v>0</v>
      </c>
      <c r="L210" t="n">
        <v>0</v>
      </c>
      <c r="M210" t="n">
        <v>0</v>
      </c>
      <c r="N210" t="n">
        <v>0</v>
      </c>
      <c r="O210" t="n">
        <v>0</v>
      </c>
      <c r="P210" t="n">
        <v>0</v>
      </c>
      <c r="Q210" t="n">
        <v>0</v>
      </c>
      <c r="R210" s="2" t="inlineStr"/>
    </row>
    <row r="211" ht="15" customHeight="1">
      <c r="A211" t="inlineStr">
        <is>
          <t>A 14456-2021</t>
        </is>
      </c>
      <c r="B211" s="1" t="n">
        <v>44279</v>
      </c>
      <c r="C211" s="1" t="n">
        <v>45587</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15125-2021</t>
        </is>
      </c>
      <c r="B212" s="1" t="n">
        <v>44283</v>
      </c>
      <c r="C212" s="1" t="n">
        <v>45587</v>
      </c>
      <c r="D212" t="inlineStr">
        <is>
          <t>DALARNAS LÄN</t>
        </is>
      </c>
      <c r="E212" t="inlineStr">
        <is>
          <t>HEDEMORA</t>
        </is>
      </c>
      <c r="G212" t="n">
        <v>0.9</v>
      </c>
      <c r="H212" t="n">
        <v>0</v>
      </c>
      <c r="I212" t="n">
        <v>0</v>
      </c>
      <c r="J212" t="n">
        <v>0</v>
      </c>
      <c r="K212" t="n">
        <v>0</v>
      </c>
      <c r="L212" t="n">
        <v>0</v>
      </c>
      <c r="M212" t="n">
        <v>0</v>
      </c>
      <c r="N212" t="n">
        <v>0</v>
      </c>
      <c r="O212" t="n">
        <v>0</v>
      </c>
      <c r="P212" t="n">
        <v>0</v>
      </c>
      <c r="Q212" t="n">
        <v>0</v>
      </c>
      <c r="R212" s="2" t="inlineStr"/>
    </row>
    <row r="213" ht="15" customHeight="1">
      <c r="A213" t="inlineStr">
        <is>
          <t>A 15290-2021</t>
        </is>
      </c>
      <c r="B213" s="1" t="n">
        <v>44284</v>
      </c>
      <c r="C213" s="1" t="n">
        <v>45587</v>
      </c>
      <c r="D213" t="inlineStr">
        <is>
          <t>DALARNAS LÄN</t>
        </is>
      </c>
      <c r="E213" t="inlineStr">
        <is>
          <t>HEDEMORA</t>
        </is>
      </c>
      <c r="G213" t="n">
        <v>0.7</v>
      </c>
      <c r="H213" t="n">
        <v>0</v>
      </c>
      <c r="I213" t="n">
        <v>0</v>
      </c>
      <c r="J213" t="n">
        <v>0</v>
      </c>
      <c r="K213" t="n">
        <v>0</v>
      </c>
      <c r="L213" t="n">
        <v>0</v>
      </c>
      <c r="M213" t="n">
        <v>0</v>
      </c>
      <c r="N213" t="n">
        <v>0</v>
      </c>
      <c r="O213" t="n">
        <v>0</v>
      </c>
      <c r="P213" t="n">
        <v>0</v>
      </c>
      <c r="Q213" t="n">
        <v>0</v>
      </c>
      <c r="R213" s="2" t="inlineStr"/>
    </row>
    <row r="214" ht="15" customHeight="1">
      <c r="A214" t="inlineStr">
        <is>
          <t>A 17464-2021</t>
        </is>
      </c>
      <c r="B214" s="1" t="n">
        <v>44299</v>
      </c>
      <c r="C214" s="1" t="n">
        <v>45587</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18522-2021</t>
        </is>
      </c>
      <c r="B215" s="1" t="n">
        <v>44306</v>
      </c>
      <c r="C215" s="1" t="n">
        <v>45587</v>
      </c>
      <c r="D215" t="inlineStr">
        <is>
          <t>DALARNAS LÄN</t>
        </is>
      </c>
      <c r="E215" t="inlineStr">
        <is>
          <t>HEDEMORA</t>
        </is>
      </c>
      <c r="G215" t="n">
        <v>7</v>
      </c>
      <c r="H215" t="n">
        <v>0</v>
      </c>
      <c r="I215" t="n">
        <v>0</v>
      </c>
      <c r="J215" t="n">
        <v>0</v>
      </c>
      <c r="K215" t="n">
        <v>0</v>
      </c>
      <c r="L215" t="n">
        <v>0</v>
      </c>
      <c r="M215" t="n">
        <v>0</v>
      </c>
      <c r="N215" t="n">
        <v>0</v>
      </c>
      <c r="O215" t="n">
        <v>0</v>
      </c>
      <c r="P215" t="n">
        <v>0</v>
      </c>
      <c r="Q215" t="n">
        <v>0</v>
      </c>
      <c r="R215" s="2" t="inlineStr"/>
    </row>
    <row r="216" ht="15" customHeight="1">
      <c r="A216" t="inlineStr">
        <is>
          <t>A 20330-2021</t>
        </is>
      </c>
      <c r="B216" s="1" t="n">
        <v>44315</v>
      </c>
      <c r="C216" s="1" t="n">
        <v>45587</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20353-2021</t>
        </is>
      </c>
      <c r="B217" s="1" t="n">
        <v>44315</v>
      </c>
      <c r="C217" s="1" t="n">
        <v>45587</v>
      </c>
      <c r="D217" t="inlineStr">
        <is>
          <t>DALARNAS LÄN</t>
        </is>
      </c>
      <c r="E217" t="inlineStr">
        <is>
          <t>HEDEMORA</t>
        </is>
      </c>
      <c r="G217" t="n">
        <v>0.5</v>
      </c>
      <c r="H217" t="n">
        <v>0</v>
      </c>
      <c r="I217" t="n">
        <v>0</v>
      </c>
      <c r="J217" t="n">
        <v>0</v>
      </c>
      <c r="K217" t="n">
        <v>0</v>
      </c>
      <c r="L217" t="n">
        <v>0</v>
      </c>
      <c r="M217" t="n">
        <v>0</v>
      </c>
      <c r="N217" t="n">
        <v>0</v>
      </c>
      <c r="O217" t="n">
        <v>0</v>
      </c>
      <c r="P217" t="n">
        <v>0</v>
      </c>
      <c r="Q217" t="n">
        <v>0</v>
      </c>
      <c r="R217" s="2" t="inlineStr"/>
    </row>
    <row r="218" ht="15" customHeight="1">
      <c r="A218" t="inlineStr">
        <is>
          <t>A 21171-2021</t>
        </is>
      </c>
      <c r="B218" s="1" t="n">
        <v>44320</v>
      </c>
      <c r="C218" s="1" t="n">
        <v>45587</v>
      </c>
      <c r="D218" t="inlineStr">
        <is>
          <t>DALARNAS LÄN</t>
        </is>
      </c>
      <c r="E218" t="inlineStr">
        <is>
          <t>HEDEMORA</t>
        </is>
      </c>
      <c r="G218" t="n">
        <v>2.8</v>
      </c>
      <c r="H218" t="n">
        <v>0</v>
      </c>
      <c r="I218" t="n">
        <v>0</v>
      </c>
      <c r="J218" t="n">
        <v>0</v>
      </c>
      <c r="K218" t="n">
        <v>0</v>
      </c>
      <c r="L218" t="n">
        <v>0</v>
      </c>
      <c r="M218" t="n">
        <v>0</v>
      </c>
      <c r="N218" t="n">
        <v>0</v>
      </c>
      <c r="O218" t="n">
        <v>0</v>
      </c>
      <c r="P218" t="n">
        <v>0</v>
      </c>
      <c r="Q218" t="n">
        <v>0</v>
      </c>
      <c r="R218" s="2" t="inlineStr"/>
    </row>
    <row r="219" ht="15" customHeight="1">
      <c r="A219" t="inlineStr">
        <is>
          <t>A 21408-2021</t>
        </is>
      </c>
      <c r="B219" s="1" t="n">
        <v>44321</v>
      </c>
      <c r="C219" s="1" t="n">
        <v>45587</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25641-2021</t>
        </is>
      </c>
      <c r="B220" s="1" t="n">
        <v>44343</v>
      </c>
      <c r="C220" s="1" t="n">
        <v>45587</v>
      </c>
      <c r="D220" t="inlineStr">
        <is>
          <t>DALARNAS LÄN</t>
        </is>
      </c>
      <c r="E220" t="inlineStr">
        <is>
          <t>HEDEMORA</t>
        </is>
      </c>
      <c r="G220" t="n">
        <v>11.2</v>
      </c>
      <c r="H220" t="n">
        <v>0</v>
      </c>
      <c r="I220" t="n">
        <v>0</v>
      </c>
      <c r="J220" t="n">
        <v>0</v>
      </c>
      <c r="K220" t="n">
        <v>0</v>
      </c>
      <c r="L220" t="n">
        <v>0</v>
      </c>
      <c r="M220" t="n">
        <v>0</v>
      </c>
      <c r="N220" t="n">
        <v>0</v>
      </c>
      <c r="O220" t="n">
        <v>0</v>
      </c>
      <c r="P220" t="n">
        <v>0</v>
      </c>
      <c r="Q220" t="n">
        <v>0</v>
      </c>
      <c r="R220" s="2" t="inlineStr"/>
    </row>
    <row r="221" ht="15" customHeight="1">
      <c r="A221" t="inlineStr">
        <is>
          <t>A 26612-2021</t>
        </is>
      </c>
      <c r="B221" s="1" t="n">
        <v>44348</v>
      </c>
      <c r="C221" s="1" t="n">
        <v>45587</v>
      </c>
      <c r="D221" t="inlineStr">
        <is>
          <t>DALARNAS LÄN</t>
        </is>
      </c>
      <c r="E221" t="inlineStr">
        <is>
          <t>HEDEMORA</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28067-2021</t>
        </is>
      </c>
      <c r="B222" s="1" t="n">
        <v>44355</v>
      </c>
      <c r="C222" s="1" t="n">
        <v>45587</v>
      </c>
      <c r="D222" t="inlineStr">
        <is>
          <t>DALARNAS LÄN</t>
        </is>
      </c>
      <c r="E222" t="inlineStr">
        <is>
          <t>HEDEMORA</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29123-2021</t>
        </is>
      </c>
      <c r="B223" s="1" t="n">
        <v>44358</v>
      </c>
      <c r="C223" s="1" t="n">
        <v>45587</v>
      </c>
      <c r="D223" t="inlineStr">
        <is>
          <t>DALARNAS LÄN</t>
        </is>
      </c>
      <c r="E223" t="inlineStr">
        <is>
          <t>HEDEMORA</t>
        </is>
      </c>
      <c r="G223" t="n">
        <v>5.6</v>
      </c>
      <c r="H223" t="n">
        <v>0</v>
      </c>
      <c r="I223" t="n">
        <v>0</v>
      </c>
      <c r="J223" t="n">
        <v>0</v>
      </c>
      <c r="K223" t="n">
        <v>0</v>
      </c>
      <c r="L223" t="n">
        <v>0</v>
      </c>
      <c r="M223" t="n">
        <v>0</v>
      </c>
      <c r="N223" t="n">
        <v>0</v>
      </c>
      <c r="O223" t="n">
        <v>0</v>
      </c>
      <c r="P223" t="n">
        <v>0</v>
      </c>
      <c r="Q223" t="n">
        <v>0</v>
      </c>
      <c r="R223" s="2" t="inlineStr"/>
    </row>
    <row r="224" ht="15" customHeight="1">
      <c r="A224" t="inlineStr">
        <is>
          <t>A 29208-2021</t>
        </is>
      </c>
      <c r="B224" s="1" t="n">
        <v>44359</v>
      </c>
      <c r="C224" s="1" t="n">
        <v>45587</v>
      </c>
      <c r="D224" t="inlineStr">
        <is>
          <t>DALARNAS LÄN</t>
        </is>
      </c>
      <c r="E224" t="inlineStr">
        <is>
          <t>HEDEMORA</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30571-2021</t>
        </is>
      </c>
      <c r="B225" s="1" t="n">
        <v>44364</v>
      </c>
      <c r="C225" s="1" t="n">
        <v>45587</v>
      </c>
      <c r="D225" t="inlineStr">
        <is>
          <t>DALARNAS LÄN</t>
        </is>
      </c>
      <c r="E225" t="inlineStr">
        <is>
          <t>HEDEMORA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30572-2021</t>
        </is>
      </c>
      <c r="B226" s="1" t="n">
        <v>44364</v>
      </c>
      <c r="C226" s="1" t="n">
        <v>45587</v>
      </c>
      <c r="D226" t="inlineStr">
        <is>
          <t>DALARNAS LÄN</t>
        </is>
      </c>
      <c r="E226" t="inlineStr">
        <is>
          <t>HEDEMORA</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30573-2021</t>
        </is>
      </c>
      <c r="B227" s="1" t="n">
        <v>44364</v>
      </c>
      <c r="C227" s="1" t="n">
        <v>45587</v>
      </c>
      <c r="D227" t="inlineStr">
        <is>
          <t>DALARNAS LÄN</t>
        </is>
      </c>
      <c r="E227" t="inlineStr">
        <is>
          <t>HEDEMORA</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30574-2021</t>
        </is>
      </c>
      <c r="B228" s="1" t="n">
        <v>44364</v>
      </c>
      <c r="C228" s="1" t="n">
        <v>45587</v>
      </c>
      <c r="D228" t="inlineStr">
        <is>
          <t>DALARNAS LÄN</t>
        </is>
      </c>
      <c r="E228" t="inlineStr">
        <is>
          <t>HEDEMORA</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32071-2021</t>
        </is>
      </c>
      <c r="B229" s="1" t="n">
        <v>44370</v>
      </c>
      <c r="C229" s="1" t="n">
        <v>45587</v>
      </c>
      <c r="D229" t="inlineStr">
        <is>
          <t>DALARNAS LÄN</t>
        </is>
      </c>
      <c r="E229" t="inlineStr">
        <is>
          <t>HEDEMORA</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32073-2021</t>
        </is>
      </c>
      <c r="B230" s="1" t="n">
        <v>44370</v>
      </c>
      <c r="C230" s="1" t="n">
        <v>45587</v>
      </c>
      <c r="D230" t="inlineStr">
        <is>
          <t>DALARNAS LÄN</t>
        </is>
      </c>
      <c r="E230" t="inlineStr">
        <is>
          <t>HEDEMORA</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35792-2021</t>
        </is>
      </c>
      <c r="B231" s="1" t="n">
        <v>44386</v>
      </c>
      <c r="C231" s="1" t="n">
        <v>45587</v>
      </c>
      <c r="D231" t="inlineStr">
        <is>
          <t>DALARNAS LÄN</t>
        </is>
      </c>
      <c r="E231" t="inlineStr">
        <is>
          <t>HEDEMORA</t>
        </is>
      </c>
      <c r="F231" t="inlineStr">
        <is>
          <t>Bergvik skog väst AB</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36943-2021</t>
        </is>
      </c>
      <c r="B232" s="1" t="n">
        <v>44393</v>
      </c>
      <c r="C232" s="1" t="n">
        <v>45587</v>
      </c>
      <c r="D232" t="inlineStr">
        <is>
          <t>DALARNAS LÄN</t>
        </is>
      </c>
      <c r="E232" t="inlineStr">
        <is>
          <t>HEDEMORA</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39411-2021</t>
        </is>
      </c>
      <c r="B233" s="1" t="n">
        <v>44414</v>
      </c>
      <c r="C233" s="1" t="n">
        <v>45587</v>
      </c>
      <c r="D233" t="inlineStr">
        <is>
          <t>DALARNAS LÄN</t>
        </is>
      </c>
      <c r="E233" t="inlineStr">
        <is>
          <t>HEDEMORA</t>
        </is>
      </c>
      <c r="F233" t="inlineStr">
        <is>
          <t>Bergvik skog väst AB</t>
        </is>
      </c>
      <c r="G233" t="n">
        <v>3.3</v>
      </c>
      <c r="H233" t="n">
        <v>0</v>
      </c>
      <c r="I233" t="n">
        <v>0</v>
      </c>
      <c r="J233" t="n">
        <v>0</v>
      </c>
      <c r="K233" t="n">
        <v>0</v>
      </c>
      <c r="L233" t="n">
        <v>0</v>
      </c>
      <c r="M233" t="n">
        <v>0</v>
      </c>
      <c r="N233" t="n">
        <v>0</v>
      </c>
      <c r="O233" t="n">
        <v>0</v>
      </c>
      <c r="P233" t="n">
        <v>0</v>
      </c>
      <c r="Q233" t="n">
        <v>0</v>
      </c>
      <c r="R233" s="2" t="inlineStr"/>
    </row>
    <row r="234" ht="15" customHeight="1">
      <c r="A234" t="inlineStr">
        <is>
          <t>A 40930-2021</t>
        </is>
      </c>
      <c r="B234" s="1" t="n">
        <v>44421</v>
      </c>
      <c r="C234" s="1" t="n">
        <v>45587</v>
      </c>
      <c r="D234" t="inlineStr">
        <is>
          <t>DALARNAS LÄN</t>
        </is>
      </c>
      <c r="E234" t="inlineStr">
        <is>
          <t>HEDEMORA</t>
        </is>
      </c>
      <c r="G234" t="n">
        <v>6.5</v>
      </c>
      <c r="H234" t="n">
        <v>0</v>
      </c>
      <c r="I234" t="n">
        <v>0</v>
      </c>
      <c r="J234" t="n">
        <v>0</v>
      </c>
      <c r="K234" t="n">
        <v>0</v>
      </c>
      <c r="L234" t="n">
        <v>0</v>
      </c>
      <c r="M234" t="n">
        <v>0</v>
      </c>
      <c r="N234" t="n">
        <v>0</v>
      </c>
      <c r="O234" t="n">
        <v>0</v>
      </c>
      <c r="P234" t="n">
        <v>0</v>
      </c>
      <c r="Q234" t="n">
        <v>0</v>
      </c>
      <c r="R234" s="2" t="inlineStr"/>
    </row>
    <row r="235" ht="15" customHeight="1">
      <c r="A235" t="inlineStr">
        <is>
          <t>A 40938-2021</t>
        </is>
      </c>
      <c r="B235" s="1" t="n">
        <v>44421</v>
      </c>
      <c r="C235" s="1" t="n">
        <v>45587</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41047-2021</t>
        </is>
      </c>
      <c r="B236" s="1" t="n">
        <v>44421</v>
      </c>
      <c r="C236" s="1" t="n">
        <v>45587</v>
      </c>
      <c r="D236" t="inlineStr">
        <is>
          <t>DALARNAS LÄN</t>
        </is>
      </c>
      <c r="E236" t="inlineStr">
        <is>
          <t>HEDEMORA</t>
        </is>
      </c>
      <c r="F236" t="inlineStr">
        <is>
          <t>Sveaskog</t>
        </is>
      </c>
      <c r="G236" t="n">
        <v>3.2</v>
      </c>
      <c r="H236" t="n">
        <v>0</v>
      </c>
      <c r="I236" t="n">
        <v>0</v>
      </c>
      <c r="J236" t="n">
        <v>0</v>
      </c>
      <c r="K236" t="n">
        <v>0</v>
      </c>
      <c r="L236" t="n">
        <v>0</v>
      </c>
      <c r="M236" t="n">
        <v>0</v>
      </c>
      <c r="N236" t="n">
        <v>0</v>
      </c>
      <c r="O236" t="n">
        <v>0</v>
      </c>
      <c r="P236" t="n">
        <v>0</v>
      </c>
      <c r="Q236" t="n">
        <v>0</v>
      </c>
      <c r="R236" s="2" t="inlineStr"/>
      <c r="U236">
        <f>HYPERLINK("https://klasma.github.io/Logging_2083/knärot/A 41047-2021 karta knärot.png", "A 41047-2021")</f>
        <v/>
      </c>
      <c r="V236">
        <f>HYPERLINK("https://klasma.github.io/Logging_2083/klagomål/A 41047-2021 FSC-klagomål.docx", "A 41047-2021")</f>
        <v/>
      </c>
      <c r="W236">
        <f>HYPERLINK("https://klasma.github.io/Logging_2083/klagomålsmail/A 41047-2021 FSC-klagomål mail.docx", "A 41047-2021")</f>
        <v/>
      </c>
      <c r="X236">
        <f>HYPERLINK("https://klasma.github.io/Logging_2083/tillsyn/A 41047-2021 tillsynsbegäran.docx", "A 41047-2021")</f>
        <v/>
      </c>
      <c r="Y236">
        <f>HYPERLINK("https://klasma.github.io/Logging_2083/tillsynsmail/A 41047-2021 tillsynsbegäran mail.docx", "A 41047-2021")</f>
        <v/>
      </c>
    </row>
    <row r="237" ht="15" customHeight="1">
      <c r="A237" t="inlineStr">
        <is>
          <t>A 44065-2021</t>
        </is>
      </c>
      <c r="B237" s="1" t="n">
        <v>44434</v>
      </c>
      <c r="C237" s="1" t="n">
        <v>45587</v>
      </c>
      <c r="D237" t="inlineStr">
        <is>
          <t>DALARNAS LÄN</t>
        </is>
      </c>
      <c r="E237" t="inlineStr">
        <is>
          <t>HEDEMORA</t>
        </is>
      </c>
      <c r="F237" t="inlineStr">
        <is>
          <t>Bergvik skog väst AB</t>
        </is>
      </c>
      <c r="G237" t="n">
        <v>9.1</v>
      </c>
      <c r="H237" t="n">
        <v>0</v>
      </c>
      <c r="I237" t="n">
        <v>0</v>
      </c>
      <c r="J237" t="n">
        <v>0</v>
      </c>
      <c r="K237" t="n">
        <v>0</v>
      </c>
      <c r="L237" t="n">
        <v>0</v>
      </c>
      <c r="M237" t="n">
        <v>0</v>
      </c>
      <c r="N237" t="n">
        <v>0</v>
      </c>
      <c r="O237" t="n">
        <v>0</v>
      </c>
      <c r="P237" t="n">
        <v>0</v>
      </c>
      <c r="Q237" t="n">
        <v>0</v>
      </c>
      <c r="R237" s="2" t="inlineStr"/>
    </row>
    <row r="238" ht="15" customHeight="1">
      <c r="A238" t="inlineStr">
        <is>
          <t>A 44960-2021</t>
        </is>
      </c>
      <c r="B238" s="1" t="n">
        <v>44438</v>
      </c>
      <c r="C238" s="1" t="n">
        <v>45587</v>
      </c>
      <c r="D238" t="inlineStr">
        <is>
          <t>DALARNAS LÄN</t>
        </is>
      </c>
      <c r="E238" t="inlineStr">
        <is>
          <t>HEDEMORA</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44957-2021</t>
        </is>
      </c>
      <c r="B239" s="1" t="n">
        <v>44438</v>
      </c>
      <c r="C239" s="1" t="n">
        <v>45587</v>
      </c>
      <c r="D239" t="inlineStr">
        <is>
          <t>DALARNAS LÄN</t>
        </is>
      </c>
      <c r="E239" t="inlineStr">
        <is>
          <t>HEDEMORA</t>
        </is>
      </c>
      <c r="F239" t="inlineStr">
        <is>
          <t>Sveaskog</t>
        </is>
      </c>
      <c r="G239" t="n">
        <v>4.5</v>
      </c>
      <c r="H239" t="n">
        <v>0</v>
      </c>
      <c r="I239" t="n">
        <v>0</v>
      </c>
      <c r="J239" t="n">
        <v>0</v>
      </c>
      <c r="K239" t="n">
        <v>0</v>
      </c>
      <c r="L239" t="n">
        <v>0</v>
      </c>
      <c r="M239" t="n">
        <v>0</v>
      </c>
      <c r="N239" t="n">
        <v>0</v>
      </c>
      <c r="O239" t="n">
        <v>0</v>
      </c>
      <c r="P239" t="n">
        <v>0</v>
      </c>
      <c r="Q239" t="n">
        <v>0</v>
      </c>
      <c r="R239" s="2" t="inlineStr"/>
    </row>
    <row r="240" ht="15" customHeight="1">
      <c r="A240" t="inlineStr">
        <is>
          <t>A 44966-2021</t>
        </is>
      </c>
      <c r="B240" s="1" t="n">
        <v>44438</v>
      </c>
      <c r="C240" s="1" t="n">
        <v>45587</v>
      </c>
      <c r="D240" t="inlineStr">
        <is>
          <t>DALARNAS LÄN</t>
        </is>
      </c>
      <c r="E240" t="inlineStr">
        <is>
          <t>HEDEMORA</t>
        </is>
      </c>
      <c r="F240" t="inlineStr">
        <is>
          <t>Sveaskog</t>
        </is>
      </c>
      <c r="G240" t="n">
        <v>5.6</v>
      </c>
      <c r="H240" t="n">
        <v>0</v>
      </c>
      <c r="I240" t="n">
        <v>0</v>
      </c>
      <c r="J240" t="n">
        <v>0</v>
      </c>
      <c r="K240" t="n">
        <v>0</v>
      </c>
      <c r="L240" t="n">
        <v>0</v>
      </c>
      <c r="M240" t="n">
        <v>0</v>
      </c>
      <c r="N240" t="n">
        <v>0</v>
      </c>
      <c r="O240" t="n">
        <v>0</v>
      </c>
      <c r="P240" t="n">
        <v>0</v>
      </c>
      <c r="Q240" t="n">
        <v>0</v>
      </c>
      <c r="R240" s="2" t="inlineStr"/>
    </row>
    <row r="241" ht="15" customHeight="1">
      <c r="A241" t="inlineStr">
        <is>
          <t>A 46235-2021</t>
        </is>
      </c>
      <c r="B241" s="1" t="n">
        <v>44442</v>
      </c>
      <c r="C241" s="1" t="n">
        <v>45587</v>
      </c>
      <c r="D241" t="inlineStr">
        <is>
          <t>DALARNAS LÄN</t>
        </is>
      </c>
      <c r="E241" t="inlineStr">
        <is>
          <t>HEDEMORA</t>
        </is>
      </c>
      <c r="G241" t="n">
        <v>2.5</v>
      </c>
      <c r="H241" t="n">
        <v>0</v>
      </c>
      <c r="I241" t="n">
        <v>0</v>
      </c>
      <c r="J241" t="n">
        <v>0</v>
      </c>
      <c r="K241" t="n">
        <v>0</v>
      </c>
      <c r="L241" t="n">
        <v>0</v>
      </c>
      <c r="M241" t="n">
        <v>0</v>
      </c>
      <c r="N241" t="n">
        <v>0</v>
      </c>
      <c r="O241" t="n">
        <v>0</v>
      </c>
      <c r="P241" t="n">
        <v>0</v>
      </c>
      <c r="Q241" t="n">
        <v>0</v>
      </c>
      <c r="R241" s="2" t="inlineStr"/>
    </row>
    <row r="242" ht="15" customHeight="1">
      <c r="A242" t="inlineStr">
        <is>
          <t>A 48323-2021</t>
        </is>
      </c>
      <c r="B242" s="1" t="n">
        <v>44450</v>
      </c>
      <c r="C242" s="1" t="n">
        <v>45587</v>
      </c>
      <c r="D242" t="inlineStr">
        <is>
          <t>DALARNAS LÄN</t>
        </is>
      </c>
      <c r="E242" t="inlineStr">
        <is>
          <t>HEDEMORA</t>
        </is>
      </c>
      <c r="G242" t="n">
        <v>0.9</v>
      </c>
      <c r="H242" t="n">
        <v>0</v>
      </c>
      <c r="I242" t="n">
        <v>0</v>
      </c>
      <c r="J242" t="n">
        <v>0</v>
      </c>
      <c r="K242" t="n">
        <v>0</v>
      </c>
      <c r="L242" t="n">
        <v>0</v>
      </c>
      <c r="M242" t="n">
        <v>0</v>
      </c>
      <c r="N242" t="n">
        <v>0</v>
      </c>
      <c r="O242" t="n">
        <v>0</v>
      </c>
      <c r="P242" t="n">
        <v>0</v>
      </c>
      <c r="Q242" t="n">
        <v>0</v>
      </c>
      <c r="R242" s="2" t="inlineStr"/>
    </row>
    <row r="243" ht="15" customHeight="1">
      <c r="A243" t="inlineStr">
        <is>
          <t>A 49636-2021</t>
        </is>
      </c>
      <c r="B243" s="1" t="n">
        <v>44455</v>
      </c>
      <c r="C243" s="1" t="n">
        <v>45587</v>
      </c>
      <c r="D243" t="inlineStr">
        <is>
          <t>DALARNAS LÄN</t>
        </is>
      </c>
      <c r="E243" t="inlineStr">
        <is>
          <t>HEDEMORA</t>
        </is>
      </c>
      <c r="G243" t="n">
        <v>1.3</v>
      </c>
      <c r="H243" t="n">
        <v>0</v>
      </c>
      <c r="I243" t="n">
        <v>0</v>
      </c>
      <c r="J243" t="n">
        <v>0</v>
      </c>
      <c r="K243" t="n">
        <v>0</v>
      </c>
      <c r="L243" t="n">
        <v>0</v>
      </c>
      <c r="M243" t="n">
        <v>0</v>
      </c>
      <c r="N243" t="n">
        <v>0</v>
      </c>
      <c r="O243" t="n">
        <v>0</v>
      </c>
      <c r="P243" t="n">
        <v>0</v>
      </c>
      <c r="Q243" t="n">
        <v>0</v>
      </c>
      <c r="R243" s="2" t="inlineStr"/>
    </row>
    <row r="244" ht="15" customHeight="1">
      <c r="A244" t="inlineStr">
        <is>
          <t>A 50441-2021</t>
        </is>
      </c>
      <c r="B244" s="1" t="n">
        <v>44456</v>
      </c>
      <c r="C244" s="1" t="n">
        <v>45587</v>
      </c>
      <c r="D244" t="inlineStr">
        <is>
          <t>DALARNAS LÄN</t>
        </is>
      </c>
      <c r="E244" t="inlineStr">
        <is>
          <t>HEDEMORA</t>
        </is>
      </c>
      <c r="F244" t="inlineStr">
        <is>
          <t>Bergvik skog väst AB</t>
        </is>
      </c>
      <c r="G244" t="n">
        <v>6.4</v>
      </c>
      <c r="H244" t="n">
        <v>0</v>
      </c>
      <c r="I244" t="n">
        <v>0</v>
      </c>
      <c r="J244" t="n">
        <v>0</v>
      </c>
      <c r="K244" t="n">
        <v>0</v>
      </c>
      <c r="L244" t="n">
        <v>0</v>
      </c>
      <c r="M244" t="n">
        <v>0</v>
      </c>
      <c r="N244" t="n">
        <v>0</v>
      </c>
      <c r="O244" t="n">
        <v>0</v>
      </c>
      <c r="P244" t="n">
        <v>0</v>
      </c>
      <c r="Q244" t="n">
        <v>0</v>
      </c>
      <c r="R244" s="2" t="inlineStr"/>
    </row>
    <row r="245" ht="15" customHeight="1">
      <c r="A245" t="inlineStr">
        <is>
          <t>A 51106-2021</t>
        </is>
      </c>
      <c r="B245" s="1" t="n">
        <v>44461</v>
      </c>
      <c r="C245" s="1" t="n">
        <v>45587</v>
      </c>
      <c r="D245" t="inlineStr">
        <is>
          <t>DALARNAS LÄN</t>
        </is>
      </c>
      <c r="E245" t="inlineStr">
        <is>
          <t>HEDEMORA</t>
        </is>
      </c>
      <c r="G245" t="n">
        <v>2.2</v>
      </c>
      <c r="H245" t="n">
        <v>0</v>
      </c>
      <c r="I245" t="n">
        <v>0</v>
      </c>
      <c r="J245" t="n">
        <v>0</v>
      </c>
      <c r="K245" t="n">
        <v>0</v>
      </c>
      <c r="L245" t="n">
        <v>0</v>
      </c>
      <c r="M245" t="n">
        <v>0</v>
      </c>
      <c r="N245" t="n">
        <v>0</v>
      </c>
      <c r="O245" t="n">
        <v>0</v>
      </c>
      <c r="P245" t="n">
        <v>0</v>
      </c>
      <c r="Q245" t="n">
        <v>0</v>
      </c>
      <c r="R245" s="2" t="inlineStr"/>
    </row>
    <row r="246" ht="15" customHeight="1">
      <c r="A246" t="inlineStr">
        <is>
          <t>A 52199-2021</t>
        </is>
      </c>
      <c r="B246" s="1" t="n">
        <v>44462</v>
      </c>
      <c r="C246" s="1" t="n">
        <v>45587</v>
      </c>
      <c r="D246" t="inlineStr">
        <is>
          <t>DALARNAS LÄN</t>
        </is>
      </c>
      <c r="E246" t="inlineStr">
        <is>
          <t>HEDEMORA</t>
        </is>
      </c>
      <c r="F246" t="inlineStr">
        <is>
          <t>Bergvik skog väst AB</t>
        </is>
      </c>
      <c r="G246" t="n">
        <v>4.4</v>
      </c>
      <c r="H246" t="n">
        <v>0</v>
      </c>
      <c r="I246" t="n">
        <v>0</v>
      </c>
      <c r="J246" t="n">
        <v>0</v>
      </c>
      <c r="K246" t="n">
        <v>0</v>
      </c>
      <c r="L246" t="n">
        <v>0</v>
      </c>
      <c r="M246" t="n">
        <v>0</v>
      </c>
      <c r="N246" t="n">
        <v>0</v>
      </c>
      <c r="O246" t="n">
        <v>0</v>
      </c>
      <c r="P246" t="n">
        <v>0</v>
      </c>
      <c r="Q246" t="n">
        <v>0</v>
      </c>
      <c r="R246" s="2" t="inlineStr"/>
    </row>
    <row r="247" ht="15" customHeight="1">
      <c r="A247" t="inlineStr">
        <is>
          <t>A 52215-2021</t>
        </is>
      </c>
      <c r="B247" s="1" t="n">
        <v>44462</v>
      </c>
      <c r="C247" s="1" t="n">
        <v>45587</v>
      </c>
      <c r="D247" t="inlineStr">
        <is>
          <t>DALARNAS LÄN</t>
        </is>
      </c>
      <c r="E247" t="inlineStr">
        <is>
          <t>HEDEMORA</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52221-2021</t>
        </is>
      </c>
      <c r="B248" s="1" t="n">
        <v>44462</v>
      </c>
      <c r="C248" s="1" t="n">
        <v>45587</v>
      </c>
      <c r="D248" t="inlineStr">
        <is>
          <t>DALARNAS LÄN</t>
        </is>
      </c>
      <c r="E248" t="inlineStr">
        <is>
          <t>HEDEMORA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52425-2021</t>
        </is>
      </c>
      <c r="B249" s="1" t="n">
        <v>44466</v>
      </c>
      <c r="C249" s="1" t="n">
        <v>45587</v>
      </c>
      <c r="D249" t="inlineStr">
        <is>
          <t>DALARNAS LÄN</t>
        </is>
      </c>
      <c r="E249" t="inlineStr">
        <is>
          <t>HEDEMORA</t>
        </is>
      </c>
      <c r="G249" t="n">
        <v>2.3</v>
      </c>
      <c r="H249" t="n">
        <v>0</v>
      </c>
      <c r="I249" t="n">
        <v>0</v>
      </c>
      <c r="J249" t="n">
        <v>0</v>
      </c>
      <c r="K249" t="n">
        <v>0</v>
      </c>
      <c r="L249" t="n">
        <v>0</v>
      </c>
      <c r="M249" t="n">
        <v>0</v>
      </c>
      <c r="N249" t="n">
        <v>0</v>
      </c>
      <c r="O249" t="n">
        <v>0</v>
      </c>
      <c r="P249" t="n">
        <v>0</v>
      </c>
      <c r="Q249" t="n">
        <v>0</v>
      </c>
      <c r="R249" s="2" t="inlineStr"/>
    </row>
    <row r="250" ht="15" customHeight="1">
      <c r="A250" t="inlineStr">
        <is>
          <t>A 52511-2021</t>
        </is>
      </c>
      <c r="B250" s="1" t="n">
        <v>44466</v>
      </c>
      <c r="C250" s="1" t="n">
        <v>45587</v>
      </c>
      <c r="D250" t="inlineStr">
        <is>
          <t>DALARNAS LÄN</t>
        </is>
      </c>
      <c r="E250" t="inlineStr">
        <is>
          <t>HEDEMORA</t>
        </is>
      </c>
      <c r="G250" t="n">
        <v>0.6</v>
      </c>
      <c r="H250" t="n">
        <v>0</v>
      </c>
      <c r="I250" t="n">
        <v>0</v>
      </c>
      <c r="J250" t="n">
        <v>0</v>
      </c>
      <c r="K250" t="n">
        <v>0</v>
      </c>
      <c r="L250" t="n">
        <v>0</v>
      </c>
      <c r="M250" t="n">
        <v>0</v>
      </c>
      <c r="N250" t="n">
        <v>0</v>
      </c>
      <c r="O250" t="n">
        <v>0</v>
      </c>
      <c r="P250" t="n">
        <v>0</v>
      </c>
      <c r="Q250" t="n">
        <v>0</v>
      </c>
      <c r="R250" s="2" t="inlineStr"/>
    </row>
    <row r="251" ht="15" customHeight="1">
      <c r="A251" t="inlineStr">
        <is>
          <t>A 53443-2021</t>
        </is>
      </c>
      <c r="B251" s="1" t="n">
        <v>44468</v>
      </c>
      <c r="C251" s="1" t="n">
        <v>45587</v>
      </c>
      <c r="D251" t="inlineStr">
        <is>
          <t>DALARNAS LÄN</t>
        </is>
      </c>
      <c r="E251" t="inlineStr">
        <is>
          <t>HEDEMORA</t>
        </is>
      </c>
      <c r="F251" t="inlineStr">
        <is>
          <t>Övriga Aktiebolag</t>
        </is>
      </c>
      <c r="G251" t="n">
        <v>1.4</v>
      </c>
      <c r="H251" t="n">
        <v>0</v>
      </c>
      <c r="I251" t="n">
        <v>0</v>
      </c>
      <c r="J251" t="n">
        <v>0</v>
      </c>
      <c r="K251" t="n">
        <v>0</v>
      </c>
      <c r="L251" t="n">
        <v>0</v>
      </c>
      <c r="M251" t="n">
        <v>0</v>
      </c>
      <c r="N251" t="n">
        <v>0</v>
      </c>
      <c r="O251" t="n">
        <v>0</v>
      </c>
      <c r="P251" t="n">
        <v>0</v>
      </c>
      <c r="Q251" t="n">
        <v>0</v>
      </c>
      <c r="R251" s="2" t="inlineStr"/>
    </row>
    <row r="252" ht="15" customHeight="1">
      <c r="A252" t="inlineStr">
        <is>
          <t>A 54310-2021</t>
        </is>
      </c>
      <c r="B252" s="1" t="n">
        <v>44472</v>
      </c>
      <c r="C252" s="1" t="n">
        <v>45587</v>
      </c>
      <c r="D252" t="inlineStr">
        <is>
          <t>DALARNAS LÄN</t>
        </is>
      </c>
      <c r="E252" t="inlineStr">
        <is>
          <t>HEDEMORA</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55195-2021</t>
        </is>
      </c>
      <c r="B253" s="1" t="n">
        <v>44475</v>
      </c>
      <c r="C253" s="1" t="n">
        <v>45587</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57117-2021</t>
        </is>
      </c>
      <c r="B254" s="1" t="n">
        <v>44482</v>
      </c>
      <c r="C254" s="1" t="n">
        <v>45587</v>
      </c>
      <c r="D254" t="inlineStr">
        <is>
          <t>DALARNAS LÄN</t>
        </is>
      </c>
      <c r="E254" t="inlineStr">
        <is>
          <t>HEDEMORA</t>
        </is>
      </c>
      <c r="F254" t="inlineStr">
        <is>
          <t>Bergvik skog väst AB</t>
        </is>
      </c>
      <c r="G254" t="n">
        <v>14.3</v>
      </c>
      <c r="H254" t="n">
        <v>0</v>
      </c>
      <c r="I254" t="n">
        <v>0</v>
      </c>
      <c r="J254" t="n">
        <v>0</v>
      </c>
      <c r="K254" t="n">
        <v>0</v>
      </c>
      <c r="L254" t="n">
        <v>0</v>
      </c>
      <c r="M254" t="n">
        <v>0</v>
      </c>
      <c r="N254" t="n">
        <v>0</v>
      </c>
      <c r="O254" t="n">
        <v>0</v>
      </c>
      <c r="P254" t="n">
        <v>0</v>
      </c>
      <c r="Q254" t="n">
        <v>0</v>
      </c>
      <c r="R254" s="2" t="inlineStr"/>
    </row>
    <row r="255" ht="15" customHeight="1">
      <c r="A255" t="inlineStr">
        <is>
          <t>A 59491-2021</t>
        </is>
      </c>
      <c r="B255" s="1" t="n">
        <v>44491</v>
      </c>
      <c r="C255" s="1" t="n">
        <v>45587</v>
      </c>
      <c r="D255" t="inlineStr">
        <is>
          <t>DALARNAS LÄN</t>
        </is>
      </c>
      <c r="E255" t="inlineStr">
        <is>
          <t>HEDEMORA</t>
        </is>
      </c>
      <c r="G255" t="n">
        <v>2.2</v>
      </c>
      <c r="H255" t="n">
        <v>0</v>
      </c>
      <c r="I255" t="n">
        <v>0</v>
      </c>
      <c r="J255" t="n">
        <v>0</v>
      </c>
      <c r="K255" t="n">
        <v>0</v>
      </c>
      <c r="L255" t="n">
        <v>0</v>
      </c>
      <c r="M255" t="n">
        <v>0</v>
      </c>
      <c r="N255" t="n">
        <v>0</v>
      </c>
      <c r="O255" t="n">
        <v>0</v>
      </c>
      <c r="P255" t="n">
        <v>0</v>
      </c>
      <c r="Q255" t="n">
        <v>0</v>
      </c>
      <c r="R255" s="2" t="inlineStr"/>
    </row>
    <row r="256" ht="15" customHeight="1">
      <c r="A256" t="inlineStr">
        <is>
          <t>A 59495-2021</t>
        </is>
      </c>
      <c r="B256" s="1" t="n">
        <v>44491</v>
      </c>
      <c r="C256" s="1" t="n">
        <v>45587</v>
      </c>
      <c r="D256" t="inlineStr">
        <is>
          <t>DALARNAS LÄN</t>
        </is>
      </c>
      <c r="E256" t="inlineStr">
        <is>
          <t>HEDEMORA</t>
        </is>
      </c>
      <c r="G256" t="n">
        <v>0.5</v>
      </c>
      <c r="H256" t="n">
        <v>0</v>
      </c>
      <c r="I256" t="n">
        <v>0</v>
      </c>
      <c r="J256" t="n">
        <v>0</v>
      </c>
      <c r="K256" t="n">
        <v>0</v>
      </c>
      <c r="L256" t="n">
        <v>0</v>
      </c>
      <c r="M256" t="n">
        <v>0</v>
      </c>
      <c r="N256" t="n">
        <v>0</v>
      </c>
      <c r="O256" t="n">
        <v>0</v>
      </c>
      <c r="P256" t="n">
        <v>0</v>
      </c>
      <c r="Q256" t="n">
        <v>0</v>
      </c>
      <c r="R256" s="2" t="inlineStr"/>
    </row>
    <row r="257" ht="15" customHeight="1">
      <c r="A257" t="inlineStr">
        <is>
          <t>A 60418-2021</t>
        </is>
      </c>
      <c r="B257" s="1" t="n">
        <v>44495</v>
      </c>
      <c r="C257" s="1" t="n">
        <v>45587</v>
      </c>
      <c r="D257" t="inlineStr">
        <is>
          <t>DALARNAS LÄN</t>
        </is>
      </c>
      <c r="E257" t="inlineStr">
        <is>
          <t>HEDEMORA</t>
        </is>
      </c>
      <c r="G257" t="n">
        <v>0.7</v>
      </c>
      <c r="H257" t="n">
        <v>0</v>
      </c>
      <c r="I257" t="n">
        <v>0</v>
      </c>
      <c r="J257" t="n">
        <v>0</v>
      </c>
      <c r="K257" t="n">
        <v>0</v>
      </c>
      <c r="L257" t="n">
        <v>0</v>
      </c>
      <c r="M257" t="n">
        <v>0</v>
      </c>
      <c r="N257" t="n">
        <v>0</v>
      </c>
      <c r="O257" t="n">
        <v>0</v>
      </c>
      <c r="P257" t="n">
        <v>0</v>
      </c>
      <c r="Q257" t="n">
        <v>0</v>
      </c>
      <c r="R257" s="2" t="inlineStr"/>
    </row>
    <row r="258" ht="15" customHeight="1">
      <c r="A258" t="inlineStr">
        <is>
          <t>A 61533-2021</t>
        </is>
      </c>
      <c r="B258" s="1" t="n">
        <v>44501</v>
      </c>
      <c r="C258" s="1" t="n">
        <v>45587</v>
      </c>
      <c r="D258" t="inlineStr">
        <is>
          <t>DALARNAS LÄN</t>
        </is>
      </c>
      <c r="E258" t="inlineStr">
        <is>
          <t>HEDEMORA</t>
        </is>
      </c>
      <c r="G258" t="n">
        <v>1.6</v>
      </c>
      <c r="H258" t="n">
        <v>0</v>
      </c>
      <c r="I258" t="n">
        <v>0</v>
      </c>
      <c r="J258" t="n">
        <v>0</v>
      </c>
      <c r="K258" t="n">
        <v>0</v>
      </c>
      <c r="L258" t="n">
        <v>0</v>
      </c>
      <c r="M258" t="n">
        <v>0</v>
      </c>
      <c r="N258" t="n">
        <v>0</v>
      </c>
      <c r="O258" t="n">
        <v>0</v>
      </c>
      <c r="P258" t="n">
        <v>0</v>
      </c>
      <c r="Q258" t="n">
        <v>0</v>
      </c>
      <c r="R258" s="2" t="inlineStr"/>
    </row>
    <row r="259" ht="15" customHeight="1">
      <c r="A259" t="inlineStr">
        <is>
          <t>A 62305-2021</t>
        </is>
      </c>
      <c r="B259" s="1" t="n">
        <v>44502</v>
      </c>
      <c r="C259" s="1" t="n">
        <v>45587</v>
      </c>
      <c r="D259" t="inlineStr">
        <is>
          <t>DALARNAS LÄN</t>
        </is>
      </c>
      <c r="E259" t="inlineStr">
        <is>
          <t>HEDEMORA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63908-2021</t>
        </is>
      </c>
      <c r="B260" s="1" t="n">
        <v>44509</v>
      </c>
      <c r="C260" s="1" t="n">
        <v>45587</v>
      </c>
      <c r="D260" t="inlineStr">
        <is>
          <t>DALARNAS LÄN</t>
        </is>
      </c>
      <c r="E260" t="inlineStr">
        <is>
          <t>HEDEMORA</t>
        </is>
      </c>
      <c r="G260" t="n">
        <v>1.4</v>
      </c>
      <c r="H260" t="n">
        <v>0</v>
      </c>
      <c r="I260" t="n">
        <v>0</v>
      </c>
      <c r="J260" t="n">
        <v>0</v>
      </c>
      <c r="K260" t="n">
        <v>0</v>
      </c>
      <c r="L260" t="n">
        <v>0</v>
      </c>
      <c r="M260" t="n">
        <v>0</v>
      </c>
      <c r="N260" t="n">
        <v>0</v>
      </c>
      <c r="O260" t="n">
        <v>0</v>
      </c>
      <c r="P260" t="n">
        <v>0</v>
      </c>
      <c r="Q260" t="n">
        <v>0</v>
      </c>
      <c r="R260" s="2" t="inlineStr"/>
    </row>
    <row r="261" ht="15" customHeight="1">
      <c r="A261" t="inlineStr">
        <is>
          <t>A 64473-2021</t>
        </is>
      </c>
      <c r="B261" s="1" t="n">
        <v>44511</v>
      </c>
      <c r="C261" s="1" t="n">
        <v>45587</v>
      </c>
      <c r="D261" t="inlineStr">
        <is>
          <t>DALARNAS LÄN</t>
        </is>
      </c>
      <c r="E261" t="inlineStr">
        <is>
          <t>HEDEMORA</t>
        </is>
      </c>
      <c r="G261" t="n">
        <v>1</v>
      </c>
      <c r="H261" t="n">
        <v>0</v>
      </c>
      <c r="I261" t="n">
        <v>0</v>
      </c>
      <c r="J261" t="n">
        <v>0</v>
      </c>
      <c r="K261" t="n">
        <v>0</v>
      </c>
      <c r="L261" t="n">
        <v>0</v>
      </c>
      <c r="M261" t="n">
        <v>0</v>
      </c>
      <c r="N261" t="n">
        <v>0</v>
      </c>
      <c r="O261" t="n">
        <v>0</v>
      </c>
      <c r="P261" t="n">
        <v>0</v>
      </c>
      <c r="Q261" t="n">
        <v>0</v>
      </c>
      <c r="R261" s="2" t="inlineStr"/>
    </row>
    <row r="262" ht="15" customHeight="1">
      <c r="A262" t="inlineStr">
        <is>
          <t>A 67282-2021</t>
        </is>
      </c>
      <c r="B262" s="1" t="n">
        <v>44523</v>
      </c>
      <c r="C262" s="1" t="n">
        <v>45587</v>
      </c>
      <c r="D262" t="inlineStr">
        <is>
          <t>DALARNAS LÄN</t>
        </is>
      </c>
      <c r="E262" t="inlineStr">
        <is>
          <t>HEDEMORA</t>
        </is>
      </c>
      <c r="F262" t="inlineStr">
        <is>
          <t>Övriga Aktiebolag</t>
        </is>
      </c>
      <c r="G262" t="n">
        <v>3.2</v>
      </c>
      <c r="H262" t="n">
        <v>0</v>
      </c>
      <c r="I262" t="n">
        <v>0</v>
      </c>
      <c r="J262" t="n">
        <v>0</v>
      </c>
      <c r="K262" t="n">
        <v>0</v>
      </c>
      <c r="L262" t="n">
        <v>0</v>
      </c>
      <c r="M262" t="n">
        <v>0</v>
      </c>
      <c r="N262" t="n">
        <v>0</v>
      </c>
      <c r="O262" t="n">
        <v>0</v>
      </c>
      <c r="P262" t="n">
        <v>0</v>
      </c>
      <c r="Q262" t="n">
        <v>0</v>
      </c>
      <c r="R262" s="2" t="inlineStr"/>
    </row>
    <row r="263" ht="15" customHeight="1">
      <c r="A263" t="inlineStr">
        <is>
          <t>A 67288-2021</t>
        </is>
      </c>
      <c r="B263" s="1" t="n">
        <v>44523</v>
      </c>
      <c r="C263" s="1" t="n">
        <v>45587</v>
      </c>
      <c r="D263" t="inlineStr">
        <is>
          <t>DALARNAS LÄN</t>
        </is>
      </c>
      <c r="E263" t="inlineStr">
        <is>
          <t>HEDEMORA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68553-2021</t>
        </is>
      </c>
      <c r="B264" s="1" t="n">
        <v>44529</v>
      </c>
      <c r="C264" s="1" t="n">
        <v>45587</v>
      </c>
      <c r="D264" t="inlineStr">
        <is>
          <t>DALARNAS LÄN</t>
        </is>
      </c>
      <c r="E264" t="inlineStr">
        <is>
          <t>HEDEMORA</t>
        </is>
      </c>
      <c r="G264" t="n">
        <v>3</v>
      </c>
      <c r="H264" t="n">
        <v>0</v>
      </c>
      <c r="I264" t="n">
        <v>0</v>
      </c>
      <c r="J264" t="n">
        <v>0</v>
      </c>
      <c r="K264" t="n">
        <v>0</v>
      </c>
      <c r="L264" t="n">
        <v>0</v>
      </c>
      <c r="M264" t="n">
        <v>0</v>
      </c>
      <c r="N264" t="n">
        <v>0</v>
      </c>
      <c r="O264" t="n">
        <v>0</v>
      </c>
      <c r="P264" t="n">
        <v>0</v>
      </c>
      <c r="Q264" t="n">
        <v>0</v>
      </c>
      <c r="R264" s="2" t="inlineStr"/>
    </row>
    <row r="265" ht="15" customHeight="1">
      <c r="A265" t="inlineStr">
        <is>
          <t>A 68457-2021</t>
        </is>
      </c>
      <c r="B265" s="1" t="n">
        <v>44529</v>
      </c>
      <c r="C265" s="1" t="n">
        <v>45587</v>
      </c>
      <c r="D265" t="inlineStr">
        <is>
          <t>DALARNAS LÄN</t>
        </is>
      </c>
      <c r="E265" t="inlineStr">
        <is>
          <t>HEDEMORA</t>
        </is>
      </c>
      <c r="G265" t="n">
        <v>1.9</v>
      </c>
      <c r="H265" t="n">
        <v>0</v>
      </c>
      <c r="I265" t="n">
        <v>0</v>
      </c>
      <c r="J265" t="n">
        <v>0</v>
      </c>
      <c r="K265" t="n">
        <v>0</v>
      </c>
      <c r="L265" t="n">
        <v>0</v>
      </c>
      <c r="M265" t="n">
        <v>0</v>
      </c>
      <c r="N265" t="n">
        <v>0</v>
      </c>
      <c r="O265" t="n">
        <v>0</v>
      </c>
      <c r="P265" t="n">
        <v>0</v>
      </c>
      <c r="Q265" t="n">
        <v>0</v>
      </c>
      <c r="R265" s="2" t="inlineStr"/>
    </row>
    <row r="266" ht="15" customHeight="1">
      <c r="A266" t="inlineStr">
        <is>
          <t>A 69624-2021</t>
        </is>
      </c>
      <c r="B266" s="1" t="n">
        <v>44532</v>
      </c>
      <c r="C266" s="1" t="n">
        <v>45587</v>
      </c>
      <c r="D266" t="inlineStr">
        <is>
          <t>DALARNAS LÄN</t>
        </is>
      </c>
      <c r="E266" t="inlineStr">
        <is>
          <t>HEDEMORA</t>
        </is>
      </c>
      <c r="G266" t="n">
        <v>0.4</v>
      </c>
      <c r="H266" t="n">
        <v>0</v>
      </c>
      <c r="I266" t="n">
        <v>0</v>
      </c>
      <c r="J266" t="n">
        <v>0</v>
      </c>
      <c r="K266" t="n">
        <v>0</v>
      </c>
      <c r="L266" t="n">
        <v>0</v>
      </c>
      <c r="M266" t="n">
        <v>0</v>
      </c>
      <c r="N266" t="n">
        <v>0</v>
      </c>
      <c r="O266" t="n">
        <v>0</v>
      </c>
      <c r="P266" t="n">
        <v>0</v>
      </c>
      <c r="Q266" t="n">
        <v>0</v>
      </c>
      <c r="R266" s="2" t="inlineStr"/>
    </row>
    <row r="267" ht="15" customHeight="1">
      <c r="A267" t="inlineStr">
        <is>
          <t>A 73099-2021</t>
        </is>
      </c>
      <c r="B267" s="1" t="n">
        <v>44546</v>
      </c>
      <c r="C267" s="1" t="n">
        <v>45587</v>
      </c>
      <c r="D267" t="inlineStr">
        <is>
          <t>DALARNAS LÄN</t>
        </is>
      </c>
      <c r="E267" t="inlineStr">
        <is>
          <t>HEDEMORA</t>
        </is>
      </c>
      <c r="G267" t="n">
        <v>4.5</v>
      </c>
      <c r="H267" t="n">
        <v>0</v>
      </c>
      <c r="I267" t="n">
        <v>0</v>
      </c>
      <c r="J267" t="n">
        <v>0</v>
      </c>
      <c r="K267" t="n">
        <v>0</v>
      </c>
      <c r="L267" t="n">
        <v>0</v>
      </c>
      <c r="M267" t="n">
        <v>0</v>
      </c>
      <c r="N267" t="n">
        <v>0</v>
      </c>
      <c r="O267" t="n">
        <v>0</v>
      </c>
      <c r="P267" t="n">
        <v>0</v>
      </c>
      <c r="Q267" t="n">
        <v>0</v>
      </c>
      <c r="R267" s="2" t="inlineStr"/>
    </row>
    <row r="268" ht="15" customHeight="1">
      <c r="A268" t="inlineStr">
        <is>
          <t>A 73464-2021</t>
        </is>
      </c>
      <c r="B268" s="1" t="n">
        <v>44551</v>
      </c>
      <c r="C268" s="1" t="n">
        <v>45587</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295-2022</t>
        </is>
      </c>
      <c r="B269" s="1" t="n">
        <v>44565</v>
      </c>
      <c r="C269" s="1" t="n">
        <v>45587</v>
      </c>
      <c r="D269" t="inlineStr">
        <is>
          <t>DALARNAS LÄN</t>
        </is>
      </c>
      <c r="E269" t="inlineStr">
        <is>
          <t>HEDEMORA</t>
        </is>
      </c>
      <c r="G269" t="n">
        <v>0.5</v>
      </c>
      <c r="H269" t="n">
        <v>0</v>
      </c>
      <c r="I269" t="n">
        <v>0</v>
      </c>
      <c r="J269" t="n">
        <v>0</v>
      </c>
      <c r="K269" t="n">
        <v>0</v>
      </c>
      <c r="L269" t="n">
        <v>0</v>
      </c>
      <c r="M269" t="n">
        <v>0</v>
      </c>
      <c r="N269" t="n">
        <v>0</v>
      </c>
      <c r="O269" t="n">
        <v>0</v>
      </c>
      <c r="P269" t="n">
        <v>0</v>
      </c>
      <c r="Q269" t="n">
        <v>0</v>
      </c>
      <c r="R269" s="2" t="inlineStr"/>
    </row>
    <row r="270" ht="15" customHeight="1">
      <c r="A270" t="inlineStr">
        <is>
          <t>A 769-2022</t>
        </is>
      </c>
      <c r="B270" s="1" t="n">
        <v>44570</v>
      </c>
      <c r="C270" s="1" t="n">
        <v>45587</v>
      </c>
      <c r="D270" t="inlineStr">
        <is>
          <t>DALARNAS LÄN</t>
        </is>
      </c>
      <c r="E270" t="inlineStr">
        <is>
          <t>HEDEMORA</t>
        </is>
      </c>
      <c r="G270" t="n">
        <v>5.9</v>
      </c>
      <c r="H270" t="n">
        <v>0</v>
      </c>
      <c r="I270" t="n">
        <v>0</v>
      </c>
      <c r="J270" t="n">
        <v>0</v>
      </c>
      <c r="K270" t="n">
        <v>0</v>
      </c>
      <c r="L270" t="n">
        <v>0</v>
      </c>
      <c r="M270" t="n">
        <v>0</v>
      </c>
      <c r="N270" t="n">
        <v>0</v>
      </c>
      <c r="O270" t="n">
        <v>0</v>
      </c>
      <c r="P270" t="n">
        <v>0</v>
      </c>
      <c r="Q270" t="n">
        <v>0</v>
      </c>
      <c r="R270" s="2" t="inlineStr"/>
    </row>
    <row r="271" ht="15" customHeight="1">
      <c r="A271" t="inlineStr">
        <is>
          <t>A 1666-2022</t>
        </is>
      </c>
      <c r="B271" s="1" t="n">
        <v>44574</v>
      </c>
      <c r="C271" s="1" t="n">
        <v>45587</v>
      </c>
      <c r="D271" t="inlineStr">
        <is>
          <t>DALARNAS LÄN</t>
        </is>
      </c>
      <c r="E271" t="inlineStr">
        <is>
          <t>HEDEMORA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1917-2022</t>
        </is>
      </c>
      <c r="B272" s="1" t="n">
        <v>44574</v>
      </c>
      <c r="C272" s="1" t="n">
        <v>45587</v>
      </c>
      <c r="D272" t="inlineStr">
        <is>
          <t>DALARNAS LÄN</t>
        </is>
      </c>
      <c r="E272" t="inlineStr">
        <is>
          <t>HEDEMORA</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1973-2022</t>
        </is>
      </c>
      <c r="B273" s="1" t="n">
        <v>44575</v>
      </c>
      <c r="C273" s="1" t="n">
        <v>45587</v>
      </c>
      <c r="D273" t="inlineStr">
        <is>
          <t>DALARNAS LÄN</t>
        </is>
      </c>
      <c r="E273" t="inlineStr">
        <is>
          <t>HEDEMORA</t>
        </is>
      </c>
      <c r="G273" t="n">
        <v>1.2</v>
      </c>
      <c r="H273" t="n">
        <v>0</v>
      </c>
      <c r="I273" t="n">
        <v>0</v>
      </c>
      <c r="J273" t="n">
        <v>0</v>
      </c>
      <c r="K273" t="n">
        <v>0</v>
      </c>
      <c r="L273" t="n">
        <v>0</v>
      </c>
      <c r="M273" t="n">
        <v>0</v>
      </c>
      <c r="N273" t="n">
        <v>0</v>
      </c>
      <c r="O273" t="n">
        <v>0</v>
      </c>
      <c r="P273" t="n">
        <v>0</v>
      </c>
      <c r="Q273" t="n">
        <v>0</v>
      </c>
      <c r="R273" s="2" t="inlineStr"/>
    </row>
    <row r="274" ht="15" customHeight="1">
      <c r="A274" t="inlineStr">
        <is>
          <t>A 1976-2022</t>
        </is>
      </c>
      <c r="B274" s="1" t="n">
        <v>44575</v>
      </c>
      <c r="C274" s="1" t="n">
        <v>45587</v>
      </c>
      <c r="D274" t="inlineStr">
        <is>
          <t>DALARNAS LÄN</t>
        </is>
      </c>
      <c r="E274" t="inlineStr">
        <is>
          <t>HEDEMORA</t>
        </is>
      </c>
      <c r="G274" t="n">
        <v>3.2</v>
      </c>
      <c r="H274" t="n">
        <v>0</v>
      </c>
      <c r="I274" t="n">
        <v>0</v>
      </c>
      <c r="J274" t="n">
        <v>0</v>
      </c>
      <c r="K274" t="n">
        <v>0</v>
      </c>
      <c r="L274" t="n">
        <v>0</v>
      </c>
      <c r="M274" t="n">
        <v>0</v>
      </c>
      <c r="N274" t="n">
        <v>0</v>
      </c>
      <c r="O274" t="n">
        <v>0</v>
      </c>
      <c r="P274" t="n">
        <v>0</v>
      </c>
      <c r="Q274" t="n">
        <v>0</v>
      </c>
      <c r="R274" s="2" t="inlineStr"/>
    </row>
    <row r="275" ht="15" customHeight="1">
      <c r="A275" t="inlineStr">
        <is>
          <t>A 4030-2022</t>
        </is>
      </c>
      <c r="B275" s="1" t="n">
        <v>44588</v>
      </c>
      <c r="C275" s="1" t="n">
        <v>45587</v>
      </c>
      <c r="D275" t="inlineStr">
        <is>
          <t>DALARNAS LÄN</t>
        </is>
      </c>
      <c r="E275" t="inlineStr">
        <is>
          <t>HEDEMORA</t>
        </is>
      </c>
      <c r="F275" t="inlineStr">
        <is>
          <t>Kyrkan</t>
        </is>
      </c>
      <c r="G275" t="n">
        <v>2.1</v>
      </c>
      <c r="H275" t="n">
        <v>0</v>
      </c>
      <c r="I275" t="n">
        <v>0</v>
      </c>
      <c r="J275" t="n">
        <v>0</v>
      </c>
      <c r="K275" t="n">
        <v>0</v>
      </c>
      <c r="L275" t="n">
        <v>0</v>
      </c>
      <c r="M275" t="n">
        <v>0</v>
      </c>
      <c r="N275" t="n">
        <v>0</v>
      </c>
      <c r="O275" t="n">
        <v>0</v>
      </c>
      <c r="P275" t="n">
        <v>0</v>
      </c>
      <c r="Q275" t="n">
        <v>0</v>
      </c>
      <c r="R275" s="2" t="inlineStr"/>
    </row>
    <row r="276" ht="15" customHeight="1">
      <c r="A276" t="inlineStr">
        <is>
          <t>A 7515-2022</t>
        </is>
      </c>
      <c r="B276" s="1" t="n">
        <v>44607</v>
      </c>
      <c r="C276" s="1" t="n">
        <v>45587</v>
      </c>
      <c r="D276" t="inlineStr">
        <is>
          <t>DALARNAS LÄN</t>
        </is>
      </c>
      <c r="E276" t="inlineStr">
        <is>
          <t>HEDEMORA</t>
        </is>
      </c>
      <c r="G276" t="n">
        <v>3.8</v>
      </c>
      <c r="H276" t="n">
        <v>0</v>
      </c>
      <c r="I276" t="n">
        <v>0</v>
      </c>
      <c r="J276" t="n">
        <v>0</v>
      </c>
      <c r="K276" t="n">
        <v>0</v>
      </c>
      <c r="L276" t="n">
        <v>0</v>
      </c>
      <c r="M276" t="n">
        <v>0</v>
      </c>
      <c r="N276" t="n">
        <v>0</v>
      </c>
      <c r="O276" t="n">
        <v>0</v>
      </c>
      <c r="P276" t="n">
        <v>0</v>
      </c>
      <c r="Q276" t="n">
        <v>0</v>
      </c>
      <c r="R276" s="2" t="inlineStr"/>
    </row>
    <row r="277" ht="15" customHeight="1">
      <c r="A277" t="inlineStr">
        <is>
          <t>A 10408-2022</t>
        </is>
      </c>
      <c r="B277" s="1" t="n">
        <v>44623</v>
      </c>
      <c r="C277" s="1" t="n">
        <v>45587</v>
      </c>
      <c r="D277" t="inlineStr">
        <is>
          <t>DALARNAS LÄN</t>
        </is>
      </c>
      <c r="E277" t="inlineStr">
        <is>
          <t>HEDEMORA</t>
        </is>
      </c>
      <c r="G277" t="n">
        <v>1.2</v>
      </c>
      <c r="H277" t="n">
        <v>0</v>
      </c>
      <c r="I277" t="n">
        <v>0</v>
      </c>
      <c r="J277" t="n">
        <v>0</v>
      </c>
      <c r="K277" t="n">
        <v>0</v>
      </c>
      <c r="L277" t="n">
        <v>0</v>
      </c>
      <c r="M277" t="n">
        <v>0</v>
      </c>
      <c r="N277" t="n">
        <v>0</v>
      </c>
      <c r="O277" t="n">
        <v>0</v>
      </c>
      <c r="P277" t="n">
        <v>0</v>
      </c>
      <c r="Q277" t="n">
        <v>0</v>
      </c>
      <c r="R277" s="2" t="inlineStr"/>
    </row>
    <row r="278" ht="15" customHeight="1">
      <c r="A278" t="inlineStr">
        <is>
          <t>A 11046-2022</t>
        </is>
      </c>
      <c r="B278" s="1" t="n">
        <v>44628</v>
      </c>
      <c r="C278" s="1" t="n">
        <v>45587</v>
      </c>
      <c r="D278" t="inlineStr">
        <is>
          <t>DALARNAS LÄN</t>
        </is>
      </c>
      <c r="E278" t="inlineStr">
        <is>
          <t>HEDEMORA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15635-2022</t>
        </is>
      </c>
      <c r="B279" s="1" t="n">
        <v>44662</v>
      </c>
      <c r="C279" s="1" t="n">
        <v>45587</v>
      </c>
      <c r="D279" t="inlineStr">
        <is>
          <t>DALARNAS LÄN</t>
        </is>
      </c>
      <c r="E279" t="inlineStr">
        <is>
          <t>HEDEMORA</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16122-2022</t>
        </is>
      </c>
      <c r="B280" s="1" t="n">
        <v>44665</v>
      </c>
      <c r="C280" s="1" t="n">
        <v>45587</v>
      </c>
      <c r="D280" t="inlineStr">
        <is>
          <t>DALARNAS LÄN</t>
        </is>
      </c>
      <c r="E280" t="inlineStr">
        <is>
          <t>HEDEMORA</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16779-2022</t>
        </is>
      </c>
      <c r="B281" s="1" t="n">
        <v>44673</v>
      </c>
      <c r="C281" s="1" t="n">
        <v>45587</v>
      </c>
      <c r="D281" t="inlineStr">
        <is>
          <t>DALARNAS LÄN</t>
        </is>
      </c>
      <c r="E281" t="inlineStr">
        <is>
          <t>HEDEMORA</t>
        </is>
      </c>
      <c r="G281" t="n">
        <v>1.8</v>
      </c>
      <c r="H281" t="n">
        <v>0</v>
      </c>
      <c r="I281" t="n">
        <v>0</v>
      </c>
      <c r="J281" t="n">
        <v>0</v>
      </c>
      <c r="K281" t="n">
        <v>0</v>
      </c>
      <c r="L281" t="n">
        <v>0</v>
      </c>
      <c r="M281" t="n">
        <v>0</v>
      </c>
      <c r="N281" t="n">
        <v>0</v>
      </c>
      <c r="O281" t="n">
        <v>0</v>
      </c>
      <c r="P281" t="n">
        <v>0</v>
      </c>
      <c r="Q281" t="n">
        <v>0</v>
      </c>
      <c r="R281" s="2" t="inlineStr"/>
    </row>
    <row r="282" ht="15" customHeight="1">
      <c r="A282" t="inlineStr">
        <is>
          <t>A 17645-2022</t>
        </is>
      </c>
      <c r="B282" s="1" t="n">
        <v>44680</v>
      </c>
      <c r="C282" s="1" t="n">
        <v>45587</v>
      </c>
      <c r="D282" t="inlineStr">
        <is>
          <t>DALARNAS LÄN</t>
        </is>
      </c>
      <c r="E282" t="inlineStr">
        <is>
          <t>HEDEMORA</t>
        </is>
      </c>
      <c r="G282" t="n">
        <v>1.3</v>
      </c>
      <c r="H282" t="n">
        <v>0</v>
      </c>
      <c r="I282" t="n">
        <v>0</v>
      </c>
      <c r="J282" t="n">
        <v>0</v>
      </c>
      <c r="K282" t="n">
        <v>0</v>
      </c>
      <c r="L282" t="n">
        <v>0</v>
      </c>
      <c r="M282" t="n">
        <v>0</v>
      </c>
      <c r="N282" t="n">
        <v>0</v>
      </c>
      <c r="O282" t="n">
        <v>0</v>
      </c>
      <c r="P282" t="n">
        <v>0</v>
      </c>
      <c r="Q282" t="n">
        <v>0</v>
      </c>
      <c r="R282" s="2" t="inlineStr"/>
    </row>
    <row r="283" ht="15" customHeight="1">
      <c r="A283" t="inlineStr">
        <is>
          <t>A 18098-2022</t>
        </is>
      </c>
      <c r="B283" s="1" t="n">
        <v>44684</v>
      </c>
      <c r="C283" s="1" t="n">
        <v>45587</v>
      </c>
      <c r="D283" t="inlineStr">
        <is>
          <t>DALARNAS LÄN</t>
        </is>
      </c>
      <c r="E283" t="inlineStr">
        <is>
          <t>HEDEMORA</t>
        </is>
      </c>
      <c r="G283" t="n">
        <v>4.9</v>
      </c>
      <c r="H283" t="n">
        <v>0</v>
      </c>
      <c r="I283" t="n">
        <v>0</v>
      </c>
      <c r="J283" t="n">
        <v>0</v>
      </c>
      <c r="K283" t="n">
        <v>0</v>
      </c>
      <c r="L283" t="n">
        <v>0</v>
      </c>
      <c r="M283" t="n">
        <v>0</v>
      </c>
      <c r="N283" t="n">
        <v>0</v>
      </c>
      <c r="O283" t="n">
        <v>0</v>
      </c>
      <c r="P283" t="n">
        <v>0</v>
      </c>
      <c r="Q283" t="n">
        <v>0</v>
      </c>
      <c r="R283" s="2" t="inlineStr"/>
    </row>
    <row r="284" ht="15" customHeight="1">
      <c r="A284" t="inlineStr">
        <is>
          <t>A 20177-2022</t>
        </is>
      </c>
      <c r="B284" s="1" t="n">
        <v>44698</v>
      </c>
      <c r="C284" s="1" t="n">
        <v>45587</v>
      </c>
      <c r="D284" t="inlineStr">
        <is>
          <t>DALARNAS LÄN</t>
        </is>
      </c>
      <c r="E284" t="inlineStr">
        <is>
          <t>HEDEMORA</t>
        </is>
      </c>
      <c r="G284" t="n">
        <v>3.9</v>
      </c>
      <c r="H284" t="n">
        <v>0</v>
      </c>
      <c r="I284" t="n">
        <v>0</v>
      </c>
      <c r="J284" t="n">
        <v>0</v>
      </c>
      <c r="K284" t="n">
        <v>0</v>
      </c>
      <c r="L284" t="n">
        <v>0</v>
      </c>
      <c r="M284" t="n">
        <v>0</v>
      </c>
      <c r="N284" t="n">
        <v>0</v>
      </c>
      <c r="O284" t="n">
        <v>0</v>
      </c>
      <c r="P284" t="n">
        <v>0</v>
      </c>
      <c r="Q284" t="n">
        <v>0</v>
      </c>
      <c r="R284" s="2" t="inlineStr"/>
    </row>
    <row r="285" ht="15" customHeight="1">
      <c r="A285" t="inlineStr">
        <is>
          <t>A 21520-2022</t>
        </is>
      </c>
      <c r="B285" s="1" t="n">
        <v>44706</v>
      </c>
      <c r="C285" s="1" t="n">
        <v>45587</v>
      </c>
      <c r="D285" t="inlineStr">
        <is>
          <t>DALARNAS LÄN</t>
        </is>
      </c>
      <c r="E285" t="inlineStr">
        <is>
          <t>HEDEMORA</t>
        </is>
      </c>
      <c r="F285" t="inlineStr">
        <is>
          <t>Bergvik skog väst AB</t>
        </is>
      </c>
      <c r="G285" t="n">
        <v>4.8</v>
      </c>
      <c r="H285" t="n">
        <v>0</v>
      </c>
      <c r="I285" t="n">
        <v>0</v>
      </c>
      <c r="J285" t="n">
        <v>0</v>
      </c>
      <c r="K285" t="n">
        <v>0</v>
      </c>
      <c r="L285" t="n">
        <v>0</v>
      </c>
      <c r="M285" t="n">
        <v>0</v>
      </c>
      <c r="N285" t="n">
        <v>0</v>
      </c>
      <c r="O285" t="n">
        <v>0</v>
      </c>
      <c r="P285" t="n">
        <v>0</v>
      </c>
      <c r="Q285" t="n">
        <v>0</v>
      </c>
      <c r="R285" s="2" t="inlineStr"/>
    </row>
    <row r="286" ht="15" customHeight="1">
      <c r="A286" t="inlineStr">
        <is>
          <t>A 22968-2022</t>
        </is>
      </c>
      <c r="B286" s="1" t="n">
        <v>44716</v>
      </c>
      <c r="C286" s="1" t="n">
        <v>45587</v>
      </c>
      <c r="D286" t="inlineStr">
        <is>
          <t>DALARNAS LÄN</t>
        </is>
      </c>
      <c r="E286" t="inlineStr">
        <is>
          <t>HEDEMORA</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22970-2022</t>
        </is>
      </c>
      <c r="B287" s="1" t="n">
        <v>44716</v>
      </c>
      <c r="C287" s="1" t="n">
        <v>45587</v>
      </c>
      <c r="D287" t="inlineStr">
        <is>
          <t>DALARNAS LÄN</t>
        </is>
      </c>
      <c r="E287" t="inlineStr">
        <is>
          <t>HEDEMORA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22969-2022</t>
        </is>
      </c>
      <c r="B288" s="1" t="n">
        <v>44716</v>
      </c>
      <c r="C288" s="1" t="n">
        <v>45587</v>
      </c>
      <c r="D288" t="inlineStr">
        <is>
          <t>DALARNAS LÄN</t>
        </is>
      </c>
      <c r="E288" t="inlineStr">
        <is>
          <t>HEDEMORA</t>
        </is>
      </c>
      <c r="F288" t="inlineStr">
        <is>
          <t>Sveaskog</t>
        </is>
      </c>
      <c r="G288" t="n">
        <v>9</v>
      </c>
      <c r="H288" t="n">
        <v>0</v>
      </c>
      <c r="I288" t="n">
        <v>0</v>
      </c>
      <c r="J288" t="n">
        <v>0</v>
      </c>
      <c r="K288" t="n">
        <v>0</v>
      </c>
      <c r="L288" t="n">
        <v>0</v>
      </c>
      <c r="M288" t="n">
        <v>0</v>
      </c>
      <c r="N288" t="n">
        <v>0</v>
      </c>
      <c r="O288" t="n">
        <v>0</v>
      </c>
      <c r="P288" t="n">
        <v>0</v>
      </c>
      <c r="Q288" t="n">
        <v>0</v>
      </c>
      <c r="R288" s="2" t="inlineStr"/>
    </row>
    <row r="289" ht="15" customHeight="1">
      <c r="A289" t="inlineStr">
        <is>
          <t>A 23329-2022</t>
        </is>
      </c>
      <c r="B289" s="1" t="n">
        <v>44720</v>
      </c>
      <c r="C289" s="1" t="n">
        <v>45587</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23843-2022</t>
        </is>
      </c>
      <c r="B290" s="1" t="n">
        <v>44722</v>
      </c>
      <c r="C290" s="1" t="n">
        <v>45587</v>
      </c>
      <c r="D290" t="inlineStr">
        <is>
          <t>DALARNAS LÄN</t>
        </is>
      </c>
      <c r="E290" t="inlineStr">
        <is>
          <t>HEDEMORA</t>
        </is>
      </c>
      <c r="F290" t="inlineStr">
        <is>
          <t>Sveaskog</t>
        </is>
      </c>
      <c r="G290" t="n">
        <v>6</v>
      </c>
      <c r="H290" t="n">
        <v>0</v>
      </c>
      <c r="I290" t="n">
        <v>0</v>
      </c>
      <c r="J290" t="n">
        <v>0</v>
      </c>
      <c r="K290" t="n">
        <v>0</v>
      </c>
      <c r="L290" t="n">
        <v>0</v>
      </c>
      <c r="M290" t="n">
        <v>0</v>
      </c>
      <c r="N290" t="n">
        <v>0</v>
      </c>
      <c r="O290" t="n">
        <v>0</v>
      </c>
      <c r="P290" t="n">
        <v>0</v>
      </c>
      <c r="Q290" t="n">
        <v>0</v>
      </c>
      <c r="R290" s="2" t="inlineStr"/>
    </row>
    <row r="291" ht="15" customHeight="1">
      <c r="A291" t="inlineStr">
        <is>
          <t>A 23839-2022</t>
        </is>
      </c>
      <c r="B291" s="1" t="n">
        <v>44722</v>
      </c>
      <c r="C291" s="1" t="n">
        <v>45587</v>
      </c>
      <c r="D291" t="inlineStr">
        <is>
          <t>DALARNAS LÄN</t>
        </is>
      </c>
      <c r="E291" t="inlineStr">
        <is>
          <t>HEDEMORA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24427-2022</t>
        </is>
      </c>
      <c r="B292" s="1" t="n">
        <v>44726</v>
      </c>
      <c r="C292" s="1" t="n">
        <v>45587</v>
      </c>
      <c r="D292" t="inlineStr">
        <is>
          <t>DALARNAS LÄN</t>
        </is>
      </c>
      <c r="E292" t="inlineStr">
        <is>
          <t>HEDEMORA</t>
        </is>
      </c>
      <c r="G292" t="n">
        <v>1.7</v>
      </c>
      <c r="H292" t="n">
        <v>0</v>
      </c>
      <c r="I292" t="n">
        <v>0</v>
      </c>
      <c r="J292" t="n">
        <v>0</v>
      </c>
      <c r="K292" t="n">
        <v>0</v>
      </c>
      <c r="L292" t="n">
        <v>0</v>
      </c>
      <c r="M292" t="n">
        <v>0</v>
      </c>
      <c r="N292" t="n">
        <v>0</v>
      </c>
      <c r="O292" t="n">
        <v>0</v>
      </c>
      <c r="P292" t="n">
        <v>0</v>
      </c>
      <c r="Q292" t="n">
        <v>0</v>
      </c>
      <c r="R292" s="2" t="inlineStr"/>
    </row>
    <row r="293" ht="15" customHeight="1">
      <c r="A293" t="inlineStr">
        <is>
          <t>A 24446-2022</t>
        </is>
      </c>
      <c r="B293" s="1" t="n">
        <v>44726</v>
      </c>
      <c r="C293" s="1" t="n">
        <v>45587</v>
      </c>
      <c r="D293" t="inlineStr">
        <is>
          <t>DALARNAS LÄN</t>
        </is>
      </c>
      <c r="E293" t="inlineStr">
        <is>
          <t>HEDEMORA</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24706-2022</t>
        </is>
      </c>
      <c r="B294" s="1" t="n">
        <v>44727</v>
      </c>
      <c r="C294" s="1" t="n">
        <v>45587</v>
      </c>
      <c r="D294" t="inlineStr">
        <is>
          <t>DALARNAS LÄN</t>
        </is>
      </c>
      <c r="E294" t="inlineStr">
        <is>
          <t>HEDEMORA</t>
        </is>
      </c>
      <c r="G294" t="n">
        <v>25.4</v>
      </c>
      <c r="H294" t="n">
        <v>0</v>
      </c>
      <c r="I294" t="n">
        <v>0</v>
      </c>
      <c r="J294" t="n">
        <v>0</v>
      </c>
      <c r="K294" t="n">
        <v>0</v>
      </c>
      <c r="L294" t="n">
        <v>0</v>
      </c>
      <c r="M294" t="n">
        <v>0</v>
      </c>
      <c r="N294" t="n">
        <v>0</v>
      </c>
      <c r="O294" t="n">
        <v>0</v>
      </c>
      <c r="P294" t="n">
        <v>0</v>
      </c>
      <c r="Q294" t="n">
        <v>0</v>
      </c>
      <c r="R294" s="2" t="inlineStr"/>
    </row>
    <row r="295" ht="15" customHeight="1">
      <c r="A295" t="inlineStr">
        <is>
          <t>A 25754-2022</t>
        </is>
      </c>
      <c r="B295" s="1" t="n">
        <v>44732</v>
      </c>
      <c r="C295" s="1" t="n">
        <v>45587</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25567-2022</t>
        </is>
      </c>
      <c r="B296" s="1" t="n">
        <v>44732</v>
      </c>
      <c r="C296" s="1" t="n">
        <v>45587</v>
      </c>
      <c r="D296" t="inlineStr">
        <is>
          <t>DALARNAS LÄN</t>
        </is>
      </c>
      <c r="E296" t="inlineStr">
        <is>
          <t>HEDEMORA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25577-2022</t>
        </is>
      </c>
      <c r="B297" s="1" t="n">
        <v>44732</v>
      </c>
      <c r="C297" s="1" t="n">
        <v>45587</v>
      </c>
      <c r="D297" t="inlineStr">
        <is>
          <t>DALARNAS LÄN</t>
        </is>
      </c>
      <c r="E297" t="inlineStr">
        <is>
          <t>HEDEMORA</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25692-2022</t>
        </is>
      </c>
      <c r="B298" s="1" t="n">
        <v>44732</v>
      </c>
      <c r="C298" s="1" t="n">
        <v>45587</v>
      </c>
      <c r="D298" t="inlineStr">
        <is>
          <t>DALARNAS LÄN</t>
        </is>
      </c>
      <c r="E298" t="inlineStr">
        <is>
          <t>HEDEMORA</t>
        </is>
      </c>
      <c r="F298" t="inlineStr">
        <is>
          <t>Bergvik skog väst AB</t>
        </is>
      </c>
      <c r="G298" t="n">
        <v>22.3</v>
      </c>
      <c r="H298" t="n">
        <v>0</v>
      </c>
      <c r="I298" t="n">
        <v>0</v>
      </c>
      <c r="J298" t="n">
        <v>0</v>
      </c>
      <c r="K298" t="n">
        <v>0</v>
      </c>
      <c r="L298" t="n">
        <v>0</v>
      </c>
      <c r="M298" t="n">
        <v>0</v>
      </c>
      <c r="N298" t="n">
        <v>0</v>
      </c>
      <c r="O298" t="n">
        <v>0</v>
      </c>
      <c r="P298" t="n">
        <v>0</v>
      </c>
      <c r="Q298" t="n">
        <v>0</v>
      </c>
      <c r="R298" s="2" t="inlineStr"/>
    </row>
    <row r="299" ht="15" customHeight="1">
      <c r="A299" t="inlineStr">
        <is>
          <t>A 25691-2022</t>
        </is>
      </c>
      <c r="B299" s="1" t="n">
        <v>44733</v>
      </c>
      <c r="C299" s="1" t="n">
        <v>45587</v>
      </c>
      <c r="D299" t="inlineStr">
        <is>
          <t>DALARNAS LÄN</t>
        </is>
      </c>
      <c r="E299" t="inlineStr">
        <is>
          <t>HEDEMORA</t>
        </is>
      </c>
      <c r="G299" t="n">
        <v>0.7</v>
      </c>
      <c r="H299" t="n">
        <v>0</v>
      </c>
      <c r="I299" t="n">
        <v>0</v>
      </c>
      <c r="J299" t="n">
        <v>0</v>
      </c>
      <c r="K299" t="n">
        <v>0</v>
      </c>
      <c r="L299" t="n">
        <v>0</v>
      </c>
      <c r="M299" t="n">
        <v>0</v>
      </c>
      <c r="N299" t="n">
        <v>0</v>
      </c>
      <c r="O299" t="n">
        <v>0</v>
      </c>
      <c r="P299" t="n">
        <v>0</v>
      </c>
      <c r="Q299" t="n">
        <v>0</v>
      </c>
      <c r="R299" s="2" t="inlineStr"/>
    </row>
    <row r="300" ht="15" customHeight="1">
      <c r="A300" t="inlineStr">
        <is>
          <t>A 27238-2022</t>
        </is>
      </c>
      <c r="B300" s="1" t="n">
        <v>44741</v>
      </c>
      <c r="C300" s="1" t="n">
        <v>45587</v>
      </c>
      <c r="D300" t="inlineStr">
        <is>
          <t>DALARNAS LÄN</t>
        </is>
      </c>
      <c r="E300" t="inlineStr">
        <is>
          <t>HEDEMORA</t>
        </is>
      </c>
      <c r="G300" t="n">
        <v>1.5</v>
      </c>
      <c r="H300" t="n">
        <v>0</v>
      </c>
      <c r="I300" t="n">
        <v>0</v>
      </c>
      <c r="J300" t="n">
        <v>0</v>
      </c>
      <c r="K300" t="n">
        <v>0</v>
      </c>
      <c r="L300" t="n">
        <v>0</v>
      </c>
      <c r="M300" t="n">
        <v>0</v>
      </c>
      <c r="N300" t="n">
        <v>0</v>
      </c>
      <c r="O300" t="n">
        <v>0</v>
      </c>
      <c r="P300" t="n">
        <v>0</v>
      </c>
      <c r="Q300" t="n">
        <v>0</v>
      </c>
      <c r="R300" s="2" t="inlineStr"/>
    </row>
    <row r="301" ht="15" customHeight="1">
      <c r="A301" t="inlineStr">
        <is>
          <t>A 28173-2022</t>
        </is>
      </c>
      <c r="B301" s="1" t="n">
        <v>44746</v>
      </c>
      <c r="C301" s="1" t="n">
        <v>45587</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28105-2022</t>
        </is>
      </c>
      <c r="B302" s="1" t="n">
        <v>44746</v>
      </c>
      <c r="C302" s="1" t="n">
        <v>45587</v>
      </c>
      <c r="D302" t="inlineStr">
        <is>
          <t>DALARNAS LÄN</t>
        </is>
      </c>
      <c r="E302" t="inlineStr">
        <is>
          <t>HEDEMORA</t>
        </is>
      </c>
      <c r="G302" t="n">
        <v>0.8</v>
      </c>
      <c r="H302" t="n">
        <v>0</v>
      </c>
      <c r="I302" t="n">
        <v>0</v>
      </c>
      <c r="J302" t="n">
        <v>0</v>
      </c>
      <c r="K302" t="n">
        <v>0</v>
      </c>
      <c r="L302" t="n">
        <v>0</v>
      </c>
      <c r="M302" t="n">
        <v>0</v>
      </c>
      <c r="N302" t="n">
        <v>0</v>
      </c>
      <c r="O302" t="n">
        <v>0</v>
      </c>
      <c r="P302" t="n">
        <v>0</v>
      </c>
      <c r="Q302" t="n">
        <v>0</v>
      </c>
      <c r="R302" s="2" t="inlineStr"/>
    </row>
    <row r="303" ht="15" customHeight="1">
      <c r="A303" t="inlineStr">
        <is>
          <t>A 29284-2022</t>
        </is>
      </c>
      <c r="B303" s="1" t="n">
        <v>44750</v>
      </c>
      <c r="C303" s="1" t="n">
        <v>45587</v>
      </c>
      <c r="D303" t="inlineStr">
        <is>
          <t>DALARNAS LÄN</t>
        </is>
      </c>
      <c r="E303" t="inlineStr">
        <is>
          <t>HEDEMORA</t>
        </is>
      </c>
      <c r="F303" t="inlineStr">
        <is>
          <t>Sveaskog</t>
        </is>
      </c>
      <c r="G303" t="n">
        <v>4.4</v>
      </c>
      <c r="H303" t="n">
        <v>0</v>
      </c>
      <c r="I303" t="n">
        <v>0</v>
      </c>
      <c r="J303" t="n">
        <v>0</v>
      </c>
      <c r="K303" t="n">
        <v>0</v>
      </c>
      <c r="L303" t="n">
        <v>0</v>
      </c>
      <c r="M303" t="n">
        <v>0</v>
      </c>
      <c r="N303" t="n">
        <v>0</v>
      </c>
      <c r="O303" t="n">
        <v>0</v>
      </c>
      <c r="P303" t="n">
        <v>0</v>
      </c>
      <c r="Q303" t="n">
        <v>0</v>
      </c>
      <c r="R303" s="2" t="inlineStr"/>
    </row>
    <row r="304" ht="15" customHeight="1">
      <c r="A304" t="inlineStr">
        <is>
          <t>A 29283-2022</t>
        </is>
      </c>
      <c r="B304" s="1" t="n">
        <v>44750</v>
      </c>
      <c r="C304" s="1" t="n">
        <v>45587</v>
      </c>
      <c r="D304" t="inlineStr">
        <is>
          <t>DALARNAS LÄN</t>
        </is>
      </c>
      <c r="E304" t="inlineStr">
        <is>
          <t>HEDEMORA</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30163-2022</t>
        </is>
      </c>
      <c r="B305" s="1" t="n">
        <v>44757</v>
      </c>
      <c r="C305" s="1" t="n">
        <v>45587</v>
      </c>
      <c r="D305" t="inlineStr">
        <is>
          <t>DALARNAS LÄN</t>
        </is>
      </c>
      <c r="E305" t="inlineStr">
        <is>
          <t>HEDEMORA</t>
        </is>
      </c>
      <c r="F305" t="inlineStr">
        <is>
          <t>Sveaskog</t>
        </is>
      </c>
      <c r="G305" t="n">
        <v>9.4</v>
      </c>
      <c r="H305" t="n">
        <v>0</v>
      </c>
      <c r="I305" t="n">
        <v>0</v>
      </c>
      <c r="J305" t="n">
        <v>0</v>
      </c>
      <c r="K305" t="n">
        <v>0</v>
      </c>
      <c r="L305" t="n">
        <v>0</v>
      </c>
      <c r="M305" t="n">
        <v>0</v>
      </c>
      <c r="N305" t="n">
        <v>0</v>
      </c>
      <c r="O305" t="n">
        <v>0</v>
      </c>
      <c r="P305" t="n">
        <v>0</v>
      </c>
      <c r="Q305" t="n">
        <v>0</v>
      </c>
      <c r="R305" s="2" t="inlineStr"/>
    </row>
    <row r="306" ht="15" customHeight="1">
      <c r="A306" t="inlineStr">
        <is>
          <t>A 30162-2022</t>
        </is>
      </c>
      <c r="B306" s="1" t="n">
        <v>44757</v>
      </c>
      <c r="C306" s="1" t="n">
        <v>45587</v>
      </c>
      <c r="D306" t="inlineStr">
        <is>
          <t>DALARNAS LÄN</t>
        </is>
      </c>
      <c r="E306" t="inlineStr">
        <is>
          <t>HEDEMORA</t>
        </is>
      </c>
      <c r="F306" t="inlineStr">
        <is>
          <t>Sveaskog</t>
        </is>
      </c>
      <c r="G306" t="n">
        <v>3.3</v>
      </c>
      <c r="H306" t="n">
        <v>0</v>
      </c>
      <c r="I306" t="n">
        <v>0</v>
      </c>
      <c r="J306" t="n">
        <v>0</v>
      </c>
      <c r="K306" t="n">
        <v>0</v>
      </c>
      <c r="L306" t="n">
        <v>0</v>
      </c>
      <c r="M306" t="n">
        <v>0</v>
      </c>
      <c r="N306" t="n">
        <v>0</v>
      </c>
      <c r="O306" t="n">
        <v>0</v>
      </c>
      <c r="P306" t="n">
        <v>0</v>
      </c>
      <c r="Q306" t="n">
        <v>0</v>
      </c>
      <c r="R306" s="2" t="inlineStr"/>
    </row>
    <row r="307" ht="15" customHeight="1">
      <c r="A307" t="inlineStr">
        <is>
          <t>A 30205-2022</t>
        </is>
      </c>
      <c r="B307" s="1" t="n">
        <v>44757</v>
      </c>
      <c r="C307" s="1" t="n">
        <v>45587</v>
      </c>
      <c r="D307" t="inlineStr">
        <is>
          <t>DALARNAS LÄN</t>
        </is>
      </c>
      <c r="E307" t="inlineStr">
        <is>
          <t>HEDEMORA</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32731-2022</t>
        </is>
      </c>
      <c r="B308" s="1" t="n">
        <v>44783</v>
      </c>
      <c r="C308" s="1" t="n">
        <v>45587</v>
      </c>
      <c r="D308" t="inlineStr">
        <is>
          <t>DALARNAS LÄN</t>
        </is>
      </c>
      <c r="E308" t="inlineStr">
        <is>
          <t>HEDEMORA</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32738-2022</t>
        </is>
      </c>
      <c r="B309" s="1" t="n">
        <v>44783</v>
      </c>
      <c r="C309" s="1" t="n">
        <v>45587</v>
      </c>
      <c r="D309" t="inlineStr">
        <is>
          <t>DALARNAS LÄN</t>
        </is>
      </c>
      <c r="E309" t="inlineStr">
        <is>
          <t>HEDEMORA</t>
        </is>
      </c>
      <c r="G309" t="n">
        <v>2.6</v>
      </c>
      <c r="H309" t="n">
        <v>0</v>
      </c>
      <c r="I309" t="n">
        <v>0</v>
      </c>
      <c r="J309" t="n">
        <v>0</v>
      </c>
      <c r="K309" t="n">
        <v>0</v>
      </c>
      <c r="L309" t="n">
        <v>0</v>
      </c>
      <c r="M309" t="n">
        <v>0</v>
      </c>
      <c r="N309" t="n">
        <v>0</v>
      </c>
      <c r="O309" t="n">
        <v>0</v>
      </c>
      <c r="P309" t="n">
        <v>0</v>
      </c>
      <c r="Q309" t="n">
        <v>0</v>
      </c>
      <c r="R309" s="2" t="inlineStr"/>
    </row>
    <row r="310" ht="15" customHeight="1">
      <c r="A310" t="inlineStr">
        <is>
          <t>A 32748-2022</t>
        </is>
      </c>
      <c r="B310" s="1" t="n">
        <v>44783</v>
      </c>
      <c r="C310" s="1" t="n">
        <v>45587</v>
      </c>
      <c r="D310" t="inlineStr">
        <is>
          <t>DALARNAS LÄN</t>
        </is>
      </c>
      <c r="E310" t="inlineStr">
        <is>
          <t>HEDEMORA</t>
        </is>
      </c>
      <c r="G310" t="n">
        <v>1</v>
      </c>
      <c r="H310" t="n">
        <v>0</v>
      </c>
      <c r="I310" t="n">
        <v>0</v>
      </c>
      <c r="J310" t="n">
        <v>0</v>
      </c>
      <c r="K310" t="n">
        <v>0</v>
      </c>
      <c r="L310" t="n">
        <v>0</v>
      </c>
      <c r="M310" t="n">
        <v>0</v>
      </c>
      <c r="N310" t="n">
        <v>0</v>
      </c>
      <c r="O310" t="n">
        <v>0</v>
      </c>
      <c r="P310" t="n">
        <v>0</v>
      </c>
      <c r="Q310" t="n">
        <v>0</v>
      </c>
      <c r="R310" s="2" t="inlineStr"/>
    </row>
    <row r="311" ht="15" customHeight="1">
      <c r="A311" t="inlineStr">
        <is>
          <t>A 33071-2022</t>
        </is>
      </c>
      <c r="B311" s="1" t="n">
        <v>44785</v>
      </c>
      <c r="C311" s="1" t="n">
        <v>45587</v>
      </c>
      <c r="D311" t="inlineStr">
        <is>
          <t>DALARNAS LÄN</t>
        </is>
      </c>
      <c r="E311" t="inlineStr">
        <is>
          <t>HEDEMORA</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34237-2022</t>
        </is>
      </c>
      <c r="B312" s="1" t="n">
        <v>44791</v>
      </c>
      <c r="C312" s="1" t="n">
        <v>45587</v>
      </c>
      <c r="D312" t="inlineStr">
        <is>
          <t>DALARNAS LÄN</t>
        </is>
      </c>
      <c r="E312" t="inlineStr">
        <is>
          <t>HEDEMORA</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34409-2022</t>
        </is>
      </c>
      <c r="B313" s="1" t="n">
        <v>44792</v>
      </c>
      <c r="C313" s="1" t="n">
        <v>45587</v>
      </c>
      <c r="D313" t="inlineStr">
        <is>
          <t>DALARNAS LÄN</t>
        </is>
      </c>
      <c r="E313" t="inlineStr">
        <is>
          <t>HEDEMORA</t>
        </is>
      </c>
      <c r="G313" t="n">
        <v>13.7</v>
      </c>
      <c r="H313" t="n">
        <v>0</v>
      </c>
      <c r="I313" t="n">
        <v>0</v>
      </c>
      <c r="J313" t="n">
        <v>0</v>
      </c>
      <c r="K313" t="n">
        <v>0</v>
      </c>
      <c r="L313" t="n">
        <v>0</v>
      </c>
      <c r="M313" t="n">
        <v>0</v>
      </c>
      <c r="N313" t="n">
        <v>0</v>
      </c>
      <c r="O313" t="n">
        <v>0</v>
      </c>
      <c r="P313" t="n">
        <v>0</v>
      </c>
      <c r="Q313" t="n">
        <v>0</v>
      </c>
      <c r="R313" s="2" t="inlineStr"/>
    </row>
    <row r="314" ht="15" customHeight="1">
      <c r="A314" t="inlineStr">
        <is>
          <t>A 35806-2022</t>
        </is>
      </c>
      <c r="B314" s="1" t="n">
        <v>44802</v>
      </c>
      <c r="C314" s="1" t="n">
        <v>45587</v>
      </c>
      <c r="D314" t="inlineStr">
        <is>
          <t>DALARNAS LÄN</t>
        </is>
      </c>
      <c r="E314" t="inlineStr">
        <is>
          <t>HEDEMORA</t>
        </is>
      </c>
      <c r="G314" t="n">
        <v>1.3</v>
      </c>
      <c r="H314" t="n">
        <v>0</v>
      </c>
      <c r="I314" t="n">
        <v>0</v>
      </c>
      <c r="J314" t="n">
        <v>0</v>
      </c>
      <c r="K314" t="n">
        <v>0</v>
      </c>
      <c r="L314" t="n">
        <v>0</v>
      </c>
      <c r="M314" t="n">
        <v>0</v>
      </c>
      <c r="N314" t="n">
        <v>0</v>
      </c>
      <c r="O314" t="n">
        <v>0</v>
      </c>
      <c r="P314" t="n">
        <v>0</v>
      </c>
      <c r="Q314" t="n">
        <v>0</v>
      </c>
      <c r="R314" s="2" t="inlineStr"/>
    </row>
    <row r="315" ht="15" customHeight="1">
      <c r="A315" t="inlineStr">
        <is>
          <t>A 36865-2022</t>
        </is>
      </c>
      <c r="B315" s="1" t="n">
        <v>44805</v>
      </c>
      <c r="C315" s="1" t="n">
        <v>45587</v>
      </c>
      <c r="D315" t="inlineStr">
        <is>
          <t>DALARNAS LÄN</t>
        </is>
      </c>
      <c r="E315" t="inlineStr">
        <is>
          <t>HEDEMORA</t>
        </is>
      </c>
      <c r="G315" t="n">
        <v>2.1</v>
      </c>
      <c r="H315" t="n">
        <v>0</v>
      </c>
      <c r="I315" t="n">
        <v>0</v>
      </c>
      <c r="J315" t="n">
        <v>0</v>
      </c>
      <c r="K315" t="n">
        <v>0</v>
      </c>
      <c r="L315" t="n">
        <v>0</v>
      </c>
      <c r="M315" t="n">
        <v>0</v>
      </c>
      <c r="N315" t="n">
        <v>0</v>
      </c>
      <c r="O315" t="n">
        <v>0</v>
      </c>
      <c r="P315" t="n">
        <v>0</v>
      </c>
      <c r="Q315" t="n">
        <v>0</v>
      </c>
      <c r="R315" s="2" t="inlineStr"/>
    </row>
    <row r="316" ht="15" customHeight="1">
      <c r="A316" t="inlineStr">
        <is>
          <t>A 36900-2022</t>
        </is>
      </c>
      <c r="B316" s="1" t="n">
        <v>44805</v>
      </c>
      <c r="C316" s="1" t="n">
        <v>45587</v>
      </c>
      <c r="D316" t="inlineStr">
        <is>
          <t>DALARNAS LÄN</t>
        </is>
      </c>
      <c r="E316" t="inlineStr">
        <is>
          <t>HEDEMORA</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39046-2022</t>
        </is>
      </c>
      <c r="B317" s="1" t="n">
        <v>44817</v>
      </c>
      <c r="C317" s="1" t="n">
        <v>45587</v>
      </c>
      <c r="D317" t="inlineStr">
        <is>
          <t>DALARNAS LÄN</t>
        </is>
      </c>
      <c r="E317" t="inlineStr">
        <is>
          <t>HEDEMORA</t>
        </is>
      </c>
      <c r="F317" t="inlineStr">
        <is>
          <t>Sveaskog</t>
        </is>
      </c>
      <c r="G317" t="n">
        <v>14.8</v>
      </c>
      <c r="H317" t="n">
        <v>0</v>
      </c>
      <c r="I317" t="n">
        <v>0</v>
      </c>
      <c r="J317" t="n">
        <v>0</v>
      </c>
      <c r="K317" t="n">
        <v>0</v>
      </c>
      <c r="L317" t="n">
        <v>0</v>
      </c>
      <c r="M317" t="n">
        <v>0</v>
      </c>
      <c r="N317" t="n">
        <v>0</v>
      </c>
      <c r="O317" t="n">
        <v>0</v>
      </c>
      <c r="P317" t="n">
        <v>0</v>
      </c>
      <c r="Q317" t="n">
        <v>0</v>
      </c>
      <c r="R317" s="2" t="inlineStr"/>
    </row>
    <row r="318" ht="15" customHeight="1">
      <c r="A318" t="inlineStr">
        <is>
          <t>A 39497-2022</t>
        </is>
      </c>
      <c r="B318" s="1" t="n">
        <v>44817</v>
      </c>
      <c r="C318" s="1" t="n">
        <v>45587</v>
      </c>
      <c r="D318" t="inlineStr">
        <is>
          <t>DALARNAS LÄN</t>
        </is>
      </c>
      <c r="E318" t="inlineStr">
        <is>
          <t>HEDEMORA</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39511-2022</t>
        </is>
      </c>
      <c r="B319" s="1" t="n">
        <v>44817</v>
      </c>
      <c r="C319" s="1" t="n">
        <v>45587</v>
      </c>
      <c r="D319" t="inlineStr">
        <is>
          <t>DALARNAS LÄN</t>
        </is>
      </c>
      <c r="E319" t="inlineStr">
        <is>
          <t>HEDEMORA</t>
        </is>
      </c>
      <c r="F319" t="inlineStr">
        <is>
          <t>Bergvik skog väst AB</t>
        </is>
      </c>
      <c r="G319" t="n">
        <v>3</v>
      </c>
      <c r="H319" t="n">
        <v>0</v>
      </c>
      <c r="I319" t="n">
        <v>0</v>
      </c>
      <c r="J319" t="n">
        <v>0</v>
      </c>
      <c r="K319" t="n">
        <v>0</v>
      </c>
      <c r="L319" t="n">
        <v>0</v>
      </c>
      <c r="M319" t="n">
        <v>0</v>
      </c>
      <c r="N319" t="n">
        <v>0</v>
      </c>
      <c r="O319" t="n">
        <v>0</v>
      </c>
      <c r="P319" t="n">
        <v>0</v>
      </c>
      <c r="Q319" t="n">
        <v>0</v>
      </c>
      <c r="R319" s="2" t="inlineStr"/>
    </row>
    <row r="320" ht="15" customHeight="1">
      <c r="A320" t="inlineStr">
        <is>
          <t>A 39506-2022</t>
        </is>
      </c>
      <c r="B320" s="1" t="n">
        <v>44817</v>
      </c>
      <c r="C320" s="1" t="n">
        <v>45587</v>
      </c>
      <c r="D320" t="inlineStr">
        <is>
          <t>DALARNAS LÄN</t>
        </is>
      </c>
      <c r="E320" t="inlineStr">
        <is>
          <t>HEDEMORA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39667-2022</t>
        </is>
      </c>
      <c r="B321" s="1" t="n">
        <v>44818</v>
      </c>
      <c r="C321" s="1" t="n">
        <v>45587</v>
      </c>
      <c r="D321" t="inlineStr">
        <is>
          <t>DALARNAS LÄN</t>
        </is>
      </c>
      <c r="E321" t="inlineStr">
        <is>
          <t>HEDEMORA</t>
        </is>
      </c>
      <c r="F321" t="inlineStr">
        <is>
          <t>Sveaskog</t>
        </is>
      </c>
      <c r="G321" t="n">
        <v>20.4</v>
      </c>
      <c r="H321" t="n">
        <v>0</v>
      </c>
      <c r="I321" t="n">
        <v>0</v>
      </c>
      <c r="J321" t="n">
        <v>0</v>
      </c>
      <c r="K321" t="n">
        <v>0</v>
      </c>
      <c r="L321" t="n">
        <v>0</v>
      </c>
      <c r="M321" t="n">
        <v>0</v>
      </c>
      <c r="N321" t="n">
        <v>0</v>
      </c>
      <c r="O321" t="n">
        <v>0</v>
      </c>
      <c r="P321" t="n">
        <v>0</v>
      </c>
      <c r="Q321" t="n">
        <v>0</v>
      </c>
      <c r="R321" s="2" t="inlineStr"/>
    </row>
    <row r="322" ht="15" customHeight="1">
      <c r="A322" t="inlineStr">
        <is>
          <t>A 40030-2022</t>
        </is>
      </c>
      <c r="B322" s="1" t="n">
        <v>44820</v>
      </c>
      <c r="C322" s="1" t="n">
        <v>45587</v>
      </c>
      <c r="D322" t="inlineStr">
        <is>
          <t>DALARNAS LÄN</t>
        </is>
      </c>
      <c r="E322" t="inlineStr">
        <is>
          <t>HEDEMORA</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40025-2022</t>
        </is>
      </c>
      <c r="B323" s="1" t="n">
        <v>44820</v>
      </c>
      <c r="C323" s="1" t="n">
        <v>45587</v>
      </c>
      <c r="D323" t="inlineStr">
        <is>
          <t>DALARNAS LÄN</t>
        </is>
      </c>
      <c r="E323" t="inlineStr">
        <is>
          <t>HEDEMORA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41845-2022</t>
        </is>
      </c>
      <c r="B324" s="1" t="n">
        <v>44828</v>
      </c>
      <c r="C324" s="1" t="n">
        <v>45587</v>
      </c>
      <c r="D324" t="inlineStr">
        <is>
          <t>DALARNAS LÄN</t>
        </is>
      </c>
      <c r="E324" t="inlineStr">
        <is>
          <t>HEDEMORA</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45276-2022</t>
        </is>
      </c>
      <c r="B325" s="1" t="n">
        <v>44844</v>
      </c>
      <c r="C325" s="1" t="n">
        <v>45587</v>
      </c>
      <c r="D325" t="inlineStr">
        <is>
          <t>DALARNAS LÄN</t>
        </is>
      </c>
      <c r="E325" t="inlineStr">
        <is>
          <t>HEDEMORA</t>
        </is>
      </c>
      <c r="F325" t="inlineStr">
        <is>
          <t>Sveaskog</t>
        </is>
      </c>
      <c r="G325" t="n">
        <v>13.7</v>
      </c>
      <c r="H325" t="n">
        <v>0</v>
      </c>
      <c r="I325" t="n">
        <v>0</v>
      </c>
      <c r="J325" t="n">
        <v>0</v>
      </c>
      <c r="K325" t="n">
        <v>0</v>
      </c>
      <c r="L325" t="n">
        <v>0</v>
      </c>
      <c r="M325" t="n">
        <v>0</v>
      </c>
      <c r="N325" t="n">
        <v>0</v>
      </c>
      <c r="O325" t="n">
        <v>0</v>
      </c>
      <c r="P325" t="n">
        <v>0</v>
      </c>
      <c r="Q325" t="n">
        <v>0</v>
      </c>
      <c r="R325" s="2" t="inlineStr"/>
    </row>
    <row r="326" ht="15" customHeight="1">
      <c r="A326" t="inlineStr">
        <is>
          <t>A 45741-2022</t>
        </is>
      </c>
      <c r="B326" s="1" t="n">
        <v>44846</v>
      </c>
      <c r="C326" s="1" t="n">
        <v>45587</v>
      </c>
      <c r="D326" t="inlineStr">
        <is>
          <t>DALARNAS LÄN</t>
        </is>
      </c>
      <c r="E326" t="inlineStr">
        <is>
          <t>HEDEMORA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48639-2022</t>
        </is>
      </c>
      <c r="B327" s="1" t="n">
        <v>44859</v>
      </c>
      <c r="C327" s="1" t="n">
        <v>45587</v>
      </c>
      <c r="D327" t="inlineStr">
        <is>
          <t>DALARNAS LÄN</t>
        </is>
      </c>
      <c r="E327" t="inlineStr">
        <is>
          <t>HEDEMORA</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49160-2022</t>
        </is>
      </c>
      <c r="B328" s="1" t="n">
        <v>44860</v>
      </c>
      <c r="C328" s="1" t="n">
        <v>45587</v>
      </c>
      <c r="D328" t="inlineStr">
        <is>
          <t>DALARNAS LÄN</t>
        </is>
      </c>
      <c r="E328" t="inlineStr">
        <is>
          <t>HEDEMORA</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49768-2022</t>
        </is>
      </c>
      <c r="B329" s="1" t="n">
        <v>44862</v>
      </c>
      <c r="C329" s="1" t="n">
        <v>45587</v>
      </c>
      <c r="D329" t="inlineStr">
        <is>
          <t>DALARNAS LÄN</t>
        </is>
      </c>
      <c r="E329" t="inlineStr">
        <is>
          <t>HEDEMORA</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49890-2022</t>
        </is>
      </c>
      <c r="B330" s="1" t="n">
        <v>44864</v>
      </c>
      <c r="C330" s="1" t="n">
        <v>45587</v>
      </c>
      <c r="D330" t="inlineStr">
        <is>
          <t>DALARNAS LÄN</t>
        </is>
      </c>
      <c r="E330" t="inlineStr">
        <is>
          <t>HEDEMORA</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51181-2022</t>
        </is>
      </c>
      <c r="B331" s="1" t="n">
        <v>44868</v>
      </c>
      <c r="C331" s="1" t="n">
        <v>45587</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51167-2022</t>
        </is>
      </c>
      <c r="B332" s="1" t="n">
        <v>44868</v>
      </c>
      <c r="C332" s="1" t="n">
        <v>45587</v>
      </c>
      <c r="D332" t="inlineStr">
        <is>
          <t>DALARNAS LÄN</t>
        </is>
      </c>
      <c r="E332" t="inlineStr">
        <is>
          <t>HEDEMORA</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51520-2022</t>
        </is>
      </c>
      <c r="B333" s="1" t="n">
        <v>44869</v>
      </c>
      <c r="C333" s="1" t="n">
        <v>45587</v>
      </c>
      <c r="D333" t="inlineStr">
        <is>
          <t>DALARNAS LÄN</t>
        </is>
      </c>
      <c r="E333" t="inlineStr">
        <is>
          <t>HEDEMORA</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52822-2022</t>
        </is>
      </c>
      <c r="B334" s="1" t="n">
        <v>44875</v>
      </c>
      <c r="C334" s="1" t="n">
        <v>45587</v>
      </c>
      <c r="D334" t="inlineStr">
        <is>
          <t>DALARNAS LÄN</t>
        </is>
      </c>
      <c r="E334" t="inlineStr">
        <is>
          <t>HEDEMORA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53875-2022</t>
        </is>
      </c>
      <c r="B335" s="1" t="n">
        <v>44880</v>
      </c>
      <c r="C335" s="1" t="n">
        <v>45587</v>
      </c>
      <c r="D335" t="inlineStr">
        <is>
          <t>DALARNAS LÄN</t>
        </is>
      </c>
      <c r="E335" t="inlineStr">
        <is>
          <t>HEDEMORA</t>
        </is>
      </c>
      <c r="F335" t="inlineStr">
        <is>
          <t>Bergvik skog väst AB</t>
        </is>
      </c>
      <c r="G335" t="n">
        <v>6.8</v>
      </c>
      <c r="H335" t="n">
        <v>0</v>
      </c>
      <c r="I335" t="n">
        <v>0</v>
      </c>
      <c r="J335" t="n">
        <v>0</v>
      </c>
      <c r="K335" t="n">
        <v>0</v>
      </c>
      <c r="L335" t="n">
        <v>0</v>
      </c>
      <c r="M335" t="n">
        <v>0</v>
      </c>
      <c r="N335" t="n">
        <v>0</v>
      </c>
      <c r="O335" t="n">
        <v>0</v>
      </c>
      <c r="P335" t="n">
        <v>0</v>
      </c>
      <c r="Q335" t="n">
        <v>0</v>
      </c>
      <c r="R335" s="2" t="inlineStr"/>
    </row>
    <row r="336" ht="15" customHeight="1">
      <c r="A336" t="inlineStr">
        <is>
          <t>A 53894-2022</t>
        </is>
      </c>
      <c r="B336" s="1" t="n">
        <v>44880</v>
      </c>
      <c r="C336" s="1" t="n">
        <v>45587</v>
      </c>
      <c r="D336" t="inlineStr">
        <is>
          <t>DALARNAS LÄN</t>
        </is>
      </c>
      <c r="E336" t="inlineStr">
        <is>
          <t>HEDEMORA</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53896-2022</t>
        </is>
      </c>
      <c r="B337" s="1" t="n">
        <v>44880</v>
      </c>
      <c r="C337" s="1" t="n">
        <v>45587</v>
      </c>
      <c r="D337" t="inlineStr">
        <is>
          <t>DALARNAS LÄN</t>
        </is>
      </c>
      <c r="E337" t="inlineStr">
        <is>
          <t>HEDEMORA</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53895-2022</t>
        </is>
      </c>
      <c r="B338" s="1" t="n">
        <v>44880</v>
      </c>
      <c r="C338" s="1" t="n">
        <v>45587</v>
      </c>
      <c r="D338" t="inlineStr">
        <is>
          <t>DALARNAS LÄN</t>
        </is>
      </c>
      <c r="E338" t="inlineStr">
        <is>
          <t>HEDEMORA</t>
        </is>
      </c>
      <c r="F338" t="inlineStr">
        <is>
          <t>Sveaskog</t>
        </is>
      </c>
      <c r="G338" t="n">
        <v>4.6</v>
      </c>
      <c r="H338" t="n">
        <v>0</v>
      </c>
      <c r="I338" t="n">
        <v>0</v>
      </c>
      <c r="J338" t="n">
        <v>0</v>
      </c>
      <c r="K338" t="n">
        <v>0</v>
      </c>
      <c r="L338" t="n">
        <v>0</v>
      </c>
      <c r="M338" t="n">
        <v>0</v>
      </c>
      <c r="N338" t="n">
        <v>0</v>
      </c>
      <c r="O338" t="n">
        <v>0</v>
      </c>
      <c r="P338" t="n">
        <v>0</v>
      </c>
      <c r="Q338" t="n">
        <v>0</v>
      </c>
      <c r="R338" s="2" t="inlineStr"/>
    </row>
    <row r="339" ht="15" customHeight="1">
      <c r="A339" t="inlineStr">
        <is>
          <t>A 53915-2022</t>
        </is>
      </c>
      <c r="B339" s="1" t="n">
        <v>44880</v>
      </c>
      <c r="C339" s="1" t="n">
        <v>45587</v>
      </c>
      <c r="D339" t="inlineStr">
        <is>
          <t>DALARNAS LÄN</t>
        </is>
      </c>
      <c r="E339" t="inlineStr">
        <is>
          <t>HEDEMORA</t>
        </is>
      </c>
      <c r="F339" t="inlineStr">
        <is>
          <t>Sveaskog</t>
        </is>
      </c>
      <c r="G339" t="n">
        <v>5.3</v>
      </c>
      <c r="H339" t="n">
        <v>0</v>
      </c>
      <c r="I339" t="n">
        <v>0</v>
      </c>
      <c r="J339" t="n">
        <v>0</v>
      </c>
      <c r="K339" t="n">
        <v>0</v>
      </c>
      <c r="L339" t="n">
        <v>0</v>
      </c>
      <c r="M339" t="n">
        <v>0</v>
      </c>
      <c r="N339" t="n">
        <v>0</v>
      </c>
      <c r="O339" t="n">
        <v>0</v>
      </c>
      <c r="P339" t="n">
        <v>0</v>
      </c>
      <c r="Q339" t="n">
        <v>0</v>
      </c>
      <c r="R339" s="2" t="inlineStr"/>
    </row>
    <row r="340" ht="15" customHeight="1">
      <c r="A340" t="inlineStr">
        <is>
          <t>A 54198-2022</t>
        </is>
      </c>
      <c r="B340" s="1" t="n">
        <v>44881</v>
      </c>
      <c r="C340" s="1" t="n">
        <v>45587</v>
      </c>
      <c r="D340" t="inlineStr">
        <is>
          <t>DALARNAS LÄN</t>
        </is>
      </c>
      <c r="E340" t="inlineStr">
        <is>
          <t>HEDEMORA</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54197-2022</t>
        </is>
      </c>
      <c r="B341" s="1" t="n">
        <v>44881</v>
      </c>
      <c r="C341" s="1" t="n">
        <v>45587</v>
      </c>
      <c r="D341" t="inlineStr">
        <is>
          <t>DALARNAS LÄN</t>
        </is>
      </c>
      <c r="E341" t="inlineStr">
        <is>
          <t>HEDEMORA</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54196-2022</t>
        </is>
      </c>
      <c r="B342" s="1" t="n">
        <v>44881</v>
      </c>
      <c r="C342" s="1" t="n">
        <v>45587</v>
      </c>
      <c r="D342" t="inlineStr">
        <is>
          <t>DALARNAS LÄN</t>
        </is>
      </c>
      <c r="E342" t="inlineStr">
        <is>
          <t>HEDEMORA</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55143-2022</t>
        </is>
      </c>
      <c r="B343" s="1" t="n">
        <v>44886</v>
      </c>
      <c r="C343" s="1" t="n">
        <v>45587</v>
      </c>
      <c r="D343" t="inlineStr">
        <is>
          <t>DALARNAS LÄN</t>
        </is>
      </c>
      <c r="E343" t="inlineStr">
        <is>
          <t>HEDEMORA</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55145-2022</t>
        </is>
      </c>
      <c r="B344" s="1" t="n">
        <v>44886</v>
      </c>
      <c r="C344" s="1" t="n">
        <v>45587</v>
      </c>
      <c r="D344" t="inlineStr">
        <is>
          <t>DALARNAS LÄN</t>
        </is>
      </c>
      <c r="E344" t="inlineStr">
        <is>
          <t>HEDEMORA</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55142-2022</t>
        </is>
      </c>
      <c r="B345" s="1" t="n">
        <v>44886</v>
      </c>
      <c r="C345" s="1" t="n">
        <v>45587</v>
      </c>
      <c r="D345" t="inlineStr">
        <is>
          <t>DALARNAS LÄN</t>
        </is>
      </c>
      <c r="E345" t="inlineStr">
        <is>
          <t>HEDEMORA</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57143-2022</t>
        </is>
      </c>
      <c r="B346" s="1" t="n">
        <v>44895</v>
      </c>
      <c r="C346" s="1" t="n">
        <v>45587</v>
      </c>
      <c r="D346" t="inlineStr">
        <is>
          <t>DALARNAS LÄN</t>
        </is>
      </c>
      <c r="E346" t="inlineStr">
        <is>
          <t>HEDEMORA</t>
        </is>
      </c>
      <c r="F346" t="inlineStr">
        <is>
          <t>Bergvik skog väst AB</t>
        </is>
      </c>
      <c r="G346" t="n">
        <v>9.9</v>
      </c>
      <c r="H346" t="n">
        <v>0</v>
      </c>
      <c r="I346" t="n">
        <v>0</v>
      </c>
      <c r="J346" t="n">
        <v>0</v>
      </c>
      <c r="K346" t="n">
        <v>0</v>
      </c>
      <c r="L346" t="n">
        <v>0</v>
      </c>
      <c r="M346" t="n">
        <v>0</v>
      </c>
      <c r="N346" t="n">
        <v>0</v>
      </c>
      <c r="O346" t="n">
        <v>0</v>
      </c>
      <c r="P346" t="n">
        <v>0</v>
      </c>
      <c r="Q346" t="n">
        <v>0</v>
      </c>
      <c r="R346" s="2" t="inlineStr"/>
    </row>
    <row r="347" ht="15" customHeight="1">
      <c r="A347" t="inlineStr">
        <is>
          <t>A 58005-2022</t>
        </is>
      </c>
      <c r="B347" s="1" t="n">
        <v>44900</v>
      </c>
      <c r="C347" s="1" t="n">
        <v>45587</v>
      </c>
      <c r="D347" t="inlineStr">
        <is>
          <t>DALARNAS LÄN</t>
        </is>
      </c>
      <c r="E347" t="inlineStr">
        <is>
          <t>HEDEMORA</t>
        </is>
      </c>
      <c r="G347" t="n">
        <v>2.2</v>
      </c>
      <c r="H347" t="n">
        <v>0</v>
      </c>
      <c r="I347" t="n">
        <v>0</v>
      </c>
      <c r="J347" t="n">
        <v>0</v>
      </c>
      <c r="K347" t="n">
        <v>0</v>
      </c>
      <c r="L347" t="n">
        <v>0</v>
      </c>
      <c r="M347" t="n">
        <v>0</v>
      </c>
      <c r="N347" t="n">
        <v>0</v>
      </c>
      <c r="O347" t="n">
        <v>0</v>
      </c>
      <c r="P347" t="n">
        <v>0</v>
      </c>
      <c r="Q347" t="n">
        <v>0</v>
      </c>
      <c r="R347" s="2" t="inlineStr"/>
    </row>
    <row r="348" ht="15" customHeight="1">
      <c r="A348" t="inlineStr">
        <is>
          <t>A 58018-2022</t>
        </is>
      </c>
      <c r="B348" s="1" t="n">
        <v>44900</v>
      </c>
      <c r="C348" s="1" t="n">
        <v>45587</v>
      </c>
      <c r="D348" t="inlineStr">
        <is>
          <t>DALARNAS LÄN</t>
        </is>
      </c>
      <c r="E348" t="inlineStr">
        <is>
          <t>HEDEMORA</t>
        </is>
      </c>
      <c r="G348" t="n">
        <v>3.6</v>
      </c>
      <c r="H348" t="n">
        <v>0</v>
      </c>
      <c r="I348" t="n">
        <v>0</v>
      </c>
      <c r="J348" t="n">
        <v>0</v>
      </c>
      <c r="K348" t="n">
        <v>0</v>
      </c>
      <c r="L348" t="n">
        <v>0</v>
      </c>
      <c r="M348" t="n">
        <v>0</v>
      </c>
      <c r="N348" t="n">
        <v>0</v>
      </c>
      <c r="O348" t="n">
        <v>0</v>
      </c>
      <c r="P348" t="n">
        <v>0</v>
      </c>
      <c r="Q348" t="n">
        <v>0</v>
      </c>
      <c r="R348" s="2" t="inlineStr"/>
    </row>
    <row r="349" ht="15" customHeight="1">
      <c r="A349" t="inlineStr">
        <is>
          <t>A 59088-2022</t>
        </is>
      </c>
      <c r="B349" s="1" t="n">
        <v>44904</v>
      </c>
      <c r="C349" s="1" t="n">
        <v>45587</v>
      </c>
      <c r="D349" t="inlineStr">
        <is>
          <t>DALARNAS LÄN</t>
        </is>
      </c>
      <c r="E349" t="inlineStr">
        <is>
          <t>HEDEMORA</t>
        </is>
      </c>
      <c r="G349" t="n">
        <v>2.2</v>
      </c>
      <c r="H349" t="n">
        <v>0</v>
      </c>
      <c r="I349" t="n">
        <v>0</v>
      </c>
      <c r="J349" t="n">
        <v>0</v>
      </c>
      <c r="K349" t="n">
        <v>0</v>
      </c>
      <c r="L349" t="n">
        <v>0</v>
      </c>
      <c r="M349" t="n">
        <v>0</v>
      </c>
      <c r="N349" t="n">
        <v>0</v>
      </c>
      <c r="O349" t="n">
        <v>0</v>
      </c>
      <c r="P349" t="n">
        <v>0</v>
      </c>
      <c r="Q349" t="n">
        <v>0</v>
      </c>
      <c r="R349" s="2" t="inlineStr"/>
    </row>
    <row r="350" ht="15" customHeight="1">
      <c r="A350" t="inlineStr">
        <is>
          <t>A 59280-2022</t>
        </is>
      </c>
      <c r="B350" s="1" t="n">
        <v>44904</v>
      </c>
      <c r="C350" s="1" t="n">
        <v>45587</v>
      </c>
      <c r="D350" t="inlineStr">
        <is>
          <t>DALARNAS LÄN</t>
        </is>
      </c>
      <c r="E350" t="inlineStr">
        <is>
          <t>HEDEMORA</t>
        </is>
      </c>
      <c r="G350" t="n">
        <v>1.3</v>
      </c>
      <c r="H350" t="n">
        <v>0</v>
      </c>
      <c r="I350" t="n">
        <v>0</v>
      </c>
      <c r="J350" t="n">
        <v>0</v>
      </c>
      <c r="K350" t="n">
        <v>0</v>
      </c>
      <c r="L350" t="n">
        <v>0</v>
      </c>
      <c r="M350" t="n">
        <v>0</v>
      </c>
      <c r="N350" t="n">
        <v>0</v>
      </c>
      <c r="O350" t="n">
        <v>0</v>
      </c>
      <c r="P350" t="n">
        <v>0</v>
      </c>
      <c r="Q350" t="n">
        <v>0</v>
      </c>
      <c r="R350" s="2" t="inlineStr"/>
    </row>
    <row r="351" ht="15" customHeight="1">
      <c r="A351" t="inlineStr">
        <is>
          <t>A 60077-2022</t>
        </is>
      </c>
      <c r="B351" s="1" t="n">
        <v>44909</v>
      </c>
      <c r="C351" s="1" t="n">
        <v>45587</v>
      </c>
      <c r="D351" t="inlineStr">
        <is>
          <t>DALARNAS LÄN</t>
        </is>
      </c>
      <c r="E351" t="inlineStr">
        <is>
          <t>HEDEMORA</t>
        </is>
      </c>
      <c r="G351" t="n">
        <v>1.8</v>
      </c>
      <c r="H351" t="n">
        <v>0</v>
      </c>
      <c r="I351" t="n">
        <v>0</v>
      </c>
      <c r="J351" t="n">
        <v>0</v>
      </c>
      <c r="K351" t="n">
        <v>0</v>
      </c>
      <c r="L351" t="n">
        <v>0</v>
      </c>
      <c r="M351" t="n">
        <v>0</v>
      </c>
      <c r="N351" t="n">
        <v>0</v>
      </c>
      <c r="O351" t="n">
        <v>0</v>
      </c>
      <c r="P351" t="n">
        <v>0</v>
      </c>
      <c r="Q351" t="n">
        <v>0</v>
      </c>
      <c r="R351" s="2" t="inlineStr"/>
    </row>
    <row r="352" ht="15" customHeight="1">
      <c r="A352" t="inlineStr">
        <is>
          <t>A 60078-2022</t>
        </is>
      </c>
      <c r="B352" s="1" t="n">
        <v>44909</v>
      </c>
      <c r="C352" s="1" t="n">
        <v>45587</v>
      </c>
      <c r="D352" t="inlineStr">
        <is>
          <t>DALARNAS LÄN</t>
        </is>
      </c>
      <c r="E352" t="inlineStr">
        <is>
          <t>HEDEMORA</t>
        </is>
      </c>
      <c r="G352" t="n">
        <v>0.5</v>
      </c>
      <c r="H352" t="n">
        <v>0</v>
      </c>
      <c r="I352" t="n">
        <v>0</v>
      </c>
      <c r="J352" t="n">
        <v>0</v>
      </c>
      <c r="K352" t="n">
        <v>0</v>
      </c>
      <c r="L352" t="n">
        <v>0</v>
      </c>
      <c r="M352" t="n">
        <v>0</v>
      </c>
      <c r="N352" t="n">
        <v>0</v>
      </c>
      <c r="O352" t="n">
        <v>0</v>
      </c>
      <c r="P352" t="n">
        <v>0</v>
      </c>
      <c r="Q352" t="n">
        <v>0</v>
      </c>
      <c r="R352" s="2" t="inlineStr"/>
    </row>
    <row r="353" ht="15" customHeight="1">
      <c r="A353" t="inlineStr">
        <is>
          <t>A 60475-2022</t>
        </is>
      </c>
      <c r="B353" s="1" t="n">
        <v>44911</v>
      </c>
      <c r="C353" s="1" t="n">
        <v>45587</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60774-2022</t>
        </is>
      </c>
      <c r="B354" s="1" t="n">
        <v>44914</v>
      </c>
      <c r="C354" s="1" t="n">
        <v>45587</v>
      </c>
      <c r="D354" t="inlineStr">
        <is>
          <t>DALARNAS LÄN</t>
        </is>
      </c>
      <c r="E354" t="inlineStr">
        <is>
          <t>HEDEMORA</t>
        </is>
      </c>
      <c r="G354" t="n">
        <v>11.5</v>
      </c>
      <c r="H354" t="n">
        <v>0</v>
      </c>
      <c r="I354" t="n">
        <v>0</v>
      </c>
      <c r="J354" t="n">
        <v>0</v>
      </c>
      <c r="K354" t="n">
        <v>0</v>
      </c>
      <c r="L354" t="n">
        <v>0</v>
      </c>
      <c r="M354" t="n">
        <v>0</v>
      </c>
      <c r="N354" t="n">
        <v>0</v>
      </c>
      <c r="O354" t="n">
        <v>0</v>
      </c>
      <c r="P354" t="n">
        <v>0</v>
      </c>
      <c r="Q354" t="n">
        <v>0</v>
      </c>
      <c r="R354" s="2" t="inlineStr"/>
    </row>
    <row r="355" ht="15" customHeight="1">
      <c r="A355" t="inlineStr">
        <is>
          <t>A 61849-2022</t>
        </is>
      </c>
      <c r="B355" s="1" t="n">
        <v>44917</v>
      </c>
      <c r="C355" s="1" t="n">
        <v>45587</v>
      </c>
      <c r="D355" t="inlineStr">
        <is>
          <t>DALARNAS LÄN</t>
        </is>
      </c>
      <c r="E355" t="inlineStr">
        <is>
          <t>HEDEMORA</t>
        </is>
      </c>
      <c r="G355" t="n">
        <v>1.9</v>
      </c>
      <c r="H355" t="n">
        <v>0</v>
      </c>
      <c r="I355" t="n">
        <v>0</v>
      </c>
      <c r="J355" t="n">
        <v>0</v>
      </c>
      <c r="K355" t="n">
        <v>0</v>
      </c>
      <c r="L355" t="n">
        <v>0</v>
      </c>
      <c r="M355" t="n">
        <v>0</v>
      </c>
      <c r="N355" t="n">
        <v>0</v>
      </c>
      <c r="O355" t="n">
        <v>0</v>
      </c>
      <c r="P355" t="n">
        <v>0</v>
      </c>
      <c r="Q355" t="n">
        <v>0</v>
      </c>
      <c r="R355" s="2" t="inlineStr"/>
    </row>
    <row r="356" ht="15" customHeight="1">
      <c r="A356" t="inlineStr">
        <is>
          <t>A 61883-2022</t>
        </is>
      </c>
      <c r="B356" s="1" t="n">
        <v>44917</v>
      </c>
      <c r="C356" s="1" t="n">
        <v>45587</v>
      </c>
      <c r="D356" t="inlineStr">
        <is>
          <t>DALARNAS LÄN</t>
        </is>
      </c>
      <c r="E356" t="inlineStr">
        <is>
          <t>HEDEMORA</t>
        </is>
      </c>
      <c r="G356" t="n">
        <v>2.3</v>
      </c>
      <c r="H356" t="n">
        <v>0</v>
      </c>
      <c r="I356" t="n">
        <v>0</v>
      </c>
      <c r="J356" t="n">
        <v>0</v>
      </c>
      <c r="K356" t="n">
        <v>0</v>
      </c>
      <c r="L356" t="n">
        <v>0</v>
      </c>
      <c r="M356" t="n">
        <v>0</v>
      </c>
      <c r="N356" t="n">
        <v>0</v>
      </c>
      <c r="O356" t="n">
        <v>0</v>
      </c>
      <c r="P356" t="n">
        <v>0</v>
      </c>
      <c r="Q356" t="n">
        <v>0</v>
      </c>
      <c r="R356" s="2" t="inlineStr"/>
    </row>
    <row r="357" ht="15" customHeight="1">
      <c r="A357" t="inlineStr">
        <is>
          <t>A 61886-2022</t>
        </is>
      </c>
      <c r="B357" s="1" t="n">
        <v>44917</v>
      </c>
      <c r="C357" s="1" t="n">
        <v>45587</v>
      </c>
      <c r="D357" t="inlineStr">
        <is>
          <t>DALARNAS LÄN</t>
        </is>
      </c>
      <c r="E357" t="inlineStr">
        <is>
          <t>HEDEMORA</t>
        </is>
      </c>
      <c r="G357" t="n">
        <v>1.9</v>
      </c>
      <c r="H357" t="n">
        <v>0</v>
      </c>
      <c r="I357" t="n">
        <v>0</v>
      </c>
      <c r="J357" t="n">
        <v>0</v>
      </c>
      <c r="K357" t="n">
        <v>0</v>
      </c>
      <c r="L357" t="n">
        <v>0</v>
      </c>
      <c r="M357" t="n">
        <v>0</v>
      </c>
      <c r="N357" t="n">
        <v>0</v>
      </c>
      <c r="O357" t="n">
        <v>0</v>
      </c>
      <c r="P357" t="n">
        <v>0</v>
      </c>
      <c r="Q357" t="n">
        <v>0</v>
      </c>
      <c r="R357" s="2" t="inlineStr"/>
    </row>
    <row r="358" ht="15" customHeight="1">
      <c r="A358" t="inlineStr">
        <is>
          <t>A 62051-2022</t>
        </is>
      </c>
      <c r="B358" s="1" t="n">
        <v>44918</v>
      </c>
      <c r="C358" s="1" t="n">
        <v>45587</v>
      </c>
      <c r="D358" t="inlineStr">
        <is>
          <t>DALARNAS LÄN</t>
        </is>
      </c>
      <c r="E358" t="inlineStr">
        <is>
          <t>HEDEMORA</t>
        </is>
      </c>
      <c r="G358" t="n">
        <v>1</v>
      </c>
      <c r="H358" t="n">
        <v>0</v>
      </c>
      <c r="I358" t="n">
        <v>0</v>
      </c>
      <c r="J358" t="n">
        <v>0</v>
      </c>
      <c r="K358" t="n">
        <v>0</v>
      </c>
      <c r="L358" t="n">
        <v>0</v>
      </c>
      <c r="M358" t="n">
        <v>0</v>
      </c>
      <c r="N358" t="n">
        <v>0</v>
      </c>
      <c r="O358" t="n">
        <v>0</v>
      </c>
      <c r="P358" t="n">
        <v>0</v>
      </c>
      <c r="Q358" t="n">
        <v>0</v>
      </c>
      <c r="R358" s="2" t="inlineStr"/>
    </row>
    <row r="359" ht="15" customHeight="1">
      <c r="A359" t="inlineStr">
        <is>
          <t>A 62046-2022</t>
        </is>
      </c>
      <c r="B359" s="1" t="n">
        <v>44918</v>
      </c>
      <c r="C359" s="1" t="n">
        <v>45587</v>
      </c>
      <c r="D359" t="inlineStr">
        <is>
          <t>DALARNAS LÄN</t>
        </is>
      </c>
      <c r="E359" t="inlineStr">
        <is>
          <t>HEDEMORA</t>
        </is>
      </c>
      <c r="G359" t="n">
        <v>1.2</v>
      </c>
      <c r="H359" t="n">
        <v>0</v>
      </c>
      <c r="I359" t="n">
        <v>0</v>
      </c>
      <c r="J359" t="n">
        <v>0</v>
      </c>
      <c r="K359" t="n">
        <v>0</v>
      </c>
      <c r="L359" t="n">
        <v>0</v>
      </c>
      <c r="M359" t="n">
        <v>0</v>
      </c>
      <c r="N359" t="n">
        <v>0</v>
      </c>
      <c r="O359" t="n">
        <v>0</v>
      </c>
      <c r="P359" t="n">
        <v>0</v>
      </c>
      <c r="Q359" t="n">
        <v>0</v>
      </c>
      <c r="R359" s="2" t="inlineStr"/>
    </row>
    <row r="360" ht="15" customHeight="1">
      <c r="A360" t="inlineStr">
        <is>
          <t>A 566-2023</t>
        </is>
      </c>
      <c r="B360" s="1" t="n">
        <v>44925</v>
      </c>
      <c r="C360" s="1" t="n">
        <v>45587</v>
      </c>
      <c r="D360" t="inlineStr">
        <is>
          <t>DALARNAS LÄN</t>
        </is>
      </c>
      <c r="E360" t="inlineStr">
        <is>
          <t>HEDEMORA</t>
        </is>
      </c>
      <c r="G360" t="n">
        <v>13.7</v>
      </c>
      <c r="H360" t="n">
        <v>0</v>
      </c>
      <c r="I360" t="n">
        <v>0</v>
      </c>
      <c r="J360" t="n">
        <v>0</v>
      </c>
      <c r="K360" t="n">
        <v>0</v>
      </c>
      <c r="L360" t="n">
        <v>0</v>
      </c>
      <c r="M360" t="n">
        <v>0</v>
      </c>
      <c r="N360" t="n">
        <v>0</v>
      </c>
      <c r="O360" t="n">
        <v>0</v>
      </c>
      <c r="P360" t="n">
        <v>0</v>
      </c>
      <c r="Q360" t="n">
        <v>0</v>
      </c>
      <c r="R360" s="2" t="inlineStr"/>
    </row>
    <row r="361" ht="15" customHeight="1">
      <c r="A361" t="inlineStr">
        <is>
          <t>A 1140-2023</t>
        </is>
      </c>
      <c r="B361" s="1" t="n">
        <v>44935</v>
      </c>
      <c r="C361" s="1" t="n">
        <v>45587</v>
      </c>
      <c r="D361" t="inlineStr">
        <is>
          <t>DALARNAS LÄN</t>
        </is>
      </c>
      <c r="E361" t="inlineStr">
        <is>
          <t>HEDEMORA</t>
        </is>
      </c>
      <c r="G361" t="n">
        <v>3.5</v>
      </c>
      <c r="H361" t="n">
        <v>0</v>
      </c>
      <c r="I361" t="n">
        <v>0</v>
      </c>
      <c r="J361" t="n">
        <v>0</v>
      </c>
      <c r="K361" t="n">
        <v>0</v>
      </c>
      <c r="L361" t="n">
        <v>0</v>
      </c>
      <c r="M361" t="n">
        <v>0</v>
      </c>
      <c r="N361" t="n">
        <v>0</v>
      </c>
      <c r="O361" t="n">
        <v>0</v>
      </c>
      <c r="P361" t="n">
        <v>0</v>
      </c>
      <c r="Q361" t="n">
        <v>0</v>
      </c>
      <c r="R361" s="2" t="inlineStr"/>
    </row>
    <row r="362" ht="15" customHeight="1">
      <c r="A362" t="inlineStr">
        <is>
          <t>A 2996-2023</t>
        </is>
      </c>
      <c r="B362" s="1" t="n">
        <v>44945</v>
      </c>
      <c r="C362" s="1" t="n">
        <v>45587</v>
      </c>
      <c r="D362" t="inlineStr">
        <is>
          <t>DALARNAS LÄN</t>
        </is>
      </c>
      <c r="E362" t="inlineStr">
        <is>
          <t>HEDEMORA</t>
        </is>
      </c>
      <c r="G362" t="n">
        <v>2.1</v>
      </c>
      <c r="H362" t="n">
        <v>0</v>
      </c>
      <c r="I362" t="n">
        <v>0</v>
      </c>
      <c r="J362" t="n">
        <v>0</v>
      </c>
      <c r="K362" t="n">
        <v>0</v>
      </c>
      <c r="L362" t="n">
        <v>0</v>
      </c>
      <c r="M362" t="n">
        <v>0</v>
      </c>
      <c r="N362" t="n">
        <v>0</v>
      </c>
      <c r="O362" t="n">
        <v>0</v>
      </c>
      <c r="P362" t="n">
        <v>0</v>
      </c>
      <c r="Q362" t="n">
        <v>0</v>
      </c>
      <c r="R362" s="2" t="inlineStr"/>
    </row>
    <row r="363" ht="15" customHeight="1">
      <c r="A363" t="inlineStr">
        <is>
          <t>A 5010-2023</t>
        </is>
      </c>
      <c r="B363" s="1" t="n">
        <v>44956</v>
      </c>
      <c r="C363" s="1" t="n">
        <v>45587</v>
      </c>
      <c r="D363" t="inlineStr">
        <is>
          <t>DALARNAS LÄN</t>
        </is>
      </c>
      <c r="E363" t="inlineStr">
        <is>
          <t>HEDEMORA</t>
        </is>
      </c>
      <c r="F363" t="inlineStr">
        <is>
          <t>Bergvik skog väst AB</t>
        </is>
      </c>
      <c r="G363" t="n">
        <v>5</v>
      </c>
      <c r="H363" t="n">
        <v>0</v>
      </c>
      <c r="I363" t="n">
        <v>0</v>
      </c>
      <c r="J363" t="n">
        <v>0</v>
      </c>
      <c r="K363" t="n">
        <v>0</v>
      </c>
      <c r="L363" t="n">
        <v>0</v>
      </c>
      <c r="M363" t="n">
        <v>0</v>
      </c>
      <c r="N363" t="n">
        <v>0</v>
      </c>
      <c r="O363" t="n">
        <v>0</v>
      </c>
      <c r="P363" t="n">
        <v>0</v>
      </c>
      <c r="Q363" t="n">
        <v>0</v>
      </c>
      <c r="R363" s="2" t="inlineStr"/>
    </row>
    <row r="364" ht="15" customHeight="1">
      <c r="A364" t="inlineStr">
        <is>
          <t>A 6556-2023</t>
        </is>
      </c>
      <c r="B364" s="1" t="n">
        <v>44961</v>
      </c>
      <c r="C364" s="1" t="n">
        <v>45587</v>
      </c>
      <c r="D364" t="inlineStr">
        <is>
          <t>DALARNAS LÄN</t>
        </is>
      </c>
      <c r="E364" t="inlineStr">
        <is>
          <t>HEDEMORA</t>
        </is>
      </c>
      <c r="G364" t="n">
        <v>3.7</v>
      </c>
      <c r="H364" t="n">
        <v>0</v>
      </c>
      <c r="I364" t="n">
        <v>0</v>
      </c>
      <c r="J364" t="n">
        <v>0</v>
      </c>
      <c r="K364" t="n">
        <v>0</v>
      </c>
      <c r="L364" t="n">
        <v>0</v>
      </c>
      <c r="M364" t="n">
        <v>0</v>
      </c>
      <c r="N364" t="n">
        <v>0</v>
      </c>
      <c r="O364" t="n">
        <v>0</v>
      </c>
      <c r="P364" t="n">
        <v>0</v>
      </c>
      <c r="Q364" t="n">
        <v>0</v>
      </c>
      <c r="R364" s="2" t="inlineStr"/>
    </row>
    <row r="365" ht="15" customHeight="1">
      <c r="A365" t="inlineStr">
        <is>
          <t>A 6806-2023</t>
        </is>
      </c>
      <c r="B365" s="1" t="n">
        <v>44967</v>
      </c>
      <c r="C365" s="1" t="n">
        <v>45587</v>
      </c>
      <c r="D365" t="inlineStr">
        <is>
          <t>DALARNAS LÄN</t>
        </is>
      </c>
      <c r="E365" t="inlineStr">
        <is>
          <t>HEDEMORA</t>
        </is>
      </c>
      <c r="G365" t="n">
        <v>0.8</v>
      </c>
      <c r="H365" t="n">
        <v>0</v>
      </c>
      <c r="I365" t="n">
        <v>0</v>
      </c>
      <c r="J365" t="n">
        <v>0</v>
      </c>
      <c r="K365" t="n">
        <v>0</v>
      </c>
      <c r="L365" t="n">
        <v>0</v>
      </c>
      <c r="M365" t="n">
        <v>0</v>
      </c>
      <c r="N365" t="n">
        <v>0</v>
      </c>
      <c r="O365" t="n">
        <v>0</v>
      </c>
      <c r="P365" t="n">
        <v>0</v>
      </c>
      <c r="Q365" t="n">
        <v>0</v>
      </c>
      <c r="R365" s="2" t="inlineStr"/>
    </row>
    <row r="366" ht="15" customHeight="1">
      <c r="A366" t="inlineStr">
        <is>
          <t>A 8715-2023</t>
        </is>
      </c>
      <c r="B366" s="1" t="n">
        <v>44978</v>
      </c>
      <c r="C366" s="1" t="n">
        <v>45587</v>
      </c>
      <c r="D366" t="inlineStr">
        <is>
          <t>DALARNAS LÄN</t>
        </is>
      </c>
      <c r="E366" t="inlineStr">
        <is>
          <t>HEDEMORA</t>
        </is>
      </c>
      <c r="G366" t="n">
        <v>4.4</v>
      </c>
      <c r="H366" t="n">
        <v>0</v>
      </c>
      <c r="I366" t="n">
        <v>0</v>
      </c>
      <c r="J366" t="n">
        <v>0</v>
      </c>
      <c r="K366" t="n">
        <v>0</v>
      </c>
      <c r="L366" t="n">
        <v>0</v>
      </c>
      <c r="M366" t="n">
        <v>0</v>
      </c>
      <c r="N366" t="n">
        <v>0</v>
      </c>
      <c r="O366" t="n">
        <v>0</v>
      </c>
      <c r="P366" t="n">
        <v>0</v>
      </c>
      <c r="Q366" t="n">
        <v>0</v>
      </c>
      <c r="R366" s="2" t="inlineStr"/>
    </row>
    <row r="367" ht="15" customHeight="1">
      <c r="A367" t="inlineStr">
        <is>
          <t>A 9635-2023</t>
        </is>
      </c>
      <c r="B367" s="1" t="n">
        <v>44984</v>
      </c>
      <c r="C367" s="1" t="n">
        <v>45587</v>
      </c>
      <c r="D367" t="inlineStr">
        <is>
          <t>DALARNAS LÄN</t>
        </is>
      </c>
      <c r="E367" t="inlineStr">
        <is>
          <t>HEDEMORA</t>
        </is>
      </c>
      <c r="G367" t="n">
        <v>2.5</v>
      </c>
      <c r="H367" t="n">
        <v>0</v>
      </c>
      <c r="I367" t="n">
        <v>0</v>
      </c>
      <c r="J367" t="n">
        <v>0</v>
      </c>
      <c r="K367" t="n">
        <v>0</v>
      </c>
      <c r="L367" t="n">
        <v>0</v>
      </c>
      <c r="M367" t="n">
        <v>0</v>
      </c>
      <c r="N367" t="n">
        <v>0</v>
      </c>
      <c r="O367" t="n">
        <v>0</v>
      </c>
      <c r="P367" t="n">
        <v>0</v>
      </c>
      <c r="Q367" t="n">
        <v>0</v>
      </c>
      <c r="R367" s="2" t="inlineStr"/>
    </row>
    <row r="368" ht="15" customHeight="1">
      <c r="A368" t="inlineStr">
        <is>
          <t>A 9920-2023</t>
        </is>
      </c>
      <c r="B368" s="1" t="n">
        <v>44985</v>
      </c>
      <c r="C368" s="1" t="n">
        <v>45587</v>
      </c>
      <c r="D368" t="inlineStr">
        <is>
          <t>DALARNAS LÄN</t>
        </is>
      </c>
      <c r="E368" t="inlineStr">
        <is>
          <t>HEDEMORA</t>
        </is>
      </c>
      <c r="G368" t="n">
        <v>0.7</v>
      </c>
      <c r="H368" t="n">
        <v>0</v>
      </c>
      <c r="I368" t="n">
        <v>0</v>
      </c>
      <c r="J368" t="n">
        <v>0</v>
      </c>
      <c r="K368" t="n">
        <v>0</v>
      </c>
      <c r="L368" t="n">
        <v>0</v>
      </c>
      <c r="M368" t="n">
        <v>0</v>
      </c>
      <c r="N368" t="n">
        <v>0</v>
      </c>
      <c r="O368" t="n">
        <v>0</v>
      </c>
      <c r="P368" t="n">
        <v>0</v>
      </c>
      <c r="Q368" t="n">
        <v>0</v>
      </c>
      <c r="R368" s="2" t="inlineStr"/>
    </row>
    <row r="369" ht="15" customHeight="1">
      <c r="A369" t="inlineStr">
        <is>
          <t>A 9918-2023</t>
        </is>
      </c>
      <c r="B369" s="1" t="n">
        <v>44985</v>
      </c>
      <c r="C369" s="1" t="n">
        <v>45587</v>
      </c>
      <c r="D369" t="inlineStr">
        <is>
          <t>DALARNAS LÄN</t>
        </is>
      </c>
      <c r="E369" t="inlineStr">
        <is>
          <t>HEDEMORA</t>
        </is>
      </c>
      <c r="G369" t="n">
        <v>1.7</v>
      </c>
      <c r="H369" t="n">
        <v>0</v>
      </c>
      <c r="I369" t="n">
        <v>0</v>
      </c>
      <c r="J369" t="n">
        <v>0</v>
      </c>
      <c r="K369" t="n">
        <v>0</v>
      </c>
      <c r="L369" t="n">
        <v>0</v>
      </c>
      <c r="M369" t="n">
        <v>0</v>
      </c>
      <c r="N369" t="n">
        <v>0</v>
      </c>
      <c r="O369" t="n">
        <v>0</v>
      </c>
      <c r="P369" t="n">
        <v>0</v>
      </c>
      <c r="Q369" t="n">
        <v>0</v>
      </c>
      <c r="R369" s="2" t="inlineStr"/>
    </row>
    <row r="370" ht="15" customHeight="1">
      <c r="A370" t="inlineStr">
        <is>
          <t>A 9922-2023</t>
        </is>
      </c>
      <c r="B370" s="1" t="n">
        <v>44985</v>
      </c>
      <c r="C370" s="1" t="n">
        <v>45587</v>
      </c>
      <c r="D370" t="inlineStr">
        <is>
          <t>DALARNAS LÄN</t>
        </is>
      </c>
      <c r="E370" t="inlineStr">
        <is>
          <t>HEDEMORA</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9972-2023</t>
        </is>
      </c>
      <c r="B371" s="1" t="n">
        <v>44985</v>
      </c>
      <c r="C371" s="1" t="n">
        <v>45587</v>
      </c>
      <c r="D371" t="inlineStr">
        <is>
          <t>DALARNAS LÄN</t>
        </is>
      </c>
      <c r="E371" t="inlineStr">
        <is>
          <t>HEDEMORA</t>
        </is>
      </c>
      <c r="G371" t="n">
        <v>4.1</v>
      </c>
      <c r="H371" t="n">
        <v>0</v>
      </c>
      <c r="I371" t="n">
        <v>0</v>
      </c>
      <c r="J371" t="n">
        <v>0</v>
      </c>
      <c r="K371" t="n">
        <v>0</v>
      </c>
      <c r="L371" t="n">
        <v>0</v>
      </c>
      <c r="M371" t="n">
        <v>0</v>
      </c>
      <c r="N371" t="n">
        <v>0</v>
      </c>
      <c r="O371" t="n">
        <v>0</v>
      </c>
      <c r="P371" t="n">
        <v>0</v>
      </c>
      <c r="Q371" t="n">
        <v>0</v>
      </c>
      <c r="R371" s="2" t="inlineStr"/>
    </row>
    <row r="372" ht="15" customHeight="1">
      <c r="A372" t="inlineStr">
        <is>
          <t>A 11920-2023</t>
        </is>
      </c>
      <c r="B372" s="1" t="n">
        <v>44995</v>
      </c>
      <c r="C372" s="1" t="n">
        <v>45587</v>
      </c>
      <c r="D372" t="inlineStr">
        <is>
          <t>DALARNAS LÄN</t>
        </is>
      </c>
      <c r="E372" t="inlineStr">
        <is>
          <t>HEDEMORA</t>
        </is>
      </c>
      <c r="G372" t="n">
        <v>10.6</v>
      </c>
      <c r="H372" t="n">
        <v>0</v>
      </c>
      <c r="I372" t="n">
        <v>0</v>
      </c>
      <c r="J372" t="n">
        <v>0</v>
      </c>
      <c r="K372" t="n">
        <v>0</v>
      </c>
      <c r="L372" t="n">
        <v>0</v>
      </c>
      <c r="M372" t="n">
        <v>0</v>
      </c>
      <c r="N372" t="n">
        <v>0</v>
      </c>
      <c r="O372" t="n">
        <v>0</v>
      </c>
      <c r="P372" t="n">
        <v>0</v>
      </c>
      <c r="Q372" t="n">
        <v>0</v>
      </c>
      <c r="R372" s="2" t="inlineStr"/>
    </row>
    <row r="373" ht="15" customHeight="1">
      <c r="A373" t="inlineStr">
        <is>
          <t>A 12259-2023</t>
        </is>
      </c>
      <c r="B373" s="1" t="n">
        <v>44998</v>
      </c>
      <c r="C373" s="1" t="n">
        <v>45587</v>
      </c>
      <c r="D373" t="inlineStr">
        <is>
          <t>DALARNAS LÄN</t>
        </is>
      </c>
      <c r="E373" t="inlineStr">
        <is>
          <t>HEDEMORA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13457-2023</t>
        </is>
      </c>
      <c r="B374" s="1" t="n">
        <v>45005</v>
      </c>
      <c r="C374" s="1" t="n">
        <v>45587</v>
      </c>
      <c r="D374" t="inlineStr">
        <is>
          <t>DALARNAS LÄN</t>
        </is>
      </c>
      <c r="E374" t="inlineStr">
        <is>
          <t>HEDEMORA</t>
        </is>
      </c>
      <c r="F374" t="inlineStr">
        <is>
          <t>Bergvik skog väst AB</t>
        </is>
      </c>
      <c r="G374" t="n">
        <v>3.1</v>
      </c>
      <c r="H374" t="n">
        <v>0</v>
      </c>
      <c r="I374" t="n">
        <v>0</v>
      </c>
      <c r="J374" t="n">
        <v>0</v>
      </c>
      <c r="K374" t="n">
        <v>0</v>
      </c>
      <c r="L374" t="n">
        <v>0</v>
      </c>
      <c r="M374" t="n">
        <v>0</v>
      </c>
      <c r="N374" t="n">
        <v>0</v>
      </c>
      <c r="O374" t="n">
        <v>0</v>
      </c>
      <c r="P374" t="n">
        <v>0</v>
      </c>
      <c r="Q374" t="n">
        <v>0</v>
      </c>
      <c r="R374" s="2" t="inlineStr"/>
    </row>
    <row r="375" ht="15" customHeight="1">
      <c r="A375" t="inlineStr">
        <is>
          <t>A 13596-2023</t>
        </is>
      </c>
      <c r="B375" s="1" t="n">
        <v>45005</v>
      </c>
      <c r="C375" s="1" t="n">
        <v>45587</v>
      </c>
      <c r="D375" t="inlineStr">
        <is>
          <t>DALARNAS LÄN</t>
        </is>
      </c>
      <c r="E375" t="inlineStr">
        <is>
          <t>HEDEMORA</t>
        </is>
      </c>
      <c r="G375" t="n">
        <v>3.7</v>
      </c>
      <c r="H375" t="n">
        <v>0</v>
      </c>
      <c r="I375" t="n">
        <v>0</v>
      </c>
      <c r="J375" t="n">
        <v>0</v>
      </c>
      <c r="K375" t="n">
        <v>0</v>
      </c>
      <c r="L375" t="n">
        <v>0</v>
      </c>
      <c r="M375" t="n">
        <v>0</v>
      </c>
      <c r="N375" t="n">
        <v>0</v>
      </c>
      <c r="O375" t="n">
        <v>0</v>
      </c>
      <c r="P375" t="n">
        <v>0</v>
      </c>
      <c r="Q375" t="n">
        <v>0</v>
      </c>
      <c r="R375" s="2" t="inlineStr"/>
    </row>
    <row r="376" ht="15" customHeight="1">
      <c r="A376" t="inlineStr">
        <is>
          <t>A 14787-2023</t>
        </is>
      </c>
      <c r="B376" s="1" t="n">
        <v>45014</v>
      </c>
      <c r="C376" s="1" t="n">
        <v>45587</v>
      </c>
      <c r="D376" t="inlineStr">
        <is>
          <t>DALARNAS LÄN</t>
        </is>
      </c>
      <c r="E376" t="inlineStr">
        <is>
          <t>HEDEMORA</t>
        </is>
      </c>
      <c r="G376" t="n">
        <v>3.5</v>
      </c>
      <c r="H376" t="n">
        <v>0</v>
      </c>
      <c r="I376" t="n">
        <v>0</v>
      </c>
      <c r="J376" t="n">
        <v>0</v>
      </c>
      <c r="K376" t="n">
        <v>0</v>
      </c>
      <c r="L376" t="n">
        <v>0</v>
      </c>
      <c r="M376" t="n">
        <v>0</v>
      </c>
      <c r="N376" t="n">
        <v>0</v>
      </c>
      <c r="O376" t="n">
        <v>0</v>
      </c>
      <c r="P376" t="n">
        <v>0</v>
      </c>
      <c r="Q376" t="n">
        <v>0</v>
      </c>
      <c r="R376" s="2" t="inlineStr"/>
    </row>
    <row r="377" ht="15" customHeight="1">
      <c r="A377" t="inlineStr">
        <is>
          <t>A 14954-2023</t>
        </is>
      </c>
      <c r="B377" s="1" t="n">
        <v>45015</v>
      </c>
      <c r="C377" s="1" t="n">
        <v>45587</v>
      </c>
      <c r="D377" t="inlineStr">
        <is>
          <t>DALARNAS LÄN</t>
        </is>
      </c>
      <c r="E377" t="inlineStr">
        <is>
          <t>HEDEMORA</t>
        </is>
      </c>
      <c r="G377" t="n">
        <v>5.3</v>
      </c>
      <c r="H377" t="n">
        <v>0</v>
      </c>
      <c r="I377" t="n">
        <v>0</v>
      </c>
      <c r="J377" t="n">
        <v>0</v>
      </c>
      <c r="K377" t="n">
        <v>0</v>
      </c>
      <c r="L377" t="n">
        <v>0</v>
      </c>
      <c r="M377" t="n">
        <v>0</v>
      </c>
      <c r="N377" t="n">
        <v>0</v>
      </c>
      <c r="O377" t="n">
        <v>0</v>
      </c>
      <c r="P377" t="n">
        <v>0</v>
      </c>
      <c r="Q377" t="n">
        <v>0</v>
      </c>
      <c r="R377" s="2" t="inlineStr"/>
    </row>
    <row r="378" ht="15" customHeight="1">
      <c r="A378" t="inlineStr">
        <is>
          <t>A 15858-2023</t>
        </is>
      </c>
      <c r="B378" s="1" t="n">
        <v>45022</v>
      </c>
      <c r="C378" s="1" t="n">
        <v>45587</v>
      </c>
      <c r="D378" t="inlineStr">
        <is>
          <t>DALARNAS LÄN</t>
        </is>
      </c>
      <c r="E378" t="inlineStr">
        <is>
          <t>HEDEMORA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15863-2023</t>
        </is>
      </c>
      <c r="B379" s="1" t="n">
        <v>45022</v>
      </c>
      <c r="C379" s="1" t="n">
        <v>45587</v>
      </c>
      <c r="D379" t="inlineStr">
        <is>
          <t>DALARNAS LÄN</t>
        </is>
      </c>
      <c r="E379" t="inlineStr">
        <is>
          <t>HEDEMORA</t>
        </is>
      </c>
      <c r="F379" t="inlineStr">
        <is>
          <t>Bergvik skog väst AB</t>
        </is>
      </c>
      <c r="G379" t="n">
        <v>4.7</v>
      </c>
      <c r="H379" t="n">
        <v>0</v>
      </c>
      <c r="I379" t="n">
        <v>0</v>
      </c>
      <c r="J379" t="n">
        <v>0</v>
      </c>
      <c r="K379" t="n">
        <v>0</v>
      </c>
      <c r="L379" t="n">
        <v>0</v>
      </c>
      <c r="M379" t="n">
        <v>0</v>
      </c>
      <c r="N379" t="n">
        <v>0</v>
      </c>
      <c r="O379" t="n">
        <v>0</v>
      </c>
      <c r="P379" t="n">
        <v>0</v>
      </c>
      <c r="Q379" t="n">
        <v>0</v>
      </c>
      <c r="R379" s="2" t="inlineStr"/>
    </row>
    <row r="380" ht="15" customHeight="1">
      <c r="A380" t="inlineStr">
        <is>
          <t>A 16046-2023</t>
        </is>
      </c>
      <c r="B380" s="1" t="n">
        <v>45027</v>
      </c>
      <c r="C380" s="1" t="n">
        <v>45587</v>
      </c>
      <c r="D380" t="inlineStr">
        <is>
          <t>DALARNAS LÄN</t>
        </is>
      </c>
      <c r="E380" t="inlineStr">
        <is>
          <t>HEDEMORA</t>
        </is>
      </c>
      <c r="G380" t="n">
        <v>2.8</v>
      </c>
      <c r="H380" t="n">
        <v>0</v>
      </c>
      <c r="I380" t="n">
        <v>0</v>
      </c>
      <c r="J380" t="n">
        <v>0</v>
      </c>
      <c r="K380" t="n">
        <v>0</v>
      </c>
      <c r="L380" t="n">
        <v>0</v>
      </c>
      <c r="M380" t="n">
        <v>0</v>
      </c>
      <c r="N380" t="n">
        <v>0</v>
      </c>
      <c r="O380" t="n">
        <v>0</v>
      </c>
      <c r="P380" t="n">
        <v>0</v>
      </c>
      <c r="Q380" t="n">
        <v>0</v>
      </c>
      <c r="R380" s="2" t="inlineStr"/>
    </row>
    <row r="381" ht="15" customHeight="1">
      <c r="A381" t="inlineStr">
        <is>
          <t>A 16589-2023</t>
        </is>
      </c>
      <c r="B381" s="1" t="n">
        <v>45030</v>
      </c>
      <c r="C381" s="1" t="n">
        <v>45587</v>
      </c>
      <c r="D381" t="inlineStr">
        <is>
          <t>DALARNAS LÄN</t>
        </is>
      </c>
      <c r="E381" t="inlineStr">
        <is>
          <t>HEDEMORA</t>
        </is>
      </c>
      <c r="G381" t="n">
        <v>0.9</v>
      </c>
      <c r="H381" t="n">
        <v>0</v>
      </c>
      <c r="I381" t="n">
        <v>0</v>
      </c>
      <c r="J381" t="n">
        <v>0</v>
      </c>
      <c r="K381" t="n">
        <v>0</v>
      </c>
      <c r="L381" t="n">
        <v>0</v>
      </c>
      <c r="M381" t="n">
        <v>0</v>
      </c>
      <c r="N381" t="n">
        <v>0</v>
      </c>
      <c r="O381" t="n">
        <v>0</v>
      </c>
      <c r="P381" t="n">
        <v>0</v>
      </c>
      <c r="Q381" t="n">
        <v>0</v>
      </c>
      <c r="R381" s="2" t="inlineStr"/>
    </row>
    <row r="382" ht="15" customHeight="1">
      <c r="A382" t="inlineStr">
        <is>
          <t>A 16821-2023</t>
        </is>
      </c>
      <c r="B382" s="1" t="n">
        <v>45033</v>
      </c>
      <c r="C382" s="1" t="n">
        <v>45587</v>
      </c>
      <c r="D382" t="inlineStr">
        <is>
          <t>DALARNAS LÄN</t>
        </is>
      </c>
      <c r="E382" t="inlineStr">
        <is>
          <t>HEDEMORA</t>
        </is>
      </c>
      <c r="G382" t="n">
        <v>2.1</v>
      </c>
      <c r="H382" t="n">
        <v>0</v>
      </c>
      <c r="I382" t="n">
        <v>0</v>
      </c>
      <c r="J382" t="n">
        <v>0</v>
      </c>
      <c r="K382" t="n">
        <v>0</v>
      </c>
      <c r="L382" t="n">
        <v>0</v>
      </c>
      <c r="M382" t="n">
        <v>0</v>
      </c>
      <c r="N382" t="n">
        <v>0</v>
      </c>
      <c r="O382" t="n">
        <v>0</v>
      </c>
      <c r="P382" t="n">
        <v>0</v>
      </c>
      <c r="Q382" t="n">
        <v>0</v>
      </c>
      <c r="R382" s="2" t="inlineStr"/>
    </row>
    <row r="383" ht="15" customHeight="1">
      <c r="A383" t="inlineStr">
        <is>
          <t>A 17247-2023</t>
        </is>
      </c>
      <c r="B383" s="1" t="n">
        <v>45035</v>
      </c>
      <c r="C383" s="1" t="n">
        <v>45587</v>
      </c>
      <c r="D383" t="inlineStr">
        <is>
          <t>DALARNAS LÄN</t>
        </is>
      </c>
      <c r="E383" t="inlineStr">
        <is>
          <t>HEDEMORA</t>
        </is>
      </c>
      <c r="G383" t="n">
        <v>2.2</v>
      </c>
      <c r="H383" t="n">
        <v>0</v>
      </c>
      <c r="I383" t="n">
        <v>0</v>
      </c>
      <c r="J383" t="n">
        <v>0</v>
      </c>
      <c r="K383" t="n">
        <v>0</v>
      </c>
      <c r="L383" t="n">
        <v>0</v>
      </c>
      <c r="M383" t="n">
        <v>0</v>
      </c>
      <c r="N383" t="n">
        <v>0</v>
      </c>
      <c r="O383" t="n">
        <v>0</v>
      </c>
      <c r="P383" t="n">
        <v>0</v>
      </c>
      <c r="Q383" t="n">
        <v>0</v>
      </c>
      <c r="R383" s="2" t="inlineStr"/>
    </row>
    <row r="384" ht="15" customHeight="1">
      <c r="A384" t="inlineStr">
        <is>
          <t>A 18470-2023</t>
        </is>
      </c>
      <c r="B384" s="1" t="n">
        <v>45042</v>
      </c>
      <c r="C384" s="1" t="n">
        <v>45587</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20153-2023</t>
        </is>
      </c>
      <c r="B385" s="1" t="n">
        <v>45055</v>
      </c>
      <c r="C385" s="1" t="n">
        <v>45587</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20224-2023</t>
        </is>
      </c>
      <c r="B386" s="1" t="n">
        <v>45055</v>
      </c>
      <c r="C386" s="1" t="n">
        <v>45587</v>
      </c>
      <c r="D386" t="inlineStr">
        <is>
          <t>DALARNAS LÄN</t>
        </is>
      </c>
      <c r="E386" t="inlineStr">
        <is>
          <t>HEDEMORA</t>
        </is>
      </c>
      <c r="F386" t="inlineStr">
        <is>
          <t>Bergvik skog väst AB</t>
        </is>
      </c>
      <c r="G386" t="n">
        <v>5.2</v>
      </c>
      <c r="H386" t="n">
        <v>0</v>
      </c>
      <c r="I386" t="n">
        <v>0</v>
      </c>
      <c r="J386" t="n">
        <v>0</v>
      </c>
      <c r="K386" t="n">
        <v>0</v>
      </c>
      <c r="L386" t="n">
        <v>0</v>
      </c>
      <c r="M386" t="n">
        <v>0</v>
      </c>
      <c r="N386" t="n">
        <v>0</v>
      </c>
      <c r="O386" t="n">
        <v>0</v>
      </c>
      <c r="P386" t="n">
        <v>0</v>
      </c>
      <c r="Q386" t="n">
        <v>0</v>
      </c>
      <c r="R386" s="2" t="inlineStr"/>
    </row>
    <row r="387" ht="15" customHeight="1">
      <c r="A387" t="inlineStr">
        <is>
          <t>A 20226-2023</t>
        </is>
      </c>
      <c r="B387" s="1" t="n">
        <v>45055</v>
      </c>
      <c r="C387" s="1" t="n">
        <v>45587</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20237-2023</t>
        </is>
      </c>
      <c r="B388" s="1" t="n">
        <v>45055</v>
      </c>
      <c r="C388" s="1" t="n">
        <v>45587</v>
      </c>
      <c r="D388" t="inlineStr">
        <is>
          <t>DALARNAS LÄN</t>
        </is>
      </c>
      <c r="E388" t="inlineStr">
        <is>
          <t>HEDEMORA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20229-2023</t>
        </is>
      </c>
      <c r="B389" s="1" t="n">
        <v>45055</v>
      </c>
      <c r="C389" s="1" t="n">
        <v>45587</v>
      </c>
      <c r="D389" t="inlineStr">
        <is>
          <t>DALARNAS LÄN</t>
        </is>
      </c>
      <c r="E389" t="inlineStr">
        <is>
          <t>HEDEMORA</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20233-2023</t>
        </is>
      </c>
      <c r="B390" s="1" t="n">
        <v>45055</v>
      </c>
      <c r="C390" s="1" t="n">
        <v>45587</v>
      </c>
      <c r="D390" t="inlineStr">
        <is>
          <t>DALARNAS LÄN</t>
        </is>
      </c>
      <c r="E390" t="inlineStr">
        <is>
          <t>HEDEMORA</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20239-2023</t>
        </is>
      </c>
      <c r="B391" s="1" t="n">
        <v>45055</v>
      </c>
      <c r="C391" s="1" t="n">
        <v>45587</v>
      </c>
      <c r="D391" t="inlineStr">
        <is>
          <t>DALARNAS LÄN</t>
        </is>
      </c>
      <c r="E391" t="inlineStr">
        <is>
          <t>HEDEMORA</t>
        </is>
      </c>
      <c r="F391" t="inlineStr">
        <is>
          <t>Bergvik skog väst AB</t>
        </is>
      </c>
      <c r="G391" t="n">
        <v>5</v>
      </c>
      <c r="H391" t="n">
        <v>0</v>
      </c>
      <c r="I391" t="n">
        <v>0</v>
      </c>
      <c r="J391" t="n">
        <v>0</v>
      </c>
      <c r="K391" t="n">
        <v>0</v>
      </c>
      <c r="L391" t="n">
        <v>0</v>
      </c>
      <c r="M391" t="n">
        <v>0</v>
      </c>
      <c r="N391" t="n">
        <v>0</v>
      </c>
      <c r="O391" t="n">
        <v>0</v>
      </c>
      <c r="P391" t="n">
        <v>0</v>
      </c>
      <c r="Q391" t="n">
        <v>0</v>
      </c>
      <c r="R391" s="2" t="inlineStr"/>
    </row>
    <row r="392" ht="15" customHeight="1">
      <c r="A392" t="inlineStr">
        <is>
          <t>A 21093-2023</t>
        </is>
      </c>
      <c r="B392" s="1" t="n">
        <v>45061</v>
      </c>
      <c r="C392" s="1" t="n">
        <v>45587</v>
      </c>
      <c r="D392" t="inlineStr">
        <is>
          <t>DALARNAS LÄN</t>
        </is>
      </c>
      <c r="E392" t="inlineStr">
        <is>
          <t>HEDEMORA</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21096-2023</t>
        </is>
      </c>
      <c r="B393" s="1" t="n">
        <v>45061</v>
      </c>
      <c r="C393" s="1" t="n">
        <v>45587</v>
      </c>
      <c r="D393" t="inlineStr">
        <is>
          <t>DALARNAS LÄN</t>
        </is>
      </c>
      <c r="E393" t="inlineStr">
        <is>
          <t>HEDEMORA</t>
        </is>
      </c>
      <c r="F393" t="inlineStr">
        <is>
          <t>Sveaskog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21092-2023</t>
        </is>
      </c>
      <c r="B394" s="1" t="n">
        <v>45061</v>
      </c>
      <c r="C394" s="1" t="n">
        <v>45587</v>
      </c>
      <c r="D394" t="inlineStr">
        <is>
          <t>DALARNAS LÄN</t>
        </is>
      </c>
      <c r="E394" t="inlineStr">
        <is>
          <t>HEDEMORA</t>
        </is>
      </c>
      <c r="F394" t="inlineStr">
        <is>
          <t>Sveaskog</t>
        </is>
      </c>
      <c r="G394" t="n">
        <v>0.1</v>
      </c>
      <c r="H394" t="n">
        <v>0</v>
      </c>
      <c r="I394" t="n">
        <v>0</v>
      </c>
      <c r="J394" t="n">
        <v>0</v>
      </c>
      <c r="K394" t="n">
        <v>0</v>
      </c>
      <c r="L394" t="n">
        <v>0</v>
      </c>
      <c r="M394" t="n">
        <v>0</v>
      </c>
      <c r="N394" t="n">
        <v>0</v>
      </c>
      <c r="O394" t="n">
        <v>0</v>
      </c>
      <c r="P394" t="n">
        <v>0</v>
      </c>
      <c r="Q394" t="n">
        <v>0</v>
      </c>
      <c r="R394" s="2" t="inlineStr"/>
    </row>
    <row r="395" ht="15" customHeight="1">
      <c r="A395" t="inlineStr">
        <is>
          <t>A 21657-2023</t>
        </is>
      </c>
      <c r="B395" s="1" t="n">
        <v>45063</v>
      </c>
      <c r="C395" s="1" t="n">
        <v>45587</v>
      </c>
      <c r="D395" t="inlineStr">
        <is>
          <t>DALARNAS LÄN</t>
        </is>
      </c>
      <c r="E395" t="inlineStr">
        <is>
          <t>HEDEMORA</t>
        </is>
      </c>
      <c r="F395" t="inlineStr">
        <is>
          <t>Sveaskog</t>
        </is>
      </c>
      <c r="G395" t="n">
        <v>4</v>
      </c>
      <c r="H395" t="n">
        <v>0</v>
      </c>
      <c r="I395" t="n">
        <v>0</v>
      </c>
      <c r="J395" t="n">
        <v>0</v>
      </c>
      <c r="K395" t="n">
        <v>0</v>
      </c>
      <c r="L395" t="n">
        <v>0</v>
      </c>
      <c r="M395" t="n">
        <v>0</v>
      </c>
      <c r="N395" t="n">
        <v>0</v>
      </c>
      <c r="O395" t="n">
        <v>0</v>
      </c>
      <c r="P395" t="n">
        <v>0</v>
      </c>
      <c r="Q395" t="n">
        <v>0</v>
      </c>
      <c r="R395" s="2" t="inlineStr"/>
    </row>
    <row r="396" ht="15" customHeight="1">
      <c r="A396" t="inlineStr">
        <is>
          <t>A 21763-2023</t>
        </is>
      </c>
      <c r="B396" s="1" t="n">
        <v>45065</v>
      </c>
      <c r="C396" s="1" t="n">
        <v>45587</v>
      </c>
      <c r="D396" t="inlineStr">
        <is>
          <t>DALARNAS LÄN</t>
        </is>
      </c>
      <c r="E396" t="inlineStr">
        <is>
          <t>HEDEMORA</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21762-2023</t>
        </is>
      </c>
      <c r="B397" s="1" t="n">
        <v>45065</v>
      </c>
      <c r="C397" s="1" t="n">
        <v>45587</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22222-2023</t>
        </is>
      </c>
      <c r="B398" s="1" t="n">
        <v>45070</v>
      </c>
      <c r="C398" s="1" t="n">
        <v>45587</v>
      </c>
      <c r="D398" t="inlineStr">
        <is>
          <t>DALARNAS LÄN</t>
        </is>
      </c>
      <c r="E398" t="inlineStr">
        <is>
          <t>HEDEMORA</t>
        </is>
      </c>
      <c r="F398" t="inlineStr">
        <is>
          <t>Sveaskog</t>
        </is>
      </c>
      <c r="G398" t="n">
        <v>3</v>
      </c>
      <c r="H398" t="n">
        <v>0</v>
      </c>
      <c r="I398" t="n">
        <v>0</v>
      </c>
      <c r="J398" t="n">
        <v>0</v>
      </c>
      <c r="K398" t="n">
        <v>0</v>
      </c>
      <c r="L398" t="n">
        <v>0</v>
      </c>
      <c r="M398" t="n">
        <v>0</v>
      </c>
      <c r="N398" t="n">
        <v>0</v>
      </c>
      <c r="O398" t="n">
        <v>0</v>
      </c>
      <c r="P398" t="n">
        <v>0</v>
      </c>
      <c r="Q398" t="n">
        <v>0</v>
      </c>
      <c r="R398" s="2" t="inlineStr"/>
    </row>
    <row r="399" ht="15" customHeight="1">
      <c r="A399" t="inlineStr">
        <is>
          <t>A 22273-2023</t>
        </is>
      </c>
      <c r="B399" s="1" t="n">
        <v>45070</v>
      </c>
      <c r="C399" s="1" t="n">
        <v>45587</v>
      </c>
      <c r="D399" t="inlineStr">
        <is>
          <t>DALARNAS LÄN</t>
        </is>
      </c>
      <c r="E399" t="inlineStr">
        <is>
          <t>HEDEMORA</t>
        </is>
      </c>
      <c r="G399" t="n">
        <v>1.3</v>
      </c>
      <c r="H399" t="n">
        <v>0</v>
      </c>
      <c r="I399" t="n">
        <v>0</v>
      </c>
      <c r="J399" t="n">
        <v>0</v>
      </c>
      <c r="K399" t="n">
        <v>0</v>
      </c>
      <c r="L399" t="n">
        <v>0</v>
      </c>
      <c r="M399" t="n">
        <v>0</v>
      </c>
      <c r="N399" t="n">
        <v>0</v>
      </c>
      <c r="O399" t="n">
        <v>0</v>
      </c>
      <c r="P399" t="n">
        <v>0</v>
      </c>
      <c r="Q399" t="n">
        <v>0</v>
      </c>
      <c r="R399" s="2" t="inlineStr"/>
    </row>
    <row r="400" ht="15" customHeight="1">
      <c r="A400" t="inlineStr">
        <is>
          <t>A 22270-2023</t>
        </is>
      </c>
      <c r="B400" s="1" t="n">
        <v>45070</v>
      </c>
      <c r="C400" s="1" t="n">
        <v>45587</v>
      </c>
      <c r="D400" t="inlineStr">
        <is>
          <t>DALARNAS LÄN</t>
        </is>
      </c>
      <c r="E400" t="inlineStr">
        <is>
          <t>HEDEMORA</t>
        </is>
      </c>
      <c r="G400" t="n">
        <v>1.8</v>
      </c>
      <c r="H400" t="n">
        <v>0</v>
      </c>
      <c r="I400" t="n">
        <v>0</v>
      </c>
      <c r="J400" t="n">
        <v>0</v>
      </c>
      <c r="K400" t="n">
        <v>0</v>
      </c>
      <c r="L400" t="n">
        <v>0</v>
      </c>
      <c r="M400" t="n">
        <v>0</v>
      </c>
      <c r="N400" t="n">
        <v>0</v>
      </c>
      <c r="O400" t="n">
        <v>0</v>
      </c>
      <c r="P400" t="n">
        <v>0</v>
      </c>
      <c r="Q400" t="n">
        <v>0</v>
      </c>
      <c r="R400" s="2" t="inlineStr"/>
    </row>
    <row r="401" ht="15" customHeight="1">
      <c r="A401" t="inlineStr">
        <is>
          <t>A 22726-2023</t>
        </is>
      </c>
      <c r="B401" s="1" t="n">
        <v>45071</v>
      </c>
      <c r="C401" s="1" t="n">
        <v>45587</v>
      </c>
      <c r="D401" t="inlineStr">
        <is>
          <t>DALARNAS LÄN</t>
        </is>
      </c>
      <c r="E401" t="inlineStr">
        <is>
          <t>HEDEMORA</t>
        </is>
      </c>
      <c r="G401" t="n">
        <v>0.8</v>
      </c>
      <c r="H401" t="n">
        <v>0</v>
      </c>
      <c r="I401" t="n">
        <v>0</v>
      </c>
      <c r="J401" t="n">
        <v>0</v>
      </c>
      <c r="K401" t="n">
        <v>0</v>
      </c>
      <c r="L401" t="n">
        <v>0</v>
      </c>
      <c r="M401" t="n">
        <v>0</v>
      </c>
      <c r="N401" t="n">
        <v>0</v>
      </c>
      <c r="O401" t="n">
        <v>0</v>
      </c>
      <c r="P401" t="n">
        <v>0</v>
      </c>
      <c r="Q401" t="n">
        <v>0</v>
      </c>
      <c r="R401" s="2" t="inlineStr"/>
    </row>
    <row r="402" ht="15" customHeight="1">
      <c r="A402" t="inlineStr">
        <is>
          <t>A 23501-2023</t>
        </is>
      </c>
      <c r="B402" s="1" t="n">
        <v>45076</v>
      </c>
      <c r="C402" s="1" t="n">
        <v>45587</v>
      </c>
      <c r="D402" t="inlineStr">
        <is>
          <t>DALARNAS LÄN</t>
        </is>
      </c>
      <c r="E402" t="inlineStr">
        <is>
          <t>HEDEMORA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23934-2023</t>
        </is>
      </c>
      <c r="B403" s="1" t="n">
        <v>45078</v>
      </c>
      <c r="C403" s="1" t="n">
        <v>45587</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23968-2023</t>
        </is>
      </c>
      <c r="B404" s="1" t="n">
        <v>45078</v>
      </c>
      <c r="C404" s="1" t="n">
        <v>45587</v>
      </c>
      <c r="D404" t="inlineStr">
        <is>
          <t>DALARNAS LÄN</t>
        </is>
      </c>
      <c r="E404" t="inlineStr">
        <is>
          <t>HEDEMORA</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24569-2023</t>
        </is>
      </c>
      <c r="B405" s="1" t="n">
        <v>45083</v>
      </c>
      <c r="C405" s="1" t="n">
        <v>45587</v>
      </c>
      <c r="D405" t="inlineStr">
        <is>
          <t>DALARNAS LÄN</t>
        </is>
      </c>
      <c r="E405" t="inlineStr">
        <is>
          <t>HEDEMORA</t>
        </is>
      </c>
      <c r="F405" t="inlineStr">
        <is>
          <t>Sveaskog</t>
        </is>
      </c>
      <c r="G405" t="n">
        <v>34.6</v>
      </c>
      <c r="H405" t="n">
        <v>0</v>
      </c>
      <c r="I405" t="n">
        <v>0</v>
      </c>
      <c r="J405" t="n">
        <v>0</v>
      </c>
      <c r="K405" t="n">
        <v>0</v>
      </c>
      <c r="L405" t="n">
        <v>0</v>
      </c>
      <c r="M405" t="n">
        <v>0</v>
      </c>
      <c r="N405" t="n">
        <v>0</v>
      </c>
      <c r="O405" t="n">
        <v>0</v>
      </c>
      <c r="P405" t="n">
        <v>0</v>
      </c>
      <c r="Q405" t="n">
        <v>0</v>
      </c>
      <c r="R405" s="2" t="inlineStr"/>
    </row>
    <row r="406" ht="15" customHeight="1">
      <c r="A406" t="inlineStr">
        <is>
          <t>A 24780-2023</t>
        </is>
      </c>
      <c r="B406" s="1" t="n">
        <v>45084</v>
      </c>
      <c r="C406" s="1" t="n">
        <v>45587</v>
      </c>
      <c r="D406" t="inlineStr">
        <is>
          <t>DALARNAS LÄN</t>
        </is>
      </c>
      <c r="E406" t="inlineStr">
        <is>
          <t>HEDEMORA</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24660-2023</t>
        </is>
      </c>
      <c r="B407" s="1" t="n">
        <v>45084</v>
      </c>
      <c r="C407" s="1" t="n">
        <v>45587</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24792-2023</t>
        </is>
      </c>
      <c r="B408" s="1" t="n">
        <v>45084</v>
      </c>
      <c r="C408" s="1" t="n">
        <v>45587</v>
      </c>
      <c r="D408" t="inlineStr">
        <is>
          <t>DALARNAS LÄN</t>
        </is>
      </c>
      <c r="E408" t="inlineStr">
        <is>
          <t>HEDEMORA</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24864-2023</t>
        </is>
      </c>
      <c r="B409" s="1" t="n">
        <v>45085</v>
      </c>
      <c r="C409" s="1" t="n">
        <v>45587</v>
      </c>
      <c r="D409" t="inlineStr">
        <is>
          <t>DALARNAS LÄN</t>
        </is>
      </c>
      <c r="E409" t="inlineStr">
        <is>
          <t>HEDEMORA</t>
        </is>
      </c>
      <c r="G409" t="n">
        <v>13.2</v>
      </c>
      <c r="H409" t="n">
        <v>0</v>
      </c>
      <c r="I409" t="n">
        <v>0</v>
      </c>
      <c r="J409" t="n">
        <v>0</v>
      </c>
      <c r="K409" t="n">
        <v>0</v>
      </c>
      <c r="L409" t="n">
        <v>0</v>
      </c>
      <c r="M409" t="n">
        <v>0</v>
      </c>
      <c r="N409" t="n">
        <v>0</v>
      </c>
      <c r="O409" t="n">
        <v>0</v>
      </c>
      <c r="P409" t="n">
        <v>0</v>
      </c>
      <c r="Q409" t="n">
        <v>0</v>
      </c>
      <c r="R409" s="2" t="inlineStr"/>
    </row>
    <row r="410" ht="15" customHeight="1">
      <c r="A410" t="inlineStr">
        <is>
          <t>A 25150-2023</t>
        </is>
      </c>
      <c r="B410" s="1" t="n">
        <v>45086</v>
      </c>
      <c r="C410" s="1" t="n">
        <v>45587</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25155-2023</t>
        </is>
      </c>
      <c r="B411" s="1" t="n">
        <v>45086</v>
      </c>
      <c r="C411" s="1" t="n">
        <v>45587</v>
      </c>
      <c r="D411" t="inlineStr">
        <is>
          <t>DALARNAS LÄN</t>
        </is>
      </c>
      <c r="E411" t="inlineStr">
        <is>
          <t>HEDEMORA</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26232-2023</t>
        </is>
      </c>
      <c r="B412" s="1" t="n">
        <v>45091</v>
      </c>
      <c r="C412" s="1" t="n">
        <v>45587</v>
      </c>
      <c r="D412" t="inlineStr">
        <is>
          <t>DALARNAS LÄN</t>
        </is>
      </c>
      <c r="E412" t="inlineStr">
        <is>
          <t>HEDEMORA</t>
        </is>
      </c>
      <c r="G412" t="n">
        <v>3.1</v>
      </c>
      <c r="H412" t="n">
        <v>0</v>
      </c>
      <c r="I412" t="n">
        <v>0</v>
      </c>
      <c r="J412" t="n">
        <v>0</v>
      </c>
      <c r="K412" t="n">
        <v>0</v>
      </c>
      <c r="L412" t="n">
        <v>0</v>
      </c>
      <c r="M412" t="n">
        <v>0</v>
      </c>
      <c r="N412" t="n">
        <v>0</v>
      </c>
      <c r="O412" t="n">
        <v>0</v>
      </c>
      <c r="P412" t="n">
        <v>0</v>
      </c>
      <c r="Q412" t="n">
        <v>0</v>
      </c>
      <c r="R412" s="2" t="inlineStr"/>
    </row>
    <row r="413" ht="15" customHeight="1">
      <c r="A413" t="inlineStr">
        <is>
          <t>A 27695-2023</t>
        </is>
      </c>
      <c r="B413" s="1" t="n">
        <v>45097</v>
      </c>
      <c r="C413" s="1" t="n">
        <v>45587</v>
      </c>
      <c r="D413" t="inlineStr">
        <is>
          <t>DALARNAS LÄN</t>
        </is>
      </c>
      <c r="E413" t="inlineStr">
        <is>
          <t>HEDEMORA</t>
        </is>
      </c>
      <c r="F413" t="inlineStr">
        <is>
          <t>Sveaskog</t>
        </is>
      </c>
      <c r="G413" t="n">
        <v>6.5</v>
      </c>
      <c r="H413" t="n">
        <v>0</v>
      </c>
      <c r="I413" t="n">
        <v>0</v>
      </c>
      <c r="J413" t="n">
        <v>0</v>
      </c>
      <c r="K413" t="n">
        <v>0</v>
      </c>
      <c r="L413" t="n">
        <v>0</v>
      </c>
      <c r="M413" t="n">
        <v>0</v>
      </c>
      <c r="N413" t="n">
        <v>0</v>
      </c>
      <c r="O413" t="n">
        <v>0</v>
      </c>
      <c r="P413" t="n">
        <v>0</v>
      </c>
      <c r="Q413" t="n">
        <v>0</v>
      </c>
      <c r="R413" s="2" t="inlineStr"/>
    </row>
    <row r="414" ht="15" customHeight="1">
      <c r="A414" t="inlineStr">
        <is>
          <t>A 27696-2023</t>
        </is>
      </c>
      <c r="B414" s="1" t="n">
        <v>45097</v>
      </c>
      <c r="C414" s="1" t="n">
        <v>45587</v>
      </c>
      <c r="D414" t="inlineStr">
        <is>
          <t>DALARNAS LÄN</t>
        </is>
      </c>
      <c r="E414" t="inlineStr">
        <is>
          <t>HEDEMORA</t>
        </is>
      </c>
      <c r="F414" t="inlineStr">
        <is>
          <t>Sveaskog</t>
        </is>
      </c>
      <c r="G414" t="n">
        <v>4.4</v>
      </c>
      <c r="H414" t="n">
        <v>0</v>
      </c>
      <c r="I414" t="n">
        <v>0</v>
      </c>
      <c r="J414" t="n">
        <v>0</v>
      </c>
      <c r="K414" t="n">
        <v>0</v>
      </c>
      <c r="L414" t="n">
        <v>0</v>
      </c>
      <c r="M414" t="n">
        <v>0</v>
      </c>
      <c r="N414" t="n">
        <v>0</v>
      </c>
      <c r="O414" t="n">
        <v>0</v>
      </c>
      <c r="P414" t="n">
        <v>0</v>
      </c>
      <c r="Q414" t="n">
        <v>0</v>
      </c>
      <c r="R414" s="2" t="inlineStr"/>
    </row>
    <row r="415" ht="15" customHeight="1">
      <c r="A415" t="inlineStr">
        <is>
          <t>A 27965-2023</t>
        </is>
      </c>
      <c r="B415" s="1" t="n">
        <v>45098</v>
      </c>
      <c r="C415" s="1" t="n">
        <v>45587</v>
      </c>
      <c r="D415" t="inlineStr">
        <is>
          <t>DALARNAS LÄN</t>
        </is>
      </c>
      <c r="E415" t="inlineStr">
        <is>
          <t>HEDEMORA</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27963-2023</t>
        </is>
      </c>
      <c r="B416" s="1" t="n">
        <v>45098</v>
      </c>
      <c r="C416" s="1" t="n">
        <v>45587</v>
      </c>
      <c r="D416" t="inlineStr">
        <is>
          <t>DALARNAS LÄN</t>
        </is>
      </c>
      <c r="E416" t="inlineStr">
        <is>
          <t>HEDEMORA</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28029-2023</t>
        </is>
      </c>
      <c r="B417" s="1" t="n">
        <v>45099</v>
      </c>
      <c r="C417" s="1" t="n">
        <v>45587</v>
      </c>
      <c r="D417" t="inlineStr">
        <is>
          <t>DALARNAS LÄN</t>
        </is>
      </c>
      <c r="E417" t="inlineStr">
        <is>
          <t>HEDEMORA</t>
        </is>
      </c>
      <c r="G417" t="n">
        <v>0.6</v>
      </c>
      <c r="H417" t="n">
        <v>0</v>
      </c>
      <c r="I417" t="n">
        <v>0</v>
      </c>
      <c r="J417" t="n">
        <v>0</v>
      </c>
      <c r="K417" t="n">
        <v>0</v>
      </c>
      <c r="L417" t="n">
        <v>0</v>
      </c>
      <c r="M417" t="n">
        <v>0</v>
      </c>
      <c r="N417" t="n">
        <v>0</v>
      </c>
      <c r="O417" t="n">
        <v>0</v>
      </c>
      <c r="P417" t="n">
        <v>0</v>
      </c>
      <c r="Q417" t="n">
        <v>0</v>
      </c>
      <c r="R417" s="2" t="inlineStr"/>
    </row>
    <row r="418" ht="15" customHeight="1">
      <c r="A418" t="inlineStr">
        <is>
          <t>A 28398-2023</t>
        </is>
      </c>
      <c r="B418" s="1" t="n">
        <v>45100</v>
      </c>
      <c r="C418" s="1" t="n">
        <v>45587</v>
      </c>
      <c r="D418" t="inlineStr">
        <is>
          <t>DALARNAS LÄN</t>
        </is>
      </c>
      <c r="E418" t="inlineStr">
        <is>
          <t>HEDEMORA</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29050-2023</t>
        </is>
      </c>
      <c r="B419" s="1" t="n">
        <v>45104</v>
      </c>
      <c r="C419" s="1" t="n">
        <v>45587</v>
      </c>
      <c r="D419" t="inlineStr">
        <is>
          <t>DALARNAS LÄN</t>
        </is>
      </c>
      <c r="E419" t="inlineStr">
        <is>
          <t>HEDEMORA</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29301-2023</t>
        </is>
      </c>
      <c r="B420" s="1" t="n">
        <v>45105</v>
      </c>
      <c r="C420" s="1" t="n">
        <v>45587</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29303-2023</t>
        </is>
      </c>
      <c r="B421" s="1" t="n">
        <v>45105</v>
      </c>
      <c r="C421" s="1" t="n">
        <v>45587</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30013-2023</t>
        </is>
      </c>
      <c r="B422" s="1" t="n">
        <v>45109</v>
      </c>
      <c r="C422" s="1" t="n">
        <v>45587</v>
      </c>
      <c r="D422" t="inlineStr">
        <is>
          <t>DALARNAS LÄN</t>
        </is>
      </c>
      <c r="E422" t="inlineStr">
        <is>
          <t>HEDEMORA</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30014-2023</t>
        </is>
      </c>
      <c r="B423" s="1" t="n">
        <v>45109</v>
      </c>
      <c r="C423" s="1" t="n">
        <v>45587</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30430-2023</t>
        </is>
      </c>
      <c r="B424" s="1" t="n">
        <v>45111</v>
      </c>
      <c r="C424" s="1" t="n">
        <v>45587</v>
      </c>
      <c r="D424" t="inlineStr">
        <is>
          <t>DALARNAS LÄN</t>
        </is>
      </c>
      <c r="E424" t="inlineStr">
        <is>
          <t>HEDEMORA</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30428-2023</t>
        </is>
      </c>
      <c r="B425" s="1" t="n">
        <v>45111</v>
      </c>
      <c r="C425" s="1" t="n">
        <v>45587</v>
      </c>
      <c r="D425" t="inlineStr">
        <is>
          <t>DALARNAS LÄN</t>
        </is>
      </c>
      <c r="E425" t="inlineStr">
        <is>
          <t>HEDEMORA</t>
        </is>
      </c>
      <c r="F425" t="inlineStr">
        <is>
          <t>Sveaskog</t>
        </is>
      </c>
      <c r="G425" t="n">
        <v>4.4</v>
      </c>
      <c r="H425" t="n">
        <v>0</v>
      </c>
      <c r="I425" t="n">
        <v>0</v>
      </c>
      <c r="J425" t="n">
        <v>0</v>
      </c>
      <c r="K425" t="n">
        <v>0</v>
      </c>
      <c r="L425" t="n">
        <v>0</v>
      </c>
      <c r="M425" t="n">
        <v>0</v>
      </c>
      <c r="N425" t="n">
        <v>0</v>
      </c>
      <c r="O425" t="n">
        <v>0</v>
      </c>
      <c r="P425" t="n">
        <v>0</v>
      </c>
      <c r="Q425" t="n">
        <v>0</v>
      </c>
      <c r="R425" s="2" t="inlineStr"/>
    </row>
    <row r="426" ht="15" customHeight="1">
      <c r="A426" t="inlineStr">
        <is>
          <t>A 30939-2023</t>
        </is>
      </c>
      <c r="B426" s="1" t="n">
        <v>45113</v>
      </c>
      <c r="C426" s="1" t="n">
        <v>45587</v>
      </c>
      <c r="D426" t="inlineStr">
        <is>
          <t>DALARNAS LÄN</t>
        </is>
      </c>
      <c r="E426" t="inlineStr">
        <is>
          <t>HEDEMORA</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31103-2023</t>
        </is>
      </c>
      <c r="B427" s="1" t="n">
        <v>45113</v>
      </c>
      <c r="C427" s="1" t="n">
        <v>45587</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31253-2023</t>
        </is>
      </c>
      <c r="B428" s="1" t="n">
        <v>45114</v>
      </c>
      <c r="C428" s="1" t="n">
        <v>45587</v>
      </c>
      <c r="D428" t="inlineStr">
        <is>
          <t>DALARNAS LÄN</t>
        </is>
      </c>
      <c r="E428" t="inlineStr">
        <is>
          <t>HEDEMORA</t>
        </is>
      </c>
      <c r="G428" t="n">
        <v>1.6</v>
      </c>
      <c r="H428" t="n">
        <v>0</v>
      </c>
      <c r="I428" t="n">
        <v>0</v>
      </c>
      <c r="J428" t="n">
        <v>0</v>
      </c>
      <c r="K428" t="n">
        <v>0</v>
      </c>
      <c r="L428" t="n">
        <v>0</v>
      </c>
      <c r="M428" t="n">
        <v>0</v>
      </c>
      <c r="N428" t="n">
        <v>0</v>
      </c>
      <c r="O428" t="n">
        <v>0</v>
      </c>
      <c r="P428" t="n">
        <v>0</v>
      </c>
      <c r="Q428" t="n">
        <v>0</v>
      </c>
      <c r="R428" s="2" t="inlineStr"/>
    </row>
    <row r="429" ht="15" customHeight="1">
      <c r="A429" t="inlineStr">
        <is>
          <t>A 33469-2023</t>
        </is>
      </c>
      <c r="B429" s="1" t="n">
        <v>45118</v>
      </c>
      <c r="C429" s="1" t="n">
        <v>45587</v>
      </c>
      <c r="D429" t="inlineStr">
        <is>
          <t>DALARNAS LÄN</t>
        </is>
      </c>
      <c r="E429" t="inlineStr">
        <is>
          <t>HEDEMORA</t>
        </is>
      </c>
      <c r="F429" t="inlineStr">
        <is>
          <t>Bergvik skog väst AB</t>
        </is>
      </c>
      <c r="G429" t="n">
        <v>4.5</v>
      </c>
      <c r="H429" t="n">
        <v>0</v>
      </c>
      <c r="I429" t="n">
        <v>0</v>
      </c>
      <c r="J429" t="n">
        <v>0</v>
      </c>
      <c r="K429" t="n">
        <v>0</v>
      </c>
      <c r="L429" t="n">
        <v>0</v>
      </c>
      <c r="M429" t="n">
        <v>0</v>
      </c>
      <c r="N429" t="n">
        <v>0</v>
      </c>
      <c r="O429" t="n">
        <v>0</v>
      </c>
      <c r="P429" t="n">
        <v>0</v>
      </c>
      <c r="Q429" t="n">
        <v>0</v>
      </c>
      <c r="R429" s="2" t="inlineStr"/>
    </row>
    <row r="430" ht="15" customHeight="1">
      <c r="A430" t="inlineStr">
        <is>
          <t>A 33475-2023</t>
        </is>
      </c>
      <c r="B430" s="1" t="n">
        <v>45118</v>
      </c>
      <c r="C430" s="1" t="n">
        <v>45587</v>
      </c>
      <c r="D430" t="inlineStr">
        <is>
          <t>DALARNAS LÄN</t>
        </is>
      </c>
      <c r="E430" t="inlineStr">
        <is>
          <t>HEDEMORA</t>
        </is>
      </c>
      <c r="F430" t="inlineStr">
        <is>
          <t>Bergvik skog väst AB</t>
        </is>
      </c>
      <c r="G430" t="n">
        <v>7.8</v>
      </c>
      <c r="H430" t="n">
        <v>0</v>
      </c>
      <c r="I430" t="n">
        <v>0</v>
      </c>
      <c r="J430" t="n">
        <v>0</v>
      </c>
      <c r="K430" t="n">
        <v>0</v>
      </c>
      <c r="L430" t="n">
        <v>0</v>
      </c>
      <c r="M430" t="n">
        <v>0</v>
      </c>
      <c r="N430" t="n">
        <v>0</v>
      </c>
      <c r="O430" t="n">
        <v>0</v>
      </c>
      <c r="P430" t="n">
        <v>0</v>
      </c>
      <c r="Q430" t="n">
        <v>0</v>
      </c>
      <c r="R430" s="2" t="inlineStr"/>
    </row>
    <row r="431" ht="15" customHeight="1">
      <c r="A431" t="inlineStr">
        <is>
          <t>A 33775-2023</t>
        </is>
      </c>
      <c r="B431" s="1" t="n">
        <v>45120</v>
      </c>
      <c r="C431" s="1" t="n">
        <v>45587</v>
      </c>
      <c r="D431" t="inlineStr">
        <is>
          <t>DALARNAS LÄN</t>
        </is>
      </c>
      <c r="E431" t="inlineStr">
        <is>
          <t>HEDEMORA</t>
        </is>
      </c>
      <c r="G431" t="n">
        <v>3</v>
      </c>
      <c r="H431" t="n">
        <v>0</v>
      </c>
      <c r="I431" t="n">
        <v>0</v>
      </c>
      <c r="J431" t="n">
        <v>0</v>
      </c>
      <c r="K431" t="n">
        <v>0</v>
      </c>
      <c r="L431" t="n">
        <v>0</v>
      </c>
      <c r="M431" t="n">
        <v>0</v>
      </c>
      <c r="N431" t="n">
        <v>0</v>
      </c>
      <c r="O431" t="n">
        <v>0</v>
      </c>
      <c r="P431" t="n">
        <v>0</v>
      </c>
      <c r="Q431" t="n">
        <v>0</v>
      </c>
      <c r="R431" s="2" t="inlineStr"/>
    </row>
    <row r="432" ht="15" customHeight="1">
      <c r="A432" t="inlineStr">
        <is>
          <t>A 32598-2023</t>
        </is>
      </c>
      <c r="B432" s="1" t="n">
        <v>45121</v>
      </c>
      <c r="C432" s="1" t="n">
        <v>45587</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32607-2023</t>
        </is>
      </c>
      <c r="B433" s="1" t="n">
        <v>45121</v>
      </c>
      <c r="C433" s="1" t="n">
        <v>45587</v>
      </c>
      <c r="D433" t="inlineStr">
        <is>
          <t>DALARNAS LÄN</t>
        </is>
      </c>
      <c r="E433" t="inlineStr">
        <is>
          <t>HEDEMORA</t>
        </is>
      </c>
      <c r="F433" t="inlineStr">
        <is>
          <t>Sveaskog</t>
        </is>
      </c>
      <c r="G433" t="n">
        <v>5.3</v>
      </c>
      <c r="H433" t="n">
        <v>0</v>
      </c>
      <c r="I433" t="n">
        <v>0</v>
      </c>
      <c r="J433" t="n">
        <v>0</v>
      </c>
      <c r="K433" t="n">
        <v>0</v>
      </c>
      <c r="L433" t="n">
        <v>0</v>
      </c>
      <c r="M433" t="n">
        <v>0</v>
      </c>
      <c r="N433" t="n">
        <v>0</v>
      </c>
      <c r="O433" t="n">
        <v>0</v>
      </c>
      <c r="P433" t="n">
        <v>0</v>
      </c>
      <c r="Q433" t="n">
        <v>0</v>
      </c>
      <c r="R433" s="2" t="inlineStr"/>
    </row>
    <row r="434" ht="15" customHeight="1">
      <c r="A434" t="inlineStr">
        <is>
          <t>A 32720-2023</t>
        </is>
      </c>
      <c r="B434" s="1" t="n">
        <v>45121</v>
      </c>
      <c r="C434" s="1" t="n">
        <v>45587</v>
      </c>
      <c r="D434" t="inlineStr">
        <is>
          <t>DALARNAS LÄN</t>
        </is>
      </c>
      <c r="E434" t="inlineStr">
        <is>
          <t>HEDEMORA</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32721-2023</t>
        </is>
      </c>
      <c r="B435" s="1" t="n">
        <v>45121</v>
      </c>
      <c r="C435" s="1" t="n">
        <v>45587</v>
      </c>
      <c r="D435" t="inlineStr">
        <is>
          <t>DALARNAS LÄN</t>
        </is>
      </c>
      <c r="E435" t="inlineStr">
        <is>
          <t>HEDEMORA</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32719-2023</t>
        </is>
      </c>
      <c r="B436" s="1" t="n">
        <v>45121</v>
      </c>
      <c r="C436" s="1" t="n">
        <v>45587</v>
      </c>
      <c r="D436" t="inlineStr">
        <is>
          <t>DALARNAS LÄN</t>
        </is>
      </c>
      <c r="E436" t="inlineStr">
        <is>
          <t>HEDEMORA</t>
        </is>
      </c>
      <c r="F436" t="inlineStr">
        <is>
          <t>Sveaskog</t>
        </is>
      </c>
      <c r="G436" t="n">
        <v>10.2</v>
      </c>
      <c r="H436" t="n">
        <v>0</v>
      </c>
      <c r="I436" t="n">
        <v>0</v>
      </c>
      <c r="J436" t="n">
        <v>0</v>
      </c>
      <c r="K436" t="n">
        <v>0</v>
      </c>
      <c r="L436" t="n">
        <v>0</v>
      </c>
      <c r="M436" t="n">
        <v>0</v>
      </c>
      <c r="N436" t="n">
        <v>0</v>
      </c>
      <c r="O436" t="n">
        <v>0</v>
      </c>
      <c r="P436" t="n">
        <v>0</v>
      </c>
      <c r="Q436" t="n">
        <v>0</v>
      </c>
      <c r="R436" s="2" t="inlineStr"/>
    </row>
    <row r="437" ht="15" customHeight="1">
      <c r="A437" t="inlineStr">
        <is>
          <t>A 33314-2023</t>
        </is>
      </c>
      <c r="B437" s="1" t="n">
        <v>45127</v>
      </c>
      <c r="C437" s="1" t="n">
        <v>45587</v>
      </c>
      <c r="D437" t="inlineStr">
        <is>
          <t>DALARNAS LÄN</t>
        </is>
      </c>
      <c r="E437" t="inlineStr">
        <is>
          <t>HEDEMORA</t>
        </is>
      </c>
      <c r="F437" t="inlineStr">
        <is>
          <t>Bergvik skog väst AB</t>
        </is>
      </c>
      <c r="G437" t="n">
        <v>3.6</v>
      </c>
      <c r="H437" t="n">
        <v>0</v>
      </c>
      <c r="I437" t="n">
        <v>0</v>
      </c>
      <c r="J437" t="n">
        <v>0</v>
      </c>
      <c r="K437" t="n">
        <v>0</v>
      </c>
      <c r="L437" t="n">
        <v>0</v>
      </c>
      <c r="M437" t="n">
        <v>0</v>
      </c>
      <c r="N437" t="n">
        <v>0</v>
      </c>
      <c r="O437" t="n">
        <v>0</v>
      </c>
      <c r="P437" t="n">
        <v>0</v>
      </c>
      <c r="Q437" t="n">
        <v>0</v>
      </c>
      <c r="R437" s="2" t="inlineStr"/>
    </row>
    <row r="438" ht="15" customHeight="1">
      <c r="A438" t="inlineStr">
        <is>
          <t>A 33313-2023</t>
        </is>
      </c>
      <c r="B438" s="1" t="n">
        <v>45127</v>
      </c>
      <c r="C438" s="1" t="n">
        <v>45587</v>
      </c>
      <c r="D438" t="inlineStr">
        <is>
          <t>DALARNAS LÄN</t>
        </is>
      </c>
      <c r="E438" t="inlineStr">
        <is>
          <t>HEDEMORA</t>
        </is>
      </c>
      <c r="F438" t="inlineStr">
        <is>
          <t>Bergvik skog väst AB</t>
        </is>
      </c>
      <c r="G438" t="n">
        <v>8.6</v>
      </c>
      <c r="H438" t="n">
        <v>0</v>
      </c>
      <c r="I438" t="n">
        <v>0</v>
      </c>
      <c r="J438" t="n">
        <v>0</v>
      </c>
      <c r="K438" t="n">
        <v>0</v>
      </c>
      <c r="L438" t="n">
        <v>0</v>
      </c>
      <c r="M438" t="n">
        <v>0</v>
      </c>
      <c r="N438" t="n">
        <v>0</v>
      </c>
      <c r="O438" t="n">
        <v>0</v>
      </c>
      <c r="P438" t="n">
        <v>0</v>
      </c>
      <c r="Q438" t="n">
        <v>0</v>
      </c>
      <c r="R438" s="2" t="inlineStr"/>
    </row>
    <row r="439" ht="15" customHeight="1">
      <c r="A439" t="inlineStr">
        <is>
          <t>A 33315-2023</t>
        </is>
      </c>
      <c r="B439" s="1" t="n">
        <v>45127</v>
      </c>
      <c r="C439" s="1" t="n">
        <v>45587</v>
      </c>
      <c r="D439" t="inlineStr">
        <is>
          <t>DALARNAS LÄN</t>
        </is>
      </c>
      <c r="E439" t="inlineStr">
        <is>
          <t>HEDEMORA</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35240-2023</t>
        </is>
      </c>
      <c r="B440" s="1" t="n">
        <v>45145</v>
      </c>
      <c r="C440" s="1" t="n">
        <v>45587</v>
      </c>
      <c r="D440" t="inlineStr">
        <is>
          <t>DALARNAS LÄN</t>
        </is>
      </c>
      <c r="E440" t="inlineStr">
        <is>
          <t>HEDEMORA</t>
        </is>
      </c>
      <c r="G440" t="n">
        <v>0.7</v>
      </c>
      <c r="H440" t="n">
        <v>0</v>
      </c>
      <c r="I440" t="n">
        <v>0</v>
      </c>
      <c r="J440" t="n">
        <v>0</v>
      </c>
      <c r="K440" t="n">
        <v>0</v>
      </c>
      <c r="L440" t="n">
        <v>0</v>
      </c>
      <c r="M440" t="n">
        <v>0</v>
      </c>
      <c r="N440" t="n">
        <v>0</v>
      </c>
      <c r="O440" t="n">
        <v>0</v>
      </c>
      <c r="P440" t="n">
        <v>0</v>
      </c>
      <c r="Q440" t="n">
        <v>0</v>
      </c>
      <c r="R440" s="2" t="inlineStr"/>
    </row>
    <row r="441" ht="15" customHeight="1">
      <c r="A441" t="inlineStr">
        <is>
          <t>A 36049-2023</t>
        </is>
      </c>
      <c r="B441" s="1" t="n">
        <v>45149</v>
      </c>
      <c r="C441" s="1" t="n">
        <v>45587</v>
      </c>
      <c r="D441" t="inlineStr">
        <is>
          <t>DALARNAS LÄN</t>
        </is>
      </c>
      <c r="E441" t="inlineStr">
        <is>
          <t>HEDEMORA</t>
        </is>
      </c>
      <c r="G441" t="n">
        <v>3.6</v>
      </c>
      <c r="H441" t="n">
        <v>0</v>
      </c>
      <c r="I441" t="n">
        <v>0</v>
      </c>
      <c r="J441" t="n">
        <v>0</v>
      </c>
      <c r="K441" t="n">
        <v>0</v>
      </c>
      <c r="L441" t="n">
        <v>0</v>
      </c>
      <c r="M441" t="n">
        <v>0</v>
      </c>
      <c r="N441" t="n">
        <v>0</v>
      </c>
      <c r="O441" t="n">
        <v>0</v>
      </c>
      <c r="P441" t="n">
        <v>0</v>
      </c>
      <c r="Q441" t="n">
        <v>0</v>
      </c>
      <c r="R441" s="2" t="inlineStr"/>
    </row>
    <row r="442" ht="15" customHeight="1">
      <c r="A442" t="inlineStr">
        <is>
          <t>A 38032-2023</t>
        </is>
      </c>
      <c r="B442" s="1" t="n">
        <v>45160</v>
      </c>
      <c r="C442" s="1" t="n">
        <v>45587</v>
      </c>
      <c r="D442" t="inlineStr">
        <is>
          <t>DALARNAS LÄN</t>
        </is>
      </c>
      <c r="E442" t="inlineStr">
        <is>
          <t>HEDEMORA</t>
        </is>
      </c>
      <c r="G442" t="n">
        <v>2.8</v>
      </c>
      <c r="H442" t="n">
        <v>0</v>
      </c>
      <c r="I442" t="n">
        <v>0</v>
      </c>
      <c r="J442" t="n">
        <v>0</v>
      </c>
      <c r="K442" t="n">
        <v>0</v>
      </c>
      <c r="L442" t="n">
        <v>0</v>
      </c>
      <c r="M442" t="n">
        <v>0</v>
      </c>
      <c r="N442" t="n">
        <v>0</v>
      </c>
      <c r="O442" t="n">
        <v>0</v>
      </c>
      <c r="P442" t="n">
        <v>0</v>
      </c>
      <c r="Q442" t="n">
        <v>0</v>
      </c>
      <c r="R442" s="2" t="inlineStr"/>
    </row>
    <row r="443" ht="15" customHeight="1">
      <c r="A443" t="inlineStr">
        <is>
          <t>A 38957-2023</t>
        </is>
      </c>
      <c r="B443" s="1" t="n">
        <v>45163</v>
      </c>
      <c r="C443" s="1" t="n">
        <v>45587</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38947-2023</t>
        </is>
      </c>
      <c r="B444" s="1" t="n">
        <v>45163</v>
      </c>
      <c r="C444" s="1" t="n">
        <v>45587</v>
      </c>
      <c r="D444" t="inlineStr">
        <is>
          <t>DALARNAS LÄN</t>
        </is>
      </c>
      <c r="E444" t="inlineStr">
        <is>
          <t>HEDEMORA</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38951-2023</t>
        </is>
      </c>
      <c r="B445" s="1" t="n">
        <v>45163</v>
      </c>
      <c r="C445" s="1" t="n">
        <v>45587</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41445-2023</t>
        </is>
      </c>
      <c r="B446" s="1" t="n">
        <v>45170</v>
      </c>
      <c r="C446" s="1" t="n">
        <v>45587</v>
      </c>
      <c r="D446" t="inlineStr">
        <is>
          <t>DALARNAS LÄN</t>
        </is>
      </c>
      <c r="E446" t="inlineStr">
        <is>
          <t>HEDEMORA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40707-2023</t>
        </is>
      </c>
      <c r="B447" s="1" t="n">
        <v>45170</v>
      </c>
      <c r="C447" s="1" t="n">
        <v>45587</v>
      </c>
      <c r="D447" t="inlineStr">
        <is>
          <t>DALARNAS LÄN</t>
        </is>
      </c>
      <c r="E447" t="inlineStr">
        <is>
          <t>HEDEMORA</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41458-2023</t>
        </is>
      </c>
      <c r="B448" s="1" t="n">
        <v>45170</v>
      </c>
      <c r="C448" s="1" t="n">
        <v>45587</v>
      </c>
      <c r="D448" t="inlineStr">
        <is>
          <t>DALARNAS LÄN</t>
        </is>
      </c>
      <c r="E448" t="inlineStr">
        <is>
          <t>HEDEMORA</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41294-2023</t>
        </is>
      </c>
      <c r="B449" s="1" t="n">
        <v>45170</v>
      </c>
      <c r="C449" s="1" t="n">
        <v>45587</v>
      </c>
      <c r="D449" t="inlineStr">
        <is>
          <t>DALARNAS LÄN</t>
        </is>
      </c>
      <c r="E449" t="inlineStr">
        <is>
          <t>HEDEMORA</t>
        </is>
      </c>
      <c r="F449" t="inlineStr">
        <is>
          <t>Bergvik skog väst AB</t>
        </is>
      </c>
      <c r="G449" t="n">
        <v>16.2</v>
      </c>
      <c r="H449" t="n">
        <v>0</v>
      </c>
      <c r="I449" t="n">
        <v>0</v>
      </c>
      <c r="J449" t="n">
        <v>0</v>
      </c>
      <c r="K449" t="n">
        <v>0</v>
      </c>
      <c r="L449" t="n">
        <v>0</v>
      </c>
      <c r="M449" t="n">
        <v>0</v>
      </c>
      <c r="N449" t="n">
        <v>0</v>
      </c>
      <c r="O449" t="n">
        <v>0</v>
      </c>
      <c r="P449" t="n">
        <v>0</v>
      </c>
      <c r="Q449" t="n">
        <v>0</v>
      </c>
      <c r="R449" s="2" t="inlineStr"/>
    </row>
    <row r="450" ht="15" customHeight="1">
      <c r="A450" t="inlineStr">
        <is>
          <t>A 41435-2023</t>
        </is>
      </c>
      <c r="B450" s="1" t="n">
        <v>45170</v>
      </c>
      <c r="C450" s="1" t="n">
        <v>45587</v>
      </c>
      <c r="D450" t="inlineStr">
        <is>
          <t>DALARNAS LÄN</t>
        </is>
      </c>
      <c r="E450" t="inlineStr">
        <is>
          <t>HEDEMORA</t>
        </is>
      </c>
      <c r="G450" t="n">
        <v>2.9</v>
      </c>
      <c r="H450" t="n">
        <v>0</v>
      </c>
      <c r="I450" t="n">
        <v>0</v>
      </c>
      <c r="J450" t="n">
        <v>0</v>
      </c>
      <c r="K450" t="n">
        <v>0</v>
      </c>
      <c r="L450" t="n">
        <v>0</v>
      </c>
      <c r="M450" t="n">
        <v>0</v>
      </c>
      <c r="N450" t="n">
        <v>0</v>
      </c>
      <c r="O450" t="n">
        <v>0</v>
      </c>
      <c r="P450" t="n">
        <v>0</v>
      </c>
      <c r="Q450" t="n">
        <v>0</v>
      </c>
      <c r="R450" s="2" t="inlineStr"/>
    </row>
    <row r="451" ht="15" customHeight="1">
      <c r="A451" t="inlineStr">
        <is>
          <t>A 41462-2023</t>
        </is>
      </c>
      <c r="B451" s="1" t="n">
        <v>45170</v>
      </c>
      <c r="C451" s="1" t="n">
        <v>45587</v>
      </c>
      <c r="D451" t="inlineStr">
        <is>
          <t>DALARNAS LÄN</t>
        </is>
      </c>
      <c r="E451" t="inlineStr">
        <is>
          <t>HEDEMORA</t>
        </is>
      </c>
      <c r="F451" t="inlineStr">
        <is>
          <t>Bergvik skog väst AB</t>
        </is>
      </c>
      <c r="G451" t="n">
        <v>5.4</v>
      </c>
      <c r="H451" t="n">
        <v>0</v>
      </c>
      <c r="I451" t="n">
        <v>0</v>
      </c>
      <c r="J451" t="n">
        <v>0</v>
      </c>
      <c r="K451" t="n">
        <v>0</v>
      </c>
      <c r="L451" t="n">
        <v>0</v>
      </c>
      <c r="M451" t="n">
        <v>0</v>
      </c>
      <c r="N451" t="n">
        <v>0</v>
      </c>
      <c r="O451" t="n">
        <v>0</v>
      </c>
      <c r="P451" t="n">
        <v>0</v>
      </c>
      <c r="Q451" t="n">
        <v>0</v>
      </c>
      <c r="R451" s="2" t="inlineStr"/>
    </row>
    <row r="452" ht="15" customHeight="1">
      <c r="A452" t="inlineStr">
        <is>
          <t>A 41523-2023</t>
        </is>
      </c>
      <c r="B452" s="1" t="n">
        <v>45172</v>
      </c>
      <c r="C452" s="1" t="n">
        <v>45587</v>
      </c>
      <c r="D452" t="inlineStr">
        <is>
          <t>DALARNAS LÄN</t>
        </is>
      </c>
      <c r="E452" t="inlineStr">
        <is>
          <t>HEDEMORA</t>
        </is>
      </c>
      <c r="F452" t="inlineStr">
        <is>
          <t>Bergvik skog väst AB</t>
        </is>
      </c>
      <c r="G452" t="n">
        <v>3.7</v>
      </c>
      <c r="H452" t="n">
        <v>0</v>
      </c>
      <c r="I452" t="n">
        <v>0</v>
      </c>
      <c r="J452" t="n">
        <v>0</v>
      </c>
      <c r="K452" t="n">
        <v>0</v>
      </c>
      <c r="L452" t="n">
        <v>0</v>
      </c>
      <c r="M452" t="n">
        <v>0</v>
      </c>
      <c r="N452" t="n">
        <v>0</v>
      </c>
      <c r="O452" t="n">
        <v>0</v>
      </c>
      <c r="P452" t="n">
        <v>0</v>
      </c>
      <c r="Q452" t="n">
        <v>0</v>
      </c>
      <c r="R452" s="2" t="inlineStr"/>
    </row>
    <row r="453" ht="15" customHeight="1">
      <c r="A453" t="inlineStr">
        <is>
          <t>A 40919-2023</t>
        </is>
      </c>
      <c r="B453" s="1" t="n">
        <v>45173</v>
      </c>
      <c r="C453" s="1" t="n">
        <v>45587</v>
      </c>
      <c r="D453" t="inlineStr">
        <is>
          <t>DALARNAS LÄN</t>
        </is>
      </c>
      <c r="E453" t="inlineStr">
        <is>
          <t>HEDEMORA</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40923-2023</t>
        </is>
      </c>
      <c r="B454" s="1" t="n">
        <v>45173</v>
      </c>
      <c r="C454" s="1" t="n">
        <v>45587</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40918-2023</t>
        </is>
      </c>
      <c r="B455" s="1" t="n">
        <v>45173</v>
      </c>
      <c r="C455" s="1" t="n">
        <v>45587</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40922-2023</t>
        </is>
      </c>
      <c r="B456" s="1" t="n">
        <v>45173</v>
      </c>
      <c r="C456" s="1" t="n">
        <v>45587</v>
      </c>
      <c r="D456" t="inlineStr">
        <is>
          <t>DALARNAS LÄN</t>
        </is>
      </c>
      <c r="E456" t="inlineStr">
        <is>
          <t>HEDEMORA</t>
        </is>
      </c>
      <c r="F456" t="inlineStr">
        <is>
          <t>Bergvik skog väst AB</t>
        </is>
      </c>
      <c r="G456" t="n">
        <v>5.8</v>
      </c>
      <c r="H456" t="n">
        <v>0</v>
      </c>
      <c r="I456" t="n">
        <v>0</v>
      </c>
      <c r="J456" t="n">
        <v>0</v>
      </c>
      <c r="K456" t="n">
        <v>0</v>
      </c>
      <c r="L456" t="n">
        <v>0</v>
      </c>
      <c r="M456" t="n">
        <v>0</v>
      </c>
      <c r="N456" t="n">
        <v>0</v>
      </c>
      <c r="O456" t="n">
        <v>0</v>
      </c>
      <c r="P456" t="n">
        <v>0</v>
      </c>
      <c r="Q456" t="n">
        <v>0</v>
      </c>
      <c r="R456" s="2" t="inlineStr"/>
    </row>
    <row r="457" ht="15" customHeight="1">
      <c r="A457" t="inlineStr">
        <is>
          <t>A 40921-2023</t>
        </is>
      </c>
      <c r="B457" s="1" t="n">
        <v>45173</v>
      </c>
      <c r="C457" s="1" t="n">
        <v>45587</v>
      </c>
      <c r="D457" t="inlineStr">
        <is>
          <t>DALARNAS LÄN</t>
        </is>
      </c>
      <c r="E457" t="inlineStr">
        <is>
          <t>HEDEMORA</t>
        </is>
      </c>
      <c r="F457" t="inlineStr">
        <is>
          <t>Bergvik skog väst AB</t>
        </is>
      </c>
      <c r="G457" t="n">
        <v>1.8</v>
      </c>
      <c r="H457" t="n">
        <v>0</v>
      </c>
      <c r="I457" t="n">
        <v>0</v>
      </c>
      <c r="J457" t="n">
        <v>0</v>
      </c>
      <c r="K457" t="n">
        <v>0</v>
      </c>
      <c r="L457" t="n">
        <v>0</v>
      </c>
      <c r="M457" t="n">
        <v>0</v>
      </c>
      <c r="N457" t="n">
        <v>0</v>
      </c>
      <c r="O457" t="n">
        <v>0</v>
      </c>
      <c r="P457" t="n">
        <v>0</v>
      </c>
      <c r="Q457" t="n">
        <v>0</v>
      </c>
      <c r="R457" s="2" t="inlineStr"/>
    </row>
    <row r="458" ht="15" customHeight="1">
      <c r="A458" t="inlineStr">
        <is>
          <t>A 41324-2023</t>
        </is>
      </c>
      <c r="B458" s="1" t="n">
        <v>45174</v>
      </c>
      <c r="C458" s="1" t="n">
        <v>45587</v>
      </c>
      <c r="D458" t="inlineStr">
        <is>
          <t>DALARNAS LÄN</t>
        </is>
      </c>
      <c r="E458" t="inlineStr">
        <is>
          <t>HEDEMORA</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41642-2023</t>
        </is>
      </c>
      <c r="B459" s="1" t="n">
        <v>45175</v>
      </c>
      <c r="C459" s="1" t="n">
        <v>45587</v>
      </c>
      <c r="D459" t="inlineStr">
        <is>
          <t>DALARNAS LÄN</t>
        </is>
      </c>
      <c r="E459" t="inlineStr">
        <is>
          <t>HEDEMORA</t>
        </is>
      </c>
      <c r="G459" t="n">
        <v>2.8</v>
      </c>
      <c r="H459" t="n">
        <v>0</v>
      </c>
      <c r="I459" t="n">
        <v>0</v>
      </c>
      <c r="J459" t="n">
        <v>0</v>
      </c>
      <c r="K459" t="n">
        <v>0</v>
      </c>
      <c r="L459" t="n">
        <v>0</v>
      </c>
      <c r="M459" t="n">
        <v>0</v>
      </c>
      <c r="N459" t="n">
        <v>0</v>
      </c>
      <c r="O459" t="n">
        <v>0</v>
      </c>
      <c r="P459" t="n">
        <v>0</v>
      </c>
      <c r="Q459" t="n">
        <v>0</v>
      </c>
      <c r="R459" s="2" t="inlineStr"/>
    </row>
    <row r="460" ht="15" customHeight="1">
      <c r="A460" t="inlineStr">
        <is>
          <t>A 42387-2023</t>
        </is>
      </c>
      <c r="B460" s="1" t="n">
        <v>45180</v>
      </c>
      <c r="C460" s="1" t="n">
        <v>45587</v>
      </c>
      <c r="D460" t="inlineStr">
        <is>
          <t>DALARNAS LÄN</t>
        </is>
      </c>
      <c r="E460" t="inlineStr">
        <is>
          <t>HEDEMORA</t>
        </is>
      </c>
      <c r="G460" t="n">
        <v>0.6</v>
      </c>
      <c r="H460" t="n">
        <v>0</v>
      </c>
      <c r="I460" t="n">
        <v>0</v>
      </c>
      <c r="J460" t="n">
        <v>0</v>
      </c>
      <c r="K460" t="n">
        <v>0</v>
      </c>
      <c r="L460" t="n">
        <v>0</v>
      </c>
      <c r="M460" t="n">
        <v>0</v>
      </c>
      <c r="N460" t="n">
        <v>0</v>
      </c>
      <c r="O460" t="n">
        <v>0</v>
      </c>
      <c r="P460" t="n">
        <v>0</v>
      </c>
      <c r="Q460" t="n">
        <v>0</v>
      </c>
      <c r="R460" s="2" t="inlineStr"/>
    </row>
    <row r="461" ht="15" customHeight="1">
      <c r="A461" t="inlineStr">
        <is>
          <t>A 42618-2023</t>
        </is>
      </c>
      <c r="B461" s="1" t="n">
        <v>45181</v>
      </c>
      <c r="C461" s="1" t="n">
        <v>45587</v>
      </c>
      <c r="D461" t="inlineStr">
        <is>
          <t>DALARNAS LÄN</t>
        </is>
      </c>
      <c r="E461" t="inlineStr">
        <is>
          <t>HEDEMORA</t>
        </is>
      </c>
      <c r="G461" t="n">
        <v>3.8</v>
      </c>
      <c r="H461" t="n">
        <v>0</v>
      </c>
      <c r="I461" t="n">
        <v>0</v>
      </c>
      <c r="J461" t="n">
        <v>0</v>
      </c>
      <c r="K461" t="n">
        <v>0</v>
      </c>
      <c r="L461" t="n">
        <v>0</v>
      </c>
      <c r="M461" t="n">
        <v>0</v>
      </c>
      <c r="N461" t="n">
        <v>0</v>
      </c>
      <c r="O461" t="n">
        <v>0</v>
      </c>
      <c r="P461" t="n">
        <v>0</v>
      </c>
      <c r="Q461" t="n">
        <v>0</v>
      </c>
      <c r="R461" s="2" t="inlineStr"/>
    </row>
    <row r="462" ht="15" customHeight="1">
      <c r="A462" t="inlineStr">
        <is>
          <t>A 43621-2023</t>
        </is>
      </c>
      <c r="B462" s="1" t="n">
        <v>45184</v>
      </c>
      <c r="C462" s="1" t="n">
        <v>45587</v>
      </c>
      <c r="D462" t="inlineStr">
        <is>
          <t>DALARNAS LÄN</t>
        </is>
      </c>
      <c r="E462" t="inlineStr">
        <is>
          <t>HEDEMORA</t>
        </is>
      </c>
      <c r="G462" t="n">
        <v>0.7</v>
      </c>
      <c r="H462" t="n">
        <v>0</v>
      </c>
      <c r="I462" t="n">
        <v>0</v>
      </c>
      <c r="J462" t="n">
        <v>0</v>
      </c>
      <c r="K462" t="n">
        <v>0</v>
      </c>
      <c r="L462" t="n">
        <v>0</v>
      </c>
      <c r="M462" t="n">
        <v>0</v>
      </c>
      <c r="N462" t="n">
        <v>0</v>
      </c>
      <c r="O462" t="n">
        <v>0</v>
      </c>
      <c r="P462" t="n">
        <v>0</v>
      </c>
      <c r="Q462" t="n">
        <v>0</v>
      </c>
      <c r="R462" s="2" t="inlineStr"/>
    </row>
    <row r="463" ht="15" customHeight="1">
      <c r="A463" t="inlineStr">
        <is>
          <t>A 43785-2023</t>
        </is>
      </c>
      <c r="B463" s="1" t="n">
        <v>45187</v>
      </c>
      <c r="C463" s="1" t="n">
        <v>45587</v>
      </c>
      <c r="D463" t="inlineStr">
        <is>
          <t>DALARNAS LÄN</t>
        </is>
      </c>
      <c r="E463" t="inlineStr">
        <is>
          <t>HEDEMORA</t>
        </is>
      </c>
      <c r="F463" t="inlineStr">
        <is>
          <t>Sveaskog</t>
        </is>
      </c>
      <c r="G463" t="n">
        <v>5.7</v>
      </c>
      <c r="H463" t="n">
        <v>0</v>
      </c>
      <c r="I463" t="n">
        <v>0</v>
      </c>
      <c r="J463" t="n">
        <v>0</v>
      </c>
      <c r="K463" t="n">
        <v>0</v>
      </c>
      <c r="L463" t="n">
        <v>0</v>
      </c>
      <c r="M463" t="n">
        <v>0</v>
      </c>
      <c r="N463" t="n">
        <v>0</v>
      </c>
      <c r="O463" t="n">
        <v>0</v>
      </c>
      <c r="P463" t="n">
        <v>0</v>
      </c>
      <c r="Q463" t="n">
        <v>0</v>
      </c>
      <c r="R463" s="2" t="inlineStr"/>
    </row>
    <row r="464" ht="15" customHeight="1">
      <c r="A464" t="inlineStr">
        <is>
          <t>A 43675-2023</t>
        </is>
      </c>
      <c r="B464" s="1" t="n">
        <v>45187</v>
      </c>
      <c r="C464" s="1" t="n">
        <v>45587</v>
      </c>
      <c r="D464" t="inlineStr">
        <is>
          <t>DALARNAS LÄN</t>
        </is>
      </c>
      <c r="E464" t="inlineStr">
        <is>
          <t>HEDEMORA</t>
        </is>
      </c>
      <c r="G464" t="n">
        <v>1.5</v>
      </c>
      <c r="H464" t="n">
        <v>0</v>
      </c>
      <c r="I464" t="n">
        <v>0</v>
      </c>
      <c r="J464" t="n">
        <v>0</v>
      </c>
      <c r="K464" t="n">
        <v>0</v>
      </c>
      <c r="L464" t="n">
        <v>0</v>
      </c>
      <c r="M464" t="n">
        <v>0</v>
      </c>
      <c r="N464" t="n">
        <v>0</v>
      </c>
      <c r="O464" t="n">
        <v>0</v>
      </c>
      <c r="P464" t="n">
        <v>0</v>
      </c>
      <c r="Q464" t="n">
        <v>0</v>
      </c>
      <c r="R464" s="2" t="inlineStr"/>
      <c r="U464">
        <f>HYPERLINK("https://klasma.github.io/Logging_2083/knärot/A 43675-2023 karta knärot.png", "A 43675-2023")</f>
        <v/>
      </c>
      <c r="V464">
        <f>HYPERLINK("https://klasma.github.io/Logging_2083/klagomål/A 43675-2023 FSC-klagomål.docx", "A 43675-2023")</f>
        <v/>
      </c>
      <c r="W464">
        <f>HYPERLINK("https://klasma.github.io/Logging_2083/klagomålsmail/A 43675-2023 FSC-klagomål mail.docx", "A 43675-2023")</f>
        <v/>
      </c>
      <c r="X464">
        <f>HYPERLINK("https://klasma.github.io/Logging_2083/tillsyn/A 43675-2023 tillsynsbegäran.docx", "A 43675-2023")</f>
        <v/>
      </c>
      <c r="Y464">
        <f>HYPERLINK("https://klasma.github.io/Logging_2083/tillsynsmail/A 43675-2023 tillsynsbegäran mail.docx", "A 43675-2023")</f>
        <v/>
      </c>
    </row>
    <row r="465" ht="15" customHeight="1">
      <c r="A465" t="inlineStr">
        <is>
          <t>A 44587-2023</t>
        </is>
      </c>
      <c r="B465" s="1" t="n">
        <v>45189</v>
      </c>
      <c r="C465" s="1" t="n">
        <v>45587</v>
      </c>
      <c r="D465" t="inlineStr">
        <is>
          <t>DALARNAS LÄN</t>
        </is>
      </c>
      <c r="E465" t="inlineStr">
        <is>
          <t>HEDEMORA</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44750-2023</t>
        </is>
      </c>
      <c r="B466" s="1" t="n">
        <v>45190</v>
      </c>
      <c r="C466" s="1" t="n">
        <v>45587</v>
      </c>
      <c r="D466" t="inlineStr">
        <is>
          <t>DALARNAS LÄN</t>
        </is>
      </c>
      <c r="E466" t="inlineStr">
        <is>
          <t>HEDEMORA</t>
        </is>
      </c>
      <c r="G466" t="n">
        <v>5.4</v>
      </c>
      <c r="H466" t="n">
        <v>0</v>
      </c>
      <c r="I466" t="n">
        <v>0</v>
      </c>
      <c r="J466" t="n">
        <v>0</v>
      </c>
      <c r="K466" t="n">
        <v>0</v>
      </c>
      <c r="L466" t="n">
        <v>0</v>
      </c>
      <c r="M466" t="n">
        <v>0</v>
      </c>
      <c r="N466" t="n">
        <v>0</v>
      </c>
      <c r="O466" t="n">
        <v>0</v>
      </c>
      <c r="P466" t="n">
        <v>0</v>
      </c>
      <c r="Q466" t="n">
        <v>0</v>
      </c>
      <c r="R466" s="2" t="inlineStr"/>
    </row>
    <row r="467" ht="15" customHeight="1">
      <c r="A467" t="inlineStr">
        <is>
          <t>A 46217-2023</t>
        </is>
      </c>
      <c r="B467" s="1" t="n">
        <v>45190</v>
      </c>
      <c r="C467" s="1" t="n">
        <v>45587</v>
      </c>
      <c r="D467" t="inlineStr">
        <is>
          <t>DALARNAS LÄN</t>
        </is>
      </c>
      <c r="E467" t="inlineStr">
        <is>
          <t>HEDEMORA</t>
        </is>
      </c>
      <c r="F467" t="inlineStr">
        <is>
          <t>Bergvik skog väst AB</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45186-2023</t>
        </is>
      </c>
      <c r="B468" s="1" t="n">
        <v>45191</v>
      </c>
      <c r="C468" s="1" t="n">
        <v>45587</v>
      </c>
      <c r="D468" t="inlineStr">
        <is>
          <t>DALARNAS LÄN</t>
        </is>
      </c>
      <c r="E468" t="inlineStr">
        <is>
          <t>HEDEMORA</t>
        </is>
      </c>
      <c r="F468" t="inlineStr">
        <is>
          <t>Sveaskog</t>
        </is>
      </c>
      <c r="G468" t="n">
        <v>18.9</v>
      </c>
      <c r="H468" t="n">
        <v>0</v>
      </c>
      <c r="I468" t="n">
        <v>0</v>
      </c>
      <c r="J468" t="n">
        <v>0</v>
      </c>
      <c r="K468" t="n">
        <v>0</v>
      </c>
      <c r="L468" t="n">
        <v>0</v>
      </c>
      <c r="M468" t="n">
        <v>0</v>
      </c>
      <c r="N468" t="n">
        <v>0</v>
      </c>
      <c r="O468" t="n">
        <v>0</v>
      </c>
      <c r="P468" t="n">
        <v>0</v>
      </c>
      <c r="Q468" t="n">
        <v>0</v>
      </c>
      <c r="R468" s="2" t="inlineStr"/>
    </row>
    <row r="469" ht="15" customHeight="1">
      <c r="A469" t="inlineStr">
        <is>
          <t>A 45589-2023</t>
        </is>
      </c>
      <c r="B469" s="1" t="n">
        <v>45194</v>
      </c>
      <c r="C469" s="1" t="n">
        <v>45587</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48204-2023</t>
        </is>
      </c>
      <c r="B470" s="1" t="n">
        <v>45205</v>
      </c>
      <c r="C470" s="1" t="n">
        <v>45587</v>
      </c>
      <c r="D470" t="inlineStr">
        <is>
          <t>DALARNAS LÄN</t>
        </is>
      </c>
      <c r="E470" t="inlineStr">
        <is>
          <t>HEDEMORA</t>
        </is>
      </c>
      <c r="F470" t="inlineStr">
        <is>
          <t>Kyrkan</t>
        </is>
      </c>
      <c r="G470" t="n">
        <v>21.8</v>
      </c>
      <c r="H470" t="n">
        <v>0</v>
      </c>
      <c r="I470" t="n">
        <v>0</v>
      </c>
      <c r="J470" t="n">
        <v>0</v>
      </c>
      <c r="K470" t="n">
        <v>0</v>
      </c>
      <c r="L470" t="n">
        <v>0</v>
      </c>
      <c r="M470" t="n">
        <v>0</v>
      </c>
      <c r="N470" t="n">
        <v>0</v>
      </c>
      <c r="O470" t="n">
        <v>0</v>
      </c>
      <c r="P470" t="n">
        <v>0</v>
      </c>
      <c r="Q470" t="n">
        <v>0</v>
      </c>
      <c r="R470" s="2" t="inlineStr"/>
      <c r="U470">
        <f>HYPERLINK("https://klasma.github.io/Logging_2083/knärot/A 48204-2023 karta knärot.png", "A 48204-2023")</f>
        <v/>
      </c>
      <c r="V470">
        <f>HYPERLINK("https://klasma.github.io/Logging_2083/klagomål/A 48204-2023 FSC-klagomål.docx", "A 48204-2023")</f>
        <v/>
      </c>
      <c r="W470">
        <f>HYPERLINK("https://klasma.github.io/Logging_2083/klagomålsmail/A 48204-2023 FSC-klagomål mail.docx", "A 48204-2023")</f>
        <v/>
      </c>
      <c r="X470">
        <f>HYPERLINK("https://klasma.github.io/Logging_2083/tillsyn/A 48204-2023 tillsynsbegäran.docx", "A 48204-2023")</f>
        <v/>
      </c>
      <c r="Y470">
        <f>HYPERLINK("https://klasma.github.io/Logging_2083/tillsynsmail/A 48204-2023 tillsynsbegäran mail.docx", "A 48204-2023")</f>
        <v/>
      </c>
    </row>
    <row r="471" ht="15" customHeight="1">
      <c r="A471" t="inlineStr">
        <is>
          <t>A 48254-2023</t>
        </is>
      </c>
      <c r="B471" s="1" t="n">
        <v>45205</v>
      </c>
      <c r="C471" s="1" t="n">
        <v>45587</v>
      </c>
      <c r="D471" t="inlineStr">
        <is>
          <t>DALARNAS LÄN</t>
        </is>
      </c>
      <c r="E471" t="inlineStr">
        <is>
          <t>HEDEMORA</t>
        </is>
      </c>
      <c r="F471" t="inlineStr">
        <is>
          <t>Sveaskog</t>
        </is>
      </c>
      <c r="G471" t="n">
        <v>1.5</v>
      </c>
      <c r="H471" t="n">
        <v>0</v>
      </c>
      <c r="I471" t="n">
        <v>0</v>
      </c>
      <c r="J471" t="n">
        <v>0</v>
      </c>
      <c r="K471" t="n">
        <v>0</v>
      </c>
      <c r="L471" t="n">
        <v>0</v>
      </c>
      <c r="M471" t="n">
        <v>0</v>
      </c>
      <c r="N471" t="n">
        <v>0</v>
      </c>
      <c r="O471" t="n">
        <v>0</v>
      </c>
      <c r="P471" t="n">
        <v>0</v>
      </c>
      <c r="Q471" t="n">
        <v>0</v>
      </c>
      <c r="R471" s="2" t="inlineStr"/>
      <c r="U471">
        <f>HYPERLINK("https://klasma.github.io/Logging_2083/knärot/A 48254-2023 karta knärot.png", "A 48254-2023")</f>
        <v/>
      </c>
      <c r="V471">
        <f>HYPERLINK("https://klasma.github.io/Logging_2083/klagomål/A 48254-2023 FSC-klagomål.docx", "A 48254-2023")</f>
        <v/>
      </c>
      <c r="W471">
        <f>HYPERLINK("https://klasma.github.io/Logging_2083/klagomålsmail/A 48254-2023 FSC-klagomål mail.docx", "A 48254-2023")</f>
        <v/>
      </c>
      <c r="X471">
        <f>HYPERLINK("https://klasma.github.io/Logging_2083/tillsyn/A 48254-2023 tillsynsbegäran.docx", "A 48254-2023")</f>
        <v/>
      </c>
      <c r="Y471">
        <f>HYPERLINK("https://klasma.github.io/Logging_2083/tillsynsmail/A 48254-2023 tillsynsbegäran mail.docx", "A 48254-2023")</f>
        <v/>
      </c>
    </row>
    <row r="472" ht="15" customHeight="1">
      <c r="A472" t="inlineStr">
        <is>
          <t>A 48834-2023</t>
        </is>
      </c>
      <c r="B472" s="1" t="n">
        <v>45209</v>
      </c>
      <c r="C472" s="1" t="n">
        <v>45587</v>
      </c>
      <c r="D472" t="inlineStr">
        <is>
          <t>DALARNAS LÄN</t>
        </is>
      </c>
      <c r="E472" t="inlineStr">
        <is>
          <t>HEDEMORA</t>
        </is>
      </c>
      <c r="G472" t="n">
        <v>1.9</v>
      </c>
      <c r="H472" t="n">
        <v>0</v>
      </c>
      <c r="I472" t="n">
        <v>0</v>
      </c>
      <c r="J472" t="n">
        <v>0</v>
      </c>
      <c r="K472" t="n">
        <v>0</v>
      </c>
      <c r="L472" t="n">
        <v>0</v>
      </c>
      <c r="M472" t="n">
        <v>0</v>
      </c>
      <c r="N472" t="n">
        <v>0</v>
      </c>
      <c r="O472" t="n">
        <v>0</v>
      </c>
      <c r="P472" t="n">
        <v>0</v>
      </c>
      <c r="Q472" t="n">
        <v>0</v>
      </c>
      <c r="R472" s="2" t="inlineStr"/>
    </row>
    <row r="473" ht="15" customHeight="1">
      <c r="A473" t="inlineStr">
        <is>
          <t>A 48826-2023</t>
        </is>
      </c>
      <c r="B473" s="1" t="n">
        <v>45209</v>
      </c>
      <c r="C473" s="1" t="n">
        <v>45587</v>
      </c>
      <c r="D473" t="inlineStr">
        <is>
          <t>DALARNAS LÄN</t>
        </is>
      </c>
      <c r="E473" t="inlineStr">
        <is>
          <t>HEDEMORA</t>
        </is>
      </c>
      <c r="G473" t="n">
        <v>1</v>
      </c>
      <c r="H473" t="n">
        <v>0</v>
      </c>
      <c r="I473" t="n">
        <v>0</v>
      </c>
      <c r="J473" t="n">
        <v>0</v>
      </c>
      <c r="K473" t="n">
        <v>0</v>
      </c>
      <c r="L473" t="n">
        <v>0</v>
      </c>
      <c r="M473" t="n">
        <v>0</v>
      </c>
      <c r="N473" t="n">
        <v>0</v>
      </c>
      <c r="O473" t="n">
        <v>0</v>
      </c>
      <c r="P473" t="n">
        <v>0</v>
      </c>
      <c r="Q473" t="n">
        <v>0</v>
      </c>
      <c r="R473" s="2" t="inlineStr"/>
    </row>
    <row r="474" ht="15" customHeight="1">
      <c r="A474" t="inlineStr">
        <is>
          <t>A 50333-2023</t>
        </is>
      </c>
      <c r="B474" s="1" t="n">
        <v>45216</v>
      </c>
      <c r="C474" s="1" t="n">
        <v>45587</v>
      </c>
      <c r="D474" t="inlineStr">
        <is>
          <t>DALARNAS LÄN</t>
        </is>
      </c>
      <c r="E474" t="inlineStr">
        <is>
          <t>HEDEMORA</t>
        </is>
      </c>
      <c r="G474" t="n">
        <v>1.1</v>
      </c>
      <c r="H474" t="n">
        <v>0</v>
      </c>
      <c r="I474" t="n">
        <v>0</v>
      </c>
      <c r="J474" t="n">
        <v>0</v>
      </c>
      <c r="K474" t="n">
        <v>0</v>
      </c>
      <c r="L474" t="n">
        <v>0</v>
      </c>
      <c r="M474" t="n">
        <v>0</v>
      </c>
      <c r="N474" t="n">
        <v>0</v>
      </c>
      <c r="O474" t="n">
        <v>0</v>
      </c>
      <c r="P474" t="n">
        <v>0</v>
      </c>
      <c r="Q474" t="n">
        <v>0</v>
      </c>
      <c r="R474" s="2" t="inlineStr"/>
    </row>
    <row r="475" ht="15" customHeight="1">
      <c r="A475" t="inlineStr">
        <is>
          <t>A 50885-2023</t>
        </is>
      </c>
      <c r="B475" s="1" t="n">
        <v>45218</v>
      </c>
      <c r="C475" s="1" t="n">
        <v>45587</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51879-2023</t>
        </is>
      </c>
      <c r="B476" s="1" t="n">
        <v>45223</v>
      </c>
      <c r="C476" s="1" t="n">
        <v>45587</v>
      </c>
      <c r="D476" t="inlineStr">
        <is>
          <t>DALARNAS LÄN</t>
        </is>
      </c>
      <c r="E476" t="inlineStr">
        <is>
          <t>HEDEMORA</t>
        </is>
      </c>
      <c r="G476" t="n">
        <v>2.1</v>
      </c>
      <c r="H476" t="n">
        <v>0</v>
      </c>
      <c r="I476" t="n">
        <v>0</v>
      </c>
      <c r="J476" t="n">
        <v>0</v>
      </c>
      <c r="K476" t="n">
        <v>0</v>
      </c>
      <c r="L476" t="n">
        <v>0</v>
      </c>
      <c r="M476" t="n">
        <v>0</v>
      </c>
      <c r="N476" t="n">
        <v>0</v>
      </c>
      <c r="O476" t="n">
        <v>0</v>
      </c>
      <c r="P476" t="n">
        <v>0</v>
      </c>
      <c r="Q476" t="n">
        <v>0</v>
      </c>
      <c r="R476" s="2" t="inlineStr"/>
    </row>
    <row r="477" ht="15" customHeight="1">
      <c r="A477" t="inlineStr">
        <is>
          <t>A 53031-2023</t>
        </is>
      </c>
      <c r="B477" s="1" t="n">
        <v>45226</v>
      </c>
      <c r="C477" s="1" t="n">
        <v>45587</v>
      </c>
      <c r="D477" t="inlineStr">
        <is>
          <t>DALARNAS LÄN</t>
        </is>
      </c>
      <c r="E477" t="inlineStr">
        <is>
          <t>HEDEMORA</t>
        </is>
      </c>
      <c r="F477" t="inlineStr">
        <is>
          <t>Sveaskog</t>
        </is>
      </c>
      <c r="G477" t="n">
        <v>6.9</v>
      </c>
      <c r="H477" t="n">
        <v>0</v>
      </c>
      <c r="I477" t="n">
        <v>0</v>
      </c>
      <c r="J477" t="n">
        <v>0</v>
      </c>
      <c r="K477" t="n">
        <v>0</v>
      </c>
      <c r="L477" t="n">
        <v>0</v>
      </c>
      <c r="M477" t="n">
        <v>0</v>
      </c>
      <c r="N477" t="n">
        <v>0</v>
      </c>
      <c r="O477" t="n">
        <v>0</v>
      </c>
      <c r="P477" t="n">
        <v>0</v>
      </c>
      <c r="Q477" t="n">
        <v>0</v>
      </c>
      <c r="R477" s="2" t="inlineStr"/>
    </row>
    <row r="478" ht="15" customHeight="1">
      <c r="A478" t="inlineStr">
        <is>
          <t>A 52967-2023</t>
        </is>
      </c>
      <c r="B478" s="1" t="n">
        <v>45226</v>
      </c>
      <c r="C478" s="1" t="n">
        <v>45587</v>
      </c>
      <c r="D478" t="inlineStr">
        <is>
          <t>DALARNAS LÄN</t>
        </is>
      </c>
      <c r="E478" t="inlineStr">
        <is>
          <t>HEDEMORA</t>
        </is>
      </c>
      <c r="F478" t="inlineStr">
        <is>
          <t>Bergvik skog väst AB</t>
        </is>
      </c>
      <c r="G478" t="n">
        <v>8.5</v>
      </c>
      <c r="H478" t="n">
        <v>0</v>
      </c>
      <c r="I478" t="n">
        <v>0</v>
      </c>
      <c r="J478" t="n">
        <v>0</v>
      </c>
      <c r="K478" t="n">
        <v>0</v>
      </c>
      <c r="L478" t="n">
        <v>0</v>
      </c>
      <c r="M478" t="n">
        <v>0</v>
      </c>
      <c r="N478" t="n">
        <v>0</v>
      </c>
      <c r="O478" t="n">
        <v>0</v>
      </c>
      <c r="P478" t="n">
        <v>0</v>
      </c>
      <c r="Q478" t="n">
        <v>0</v>
      </c>
      <c r="R478" s="2" t="inlineStr"/>
    </row>
    <row r="479" ht="15" customHeight="1">
      <c r="A479" t="inlineStr">
        <is>
          <t>A 53743-2023</t>
        </is>
      </c>
      <c r="B479" s="1" t="n">
        <v>45230</v>
      </c>
      <c r="C479" s="1" t="n">
        <v>45587</v>
      </c>
      <c r="D479" t="inlineStr">
        <is>
          <t>DALARNAS LÄN</t>
        </is>
      </c>
      <c r="E479" t="inlineStr">
        <is>
          <t>HEDEMORA</t>
        </is>
      </c>
      <c r="G479" t="n">
        <v>3.8</v>
      </c>
      <c r="H479" t="n">
        <v>0</v>
      </c>
      <c r="I479" t="n">
        <v>0</v>
      </c>
      <c r="J479" t="n">
        <v>0</v>
      </c>
      <c r="K479" t="n">
        <v>0</v>
      </c>
      <c r="L479" t="n">
        <v>0</v>
      </c>
      <c r="M479" t="n">
        <v>0</v>
      </c>
      <c r="N479" t="n">
        <v>0</v>
      </c>
      <c r="O479" t="n">
        <v>0</v>
      </c>
      <c r="P479" t="n">
        <v>0</v>
      </c>
      <c r="Q479" t="n">
        <v>0</v>
      </c>
      <c r="R479" s="2" t="inlineStr"/>
    </row>
    <row r="480" ht="15" customHeight="1">
      <c r="A480" t="inlineStr">
        <is>
          <t>A 53588-2023</t>
        </is>
      </c>
      <c r="B480" s="1" t="n">
        <v>45230</v>
      </c>
      <c r="C480" s="1" t="n">
        <v>45587</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53584-2023</t>
        </is>
      </c>
      <c r="B481" s="1" t="n">
        <v>45230</v>
      </c>
      <c r="C481" s="1" t="n">
        <v>45587</v>
      </c>
      <c r="D481" t="inlineStr">
        <is>
          <t>DALARNAS LÄN</t>
        </is>
      </c>
      <c r="E481" t="inlineStr">
        <is>
          <t>HEDEMORA</t>
        </is>
      </c>
      <c r="G481" t="n">
        <v>6.6</v>
      </c>
      <c r="H481" t="n">
        <v>0</v>
      </c>
      <c r="I481" t="n">
        <v>0</v>
      </c>
      <c r="J481" t="n">
        <v>0</v>
      </c>
      <c r="K481" t="n">
        <v>0</v>
      </c>
      <c r="L481" t="n">
        <v>0</v>
      </c>
      <c r="M481" t="n">
        <v>0</v>
      </c>
      <c r="N481" t="n">
        <v>0</v>
      </c>
      <c r="O481" t="n">
        <v>0</v>
      </c>
      <c r="P481" t="n">
        <v>0</v>
      </c>
      <c r="Q481" t="n">
        <v>0</v>
      </c>
      <c r="R481" s="2" t="inlineStr"/>
    </row>
    <row r="482" ht="15" customHeight="1">
      <c r="A482" t="inlineStr">
        <is>
          <t>A 53576-2023</t>
        </is>
      </c>
      <c r="B482" s="1" t="n">
        <v>45230</v>
      </c>
      <c r="C482" s="1" t="n">
        <v>45587</v>
      </c>
      <c r="D482" t="inlineStr">
        <is>
          <t>DALARNAS LÄN</t>
        </is>
      </c>
      <c r="E482" t="inlineStr">
        <is>
          <t>HEDEMORA</t>
        </is>
      </c>
      <c r="G482" t="n">
        <v>0.9</v>
      </c>
      <c r="H482" t="n">
        <v>0</v>
      </c>
      <c r="I482" t="n">
        <v>0</v>
      </c>
      <c r="J482" t="n">
        <v>0</v>
      </c>
      <c r="K482" t="n">
        <v>0</v>
      </c>
      <c r="L482" t="n">
        <v>0</v>
      </c>
      <c r="M482" t="n">
        <v>0</v>
      </c>
      <c r="N482" t="n">
        <v>0</v>
      </c>
      <c r="O482" t="n">
        <v>0</v>
      </c>
      <c r="P482" t="n">
        <v>0</v>
      </c>
      <c r="Q482" t="n">
        <v>0</v>
      </c>
      <c r="R482" s="2" t="inlineStr"/>
    </row>
    <row r="483" ht="15" customHeight="1">
      <c r="A483" t="inlineStr">
        <is>
          <t>A 53568-2023</t>
        </is>
      </c>
      <c r="B483" s="1" t="n">
        <v>45230</v>
      </c>
      <c r="C483" s="1" t="n">
        <v>45587</v>
      </c>
      <c r="D483" t="inlineStr">
        <is>
          <t>DALARNAS LÄN</t>
        </is>
      </c>
      <c r="E483" t="inlineStr">
        <is>
          <t>HEDEMORA</t>
        </is>
      </c>
      <c r="G483" t="n">
        <v>1.2</v>
      </c>
      <c r="H483" t="n">
        <v>0</v>
      </c>
      <c r="I483" t="n">
        <v>0</v>
      </c>
      <c r="J483" t="n">
        <v>0</v>
      </c>
      <c r="K483" t="n">
        <v>0</v>
      </c>
      <c r="L483" t="n">
        <v>0</v>
      </c>
      <c r="M483" t="n">
        <v>0</v>
      </c>
      <c r="N483" t="n">
        <v>0</v>
      </c>
      <c r="O483" t="n">
        <v>0</v>
      </c>
      <c r="P483" t="n">
        <v>0</v>
      </c>
      <c r="Q483" t="n">
        <v>0</v>
      </c>
      <c r="R483" s="2" t="inlineStr"/>
    </row>
    <row r="484" ht="15" customHeight="1">
      <c r="A484" t="inlineStr">
        <is>
          <t>A 53586-2023</t>
        </is>
      </c>
      <c r="B484" s="1" t="n">
        <v>45230</v>
      </c>
      <c r="C484" s="1" t="n">
        <v>45587</v>
      </c>
      <c r="D484" t="inlineStr">
        <is>
          <t>DALARNAS LÄN</t>
        </is>
      </c>
      <c r="E484" t="inlineStr">
        <is>
          <t>HEDEMORA</t>
        </is>
      </c>
      <c r="G484" t="n">
        <v>2.4</v>
      </c>
      <c r="H484" t="n">
        <v>0</v>
      </c>
      <c r="I484" t="n">
        <v>0</v>
      </c>
      <c r="J484" t="n">
        <v>0</v>
      </c>
      <c r="K484" t="n">
        <v>0</v>
      </c>
      <c r="L484" t="n">
        <v>0</v>
      </c>
      <c r="M484" t="n">
        <v>0</v>
      </c>
      <c r="N484" t="n">
        <v>0</v>
      </c>
      <c r="O484" t="n">
        <v>0</v>
      </c>
      <c r="P484" t="n">
        <v>0</v>
      </c>
      <c r="Q484" t="n">
        <v>0</v>
      </c>
      <c r="R484" s="2" t="inlineStr"/>
    </row>
    <row r="485" ht="15" customHeight="1">
      <c r="A485" t="inlineStr">
        <is>
          <t>A 54423-2023</t>
        </is>
      </c>
      <c r="B485" s="1" t="n">
        <v>45233</v>
      </c>
      <c r="C485" s="1" t="n">
        <v>45587</v>
      </c>
      <c r="D485" t="inlineStr">
        <is>
          <t>DALARNAS LÄN</t>
        </is>
      </c>
      <c r="E485" t="inlineStr">
        <is>
          <t>HEDEMORA</t>
        </is>
      </c>
      <c r="G485" t="n">
        <v>3.4</v>
      </c>
      <c r="H485" t="n">
        <v>0</v>
      </c>
      <c r="I485" t="n">
        <v>0</v>
      </c>
      <c r="J485" t="n">
        <v>0</v>
      </c>
      <c r="K485" t="n">
        <v>0</v>
      </c>
      <c r="L485" t="n">
        <v>0</v>
      </c>
      <c r="M485" t="n">
        <v>0</v>
      </c>
      <c r="N485" t="n">
        <v>0</v>
      </c>
      <c r="O485" t="n">
        <v>0</v>
      </c>
      <c r="P485" t="n">
        <v>0</v>
      </c>
      <c r="Q485" t="n">
        <v>0</v>
      </c>
      <c r="R485" s="2" t="inlineStr"/>
    </row>
    <row r="486" ht="15" customHeight="1">
      <c r="A486" t="inlineStr">
        <is>
          <t>A 54440-2023</t>
        </is>
      </c>
      <c r="B486" s="1" t="n">
        <v>45233</v>
      </c>
      <c r="C486" s="1" t="n">
        <v>45587</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55881-2023</t>
        </is>
      </c>
      <c r="B487" s="1" t="n">
        <v>45239</v>
      </c>
      <c r="C487" s="1" t="n">
        <v>45587</v>
      </c>
      <c r="D487" t="inlineStr">
        <is>
          <t>DALARNAS LÄN</t>
        </is>
      </c>
      <c r="E487" t="inlineStr">
        <is>
          <t>HEDEMORA</t>
        </is>
      </c>
      <c r="F487" t="inlineStr">
        <is>
          <t>Sveaskog</t>
        </is>
      </c>
      <c r="G487" t="n">
        <v>3.9</v>
      </c>
      <c r="H487" t="n">
        <v>0</v>
      </c>
      <c r="I487" t="n">
        <v>0</v>
      </c>
      <c r="J487" t="n">
        <v>0</v>
      </c>
      <c r="K487" t="n">
        <v>0</v>
      </c>
      <c r="L487" t="n">
        <v>0</v>
      </c>
      <c r="M487" t="n">
        <v>0</v>
      </c>
      <c r="N487" t="n">
        <v>0</v>
      </c>
      <c r="O487" t="n">
        <v>0</v>
      </c>
      <c r="P487" t="n">
        <v>0</v>
      </c>
      <c r="Q487" t="n">
        <v>0</v>
      </c>
      <c r="R487" s="2" t="inlineStr"/>
    </row>
    <row r="488" ht="15" customHeight="1">
      <c r="A488" t="inlineStr">
        <is>
          <t>A 55882-2023</t>
        </is>
      </c>
      <c r="B488" s="1" t="n">
        <v>45239</v>
      </c>
      <c r="C488" s="1" t="n">
        <v>45587</v>
      </c>
      <c r="D488" t="inlineStr">
        <is>
          <t>DALARNAS LÄN</t>
        </is>
      </c>
      <c r="E488" t="inlineStr">
        <is>
          <t>HEDEMORA</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55981-2023</t>
        </is>
      </c>
      <c r="B489" s="1" t="n">
        <v>45240</v>
      </c>
      <c r="C489" s="1" t="n">
        <v>45587</v>
      </c>
      <c r="D489" t="inlineStr">
        <is>
          <t>DALARNAS LÄN</t>
        </is>
      </c>
      <c r="E489" t="inlineStr">
        <is>
          <t>HEDEMORA</t>
        </is>
      </c>
      <c r="G489" t="n">
        <v>3.2</v>
      </c>
      <c r="H489" t="n">
        <v>0</v>
      </c>
      <c r="I489" t="n">
        <v>0</v>
      </c>
      <c r="J489" t="n">
        <v>0</v>
      </c>
      <c r="K489" t="n">
        <v>0</v>
      </c>
      <c r="L489" t="n">
        <v>0</v>
      </c>
      <c r="M489" t="n">
        <v>0</v>
      </c>
      <c r="N489" t="n">
        <v>0</v>
      </c>
      <c r="O489" t="n">
        <v>0</v>
      </c>
      <c r="P489" t="n">
        <v>0</v>
      </c>
      <c r="Q489" t="n">
        <v>0</v>
      </c>
      <c r="R489" s="2" t="inlineStr"/>
    </row>
    <row r="490" ht="15" customHeight="1">
      <c r="A490" t="inlineStr">
        <is>
          <t>A 57486-2023</t>
        </is>
      </c>
      <c r="B490" s="1" t="n">
        <v>45246</v>
      </c>
      <c r="C490" s="1" t="n">
        <v>45587</v>
      </c>
      <c r="D490" t="inlineStr">
        <is>
          <t>DALARNAS LÄN</t>
        </is>
      </c>
      <c r="E490" t="inlineStr">
        <is>
          <t>HEDEMORA</t>
        </is>
      </c>
      <c r="F490" t="inlineStr">
        <is>
          <t>Bergvik skog väst AB</t>
        </is>
      </c>
      <c r="G490" t="n">
        <v>4.2</v>
      </c>
      <c r="H490" t="n">
        <v>0</v>
      </c>
      <c r="I490" t="n">
        <v>0</v>
      </c>
      <c r="J490" t="n">
        <v>0</v>
      </c>
      <c r="K490" t="n">
        <v>0</v>
      </c>
      <c r="L490" t="n">
        <v>0</v>
      </c>
      <c r="M490" t="n">
        <v>0</v>
      </c>
      <c r="N490" t="n">
        <v>0</v>
      </c>
      <c r="O490" t="n">
        <v>0</v>
      </c>
      <c r="P490" t="n">
        <v>0</v>
      </c>
      <c r="Q490" t="n">
        <v>0</v>
      </c>
      <c r="R490" s="2" t="inlineStr"/>
    </row>
    <row r="491" ht="15" customHeight="1">
      <c r="A491" t="inlineStr">
        <is>
          <t>A 58841-2023</t>
        </is>
      </c>
      <c r="B491" s="1" t="n">
        <v>45252</v>
      </c>
      <c r="C491" s="1" t="n">
        <v>45587</v>
      </c>
      <c r="D491" t="inlineStr">
        <is>
          <t>DALARNAS LÄN</t>
        </is>
      </c>
      <c r="E491" t="inlineStr">
        <is>
          <t>HEDEMORA</t>
        </is>
      </c>
      <c r="G491" t="n">
        <v>14.8</v>
      </c>
      <c r="H491" t="n">
        <v>0</v>
      </c>
      <c r="I491" t="n">
        <v>0</v>
      </c>
      <c r="J491" t="n">
        <v>0</v>
      </c>
      <c r="K491" t="n">
        <v>0</v>
      </c>
      <c r="L491" t="n">
        <v>0</v>
      </c>
      <c r="M491" t="n">
        <v>0</v>
      </c>
      <c r="N491" t="n">
        <v>0</v>
      </c>
      <c r="O491" t="n">
        <v>0</v>
      </c>
      <c r="P491" t="n">
        <v>0</v>
      </c>
      <c r="Q491" t="n">
        <v>0</v>
      </c>
      <c r="R491" s="2" t="inlineStr"/>
    </row>
    <row r="492" ht="15" customHeight="1">
      <c r="A492" t="inlineStr">
        <is>
          <t>A 59249-2023</t>
        </is>
      </c>
      <c r="B492" s="1" t="n">
        <v>45253</v>
      </c>
      <c r="C492" s="1" t="n">
        <v>45587</v>
      </c>
      <c r="D492" t="inlineStr">
        <is>
          <t>DALARNAS LÄN</t>
        </is>
      </c>
      <c r="E492" t="inlineStr">
        <is>
          <t>HEDEMORA</t>
        </is>
      </c>
      <c r="G492" t="n">
        <v>1.2</v>
      </c>
      <c r="H492" t="n">
        <v>0</v>
      </c>
      <c r="I492" t="n">
        <v>0</v>
      </c>
      <c r="J492" t="n">
        <v>0</v>
      </c>
      <c r="K492" t="n">
        <v>0</v>
      </c>
      <c r="L492" t="n">
        <v>0</v>
      </c>
      <c r="M492" t="n">
        <v>0</v>
      </c>
      <c r="N492" t="n">
        <v>0</v>
      </c>
      <c r="O492" t="n">
        <v>0</v>
      </c>
      <c r="P492" t="n">
        <v>0</v>
      </c>
      <c r="Q492" t="n">
        <v>0</v>
      </c>
      <c r="R492" s="2" t="inlineStr"/>
    </row>
    <row r="493" ht="15" customHeight="1">
      <c r="A493" t="inlineStr">
        <is>
          <t>A 59235-2023</t>
        </is>
      </c>
      <c r="B493" s="1" t="n">
        <v>45253</v>
      </c>
      <c r="C493" s="1" t="n">
        <v>45587</v>
      </c>
      <c r="D493" t="inlineStr">
        <is>
          <t>DALARNAS LÄN</t>
        </is>
      </c>
      <c r="E493" t="inlineStr">
        <is>
          <t>HEDEMORA</t>
        </is>
      </c>
      <c r="G493" t="n">
        <v>2.4</v>
      </c>
      <c r="H493" t="n">
        <v>0</v>
      </c>
      <c r="I493" t="n">
        <v>0</v>
      </c>
      <c r="J493" t="n">
        <v>0</v>
      </c>
      <c r="K493" t="n">
        <v>0</v>
      </c>
      <c r="L493" t="n">
        <v>0</v>
      </c>
      <c r="M493" t="n">
        <v>0</v>
      </c>
      <c r="N493" t="n">
        <v>0</v>
      </c>
      <c r="O493" t="n">
        <v>0</v>
      </c>
      <c r="P493" t="n">
        <v>0</v>
      </c>
      <c r="Q493" t="n">
        <v>0</v>
      </c>
      <c r="R493" s="2" t="inlineStr"/>
    </row>
    <row r="494" ht="15" customHeight="1">
      <c r="A494" t="inlineStr">
        <is>
          <t>A 59140-2023</t>
        </is>
      </c>
      <c r="B494" s="1" t="n">
        <v>45253</v>
      </c>
      <c r="C494" s="1" t="n">
        <v>45587</v>
      </c>
      <c r="D494" t="inlineStr">
        <is>
          <t>DALARNAS LÄN</t>
        </is>
      </c>
      <c r="E494" t="inlineStr">
        <is>
          <t>HEDEMORA</t>
        </is>
      </c>
      <c r="F494" t="inlineStr">
        <is>
          <t>Sveaskog</t>
        </is>
      </c>
      <c r="G494" t="n">
        <v>6.7</v>
      </c>
      <c r="H494" t="n">
        <v>0</v>
      </c>
      <c r="I494" t="n">
        <v>0</v>
      </c>
      <c r="J494" t="n">
        <v>0</v>
      </c>
      <c r="K494" t="n">
        <v>0</v>
      </c>
      <c r="L494" t="n">
        <v>0</v>
      </c>
      <c r="M494" t="n">
        <v>0</v>
      </c>
      <c r="N494" t="n">
        <v>0</v>
      </c>
      <c r="O494" t="n">
        <v>0</v>
      </c>
      <c r="P494" t="n">
        <v>0</v>
      </c>
      <c r="Q494" t="n">
        <v>0</v>
      </c>
      <c r="R494" s="2" t="inlineStr"/>
    </row>
    <row r="495" ht="15" customHeight="1">
      <c r="A495" t="inlineStr">
        <is>
          <t>A 59232-2023</t>
        </is>
      </c>
      <c r="B495" s="1" t="n">
        <v>45253</v>
      </c>
      <c r="C495" s="1" t="n">
        <v>45587</v>
      </c>
      <c r="D495" t="inlineStr">
        <is>
          <t>DALARNAS LÄN</t>
        </is>
      </c>
      <c r="E495" t="inlineStr">
        <is>
          <t>HEDEMORA</t>
        </is>
      </c>
      <c r="G495" t="n">
        <v>3.7</v>
      </c>
      <c r="H495" t="n">
        <v>0</v>
      </c>
      <c r="I495" t="n">
        <v>0</v>
      </c>
      <c r="J495" t="n">
        <v>0</v>
      </c>
      <c r="K495" t="n">
        <v>0</v>
      </c>
      <c r="L495" t="n">
        <v>0</v>
      </c>
      <c r="M495" t="n">
        <v>0</v>
      </c>
      <c r="N495" t="n">
        <v>0</v>
      </c>
      <c r="O495" t="n">
        <v>0</v>
      </c>
      <c r="P495" t="n">
        <v>0</v>
      </c>
      <c r="Q495" t="n">
        <v>0</v>
      </c>
      <c r="R495" s="2" t="inlineStr"/>
    </row>
    <row r="496" ht="15" customHeight="1">
      <c r="A496" t="inlineStr">
        <is>
          <t>A 59515-2023</t>
        </is>
      </c>
      <c r="B496" s="1" t="n">
        <v>45253</v>
      </c>
      <c r="C496" s="1" t="n">
        <v>45587</v>
      </c>
      <c r="D496" t="inlineStr">
        <is>
          <t>DALARNAS LÄN</t>
        </is>
      </c>
      <c r="E496" t="inlineStr">
        <is>
          <t>HEDEMORA</t>
        </is>
      </c>
      <c r="G496" t="n">
        <v>5.1</v>
      </c>
      <c r="H496" t="n">
        <v>0</v>
      </c>
      <c r="I496" t="n">
        <v>0</v>
      </c>
      <c r="J496" t="n">
        <v>0</v>
      </c>
      <c r="K496" t="n">
        <v>0</v>
      </c>
      <c r="L496" t="n">
        <v>0</v>
      </c>
      <c r="M496" t="n">
        <v>0</v>
      </c>
      <c r="N496" t="n">
        <v>0</v>
      </c>
      <c r="O496" t="n">
        <v>0</v>
      </c>
      <c r="P496" t="n">
        <v>0</v>
      </c>
      <c r="Q496" t="n">
        <v>0</v>
      </c>
      <c r="R496" s="2" t="inlineStr"/>
    </row>
    <row r="497" ht="15" customHeight="1">
      <c r="A497" t="inlineStr">
        <is>
          <t>A 59519-2023</t>
        </is>
      </c>
      <c r="B497" s="1" t="n">
        <v>45253</v>
      </c>
      <c r="C497" s="1" t="n">
        <v>45587</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59632-2023</t>
        </is>
      </c>
      <c r="B498" s="1" t="n">
        <v>45254</v>
      </c>
      <c r="C498" s="1" t="n">
        <v>45587</v>
      </c>
      <c r="D498" t="inlineStr">
        <is>
          <t>DALARNAS LÄN</t>
        </is>
      </c>
      <c r="E498" t="inlineStr">
        <is>
          <t>HEDEMORA</t>
        </is>
      </c>
      <c r="G498" t="n">
        <v>1.4</v>
      </c>
      <c r="H498" t="n">
        <v>0</v>
      </c>
      <c r="I498" t="n">
        <v>0</v>
      </c>
      <c r="J498" t="n">
        <v>0</v>
      </c>
      <c r="K498" t="n">
        <v>0</v>
      </c>
      <c r="L498" t="n">
        <v>0</v>
      </c>
      <c r="M498" t="n">
        <v>0</v>
      </c>
      <c r="N498" t="n">
        <v>0</v>
      </c>
      <c r="O498" t="n">
        <v>0</v>
      </c>
      <c r="P498" t="n">
        <v>0</v>
      </c>
      <c r="Q498" t="n">
        <v>0</v>
      </c>
      <c r="R498" s="2" t="inlineStr"/>
    </row>
    <row r="499" ht="15" customHeight="1">
      <c r="A499" t="inlineStr">
        <is>
          <t>A 59728-2023</t>
        </is>
      </c>
      <c r="B499" s="1" t="n">
        <v>45257</v>
      </c>
      <c r="C499" s="1" t="n">
        <v>45587</v>
      </c>
      <c r="D499" t="inlineStr">
        <is>
          <t>DALARNAS LÄN</t>
        </is>
      </c>
      <c r="E499" t="inlineStr">
        <is>
          <t>HEDEMORA</t>
        </is>
      </c>
      <c r="G499" t="n">
        <v>3.7</v>
      </c>
      <c r="H499" t="n">
        <v>0</v>
      </c>
      <c r="I499" t="n">
        <v>0</v>
      </c>
      <c r="J499" t="n">
        <v>0</v>
      </c>
      <c r="K499" t="n">
        <v>0</v>
      </c>
      <c r="L499" t="n">
        <v>0</v>
      </c>
      <c r="M499" t="n">
        <v>0</v>
      </c>
      <c r="N499" t="n">
        <v>0</v>
      </c>
      <c r="O499" t="n">
        <v>0</v>
      </c>
      <c r="P499" t="n">
        <v>0</v>
      </c>
      <c r="Q499" t="n">
        <v>0</v>
      </c>
      <c r="R499" s="2" t="inlineStr"/>
    </row>
    <row r="500" ht="15" customHeight="1">
      <c r="A500" t="inlineStr">
        <is>
          <t>A 60496-2023</t>
        </is>
      </c>
      <c r="B500" s="1" t="n">
        <v>45259</v>
      </c>
      <c r="C500" s="1" t="n">
        <v>45587</v>
      </c>
      <c r="D500" t="inlineStr">
        <is>
          <t>DALARNAS LÄN</t>
        </is>
      </c>
      <c r="E500" t="inlineStr">
        <is>
          <t>HEDEMORA</t>
        </is>
      </c>
      <c r="G500" t="n">
        <v>0.8</v>
      </c>
      <c r="H500" t="n">
        <v>0</v>
      </c>
      <c r="I500" t="n">
        <v>0</v>
      </c>
      <c r="J500" t="n">
        <v>0</v>
      </c>
      <c r="K500" t="n">
        <v>0</v>
      </c>
      <c r="L500" t="n">
        <v>0</v>
      </c>
      <c r="M500" t="n">
        <v>0</v>
      </c>
      <c r="N500" t="n">
        <v>0</v>
      </c>
      <c r="O500" t="n">
        <v>0</v>
      </c>
      <c r="P500" t="n">
        <v>0</v>
      </c>
      <c r="Q500" t="n">
        <v>0</v>
      </c>
      <c r="R500" s="2" t="inlineStr"/>
      <c r="U500">
        <f>HYPERLINK("https://klasma.github.io/Logging_2083/knärot/A 60496-2023 karta knärot.png", "A 60496-2023")</f>
        <v/>
      </c>
      <c r="V500">
        <f>HYPERLINK("https://klasma.github.io/Logging_2083/klagomål/A 60496-2023 FSC-klagomål.docx", "A 60496-2023")</f>
        <v/>
      </c>
      <c r="W500">
        <f>HYPERLINK("https://klasma.github.io/Logging_2083/klagomålsmail/A 60496-2023 FSC-klagomål mail.docx", "A 60496-2023")</f>
        <v/>
      </c>
      <c r="X500">
        <f>HYPERLINK("https://klasma.github.io/Logging_2083/tillsyn/A 60496-2023 tillsynsbegäran.docx", "A 60496-2023")</f>
        <v/>
      </c>
      <c r="Y500">
        <f>HYPERLINK("https://klasma.github.io/Logging_2083/tillsynsmail/A 60496-2023 tillsynsbegäran mail.docx", "A 60496-2023")</f>
        <v/>
      </c>
    </row>
    <row r="501" ht="15" customHeight="1">
      <c r="A501" t="inlineStr">
        <is>
          <t>A 60767-2023</t>
        </is>
      </c>
      <c r="B501" s="1" t="n">
        <v>45260</v>
      </c>
      <c r="C501" s="1" t="n">
        <v>45587</v>
      </c>
      <c r="D501" t="inlineStr">
        <is>
          <t>DALARNAS LÄN</t>
        </is>
      </c>
      <c r="E501" t="inlineStr">
        <is>
          <t>HEDEMORA</t>
        </is>
      </c>
      <c r="G501" t="n">
        <v>3.9</v>
      </c>
      <c r="H501" t="n">
        <v>0</v>
      </c>
      <c r="I501" t="n">
        <v>0</v>
      </c>
      <c r="J501" t="n">
        <v>0</v>
      </c>
      <c r="K501" t="n">
        <v>0</v>
      </c>
      <c r="L501" t="n">
        <v>0</v>
      </c>
      <c r="M501" t="n">
        <v>0</v>
      </c>
      <c r="N501" t="n">
        <v>0</v>
      </c>
      <c r="O501" t="n">
        <v>0</v>
      </c>
      <c r="P501" t="n">
        <v>0</v>
      </c>
      <c r="Q501" t="n">
        <v>0</v>
      </c>
      <c r="R501" s="2" t="inlineStr"/>
    </row>
    <row r="502" ht="15" customHeight="1">
      <c r="A502" t="inlineStr">
        <is>
          <t>A 60806-2023</t>
        </is>
      </c>
      <c r="B502" s="1" t="n">
        <v>45260</v>
      </c>
      <c r="C502" s="1" t="n">
        <v>45587</v>
      </c>
      <c r="D502" t="inlineStr">
        <is>
          <t>DALARNAS LÄN</t>
        </is>
      </c>
      <c r="E502" t="inlineStr">
        <is>
          <t>HEDEMORA</t>
        </is>
      </c>
      <c r="G502" t="n">
        <v>1.7</v>
      </c>
      <c r="H502" t="n">
        <v>0</v>
      </c>
      <c r="I502" t="n">
        <v>0</v>
      </c>
      <c r="J502" t="n">
        <v>0</v>
      </c>
      <c r="K502" t="n">
        <v>0</v>
      </c>
      <c r="L502" t="n">
        <v>0</v>
      </c>
      <c r="M502" t="n">
        <v>0</v>
      </c>
      <c r="N502" t="n">
        <v>0</v>
      </c>
      <c r="O502" t="n">
        <v>0</v>
      </c>
      <c r="P502" t="n">
        <v>0</v>
      </c>
      <c r="Q502" t="n">
        <v>0</v>
      </c>
      <c r="R502" s="2" t="inlineStr"/>
    </row>
    <row r="503" ht="15" customHeight="1">
      <c r="A503" t="inlineStr">
        <is>
          <t>A 60786-2023</t>
        </is>
      </c>
      <c r="B503" s="1" t="n">
        <v>45260</v>
      </c>
      <c r="C503" s="1" t="n">
        <v>45587</v>
      </c>
      <c r="D503" t="inlineStr">
        <is>
          <t>DALARNAS LÄN</t>
        </is>
      </c>
      <c r="E503" t="inlineStr">
        <is>
          <t>HEDEMORA</t>
        </is>
      </c>
      <c r="G503" t="n">
        <v>7.1</v>
      </c>
      <c r="H503" t="n">
        <v>0</v>
      </c>
      <c r="I503" t="n">
        <v>0</v>
      </c>
      <c r="J503" t="n">
        <v>0</v>
      </c>
      <c r="K503" t="n">
        <v>0</v>
      </c>
      <c r="L503" t="n">
        <v>0</v>
      </c>
      <c r="M503" t="n">
        <v>0</v>
      </c>
      <c r="N503" t="n">
        <v>0</v>
      </c>
      <c r="O503" t="n">
        <v>0</v>
      </c>
      <c r="P503" t="n">
        <v>0</v>
      </c>
      <c r="Q503" t="n">
        <v>0</v>
      </c>
      <c r="R503" s="2" t="inlineStr"/>
    </row>
    <row r="504" ht="15" customHeight="1">
      <c r="A504" t="inlineStr">
        <is>
          <t>A 60811-2023</t>
        </is>
      </c>
      <c r="B504" s="1" t="n">
        <v>45260</v>
      </c>
      <c r="C504" s="1" t="n">
        <v>45587</v>
      </c>
      <c r="D504" t="inlineStr">
        <is>
          <t>DALARNAS LÄN</t>
        </is>
      </c>
      <c r="E504" t="inlineStr">
        <is>
          <t>HEDEMORA</t>
        </is>
      </c>
      <c r="G504" t="n">
        <v>3.9</v>
      </c>
      <c r="H504" t="n">
        <v>0</v>
      </c>
      <c r="I504" t="n">
        <v>0</v>
      </c>
      <c r="J504" t="n">
        <v>0</v>
      </c>
      <c r="K504" t="n">
        <v>0</v>
      </c>
      <c r="L504" t="n">
        <v>0</v>
      </c>
      <c r="M504" t="n">
        <v>0</v>
      </c>
      <c r="N504" t="n">
        <v>0</v>
      </c>
      <c r="O504" t="n">
        <v>0</v>
      </c>
      <c r="P504" t="n">
        <v>0</v>
      </c>
      <c r="Q504" t="n">
        <v>0</v>
      </c>
      <c r="R504" s="2" t="inlineStr"/>
    </row>
    <row r="505" ht="15" customHeight="1">
      <c r="A505" t="inlineStr">
        <is>
          <t>A 61671-2023</t>
        </is>
      </c>
      <c r="B505" s="1" t="n">
        <v>45265</v>
      </c>
      <c r="C505" s="1" t="n">
        <v>45587</v>
      </c>
      <c r="D505" t="inlineStr">
        <is>
          <t>DALARNAS LÄN</t>
        </is>
      </c>
      <c r="E505" t="inlineStr">
        <is>
          <t>HEDEMORA</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62054-2023</t>
        </is>
      </c>
      <c r="B506" s="1" t="n">
        <v>45265</v>
      </c>
      <c r="C506" s="1" t="n">
        <v>45587</v>
      </c>
      <c r="D506" t="inlineStr">
        <is>
          <t>DALARNAS LÄN</t>
        </is>
      </c>
      <c r="E506" t="inlineStr">
        <is>
          <t>HEDEMORA</t>
        </is>
      </c>
      <c r="G506" t="n">
        <v>2.3</v>
      </c>
      <c r="H506" t="n">
        <v>0</v>
      </c>
      <c r="I506" t="n">
        <v>0</v>
      </c>
      <c r="J506" t="n">
        <v>0</v>
      </c>
      <c r="K506" t="n">
        <v>0</v>
      </c>
      <c r="L506" t="n">
        <v>0</v>
      </c>
      <c r="M506" t="n">
        <v>0</v>
      </c>
      <c r="N506" t="n">
        <v>0</v>
      </c>
      <c r="O506" t="n">
        <v>0</v>
      </c>
      <c r="P506" t="n">
        <v>0</v>
      </c>
      <c r="Q506" t="n">
        <v>0</v>
      </c>
      <c r="R506" s="2" t="inlineStr"/>
    </row>
    <row r="507" ht="15" customHeight="1">
      <c r="A507" t="inlineStr">
        <is>
          <t>A 62188-2023</t>
        </is>
      </c>
      <c r="B507" s="1" t="n">
        <v>45267</v>
      </c>
      <c r="C507" s="1" t="n">
        <v>45587</v>
      </c>
      <c r="D507" t="inlineStr">
        <is>
          <t>DALARNAS LÄN</t>
        </is>
      </c>
      <c r="E507" t="inlineStr">
        <is>
          <t>HEDEMORA</t>
        </is>
      </c>
      <c r="G507" t="n">
        <v>2.1</v>
      </c>
      <c r="H507" t="n">
        <v>0</v>
      </c>
      <c r="I507" t="n">
        <v>0</v>
      </c>
      <c r="J507" t="n">
        <v>0</v>
      </c>
      <c r="K507" t="n">
        <v>0</v>
      </c>
      <c r="L507" t="n">
        <v>0</v>
      </c>
      <c r="M507" t="n">
        <v>0</v>
      </c>
      <c r="N507" t="n">
        <v>0</v>
      </c>
      <c r="O507" t="n">
        <v>0</v>
      </c>
      <c r="P507" t="n">
        <v>0</v>
      </c>
      <c r="Q507" t="n">
        <v>0</v>
      </c>
      <c r="R507" s="2" t="inlineStr"/>
    </row>
    <row r="508" ht="15" customHeight="1">
      <c r="A508" t="inlineStr">
        <is>
          <t>A 62386-2023</t>
        </is>
      </c>
      <c r="B508" s="1" t="n">
        <v>45268</v>
      </c>
      <c r="C508" s="1" t="n">
        <v>45587</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62401-2023</t>
        </is>
      </c>
      <c r="B509" s="1" t="n">
        <v>45268</v>
      </c>
      <c r="C509" s="1" t="n">
        <v>45587</v>
      </c>
      <c r="D509" t="inlineStr">
        <is>
          <t>DALARNAS LÄN</t>
        </is>
      </c>
      <c r="E509" t="inlineStr">
        <is>
          <t>HEDEMORA</t>
        </is>
      </c>
      <c r="G509" t="n">
        <v>1.6</v>
      </c>
      <c r="H509" t="n">
        <v>0</v>
      </c>
      <c r="I509" t="n">
        <v>0</v>
      </c>
      <c r="J509" t="n">
        <v>0</v>
      </c>
      <c r="K509" t="n">
        <v>0</v>
      </c>
      <c r="L509" t="n">
        <v>0</v>
      </c>
      <c r="M509" t="n">
        <v>0</v>
      </c>
      <c r="N509" t="n">
        <v>0</v>
      </c>
      <c r="O509" t="n">
        <v>0</v>
      </c>
      <c r="P509" t="n">
        <v>0</v>
      </c>
      <c r="Q509" t="n">
        <v>0</v>
      </c>
      <c r="R509" s="2" t="inlineStr"/>
    </row>
    <row r="510" ht="15" customHeight="1">
      <c r="A510" t="inlineStr">
        <is>
          <t>A 62398-2023</t>
        </is>
      </c>
      <c r="B510" s="1" t="n">
        <v>45268</v>
      </c>
      <c r="C510" s="1" t="n">
        <v>45587</v>
      </c>
      <c r="D510" t="inlineStr">
        <is>
          <t>DALARNAS LÄN</t>
        </is>
      </c>
      <c r="E510" t="inlineStr">
        <is>
          <t>HEDEMORA</t>
        </is>
      </c>
      <c r="G510" t="n">
        <v>2.1</v>
      </c>
      <c r="H510" t="n">
        <v>0</v>
      </c>
      <c r="I510" t="n">
        <v>0</v>
      </c>
      <c r="J510" t="n">
        <v>0</v>
      </c>
      <c r="K510" t="n">
        <v>0</v>
      </c>
      <c r="L510" t="n">
        <v>0</v>
      </c>
      <c r="M510" t="n">
        <v>0</v>
      </c>
      <c r="N510" t="n">
        <v>0</v>
      </c>
      <c r="O510" t="n">
        <v>0</v>
      </c>
      <c r="P510" t="n">
        <v>0</v>
      </c>
      <c r="Q510" t="n">
        <v>0</v>
      </c>
      <c r="R510" s="2" t="inlineStr"/>
    </row>
    <row r="511" ht="15" customHeight="1">
      <c r="A511" t="inlineStr">
        <is>
          <t>A 62374-2023</t>
        </is>
      </c>
      <c r="B511" s="1" t="n">
        <v>45268</v>
      </c>
      <c r="C511" s="1" t="n">
        <v>45587</v>
      </c>
      <c r="D511" t="inlineStr">
        <is>
          <t>DALARNAS LÄN</t>
        </is>
      </c>
      <c r="E511" t="inlineStr">
        <is>
          <t>HEDEMORA</t>
        </is>
      </c>
      <c r="G511" t="n">
        <v>2.5</v>
      </c>
      <c r="H511" t="n">
        <v>0</v>
      </c>
      <c r="I511" t="n">
        <v>0</v>
      </c>
      <c r="J511" t="n">
        <v>0</v>
      </c>
      <c r="K511" t="n">
        <v>0</v>
      </c>
      <c r="L511" t="n">
        <v>0</v>
      </c>
      <c r="M511" t="n">
        <v>0</v>
      </c>
      <c r="N511" t="n">
        <v>0</v>
      </c>
      <c r="O511" t="n">
        <v>0</v>
      </c>
      <c r="P511" t="n">
        <v>0</v>
      </c>
      <c r="Q511" t="n">
        <v>0</v>
      </c>
      <c r="R511" s="2" t="inlineStr"/>
    </row>
    <row r="512" ht="15" customHeight="1">
      <c r="A512" t="inlineStr">
        <is>
          <t>A 63543-2023</t>
        </is>
      </c>
      <c r="B512" s="1" t="n">
        <v>45275</v>
      </c>
      <c r="C512" s="1" t="n">
        <v>45587</v>
      </c>
      <c r="D512" t="inlineStr">
        <is>
          <t>DALARNAS LÄN</t>
        </is>
      </c>
      <c r="E512" t="inlineStr">
        <is>
          <t>HEDEMORA</t>
        </is>
      </c>
      <c r="G512" t="n">
        <v>1.3</v>
      </c>
      <c r="H512" t="n">
        <v>0</v>
      </c>
      <c r="I512" t="n">
        <v>0</v>
      </c>
      <c r="J512" t="n">
        <v>0</v>
      </c>
      <c r="K512" t="n">
        <v>0</v>
      </c>
      <c r="L512" t="n">
        <v>0</v>
      </c>
      <c r="M512" t="n">
        <v>0</v>
      </c>
      <c r="N512" t="n">
        <v>0</v>
      </c>
      <c r="O512" t="n">
        <v>0</v>
      </c>
      <c r="P512" t="n">
        <v>0</v>
      </c>
      <c r="Q512" t="n">
        <v>0</v>
      </c>
      <c r="R512" s="2" t="inlineStr"/>
    </row>
    <row r="513" ht="15" customHeight="1">
      <c r="A513" t="inlineStr">
        <is>
          <t>A 63925-2023</t>
        </is>
      </c>
      <c r="B513" s="1" t="n">
        <v>45278</v>
      </c>
      <c r="C513" s="1" t="n">
        <v>45587</v>
      </c>
      <c r="D513" t="inlineStr">
        <is>
          <t>DALARNAS LÄN</t>
        </is>
      </c>
      <c r="E513" t="inlineStr">
        <is>
          <t>HEDEMORA</t>
        </is>
      </c>
      <c r="G513" t="n">
        <v>5.2</v>
      </c>
      <c r="H513" t="n">
        <v>0</v>
      </c>
      <c r="I513" t="n">
        <v>0</v>
      </c>
      <c r="J513" t="n">
        <v>0</v>
      </c>
      <c r="K513" t="n">
        <v>0</v>
      </c>
      <c r="L513" t="n">
        <v>0</v>
      </c>
      <c r="M513" t="n">
        <v>0</v>
      </c>
      <c r="N513" t="n">
        <v>0</v>
      </c>
      <c r="O513" t="n">
        <v>0</v>
      </c>
      <c r="P513" t="n">
        <v>0</v>
      </c>
      <c r="Q513" t="n">
        <v>0</v>
      </c>
      <c r="R513" s="2" t="inlineStr"/>
    </row>
    <row r="514" ht="15" customHeight="1">
      <c r="A514" t="inlineStr">
        <is>
          <t>A 63929-2023</t>
        </is>
      </c>
      <c r="B514" s="1" t="n">
        <v>45278</v>
      </c>
      <c r="C514" s="1" t="n">
        <v>45587</v>
      </c>
      <c r="D514" t="inlineStr">
        <is>
          <t>DALARNAS LÄN</t>
        </is>
      </c>
      <c r="E514" t="inlineStr">
        <is>
          <t>HEDEMORA</t>
        </is>
      </c>
      <c r="G514" t="n">
        <v>0.4</v>
      </c>
      <c r="H514" t="n">
        <v>0</v>
      </c>
      <c r="I514" t="n">
        <v>0</v>
      </c>
      <c r="J514" t="n">
        <v>0</v>
      </c>
      <c r="K514" t="n">
        <v>0</v>
      </c>
      <c r="L514" t="n">
        <v>0</v>
      </c>
      <c r="M514" t="n">
        <v>0</v>
      </c>
      <c r="N514" t="n">
        <v>0</v>
      </c>
      <c r="O514" t="n">
        <v>0</v>
      </c>
      <c r="P514" t="n">
        <v>0</v>
      </c>
      <c r="Q514" t="n">
        <v>0</v>
      </c>
      <c r="R514" s="2" t="inlineStr"/>
    </row>
    <row r="515" ht="15" customHeight="1">
      <c r="A515" t="inlineStr">
        <is>
          <t>A 63941-2023</t>
        </is>
      </c>
      <c r="B515" s="1" t="n">
        <v>45278</v>
      </c>
      <c r="C515" s="1" t="n">
        <v>45587</v>
      </c>
      <c r="D515" t="inlineStr">
        <is>
          <t>DALARNAS LÄN</t>
        </is>
      </c>
      <c r="E515" t="inlineStr">
        <is>
          <t>HEDEMORA</t>
        </is>
      </c>
      <c r="G515" t="n">
        <v>1.1</v>
      </c>
      <c r="H515" t="n">
        <v>0</v>
      </c>
      <c r="I515" t="n">
        <v>0</v>
      </c>
      <c r="J515" t="n">
        <v>0</v>
      </c>
      <c r="K515" t="n">
        <v>0</v>
      </c>
      <c r="L515" t="n">
        <v>0</v>
      </c>
      <c r="M515" t="n">
        <v>0</v>
      </c>
      <c r="N515" t="n">
        <v>0</v>
      </c>
      <c r="O515" t="n">
        <v>0</v>
      </c>
      <c r="P515" t="n">
        <v>0</v>
      </c>
      <c r="Q515" t="n">
        <v>0</v>
      </c>
      <c r="R515" s="2" t="inlineStr"/>
    </row>
    <row r="516" ht="15" customHeight="1">
      <c r="A516" t="inlineStr">
        <is>
          <t>A 63926-2023</t>
        </is>
      </c>
      <c r="B516" s="1" t="n">
        <v>45278</v>
      </c>
      <c r="C516" s="1" t="n">
        <v>45587</v>
      </c>
      <c r="D516" t="inlineStr">
        <is>
          <t>DALARNAS LÄN</t>
        </is>
      </c>
      <c r="E516" t="inlineStr">
        <is>
          <t>HEDEMORA</t>
        </is>
      </c>
      <c r="G516" t="n">
        <v>5</v>
      </c>
      <c r="H516" t="n">
        <v>0</v>
      </c>
      <c r="I516" t="n">
        <v>0</v>
      </c>
      <c r="J516" t="n">
        <v>0</v>
      </c>
      <c r="K516" t="n">
        <v>0</v>
      </c>
      <c r="L516" t="n">
        <v>0</v>
      </c>
      <c r="M516" t="n">
        <v>0</v>
      </c>
      <c r="N516" t="n">
        <v>0</v>
      </c>
      <c r="O516" t="n">
        <v>0</v>
      </c>
      <c r="P516" t="n">
        <v>0</v>
      </c>
      <c r="Q516" t="n">
        <v>0</v>
      </c>
      <c r="R516" s="2" t="inlineStr"/>
    </row>
    <row r="517" ht="15" customHeight="1">
      <c r="A517" t="inlineStr">
        <is>
          <t>A 63911-2023</t>
        </is>
      </c>
      <c r="B517" s="1" t="n">
        <v>45278</v>
      </c>
      <c r="C517" s="1" t="n">
        <v>45587</v>
      </c>
      <c r="D517" t="inlineStr">
        <is>
          <t>DALARNAS LÄN</t>
        </is>
      </c>
      <c r="E517" t="inlineStr">
        <is>
          <t>HEDEMORA</t>
        </is>
      </c>
      <c r="G517" t="n">
        <v>8.9</v>
      </c>
      <c r="H517" t="n">
        <v>0</v>
      </c>
      <c r="I517" t="n">
        <v>0</v>
      </c>
      <c r="J517" t="n">
        <v>0</v>
      </c>
      <c r="K517" t="n">
        <v>0</v>
      </c>
      <c r="L517" t="n">
        <v>0</v>
      </c>
      <c r="M517" t="n">
        <v>0</v>
      </c>
      <c r="N517" t="n">
        <v>0</v>
      </c>
      <c r="O517" t="n">
        <v>0</v>
      </c>
      <c r="P517" t="n">
        <v>0</v>
      </c>
      <c r="Q517" t="n">
        <v>0</v>
      </c>
      <c r="R517" s="2" t="inlineStr"/>
    </row>
    <row r="518" ht="15" customHeight="1">
      <c r="A518" t="inlineStr">
        <is>
          <t>A 64276-2023</t>
        </is>
      </c>
      <c r="B518" s="1" t="n">
        <v>45280</v>
      </c>
      <c r="C518" s="1" t="n">
        <v>45587</v>
      </c>
      <c r="D518" t="inlineStr">
        <is>
          <t>DALARNAS LÄN</t>
        </is>
      </c>
      <c r="E518" t="inlineStr">
        <is>
          <t>HEDEMORA</t>
        </is>
      </c>
      <c r="G518" t="n">
        <v>3.5</v>
      </c>
      <c r="H518" t="n">
        <v>0</v>
      </c>
      <c r="I518" t="n">
        <v>0</v>
      </c>
      <c r="J518" t="n">
        <v>0</v>
      </c>
      <c r="K518" t="n">
        <v>0</v>
      </c>
      <c r="L518" t="n">
        <v>0</v>
      </c>
      <c r="M518" t="n">
        <v>0</v>
      </c>
      <c r="N518" t="n">
        <v>0</v>
      </c>
      <c r="O518" t="n">
        <v>0</v>
      </c>
      <c r="P518" t="n">
        <v>0</v>
      </c>
      <c r="Q518" t="n">
        <v>0</v>
      </c>
      <c r="R518" s="2" t="inlineStr"/>
    </row>
    <row r="519" ht="15" customHeight="1">
      <c r="A519" t="inlineStr">
        <is>
          <t>A 64965-2023</t>
        </is>
      </c>
      <c r="B519" s="1" t="n">
        <v>45283</v>
      </c>
      <c r="C519" s="1" t="n">
        <v>45587</v>
      </c>
      <c r="D519" t="inlineStr">
        <is>
          <t>DALARNAS LÄN</t>
        </is>
      </c>
      <c r="E519" t="inlineStr">
        <is>
          <t>HEDEMORA</t>
        </is>
      </c>
      <c r="G519" t="n">
        <v>6</v>
      </c>
      <c r="H519" t="n">
        <v>0</v>
      </c>
      <c r="I519" t="n">
        <v>0</v>
      </c>
      <c r="J519" t="n">
        <v>0</v>
      </c>
      <c r="K519" t="n">
        <v>0</v>
      </c>
      <c r="L519" t="n">
        <v>0</v>
      </c>
      <c r="M519" t="n">
        <v>0</v>
      </c>
      <c r="N519" t="n">
        <v>0</v>
      </c>
      <c r="O519" t="n">
        <v>0</v>
      </c>
      <c r="P519" t="n">
        <v>0</v>
      </c>
      <c r="Q519" t="n">
        <v>0</v>
      </c>
      <c r="R519" s="2" t="inlineStr"/>
    </row>
    <row r="520" ht="15" customHeight="1">
      <c r="A520" t="inlineStr">
        <is>
          <t>A 64964-2023</t>
        </is>
      </c>
      <c r="B520" s="1" t="n">
        <v>45283</v>
      </c>
      <c r="C520" s="1" t="n">
        <v>45587</v>
      </c>
      <c r="D520" t="inlineStr">
        <is>
          <t>DALARNAS LÄN</t>
        </is>
      </c>
      <c r="E520" t="inlineStr">
        <is>
          <t>HEDEMORA</t>
        </is>
      </c>
      <c r="G520" t="n">
        <v>0.9</v>
      </c>
      <c r="H520" t="n">
        <v>0</v>
      </c>
      <c r="I520" t="n">
        <v>0</v>
      </c>
      <c r="J520" t="n">
        <v>0</v>
      </c>
      <c r="K520" t="n">
        <v>0</v>
      </c>
      <c r="L520" t="n">
        <v>0</v>
      </c>
      <c r="M520" t="n">
        <v>0</v>
      </c>
      <c r="N520" t="n">
        <v>0</v>
      </c>
      <c r="O520" t="n">
        <v>0</v>
      </c>
      <c r="P520" t="n">
        <v>0</v>
      </c>
      <c r="Q520" t="n">
        <v>0</v>
      </c>
      <c r="R520" s="2" t="inlineStr"/>
    </row>
    <row r="521" ht="15" customHeight="1">
      <c r="A521" t="inlineStr">
        <is>
          <t>A 65057-2023</t>
        </is>
      </c>
      <c r="B521" s="1" t="n">
        <v>45287</v>
      </c>
      <c r="C521" s="1" t="n">
        <v>45587</v>
      </c>
      <c r="D521" t="inlineStr">
        <is>
          <t>DALARNAS LÄN</t>
        </is>
      </c>
      <c r="E521" t="inlineStr">
        <is>
          <t>HEDEMORA</t>
        </is>
      </c>
      <c r="G521" t="n">
        <v>1.8</v>
      </c>
      <c r="H521" t="n">
        <v>0</v>
      </c>
      <c r="I521" t="n">
        <v>0</v>
      </c>
      <c r="J521" t="n">
        <v>0</v>
      </c>
      <c r="K521" t="n">
        <v>0</v>
      </c>
      <c r="L521" t="n">
        <v>0</v>
      </c>
      <c r="M521" t="n">
        <v>0</v>
      </c>
      <c r="N521" t="n">
        <v>0</v>
      </c>
      <c r="O521" t="n">
        <v>0</v>
      </c>
      <c r="P521" t="n">
        <v>0</v>
      </c>
      <c r="Q521" t="n">
        <v>0</v>
      </c>
      <c r="R521" s="2" t="inlineStr"/>
    </row>
    <row r="522" ht="15" customHeight="1">
      <c r="A522" t="inlineStr">
        <is>
          <t>A 385-2024</t>
        </is>
      </c>
      <c r="B522" s="1" t="n">
        <v>45296</v>
      </c>
      <c r="C522" s="1" t="n">
        <v>45587</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1072-2024</t>
        </is>
      </c>
      <c r="B523" s="1" t="n">
        <v>45302</v>
      </c>
      <c r="C523" s="1" t="n">
        <v>45587</v>
      </c>
      <c r="D523" t="inlineStr">
        <is>
          <t>DALARNAS LÄN</t>
        </is>
      </c>
      <c r="E523" t="inlineStr">
        <is>
          <t>HEDEMORA</t>
        </is>
      </c>
      <c r="G523" t="n">
        <v>1.8</v>
      </c>
      <c r="H523" t="n">
        <v>0</v>
      </c>
      <c r="I523" t="n">
        <v>0</v>
      </c>
      <c r="J523" t="n">
        <v>0</v>
      </c>
      <c r="K523" t="n">
        <v>0</v>
      </c>
      <c r="L523" t="n">
        <v>0</v>
      </c>
      <c r="M523" t="n">
        <v>0</v>
      </c>
      <c r="N523" t="n">
        <v>0</v>
      </c>
      <c r="O523" t="n">
        <v>0</v>
      </c>
      <c r="P523" t="n">
        <v>0</v>
      </c>
      <c r="Q523" t="n">
        <v>0</v>
      </c>
      <c r="R523" s="2" t="inlineStr"/>
    </row>
    <row r="524" ht="15" customHeight="1">
      <c r="A524" t="inlineStr">
        <is>
          <t>A 1168-2024</t>
        </is>
      </c>
      <c r="B524" s="1" t="n">
        <v>45302</v>
      </c>
      <c r="C524" s="1" t="n">
        <v>45587</v>
      </c>
      <c r="D524" t="inlineStr">
        <is>
          <t>DALARNAS LÄN</t>
        </is>
      </c>
      <c r="E524" t="inlineStr">
        <is>
          <t>HEDEMORA</t>
        </is>
      </c>
      <c r="G524" t="n">
        <v>1.4</v>
      </c>
      <c r="H524" t="n">
        <v>0</v>
      </c>
      <c r="I524" t="n">
        <v>0</v>
      </c>
      <c r="J524" t="n">
        <v>0</v>
      </c>
      <c r="K524" t="n">
        <v>0</v>
      </c>
      <c r="L524" t="n">
        <v>0</v>
      </c>
      <c r="M524" t="n">
        <v>0</v>
      </c>
      <c r="N524" t="n">
        <v>0</v>
      </c>
      <c r="O524" t="n">
        <v>0</v>
      </c>
      <c r="P524" t="n">
        <v>0</v>
      </c>
      <c r="Q524" t="n">
        <v>0</v>
      </c>
      <c r="R524" s="2" t="inlineStr"/>
    </row>
    <row r="525" ht="15" customHeight="1">
      <c r="A525" t="inlineStr">
        <is>
          <t>A 2915-2024</t>
        </is>
      </c>
      <c r="B525" s="1" t="n">
        <v>45315</v>
      </c>
      <c r="C525" s="1" t="n">
        <v>45587</v>
      </c>
      <c r="D525" t="inlineStr">
        <is>
          <t>DALARNAS LÄN</t>
        </is>
      </c>
      <c r="E525" t="inlineStr">
        <is>
          <t>HEDEMORA</t>
        </is>
      </c>
      <c r="G525" t="n">
        <v>2</v>
      </c>
      <c r="H525" t="n">
        <v>0</v>
      </c>
      <c r="I525" t="n">
        <v>0</v>
      </c>
      <c r="J525" t="n">
        <v>0</v>
      </c>
      <c r="K525" t="n">
        <v>0</v>
      </c>
      <c r="L525" t="n">
        <v>0</v>
      </c>
      <c r="M525" t="n">
        <v>0</v>
      </c>
      <c r="N525" t="n">
        <v>0</v>
      </c>
      <c r="O525" t="n">
        <v>0</v>
      </c>
      <c r="P525" t="n">
        <v>0</v>
      </c>
      <c r="Q525" t="n">
        <v>0</v>
      </c>
      <c r="R525" s="2" t="inlineStr"/>
    </row>
    <row r="526" ht="15" customHeight="1">
      <c r="A526" t="inlineStr">
        <is>
          <t>A 3089-2024</t>
        </is>
      </c>
      <c r="B526" s="1" t="n">
        <v>45316</v>
      </c>
      <c r="C526" s="1" t="n">
        <v>45587</v>
      </c>
      <c r="D526" t="inlineStr">
        <is>
          <t>DALARNAS LÄN</t>
        </is>
      </c>
      <c r="E526" t="inlineStr">
        <is>
          <t>HEDEMORA</t>
        </is>
      </c>
      <c r="G526" t="n">
        <v>5.5</v>
      </c>
      <c r="H526" t="n">
        <v>0</v>
      </c>
      <c r="I526" t="n">
        <v>0</v>
      </c>
      <c r="J526" t="n">
        <v>0</v>
      </c>
      <c r="K526" t="n">
        <v>0</v>
      </c>
      <c r="L526" t="n">
        <v>0</v>
      </c>
      <c r="M526" t="n">
        <v>0</v>
      </c>
      <c r="N526" t="n">
        <v>0</v>
      </c>
      <c r="O526" t="n">
        <v>0</v>
      </c>
      <c r="P526" t="n">
        <v>0</v>
      </c>
      <c r="Q526" t="n">
        <v>0</v>
      </c>
      <c r="R526" s="2" t="inlineStr"/>
    </row>
    <row r="527" ht="15" customHeight="1">
      <c r="A527" t="inlineStr">
        <is>
          <t>A 4391-2024</t>
        </is>
      </c>
      <c r="B527" s="1" t="n">
        <v>45327</v>
      </c>
      <c r="C527" s="1" t="n">
        <v>45587</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6210-2024</t>
        </is>
      </c>
      <c r="B528" s="1" t="n">
        <v>45337</v>
      </c>
      <c r="C528" s="1" t="n">
        <v>45587</v>
      </c>
      <c r="D528" t="inlineStr">
        <is>
          <t>DALARNAS LÄN</t>
        </is>
      </c>
      <c r="E528" t="inlineStr">
        <is>
          <t>HEDEMORA</t>
        </is>
      </c>
      <c r="G528" t="n">
        <v>2.6</v>
      </c>
      <c r="H528" t="n">
        <v>0</v>
      </c>
      <c r="I528" t="n">
        <v>0</v>
      </c>
      <c r="J528" t="n">
        <v>0</v>
      </c>
      <c r="K528" t="n">
        <v>0</v>
      </c>
      <c r="L528" t="n">
        <v>0</v>
      </c>
      <c r="M528" t="n">
        <v>0</v>
      </c>
      <c r="N528" t="n">
        <v>0</v>
      </c>
      <c r="O528" t="n">
        <v>0</v>
      </c>
      <c r="P528" t="n">
        <v>0</v>
      </c>
      <c r="Q528" t="n">
        <v>0</v>
      </c>
      <c r="R528" s="2" t="inlineStr"/>
    </row>
    <row r="529" ht="15" customHeight="1">
      <c r="A529" t="inlineStr">
        <is>
          <t>A 6880-2024</t>
        </is>
      </c>
      <c r="B529" s="1" t="n">
        <v>45342</v>
      </c>
      <c r="C529" s="1" t="n">
        <v>45587</v>
      </c>
      <c r="D529" t="inlineStr">
        <is>
          <t>DALARNAS LÄN</t>
        </is>
      </c>
      <c r="E529" t="inlineStr">
        <is>
          <t>HEDEMORA</t>
        </is>
      </c>
      <c r="G529" t="n">
        <v>4.1</v>
      </c>
      <c r="H529" t="n">
        <v>0</v>
      </c>
      <c r="I529" t="n">
        <v>0</v>
      </c>
      <c r="J529" t="n">
        <v>0</v>
      </c>
      <c r="K529" t="n">
        <v>0</v>
      </c>
      <c r="L529" t="n">
        <v>0</v>
      </c>
      <c r="M529" t="n">
        <v>0</v>
      </c>
      <c r="N529" t="n">
        <v>0</v>
      </c>
      <c r="O529" t="n">
        <v>0</v>
      </c>
      <c r="P529" t="n">
        <v>0</v>
      </c>
      <c r="Q529" t="n">
        <v>0</v>
      </c>
      <c r="R529" s="2" t="inlineStr"/>
    </row>
    <row r="530" ht="15" customHeight="1">
      <c r="A530" t="inlineStr">
        <is>
          <t>A 6881-2024</t>
        </is>
      </c>
      <c r="B530" s="1" t="n">
        <v>45342</v>
      </c>
      <c r="C530" s="1" t="n">
        <v>45587</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7914-2024</t>
        </is>
      </c>
      <c r="B531" s="1" t="n">
        <v>45350</v>
      </c>
      <c r="C531" s="1" t="n">
        <v>45587</v>
      </c>
      <c r="D531" t="inlineStr">
        <is>
          <t>DALARNAS LÄN</t>
        </is>
      </c>
      <c r="E531" t="inlineStr">
        <is>
          <t>HEDEMORA</t>
        </is>
      </c>
      <c r="G531" t="n">
        <v>4.1</v>
      </c>
      <c r="H531" t="n">
        <v>0</v>
      </c>
      <c r="I531" t="n">
        <v>0</v>
      </c>
      <c r="J531" t="n">
        <v>0</v>
      </c>
      <c r="K531" t="n">
        <v>0</v>
      </c>
      <c r="L531" t="n">
        <v>0</v>
      </c>
      <c r="M531" t="n">
        <v>0</v>
      </c>
      <c r="N531" t="n">
        <v>0</v>
      </c>
      <c r="O531" t="n">
        <v>0</v>
      </c>
      <c r="P531" t="n">
        <v>0</v>
      </c>
      <c r="Q531" t="n">
        <v>0</v>
      </c>
      <c r="R531" s="2" t="inlineStr"/>
    </row>
    <row r="532" ht="15" customHeight="1">
      <c r="A532" t="inlineStr">
        <is>
          <t>A 7916-2024</t>
        </is>
      </c>
      <c r="B532" s="1" t="n">
        <v>45350</v>
      </c>
      <c r="C532" s="1" t="n">
        <v>45587</v>
      </c>
      <c r="D532" t="inlineStr">
        <is>
          <t>DALARNAS LÄN</t>
        </is>
      </c>
      <c r="E532" t="inlineStr">
        <is>
          <t>HEDEMORA</t>
        </is>
      </c>
      <c r="G532" t="n">
        <v>5.8</v>
      </c>
      <c r="H532" t="n">
        <v>0</v>
      </c>
      <c r="I532" t="n">
        <v>0</v>
      </c>
      <c r="J532" t="n">
        <v>0</v>
      </c>
      <c r="K532" t="n">
        <v>0</v>
      </c>
      <c r="L532" t="n">
        <v>0</v>
      </c>
      <c r="M532" t="n">
        <v>0</v>
      </c>
      <c r="N532" t="n">
        <v>0</v>
      </c>
      <c r="O532" t="n">
        <v>0</v>
      </c>
      <c r="P532" t="n">
        <v>0</v>
      </c>
      <c r="Q532" t="n">
        <v>0</v>
      </c>
      <c r="R532" s="2" t="inlineStr"/>
    </row>
    <row r="533" ht="15" customHeight="1">
      <c r="A533" t="inlineStr">
        <is>
          <t>A 9314-2024</t>
        </is>
      </c>
      <c r="B533" s="1" t="n">
        <v>45358</v>
      </c>
      <c r="C533" s="1" t="n">
        <v>45587</v>
      </c>
      <c r="D533" t="inlineStr">
        <is>
          <t>DALARNAS LÄN</t>
        </is>
      </c>
      <c r="E533" t="inlineStr">
        <is>
          <t>HEDEMORA</t>
        </is>
      </c>
      <c r="G533" t="n">
        <v>1.4</v>
      </c>
      <c r="H533" t="n">
        <v>0</v>
      </c>
      <c r="I533" t="n">
        <v>0</v>
      </c>
      <c r="J533" t="n">
        <v>0</v>
      </c>
      <c r="K533" t="n">
        <v>0</v>
      </c>
      <c r="L533" t="n">
        <v>0</v>
      </c>
      <c r="M533" t="n">
        <v>0</v>
      </c>
      <c r="N533" t="n">
        <v>0</v>
      </c>
      <c r="O533" t="n">
        <v>0</v>
      </c>
      <c r="P533" t="n">
        <v>0</v>
      </c>
      <c r="Q533" t="n">
        <v>0</v>
      </c>
      <c r="R533" s="2" t="inlineStr"/>
    </row>
    <row r="534" ht="15" customHeight="1">
      <c r="A534" t="inlineStr">
        <is>
          <t>A 9313-2024</t>
        </is>
      </c>
      <c r="B534" s="1" t="n">
        <v>45358</v>
      </c>
      <c r="C534" s="1" t="n">
        <v>45587</v>
      </c>
      <c r="D534" t="inlineStr">
        <is>
          <t>DALARNAS LÄN</t>
        </is>
      </c>
      <c r="E534" t="inlineStr">
        <is>
          <t>HEDEMORA</t>
        </is>
      </c>
      <c r="G534" t="n">
        <v>1.2</v>
      </c>
      <c r="H534" t="n">
        <v>0</v>
      </c>
      <c r="I534" t="n">
        <v>0</v>
      </c>
      <c r="J534" t="n">
        <v>0</v>
      </c>
      <c r="K534" t="n">
        <v>0</v>
      </c>
      <c r="L534" t="n">
        <v>0</v>
      </c>
      <c r="M534" t="n">
        <v>0</v>
      </c>
      <c r="N534" t="n">
        <v>0</v>
      </c>
      <c r="O534" t="n">
        <v>0</v>
      </c>
      <c r="P534" t="n">
        <v>0</v>
      </c>
      <c r="Q534" t="n">
        <v>0</v>
      </c>
      <c r="R534" s="2" t="inlineStr"/>
    </row>
    <row r="535" ht="15" customHeight="1">
      <c r="A535" t="inlineStr">
        <is>
          <t>A 12126-2024</t>
        </is>
      </c>
      <c r="B535" s="1" t="n">
        <v>45377</v>
      </c>
      <c r="C535" s="1" t="n">
        <v>45587</v>
      </c>
      <c r="D535" t="inlineStr">
        <is>
          <t>DALARNAS LÄN</t>
        </is>
      </c>
      <c r="E535" t="inlineStr">
        <is>
          <t>HEDEMORA</t>
        </is>
      </c>
      <c r="G535" t="n">
        <v>1.5</v>
      </c>
      <c r="H535" t="n">
        <v>0</v>
      </c>
      <c r="I535" t="n">
        <v>0</v>
      </c>
      <c r="J535" t="n">
        <v>0</v>
      </c>
      <c r="K535" t="n">
        <v>0</v>
      </c>
      <c r="L535" t="n">
        <v>0</v>
      </c>
      <c r="M535" t="n">
        <v>0</v>
      </c>
      <c r="N535" t="n">
        <v>0</v>
      </c>
      <c r="O535" t="n">
        <v>0</v>
      </c>
      <c r="P535" t="n">
        <v>0</v>
      </c>
      <c r="Q535" t="n">
        <v>0</v>
      </c>
      <c r="R535" s="2" t="inlineStr"/>
    </row>
    <row r="536" ht="15" customHeight="1">
      <c r="A536" t="inlineStr">
        <is>
          <t>A 12030-2024</t>
        </is>
      </c>
      <c r="B536" s="1" t="n">
        <v>45377</v>
      </c>
      <c r="C536" s="1" t="n">
        <v>45587</v>
      </c>
      <c r="D536" t="inlineStr">
        <is>
          <t>DALARNAS LÄN</t>
        </is>
      </c>
      <c r="E536" t="inlineStr">
        <is>
          <t>HEDEMORA</t>
        </is>
      </c>
      <c r="G536" t="n">
        <v>0.7</v>
      </c>
      <c r="H536" t="n">
        <v>0</v>
      </c>
      <c r="I536" t="n">
        <v>0</v>
      </c>
      <c r="J536" t="n">
        <v>0</v>
      </c>
      <c r="K536" t="n">
        <v>0</v>
      </c>
      <c r="L536" t="n">
        <v>0</v>
      </c>
      <c r="M536" t="n">
        <v>0</v>
      </c>
      <c r="N536" t="n">
        <v>0</v>
      </c>
      <c r="O536" t="n">
        <v>0</v>
      </c>
      <c r="P536" t="n">
        <v>0</v>
      </c>
      <c r="Q536" t="n">
        <v>0</v>
      </c>
      <c r="R536" s="2" t="inlineStr"/>
    </row>
    <row r="537" ht="15" customHeight="1">
      <c r="A537" t="inlineStr">
        <is>
          <t>A 13657-2024</t>
        </is>
      </c>
      <c r="B537" s="1" t="n">
        <v>45390</v>
      </c>
      <c r="C537" s="1" t="n">
        <v>45587</v>
      </c>
      <c r="D537" t="inlineStr">
        <is>
          <t>DALARNAS LÄN</t>
        </is>
      </c>
      <c r="E537" t="inlineStr">
        <is>
          <t>HEDEMORA</t>
        </is>
      </c>
      <c r="G537" t="n">
        <v>3.1</v>
      </c>
      <c r="H537" t="n">
        <v>0</v>
      </c>
      <c r="I537" t="n">
        <v>0</v>
      </c>
      <c r="J537" t="n">
        <v>0</v>
      </c>
      <c r="K537" t="n">
        <v>0</v>
      </c>
      <c r="L537" t="n">
        <v>0</v>
      </c>
      <c r="M537" t="n">
        <v>0</v>
      </c>
      <c r="N537" t="n">
        <v>0</v>
      </c>
      <c r="O537" t="n">
        <v>0</v>
      </c>
      <c r="P537" t="n">
        <v>0</v>
      </c>
      <c r="Q537" t="n">
        <v>0</v>
      </c>
      <c r="R537" s="2" t="inlineStr"/>
    </row>
    <row r="538" ht="15" customHeight="1">
      <c r="A538" t="inlineStr">
        <is>
          <t>A 14120-2024</t>
        </is>
      </c>
      <c r="B538" s="1" t="n">
        <v>45392</v>
      </c>
      <c r="C538" s="1" t="n">
        <v>45587</v>
      </c>
      <c r="D538" t="inlineStr">
        <is>
          <t>DALARNAS LÄN</t>
        </is>
      </c>
      <c r="E538" t="inlineStr">
        <is>
          <t>HEDEMORA</t>
        </is>
      </c>
      <c r="G538" t="n">
        <v>1.2</v>
      </c>
      <c r="H538" t="n">
        <v>0</v>
      </c>
      <c r="I538" t="n">
        <v>0</v>
      </c>
      <c r="J538" t="n">
        <v>0</v>
      </c>
      <c r="K538" t="n">
        <v>0</v>
      </c>
      <c r="L538" t="n">
        <v>0</v>
      </c>
      <c r="M538" t="n">
        <v>0</v>
      </c>
      <c r="N538" t="n">
        <v>0</v>
      </c>
      <c r="O538" t="n">
        <v>0</v>
      </c>
      <c r="P538" t="n">
        <v>0</v>
      </c>
      <c r="Q538" t="n">
        <v>0</v>
      </c>
      <c r="R538" s="2" t="inlineStr"/>
    </row>
    <row r="539" ht="15" customHeight="1">
      <c r="A539" t="inlineStr">
        <is>
          <t>A 15345-2024</t>
        </is>
      </c>
      <c r="B539" s="1" t="n">
        <v>45400</v>
      </c>
      <c r="C539" s="1" t="n">
        <v>45587</v>
      </c>
      <c r="D539" t="inlineStr">
        <is>
          <t>DALARNAS LÄN</t>
        </is>
      </c>
      <c r="E539" t="inlineStr">
        <is>
          <t>HEDEMORA</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16413-2024</t>
        </is>
      </c>
      <c r="B540" s="1" t="n">
        <v>45407</v>
      </c>
      <c r="C540" s="1" t="n">
        <v>45587</v>
      </c>
      <c r="D540" t="inlineStr">
        <is>
          <t>DALARNAS LÄN</t>
        </is>
      </c>
      <c r="E540" t="inlineStr">
        <is>
          <t>HEDEMORA</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16410-2024</t>
        </is>
      </c>
      <c r="B541" s="1" t="n">
        <v>45407</v>
      </c>
      <c r="C541" s="1" t="n">
        <v>45587</v>
      </c>
      <c r="D541" t="inlineStr">
        <is>
          <t>DALARNAS LÄN</t>
        </is>
      </c>
      <c r="E541" t="inlineStr">
        <is>
          <t>HEDEMORA</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16408-2024</t>
        </is>
      </c>
      <c r="B542" s="1" t="n">
        <v>45407</v>
      </c>
      <c r="C542" s="1" t="n">
        <v>45587</v>
      </c>
      <c r="D542" t="inlineStr">
        <is>
          <t>DALARNAS LÄN</t>
        </is>
      </c>
      <c r="E542" t="inlineStr">
        <is>
          <t>HEDEMORA</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18223-2024</t>
        </is>
      </c>
      <c r="B543" s="1" t="n">
        <v>45421</v>
      </c>
      <c r="C543" s="1" t="n">
        <v>45587</v>
      </c>
      <c r="D543" t="inlineStr">
        <is>
          <t>DALARNAS LÄN</t>
        </is>
      </c>
      <c r="E543" t="inlineStr">
        <is>
          <t>HEDEMORA</t>
        </is>
      </c>
      <c r="F543" t="inlineStr">
        <is>
          <t>Sveaskog</t>
        </is>
      </c>
      <c r="G543" t="n">
        <v>29.8</v>
      </c>
      <c r="H543" t="n">
        <v>0</v>
      </c>
      <c r="I543" t="n">
        <v>0</v>
      </c>
      <c r="J543" t="n">
        <v>0</v>
      </c>
      <c r="K543" t="n">
        <v>0</v>
      </c>
      <c r="L543" t="n">
        <v>0</v>
      </c>
      <c r="M543" t="n">
        <v>0</v>
      </c>
      <c r="N543" t="n">
        <v>0</v>
      </c>
      <c r="O543" t="n">
        <v>0</v>
      </c>
      <c r="P543" t="n">
        <v>0</v>
      </c>
      <c r="Q543" t="n">
        <v>0</v>
      </c>
      <c r="R543" s="2" t="inlineStr"/>
    </row>
    <row r="544" ht="15" customHeight="1">
      <c r="A544" t="inlineStr">
        <is>
          <t>A 18699-2024</t>
        </is>
      </c>
      <c r="B544" s="1" t="n">
        <v>45426</v>
      </c>
      <c r="C544" s="1" t="n">
        <v>45587</v>
      </c>
      <c r="D544" t="inlineStr">
        <is>
          <t>DALARNAS LÄN</t>
        </is>
      </c>
      <c r="E544" t="inlineStr">
        <is>
          <t>HEDEMORA</t>
        </is>
      </c>
      <c r="G544" t="n">
        <v>6.6</v>
      </c>
      <c r="H544" t="n">
        <v>0</v>
      </c>
      <c r="I544" t="n">
        <v>0</v>
      </c>
      <c r="J544" t="n">
        <v>0</v>
      </c>
      <c r="K544" t="n">
        <v>0</v>
      </c>
      <c r="L544" t="n">
        <v>0</v>
      </c>
      <c r="M544" t="n">
        <v>0</v>
      </c>
      <c r="N544" t="n">
        <v>0</v>
      </c>
      <c r="O544" t="n">
        <v>0</v>
      </c>
      <c r="P544" t="n">
        <v>0</v>
      </c>
      <c r="Q544" t="n">
        <v>0</v>
      </c>
      <c r="R544" s="2" t="inlineStr"/>
    </row>
    <row r="545" ht="15" customHeight="1">
      <c r="A545" t="inlineStr">
        <is>
          <t>A 19353-2024</t>
        </is>
      </c>
      <c r="B545" s="1" t="n">
        <v>45429</v>
      </c>
      <c r="C545" s="1" t="n">
        <v>45587</v>
      </c>
      <c r="D545" t="inlineStr">
        <is>
          <t>DALARNAS LÄN</t>
        </is>
      </c>
      <c r="E545" t="inlineStr">
        <is>
          <t>HEDEMORA</t>
        </is>
      </c>
      <c r="F545" t="inlineStr">
        <is>
          <t>Sveaskog</t>
        </is>
      </c>
      <c r="G545" t="n">
        <v>16.3</v>
      </c>
      <c r="H545" t="n">
        <v>0</v>
      </c>
      <c r="I545" t="n">
        <v>0</v>
      </c>
      <c r="J545" t="n">
        <v>0</v>
      </c>
      <c r="K545" t="n">
        <v>0</v>
      </c>
      <c r="L545" t="n">
        <v>0</v>
      </c>
      <c r="M545" t="n">
        <v>0</v>
      </c>
      <c r="N545" t="n">
        <v>0</v>
      </c>
      <c r="O545" t="n">
        <v>0</v>
      </c>
      <c r="P545" t="n">
        <v>0</v>
      </c>
      <c r="Q545" t="n">
        <v>0</v>
      </c>
      <c r="R545" s="2" t="inlineStr"/>
    </row>
    <row r="546" ht="15" customHeight="1">
      <c r="A546" t="inlineStr">
        <is>
          <t>A 19397-2024</t>
        </is>
      </c>
      <c r="B546" s="1" t="n">
        <v>45429</v>
      </c>
      <c r="C546" s="1" t="n">
        <v>45587</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19473-2024</t>
        </is>
      </c>
      <c r="B547" s="1" t="n">
        <v>45429</v>
      </c>
      <c r="C547" s="1" t="n">
        <v>45587</v>
      </c>
      <c r="D547" t="inlineStr">
        <is>
          <t>DALARNAS LÄN</t>
        </is>
      </c>
      <c r="E547" t="inlineStr">
        <is>
          <t>HEDEMORA</t>
        </is>
      </c>
      <c r="G547" t="n">
        <v>2.5</v>
      </c>
      <c r="H547" t="n">
        <v>0</v>
      </c>
      <c r="I547" t="n">
        <v>0</v>
      </c>
      <c r="J547" t="n">
        <v>0</v>
      </c>
      <c r="K547" t="n">
        <v>0</v>
      </c>
      <c r="L547" t="n">
        <v>0</v>
      </c>
      <c r="M547" t="n">
        <v>0</v>
      </c>
      <c r="N547" t="n">
        <v>0</v>
      </c>
      <c r="O547" t="n">
        <v>0</v>
      </c>
      <c r="P547" t="n">
        <v>0</v>
      </c>
      <c r="Q547" t="n">
        <v>0</v>
      </c>
      <c r="R547" s="2" t="inlineStr"/>
    </row>
    <row r="548" ht="15" customHeight="1">
      <c r="A548" t="inlineStr">
        <is>
          <t>A 19604-2024</t>
        </is>
      </c>
      <c r="B548" s="1" t="n">
        <v>45431</v>
      </c>
      <c r="C548" s="1" t="n">
        <v>45587</v>
      </c>
      <c r="D548" t="inlineStr">
        <is>
          <t>DALARNAS LÄN</t>
        </is>
      </c>
      <c r="E548" t="inlineStr">
        <is>
          <t>HEDEMORA</t>
        </is>
      </c>
      <c r="F548" t="inlineStr">
        <is>
          <t>Bergvik skog väst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20078-2024</t>
        </is>
      </c>
      <c r="B549" s="1" t="n">
        <v>45434</v>
      </c>
      <c r="C549" s="1" t="n">
        <v>45587</v>
      </c>
      <c r="D549" t="inlineStr">
        <is>
          <t>DALARNAS LÄN</t>
        </is>
      </c>
      <c r="E549" t="inlineStr">
        <is>
          <t>HEDEMORA</t>
        </is>
      </c>
      <c r="G549" t="n">
        <v>6.5</v>
      </c>
      <c r="H549" t="n">
        <v>0</v>
      </c>
      <c r="I549" t="n">
        <v>0</v>
      </c>
      <c r="J549" t="n">
        <v>0</v>
      </c>
      <c r="K549" t="n">
        <v>0</v>
      </c>
      <c r="L549" t="n">
        <v>0</v>
      </c>
      <c r="M549" t="n">
        <v>0</v>
      </c>
      <c r="N549" t="n">
        <v>0</v>
      </c>
      <c r="O549" t="n">
        <v>0</v>
      </c>
      <c r="P549" t="n">
        <v>0</v>
      </c>
      <c r="Q549" t="n">
        <v>0</v>
      </c>
      <c r="R549" s="2" t="inlineStr"/>
    </row>
    <row r="550" ht="15" customHeight="1">
      <c r="A550" t="inlineStr">
        <is>
          <t>A 20235-2024</t>
        </is>
      </c>
      <c r="B550" s="1" t="n">
        <v>45434</v>
      </c>
      <c r="C550" s="1" t="n">
        <v>45587</v>
      </c>
      <c r="D550" t="inlineStr">
        <is>
          <t>DALARNAS LÄN</t>
        </is>
      </c>
      <c r="E550" t="inlineStr">
        <is>
          <t>HEDEMORA</t>
        </is>
      </c>
      <c r="G550" t="n">
        <v>1.3</v>
      </c>
      <c r="H550" t="n">
        <v>0</v>
      </c>
      <c r="I550" t="n">
        <v>0</v>
      </c>
      <c r="J550" t="n">
        <v>0</v>
      </c>
      <c r="K550" t="n">
        <v>0</v>
      </c>
      <c r="L550" t="n">
        <v>0</v>
      </c>
      <c r="M550" t="n">
        <v>0</v>
      </c>
      <c r="N550" t="n">
        <v>0</v>
      </c>
      <c r="O550" t="n">
        <v>0</v>
      </c>
      <c r="P550" t="n">
        <v>0</v>
      </c>
      <c r="Q550" t="n">
        <v>0</v>
      </c>
      <c r="R550" s="2" t="inlineStr"/>
    </row>
    <row r="551" ht="15" customHeight="1">
      <c r="A551" t="inlineStr">
        <is>
          <t>A 20504-2024</t>
        </is>
      </c>
      <c r="B551" s="1" t="n">
        <v>45436</v>
      </c>
      <c r="C551" s="1" t="n">
        <v>45587</v>
      </c>
      <c r="D551" t="inlineStr">
        <is>
          <t>DALARNAS LÄN</t>
        </is>
      </c>
      <c r="E551" t="inlineStr">
        <is>
          <t>HEDEMORA</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20503-2024</t>
        </is>
      </c>
      <c r="B552" s="1" t="n">
        <v>45436</v>
      </c>
      <c r="C552" s="1" t="n">
        <v>45587</v>
      </c>
      <c r="D552" t="inlineStr">
        <is>
          <t>DALARNAS LÄN</t>
        </is>
      </c>
      <c r="E552" t="inlineStr">
        <is>
          <t>HEDEMORA</t>
        </is>
      </c>
      <c r="F552" t="inlineStr">
        <is>
          <t>Sveaskog</t>
        </is>
      </c>
      <c r="G552" t="n">
        <v>5.1</v>
      </c>
      <c r="H552" t="n">
        <v>0</v>
      </c>
      <c r="I552" t="n">
        <v>0</v>
      </c>
      <c r="J552" t="n">
        <v>0</v>
      </c>
      <c r="K552" t="n">
        <v>0</v>
      </c>
      <c r="L552" t="n">
        <v>0</v>
      </c>
      <c r="M552" t="n">
        <v>0</v>
      </c>
      <c r="N552" t="n">
        <v>0</v>
      </c>
      <c r="O552" t="n">
        <v>0</v>
      </c>
      <c r="P552" t="n">
        <v>0</v>
      </c>
      <c r="Q552" t="n">
        <v>0</v>
      </c>
      <c r="R552" s="2" t="inlineStr"/>
    </row>
    <row r="553" ht="15" customHeight="1">
      <c r="A553" t="inlineStr">
        <is>
          <t>A 20666-2024</t>
        </is>
      </c>
      <c r="B553" s="1" t="n">
        <v>45436</v>
      </c>
      <c r="C553" s="1" t="n">
        <v>45587</v>
      </c>
      <c r="D553" t="inlineStr">
        <is>
          <t>DALARNAS LÄN</t>
        </is>
      </c>
      <c r="E553" t="inlineStr">
        <is>
          <t>HEDEMORA</t>
        </is>
      </c>
      <c r="G553" t="n">
        <v>5.1</v>
      </c>
      <c r="H553" t="n">
        <v>0</v>
      </c>
      <c r="I553" t="n">
        <v>0</v>
      </c>
      <c r="J553" t="n">
        <v>0</v>
      </c>
      <c r="K553" t="n">
        <v>0</v>
      </c>
      <c r="L553" t="n">
        <v>0</v>
      </c>
      <c r="M553" t="n">
        <v>0</v>
      </c>
      <c r="N553" t="n">
        <v>0</v>
      </c>
      <c r="O553" t="n">
        <v>0</v>
      </c>
      <c r="P553" t="n">
        <v>0</v>
      </c>
      <c r="Q553" t="n">
        <v>0</v>
      </c>
      <c r="R553" s="2" t="inlineStr"/>
    </row>
    <row r="554" ht="15" customHeight="1">
      <c r="A554" t="inlineStr">
        <is>
          <t>A 20670-2024</t>
        </is>
      </c>
      <c r="B554" s="1" t="n">
        <v>45436</v>
      </c>
      <c r="C554" s="1" t="n">
        <v>45587</v>
      </c>
      <c r="D554" t="inlineStr">
        <is>
          <t>DALARNAS LÄN</t>
        </is>
      </c>
      <c r="E554" t="inlineStr">
        <is>
          <t>HEDEMORA</t>
        </is>
      </c>
      <c r="G554" t="n">
        <v>2.7</v>
      </c>
      <c r="H554" t="n">
        <v>0</v>
      </c>
      <c r="I554" t="n">
        <v>0</v>
      </c>
      <c r="J554" t="n">
        <v>0</v>
      </c>
      <c r="K554" t="n">
        <v>0</v>
      </c>
      <c r="L554" t="n">
        <v>0</v>
      </c>
      <c r="M554" t="n">
        <v>0</v>
      </c>
      <c r="N554" t="n">
        <v>0</v>
      </c>
      <c r="O554" t="n">
        <v>0</v>
      </c>
      <c r="P554" t="n">
        <v>0</v>
      </c>
      <c r="Q554" t="n">
        <v>0</v>
      </c>
      <c r="R554" s="2" t="inlineStr"/>
    </row>
    <row r="555" ht="15" customHeight="1">
      <c r="A555" t="inlineStr">
        <is>
          <t>A 21270-2024</t>
        </is>
      </c>
      <c r="B555" s="1" t="n">
        <v>45440</v>
      </c>
      <c r="C555" s="1" t="n">
        <v>45587</v>
      </c>
      <c r="D555" t="inlineStr">
        <is>
          <t>DALARNAS LÄN</t>
        </is>
      </c>
      <c r="E555" t="inlineStr">
        <is>
          <t>HEDEMORA</t>
        </is>
      </c>
      <c r="G555" t="n">
        <v>4.7</v>
      </c>
      <c r="H555" t="n">
        <v>0</v>
      </c>
      <c r="I555" t="n">
        <v>0</v>
      </c>
      <c r="J555" t="n">
        <v>0</v>
      </c>
      <c r="K555" t="n">
        <v>0</v>
      </c>
      <c r="L555" t="n">
        <v>0</v>
      </c>
      <c r="M555" t="n">
        <v>0</v>
      </c>
      <c r="N555" t="n">
        <v>0</v>
      </c>
      <c r="O555" t="n">
        <v>0</v>
      </c>
      <c r="P555" t="n">
        <v>0</v>
      </c>
      <c r="Q555" t="n">
        <v>0</v>
      </c>
      <c r="R555" s="2" t="inlineStr"/>
    </row>
    <row r="556" ht="15" customHeight="1">
      <c r="A556" t="inlineStr">
        <is>
          <t>A 21514-2024</t>
        </is>
      </c>
      <c r="B556" s="1" t="n">
        <v>45441</v>
      </c>
      <c r="C556" s="1" t="n">
        <v>45587</v>
      </c>
      <c r="D556" t="inlineStr">
        <is>
          <t>DALARNAS LÄN</t>
        </is>
      </c>
      <c r="E556" t="inlineStr">
        <is>
          <t>HEDEMORA</t>
        </is>
      </c>
      <c r="G556" t="n">
        <v>1.5</v>
      </c>
      <c r="H556" t="n">
        <v>0</v>
      </c>
      <c r="I556" t="n">
        <v>0</v>
      </c>
      <c r="J556" t="n">
        <v>0</v>
      </c>
      <c r="K556" t="n">
        <v>0</v>
      </c>
      <c r="L556" t="n">
        <v>0</v>
      </c>
      <c r="M556" t="n">
        <v>0</v>
      </c>
      <c r="N556" t="n">
        <v>0</v>
      </c>
      <c r="O556" t="n">
        <v>0</v>
      </c>
      <c r="P556" t="n">
        <v>0</v>
      </c>
      <c r="Q556" t="n">
        <v>0</v>
      </c>
      <c r="R556" s="2" t="inlineStr"/>
    </row>
    <row r="557" ht="15" customHeight="1">
      <c r="A557" t="inlineStr">
        <is>
          <t>A 21539-2024</t>
        </is>
      </c>
      <c r="B557" s="1" t="n">
        <v>45441</v>
      </c>
      <c r="C557" s="1" t="n">
        <v>45587</v>
      </c>
      <c r="D557" t="inlineStr">
        <is>
          <t>DALARNAS LÄN</t>
        </is>
      </c>
      <c r="E557" t="inlineStr">
        <is>
          <t>HEDEMORA</t>
        </is>
      </c>
      <c r="F557" t="inlineStr">
        <is>
          <t>Sveaskog</t>
        </is>
      </c>
      <c r="G557" t="n">
        <v>11.9</v>
      </c>
      <c r="H557" t="n">
        <v>0</v>
      </c>
      <c r="I557" t="n">
        <v>0</v>
      </c>
      <c r="J557" t="n">
        <v>0</v>
      </c>
      <c r="K557" t="n">
        <v>0</v>
      </c>
      <c r="L557" t="n">
        <v>0</v>
      </c>
      <c r="M557" t="n">
        <v>0</v>
      </c>
      <c r="N557" t="n">
        <v>0</v>
      </c>
      <c r="O557" t="n">
        <v>0</v>
      </c>
      <c r="P557" t="n">
        <v>0</v>
      </c>
      <c r="Q557" t="n">
        <v>0</v>
      </c>
      <c r="R557" s="2" t="inlineStr"/>
    </row>
    <row r="558" ht="15" customHeight="1">
      <c r="A558" t="inlineStr">
        <is>
          <t>A 21595-2024</t>
        </is>
      </c>
      <c r="B558" s="1" t="n">
        <v>45441</v>
      </c>
      <c r="C558" s="1" t="n">
        <v>45587</v>
      </c>
      <c r="D558" t="inlineStr">
        <is>
          <t>DALARNAS LÄN</t>
        </is>
      </c>
      <c r="E558" t="inlineStr">
        <is>
          <t>HEDEMORA</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21538-2024</t>
        </is>
      </c>
      <c r="B559" s="1" t="n">
        <v>45441</v>
      </c>
      <c r="C559" s="1" t="n">
        <v>45587</v>
      </c>
      <c r="D559" t="inlineStr">
        <is>
          <t>DALARNAS LÄN</t>
        </is>
      </c>
      <c r="E559" t="inlineStr">
        <is>
          <t>HEDEMORA</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21763-2024</t>
        </is>
      </c>
      <c r="B560" s="1" t="n">
        <v>45442</v>
      </c>
      <c r="C560" s="1" t="n">
        <v>45587</v>
      </c>
      <c r="D560" t="inlineStr">
        <is>
          <t>DALARNAS LÄN</t>
        </is>
      </c>
      <c r="E560" t="inlineStr">
        <is>
          <t>HEDEMORA</t>
        </is>
      </c>
      <c r="G560" t="n">
        <v>1.6</v>
      </c>
      <c r="H560" t="n">
        <v>0</v>
      </c>
      <c r="I560" t="n">
        <v>0</v>
      </c>
      <c r="J560" t="n">
        <v>0</v>
      </c>
      <c r="K560" t="n">
        <v>0</v>
      </c>
      <c r="L560" t="n">
        <v>0</v>
      </c>
      <c r="M560" t="n">
        <v>0</v>
      </c>
      <c r="N560" t="n">
        <v>0</v>
      </c>
      <c r="O560" t="n">
        <v>0</v>
      </c>
      <c r="P560" t="n">
        <v>0</v>
      </c>
      <c r="Q560" t="n">
        <v>0</v>
      </c>
      <c r="R560" s="2" t="inlineStr"/>
    </row>
    <row r="561" ht="15" customHeight="1">
      <c r="A561" t="inlineStr">
        <is>
          <t>A 21823-2024</t>
        </is>
      </c>
      <c r="B561" s="1" t="n">
        <v>45442</v>
      </c>
      <c r="C561" s="1" t="n">
        <v>45587</v>
      </c>
      <c r="D561" t="inlineStr">
        <is>
          <t>DALARNAS LÄN</t>
        </is>
      </c>
      <c r="E561" t="inlineStr">
        <is>
          <t>HEDEMORA</t>
        </is>
      </c>
      <c r="F561" t="inlineStr">
        <is>
          <t>Sveaskog</t>
        </is>
      </c>
      <c r="G561" t="n">
        <v>5.3</v>
      </c>
      <c r="H561" t="n">
        <v>0</v>
      </c>
      <c r="I561" t="n">
        <v>0</v>
      </c>
      <c r="J561" t="n">
        <v>0</v>
      </c>
      <c r="K561" t="n">
        <v>0</v>
      </c>
      <c r="L561" t="n">
        <v>0</v>
      </c>
      <c r="M561" t="n">
        <v>0</v>
      </c>
      <c r="N561" t="n">
        <v>0</v>
      </c>
      <c r="O561" t="n">
        <v>0</v>
      </c>
      <c r="P561" t="n">
        <v>0</v>
      </c>
      <c r="Q561" t="n">
        <v>0</v>
      </c>
      <c r="R561" s="2" t="inlineStr"/>
    </row>
    <row r="562" ht="15" customHeight="1">
      <c r="A562" t="inlineStr">
        <is>
          <t>A 22588-2024</t>
        </is>
      </c>
      <c r="B562" s="1" t="n">
        <v>45447</v>
      </c>
      <c r="C562" s="1" t="n">
        <v>45587</v>
      </c>
      <c r="D562" t="inlineStr">
        <is>
          <t>DALARNAS LÄN</t>
        </is>
      </c>
      <c r="E562" t="inlineStr">
        <is>
          <t>HEDEMORA</t>
        </is>
      </c>
      <c r="G562" t="n">
        <v>8.4</v>
      </c>
      <c r="H562" t="n">
        <v>0</v>
      </c>
      <c r="I562" t="n">
        <v>0</v>
      </c>
      <c r="J562" t="n">
        <v>0</v>
      </c>
      <c r="K562" t="n">
        <v>0</v>
      </c>
      <c r="L562" t="n">
        <v>0</v>
      </c>
      <c r="M562" t="n">
        <v>0</v>
      </c>
      <c r="N562" t="n">
        <v>0</v>
      </c>
      <c r="O562" t="n">
        <v>0</v>
      </c>
      <c r="P562" t="n">
        <v>0</v>
      </c>
      <c r="Q562" t="n">
        <v>0</v>
      </c>
      <c r="R562" s="2" t="inlineStr"/>
    </row>
    <row r="563" ht="15" customHeight="1">
      <c r="A563" t="inlineStr">
        <is>
          <t>A 22914-2024</t>
        </is>
      </c>
      <c r="B563" s="1" t="n">
        <v>45448</v>
      </c>
      <c r="C563" s="1" t="n">
        <v>45587</v>
      </c>
      <c r="D563" t="inlineStr">
        <is>
          <t>DALARNAS LÄN</t>
        </is>
      </c>
      <c r="E563" t="inlineStr">
        <is>
          <t>HEDEMORA</t>
        </is>
      </c>
      <c r="G563" t="n">
        <v>2</v>
      </c>
      <c r="H563" t="n">
        <v>0</v>
      </c>
      <c r="I563" t="n">
        <v>0</v>
      </c>
      <c r="J563" t="n">
        <v>0</v>
      </c>
      <c r="K563" t="n">
        <v>0</v>
      </c>
      <c r="L563" t="n">
        <v>0</v>
      </c>
      <c r="M563" t="n">
        <v>0</v>
      </c>
      <c r="N563" t="n">
        <v>0</v>
      </c>
      <c r="O563" t="n">
        <v>0</v>
      </c>
      <c r="P563" t="n">
        <v>0</v>
      </c>
      <c r="Q563" t="n">
        <v>0</v>
      </c>
      <c r="R563" s="2" t="inlineStr"/>
    </row>
    <row r="564" ht="15" customHeight="1">
      <c r="A564" t="inlineStr">
        <is>
          <t>A 23826-2024</t>
        </is>
      </c>
      <c r="B564" s="1" t="n">
        <v>45455</v>
      </c>
      <c r="C564" s="1" t="n">
        <v>45587</v>
      </c>
      <c r="D564" t="inlineStr">
        <is>
          <t>DALARNAS LÄN</t>
        </is>
      </c>
      <c r="E564" t="inlineStr">
        <is>
          <t>HEDEMORA</t>
        </is>
      </c>
      <c r="G564" t="n">
        <v>1.2</v>
      </c>
      <c r="H564" t="n">
        <v>0</v>
      </c>
      <c r="I564" t="n">
        <v>0</v>
      </c>
      <c r="J564" t="n">
        <v>0</v>
      </c>
      <c r="K564" t="n">
        <v>0</v>
      </c>
      <c r="L564" t="n">
        <v>0</v>
      </c>
      <c r="M564" t="n">
        <v>0</v>
      </c>
      <c r="N564" t="n">
        <v>0</v>
      </c>
      <c r="O564" t="n">
        <v>0</v>
      </c>
      <c r="P564" t="n">
        <v>0</v>
      </c>
      <c r="Q564" t="n">
        <v>0</v>
      </c>
      <c r="R564" s="2" t="inlineStr"/>
    </row>
    <row r="565" ht="15" customHeight="1">
      <c r="A565" t="inlineStr">
        <is>
          <t>A 24382-2024</t>
        </is>
      </c>
      <c r="B565" s="1" t="n">
        <v>45457</v>
      </c>
      <c r="C565" s="1" t="n">
        <v>45587</v>
      </c>
      <c r="D565" t="inlineStr">
        <is>
          <t>DALARNAS LÄN</t>
        </is>
      </c>
      <c r="E565" t="inlineStr">
        <is>
          <t>HEDEMORA</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24486-2024</t>
        </is>
      </c>
      <c r="B566" s="1" t="n">
        <v>45459</v>
      </c>
      <c r="C566" s="1" t="n">
        <v>45587</v>
      </c>
      <c r="D566" t="inlineStr">
        <is>
          <t>DALARNAS LÄN</t>
        </is>
      </c>
      <c r="E566" t="inlineStr">
        <is>
          <t>HEDEMORA</t>
        </is>
      </c>
      <c r="G566" t="n">
        <v>0.3</v>
      </c>
      <c r="H566" t="n">
        <v>0</v>
      </c>
      <c r="I566" t="n">
        <v>0</v>
      </c>
      <c r="J566" t="n">
        <v>0</v>
      </c>
      <c r="K566" t="n">
        <v>0</v>
      </c>
      <c r="L566" t="n">
        <v>0</v>
      </c>
      <c r="M566" t="n">
        <v>0</v>
      </c>
      <c r="N566" t="n">
        <v>0</v>
      </c>
      <c r="O566" t="n">
        <v>0</v>
      </c>
      <c r="P566" t="n">
        <v>0</v>
      </c>
      <c r="Q566" t="n">
        <v>0</v>
      </c>
      <c r="R566" s="2" t="inlineStr"/>
    </row>
    <row r="567" ht="15" customHeight="1">
      <c r="A567" t="inlineStr">
        <is>
          <t>A 25206-2024</t>
        </is>
      </c>
      <c r="B567" s="1" t="n">
        <v>45462</v>
      </c>
      <c r="C567" s="1" t="n">
        <v>45587</v>
      </c>
      <c r="D567" t="inlineStr">
        <is>
          <t>DALARNAS LÄN</t>
        </is>
      </c>
      <c r="E567" t="inlineStr">
        <is>
          <t>HEDEMORA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25195-2024</t>
        </is>
      </c>
      <c r="B568" s="1" t="n">
        <v>45462</v>
      </c>
      <c r="C568" s="1" t="n">
        <v>45587</v>
      </c>
      <c r="D568" t="inlineStr">
        <is>
          <t>DALARNAS LÄN</t>
        </is>
      </c>
      <c r="E568" t="inlineStr">
        <is>
          <t>HEDEMORA</t>
        </is>
      </c>
      <c r="F568" t="inlineStr">
        <is>
          <t>Övriga statliga verk och myndigheter</t>
        </is>
      </c>
      <c r="G568" t="n">
        <v>3.3</v>
      </c>
      <c r="H568" t="n">
        <v>0</v>
      </c>
      <c r="I568" t="n">
        <v>0</v>
      </c>
      <c r="J568" t="n">
        <v>0</v>
      </c>
      <c r="K568" t="n">
        <v>0</v>
      </c>
      <c r="L568" t="n">
        <v>0</v>
      </c>
      <c r="M568" t="n">
        <v>0</v>
      </c>
      <c r="N568" t="n">
        <v>0</v>
      </c>
      <c r="O568" t="n">
        <v>0</v>
      </c>
      <c r="P568" t="n">
        <v>0</v>
      </c>
      <c r="Q568" t="n">
        <v>0</v>
      </c>
      <c r="R568" s="2" t="inlineStr"/>
    </row>
    <row r="569" ht="15" customHeight="1">
      <c r="A569" t="inlineStr">
        <is>
          <t>A 25643-2024</t>
        </is>
      </c>
      <c r="B569" s="1" t="n">
        <v>45463</v>
      </c>
      <c r="C569" s="1" t="n">
        <v>45587</v>
      </c>
      <c r="D569" t="inlineStr">
        <is>
          <t>DALARNAS LÄN</t>
        </is>
      </c>
      <c r="E569" t="inlineStr">
        <is>
          <t>HEDEMORA</t>
        </is>
      </c>
      <c r="F569" t="inlineStr">
        <is>
          <t>Sveaskog</t>
        </is>
      </c>
      <c r="G569" t="n">
        <v>8</v>
      </c>
      <c r="H569" t="n">
        <v>0</v>
      </c>
      <c r="I569" t="n">
        <v>0</v>
      </c>
      <c r="J569" t="n">
        <v>0</v>
      </c>
      <c r="K569" t="n">
        <v>0</v>
      </c>
      <c r="L569" t="n">
        <v>0</v>
      </c>
      <c r="M569" t="n">
        <v>0</v>
      </c>
      <c r="N569" t="n">
        <v>0</v>
      </c>
      <c r="O569" t="n">
        <v>0</v>
      </c>
      <c r="P569" t="n">
        <v>0</v>
      </c>
      <c r="Q569" t="n">
        <v>0</v>
      </c>
      <c r="R569" s="2" t="inlineStr"/>
    </row>
    <row r="570" ht="15" customHeight="1">
      <c r="A570" t="inlineStr">
        <is>
          <t>A 25645-2024</t>
        </is>
      </c>
      <c r="B570" s="1" t="n">
        <v>45463</v>
      </c>
      <c r="C570" s="1" t="n">
        <v>45587</v>
      </c>
      <c r="D570" t="inlineStr">
        <is>
          <t>DALARNAS LÄN</t>
        </is>
      </c>
      <c r="E570" t="inlineStr">
        <is>
          <t>HEDEMORA</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26452-2024</t>
        </is>
      </c>
      <c r="B571" s="1" t="n">
        <v>45469</v>
      </c>
      <c r="C571" s="1" t="n">
        <v>45587</v>
      </c>
      <c r="D571" t="inlineStr">
        <is>
          <t>DALARNAS LÄN</t>
        </is>
      </c>
      <c r="E571" t="inlineStr">
        <is>
          <t>HEDEMORA</t>
        </is>
      </c>
      <c r="G571" t="n">
        <v>2.3</v>
      </c>
      <c r="H571" t="n">
        <v>0</v>
      </c>
      <c r="I571" t="n">
        <v>0</v>
      </c>
      <c r="J571" t="n">
        <v>0</v>
      </c>
      <c r="K571" t="n">
        <v>0</v>
      </c>
      <c r="L571" t="n">
        <v>0</v>
      </c>
      <c r="M571" t="n">
        <v>0</v>
      </c>
      <c r="N571" t="n">
        <v>0</v>
      </c>
      <c r="O571" t="n">
        <v>0</v>
      </c>
      <c r="P571" t="n">
        <v>0</v>
      </c>
      <c r="Q571" t="n">
        <v>0</v>
      </c>
      <c r="R571" s="2" t="inlineStr"/>
    </row>
    <row r="572" ht="15" customHeight="1">
      <c r="A572" t="inlineStr">
        <is>
          <t>A 26449-2024</t>
        </is>
      </c>
      <c r="B572" s="1" t="n">
        <v>45469</v>
      </c>
      <c r="C572" s="1" t="n">
        <v>45587</v>
      </c>
      <c r="D572" t="inlineStr">
        <is>
          <t>DALARNAS LÄN</t>
        </is>
      </c>
      <c r="E572" t="inlineStr">
        <is>
          <t>HEDEMORA</t>
        </is>
      </c>
      <c r="G572" t="n">
        <v>4.5</v>
      </c>
      <c r="H572" t="n">
        <v>0</v>
      </c>
      <c r="I572" t="n">
        <v>0</v>
      </c>
      <c r="J572" t="n">
        <v>0</v>
      </c>
      <c r="K572" t="n">
        <v>0</v>
      </c>
      <c r="L572" t="n">
        <v>0</v>
      </c>
      <c r="M572" t="n">
        <v>0</v>
      </c>
      <c r="N572" t="n">
        <v>0</v>
      </c>
      <c r="O572" t="n">
        <v>0</v>
      </c>
      <c r="P572" t="n">
        <v>0</v>
      </c>
      <c r="Q572" t="n">
        <v>0</v>
      </c>
      <c r="R572" s="2" t="inlineStr"/>
    </row>
    <row r="573" ht="15" customHeight="1">
      <c r="A573" t="inlineStr">
        <is>
          <t>A 26431-2024</t>
        </is>
      </c>
      <c r="B573" s="1" t="n">
        <v>45469</v>
      </c>
      <c r="C573" s="1" t="n">
        <v>45587</v>
      </c>
      <c r="D573" t="inlineStr">
        <is>
          <t>DALARNAS LÄN</t>
        </is>
      </c>
      <c r="E573" t="inlineStr">
        <is>
          <t>HEDEMORA</t>
        </is>
      </c>
      <c r="G573" t="n">
        <v>1.6</v>
      </c>
      <c r="H573" t="n">
        <v>0</v>
      </c>
      <c r="I573" t="n">
        <v>0</v>
      </c>
      <c r="J573" t="n">
        <v>0</v>
      </c>
      <c r="K573" t="n">
        <v>0</v>
      </c>
      <c r="L573" t="n">
        <v>0</v>
      </c>
      <c r="M573" t="n">
        <v>0</v>
      </c>
      <c r="N573" t="n">
        <v>0</v>
      </c>
      <c r="O573" t="n">
        <v>0</v>
      </c>
      <c r="P573" t="n">
        <v>0</v>
      </c>
      <c r="Q573" t="n">
        <v>0</v>
      </c>
      <c r="R573" s="2" t="inlineStr"/>
      <c r="U573">
        <f>HYPERLINK("https://klasma.github.io/Logging_2083/knärot/A 26431-2024 karta knärot.png", "A 26431-2024")</f>
        <v/>
      </c>
      <c r="V573">
        <f>HYPERLINK("https://klasma.github.io/Logging_2083/klagomål/A 26431-2024 FSC-klagomål.docx", "A 26431-2024")</f>
        <v/>
      </c>
      <c r="W573">
        <f>HYPERLINK("https://klasma.github.io/Logging_2083/klagomålsmail/A 26431-2024 FSC-klagomål mail.docx", "A 26431-2024")</f>
        <v/>
      </c>
      <c r="X573">
        <f>HYPERLINK("https://klasma.github.io/Logging_2083/tillsyn/A 26431-2024 tillsynsbegäran.docx", "A 26431-2024")</f>
        <v/>
      </c>
      <c r="Y573">
        <f>HYPERLINK("https://klasma.github.io/Logging_2083/tillsynsmail/A 26431-2024 tillsynsbegäran mail.docx", "A 26431-2024")</f>
        <v/>
      </c>
    </row>
    <row r="574" ht="15" customHeight="1">
      <c r="A574" t="inlineStr">
        <is>
          <t>A 27610-2024</t>
        </is>
      </c>
      <c r="B574" s="1" t="n">
        <v>45474</v>
      </c>
      <c r="C574" s="1" t="n">
        <v>45587</v>
      </c>
      <c r="D574" t="inlineStr">
        <is>
          <t>DALARNAS LÄN</t>
        </is>
      </c>
      <c r="E574" t="inlineStr">
        <is>
          <t>HEDEMORA</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27609-2024</t>
        </is>
      </c>
      <c r="B575" s="1" t="n">
        <v>45474</v>
      </c>
      <c r="C575" s="1" t="n">
        <v>45587</v>
      </c>
      <c r="D575" t="inlineStr">
        <is>
          <t>DALARNAS LÄN</t>
        </is>
      </c>
      <c r="E575" t="inlineStr">
        <is>
          <t>HEDEMORA</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28148-2024</t>
        </is>
      </c>
      <c r="B576" s="1" t="n">
        <v>45476</v>
      </c>
      <c r="C576" s="1" t="n">
        <v>45587</v>
      </c>
      <c r="D576" t="inlineStr">
        <is>
          <t>DALARNAS LÄN</t>
        </is>
      </c>
      <c r="E576" t="inlineStr">
        <is>
          <t>HEDEMORA</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28149-2024</t>
        </is>
      </c>
      <c r="B577" s="1" t="n">
        <v>45476</v>
      </c>
      <c r="C577" s="1" t="n">
        <v>45587</v>
      </c>
      <c r="D577" t="inlineStr">
        <is>
          <t>DALARNAS LÄN</t>
        </is>
      </c>
      <c r="E577" t="inlineStr">
        <is>
          <t>HEDEMORA</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28813-2024</t>
        </is>
      </c>
      <c r="B578" s="1" t="n">
        <v>45478</v>
      </c>
      <c r="C578" s="1" t="n">
        <v>45587</v>
      </c>
      <c r="D578" t="inlineStr">
        <is>
          <t>DALARNAS LÄN</t>
        </is>
      </c>
      <c r="E578" t="inlineStr">
        <is>
          <t>HEDEMORA</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29225-2024</t>
        </is>
      </c>
      <c r="B579" s="1" t="n">
        <v>45482</v>
      </c>
      <c r="C579" s="1" t="n">
        <v>45587</v>
      </c>
      <c r="D579" t="inlineStr">
        <is>
          <t>DALARNAS LÄN</t>
        </is>
      </c>
      <c r="E579" t="inlineStr">
        <is>
          <t>HEDEMORA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29585-2024</t>
        </is>
      </c>
      <c r="B580" s="1" t="n">
        <v>45484</v>
      </c>
      <c r="C580" s="1" t="n">
        <v>45587</v>
      </c>
      <c r="D580" t="inlineStr">
        <is>
          <t>DALARNAS LÄN</t>
        </is>
      </c>
      <c r="E580" t="inlineStr">
        <is>
          <t>HEDEMORA</t>
        </is>
      </c>
      <c r="F580" t="inlineStr">
        <is>
          <t>Bergvik skog väst AB</t>
        </is>
      </c>
      <c r="G580" t="n">
        <v>8.1</v>
      </c>
      <c r="H580" t="n">
        <v>0</v>
      </c>
      <c r="I580" t="n">
        <v>0</v>
      </c>
      <c r="J580" t="n">
        <v>0</v>
      </c>
      <c r="K580" t="n">
        <v>0</v>
      </c>
      <c r="L580" t="n">
        <v>0</v>
      </c>
      <c r="M580" t="n">
        <v>0</v>
      </c>
      <c r="N580" t="n">
        <v>0</v>
      </c>
      <c r="O580" t="n">
        <v>0</v>
      </c>
      <c r="P580" t="n">
        <v>0</v>
      </c>
      <c r="Q580" t="n">
        <v>0</v>
      </c>
      <c r="R580" s="2" t="inlineStr"/>
    </row>
    <row r="581" ht="15" customHeight="1">
      <c r="A581" t="inlineStr">
        <is>
          <t>A 29640-2024</t>
        </is>
      </c>
      <c r="B581" s="1" t="n">
        <v>45484</v>
      </c>
      <c r="C581" s="1" t="n">
        <v>45587</v>
      </c>
      <c r="D581" t="inlineStr">
        <is>
          <t>DALARNAS LÄN</t>
        </is>
      </c>
      <c r="E581" t="inlineStr">
        <is>
          <t>HEDEMORA</t>
        </is>
      </c>
      <c r="F581" t="inlineStr">
        <is>
          <t>Bergvik skog väst AB</t>
        </is>
      </c>
      <c r="G581" t="n">
        <v>8.6</v>
      </c>
      <c r="H581" t="n">
        <v>0</v>
      </c>
      <c r="I581" t="n">
        <v>0</v>
      </c>
      <c r="J581" t="n">
        <v>0</v>
      </c>
      <c r="K581" t="n">
        <v>0</v>
      </c>
      <c r="L581" t="n">
        <v>0</v>
      </c>
      <c r="M581" t="n">
        <v>0</v>
      </c>
      <c r="N581" t="n">
        <v>0</v>
      </c>
      <c r="O581" t="n">
        <v>0</v>
      </c>
      <c r="P581" t="n">
        <v>0</v>
      </c>
      <c r="Q581" t="n">
        <v>0</v>
      </c>
      <c r="R581" s="2" t="inlineStr"/>
    </row>
    <row r="582" ht="15" customHeight="1">
      <c r="A582" t="inlineStr">
        <is>
          <t>A 29591-2024</t>
        </is>
      </c>
      <c r="B582" s="1" t="n">
        <v>45484</v>
      </c>
      <c r="C582" s="1" t="n">
        <v>45587</v>
      </c>
      <c r="D582" t="inlineStr">
        <is>
          <t>DALARNAS LÄN</t>
        </is>
      </c>
      <c r="E582" t="inlineStr">
        <is>
          <t>HEDEMORA</t>
        </is>
      </c>
      <c r="F582" t="inlineStr">
        <is>
          <t>Bergvik skog väst AB</t>
        </is>
      </c>
      <c r="G582" t="n">
        <v>3</v>
      </c>
      <c r="H582" t="n">
        <v>0</v>
      </c>
      <c r="I582" t="n">
        <v>0</v>
      </c>
      <c r="J582" t="n">
        <v>0</v>
      </c>
      <c r="K582" t="n">
        <v>0</v>
      </c>
      <c r="L582" t="n">
        <v>0</v>
      </c>
      <c r="M582" t="n">
        <v>0</v>
      </c>
      <c r="N582" t="n">
        <v>0</v>
      </c>
      <c r="O582" t="n">
        <v>0</v>
      </c>
      <c r="P582" t="n">
        <v>0</v>
      </c>
      <c r="Q582" t="n">
        <v>0</v>
      </c>
      <c r="R582" s="2" t="inlineStr"/>
    </row>
    <row r="583" ht="15" customHeight="1">
      <c r="A583" t="inlineStr">
        <is>
          <t>A 29587-2024</t>
        </is>
      </c>
      <c r="B583" s="1" t="n">
        <v>45484</v>
      </c>
      <c r="C583" s="1" t="n">
        <v>45587</v>
      </c>
      <c r="D583" t="inlineStr">
        <is>
          <t>DALARNAS LÄN</t>
        </is>
      </c>
      <c r="E583" t="inlineStr">
        <is>
          <t>HEDEMORA</t>
        </is>
      </c>
      <c r="F583" t="inlineStr">
        <is>
          <t>Bergvik skog väst AB</t>
        </is>
      </c>
      <c r="G583" t="n">
        <v>3.4</v>
      </c>
      <c r="H583" t="n">
        <v>0</v>
      </c>
      <c r="I583" t="n">
        <v>0</v>
      </c>
      <c r="J583" t="n">
        <v>0</v>
      </c>
      <c r="K583" t="n">
        <v>0</v>
      </c>
      <c r="L583" t="n">
        <v>0</v>
      </c>
      <c r="M583" t="n">
        <v>0</v>
      </c>
      <c r="N583" t="n">
        <v>0</v>
      </c>
      <c r="O583" t="n">
        <v>0</v>
      </c>
      <c r="P583" t="n">
        <v>0</v>
      </c>
      <c r="Q583" t="n">
        <v>0</v>
      </c>
      <c r="R583" s="2" t="inlineStr"/>
    </row>
    <row r="584" ht="15" customHeight="1">
      <c r="A584" t="inlineStr">
        <is>
          <t>A 29833-2024</t>
        </is>
      </c>
      <c r="B584" s="1" t="n">
        <v>45485</v>
      </c>
      <c r="C584" s="1" t="n">
        <v>45587</v>
      </c>
      <c r="D584" t="inlineStr">
        <is>
          <t>DALARNAS LÄN</t>
        </is>
      </c>
      <c r="E584" t="inlineStr">
        <is>
          <t>HEDEMORA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29932-2024</t>
        </is>
      </c>
      <c r="B585" s="1" t="n">
        <v>45488</v>
      </c>
      <c r="C585" s="1" t="n">
        <v>45587</v>
      </c>
      <c r="D585" t="inlineStr">
        <is>
          <t>DALARNAS LÄN</t>
        </is>
      </c>
      <c r="E585" t="inlineStr">
        <is>
          <t>HEDEMORA</t>
        </is>
      </c>
      <c r="G585" t="n">
        <v>11.4</v>
      </c>
      <c r="H585" t="n">
        <v>0</v>
      </c>
      <c r="I585" t="n">
        <v>0</v>
      </c>
      <c r="J585" t="n">
        <v>0</v>
      </c>
      <c r="K585" t="n">
        <v>0</v>
      </c>
      <c r="L585" t="n">
        <v>0</v>
      </c>
      <c r="M585" t="n">
        <v>0</v>
      </c>
      <c r="N585" t="n">
        <v>0</v>
      </c>
      <c r="O585" t="n">
        <v>0</v>
      </c>
      <c r="P585" t="n">
        <v>0</v>
      </c>
      <c r="Q585" t="n">
        <v>0</v>
      </c>
      <c r="R585" s="2" t="inlineStr"/>
    </row>
    <row r="586" ht="15" customHeight="1">
      <c r="A586" t="inlineStr">
        <is>
          <t>A 30252-2024</t>
        </is>
      </c>
      <c r="B586" s="1" t="n">
        <v>45490</v>
      </c>
      <c r="C586" s="1" t="n">
        <v>45587</v>
      </c>
      <c r="D586" t="inlineStr">
        <is>
          <t>DALARNAS LÄN</t>
        </is>
      </c>
      <c r="E586" t="inlineStr">
        <is>
          <t>HEDEMORA</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30265-2024</t>
        </is>
      </c>
      <c r="B587" s="1" t="n">
        <v>45490</v>
      </c>
      <c r="C587" s="1" t="n">
        <v>45587</v>
      </c>
      <c r="D587" t="inlineStr">
        <is>
          <t>DALARNAS LÄN</t>
        </is>
      </c>
      <c r="E587" t="inlineStr">
        <is>
          <t>HEDEMORA</t>
        </is>
      </c>
      <c r="G587" t="n">
        <v>3.4</v>
      </c>
      <c r="H587" t="n">
        <v>0</v>
      </c>
      <c r="I587" t="n">
        <v>0</v>
      </c>
      <c r="J587" t="n">
        <v>0</v>
      </c>
      <c r="K587" t="n">
        <v>0</v>
      </c>
      <c r="L587" t="n">
        <v>0</v>
      </c>
      <c r="M587" t="n">
        <v>0</v>
      </c>
      <c r="N587" t="n">
        <v>0</v>
      </c>
      <c r="O587" t="n">
        <v>0</v>
      </c>
      <c r="P587" t="n">
        <v>0</v>
      </c>
      <c r="Q587" t="n">
        <v>0</v>
      </c>
      <c r="R587" s="2" t="inlineStr"/>
    </row>
    <row r="588" ht="15" customHeight="1">
      <c r="A588" t="inlineStr">
        <is>
          <t>A 30905-2024</t>
        </is>
      </c>
      <c r="B588" s="1" t="n">
        <v>45498</v>
      </c>
      <c r="C588" s="1" t="n">
        <v>45587</v>
      </c>
      <c r="D588" t="inlineStr">
        <is>
          <t>DALARNAS LÄN</t>
        </is>
      </c>
      <c r="E588" t="inlineStr">
        <is>
          <t>HEDEMORA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30908-2024</t>
        </is>
      </c>
      <c r="B589" s="1" t="n">
        <v>45498</v>
      </c>
      <c r="C589" s="1" t="n">
        <v>45587</v>
      </c>
      <c r="D589" t="inlineStr">
        <is>
          <t>DALARNAS LÄN</t>
        </is>
      </c>
      <c r="E589" t="inlineStr">
        <is>
          <t>HEDEMORA</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31229-2024</t>
        </is>
      </c>
      <c r="B590" s="1" t="n">
        <v>45503</v>
      </c>
      <c r="C590" s="1" t="n">
        <v>45587</v>
      </c>
      <c r="D590" t="inlineStr">
        <is>
          <t>DALARNAS LÄN</t>
        </is>
      </c>
      <c r="E590" t="inlineStr">
        <is>
          <t>HEDEMORA</t>
        </is>
      </c>
      <c r="G590" t="n">
        <v>3.4</v>
      </c>
      <c r="H590" t="n">
        <v>0</v>
      </c>
      <c r="I590" t="n">
        <v>0</v>
      </c>
      <c r="J590" t="n">
        <v>0</v>
      </c>
      <c r="K590" t="n">
        <v>0</v>
      </c>
      <c r="L590" t="n">
        <v>0</v>
      </c>
      <c r="M590" t="n">
        <v>0</v>
      </c>
      <c r="N590" t="n">
        <v>0</v>
      </c>
      <c r="O590" t="n">
        <v>0</v>
      </c>
      <c r="P590" t="n">
        <v>0</v>
      </c>
      <c r="Q590" t="n">
        <v>0</v>
      </c>
      <c r="R590" s="2" t="inlineStr"/>
    </row>
    <row r="591" ht="15" customHeight="1">
      <c r="A591" t="inlineStr">
        <is>
          <t>A 31365-2024</t>
        </is>
      </c>
      <c r="B591" s="1" t="n">
        <v>45505</v>
      </c>
      <c r="C591" s="1" t="n">
        <v>45587</v>
      </c>
      <c r="D591" t="inlineStr">
        <is>
          <t>DALARNAS LÄN</t>
        </is>
      </c>
      <c r="E591" t="inlineStr">
        <is>
          <t>HEDEMORA</t>
        </is>
      </c>
      <c r="G591" t="n">
        <v>0.4</v>
      </c>
      <c r="H591" t="n">
        <v>0</v>
      </c>
      <c r="I591" t="n">
        <v>0</v>
      </c>
      <c r="J591" t="n">
        <v>0</v>
      </c>
      <c r="K591" t="n">
        <v>0</v>
      </c>
      <c r="L591" t="n">
        <v>0</v>
      </c>
      <c r="M591" t="n">
        <v>0</v>
      </c>
      <c r="N591" t="n">
        <v>0</v>
      </c>
      <c r="O591" t="n">
        <v>0</v>
      </c>
      <c r="P591" t="n">
        <v>0</v>
      </c>
      <c r="Q591" t="n">
        <v>0</v>
      </c>
      <c r="R591" s="2" t="inlineStr"/>
    </row>
    <row r="592" ht="15" customHeight="1">
      <c r="A592" t="inlineStr">
        <is>
          <t>A 31364-2024</t>
        </is>
      </c>
      <c r="B592" s="1" t="n">
        <v>45505</v>
      </c>
      <c r="C592" s="1" t="n">
        <v>45587</v>
      </c>
      <c r="D592" t="inlineStr">
        <is>
          <t>DALARNAS LÄN</t>
        </is>
      </c>
      <c r="E592" t="inlineStr">
        <is>
          <t>HEDEMORA</t>
        </is>
      </c>
      <c r="G592" t="n">
        <v>2</v>
      </c>
      <c r="H592" t="n">
        <v>0</v>
      </c>
      <c r="I592" t="n">
        <v>0</v>
      </c>
      <c r="J592" t="n">
        <v>0</v>
      </c>
      <c r="K592" t="n">
        <v>0</v>
      </c>
      <c r="L592" t="n">
        <v>0</v>
      </c>
      <c r="M592" t="n">
        <v>0</v>
      </c>
      <c r="N592" t="n">
        <v>0</v>
      </c>
      <c r="O592" t="n">
        <v>0</v>
      </c>
      <c r="P592" t="n">
        <v>0</v>
      </c>
      <c r="Q592" t="n">
        <v>0</v>
      </c>
      <c r="R592" s="2" t="inlineStr"/>
    </row>
    <row r="593" ht="15" customHeight="1">
      <c r="A593" t="inlineStr">
        <is>
          <t>A 31825-2024</t>
        </is>
      </c>
      <c r="B593" s="1" t="n">
        <v>45509</v>
      </c>
      <c r="C593" s="1" t="n">
        <v>45587</v>
      </c>
      <c r="D593" t="inlineStr">
        <is>
          <t>DALARNAS LÄN</t>
        </is>
      </c>
      <c r="E593" t="inlineStr">
        <is>
          <t>HEDEMORA</t>
        </is>
      </c>
      <c r="G593" t="n">
        <v>0.1</v>
      </c>
      <c r="H593" t="n">
        <v>0</v>
      </c>
      <c r="I593" t="n">
        <v>0</v>
      </c>
      <c r="J593" t="n">
        <v>0</v>
      </c>
      <c r="K593" t="n">
        <v>0</v>
      </c>
      <c r="L593" t="n">
        <v>0</v>
      </c>
      <c r="M593" t="n">
        <v>0</v>
      </c>
      <c r="N593" t="n">
        <v>0</v>
      </c>
      <c r="O593" t="n">
        <v>0</v>
      </c>
      <c r="P593" t="n">
        <v>0</v>
      </c>
      <c r="Q593" t="n">
        <v>0</v>
      </c>
      <c r="R593" s="2" t="inlineStr"/>
    </row>
    <row r="594" ht="15" customHeight="1">
      <c r="A594" t="inlineStr">
        <is>
          <t>A 31968-2024</t>
        </is>
      </c>
      <c r="B594" s="1" t="n">
        <v>45510</v>
      </c>
      <c r="C594" s="1" t="n">
        <v>45587</v>
      </c>
      <c r="D594" t="inlineStr">
        <is>
          <t>DALARNAS LÄN</t>
        </is>
      </c>
      <c r="E594" t="inlineStr">
        <is>
          <t>HEDEMORA</t>
        </is>
      </c>
      <c r="G594" t="n">
        <v>1.2</v>
      </c>
      <c r="H594" t="n">
        <v>0</v>
      </c>
      <c r="I594" t="n">
        <v>0</v>
      </c>
      <c r="J594" t="n">
        <v>0</v>
      </c>
      <c r="K594" t="n">
        <v>0</v>
      </c>
      <c r="L594" t="n">
        <v>0</v>
      </c>
      <c r="M594" t="n">
        <v>0</v>
      </c>
      <c r="N594" t="n">
        <v>0</v>
      </c>
      <c r="O594" t="n">
        <v>0</v>
      </c>
      <c r="P594" t="n">
        <v>0</v>
      </c>
      <c r="Q594" t="n">
        <v>0</v>
      </c>
      <c r="R594" s="2" t="inlineStr"/>
    </row>
    <row r="595" ht="15" customHeight="1">
      <c r="A595" t="inlineStr">
        <is>
          <t>A 32625-2024</t>
        </is>
      </c>
      <c r="B595" s="1" t="n">
        <v>45513</v>
      </c>
      <c r="C595" s="1" t="n">
        <v>45587</v>
      </c>
      <c r="D595" t="inlineStr">
        <is>
          <t>DALARNAS LÄN</t>
        </is>
      </c>
      <c r="E595" t="inlineStr">
        <is>
          <t>HEDEMORA</t>
        </is>
      </c>
      <c r="F595" t="inlineStr">
        <is>
          <t>Sveaskog</t>
        </is>
      </c>
      <c r="G595" t="n">
        <v>5.5</v>
      </c>
      <c r="H595" t="n">
        <v>0</v>
      </c>
      <c r="I595" t="n">
        <v>0</v>
      </c>
      <c r="J595" t="n">
        <v>0</v>
      </c>
      <c r="K595" t="n">
        <v>0</v>
      </c>
      <c r="L595" t="n">
        <v>0</v>
      </c>
      <c r="M595" t="n">
        <v>0</v>
      </c>
      <c r="N595" t="n">
        <v>0</v>
      </c>
      <c r="O595" t="n">
        <v>0</v>
      </c>
      <c r="P595" t="n">
        <v>0</v>
      </c>
      <c r="Q595" t="n">
        <v>0</v>
      </c>
      <c r="R595" s="2" t="inlineStr"/>
    </row>
    <row r="596" ht="15" customHeight="1">
      <c r="A596" t="inlineStr">
        <is>
          <t>A 33020-2024</t>
        </is>
      </c>
      <c r="B596" s="1" t="n">
        <v>45517</v>
      </c>
      <c r="C596" s="1" t="n">
        <v>45587</v>
      </c>
      <c r="D596" t="inlineStr">
        <is>
          <t>DALARNAS LÄN</t>
        </is>
      </c>
      <c r="E596" t="inlineStr">
        <is>
          <t>HEDEMORA</t>
        </is>
      </c>
      <c r="G596" t="n">
        <v>4.6</v>
      </c>
      <c r="H596" t="n">
        <v>0</v>
      </c>
      <c r="I596" t="n">
        <v>0</v>
      </c>
      <c r="J596" t="n">
        <v>0</v>
      </c>
      <c r="K596" t="n">
        <v>0</v>
      </c>
      <c r="L596" t="n">
        <v>0</v>
      </c>
      <c r="M596" t="n">
        <v>0</v>
      </c>
      <c r="N596" t="n">
        <v>0</v>
      </c>
      <c r="O596" t="n">
        <v>0</v>
      </c>
      <c r="P596" t="n">
        <v>0</v>
      </c>
      <c r="Q596" t="n">
        <v>0</v>
      </c>
      <c r="R596" s="2" t="inlineStr"/>
    </row>
    <row r="597" ht="15" customHeight="1">
      <c r="A597" t="inlineStr">
        <is>
          <t>A 33244-2024</t>
        </is>
      </c>
      <c r="B597" s="1" t="n">
        <v>45518</v>
      </c>
      <c r="C597" s="1" t="n">
        <v>45587</v>
      </c>
      <c r="D597" t="inlineStr">
        <is>
          <t>DALARNAS LÄN</t>
        </is>
      </c>
      <c r="E597" t="inlineStr">
        <is>
          <t>HEDEMORA</t>
        </is>
      </c>
      <c r="G597" t="n">
        <v>2</v>
      </c>
      <c r="H597" t="n">
        <v>0</v>
      </c>
      <c r="I597" t="n">
        <v>0</v>
      </c>
      <c r="J597" t="n">
        <v>0</v>
      </c>
      <c r="K597" t="n">
        <v>0</v>
      </c>
      <c r="L597" t="n">
        <v>0</v>
      </c>
      <c r="M597" t="n">
        <v>0</v>
      </c>
      <c r="N597" t="n">
        <v>0</v>
      </c>
      <c r="O597" t="n">
        <v>0</v>
      </c>
      <c r="P597" t="n">
        <v>0</v>
      </c>
      <c r="Q597" t="n">
        <v>0</v>
      </c>
      <c r="R597" s="2" t="inlineStr"/>
    </row>
    <row r="598" ht="15" customHeight="1">
      <c r="A598" t="inlineStr">
        <is>
          <t>A 33192-2024</t>
        </is>
      </c>
      <c r="B598" s="1" t="n">
        <v>45518</v>
      </c>
      <c r="C598" s="1" t="n">
        <v>45587</v>
      </c>
      <c r="D598" t="inlineStr">
        <is>
          <t>DALARNAS LÄN</t>
        </is>
      </c>
      <c r="E598" t="inlineStr">
        <is>
          <t>HEDEMORA</t>
        </is>
      </c>
      <c r="G598" t="n">
        <v>1.5</v>
      </c>
      <c r="H598" t="n">
        <v>0</v>
      </c>
      <c r="I598" t="n">
        <v>0</v>
      </c>
      <c r="J598" t="n">
        <v>0</v>
      </c>
      <c r="K598" t="n">
        <v>0</v>
      </c>
      <c r="L598" t="n">
        <v>0</v>
      </c>
      <c r="M598" t="n">
        <v>0</v>
      </c>
      <c r="N598" t="n">
        <v>0</v>
      </c>
      <c r="O598" t="n">
        <v>0</v>
      </c>
      <c r="P598" t="n">
        <v>0</v>
      </c>
      <c r="Q598" t="n">
        <v>0</v>
      </c>
      <c r="R598" s="2" t="inlineStr"/>
    </row>
    <row r="599" ht="15" customHeight="1">
      <c r="A599" t="inlineStr">
        <is>
          <t>A 34537-2024</t>
        </is>
      </c>
      <c r="B599" s="1" t="n">
        <v>45525</v>
      </c>
      <c r="C599" s="1" t="n">
        <v>45587</v>
      </c>
      <c r="D599" t="inlineStr">
        <is>
          <t>DALARNAS LÄN</t>
        </is>
      </c>
      <c r="E599" t="inlineStr">
        <is>
          <t>HEDEMORA</t>
        </is>
      </c>
      <c r="G599" t="n">
        <v>8.4</v>
      </c>
      <c r="H599" t="n">
        <v>0</v>
      </c>
      <c r="I599" t="n">
        <v>0</v>
      </c>
      <c r="J599" t="n">
        <v>0</v>
      </c>
      <c r="K599" t="n">
        <v>0</v>
      </c>
      <c r="L599" t="n">
        <v>0</v>
      </c>
      <c r="M599" t="n">
        <v>0</v>
      </c>
      <c r="N599" t="n">
        <v>0</v>
      </c>
      <c r="O599" t="n">
        <v>0</v>
      </c>
      <c r="P599" t="n">
        <v>0</v>
      </c>
      <c r="Q599" t="n">
        <v>0</v>
      </c>
      <c r="R599" s="2" t="inlineStr"/>
    </row>
    <row r="600" ht="15" customHeight="1">
      <c r="A600" t="inlineStr">
        <is>
          <t>A 34930-2024</t>
        </is>
      </c>
      <c r="B600" s="1" t="n">
        <v>45527</v>
      </c>
      <c r="C600" s="1" t="n">
        <v>45587</v>
      </c>
      <c r="D600" t="inlineStr">
        <is>
          <t>DALARNAS LÄN</t>
        </is>
      </c>
      <c r="E600" t="inlineStr">
        <is>
          <t>HEDEMORA</t>
        </is>
      </c>
      <c r="F600" t="inlineStr">
        <is>
          <t>Sveaskog</t>
        </is>
      </c>
      <c r="G600" t="n">
        <v>6.1</v>
      </c>
      <c r="H600" t="n">
        <v>0</v>
      </c>
      <c r="I600" t="n">
        <v>0</v>
      </c>
      <c r="J600" t="n">
        <v>0</v>
      </c>
      <c r="K600" t="n">
        <v>0</v>
      </c>
      <c r="L600" t="n">
        <v>0</v>
      </c>
      <c r="M600" t="n">
        <v>0</v>
      </c>
      <c r="N600" t="n">
        <v>0</v>
      </c>
      <c r="O600" t="n">
        <v>0</v>
      </c>
      <c r="P600" t="n">
        <v>0</v>
      </c>
      <c r="Q600" t="n">
        <v>0</v>
      </c>
      <c r="R600" s="2" t="inlineStr"/>
    </row>
    <row r="601" ht="15" customHeight="1">
      <c r="A601" t="inlineStr">
        <is>
          <t>A 34929-2024</t>
        </is>
      </c>
      <c r="B601" s="1" t="n">
        <v>45527</v>
      </c>
      <c r="C601" s="1" t="n">
        <v>45587</v>
      </c>
      <c r="D601" t="inlineStr">
        <is>
          <t>DALARNAS LÄN</t>
        </is>
      </c>
      <c r="E601" t="inlineStr">
        <is>
          <t>HEDEMORA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34928-2024</t>
        </is>
      </c>
      <c r="B602" s="1" t="n">
        <v>45527</v>
      </c>
      <c r="C602" s="1" t="n">
        <v>45587</v>
      </c>
      <c r="D602" t="inlineStr">
        <is>
          <t>DALARNAS LÄN</t>
        </is>
      </c>
      <c r="E602" t="inlineStr">
        <is>
          <t>HEDEMORA</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34932-2024</t>
        </is>
      </c>
      <c r="B603" s="1" t="n">
        <v>45527</v>
      </c>
      <c r="C603" s="1" t="n">
        <v>45587</v>
      </c>
      <c r="D603" t="inlineStr">
        <is>
          <t>DALARNAS LÄN</t>
        </is>
      </c>
      <c r="E603" t="inlineStr">
        <is>
          <t>HEDEMORA</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34931-2024</t>
        </is>
      </c>
      <c r="B604" s="1" t="n">
        <v>45527</v>
      </c>
      <c r="C604" s="1" t="n">
        <v>45587</v>
      </c>
      <c r="D604" t="inlineStr">
        <is>
          <t>DALARNAS LÄN</t>
        </is>
      </c>
      <c r="E604" t="inlineStr">
        <is>
          <t>HEDEMORA</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35847-2024</t>
        </is>
      </c>
      <c r="B605" s="1" t="n">
        <v>45532</v>
      </c>
      <c r="C605" s="1" t="n">
        <v>45587</v>
      </c>
      <c r="D605" t="inlineStr">
        <is>
          <t>DALARNAS LÄN</t>
        </is>
      </c>
      <c r="E605" t="inlineStr">
        <is>
          <t>HEDEMORA</t>
        </is>
      </c>
      <c r="G605" t="n">
        <v>4.4</v>
      </c>
      <c r="H605" t="n">
        <v>0</v>
      </c>
      <c r="I605" t="n">
        <v>0</v>
      </c>
      <c r="J605" t="n">
        <v>0</v>
      </c>
      <c r="K605" t="n">
        <v>0</v>
      </c>
      <c r="L605" t="n">
        <v>0</v>
      </c>
      <c r="M605" t="n">
        <v>0</v>
      </c>
      <c r="N605" t="n">
        <v>0</v>
      </c>
      <c r="O605" t="n">
        <v>0</v>
      </c>
      <c r="P605" t="n">
        <v>0</v>
      </c>
      <c r="Q605" t="n">
        <v>0</v>
      </c>
      <c r="R605" s="2" t="inlineStr"/>
    </row>
    <row r="606" ht="15" customHeight="1">
      <c r="A606" t="inlineStr">
        <is>
          <t>A 36298-2024</t>
        </is>
      </c>
      <c r="B606" s="1" t="n">
        <v>45534</v>
      </c>
      <c r="C606" s="1" t="n">
        <v>45587</v>
      </c>
      <c r="D606" t="inlineStr">
        <is>
          <t>DALARNAS LÄN</t>
        </is>
      </c>
      <c r="E606" t="inlineStr">
        <is>
          <t>HEDEMORA</t>
        </is>
      </c>
      <c r="F606" t="inlineStr">
        <is>
          <t>Kommuner</t>
        </is>
      </c>
      <c r="G606" t="n">
        <v>3.4</v>
      </c>
      <c r="H606" t="n">
        <v>0</v>
      </c>
      <c r="I606" t="n">
        <v>0</v>
      </c>
      <c r="J606" t="n">
        <v>0</v>
      </c>
      <c r="K606" t="n">
        <v>0</v>
      </c>
      <c r="L606" t="n">
        <v>0</v>
      </c>
      <c r="M606" t="n">
        <v>0</v>
      </c>
      <c r="N606" t="n">
        <v>0</v>
      </c>
      <c r="O606" t="n">
        <v>0</v>
      </c>
      <c r="P606" t="n">
        <v>0</v>
      </c>
      <c r="Q606" t="n">
        <v>0</v>
      </c>
      <c r="R606" s="2" t="inlineStr"/>
    </row>
    <row r="607" ht="15" customHeight="1">
      <c r="A607" t="inlineStr">
        <is>
          <t>A 36306-2024</t>
        </is>
      </c>
      <c r="B607" s="1" t="n">
        <v>45534</v>
      </c>
      <c r="C607" s="1" t="n">
        <v>45587</v>
      </c>
      <c r="D607" t="inlineStr">
        <is>
          <t>DALARNAS LÄN</t>
        </is>
      </c>
      <c r="E607" t="inlineStr">
        <is>
          <t>HEDEMORA</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36299-2024</t>
        </is>
      </c>
      <c r="B608" s="1" t="n">
        <v>45534</v>
      </c>
      <c r="C608" s="1" t="n">
        <v>45587</v>
      </c>
      <c r="D608" t="inlineStr">
        <is>
          <t>DALARNAS LÄN</t>
        </is>
      </c>
      <c r="E608" t="inlineStr">
        <is>
          <t>HEDEMORA</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36304-2024</t>
        </is>
      </c>
      <c r="B609" s="1" t="n">
        <v>45534</v>
      </c>
      <c r="C609" s="1" t="n">
        <v>45587</v>
      </c>
      <c r="D609" t="inlineStr">
        <is>
          <t>DALARNAS LÄN</t>
        </is>
      </c>
      <c r="E609" t="inlineStr">
        <is>
          <t>HEDEMORA</t>
        </is>
      </c>
      <c r="F609" t="inlineStr">
        <is>
          <t>Sveaskog</t>
        </is>
      </c>
      <c r="G609" t="n">
        <v>6.1</v>
      </c>
      <c r="H609" t="n">
        <v>0</v>
      </c>
      <c r="I609" t="n">
        <v>0</v>
      </c>
      <c r="J609" t="n">
        <v>0</v>
      </c>
      <c r="K609" t="n">
        <v>0</v>
      </c>
      <c r="L609" t="n">
        <v>0</v>
      </c>
      <c r="M609" t="n">
        <v>0</v>
      </c>
      <c r="N609" t="n">
        <v>0</v>
      </c>
      <c r="O609" t="n">
        <v>0</v>
      </c>
      <c r="P609" t="n">
        <v>0</v>
      </c>
      <c r="Q609" t="n">
        <v>0</v>
      </c>
      <c r="R609" s="2" t="inlineStr"/>
    </row>
    <row r="610" ht="15" customHeight="1">
      <c r="A610" t="inlineStr">
        <is>
          <t>A 36560-2024</t>
        </is>
      </c>
      <c r="B610" s="1" t="n">
        <v>45537</v>
      </c>
      <c r="C610" s="1" t="n">
        <v>45587</v>
      </c>
      <c r="D610" t="inlineStr">
        <is>
          <t>DALARNAS LÄN</t>
        </is>
      </c>
      <c r="E610" t="inlineStr">
        <is>
          <t>HEDEMORA</t>
        </is>
      </c>
      <c r="F610" t="inlineStr">
        <is>
          <t>Sveaskog</t>
        </is>
      </c>
      <c r="G610" t="n">
        <v>5.6</v>
      </c>
      <c r="H610" t="n">
        <v>0</v>
      </c>
      <c r="I610" t="n">
        <v>0</v>
      </c>
      <c r="J610" t="n">
        <v>0</v>
      </c>
      <c r="K610" t="n">
        <v>0</v>
      </c>
      <c r="L610" t="n">
        <v>0</v>
      </c>
      <c r="M610" t="n">
        <v>0</v>
      </c>
      <c r="N610" t="n">
        <v>0</v>
      </c>
      <c r="O610" t="n">
        <v>0</v>
      </c>
      <c r="P610" t="n">
        <v>0</v>
      </c>
      <c r="Q610" t="n">
        <v>0</v>
      </c>
      <c r="R610" s="2" t="inlineStr"/>
    </row>
    <row r="611" ht="15" customHeight="1">
      <c r="A611" t="inlineStr">
        <is>
          <t>A 36507-2024</t>
        </is>
      </c>
      <c r="B611" s="1" t="n">
        <v>45537</v>
      </c>
      <c r="C611" s="1" t="n">
        <v>45587</v>
      </c>
      <c r="D611" t="inlineStr">
        <is>
          <t>DALARNAS LÄN</t>
        </is>
      </c>
      <c r="E611" t="inlineStr">
        <is>
          <t>HEDEMORA</t>
        </is>
      </c>
      <c r="G611" t="n">
        <v>1.7</v>
      </c>
      <c r="H611" t="n">
        <v>0</v>
      </c>
      <c r="I611" t="n">
        <v>0</v>
      </c>
      <c r="J611" t="n">
        <v>0</v>
      </c>
      <c r="K611" t="n">
        <v>0</v>
      </c>
      <c r="L611" t="n">
        <v>0</v>
      </c>
      <c r="M611" t="n">
        <v>0</v>
      </c>
      <c r="N611" t="n">
        <v>0</v>
      </c>
      <c r="O611" t="n">
        <v>0</v>
      </c>
      <c r="P611" t="n">
        <v>0</v>
      </c>
      <c r="Q611" t="n">
        <v>0</v>
      </c>
      <c r="R611" s="2" t="inlineStr"/>
    </row>
    <row r="612" ht="15" customHeight="1">
      <c r="A612" t="inlineStr">
        <is>
          <t>A 36935-2024</t>
        </is>
      </c>
      <c r="B612" s="1" t="n">
        <v>45538</v>
      </c>
      <c r="C612" s="1" t="n">
        <v>45587</v>
      </c>
      <c r="D612" t="inlineStr">
        <is>
          <t>DALARNAS LÄN</t>
        </is>
      </c>
      <c r="E612" t="inlineStr">
        <is>
          <t>HEDEMORA</t>
        </is>
      </c>
      <c r="G612" t="n">
        <v>1.4</v>
      </c>
      <c r="H612" t="n">
        <v>0</v>
      </c>
      <c r="I612" t="n">
        <v>0</v>
      </c>
      <c r="J612" t="n">
        <v>0</v>
      </c>
      <c r="K612" t="n">
        <v>0</v>
      </c>
      <c r="L612" t="n">
        <v>0</v>
      </c>
      <c r="M612" t="n">
        <v>0</v>
      </c>
      <c r="N612" t="n">
        <v>0</v>
      </c>
      <c r="O612" t="n">
        <v>0</v>
      </c>
      <c r="P612" t="n">
        <v>0</v>
      </c>
      <c r="Q612" t="n">
        <v>0</v>
      </c>
      <c r="R612" s="2" t="inlineStr"/>
    </row>
    <row r="613" ht="15" customHeight="1">
      <c r="A613" t="inlineStr">
        <is>
          <t>A 36938-2024</t>
        </is>
      </c>
      <c r="B613" s="1" t="n">
        <v>45538</v>
      </c>
      <c r="C613" s="1" t="n">
        <v>45587</v>
      </c>
      <c r="D613" t="inlineStr">
        <is>
          <t>DALARNAS LÄN</t>
        </is>
      </c>
      <c r="E613" t="inlineStr">
        <is>
          <t>HEDEMORA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37449-2024</t>
        </is>
      </c>
      <c r="B614" s="1" t="n">
        <v>45540</v>
      </c>
      <c r="C614" s="1" t="n">
        <v>45587</v>
      </c>
      <c r="D614" t="inlineStr">
        <is>
          <t>DALARNAS LÄN</t>
        </is>
      </c>
      <c r="E614" t="inlineStr">
        <is>
          <t>HEDEMORA</t>
        </is>
      </c>
      <c r="F614" t="inlineStr">
        <is>
          <t>Bergvik skog väst AB</t>
        </is>
      </c>
      <c r="G614" t="n">
        <v>10.1</v>
      </c>
      <c r="H614" t="n">
        <v>0</v>
      </c>
      <c r="I614" t="n">
        <v>0</v>
      </c>
      <c r="J614" t="n">
        <v>0</v>
      </c>
      <c r="K614" t="n">
        <v>0</v>
      </c>
      <c r="L614" t="n">
        <v>0</v>
      </c>
      <c r="M614" t="n">
        <v>0</v>
      </c>
      <c r="N614" t="n">
        <v>0</v>
      </c>
      <c r="O614" t="n">
        <v>0</v>
      </c>
      <c r="P614" t="n">
        <v>0</v>
      </c>
      <c r="Q614" t="n">
        <v>0</v>
      </c>
      <c r="R614" s="2" t="inlineStr"/>
    </row>
    <row r="615" ht="15" customHeight="1">
      <c r="A615" t="inlineStr">
        <is>
          <t>A 37759-2024</t>
        </is>
      </c>
      <c r="B615" s="1" t="n">
        <v>45541</v>
      </c>
      <c r="C615" s="1" t="n">
        <v>45587</v>
      </c>
      <c r="D615" t="inlineStr">
        <is>
          <t>DALARNAS LÄN</t>
        </is>
      </c>
      <c r="E615" t="inlineStr">
        <is>
          <t>HEDEMORA</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37761-2024</t>
        </is>
      </c>
      <c r="B616" s="1" t="n">
        <v>45541</v>
      </c>
      <c r="C616" s="1" t="n">
        <v>45587</v>
      </c>
      <c r="D616" t="inlineStr">
        <is>
          <t>DALARNAS LÄN</t>
        </is>
      </c>
      <c r="E616" t="inlineStr">
        <is>
          <t>HEDEMORA</t>
        </is>
      </c>
      <c r="F616" t="inlineStr">
        <is>
          <t>Sveaskog</t>
        </is>
      </c>
      <c r="G616" t="n">
        <v>4.4</v>
      </c>
      <c r="H616" t="n">
        <v>0</v>
      </c>
      <c r="I616" t="n">
        <v>0</v>
      </c>
      <c r="J616" t="n">
        <v>0</v>
      </c>
      <c r="K616" t="n">
        <v>0</v>
      </c>
      <c r="L616" t="n">
        <v>0</v>
      </c>
      <c r="M616" t="n">
        <v>0</v>
      </c>
      <c r="N616" t="n">
        <v>0</v>
      </c>
      <c r="O616" t="n">
        <v>0</v>
      </c>
      <c r="P616" t="n">
        <v>0</v>
      </c>
      <c r="Q616" t="n">
        <v>0</v>
      </c>
      <c r="R616" s="2" t="inlineStr"/>
    </row>
    <row r="617" ht="15" customHeight="1">
      <c r="A617" t="inlineStr">
        <is>
          <t>A 37762-2024</t>
        </is>
      </c>
      <c r="B617" s="1" t="n">
        <v>45541</v>
      </c>
      <c r="C617" s="1" t="n">
        <v>45587</v>
      </c>
      <c r="D617" t="inlineStr">
        <is>
          <t>DALARNAS LÄN</t>
        </is>
      </c>
      <c r="E617" t="inlineStr">
        <is>
          <t>HEDEMORA</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37766-2024</t>
        </is>
      </c>
      <c r="B618" s="1" t="n">
        <v>45541</v>
      </c>
      <c r="C618" s="1" t="n">
        <v>45587</v>
      </c>
      <c r="D618" t="inlineStr">
        <is>
          <t>DALARNAS LÄN</t>
        </is>
      </c>
      <c r="E618" t="inlineStr">
        <is>
          <t>HEDEMORA</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37805-2024</t>
        </is>
      </c>
      <c r="B619" s="1" t="n">
        <v>45543</v>
      </c>
      <c r="C619" s="1" t="n">
        <v>45587</v>
      </c>
      <c r="D619" t="inlineStr">
        <is>
          <t>DALARNAS LÄN</t>
        </is>
      </c>
      <c r="E619" t="inlineStr">
        <is>
          <t>HEDEMORA</t>
        </is>
      </c>
      <c r="F619" t="inlineStr">
        <is>
          <t>Bergvik skog väst AB</t>
        </is>
      </c>
      <c r="G619" t="n">
        <v>9</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45587</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37806-2024</t>
        </is>
      </c>
      <c r="B621" s="1" t="n">
        <v>45543</v>
      </c>
      <c r="C621" s="1" t="n">
        <v>45587</v>
      </c>
      <c r="D621" t="inlineStr">
        <is>
          <t>DALARNAS LÄN</t>
        </is>
      </c>
      <c r="E621" t="inlineStr">
        <is>
          <t>HEDEMORA</t>
        </is>
      </c>
      <c r="F621" t="inlineStr">
        <is>
          <t>Bergvik skog väst AB</t>
        </is>
      </c>
      <c r="G621" t="n">
        <v>3.5</v>
      </c>
      <c r="H621" t="n">
        <v>0</v>
      </c>
      <c r="I621" t="n">
        <v>0</v>
      </c>
      <c r="J621" t="n">
        <v>0</v>
      </c>
      <c r="K621" t="n">
        <v>0</v>
      </c>
      <c r="L621" t="n">
        <v>0</v>
      </c>
      <c r="M621" t="n">
        <v>0</v>
      </c>
      <c r="N621" t="n">
        <v>0</v>
      </c>
      <c r="O621" t="n">
        <v>0</v>
      </c>
      <c r="P621" t="n">
        <v>0</v>
      </c>
      <c r="Q621" t="n">
        <v>0</v>
      </c>
      <c r="R621" s="2" t="inlineStr"/>
    </row>
    <row r="622" ht="15" customHeight="1">
      <c r="A622" t="inlineStr">
        <is>
          <t>A 39209-2024</t>
        </is>
      </c>
      <c r="B622" s="1" t="n">
        <v>45548</v>
      </c>
      <c r="C622" s="1" t="n">
        <v>45587</v>
      </c>
      <c r="D622" t="inlineStr">
        <is>
          <t>DALARNAS LÄN</t>
        </is>
      </c>
      <c r="E622" t="inlineStr">
        <is>
          <t>HEDEMORA</t>
        </is>
      </c>
      <c r="G622" t="n">
        <v>2.6</v>
      </c>
      <c r="H622" t="n">
        <v>0</v>
      </c>
      <c r="I622" t="n">
        <v>0</v>
      </c>
      <c r="J622" t="n">
        <v>0</v>
      </c>
      <c r="K622" t="n">
        <v>0</v>
      </c>
      <c r="L622" t="n">
        <v>0</v>
      </c>
      <c r="M622" t="n">
        <v>0</v>
      </c>
      <c r="N622" t="n">
        <v>0</v>
      </c>
      <c r="O622" t="n">
        <v>0</v>
      </c>
      <c r="P622" t="n">
        <v>0</v>
      </c>
      <c r="Q622" t="n">
        <v>0</v>
      </c>
      <c r="R622" s="2" t="inlineStr"/>
    </row>
    <row r="623" ht="15" customHeight="1">
      <c r="A623" t="inlineStr">
        <is>
          <t>A 39531-2024</t>
        </is>
      </c>
      <c r="B623" s="1" t="n">
        <v>45551</v>
      </c>
      <c r="C623" s="1" t="n">
        <v>45587</v>
      </c>
      <c r="D623" t="inlineStr">
        <is>
          <t>DALARNAS LÄN</t>
        </is>
      </c>
      <c r="E623" t="inlineStr">
        <is>
          <t>HEDEMORA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45587</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39530-2024</t>
        </is>
      </c>
      <c r="B625" s="1" t="n">
        <v>45551</v>
      </c>
      <c r="C625" s="1" t="n">
        <v>45587</v>
      </c>
      <c r="D625" t="inlineStr">
        <is>
          <t>DALARNAS LÄN</t>
        </is>
      </c>
      <c r="E625" t="inlineStr">
        <is>
          <t>HEDEMORA</t>
        </is>
      </c>
      <c r="F625" t="inlineStr">
        <is>
          <t>Bergvik skog väst AB</t>
        </is>
      </c>
      <c r="G625" t="n">
        <v>13.8</v>
      </c>
      <c r="H625" t="n">
        <v>0</v>
      </c>
      <c r="I625" t="n">
        <v>0</v>
      </c>
      <c r="J625" t="n">
        <v>0</v>
      </c>
      <c r="K625" t="n">
        <v>0</v>
      </c>
      <c r="L625" t="n">
        <v>0</v>
      </c>
      <c r="M625" t="n">
        <v>0</v>
      </c>
      <c r="N625" t="n">
        <v>0</v>
      </c>
      <c r="O625" t="n">
        <v>0</v>
      </c>
      <c r="P625" t="n">
        <v>0</v>
      </c>
      <c r="Q625" t="n">
        <v>0</v>
      </c>
      <c r="R625" s="2" t="inlineStr"/>
    </row>
    <row r="626" ht="15" customHeight="1">
      <c r="A626" t="inlineStr">
        <is>
          <t>A 40801-2024</t>
        </is>
      </c>
      <c r="B626" s="1" t="n">
        <v>45558</v>
      </c>
      <c r="C626" s="1" t="n">
        <v>45587</v>
      </c>
      <c r="D626" t="inlineStr">
        <is>
          <t>DALARNAS LÄN</t>
        </is>
      </c>
      <c r="E626" t="inlineStr">
        <is>
          <t>HEDEMORA</t>
        </is>
      </c>
      <c r="G626" t="n">
        <v>2.2</v>
      </c>
      <c r="H626" t="n">
        <v>0</v>
      </c>
      <c r="I626" t="n">
        <v>0</v>
      </c>
      <c r="J626" t="n">
        <v>0</v>
      </c>
      <c r="K626" t="n">
        <v>0</v>
      </c>
      <c r="L626" t="n">
        <v>0</v>
      </c>
      <c r="M626" t="n">
        <v>0</v>
      </c>
      <c r="N626" t="n">
        <v>0</v>
      </c>
      <c r="O626" t="n">
        <v>0</v>
      </c>
      <c r="P626" t="n">
        <v>0</v>
      </c>
      <c r="Q626" t="n">
        <v>0</v>
      </c>
      <c r="R626" s="2" t="inlineStr"/>
    </row>
    <row r="627" ht="15" customHeight="1">
      <c r="A627" t="inlineStr">
        <is>
          <t>A 42616-2024</t>
        </is>
      </c>
      <c r="B627" s="1" t="n">
        <v>45565</v>
      </c>
      <c r="C627" s="1" t="n">
        <v>45587</v>
      </c>
      <c r="D627" t="inlineStr">
        <is>
          <t>DALARNAS LÄN</t>
        </is>
      </c>
      <c r="E627" t="inlineStr">
        <is>
          <t>HEDEMORA</t>
        </is>
      </c>
      <c r="F627" t="inlineStr">
        <is>
          <t>Sveaskog</t>
        </is>
      </c>
      <c r="G627" t="n">
        <v>5.8</v>
      </c>
      <c r="H627" t="n">
        <v>0</v>
      </c>
      <c r="I627" t="n">
        <v>0</v>
      </c>
      <c r="J627" t="n">
        <v>0</v>
      </c>
      <c r="K627" t="n">
        <v>0</v>
      </c>
      <c r="L627" t="n">
        <v>0</v>
      </c>
      <c r="M627" t="n">
        <v>0</v>
      </c>
      <c r="N627" t="n">
        <v>0</v>
      </c>
      <c r="O627" t="n">
        <v>0</v>
      </c>
      <c r="P627" t="n">
        <v>0</v>
      </c>
      <c r="Q627" t="n">
        <v>0</v>
      </c>
      <c r="R627" s="2" t="inlineStr"/>
    </row>
    <row r="628" ht="15" customHeight="1">
      <c r="A628" t="inlineStr">
        <is>
          <t>A 42586-2024</t>
        </is>
      </c>
      <c r="B628" s="1" t="n">
        <v>45565</v>
      </c>
      <c r="C628" s="1" t="n">
        <v>45587</v>
      </c>
      <c r="D628" t="inlineStr">
        <is>
          <t>DALARNAS LÄN</t>
        </is>
      </c>
      <c r="E628" t="inlineStr">
        <is>
          <t>HEDEMORA</t>
        </is>
      </c>
      <c r="G628" t="n">
        <v>0.8</v>
      </c>
      <c r="H628" t="n">
        <v>0</v>
      </c>
      <c r="I628" t="n">
        <v>0</v>
      </c>
      <c r="J628" t="n">
        <v>0</v>
      </c>
      <c r="K628" t="n">
        <v>0</v>
      </c>
      <c r="L628" t="n">
        <v>0</v>
      </c>
      <c r="M628" t="n">
        <v>0</v>
      </c>
      <c r="N628" t="n">
        <v>0</v>
      </c>
      <c r="O628" t="n">
        <v>0</v>
      </c>
      <c r="P628" t="n">
        <v>0</v>
      </c>
      <c r="Q628" t="n">
        <v>0</v>
      </c>
      <c r="R628" s="2" t="inlineStr"/>
    </row>
    <row r="629" ht="15" customHeight="1">
      <c r="A629" t="inlineStr">
        <is>
          <t>A 42891-2024</t>
        </is>
      </c>
      <c r="B629" s="1" t="n">
        <v>45566</v>
      </c>
      <c r="C629" s="1" t="n">
        <v>45587</v>
      </c>
      <c r="D629" t="inlineStr">
        <is>
          <t>DALARNAS LÄN</t>
        </is>
      </c>
      <c r="E629" t="inlineStr">
        <is>
          <t>HEDEMORA</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42895-2024</t>
        </is>
      </c>
      <c r="B630" s="1" t="n">
        <v>45566</v>
      </c>
      <c r="C630" s="1" t="n">
        <v>45587</v>
      </c>
      <c r="D630" t="inlineStr">
        <is>
          <t>DALARNAS LÄN</t>
        </is>
      </c>
      <c r="E630" t="inlineStr">
        <is>
          <t>HEDEMORA</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42890-2024</t>
        </is>
      </c>
      <c r="B631" s="1" t="n">
        <v>45566</v>
      </c>
      <c r="C631" s="1" t="n">
        <v>45587</v>
      </c>
      <c r="D631" t="inlineStr">
        <is>
          <t>DALARNAS LÄN</t>
        </is>
      </c>
      <c r="E631" t="inlineStr">
        <is>
          <t>HEDEMORA</t>
        </is>
      </c>
      <c r="F631" t="inlineStr">
        <is>
          <t>Sveaskog</t>
        </is>
      </c>
      <c r="G631" t="n">
        <v>4.1</v>
      </c>
      <c r="H631" t="n">
        <v>0</v>
      </c>
      <c r="I631" t="n">
        <v>0</v>
      </c>
      <c r="J631" t="n">
        <v>0</v>
      </c>
      <c r="K631" t="n">
        <v>0</v>
      </c>
      <c r="L631" t="n">
        <v>0</v>
      </c>
      <c r="M631" t="n">
        <v>0</v>
      </c>
      <c r="N631" t="n">
        <v>0</v>
      </c>
      <c r="O631" t="n">
        <v>0</v>
      </c>
      <c r="P631" t="n">
        <v>0</v>
      </c>
      <c r="Q631" t="n">
        <v>0</v>
      </c>
      <c r="R631" s="2" t="inlineStr"/>
    </row>
    <row r="632" ht="15" customHeight="1">
      <c r="A632" t="inlineStr">
        <is>
          <t>A 42894-2024</t>
        </is>
      </c>
      <c r="B632" s="1" t="n">
        <v>45566</v>
      </c>
      <c r="C632" s="1" t="n">
        <v>45587</v>
      </c>
      <c r="D632" t="inlineStr">
        <is>
          <t>DALARNAS LÄN</t>
        </is>
      </c>
      <c r="E632" t="inlineStr">
        <is>
          <t>HEDEMORA</t>
        </is>
      </c>
      <c r="F632" t="inlineStr">
        <is>
          <t>Sveaskog</t>
        </is>
      </c>
      <c r="G632" t="n">
        <v>2.2</v>
      </c>
      <c r="H632" t="n">
        <v>0</v>
      </c>
      <c r="I632" t="n">
        <v>0</v>
      </c>
      <c r="J632" t="n">
        <v>0</v>
      </c>
      <c r="K632" t="n">
        <v>0</v>
      </c>
      <c r="L632" t="n">
        <v>0</v>
      </c>
      <c r="M632" t="n">
        <v>0</v>
      </c>
      <c r="N632" t="n">
        <v>0</v>
      </c>
      <c r="O632" t="n">
        <v>0</v>
      </c>
      <c r="P632" t="n">
        <v>0</v>
      </c>
      <c r="Q632" t="n">
        <v>0</v>
      </c>
      <c r="R632" s="2" t="inlineStr"/>
    </row>
    <row r="633" ht="15" customHeight="1">
      <c r="A633" t="inlineStr">
        <is>
          <t>A 42892-2024</t>
        </is>
      </c>
      <c r="B633" s="1" t="n">
        <v>45566</v>
      </c>
      <c r="C633" s="1" t="n">
        <v>45587</v>
      </c>
      <c r="D633" t="inlineStr">
        <is>
          <t>DALARNAS LÄN</t>
        </is>
      </c>
      <c r="E633" t="inlineStr">
        <is>
          <t>HEDEMORA</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43626-2024</t>
        </is>
      </c>
      <c r="B634" s="1" t="n">
        <v>45569</v>
      </c>
      <c r="C634" s="1" t="n">
        <v>45587</v>
      </c>
      <c r="D634" t="inlineStr">
        <is>
          <t>DALARNAS LÄN</t>
        </is>
      </c>
      <c r="E634" t="inlineStr">
        <is>
          <t>HEDEMORA</t>
        </is>
      </c>
      <c r="G634" t="n">
        <v>4.1</v>
      </c>
      <c r="H634" t="n">
        <v>0</v>
      </c>
      <c r="I634" t="n">
        <v>0</v>
      </c>
      <c r="J634" t="n">
        <v>0</v>
      </c>
      <c r="K634" t="n">
        <v>0</v>
      </c>
      <c r="L634" t="n">
        <v>0</v>
      </c>
      <c r="M634" t="n">
        <v>0</v>
      </c>
      <c r="N634" t="n">
        <v>0</v>
      </c>
      <c r="O634" t="n">
        <v>0</v>
      </c>
      <c r="P634" t="n">
        <v>0</v>
      </c>
      <c r="Q634" t="n">
        <v>0</v>
      </c>
      <c r="R634" s="2" t="inlineStr"/>
    </row>
    <row r="635" ht="15" customHeight="1">
      <c r="A635" t="inlineStr">
        <is>
          <t>A 43621-2024</t>
        </is>
      </c>
      <c r="B635" s="1" t="n">
        <v>45569</v>
      </c>
      <c r="C635" s="1" t="n">
        <v>45587</v>
      </c>
      <c r="D635" t="inlineStr">
        <is>
          <t>DALARNAS LÄN</t>
        </is>
      </c>
      <c r="E635" t="inlineStr">
        <is>
          <t>HEDEMORA</t>
        </is>
      </c>
      <c r="G635" t="n">
        <v>2.4</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45587</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45587</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45587</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45216-2024</t>
        </is>
      </c>
      <c r="B639" s="1" t="n">
        <v>45575</v>
      </c>
      <c r="C639" s="1" t="n">
        <v>45587</v>
      </c>
      <c r="D639" t="inlineStr">
        <is>
          <t>DALARNAS LÄN</t>
        </is>
      </c>
      <c r="E639" t="inlineStr">
        <is>
          <t>HEDEMORA</t>
        </is>
      </c>
      <c r="G639" t="n">
        <v>2.2</v>
      </c>
      <c r="H639" t="n">
        <v>0</v>
      </c>
      <c r="I639" t="n">
        <v>0</v>
      </c>
      <c r="J639" t="n">
        <v>0</v>
      </c>
      <c r="K639" t="n">
        <v>0</v>
      </c>
      <c r="L639" t="n">
        <v>0</v>
      </c>
      <c r="M639" t="n">
        <v>0</v>
      </c>
      <c r="N639" t="n">
        <v>0</v>
      </c>
      <c r="O639" t="n">
        <v>0</v>
      </c>
      <c r="P639" t="n">
        <v>0</v>
      </c>
      <c r="Q639" t="n">
        <v>0</v>
      </c>
      <c r="R639" s="2" t="inlineStr"/>
    </row>
    <row r="640" ht="15" customHeight="1">
      <c r="A640" t="inlineStr">
        <is>
          <t>A 45218-2024</t>
        </is>
      </c>
      <c r="B640" s="1" t="n">
        <v>45575</v>
      </c>
      <c r="C640" s="1" t="n">
        <v>45587</v>
      </c>
      <c r="D640" t="inlineStr">
        <is>
          <t>DALARNAS LÄN</t>
        </is>
      </c>
      <c r="E640" t="inlineStr">
        <is>
          <t>HEDEMORA</t>
        </is>
      </c>
      <c r="G640" t="n">
        <v>2</v>
      </c>
      <c r="H640" t="n">
        <v>0</v>
      </c>
      <c r="I640" t="n">
        <v>0</v>
      </c>
      <c r="J640" t="n">
        <v>0</v>
      </c>
      <c r="K640" t="n">
        <v>0</v>
      </c>
      <c r="L640" t="n">
        <v>0</v>
      </c>
      <c r="M640" t="n">
        <v>0</v>
      </c>
      <c r="N640" t="n">
        <v>0</v>
      </c>
      <c r="O640" t="n">
        <v>0</v>
      </c>
      <c r="P640" t="n">
        <v>0</v>
      </c>
      <c r="Q640" t="n">
        <v>0</v>
      </c>
      <c r="R640" s="2" t="inlineStr"/>
    </row>
    <row r="641" ht="15" customHeight="1">
      <c r="A641" t="inlineStr">
        <is>
          <t>A 45377-2024</t>
        </is>
      </c>
      <c r="B641" s="1" t="n">
        <v>45576</v>
      </c>
      <c r="C641" s="1" t="n">
        <v>45587</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row r="642" ht="15" customHeight="1">
      <c r="A642" t="inlineStr">
        <is>
          <t>A 45730-2024</t>
        </is>
      </c>
      <c r="B642" s="1" t="n">
        <v>45579</v>
      </c>
      <c r="C642" s="1" t="n">
        <v>45587</v>
      </c>
      <c r="D642" t="inlineStr">
        <is>
          <t>DALARNAS LÄN</t>
        </is>
      </c>
      <c r="E642" t="inlineStr">
        <is>
          <t>HEDEMORA</t>
        </is>
      </c>
      <c r="G642" t="n">
        <v>4.5</v>
      </c>
      <c r="H642" t="n">
        <v>0</v>
      </c>
      <c r="I642" t="n">
        <v>0</v>
      </c>
      <c r="J642" t="n">
        <v>0</v>
      </c>
      <c r="K642" t="n">
        <v>0</v>
      </c>
      <c r="L642" t="n">
        <v>0</v>
      </c>
      <c r="M642" t="n">
        <v>0</v>
      </c>
      <c r="N642" t="n">
        <v>0</v>
      </c>
      <c r="O642" t="n">
        <v>0</v>
      </c>
      <c r="P642" t="n">
        <v>0</v>
      </c>
      <c r="Q642" t="n">
        <v>0</v>
      </c>
      <c r="R642" s="2" t="inlineStr"/>
    </row>
    <row r="643" ht="15" customHeight="1">
      <c r="A643" t="inlineStr">
        <is>
          <t>A 45709-2024</t>
        </is>
      </c>
      <c r="B643" s="1" t="n">
        <v>45579</v>
      </c>
      <c r="C643" s="1" t="n">
        <v>45587</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row r="644">
      <c r="A644" t="inlineStr">
        <is>
          <t>A 46825-2024</t>
        </is>
      </c>
      <c r="B644" s="1" t="n">
        <v>45583</v>
      </c>
      <c r="C644" s="1" t="n">
        <v>45587</v>
      </c>
      <c r="D644" t="inlineStr">
        <is>
          <t>DALARNAS LÄN</t>
        </is>
      </c>
      <c r="E644" t="inlineStr">
        <is>
          <t>HEDEMORA</t>
        </is>
      </c>
      <c r="G644" t="n">
        <v>1.1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2024-10-22T13:02:54Z</dcterms:created>
  <dcterms:modified xmlns:dcterms="http://purl.org/dc/terms/" xmlns:xsi="http://www.w3.org/2001/XMLSchema-instance" xsi:type="dcterms:W3CDTF">2024-10-22T13:02:55Z</dcterms:modified>
</cp:coreProperties>
</file>