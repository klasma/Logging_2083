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9053-2020</t>
        </is>
      </c>
      <c r="B2" s="1" t="n">
        <v>43879</v>
      </c>
      <c r="C2" s="1" t="n">
        <v>45294</v>
      </c>
      <c r="D2" t="inlineStr">
        <is>
          <t>DALARNAS LÄN</t>
        </is>
      </c>
      <c r="E2" t="inlineStr">
        <is>
          <t>HEDEMORA</t>
        </is>
      </c>
      <c r="G2" t="n">
        <v>15</v>
      </c>
      <c r="H2" t="n">
        <v>6</v>
      </c>
      <c r="I2" t="n">
        <v>12</v>
      </c>
      <c r="J2" t="n">
        <v>11</v>
      </c>
      <c r="K2" t="n">
        <v>3</v>
      </c>
      <c r="L2" t="n">
        <v>0</v>
      </c>
      <c r="M2" t="n">
        <v>0</v>
      </c>
      <c r="N2" t="n">
        <v>0</v>
      </c>
      <c r="O2" t="n">
        <v>14</v>
      </c>
      <c r="P2" t="n">
        <v>3</v>
      </c>
      <c r="Q2" t="n">
        <v>27</v>
      </c>
      <c r="R2"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row>
    <row r="3" ht="15" customHeight="1">
      <c r="A3" t="inlineStr">
        <is>
          <t>A 58548-2022</t>
        </is>
      </c>
      <c r="B3" s="1" t="n">
        <v>44902</v>
      </c>
      <c r="C3" s="1" t="n">
        <v>45294</v>
      </c>
      <c r="D3" t="inlineStr">
        <is>
          <t>DALARNAS LÄN</t>
        </is>
      </c>
      <c r="E3" t="inlineStr">
        <is>
          <t>HEDEMORA</t>
        </is>
      </c>
      <c r="G3" t="n">
        <v>12.6</v>
      </c>
      <c r="H3" t="n">
        <v>4</v>
      </c>
      <c r="I3" t="n">
        <v>11</v>
      </c>
      <c r="J3" t="n">
        <v>7</v>
      </c>
      <c r="K3" t="n">
        <v>2</v>
      </c>
      <c r="L3" t="n">
        <v>0</v>
      </c>
      <c r="M3" t="n">
        <v>0</v>
      </c>
      <c r="N3" t="n">
        <v>0</v>
      </c>
      <c r="O3" t="n">
        <v>9</v>
      </c>
      <c r="P3" t="n">
        <v>2</v>
      </c>
      <c r="Q3" t="n">
        <v>21</v>
      </c>
      <c r="R3" s="2" t="inlineStr">
        <is>
          <t>Knärot
Rynkskinn
Garnlav
Granticka
Leptoporus mollis
Spillkråka
Talltita
Ullticka
Violettgrå tagellav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row>
    <row r="4" ht="15" customHeight="1">
      <c r="A4" t="inlineStr">
        <is>
          <t>A 18040-2021</t>
        </is>
      </c>
      <c r="B4" s="1" t="n">
        <v>44302</v>
      </c>
      <c r="C4" s="1" t="n">
        <v>45294</v>
      </c>
      <c r="D4" t="inlineStr">
        <is>
          <t>DALARNAS LÄN</t>
        </is>
      </c>
      <c r="E4" t="inlineStr">
        <is>
          <t>HEDEMORA</t>
        </is>
      </c>
      <c r="G4" t="n">
        <v>17.3</v>
      </c>
      <c r="H4" t="n">
        <v>2</v>
      </c>
      <c r="I4" t="n">
        <v>7</v>
      </c>
      <c r="J4" t="n">
        <v>5</v>
      </c>
      <c r="K4" t="n">
        <v>4</v>
      </c>
      <c r="L4" t="n">
        <v>0</v>
      </c>
      <c r="M4" t="n">
        <v>0</v>
      </c>
      <c r="N4" t="n">
        <v>0</v>
      </c>
      <c r="O4" t="n">
        <v>9</v>
      </c>
      <c r="P4" t="n">
        <v>4</v>
      </c>
      <c r="Q4" t="n">
        <v>16</v>
      </c>
      <c r="R4" s="2" t="inlineStr">
        <is>
          <t>Gräddticka
Knärot
Rynkskinn
Ulltickeporing
Kortskaftad ärgspik
Leptoporus mollis
Rosenticka
Tretåig hackspett
Ullticka
Bollvitmossa
Bronshjon
Mindre märgborre
Skarp dropptaggsvamp
Tallfingersvamp
Vedticka
Vågbandad barkbock</t>
        </is>
      </c>
      <c r="S4">
        <f>HYPERLINK("https://klasma.github.io/Logging_2083/artfynd/A 18040-2021 artfynd.xlsx", "A 18040-2021")</f>
        <v/>
      </c>
      <c r="T4">
        <f>HYPERLINK("https://klasma.github.io/Logging_2083/kartor/A 18040-2021 karta.png", "A 18040-2021")</f>
        <v/>
      </c>
      <c r="U4">
        <f>HYPERLINK("https://klasma.github.io/Logging_2083/knärot/A 18040-2021 karta knärot.png", "A 18040-2021")</f>
        <v/>
      </c>
      <c r="V4">
        <f>HYPERLINK("https://klasma.github.io/Logging_2083/klagomål/A 18040-2021 FSC-klagomål.docx", "A 18040-2021")</f>
        <v/>
      </c>
      <c r="W4">
        <f>HYPERLINK("https://klasma.github.io/Logging_2083/klagomålsmail/A 18040-2021 FSC-klagomål mail.docx", "A 18040-2021")</f>
        <v/>
      </c>
      <c r="X4">
        <f>HYPERLINK("https://klasma.github.io/Logging_2083/tillsyn/A 18040-2021 tillsynsbegäran.docx", "A 18040-2021")</f>
        <v/>
      </c>
      <c r="Y4">
        <f>HYPERLINK("https://klasma.github.io/Logging_2083/tillsynsmail/A 18040-2021 tillsynsbegäran mail.docx", "A 18040-2021")</f>
        <v/>
      </c>
    </row>
    <row r="5" ht="15" customHeight="1">
      <c r="A5" t="inlineStr">
        <is>
          <t>A 55899-2023</t>
        </is>
      </c>
      <c r="B5" s="1" t="n">
        <v>45239</v>
      </c>
      <c r="C5" s="1" t="n">
        <v>45294</v>
      </c>
      <c r="D5" t="inlineStr">
        <is>
          <t>DALARNAS LÄN</t>
        </is>
      </c>
      <c r="E5" t="inlineStr">
        <is>
          <t>HEDEMORA</t>
        </is>
      </c>
      <c r="G5" t="n">
        <v>6.9</v>
      </c>
      <c r="H5" t="n">
        <v>5</v>
      </c>
      <c r="I5" t="n">
        <v>5</v>
      </c>
      <c r="J5" t="n">
        <v>7</v>
      </c>
      <c r="K5" t="n">
        <v>2</v>
      </c>
      <c r="L5" t="n">
        <v>0</v>
      </c>
      <c r="M5" t="n">
        <v>0</v>
      </c>
      <c r="N5" t="n">
        <v>0</v>
      </c>
      <c r="O5" t="n">
        <v>9</v>
      </c>
      <c r="P5" t="n">
        <v>2</v>
      </c>
      <c r="Q5" t="n">
        <v>16</v>
      </c>
      <c r="R5" s="2" t="inlineStr">
        <is>
          <t>Knärot
Lammticka
Garnlav
Granticka
Spillkråka
Stjärntagging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row>
    <row r="6" ht="15" customHeight="1">
      <c r="A6" t="inlineStr">
        <is>
          <t>A 42345-2023</t>
        </is>
      </c>
      <c r="B6" s="1" t="n">
        <v>45180</v>
      </c>
      <c r="C6" s="1" t="n">
        <v>45294</v>
      </c>
      <c r="D6" t="inlineStr">
        <is>
          <t>DALARNAS LÄN</t>
        </is>
      </c>
      <c r="E6" t="inlineStr">
        <is>
          <t>HEDEMORA</t>
        </is>
      </c>
      <c r="G6" t="n">
        <v>2.3</v>
      </c>
      <c r="H6" t="n">
        <v>3</v>
      </c>
      <c r="I6" t="n">
        <v>5</v>
      </c>
      <c r="J6" t="n">
        <v>4</v>
      </c>
      <c r="K6" t="n">
        <v>2</v>
      </c>
      <c r="L6" t="n">
        <v>0</v>
      </c>
      <c r="M6" t="n">
        <v>0</v>
      </c>
      <c r="N6" t="n">
        <v>0</v>
      </c>
      <c r="O6" t="n">
        <v>6</v>
      </c>
      <c r="P6" t="n">
        <v>2</v>
      </c>
      <c r="Q6" t="n">
        <v>12</v>
      </c>
      <c r="R6" s="2" t="inlineStr">
        <is>
          <t>Grangråticka
Knärot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row>
    <row r="7" ht="15" customHeight="1">
      <c r="A7" t="inlineStr">
        <is>
          <t>A 41403-2019</t>
        </is>
      </c>
      <c r="B7" s="1" t="n">
        <v>43698</v>
      </c>
      <c r="C7" s="1" t="n">
        <v>45294</v>
      </c>
      <c r="D7" t="inlineStr">
        <is>
          <t>DALARNAS LÄN</t>
        </is>
      </c>
      <c r="E7" t="inlineStr">
        <is>
          <t>HEDEMORA</t>
        </is>
      </c>
      <c r="G7" t="n">
        <v>8.4</v>
      </c>
      <c r="H7" t="n">
        <v>1</v>
      </c>
      <c r="I7" t="n">
        <v>6</v>
      </c>
      <c r="J7" t="n">
        <v>2</v>
      </c>
      <c r="K7" t="n">
        <v>0</v>
      </c>
      <c r="L7" t="n">
        <v>0</v>
      </c>
      <c r="M7" t="n">
        <v>0</v>
      </c>
      <c r="N7" t="n">
        <v>0</v>
      </c>
      <c r="O7" t="n">
        <v>2</v>
      </c>
      <c r="P7" t="n">
        <v>0</v>
      </c>
      <c r="Q7" t="n">
        <v>9</v>
      </c>
      <c r="R7" s="2" t="inlineStr">
        <is>
          <t>Barrviolspindling
Gultoppig fingersvamp
Dropptaggsvamp
Fjällig taggsvamp s.str.
Fransig jordstjärna
Kryddspindling
Svavelriska
Zontaggsvamp
Blåsippa</t>
        </is>
      </c>
      <c r="S7">
        <f>HYPERLINK("https://klasma.github.io/Logging_2083/artfynd/A 41403-2019 artfynd.xlsx", "A 41403-2019")</f>
        <v/>
      </c>
      <c r="T7">
        <f>HYPERLINK("https://klasma.github.io/Logging_2083/kartor/A 41403-2019 karta.png", "A 41403-2019")</f>
        <v/>
      </c>
      <c r="V7">
        <f>HYPERLINK("https://klasma.github.io/Logging_2083/klagomål/A 41403-2019 FSC-klagomål.docx", "A 41403-2019")</f>
        <v/>
      </c>
      <c r="W7">
        <f>HYPERLINK("https://klasma.github.io/Logging_2083/klagomålsmail/A 41403-2019 FSC-klagomål mail.docx", "A 41403-2019")</f>
        <v/>
      </c>
      <c r="X7">
        <f>HYPERLINK("https://klasma.github.io/Logging_2083/tillsyn/A 41403-2019 tillsynsbegäran.docx", "A 41403-2019")</f>
        <v/>
      </c>
      <c r="Y7">
        <f>HYPERLINK("https://klasma.github.io/Logging_2083/tillsynsmail/A 41403-2019 tillsynsbegäran mail.docx", "A 41403-2019")</f>
        <v/>
      </c>
    </row>
    <row r="8" ht="15" customHeight="1">
      <c r="A8" t="inlineStr">
        <is>
          <t>A 49876-2021</t>
        </is>
      </c>
      <c r="B8" s="1" t="n">
        <v>44455</v>
      </c>
      <c r="C8" s="1" t="n">
        <v>45294</v>
      </c>
      <c r="D8" t="inlineStr">
        <is>
          <t>DALARNAS LÄN</t>
        </is>
      </c>
      <c r="E8" t="inlineStr">
        <is>
          <t>HEDEMORA</t>
        </is>
      </c>
      <c r="G8" t="n">
        <v>6.3</v>
      </c>
      <c r="H8" t="n">
        <v>1</v>
      </c>
      <c r="I8" t="n">
        <v>4</v>
      </c>
      <c r="J8" t="n">
        <v>3</v>
      </c>
      <c r="K8" t="n">
        <v>2</v>
      </c>
      <c r="L8" t="n">
        <v>0</v>
      </c>
      <c r="M8" t="n">
        <v>0</v>
      </c>
      <c r="N8" t="n">
        <v>0</v>
      </c>
      <c r="O8" t="n">
        <v>5</v>
      </c>
      <c r="P8" t="n">
        <v>2</v>
      </c>
      <c r="Q8" t="n">
        <v>9</v>
      </c>
      <c r="R8" s="2" t="inlineStr">
        <is>
          <t>Knärot
Rynkskinn
Motaggsvamp
Orange taggsvamp
Ullticka
Blomkålssvamp
Bronshjon
Gullgröppa
Tallfingersvamp</t>
        </is>
      </c>
      <c r="S8">
        <f>HYPERLINK("https://klasma.github.io/Logging_2083/artfynd/A 49876-2021 artfynd.xlsx", "A 49876-2021")</f>
        <v/>
      </c>
      <c r="T8">
        <f>HYPERLINK("https://klasma.github.io/Logging_2083/kartor/A 49876-2021 karta.png", "A 49876-2021")</f>
        <v/>
      </c>
      <c r="U8">
        <f>HYPERLINK("https://klasma.github.io/Logging_2083/knärot/A 49876-2021 karta knärot.png", "A 49876-2021")</f>
        <v/>
      </c>
      <c r="V8">
        <f>HYPERLINK("https://klasma.github.io/Logging_2083/klagomål/A 49876-2021 FSC-klagomål.docx", "A 49876-2021")</f>
        <v/>
      </c>
      <c r="W8">
        <f>HYPERLINK("https://klasma.github.io/Logging_2083/klagomålsmail/A 49876-2021 FSC-klagomål mail.docx", "A 49876-2021")</f>
        <v/>
      </c>
      <c r="X8">
        <f>HYPERLINK("https://klasma.github.io/Logging_2083/tillsyn/A 49876-2021 tillsynsbegäran.docx", "A 49876-2021")</f>
        <v/>
      </c>
      <c r="Y8">
        <f>HYPERLINK("https://klasma.github.io/Logging_2083/tillsynsmail/A 49876-2021 tillsynsbegäran mail.docx", "A 49876-2021")</f>
        <v/>
      </c>
    </row>
    <row r="9" ht="15" customHeight="1">
      <c r="A9" t="inlineStr">
        <is>
          <t>A 62040-2021</t>
        </is>
      </c>
      <c r="B9" s="1" t="n">
        <v>44502</v>
      </c>
      <c r="C9" s="1" t="n">
        <v>45294</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row>
    <row r="10" ht="15" customHeight="1">
      <c r="A10" t="inlineStr">
        <is>
          <t>A 66541-2020</t>
        </is>
      </c>
      <c r="B10" s="1" t="n">
        <v>44179</v>
      </c>
      <c r="C10" s="1" t="n">
        <v>45294</v>
      </c>
      <c r="D10" t="inlineStr">
        <is>
          <t>DALARNAS LÄN</t>
        </is>
      </c>
      <c r="E10" t="inlineStr">
        <is>
          <t>HEDEMORA</t>
        </is>
      </c>
      <c r="G10" t="n">
        <v>1.8</v>
      </c>
      <c r="H10" t="n">
        <v>3</v>
      </c>
      <c r="I10" t="n">
        <v>4</v>
      </c>
      <c r="J10" t="n">
        <v>3</v>
      </c>
      <c r="K10" t="n">
        <v>1</v>
      </c>
      <c r="L10" t="n">
        <v>0</v>
      </c>
      <c r="M10" t="n">
        <v>0</v>
      </c>
      <c r="N10" t="n">
        <v>0</v>
      </c>
      <c r="O10" t="n">
        <v>4</v>
      </c>
      <c r="P10" t="n">
        <v>1</v>
      </c>
      <c r="Q10" t="n">
        <v>8</v>
      </c>
      <c r="R10" s="2" t="inlineStr">
        <is>
          <t>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row>
    <row r="11" ht="15" customHeight="1">
      <c r="A11" t="inlineStr">
        <is>
          <t>A 58505-2022</t>
        </is>
      </c>
      <c r="B11" s="1" t="n">
        <v>44902</v>
      </c>
      <c r="C11" s="1" t="n">
        <v>45294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row>
    <row r="12" ht="15" customHeight="1">
      <c r="A12" t="inlineStr">
        <is>
          <t>A 40951-2018</t>
        </is>
      </c>
      <c r="B12" s="1" t="n">
        <v>43347</v>
      </c>
      <c r="C12" s="1" t="n">
        <v>45294</v>
      </c>
      <c r="D12" t="inlineStr">
        <is>
          <t>DALARNAS LÄN</t>
        </is>
      </c>
      <c r="E12" t="inlineStr">
        <is>
          <t>HEDEMORA</t>
        </is>
      </c>
      <c r="F12" t="inlineStr">
        <is>
          <t>Sveaskog</t>
        </is>
      </c>
      <c r="G12" t="n">
        <v>20.8</v>
      </c>
      <c r="H12" t="n">
        <v>2</v>
      </c>
      <c r="I12" t="n">
        <v>3</v>
      </c>
      <c r="J12" t="n">
        <v>2</v>
      </c>
      <c r="K12" t="n">
        <v>1</v>
      </c>
      <c r="L12" t="n">
        <v>0</v>
      </c>
      <c r="M12" t="n">
        <v>0</v>
      </c>
      <c r="N12" t="n">
        <v>0</v>
      </c>
      <c r="O12" t="n">
        <v>3</v>
      </c>
      <c r="P12" t="n">
        <v>1</v>
      </c>
      <c r="Q12" t="n">
        <v>7</v>
      </c>
      <c r="R12" s="2" t="inlineStr">
        <is>
          <t>Knärot
Garnlav
Ullticka
Mörk husmossa
Svavelriska
Vedticka
Blåsippa</t>
        </is>
      </c>
      <c r="S12">
        <f>HYPERLINK("https://klasma.github.io/Logging_2083/artfynd/A 40951-2018 artfynd.xlsx", "A 40951-2018")</f>
        <v/>
      </c>
      <c r="T12">
        <f>HYPERLINK("https://klasma.github.io/Logging_2083/kartor/A 40951-2018 karta.png", "A 40951-2018")</f>
        <v/>
      </c>
      <c r="U12">
        <f>HYPERLINK("https://klasma.github.io/Logging_2083/knärot/A 40951-2018 karta knärot.png", "A 40951-2018")</f>
        <v/>
      </c>
      <c r="V12">
        <f>HYPERLINK("https://klasma.github.io/Logging_2083/klagomål/A 40951-2018 FSC-klagomål.docx", "A 40951-2018")</f>
        <v/>
      </c>
      <c r="W12">
        <f>HYPERLINK("https://klasma.github.io/Logging_2083/klagomålsmail/A 40951-2018 FSC-klagomål mail.docx", "A 40951-2018")</f>
        <v/>
      </c>
      <c r="X12">
        <f>HYPERLINK("https://klasma.github.io/Logging_2083/tillsyn/A 40951-2018 tillsynsbegäran.docx", "A 40951-2018")</f>
        <v/>
      </c>
      <c r="Y12">
        <f>HYPERLINK("https://klasma.github.io/Logging_2083/tillsynsmail/A 40951-2018 tillsynsbegäran mail.docx", "A 40951-2018")</f>
        <v/>
      </c>
    </row>
    <row r="13" ht="15" customHeight="1">
      <c r="A13" t="inlineStr">
        <is>
          <t>A 54380-2020</t>
        </is>
      </c>
      <c r="B13" s="1" t="n">
        <v>44126</v>
      </c>
      <c r="C13" s="1" t="n">
        <v>45294</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45294</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row>
    <row r="15" ht="15" customHeight="1">
      <c r="A15" t="inlineStr">
        <is>
          <t>A 59378-2023</t>
        </is>
      </c>
      <c r="B15" s="1" t="n">
        <v>45253</v>
      </c>
      <c r="C15" s="1" t="n">
        <v>45294</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45294</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70571-2018</t>
        </is>
      </c>
      <c r="B17" s="1" t="n">
        <v>43451</v>
      </c>
      <c r="C17" s="1" t="n">
        <v>45294</v>
      </c>
      <c r="D17" t="inlineStr">
        <is>
          <t>DALARNAS LÄN</t>
        </is>
      </c>
      <c r="E17" t="inlineStr">
        <is>
          <t>HEDEMORA</t>
        </is>
      </c>
      <c r="F17" t="inlineStr">
        <is>
          <t>Sveaskog</t>
        </is>
      </c>
      <c r="G17" t="n">
        <v>4.2</v>
      </c>
      <c r="H17" t="n">
        <v>5</v>
      </c>
      <c r="I17" t="n">
        <v>0</v>
      </c>
      <c r="J17" t="n">
        <v>4</v>
      </c>
      <c r="K17" t="n">
        <v>0</v>
      </c>
      <c r="L17" t="n">
        <v>0</v>
      </c>
      <c r="M17" t="n">
        <v>0</v>
      </c>
      <c r="N17" t="n">
        <v>0</v>
      </c>
      <c r="O17" t="n">
        <v>4</v>
      </c>
      <c r="P17" t="n">
        <v>0</v>
      </c>
      <c r="Q17" t="n">
        <v>5</v>
      </c>
      <c r="R17" s="2" t="inlineStr">
        <is>
          <t>Duvhök
Rödvingetrast
Spillkråka
Talltita
Vanlig groda</t>
        </is>
      </c>
      <c r="S17">
        <f>HYPERLINK("https://klasma.github.io/Logging_2083/artfynd/A 70571-2018 artfynd.xlsx", "A 70571-2018")</f>
        <v/>
      </c>
      <c r="T17">
        <f>HYPERLINK("https://klasma.github.io/Logging_2083/kartor/A 70571-2018 karta.png", "A 70571-2018")</f>
        <v/>
      </c>
      <c r="V17">
        <f>HYPERLINK("https://klasma.github.io/Logging_2083/klagomål/A 70571-2018 FSC-klagomål.docx", "A 70571-2018")</f>
        <v/>
      </c>
      <c r="W17">
        <f>HYPERLINK("https://klasma.github.io/Logging_2083/klagomålsmail/A 70571-2018 FSC-klagomål mail.docx", "A 70571-2018")</f>
        <v/>
      </c>
      <c r="X17">
        <f>HYPERLINK("https://klasma.github.io/Logging_2083/tillsyn/A 70571-2018 tillsynsbegäran.docx", "A 70571-2018")</f>
        <v/>
      </c>
      <c r="Y17">
        <f>HYPERLINK("https://klasma.github.io/Logging_2083/tillsynsmail/A 70571-2018 tillsynsbegäran mail.docx", "A 70571-2018")</f>
        <v/>
      </c>
    </row>
    <row r="18" ht="15" customHeight="1">
      <c r="A18" t="inlineStr">
        <is>
          <t>A 31534-2021</t>
        </is>
      </c>
      <c r="B18" s="1" t="n">
        <v>44369</v>
      </c>
      <c r="C18" s="1" t="n">
        <v>45294</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row>
    <row r="19" ht="15" customHeight="1">
      <c r="A19" t="inlineStr">
        <is>
          <t>A 45872-2021</t>
        </is>
      </c>
      <c r="B19" s="1" t="n">
        <v>44441</v>
      </c>
      <c r="C19" s="1" t="n">
        <v>45294</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row>
    <row r="20" ht="15" customHeight="1">
      <c r="A20" t="inlineStr">
        <is>
          <t>A 60557-2021</t>
        </is>
      </c>
      <c r="B20" s="1" t="n">
        <v>44495</v>
      </c>
      <c r="C20" s="1" t="n">
        <v>45294</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row>
    <row r="21" ht="15" customHeight="1">
      <c r="A21" t="inlineStr">
        <is>
          <t>A 14376-2019</t>
        </is>
      </c>
      <c r="B21" s="1" t="n">
        <v>43536</v>
      </c>
      <c r="C21" s="1" t="n">
        <v>45294</v>
      </c>
      <c r="D21" t="inlineStr">
        <is>
          <t>DALARNAS LÄN</t>
        </is>
      </c>
      <c r="E21" t="inlineStr">
        <is>
          <t>HEDEMORA</t>
        </is>
      </c>
      <c r="F21" t="inlineStr">
        <is>
          <t>Sveaskog</t>
        </is>
      </c>
      <c r="G21" t="n">
        <v>1.3</v>
      </c>
      <c r="H21" t="n">
        <v>4</v>
      </c>
      <c r="I21" t="n">
        <v>0</v>
      </c>
      <c r="J21" t="n">
        <v>3</v>
      </c>
      <c r="K21" t="n">
        <v>0</v>
      </c>
      <c r="L21" t="n">
        <v>0</v>
      </c>
      <c r="M21" t="n">
        <v>0</v>
      </c>
      <c r="N21" t="n">
        <v>0</v>
      </c>
      <c r="O21" t="n">
        <v>3</v>
      </c>
      <c r="P21" t="n">
        <v>0</v>
      </c>
      <c r="Q21" t="n">
        <v>4</v>
      </c>
      <c r="R21" s="2" t="inlineStr">
        <is>
          <t>Drillsnäppa
Svartvit flugsnappare
Utter
Vanlig groda</t>
        </is>
      </c>
      <c r="S21">
        <f>HYPERLINK("https://klasma.github.io/Logging_2083/artfynd/A 14376-2019 artfynd.xlsx", "A 14376-2019")</f>
        <v/>
      </c>
      <c r="T21">
        <f>HYPERLINK("https://klasma.github.io/Logging_2083/kartor/A 14376-2019 karta.png", "A 14376-2019")</f>
        <v/>
      </c>
      <c r="V21">
        <f>HYPERLINK("https://klasma.github.io/Logging_2083/klagomål/A 14376-2019 FSC-klagomål.docx", "A 14376-2019")</f>
        <v/>
      </c>
      <c r="W21">
        <f>HYPERLINK("https://klasma.github.io/Logging_2083/klagomålsmail/A 14376-2019 FSC-klagomål mail.docx", "A 14376-2019")</f>
        <v/>
      </c>
      <c r="X21">
        <f>HYPERLINK("https://klasma.github.io/Logging_2083/tillsyn/A 14376-2019 tillsynsbegäran.docx", "A 14376-2019")</f>
        <v/>
      </c>
      <c r="Y21">
        <f>HYPERLINK("https://klasma.github.io/Logging_2083/tillsynsmail/A 14376-2019 tillsynsbegäran mail.docx", "A 14376-2019")</f>
        <v/>
      </c>
    </row>
    <row r="22" ht="15" customHeight="1">
      <c r="A22" t="inlineStr">
        <is>
          <t>A 49872-2021</t>
        </is>
      </c>
      <c r="B22" s="1" t="n">
        <v>44455</v>
      </c>
      <c r="C22" s="1" t="n">
        <v>45294</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45294</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45294</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row>
    <row r="25" ht="15" customHeight="1">
      <c r="A25" t="inlineStr">
        <is>
          <t>A 49272-2020</t>
        </is>
      </c>
      <c r="B25" s="1" t="n">
        <v>44105</v>
      </c>
      <c r="C25" s="1" t="n">
        <v>45294</v>
      </c>
      <c r="D25" t="inlineStr">
        <is>
          <t>DALARNAS LÄN</t>
        </is>
      </c>
      <c r="E25" t="inlineStr">
        <is>
          <t>HEDEMORA</t>
        </is>
      </c>
      <c r="F25" t="inlineStr">
        <is>
          <t>Sveaskog</t>
        </is>
      </c>
      <c r="G25" t="n">
        <v>2.5</v>
      </c>
      <c r="H25" t="n">
        <v>2</v>
      </c>
      <c r="I25" t="n">
        <v>0</v>
      </c>
      <c r="J25" t="n">
        <v>2</v>
      </c>
      <c r="K25" t="n">
        <v>1</v>
      </c>
      <c r="L25" t="n">
        <v>0</v>
      </c>
      <c r="M25" t="n">
        <v>0</v>
      </c>
      <c r="N25" t="n">
        <v>0</v>
      </c>
      <c r="O25" t="n">
        <v>3</v>
      </c>
      <c r="P25" t="n">
        <v>1</v>
      </c>
      <c r="Q25" t="n">
        <v>3</v>
      </c>
      <c r="R25" s="2" t="inlineStr">
        <is>
          <t>Knärot
Spillkråka
Tallticka</t>
        </is>
      </c>
      <c r="S25">
        <f>HYPERLINK("https://klasma.github.io/Logging_2083/artfynd/A 49272-2020 artfynd.xlsx", "A 49272-2020")</f>
        <v/>
      </c>
      <c r="T25">
        <f>HYPERLINK("https://klasma.github.io/Logging_2083/kartor/A 49272-2020 karta.png", "A 49272-2020")</f>
        <v/>
      </c>
      <c r="U25">
        <f>HYPERLINK("https://klasma.github.io/Logging_2083/knärot/A 49272-2020 karta knärot.png", "A 49272-2020")</f>
        <v/>
      </c>
      <c r="V25">
        <f>HYPERLINK("https://klasma.github.io/Logging_2083/klagomål/A 49272-2020 FSC-klagomål.docx", "A 49272-2020")</f>
        <v/>
      </c>
      <c r="W25">
        <f>HYPERLINK("https://klasma.github.io/Logging_2083/klagomålsmail/A 49272-2020 FSC-klagomål mail.docx", "A 49272-2020")</f>
        <v/>
      </c>
      <c r="X25">
        <f>HYPERLINK("https://klasma.github.io/Logging_2083/tillsyn/A 49272-2020 tillsynsbegäran.docx", "A 49272-2020")</f>
        <v/>
      </c>
      <c r="Y25">
        <f>HYPERLINK("https://klasma.github.io/Logging_2083/tillsynsmail/A 49272-2020 tillsynsbegäran mail.docx", "A 49272-2020")</f>
        <v/>
      </c>
    </row>
    <row r="26" ht="15" customHeight="1">
      <c r="A26" t="inlineStr">
        <is>
          <t>A 55022-2020</t>
        </is>
      </c>
      <c r="B26" s="1" t="n">
        <v>44130</v>
      </c>
      <c r="C26" s="1" t="n">
        <v>45294</v>
      </c>
      <c r="D26" t="inlineStr">
        <is>
          <t>DALARNAS LÄN</t>
        </is>
      </c>
      <c r="E26" t="inlineStr">
        <is>
          <t>HEDEMORA</t>
        </is>
      </c>
      <c r="F26" t="inlineStr">
        <is>
          <t>Sveaskog</t>
        </is>
      </c>
      <c r="G26" t="n">
        <v>3.2</v>
      </c>
      <c r="H26" t="n">
        <v>1</v>
      </c>
      <c r="I26" t="n">
        <v>0</v>
      </c>
      <c r="J26" t="n">
        <v>2</v>
      </c>
      <c r="K26" t="n">
        <v>1</v>
      </c>
      <c r="L26" t="n">
        <v>0</v>
      </c>
      <c r="M26" t="n">
        <v>0</v>
      </c>
      <c r="N26" t="n">
        <v>0</v>
      </c>
      <c r="O26" t="n">
        <v>3</v>
      </c>
      <c r="P26" t="n">
        <v>1</v>
      </c>
      <c r="Q26" t="n">
        <v>3</v>
      </c>
      <c r="R26" s="2" t="inlineStr">
        <is>
          <t>Knärot
Garnlav
Ullticka</t>
        </is>
      </c>
      <c r="S26">
        <f>HYPERLINK("https://klasma.github.io/Logging_2083/artfynd/A 55022-2020 artfynd.xlsx", "A 55022-2020")</f>
        <v/>
      </c>
      <c r="T26">
        <f>HYPERLINK("https://klasma.github.io/Logging_2083/kartor/A 55022-2020 karta.png", "A 55022-2020")</f>
        <v/>
      </c>
      <c r="U26">
        <f>HYPERLINK("https://klasma.github.io/Logging_2083/knärot/A 55022-2020 karta knärot.png", "A 55022-2020")</f>
        <v/>
      </c>
      <c r="V26">
        <f>HYPERLINK("https://klasma.github.io/Logging_2083/klagomål/A 55022-2020 FSC-klagomål.docx", "A 55022-2020")</f>
        <v/>
      </c>
      <c r="W26">
        <f>HYPERLINK("https://klasma.github.io/Logging_2083/klagomålsmail/A 55022-2020 FSC-klagomål mail.docx", "A 55022-2020")</f>
        <v/>
      </c>
      <c r="X26">
        <f>HYPERLINK("https://klasma.github.io/Logging_2083/tillsyn/A 55022-2020 tillsynsbegäran.docx", "A 55022-2020")</f>
        <v/>
      </c>
      <c r="Y26">
        <f>HYPERLINK("https://klasma.github.io/Logging_2083/tillsynsmail/A 55022-2020 tillsynsbegäran mail.docx", "A 55022-2020")</f>
        <v/>
      </c>
    </row>
    <row r="27" ht="15" customHeight="1">
      <c r="A27" t="inlineStr">
        <is>
          <t>A 34360-2021</t>
        </is>
      </c>
      <c r="B27" s="1" t="n">
        <v>44379</v>
      </c>
      <c r="C27" s="1" t="n">
        <v>45294</v>
      </c>
      <c r="D27" t="inlineStr">
        <is>
          <t>DALARNAS LÄN</t>
        </is>
      </c>
      <c r="E27" t="inlineStr">
        <is>
          <t>HEDEMORA</t>
        </is>
      </c>
      <c r="F27" t="inlineStr">
        <is>
          <t>Sveaskog</t>
        </is>
      </c>
      <c r="G27" t="n">
        <v>3.6</v>
      </c>
      <c r="H27" t="n">
        <v>2</v>
      </c>
      <c r="I27" t="n">
        <v>1</v>
      </c>
      <c r="J27" t="n">
        <v>1</v>
      </c>
      <c r="K27" t="n">
        <v>1</v>
      </c>
      <c r="L27" t="n">
        <v>0</v>
      </c>
      <c r="M27" t="n">
        <v>0</v>
      </c>
      <c r="N27" t="n">
        <v>0</v>
      </c>
      <c r="O27" t="n">
        <v>2</v>
      </c>
      <c r="P27" t="n">
        <v>1</v>
      </c>
      <c r="Q27" t="n">
        <v>3</v>
      </c>
      <c r="R27" s="2" t="inlineStr">
        <is>
          <t>Knärot
Spillkråka
Bronshjon</t>
        </is>
      </c>
      <c r="S27">
        <f>HYPERLINK("https://klasma.github.io/Logging_2083/artfynd/A 34360-2021 artfynd.xlsx", "A 34360-2021")</f>
        <v/>
      </c>
      <c r="T27">
        <f>HYPERLINK("https://klasma.github.io/Logging_2083/kartor/A 34360-2021 karta.png", "A 34360-2021")</f>
        <v/>
      </c>
      <c r="U27">
        <f>HYPERLINK("https://klasma.github.io/Logging_2083/knärot/A 34360-2021 karta knärot.png", "A 34360-2021")</f>
        <v/>
      </c>
      <c r="V27">
        <f>HYPERLINK("https://klasma.github.io/Logging_2083/klagomål/A 34360-2021 FSC-klagomål.docx", "A 34360-2021")</f>
        <v/>
      </c>
      <c r="W27">
        <f>HYPERLINK("https://klasma.github.io/Logging_2083/klagomålsmail/A 34360-2021 FSC-klagomål mail.docx", "A 34360-2021")</f>
        <v/>
      </c>
      <c r="X27">
        <f>HYPERLINK("https://klasma.github.io/Logging_2083/tillsyn/A 34360-2021 tillsynsbegäran.docx", "A 34360-2021")</f>
        <v/>
      </c>
      <c r="Y27">
        <f>HYPERLINK("https://klasma.github.io/Logging_2083/tillsynsmail/A 34360-2021 tillsynsbegäran mail.docx", "A 34360-2021")</f>
        <v/>
      </c>
    </row>
    <row r="28" ht="15" customHeight="1">
      <c r="A28" t="inlineStr">
        <is>
          <t>A 62054-2021</t>
        </is>
      </c>
      <c r="B28" s="1" t="n">
        <v>44502</v>
      </c>
      <c r="C28" s="1" t="n">
        <v>45294</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45294</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4177-2022</t>
        </is>
      </c>
      <c r="B30" s="1" t="n">
        <v>44588</v>
      </c>
      <c r="C30" s="1" t="n">
        <v>45294</v>
      </c>
      <c r="D30" t="inlineStr">
        <is>
          <t>DALARNAS LÄN</t>
        </is>
      </c>
      <c r="E30" t="inlineStr">
        <is>
          <t>HEDEMORA</t>
        </is>
      </c>
      <c r="G30" t="n">
        <v>5.3</v>
      </c>
      <c r="H30" t="n">
        <v>2</v>
      </c>
      <c r="I30" t="n">
        <v>1</v>
      </c>
      <c r="J30" t="n">
        <v>0</v>
      </c>
      <c r="K30" t="n">
        <v>1</v>
      </c>
      <c r="L30" t="n">
        <v>0</v>
      </c>
      <c r="M30" t="n">
        <v>0</v>
      </c>
      <c r="N30" t="n">
        <v>0</v>
      </c>
      <c r="O30" t="n">
        <v>1</v>
      </c>
      <c r="P30" t="n">
        <v>1</v>
      </c>
      <c r="Q30" t="n">
        <v>3</v>
      </c>
      <c r="R30" s="2" t="inlineStr">
        <is>
          <t>Knärot
Bronshjon
Fläcknycklar</t>
        </is>
      </c>
      <c r="S30">
        <f>HYPERLINK("https://klasma.github.io/Logging_2083/artfynd/A 4177-2022 artfynd.xlsx", "A 4177-2022")</f>
        <v/>
      </c>
      <c r="T30">
        <f>HYPERLINK("https://klasma.github.io/Logging_2083/kartor/A 4177-2022 karta.png", "A 4177-2022")</f>
        <v/>
      </c>
      <c r="U30">
        <f>HYPERLINK("https://klasma.github.io/Logging_2083/knärot/A 4177-2022 karta knärot.png", "A 4177-2022")</f>
        <v/>
      </c>
      <c r="V30">
        <f>HYPERLINK("https://klasma.github.io/Logging_2083/klagomål/A 4177-2022 FSC-klagomål.docx", "A 4177-2022")</f>
        <v/>
      </c>
      <c r="W30">
        <f>HYPERLINK("https://klasma.github.io/Logging_2083/klagomålsmail/A 4177-2022 FSC-klagomål mail.docx", "A 4177-2022")</f>
        <v/>
      </c>
      <c r="X30">
        <f>HYPERLINK("https://klasma.github.io/Logging_2083/tillsyn/A 4177-2022 tillsynsbegäran.docx", "A 4177-2022")</f>
        <v/>
      </c>
      <c r="Y30">
        <f>HYPERLINK("https://klasma.github.io/Logging_2083/tillsynsmail/A 4177-2022 tillsynsbegäran mail.docx", "A 4177-2022")</f>
        <v/>
      </c>
    </row>
    <row r="31" ht="15" customHeight="1">
      <c r="A31" t="inlineStr">
        <is>
          <t>A 63545-2023</t>
        </is>
      </c>
      <c r="B31" s="1" t="n">
        <v>45275</v>
      </c>
      <c r="C31" s="1" t="n">
        <v>45294</v>
      </c>
      <c r="D31" t="inlineStr">
        <is>
          <t>DALARNAS LÄN</t>
        </is>
      </c>
      <c r="E31" t="inlineStr">
        <is>
          <t>HEDEMORA</t>
        </is>
      </c>
      <c r="G31" t="n">
        <v>6.5</v>
      </c>
      <c r="H31" t="n">
        <v>2</v>
      </c>
      <c r="I31" t="n">
        <v>0</v>
      </c>
      <c r="J31" t="n">
        <v>1</v>
      </c>
      <c r="K31" t="n">
        <v>2</v>
      </c>
      <c r="L31" t="n">
        <v>0</v>
      </c>
      <c r="M31" t="n">
        <v>0</v>
      </c>
      <c r="N31" t="n">
        <v>0</v>
      </c>
      <c r="O31" t="n">
        <v>3</v>
      </c>
      <c r="P31" t="n">
        <v>2</v>
      </c>
      <c r="Q31" t="n">
        <v>3</v>
      </c>
      <c r="R31" s="2" t="inlineStr">
        <is>
          <t>Knärot
Rynkskinn
Spillkråka</t>
        </is>
      </c>
      <c r="S31">
        <f>HYPERLINK("https://klasma.github.io/Logging_2083/artfynd/A 63545-2023 artfynd.xlsx", "A 63545-2023")</f>
        <v/>
      </c>
      <c r="T31">
        <f>HYPERLINK("https://klasma.github.io/Logging_2083/kartor/A 63545-2023 karta.png", "A 63545-2023")</f>
        <v/>
      </c>
      <c r="U31">
        <f>HYPERLINK("https://klasma.github.io/Logging_2083/knärot/A 63545-2023 karta knärot.png", "A 63545-2023")</f>
        <v/>
      </c>
      <c r="V31">
        <f>HYPERLINK("https://klasma.github.io/Logging_2083/klagomål/A 63545-2023 FSC-klagomål.docx", "A 63545-2023")</f>
        <v/>
      </c>
      <c r="W31">
        <f>HYPERLINK("https://klasma.github.io/Logging_2083/klagomålsmail/A 63545-2023 FSC-klagomål mail.docx", "A 63545-2023")</f>
        <v/>
      </c>
      <c r="X31">
        <f>HYPERLINK("https://klasma.github.io/Logging_2083/tillsyn/A 63545-2023 tillsynsbegäran.docx", "A 63545-2023")</f>
        <v/>
      </c>
      <c r="Y31">
        <f>HYPERLINK("https://klasma.github.io/Logging_2083/tillsynsmail/A 63545-2023 tillsynsbegäran mail.docx", "A 63545-2023")</f>
        <v/>
      </c>
    </row>
    <row r="32" ht="15" customHeight="1">
      <c r="A32" t="inlineStr">
        <is>
          <t>A 4540-2019</t>
        </is>
      </c>
      <c r="B32" s="1" t="n">
        <v>43486</v>
      </c>
      <c r="C32" s="1" t="n">
        <v>45294</v>
      </c>
      <c r="D32" t="inlineStr">
        <is>
          <t>DALARNAS LÄN</t>
        </is>
      </c>
      <c r="E32" t="inlineStr">
        <is>
          <t>HEDEMORA</t>
        </is>
      </c>
      <c r="F32" t="inlineStr">
        <is>
          <t>Sveaskog</t>
        </is>
      </c>
      <c r="G32" t="n">
        <v>8.199999999999999</v>
      </c>
      <c r="H32" t="n">
        <v>2</v>
      </c>
      <c r="I32" t="n">
        <v>0</v>
      </c>
      <c r="J32" t="n">
        <v>2</v>
      </c>
      <c r="K32" t="n">
        <v>0</v>
      </c>
      <c r="L32" t="n">
        <v>0</v>
      </c>
      <c r="M32" t="n">
        <v>0</v>
      </c>
      <c r="N32" t="n">
        <v>0</v>
      </c>
      <c r="O32" t="n">
        <v>2</v>
      </c>
      <c r="P32" t="n">
        <v>0</v>
      </c>
      <c r="Q32" t="n">
        <v>2</v>
      </c>
      <c r="R32" s="2" t="inlineStr">
        <is>
          <t>Spillkråka
Utter</t>
        </is>
      </c>
      <c r="S32">
        <f>HYPERLINK("https://klasma.github.io/Logging_2083/artfynd/A 4540-2019 artfynd.xlsx", "A 4540-2019")</f>
        <v/>
      </c>
      <c r="T32">
        <f>HYPERLINK("https://klasma.github.io/Logging_2083/kartor/A 4540-2019 karta.png", "A 4540-2019")</f>
        <v/>
      </c>
      <c r="V32">
        <f>HYPERLINK("https://klasma.github.io/Logging_2083/klagomål/A 4540-2019 FSC-klagomål.docx", "A 4540-2019")</f>
        <v/>
      </c>
      <c r="W32">
        <f>HYPERLINK("https://klasma.github.io/Logging_2083/klagomålsmail/A 4540-2019 FSC-klagomål mail.docx", "A 4540-2019")</f>
        <v/>
      </c>
      <c r="X32">
        <f>HYPERLINK("https://klasma.github.io/Logging_2083/tillsyn/A 4540-2019 tillsynsbegäran.docx", "A 4540-2019")</f>
        <v/>
      </c>
      <c r="Y32">
        <f>HYPERLINK("https://klasma.github.io/Logging_2083/tillsynsmail/A 4540-2019 tillsynsbegäran mail.docx", "A 4540-2019")</f>
        <v/>
      </c>
    </row>
    <row r="33" ht="15" customHeight="1">
      <c r="A33" t="inlineStr">
        <is>
          <t>A 49294-2019</t>
        </is>
      </c>
      <c r="B33" s="1" t="n">
        <v>43731</v>
      </c>
      <c r="C33" s="1" t="n">
        <v>45294</v>
      </c>
      <c r="D33" t="inlineStr">
        <is>
          <t>DALARNAS LÄN</t>
        </is>
      </c>
      <c r="E33" t="inlineStr">
        <is>
          <t>HEDEMORA</t>
        </is>
      </c>
      <c r="F33" t="inlineStr">
        <is>
          <t>Sveaskog</t>
        </is>
      </c>
      <c r="G33" t="n">
        <v>7.7</v>
      </c>
      <c r="H33" t="n">
        <v>2</v>
      </c>
      <c r="I33" t="n">
        <v>0</v>
      </c>
      <c r="J33" t="n">
        <v>1</v>
      </c>
      <c r="K33" t="n">
        <v>0</v>
      </c>
      <c r="L33" t="n">
        <v>0</v>
      </c>
      <c r="M33" t="n">
        <v>0</v>
      </c>
      <c r="N33" t="n">
        <v>0</v>
      </c>
      <c r="O33" t="n">
        <v>1</v>
      </c>
      <c r="P33" t="n">
        <v>0</v>
      </c>
      <c r="Q33" t="n">
        <v>2</v>
      </c>
      <c r="R33" s="2" t="inlineStr">
        <is>
          <t>Nordfladdermus
Vattenfladdermus</t>
        </is>
      </c>
      <c r="S33">
        <f>HYPERLINK("https://klasma.github.io/Logging_2083/artfynd/A 49294-2019 artfynd.xlsx", "A 49294-2019")</f>
        <v/>
      </c>
      <c r="T33">
        <f>HYPERLINK("https://klasma.github.io/Logging_2083/kartor/A 49294-2019 karta.png", "A 49294-2019")</f>
        <v/>
      </c>
      <c r="V33">
        <f>HYPERLINK("https://klasma.github.io/Logging_2083/klagomål/A 49294-2019 FSC-klagomål.docx", "A 49294-2019")</f>
        <v/>
      </c>
      <c r="W33">
        <f>HYPERLINK("https://klasma.github.io/Logging_2083/klagomålsmail/A 49294-2019 FSC-klagomål mail.docx", "A 49294-2019")</f>
        <v/>
      </c>
      <c r="X33">
        <f>HYPERLINK("https://klasma.github.io/Logging_2083/tillsyn/A 49294-2019 tillsynsbegäran.docx", "A 49294-2019")</f>
        <v/>
      </c>
      <c r="Y33">
        <f>HYPERLINK("https://klasma.github.io/Logging_2083/tillsynsmail/A 49294-2019 tillsynsbegäran mail.docx", "A 49294-2019")</f>
        <v/>
      </c>
    </row>
    <row r="34" ht="15" customHeight="1">
      <c r="A34" t="inlineStr">
        <is>
          <t>A 7808-2020</t>
        </is>
      </c>
      <c r="B34" s="1" t="n">
        <v>43873</v>
      </c>
      <c r="C34" s="1" t="n">
        <v>45294</v>
      </c>
      <c r="D34" t="inlineStr">
        <is>
          <t>DALARNAS LÄN</t>
        </is>
      </c>
      <c r="E34" t="inlineStr">
        <is>
          <t>HEDEMORA</t>
        </is>
      </c>
      <c r="G34" t="n">
        <v>9.1</v>
      </c>
      <c r="H34" t="n">
        <v>1</v>
      </c>
      <c r="I34" t="n">
        <v>0</v>
      </c>
      <c r="J34" t="n">
        <v>1</v>
      </c>
      <c r="K34" t="n">
        <v>1</v>
      </c>
      <c r="L34" t="n">
        <v>0</v>
      </c>
      <c r="M34" t="n">
        <v>0</v>
      </c>
      <c r="N34" t="n">
        <v>0</v>
      </c>
      <c r="O34" t="n">
        <v>2</v>
      </c>
      <c r="P34" t="n">
        <v>1</v>
      </c>
      <c r="Q34" t="n">
        <v>2</v>
      </c>
      <c r="R34" s="2" t="inlineStr">
        <is>
          <t>Knärot
Ullticka</t>
        </is>
      </c>
      <c r="S34">
        <f>HYPERLINK("https://klasma.github.io/Logging_2083/artfynd/A 7808-2020 artfynd.xlsx", "A 7808-2020")</f>
        <v/>
      </c>
      <c r="T34">
        <f>HYPERLINK("https://klasma.github.io/Logging_2083/kartor/A 7808-2020 karta.png", "A 7808-2020")</f>
        <v/>
      </c>
      <c r="U34">
        <f>HYPERLINK("https://klasma.github.io/Logging_2083/knärot/A 7808-2020 karta knärot.png", "A 7808-2020")</f>
        <v/>
      </c>
      <c r="V34">
        <f>HYPERLINK("https://klasma.github.io/Logging_2083/klagomål/A 7808-2020 FSC-klagomål.docx", "A 7808-2020")</f>
        <v/>
      </c>
      <c r="W34">
        <f>HYPERLINK("https://klasma.github.io/Logging_2083/klagomålsmail/A 7808-2020 FSC-klagomål mail.docx", "A 7808-2020")</f>
        <v/>
      </c>
      <c r="X34">
        <f>HYPERLINK("https://klasma.github.io/Logging_2083/tillsyn/A 7808-2020 tillsynsbegäran.docx", "A 7808-2020")</f>
        <v/>
      </c>
      <c r="Y34">
        <f>HYPERLINK("https://klasma.github.io/Logging_2083/tillsynsmail/A 7808-2020 tillsynsbegäran mail.docx", "A 7808-2020")</f>
        <v/>
      </c>
    </row>
    <row r="35" ht="15" customHeight="1">
      <c r="A35" t="inlineStr">
        <is>
          <t>A 15453-2021</t>
        </is>
      </c>
      <c r="B35" s="1" t="n">
        <v>44285</v>
      </c>
      <c r="C35" s="1" t="n">
        <v>45294</v>
      </c>
      <c r="D35" t="inlineStr">
        <is>
          <t>DALARNAS LÄN</t>
        </is>
      </c>
      <c r="E35" t="inlineStr">
        <is>
          <t>HEDEMORA</t>
        </is>
      </c>
      <c r="G35" t="n">
        <v>2.5</v>
      </c>
      <c r="H35" t="n">
        <v>2</v>
      </c>
      <c r="I35" t="n">
        <v>0</v>
      </c>
      <c r="J35" t="n">
        <v>2</v>
      </c>
      <c r="K35" t="n">
        <v>0</v>
      </c>
      <c r="L35" t="n">
        <v>0</v>
      </c>
      <c r="M35" t="n">
        <v>0</v>
      </c>
      <c r="N35" t="n">
        <v>0</v>
      </c>
      <c r="O35" t="n">
        <v>2</v>
      </c>
      <c r="P35" t="n">
        <v>0</v>
      </c>
      <c r="Q35" t="n">
        <v>2</v>
      </c>
      <c r="R35" s="2" t="inlineStr">
        <is>
          <t>Spillkråka
Tretåig hackspett</t>
        </is>
      </c>
      <c r="S35">
        <f>HYPERLINK("https://klasma.github.io/Logging_2083/artfynd/A 15453-2021 artfynd.xlsx", "A 15453-2021")</f>
        <v/>
      </c>
      <c r="T35">
        <f>HYPERLINK("https://klasma.github.io/Logging_2083/kartor/A 15453-2021 karta.png", "A 15453-2021")</f>
        <v/>
      </c>
      <c r="V35">
        <f>HYPERLINK("https://klasma.github.io/Logging_2083/klagomål/A 15453-2021 FSC-klagomål.docx", "A 15453-2021")</f>
        <v/>
      </c>
      <c r="W35">
        <f>HYPERLINK("https://klasma.github.io/Logging_2083/klagomålsmail/A 15453-2021 FSC-klagomål mail.docx", "A 15453-2021")</f>
        <v/>
      </c>
      <c r="X35">
        <f>HYPERLINK("https://klasma.github.io/Logging_2083/tillsyn/A 15453-2021 tillsynsbegäran.docx", "A 15453-2021")</f>
        <v/>
      </c>
      <c r="Y35">
        <f>HYPERLINK("https://klasma.github.io/Logging_2083/tillsynsmail/A 15453-2021 tillsynsbegäran mail.docx", "A 15453-2021")</f>
        <v/>
      </c>
    </row>
    <row r="36" ht="15" customHeight="1">
      <c r="A36" t="inlineStr">
        <is>
          <t>A 28066-2021</t>
        </is>
      </c>
      <c r="B36" s="1" t="n">
        <v>44355</v>
      </c>
      <c r="C36" s="1" t="n">
        <v>45294</v>
      </c>
      <c r="D36" t="inlineStr">
        <is>
          <t>DALARNAS LÄN</t>
        </is>
      </c>
      <c r="E36" t="inlineStr">
        <is>
          <t>HEDEMORA</t>
        </is>
      </c>
      <c r="F36" t="inlineStr">
        <is>
          <t>Sveaskog</t>
        </is>
      </c>
      <c r="G36" t="n">
        <v>1.7</v>
      </c>
      <c r="H36" t="n">
        <v>1</v>
      </c>
      <c r="I36" t="n">
        <v>1</v>
      </c>
      <c r="J36" t="n">
        <v>0</v>
      </c>
      <c r="K36" t="n">
        <v>0</v>
      </c>
      <c r="L36" t="n">
        <v>0</v>
      </c>
      <c r="M36" t="n">
        <v>0</v>
      </c>
      <c r="N36" t="n">
        <v>0</v>
      </c>
      <c r="O36" t="n">
        <v>0</v>
      </c>
      <c r="P36" t="n">
        <v>0</v>
      </c>
      <c r="Q36" t="n">
        <v>2</v>
      </c>
      <c r="R36" s="2" t="inlineStr">
        <is>
          <t>Bronshjon
Vanlig groda</t>
        </is>
      </c>
      <c r="S36">
        <f>HYPERLINK("https://klasma.github.io/Logging_2083/artfynd/A 28066-2021 artfynd.xlsx", "A 28066-2021")</f>
        <v/>
      </c>
      <c r="T36">
        <f>HYPERLINK("https://klasma.github.io/Logging_2083/kartor/A 28066-2021 karta.png", "A 28066-2021")</f>
        <v/>
      </c>
      <c r="V36">
        <f>HYPERLINK("https://klasma.github.io/Logging_2083/klagomål/A 28066-2021 FSC-klagomål.docx", "A 28066-2021")</f>
        <v/>
      </c>
      <c r="W36">
        <f>HYPERLINK("https://klasma.github.io/Logging_2083/klagomålsmail/A 28066-2021 FSC-klagomål mail.docx", "A 28066-2021")</f>
        <v/>
      </c>
      <c r="X36">
        <f>HYPERLINK("https://klasma.github.io/Logging_2083/tillsyn/A 28066-2021 tillsynsbegäran.docx", "A 28066-2021")</f>
        <v/>
      </c>
      <c r="Y36">
        <f>HYPERLINK("https://klasma.github.io/Logging_2083/tillsynsmail/A 28066-2021 tillsynsbegäran mail.docx", "A 28066-2021")</f>
        <v/>
      </c>
    </row>
    <row r="37" ht="15" customHeight="1">
      <c r="A37" t="inlineStr">
        <is>
          <t>A 34361-2021</t>
        </is>
      </c>
      <c r="B37" s="1" t="n">
        <v>44379</v>
      </c>
      <c r="C37" s="1" t="n">
        <v>45294</v>
      </c>
      <c r="D37" t="inlineStr">
        <is>
          <t>DALARNAS LÄN</t>
        </is>
      </c>
      <c r="E37" t="inlineStr">
        <is>
          <t>HEDEMORA</t>
        </is>
      </c>
      <c r="F37" t="inlineStr">
        <is>
          <t>Sveaskog</t>
        </is>
      </c>
      <c r="G37" t="n">
        <v>1</v>
      </c>
      <c r="H37" t="n">
        <v>1</v>
      </c>
      <c r="I37" t="n">
        <v>0</v>
      </c>
      <c r="J37" t="n">
        <v>1</v>
      </c>
      <c r="K37" t="n">
        <v>1</v>
      </c>
      <c r="L37" t="n">
        <v>0</v>
      </c>
      <c r="M37" t="n">
        <v>0</v>
      </c>
      <c r="N37" t="n">
        <v>0</v>
      </c>
      <c r="O37" t="n">
        <v>2</v>
      </c>
      <c r="P37" t="n">
        <v>1</v>
      </c>
      <c r="Q37" t="n">
        <v>2</v>
      </c>
      <c r="R37" s="2" t="inlineStr">
        <is>
          <t>Knärot
Dofttaggsvamp</t>
        </is>
      </c>
      <c r="S37">
        <f>HYPERLINK("https://klasma.github.io/Logging_2083/artfynd/A 34361-2021 artfynd.xlsx", "A 34361-2021")</f>
        <v/>
      </c>
      <c r="T37">
        <f>HYPERLINK("https://klasma.github.io/Logging_2083/kartor/A 34361-2021 karta.png", "A 34361-2021")</f>
        <v/>
      </c>
      <c r="U37">
        <f>HYPERLINK("https://klasma.github.io/Logging_2083/knärot/A 34361-2021 karta knärot.png", "A 34361-2021")</f>
        <v/>
      </c>
      <c r="V37">
        <f>HYPERLINK("https://klasma.github.io/Logging_2083/klagomål/A 34361-2021 FSC-klagomål.docx", "A 34361-2021")</f>
        <v/>
      </c>
      <c r="W37">
        <f>HYPERLINK("https://klasma.github.io/Logging_2083/klagomålsmail/A 34361-2021 FSC-klagomål mail.docx", "A 34361-2021")</f>
        <v/>
      </c>
      <c r="X37">
        <f>HYPERLINK("https://klasma.github.io/Logging_2083/tillsyn/A 34361-2021 tillsynsbegäran.docx", "A 34361-2021")</f>
        <v/>
      </c>
      <c r="Y37">
        <f>HYPERLINK("https://klasma.github.io/Logging_2083/tillsynsmail/A 34361-2021 tillsynsbegäran mail.docx", "A 34361-2021")</f>
        <v/>
      </c>
    </row>
    <row r="38" ht="15" customHeight="1">
      <c r="A38" t="inlineStr">
        <is>
          <t>A 45884-2021</t>
        </is>
      </c>
      <c r="B38" s="1" t="n">
        <v>44441</v>
      </c>
      <c r="C38" s="1" t="n">
        <v>45294</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3152-2022</t>
        </is>
      </c>
      <c r="B39" s="1" t="n">
        <v>44582</v>
      </c>
      <c r="C39" s="1" t="n">
        <v>45294</v>
      </c>
      <c r="D39" t="inlineStr">
        <is>
          <t>DALARNAS LÄN</t>
        </is>
      </c>
      <c r="E39" t="inlineStr">
        <is>
          <t>HEDEMORA</t>
        </is>
      </c>
      <c r="G39" t="n">
        <v>8.800000000000001</v>
      </c>
      <c r="H39" t="n">
        <v>1</v>
      </c>
      <c r="I39" t="n">
        <v>0</v>
      </c>
      <c r="J39" t="n">
        <v>1</v>
      </c>
      <c r="K39" t="n">
        <v>1</v>
      </c>
      <c r="L39" t="n">
        <v>0</v>
      </c>
      <c r="M39" t="n">
        <v>0</v>
      </c>
      <c r="N39" t="n">
        <v>0</v>
      </c>
      <c r="O39" t="n">
        <v>2</v>
      </c>
      <c r="P39" t="n">
        <v>1</v>
      </c>
      <c r="Q39" t="n">
        <v>2</v>
      </c>
      <c r="R39" s="2" t="inlineStr">
        <is>
          <t>Knärot
Ullticka</t>
        </is>
      </c>
      <c r="S39">
        <f>HYPERLINK("https://klasma.github.io/Logging_2083/artfynd/A 3152-2022 artfynd.xlsx", "A 3152-2022")</f>
        <v/>
      </c>
      <c r="T39">
        <f>HYPERLINK("https://klasma.github.io/Logging_2083/kartor/A 3152-2022 karta.png", "A 3152-2022")</f>
        <v/>
      </c>
      <c r="U39">
        <f>HYPERLINK("https://klasma.github.io/Logging_2083/knärot/A 3152-2022 karta knärot.png", "A 3152-2022")</f>
        <v/>
      </c>
      <c r="V39">
        <f>HYPERLINK("https://klasma.github.io/Logging_2083/klagomål/A 3152-2022 FSC-klagomål.docx", "A 3152-2022")</f>
        <v/>
      </c>
      <c r="W39">
        <f>HYPERLINK("https://klasma.github.io/Logging_2083/klagomålsmail/A 3152-2022 FSC-klagomål mail.docx", "A 3152-2022")</f>
        <v/>
      </c>
      <c r="X39">
        <f>HYPERLINK("https://klasma.github.io/Logging_2083/tillsyn/A 3152-2022 tillsynsbegäran.docx", "A 3152-2022")</f>
        <v/>
      </c>
      <c r="Y39">
        <f>HYPERLINK("https://klasma.github.io/Logging_2083/tillsynsmail/A 3152-2022 tillsynsbegäran mail.docx", "A 3152-2022")</f>
        <v/>
      </c>
    </row>
    <row r="40" ht="15" customHeight="1">
      <c r="A40" t="inlineStr">
        <is>
          <t>A 4031-2022</t>
        </is>
      </c>
      <c r="B40" s="1" t="n">
        <v>44588</v>
      </c>
      <c r="C40" s="1" t="n">
        <v>45294</v>
      </c>
      <c r="D40" t="inlineStr">
        <is>
          <t>DALARNAS LÄN</t>
        </is>
      </c>
      <c r="E40" t="inlineStr">
        <is>
          <t>HEDEMORA</t>
        </is>
      </c>
      <c r="F40" t="inlineStr">
        <is>
          <t>Kyrkan</t>
        </is>
      </c>
      <c r="G40" t="n">
        <v>4.3</v>
      </c>
      <c r="H40" t="n">
        <v>1</v>
      </c>
      <c r="I40" t="n">
        <v>1</v>
      </c>
      <c r="J40" t="n">
        <v>0</v>
      </c>
      <c r="K40" t="n">
        <v>0</v>
      </c>
      <c r="L40" t="n">
        <v>0</v>
      </c>
      <c r="M40" t="n">
        <v>0</v>
      </c>
      <c r="N40" t="n">
        <v>0</v>
      </c>
      <c r="O40" t="n">
        <v>0</v>
      </c>
      <c r="P40" t="n">
        <v>0</v>
      </c>
      <c r="Q40" t="n">
        <v>2</v>
      </c>
      <c r="R40" s="2" t="inlineStr">
        <is>
          <t>Stubbspretmossa
Blåsippa</t>
        </is>
      </c>
      <c r="S40">
        <f>HYPERLINK("https://klasma.github.io/Logging_2083/artfynd/A 4031-2022 artfynd.xlsx", "A 4031-2022")</f>
        <v/>
      </c>
      <c r="T40">
        <f>HYPERLINK("https://klasma.github.io/Logging_2083/kartor/A 4031-2022 karta.png", "A 4031-2022")</f>
        <v/>
      </c>
      <c r="V40">
        <f>HYPERLINK("https://klasma.github.io/Logging_2083/klagomål/A 4031-2022 FSC-klagomål.docx", "A 4031-2022")</f>
        <v/>
      </c>
      <c r="W40">
        <f>HYPERLINK("https://klasma.github.io/Logging_2083/klagomålsmail/A 4031-2022 FSC-klagomål mail.docx", "A 4031-2022")</f>
        <v/>
      </c>
      <c r="X40">
        <f>HYPERLINK("https://klasma.github.io/Logging_2083/tillsyn/A 4031-2022 tillsynsbegäran.docx", "A 4031-2022")</f>
        <v/>
      </c>
      <c r="Y40">
        <f>HYPERLINK("https://klasma.github.io/Logging_2083/tillsynsmail/A 4031-2022 tillsynsbegäran mail.docx", "A 4031-2022")</f>
        <v/>
      </c>
    </row>
    <row r="41" ht="15" customHeight="1">
      <c r="A41" t="inlineStr">
        <is>
          <t>A 11751-2023</t>
        </is>
      </c>
      <c r="B41" s="1" t="n">
        <v>44994</v>
      </c>
      <c r="C41" s="1" t="n">
        <v>45294</v>
      </c>
      <c r="D41" t="inlineStr">
        <is>
          <t>DALARNAS LÄN</t>
        </is>
      </c>
      <c r="E41" t="inlineStr">
        <is>
          <t>HEDEMORA</t>
        </is>
      </c>
      <c r="G41" t="n">
        <v>3.7</v>
      </c>
      <c r="H41" t="n">
        <v>1</v>
      </c>
      <c r="I41" t="n">
        <v>0</v>
      </c>
      <c r="J41" t="n">
        <v>1</v>
      </c>
      <c r="K41" t="n">
        <v>0</v>
      </c>
      <c r="L41" t="n">
        <v>0</v>
      </c>
      <c r="M41" t="n">
        <v>0</v>
      </c>
      <c r="N41" t="n">
        <v>0</v>
      </c>
      <c r="O41" t="n">
        <v>1</v>
      </c>
      <c r="P41" t="n">
        <v>0</v>
      </c>
      <c r="Q41" t="n">
        <v>2</v>
      </c>
      <c r="R41" s="2" t="inlineStr">
        <is>
          <t>Vedtrappmossa
Blåsippa</t>
        </is>
      </c>
      <c r="S41">
        <f>HYPERLINK("https://klasma.github.io/Logging_2083/artfynd/A 11751-2023 artfynd.xlsx", "A 11751-2023")</f>
        <v/>
      </c>
      <c r="T41">
        <f>HYPERLINK("https://klasma.github.io/Logging_2083/kartor/A 11751-2023 karta.png", "A 11751-2023")</f>
        <v/>
      </c>
      <c r="V41">
        <f>HYPERLINK("https://klasma.github.io/Logging_2083/klagomål/A 11751-2023 FSC-klagomål.docx", "A 11751-2023")</f>
        <v/>
      </c>
      <c r="W41">
        <f>HYPERLINK("https://klasma.github.io/Logging_2083/klagomålsmail/A 11751-2023 FSC-klagomål mail.docx", "A 11751-2023")</f>
        <v/>
      </c>
      <c r="X41">
        <f>HYPERLINK("https://klasma.github.io/Logging_2083/tillsyn/A 11751-2023 tillsynsbegäran.docx", "A 11751-2023")</f>
        <v/>
      </c>
      <c r="Y41">
        <f>HYPERLINK("https://klasma.github.io/Logging_2083/tillsynsmail/A 11751-2023 tillsynsbegäran mail.docx", "A 11751-2023")</f>
        <v/>
      </c>
    </row>
    <row r="42" ht="15" customHeight="1">
      <c r="A42" t="inlineStr">
        <is>
          <t>A 13916-2023</t>
        </is>
      </c>
      <c r="B42" s="1" t="n">
        <v>45008</v>
      </c>
      <c r="C42" s="1" t="n">
        <v>45294</v>
      </c>
      <c r="D42" t="inlineStr">
        <is>
          <t>DALARNAS LÄN</t>
        </is>
      </c>
      <c r="E42" t="inlineStr">
        <is>
          <t>HEDEMORA</t>
        </is>
      </c>
      <c r="G42" t="n">
        <v>3.9</v>
      </c>
      <c r="H42" t="n">
        <v>1</v>
      </c>
      <c r="I42" t="n">
        <v>0</v>
      </c>
      <c r="J42" t="n">
        <v>1</v>
      </c>
      <c r="K42" t="n">
        <v>1</v>
      </c>
      <c r="L42" t="n">
        <v>0</v>
      </c>
      <c r="M42" t="n">
        <v>0</v>
      </c>
      <c r="N42" t="n">
        <v>0</v>
      </c>
      <c r="O42" t="n">
        <v>2</v>
      </c>
      <c r="P42" t="n">
        <v>1</v>
      </c>
      <c r="Q42" t="n">
        <v>2</v>
      </c>
      <c r="R42" s="2" t="inlineStr">
        <is>
          <t>Knärot
Skrovlig flatbagge</t>
        </is>
      </c>
      <c r="S42">
        <f>HYPERLINK("https://klasma.github.io/Logging_2083/artfynd/A 13916-2023 artfynd.xlsx", "A 13916-2023")</f>
        <v/>
      </c>
      <c r="T42">
        <f>HYPERLINK("https://klasma.github.io/Logging_2083/kartor/A 13916-2023 karta.png", "A 13916-2023")</f>
        <v/>
      </c>
      <c r="U42">
        <f>HYPERLINK("https://klasma.github.io/Logging_2083/knärot/A 13916-2023 karta knärot.png", "A 13916-2023")</f>
        <v/>
      </c>
      <c r="V42">
        <f>HYPERLINK("https://klasma.github.io/Logging_2083/klagomål/A 13916-2023 FSC-klagomål.docx", "A 13916-2023")</f>
        <v/>
      </c>
      <c r="W42">
        <f>HYPERLINK("https://klasma.github.io/Logging_2083/klagomålsmail/A 13916-2023 FSC-klagomål mail.docx", "A 13916-2023")</f>
        <v/>
      </c>
      <c r="X42">
        <f>HYPERLINK("https://klasma.github.io/Logging_2083/tillsyn/A 13916-2023 tillsynsbegäran.docx", "A 13916-2023")</f>
        <v/>
      </c>
      <c r="Y42">
        <f>HYPERLINK("https://klasma.github.io/Logging_2083/tillsynsmail/A 13916-2023 tillsynsbegäran mail.docx", "A 13916-2023")</f>
        <v/>
      </c>
    </row>
    <row r="43" ht="15" customHeight="1">
      <c r="A43" t="inlineStr">
        <is>
          <t>A 13989-2023</t>
        </is>
      </c>
      <c r="B43" s="1" t="n">
        <v>45008</v>
      </c>
      <c r="C43" s="1" t="n">
        <v>45294</v>
      </c>
      <c r="D43" t="inlineStr">
        <is>
          <t>DALARNAS LÄN</t>
        </is>
      </c>
      <c r="E43" t="inlineStr">
        <is>
          <t>HEDEMORA</t>
        </is>
      </c>
      <c r="G43" t="n">
        <v>1.2</v>
      </c>
      <c r="H43" t="n">
        <v>1</v>
      </c>
      <c r="I43" t="n">
        <v>1</v>
      </c>
      <c r="J43" t="n">
        <v>0</v>
      </c>
      <c r="K43" t="n">
        <v>1</v>
      </c>
      <c r="L43" t="n">
        <v>0</v>
      </c>
      <c r="M43" t="n">
        <v>0</v>
      </c>
      <c r="N43" t="n">
        <v>0</v>
      </c>
      <c r="O43" t="n">
        <v>1</v>
      </c>
      <c r="P43" t="n">
        <v>1</v>
      </c>
      <c r="Q43" t="n">
        <v>2</v>
      </c>
      <c r="R43" s="2" t="inlineStr">
        <is>
          <t>Knärot
Bronshjon</t>
        </is>
      </c>
      <c r="S43">
        <f>HYPERLINK("https://klasma.github.io/Logging_2083/artfynd/A 13989-2023 artfynd.xlsx", "A 13989-2023")</f>
        <v/>
      </c>
      <c r="T43">
        <f>HYPERLINK("https://klasma.github.io/Logging_2083/kartor/A 13989-2023 karta.png", "A 13989-2023")</f>
        <v/>
      </c>
      <c r="U43">
        <f>HYPERLINK("https://klasma.github.io/Logging_2083/knärot/A 13989-2023 karta knärot.png", "A 13989-2023")</f>
        <v/>
      </c>
      <c r="V43">
        <f>HYPERLINK("https://klasma.github.io/Logging_2083/klagomål/A 13989-2023 FSC-klagomål.docx", "A 13989-2023")</f>
        <v/>
      </c>
      <c r="W43">
        <f>HYPERLINK("https://klasma.github.io/Logging_2083/klagomålsmail/A 13989-2023 FSC-klagomål mail.docx", "A 13989-2023")</f>
        <v/>
      </c>
      <c r="X43">
        <f>HYPERLINK("https://klasma.github.io/Logging_2083/tillsyn/A 13989-2023 tillsynsbegäran.docx", "A 13989-2023")</f>
        <v/>
      </c>
      <c r="Y43">
        <f>HYPERLINK("https://klasma.github.io/Logging_2083/tillsynsmail/A 13989-2023 tillsynsbegäran mail.docx", "A 13989-2023")</f>
        <v/>
      </c>
    </row>
    <row r="44" ht="15" customHeight="1">
      <c r="A44" t="inlineStr">
        <is>
          <t>A 30944-2023</t>
        </is>
      </c>
      <c r="B44" s="1" t="n">
        <v>45113</v>
      </c>
      <c r="C44" s="1" t="n">
        <v>45294</v>
      </c>
      <c r="D44" t="inlineStr">
        <is>
          <t>DALARNAS LÄN</t>
        </is>
      </c>
      <c r="E44" t="inlineStr">
        <is>
          <t>HEDEMORA</t>
        </is>
      </c>
      <c r="F44" t="inlineStr">
        <is>
          <t>Sveaskog</t>
        </is>
      </c>
      <c r="G44" t="n">
        <v>5.3</v>
      </c>
      <c r="H44" t="n">
        <v>2</v>
      </c>
      <c r="I44" t="n">
        <v>0</v>
      </c>
      <c r="J44" t="n">
        <v>0</v>
      </c>
      <c r="K44" t="n">
        <v>1</v>
      </c>
      <c r="L44" t="n">
        <v>0</v>
      </c>
      <c r="M44" t="n">
        <v>0</v>
      </c>
      <c r="N44" t="n">
        <v>0</v>
      </c>
      <c r="O44" t="n">
        <v>1</v>
      </c>
      <c r="P44" t="n">
        <v>1</v>
      </c>
      <c r="Q44" t="n">
        <v>2</v>
      </c>
      <c r="R44" s="2" t="inlineStr">
        <is>
          <t>Knärot
Fläcknycklar</t>
        </is>
      </c>
      <c r="S44">
        <f>HYPERLINK("https://klasma.github.io/Logging_2083/artfynd/A 30944-2023 artfynd.xlsx", "A 30944-2023")</f>
        <v/>
      </c>
      <c r="T44">
        <f>HYPERLINK("https://klasma.github.io/Logging_2083/kartor/A 30944-2023 karta.png", "A 30944-2023")</f>
        <v/>
      </c>
      <c r="U44">
        <f>HYPERLINK("https://klasma.github.io/Logging_2083/knärot/A 30944-2023 karta knärot.png", "A 30944-2023")</f>
        <v/>
      </c>
      <c r="V44">
        <f>HYPERLINK("https://klasma.github.io/Logging_2083/klagomål/A 30944-2023 FSC-klagomål.docx", "A 30944-2023")</f>
        <v/>
      </c>
      <c r="W44">
        <f>HYPERLINK("https://klasma.github.io/Logging_2083/klagomålsmail/A 30944-2023 FSC-klagomål mail.docx", "A 30944-2023")</f>
        <v/>
      </c>
      <c r="X44">
        <f>HYPERLINK("https://klasma.github.io/Logging_2083/tillsyn/A 30944-2023 tillsynsbegäran.docx", "A 30944-2023")</f>
        <v/>
      </c>
      <c r="Y44">
        <f>HYPERLINK("https://klasma.github.io/Logging_2083/tillsynsmail/A 30944-2023 tillsynsbegäran mail.docx", "A 30944-2023")</f>
        <v/>
      </c>
    </row>
    <row r="45" ht="15" customHeight="1">
      <c r="A45" t="inlineStr">
        <is>
          <t>A 46595-2023</t>
        </is>
      </c>
      <c r="B45" s="1" t="n">
        <v>45194</v>
      </c>
      <c r="C45" s="1" t="n">
        <v>45294</v>
      </c>
      <c r="D45" t="inlineStr">
        <is>
          <t>DALARNAS LÄN</t>
        </is>
      </c>
      <c r="E45" t="inlineStr">
        <is>
          <t>HEDEMORA</t>
        </is>
      </c>
      <c r="G45" t="n">
        <v>13.5</v>
      </c>
      <c r="H45" t="n">
        <v>1</v>
      </c>
      <c r="I45" t="n">
        <v>1</v>
      </c>
      <c r="J45" t="n">
        <v>0</v>
      </c>
      <c r="K45" t="n">
        <v>0</v>
      </c>
      <c r="L45" t="n">
        <v>0</v>
      </c>
      <c r="M45" t="n">
        <v>0</v>
      </c>
      <c r="N45" t="n">
        <v>0</v>
      </c>
      <c r="O45" t="n">
        <v>0</v>
      </c>
      <c r="P45" t="n">
        <v>0</v>
      </c>
      <c r="Q45" t="n">
        <v>2</v>
      </c>
      <c r="R45" s="2" t="inlineStr">
        <is>
          <t>Tibast
Blåsippa</t>
        </is>
      </c>
      <c r="S45">
        <f>HYPERLINK("https://klasma.github.io/Logging_2083/artfynd/A 46595-2023 artfynd.xlsx", "A 46595-2023")</f>
        <v/>
      </c>
      <c r="T45">
        <f>HYPERLINK("https://klasma.github.io/Logging_2083/kartor/A 46595-2023 karta.png", "A 46595-2023")</f>
        <v/>
      </c>
      <c r="V45">
        <f>HYPERLINK("https://klasma.github.io/Logging_2083/klagomål/A 46595-2023 FSC-klagomål.docx", "A 46595-2023")</f>
        <v/>
      </c>
      <c r="W45">
        <f>HYPERLINK("https://klasma.github.io/Logging_2083/klagomålsmail/A 46595-2023 FSC-klagomål mail.docx", "A 46595-2023")</f>
        <v/>
      </c>
      <c r="X45">
        <f>HYPERLINK("https://klasma.github.io/Logging_2083/tillsyn/A 46595-2023 tillsynsbegäran.docx", "A 46595-2023")</f>
        <v/>
      </c>
      <c r="Y45">
        <f>HYPERLINK("https://klasma.github.io/Logging_2083/tillsynsmail/A 46595-2023 tillsynsbegäran mail.docx", "A 46595-2023")</f>
        <v/>
      </c>
    </row>
    <row r="46" ht="15" customHeight="1">
      <c r="A46" t="inlineStr">
        <is>
          <t>A 59035-2023</t>
        </is>
      </c>
      <c r="B46" s="1" t="n">
        <v>45252</v>
      </c>
      <c r="C46" s="1" t="n">
        <v>45294</v>
      </c>
      <c r="D46" t="inlineStr">
        <is>
          <t>DALARNAS LÄN</t>
        </is>
      </c>
      <c r="E46" t="inlineStr">
        <is>
          <t>HEDEMORA</t>
        </is>
      </c>
      <c r="F46" t="inlineStr">
        <is>
          <t>Sveaskog</t>
        </is>
      </c>
      <c r="G46" t="n">
        <v>3.7</v>
      </c>
      <c r="H46" t="n">
        <v>2</v>
      </c>
      <c r="I46" t="n">
        <v>0</v>
      </c>
      <c r="J46" t="n">
        <v>0</v>
      </c>
      <c r="K46" t="n">
        <v>0</v>
      </c>
      <c r="L46" t="n">
        <v>0</v>
      </c>
      <c r="M46" t="n">
        <v>0</v>
      </c>
      <c r="N46" t="n">
        <v>0</v>
      </c>
      <c r="O46" t="n">
        <v>0</v>
      </c>
      <c r="P46" t="n">
        <v>0</v>
      </c>
      <c r="Q46" t="n">
        <v>2</v>
      </c>
      <c r="R46" s="2" t="inlineStr">
        <is>
          <t>Fläcknycklar
Blåsippa</t>
        </is>
      </c>
      <c r="S46">
        <f>HYPERLINK("https://klasma.github.io/Logging_2083/artfynd/A 59035-2023 artfynd.xlsx", "A 59035-2023")</f>
        <v/>
      </c>
      <c r="T46">
        <f>HYPERLINK("https://klasma.github.io/Logging_2083/kartor/A 59035-2023 karta.png", "A 59035-2023")</f>
        <v/>
      </c>
      <c r="U46">
        <f>HYPERLINK("https://klasma.github.io/Logging_2083/knärot/A 59035-2023 karta knärot.png", "A 59035-2023")</f>
        <v/>
      </c>
      <c r="V46">
        <f>HYPERLINK("https://klasma.github.io/Logging_2083/klagomål/A 59035-2023 FSC-klagomål.docx", "A 59035-2023")</f>
        <v/>
      </c>
      <c r="W46">
        <f>HYPERLINK("https://klasma.github.io/Logging_2083/klagomålsmail/A 59035-2023 FSC-klagomål mail.docx", "A 59035-2023")</f>
        <v/>
      </c>
      <c r="X46">
        <f>HYPERLINK("https://klasma.github.io/Logging_2083/tillsyn/A 59035-2023 tillsynsbegäran.docx", "A 59035-2023")</f>
        <v/>
      </c>
      <c r="Y46">
        <f>HYPERLINK("https://klasma.github.io/Logging_2083/tillsynsmail/A 59035-2023 tillsynsbegäran mail.docx", "A 59035-2023")</f>
        <v/>
      </c>
    </row>
    <row r="47" ht="15" customHeight="1">
      <c r="A47" t="inlineStr">
        <is>
          <t>A 69074-2018</t>
        </is>
      </c>
      <c r="B47" s="1" t="n">
        <v>43445</v>
      </c>
      <c r="C47" s="1" t="n">
        <v>45294</v>
      </c>
      <c r="D47" t="inlineStr">
        <is>
          <t>DALARNAS LÄN</t>
        </is>
      </c>
      <c r="E47" t="inlineStr">
        <is>
          <t>HEDEMORA</t>
        </is>
      </c>
      <c r="F47" t="inlineStr">
        <is>
          <t>Sveaskog</t>
        </is>
      </c>
      <c r="G47" t="n">
        <v>6</v>
      </c>
      <c r="H47" t="n">
        <v>1</v>
      </c>
      <c r="I47" t="n">
        <v>0</v>
      </c>
      <c r="J47" t="n">
        <v>1</v>
      </c>
      <c r="K47" t="n">
        <v>0</v>
      </c>
      <c r="L47" t="n">
        <v>0</v>
      </c>
      <c r="M47" t="n">
        <v>0</v>
      </c>
      <c r="N47" t="n">
        <v>0</v>
      </c>
      <c r="O47" t="n">
        <v>1</v>
      </c>
      <c r="P47" t="n">
        <v>0</v>
      </c>
      <c r="Q47" t="n">
        <v>1</v>
      </c>
      <c r="R47" s="2" t="inlineStr">
        <is>
          <t>Spillkråka</t>
        </is>
      </c>
      <c r="S47">
        <f>HYPERLINK("https://klasma.github.io/Logging_2083/artfynd/A 69074-2018 artfynd.xlsx", "A 69074-2018")</f>
        <v/>
      </c>
      <c r="T47">
        <f>HYPERLINK("https://klasma.github.io/Logging_2083/kartor/A 69074-2018 karta.png", "A 69074-2018")</f>
        <v/>
      </c>
      <c r="V47">
        <f>HYPERLINK("https://klasma.github.io/Logging_2083/klagomål/A 69074-2018 FSC-klagomål.docx", "A 69074-2018")</f>
        <v/>
      </c>
      <c r="W47">
        <f>HYPERLINK("https://klasma.github.io/Logging_2083/klagomålsmail/A 69074-2018 FSC-klagomål mail.docx", "A 69074-2018")</f>
        <v/>
      </c>
      <c r="X47">
        <f>HYPERLINK("https://klasma.github.io/Logging_2083/tillsyn/A 69074-2018 tillsynsbegäran.docx", "A 69074-2018")</f>
        <v/>
      </c>
      <c r="Y47">
        <f>HYPERLINK("https://klasma.github.io/Logging_2083/tillsynsmail/A 69074-2018 tillsynsbegäran mail.docx", "A 69074-2018")</f>
        <v/>
      </c>
    </row>
    <row r="48" ht="15" customHeight="1">
      <c r="A48" t="inlineStr">
        <is>
          <t>A 9058-2020</t>
        </is>
      </c>
      <c r="B48" s="1" t="n">
        <v>43879</v>
      </c>
      <c r="C48" s="1" t="n">
        <v>45294</v>
      </c>
      <c r="D48" t="inlineStr">
        <is>
          <t>DALARNAS LÄN</t>
        </is>
      </c>
      <c r="E48" t="inlineStr">
        <is>
          <t>HEDEMORA</t>
        </is>
      </c>
      <c r="G48" t="n">
        <v>0.5</v>
      </c>
      <c r="H48" t="n">
        <v>0</v>
      </c>
      <c r="I48" t="n">
        <v>1</v>
      </c>
      <c r="J48" t="n">
        <v>0</v>
      </c>
      <c r="K48" t="n">
        <v>0</v>
      </c>
      <c r="L48" t="n">
        <v>0</v>
      </c>
      <c r="M48" t="n">
        <v>0</v>
      </c>
      <c r="N48" t="n">
        <v>0</v>
      </c>
      <c r="O48" t="n">
        <v>0</v>
      </c>
      <c r="P48" t="n">
        <v>0</v>
      </c>
      <c r="Q48" t="n">
        <v>1</v>
      </c>
      <c r="R48" s="2" t="inlineStr">
        <is>
          <t>Tibast</t>
        </is>
      </c>
      <c r="S48">
        <f>HYPERLINK("https://klasma.github.io/Logging_2083/artfynd/A 9058-2020 artfynd.xlsx", "A 9058-2020")</f>
        <v/>
      </c>
      <c r="T48">
        <f>HYPERLINK("https://klasma.github.io/Logging_2083/kartor/A 9058-2020 karta.png", "A 9058-2020")</f>
        <v/>
      </c>
      <c r="V48">
        <f>HYPERLINK("https://klasma.github.io/Logging_2083/klagomål/A 9058-2020 FSC-klagomål.docx", "A 9058-2020")</f>
        <v/>
      </c>
      <c r="W48">
        <f>HYPERLINK("https://klasma.github.io/Logging_2083/klagomålsmail/A 9058-2020 FSC-klagomål mail.docx", "A 9058-2020")</f>
        <v/>
      </c>
      <c r="X48">
        <f>HYPERLINK("https://klasma.github.io/Logging_2083/tillsyn/A 9058-2020 tillsynsbegäran.docx", "A 9058-2020")</f>
        <v/>
      </c>
      <c r="Y48">
        <f>HYPERLINK("https://klasma.github.io/Logging_2083/tillsynsmail/A 9058-2020 tillsynsbegäran mail.docx", "A 9058-2020")</f>
        <v/>
      </c>
    </row>
    <row r="49" ht="15" customHeight="1">
      <c r="A49" t="inlineStr">
        <is>
          <t>A 9056-2020</t>
        </is>
      </c>
      <c r="B49" s="1" t="n">
        <v>43879</v>
      </c>
      <c r="C49" s="1" t="n">
        <v>45294</v>
      </c>
      <c r="D49" t="inlineStr">
        <is>
          <t>DALARNAS LÄN</t>
        </is>
      </c>
      <c r="E49" t="inlineStr">
        <is>
          <t>HEDEMORA</t>
        </is>
      </c>
      <c r="G49" t="n">
        <v>1.4</v>
      </c>
      <c r="H49" t="n">
        <v>0</v>
      </c>
      <c r="I49" t="n">
        <v>0</v>
      </c>
      <c r="J49" t="n">
        <v>1</v>
      </c>
      <c r="K49" t="n">
        <v>0</v>
      </c>
      <c r="L49" t="n">
        <v>0</v>
      </c>
      <c r="M49" t="n">
        <v>0</v>
      </c>
      <c r="N49" t="n">
        <v>0</v>
      </c>
      <c r="O49" t="n">
        <v>1</v>
      </c>
      <c r="P49" t="n">
        <v>0</v>
      </c>
      <c r="Q49" t="n">
        <v>1</v>
      </c>
      <c r="R49" s="2" t="inlineStr">
        <is>
          <t>Garnlav</t>
        </is>
      </c>
      <c r="S49">
        <f>HYPERLINK("https://klasma.github.io/Logging_2083/artfynd/A 9056-2020 artfynd.xlsx", "A 9056-2020")</f>
        <v/>
      </c>
      <c r="T49">
        <f>HYPERLINK("https://klasma.github.io/Logging_2083/kartor/A 9056-2020 karta.png", "A 9056-2020")</f>
        <v/>
      </c>
      <c r="V49">
        <f>HYPERLINK("https://klasma.github.io/Logging_2083/klagomål/A 9056-2020 FSC-klagomål.docx", "A 9056-2020")</f>
        <v/>
      </c>
      <c r="W49">
        <f>HYPERLINK("https://klasma.github.io/Logging_2083/klagomålsmail/A 9056-2020 FSC-klagomål mail.docx", "A 9056-2020")</f>
        <v/>
      </c>
      <c r="X49">
        <f>HYPERLINK("https://klasma.github.io/Logging_2083/tillsyn/A 9056-2020 tillsynsbegäran.docx", "A 9056-2020")</f>
        <v/>
      </c>
      <c r="Y49">
        <f>HYPERLINK("https://klasma.github.io/Logging_2083/tillsynsmail/A 9056-2020 tillsynsbegäran mail.docx", "A 9056-2020")</f>
        <v/>
      </c>
    </row>
    <row r="50" ht="15" customHeight="1">
      <c r="A50" t="inlineStr">
        <is>
          <t>A 11129-2020</t>
        </is>
      </c>
      <c r="B50" s="1" t="n">
        <v>43889</v>
      </c>
      <c r="C50" s="1" t="n">
        <v>45294</v>
      </c>
      <c r="D50" t="inlineStr">
        <is>
          <t>DALARNAS LÄN</t>
        </is>
      </c>
      <c r="E50" t="inlineStr">
        <is>
          <t>HEDEMORA</t>
        </is>
      </c>
      <c r="G50" t="n">
        <v>2.1</v>
      </c>
      <c r="H50" t="n">
        <v>0</v>
      </c>
      <c r="I50" t="n">
        <v>1</v>
      </c>
      <c r="J50" t="n">
        <v>0</v>
      </c>
      <c r="K50" t="n">
        <v>0</v>
      </c>
      <c r="L50" t="n">
        <v>0</v>
      </c>
      <c r="M50" t="n">
        <v>0</v>
      </c>
      <c r="N50" t="n">
        <v>0</v>
      </c>
      <c r="O50" t="n">
        <v>0</v>
      </c>
      <c r="P50" t="n">
        <v>0</v>
      </c>
      <c r="Q50" t="n">
        <v>1</v>
      </c>
      <c r="R50" s="2" t="inlineStr">
        <is>
          <t>Bollvitmossa</t>
        </is>
      </c>
      <c r="S50">
        <f>HYPERLINK("https://klasma.github.io/Logging_2083/artfynd/A 11129-2020 artfynd.xlsx", "A 11129-2020")</f>
        <v/>
      </c>
      <c r="T50">
        <f>HYPERLINK("https://klasma.github.io/Logging_2083/kartor/A 11129-2020 karta.png", "A 11129-2020")</f>
        <v/>
      </c>
      <c r="V50">
        <f>HYPERLINK("https://klasma.github.io/Logging_2083/klagomål/A 11129-2020 FSC-klagomål.docx", "A 11129-2020")</f>
        <v/>
      </c>
      <c r="W50">
        <f>HYPERLINK("https://klasma.github.io/Logging_2083/klagomålsmail/A 11129-2020 FSC-klagomål mail.docx", "A 11129-2020")</f>
        <v/>
      </c>
      <c r="X50">
        <f>HYPERLINK("https://klasma.github.io/Logging_2083/tillsyn/A 11129-2020 tillsynsbegäran.docx", "A 11129-2020")</f>
        <v/>
      </c>
      <c r="Y50">
        <f>HYPERLINK("https://klasma.github.io/Logging_2083/tillsynsmail/A 11129-2020 tillsynsbegäran mail.docx", "A 11129-2020")</f>
        <v/>
      </c>
    </row>
    <row r="51" ht="15" customHeight="1">
      <c r="A51" t="inlineStr">
        <is>
          <t>A 17882-2020</t>
        </is>
      </c>
      <c r="B51" s="1" t="n">
        <v>43924</v>
      </c>
      <c r="C51" s="1" t="n">
        <v>45294</v>
      </c>
      <c r="D51" t="inlineStr">
        <is>
          <t>DALARNAS LÄN</t>
        </is>
      </c>
      <c r="E51" t="inlineStr">
        <is>
          <t>HEDEMORA</t>
        </is>
      </c>
      <c r="G51" t="n">
        <v>9.300000000000001</v>
      </c>
      <c r="H51" t="n">
        <v>1</v>
      </c>
      <c r="I51" t="n">
        <v>0</v>
      </c>
      <c r="J51" t="n">
        <v>0</v>
      </c>
      <c r="K51" t="n">
        <v>0</v>
      </c>
      <c r="L51" t="n">
        <v>0</v>
      </c>
      <c r="M51" t="n">
        <v>0</v>
      </c>
      <c r="N51" t="n">
        <v>0</v>
      </c>
      <c r="O51" t="n">
        <v>0</v>
      </c>
      <c r="P51" t="n">
        <v>0</v>
      </c>
      <c r="Q51" t="n">
        <v>1</v>
      </c>
      <c r="R51" s="2" t="inlineStr">
        <is>
          <t>Tjäder</t>
        </is>
      </c>
      <c r="S51">
        <f>HYPERLINK("https://klasma.github.io/Logging_2083/artfynd/A 17882-2020 artfynd.xlsx", "A 17882-2020")</f>
        <v/>
      </c>
      <c r="T51">
        <f>HYPERLINK("https://klasma.github.io/Logging_2083/kartor/A 17882-2020 karta.png", "A 17882-2020")</f>
        <v/>
      </c>
      <c r="V51">
        <f>HYPERLINK("https://klasma.github.io/Logging_2083/klagomål/A 17882-2020 FSC-klagomål.docx", "A 17882-2020")</f>
        <v/>
      </c>
      <c r="W51">
        <f>HYPERLINK("https://klasma.github.io/Logging_2083/klagomålsmail/A 17882-2020 FSC-klagomål mail.docx", "A 17882-2020")</f>
        <v/>
      </c>
      <c r="X51">
        <f>HYPERLINK("https://klasma.github.io/Logging_2083/tillsyn/A 17882-2020 tillsynsbegäran.docx", "A 17882-2020")</f>
        <v/>
      </c>
      <c r="Y51">
        <f>HYPERLINK("https://klasma.github.io/Logging_2083/tillsynsmail/A 17882-2020 tillsynsbegäran mail.docx", "A 17882-2020")</f>
        <v/>
      </c>
    </row>
    <row r="52" ht="15" customHeight="1">
      <c r="A52" t="inlineStr">
        <is>
          <t>A 49767-2020</t>
        </is>
      </c>
      <c r="B52" s="1" t="n">
        <v>44106</v>
      </c>
      <c r="C52" s="1" t="n">
        <v>45294</v>
      </c>
      <c r="D52" t="inlineStr">
        <is>
          <t>DALARNAS LÄN</t>
        </is>
      </c>
      <c r="E52" t="inlineStr">
        <is>
          <t>HEDEMORA</t>
        </is>
      </c>
      <c r="F52" t="inlineStr">
        <is>
          <t>Sveaskog</t>
        </is>
      </c>
      <c r="G52" t="n">
        <v>6.1</v>
      </c>
      <c r="H52" t="n">
        <v>1</v>
      </c>
      <c r="I52" t="n">
        <v>0</v>
      </c>
      <c r="J52" t="n">
        <v>0</v>
      </c>
      <c r="K52" t="n">
        <v>1</v>
      </c>
      <c r="L52" t="n">
        <v>0</v>
      </c>
      <c r="M52" t="n">
        <v>0</v>
      </c>
      <c r="N52" t="n">
        <v>0</v>
      </c>
      <c r="O52" t="n">
        <v>1</v>
      </c>
      <c r="P52" t="n">
        <v>1</v>
      </c>
      <c r="Q52" t="n">
        <v>1</v>
      </c>
      <c r="R52" s="2" t="inlineStr">
        <is>
          <t>Knärot</t>
        </is>
      </c>
      <c r="S52">
        <f>HYPERLINK("https://klasma.github.io/Logging_2083/artfynd/A 49767-2020 artfynd.xlsx", "A 49767-2020")</f>
        <v/>
      </c>
      <c r="T52">
        <f>HYPERLINK("https://klasma.github.io/Logging_2083/kartor/A 49767-2020 karta.png", "A 49767-2020")</f>
        <v/>
      </c>
      <c r="U52">
        <f>HYPERLINK("https://klasma.github.io/Logging_2083/knärot/A 49767-2020 karta knärot.png", "A 49767-2020")</f>
        <v/>
      </c>
      <c r="V52">
        <f>HYPERLINK("https://klasma.github.io/Logging_2083/klagomål/A 49767-2020 FSC-klagomål.docx", "A 49767-2020")</f>
        <v/>
      </c>
      <c r="W52">
        <f>HYPERLINK("https://klasma.github.io/Logging_2083/klagomålsmail/A 49767-2020 FSC-klagomål mail.docx", "A 49767-2020")</f>
        <v/>
      </c>
      <c r="X52">
        <f>HYPERLINK("https://klasma.github.io/Logging_2083/tillsyn/A 49767-2020 tillsynsbegäran.docx", "A 49767-2020")</f>
        <v/>
      </c>
      <c r="Y52">
        <f>HYPERLINK("https://klasma.github.io/Logging_2083/tillsynsmail/A 49767-2020 tillsynsbegäran mail.docx", "A 49767-2020")</f>
        <v/>
      </c>
    </row>
    <row r="53" ht="15" customHeight="1">
      <c r="A53" t="inlineStr">
        <is>
          <t>A 49768-2020</t>
        </is>
      </c>
      <c r="B53" s="1" t="n">
        <v>44106</v>
      </c>
      <c r="C53" s="1" t="n">
        <v>45294</v>
      </c>
      <c r="D53" t="inlineStr">
        <is>
          <t>DALARNAS LÄN</t>
        </is>
      </c>
      <c r="E53" t="inlineStr">
        <is>
          <t>HEDEMORA</t>
        </is>
      </c>
      <c r="F53" t="inlineStr">
        <is>
          <t>Sveaskog</t>
        </is>
      </c>
      <c r="G53" t="n">
        <v>10</v>
      </c>
      <c r="H53" t="n">
        <v>1</v>
      </c>
      <c r="I53" t="n">
        <v>0</v>
      </c>
      <c r="J53" t="n">
        <v>0</v>
      </c>
      <c r="K53" t="n">
        <v>1</v>
      </c>
      <c r="L53" t="n">
        <v>0</v>
      </c>
      <c r="M53" t="n">
        <v>0</v>
      </c>
      <c r="N53" t="n">
        <v>0</v>
      </c>
      <c r="O53" t="n">
        <v>1</v>
      </c>
      <c r="P53" t="n">
        <v>1</v>
      </c>
      <c r="Q53" t="n">
        <v>1</v>
      </c>
      <c r="R53" s="2" t="inlineStr">
        <is>
          <t>Knärot</t>
        </is>
      </c>
      <c r="S53">
        <f>HYPERLINK("https://klasma.github.io/Logging_2083/artfynd/A 49768-2020 artfynd.xlsx", "A 49768-2020")</f>
        <v/>
      </c>
      <c r="T53">
        <f>HYPERLINK("https://klasma.github.io/Logging_2083/kartor/A 49768-2020 karta.png", "A 49768-2020")</f>
        <v/>
      </c>
      <c r="U53">
        <f>HYPERLINK("https://klasma.github.io/Logging_2083/knärot/A 49768-2020 karta knärot.png", "A 49768-2020")</f>
        <v/>
      </c>
      <c r="V53">
        <f>HYPERLINK("https://klasma.github.io/Logging_2083/klagomål/A 49768-2020 FSC-klagomål.docx", "A 49768-2020")</f>
        <v/>
      </c>
      <c r="W53">
        <f>HYPERLINK("https://klasma.github.io/Logging_2083/klagomålsmail/A 49768-2020 FSC-klagomål mail.docx", "A 49768-2020")</f>
        <v/>
      </c>
      <c r="X53">
        <f>HYPERLINK("https://klasma.github.io/Logging_2083/tillsyn/A 49768-2020 tillsynsbegäran.docx", "A 49768-2020")</f>
        <v/>
      </c>
      <c r="Y53">
        <f>HYPERLINK("https://klasma.github.io/Logging_2083/tillsynsmail/A 49768-2020 tillsynsbegäran mail.docx", "A 49768-2020")</f>
        <v/>
      </c>
    </row>
    <row r="54" ht="15" customHeight="1">
      <c r="A54" t="inlineStr">
        <is>
          <t>A 49765-2020</t>
        </is>
      </c>
      <c r="B54" s="1" t="n">
        <v>44106</v>
      </c>
      <c r="C54" s="1" t="n">
        <v>45294</v>
      </c>
      <c r="D54" t="inlineStr">
        <is>
          <t>DALARNAS LÄN</t>
        </is>
      </c>
      <c r="E54" t="inlineStr">
        <is>
          <t>HEDEMORA</t>
        </is>
      </c>
      <c r="F54" t="inlineStr">
        <is>
          <t>Sveaskog</t>
        </is>
      </c>
      <c r="G54" t="n">
        <v>5.8</v>
      </c>
      <c r="H54" t="n">
        <v>1</v>
      </c>
      <c r="I54" t="n">
        <v>0</v>
      </c>
      <c r="J54" t="n">
        <v>0</v>
      </c>
      <c r="K54" t="n">
        <v>1</v>
      </c>
      <c r="L54" t="n">
        <v>0</v>
      </c>
      <c r="M54" t="n">
        <v>0</v>
      </c>
      <c r="N54" t="n">
        <v>0</v>
      </c>
      <c r="O54" t="n">
        <v>1</v>
      </c>
      <c r="P54" t="n">
        <v>1</v>
      </c>
      <c r="Q54" t="n">
        <v>1</v>
      </c>
      <c r="R54" s="2" t="inlineStr">
        <is>
          <t>Knärot</t>
        </is>
      </c>
      <c r="S54">
        <f>HYPERLINK("https://klasma.github.io/Logging_2083/artfynd/A 49765-2020 artfynd.xlsx", "A 49765-2020")</f>
        <v/>
      </c>
      <c r="T54">
        <f>HYPERLINK("https://klasma.github.io/Logging_2083/kartor/A 49765-2020 karta.png", "A 49765-2020")</f>
        <v/>
      </c>
      <c r="U54">
        <f>HYPERLINK("https://klasma.github.io/Logging_2083/knärot/A 49765-2020 karta knärot.png", "A 49765-2020")</f>
        <v/>
      </c>
      <c r="V54">
        <f>HYPERLINK("https://klasma.github.io/Logging_2083/klagomål/A 49765-2020 FSC-klagomål.docx", "A 49765-2020")</f>
        <v/>
      </c>
      <c r="W54">
        <f>HYPERLINK("https://klasma.github.io/Logging_2083/klagomålsmail/A 49765-2020 FSC-klagomål mail.docx", "A 49765-2020")</f>
        <v/>
      </c>
      <c r="X54">
        <f>HYPERLINK("https://klasma.github.io/Logging_2083/tillsyn/A 49765-2020 tillsynsbegäran.docx", "A 49765-2020")</f>
        <v/>
      </c>
      <c r="Y54">
        <f>HYPERLINK("https://klasma.github.io/Logging_2083/tillsynsmail/A 49765-2020 tillsynsbegäran mail.docx", "A 49765-2020")</f>
        <v/>
      </c>
    </row>
    <row r="55" ht="15" customHeight="1">
      <c r="A55" t="inlineStr">
        <is>
          <t>A 9959-2021</t>
        </is>
      </c>
      <c r="B55" s="1" t="n">
        <v>44253</v>
      </c>
      <c r="C55" s="1" t="n">
        <v>45294</v>
      </c>
      <c r="D55" t="inlineStr">
        <is>
          <t>DALARNAS LÄN</t>
        </is>
      </c>
      <c r="E55" t="inlineStr">
        <is>
          <t>HEDEMORA</t>
        </is>
      </c>
      <c r="G55" t="n">
        <v>1.1</v>
      </c>
      <c r="H55" t="n">
        <v>1</v>
      </c>
      <c r="I55" t="n">
        <v>0</v>
      </c>
      <c r="J55" t="n">
        <v>0</v>
      </c>
      <c r="K55" t="n">
        <v>1</v>
      </c>
      <c r="L55" t="n">
        <v>0</v>
      </c>
      <c r="M55" t="n">
        <v>0</v>
      </c>
      <c r="N55" t="n">
        <v>0</v>
      </c>
      <c r="O55" t="n">
        <v>1</v>
      </c>
      <c r="P55" t="n">
        <v>1</v>
      </c>
      <c r="Q55" t="n">
        <v>1</v>
      </c>
      <c r="R55" s="2" t="inlineStr">
        <is>
          <t>Knärot</t>
        </is>
      </c>
      <c r="S55">
        <f>HYPERLINK("https://klasma.github.io/Logging_2083/artfynd/A 9959-2021 artfynd.xlsx", "A 9959-2021")</f>
        <v/>
      </c>
      <c r="T55">
        <f>HYPERLINK("https://klasma.github.io/Logging_2083/kartor/A 9959-2021 karta.png", "A 9959-2021")</f>
        <v/>
      </c>
      <c r="U55">
        <f>HYPERLINK("https://klasma.github.io/Logging_2083/knärot/A 9959-2021 karta knärot.png", "A 9959-2021")</f>
        <v/>
      </c>
      <c r="V55">
        <f>HYPERLINK("https://klasma.github.io/Logging_2083/klagomål/A 9959-2021 FSC-klagomål.docx", "A 9959-2021")</f>
        <v/>
      </c>
      <c r="W55">
        <f>HYPERLINK("https://klasma.github.io/Logging_2083/klagomålsmail/A 9959-2021 FSC-klagomål mail.docx", "A 9959-2021")</f>
        <v/>
      </c>
      <c r="X55">
        <f>HYPERLINK("https://klasma.github.io/Logging_2083/tillsyn/A 9959-2021 tillsynsbegäran.docx", "A 9959-2021")</f>
        <v/>
      </c>
      <c r="Y55">
        <f>HYPERLINK("https://klasma.github.io/Logging_2083/tillsynsmail/A 9959-2021 tillsynsbegäran mail.docx", "A 9959-2021")</f>
        <v/>
      </c>
    </row>
    <row r="56" ht="15" customHeight="1">
      <c r="A56" t="inlineStr">
        <is>
          <t>A 29214-2021</t>
        </is>
      </c>
      <c r="B56" s="1" t="n">
        <v>44359</v>
      </c>
      <c r="C56" s="1" t="n">
        <v>45294</v>
      </c>
      <c r="D56" t="inlineStr">
        <is>
          <t>DALARNAS LÄN</t>
        </is>
      </c>
      <c r="E56" t="inlineStr">
        <is>
          <t>HEDEMORA</t>
        </is>
      </c>
      <c r="F56" t="inlineStr">
        <is>
          <t>Sveaskog</t>
        </is>
      </c>
      <c r="G56" t="n">
        <v>1.2</v>
      </c>
      <c r="H56" t="n">
        <v>1</v>
      </c>
      <c r="I56" t="n">
        <v>0</v>
      </c>
      <c r="J56" t="n">
        <v>0</v>
      </c>
      <c r="K56" t="n">
        <v>0</v>
      </c>
      <c r="L56" t="n">
        <v>0</v>
      </c>
      <c r="M56" t="n">
        <v>0</v>
      </c>
      <c r="N56" t="n">
        <v>0</v>
      </c>
      <c r="O56" t="n">
        <v>0</v>
      </c>
      <c r="P56" t="n">
        <v>0</v>
      </c>
      <c r="Q56" t="n">
        <v>1</v>
      </c>
      <c r="R56" s="2" t="inlineStr">
        <is>
          <t>Vanlig groda</t>
        </is>
      </c>
      <c r="S56">
        <f>HYPERLINK("https://klasma.github.io/Logging_2083/artfynd/A 29214-2021 artfynd.xlsx", "A 29214-2021")</f>
        <v/>
      </c>
      <c r="T56">
        <f>HYPERLINK("https://klasma.github.io/Logging_2083/kartor/A 29214-2021 karta.png", "A 29214-2021")</f>
        <v/>
      </c>
      <c r="V56">
        <f>HYPERLINK("https://klasma.github.io/Logging_2083/klagomål/A 29214-2021 FSC-klagomål.docx", "A 29214-2021")</f>
        <v/>
      </c>
      <c r="W56">
        <f>HYPERLINK("https://klasma.github.io/Logging_2083/klagomålsmail/A 29214-2021 FSC-klagomål mail.docx", "A 29214-2021")</f>
        <v/>
      </c>
      <c r="X56">
        <f>HYPERLINK("https://klasma.github.io/Logging_2083/tillsyn/A 29214-2021 tillsynsbegäran.docx", "A 29214-2021")</f>
        <v/>
      </c>
      <c r="Y56">
        <f>HYPERLINK("https://klasma.github.io/Logging_2083/tillsynsmail/A 29214-2021 tillsynsbegäran mail.docx", "A 29214-2021")</f>
        <v/>
      </c>
    </row>
    <row r="57" ht="15" customHeight="1">
      <c r="A57" t="inlineStr">
        <is>
          <t>A 31539-2021</t>
        </is>
      </c>
      <c r="B57" s="1" t="n">
        <v>44369</v>
      </c>
      <c r="C57" s="1" t="n">
        <v>45294</v>
      </c>
      <c r="D57" t="inlineStr">
        <is>
          <t>DALARNAS LÄN</t>
        </is>
      </c>
      <c r="E57" t="inlineStr">
        <is>
          <t>HEDEMORA</t>
        </is>
      </c>
      <c r="F57" t="inlineStr">
        <is>
          <t>Sveaskog</t>
        </is>
      </c>
      <c r="G57" t="n">
        <v>13.5</v>
      </c>
      <c r="H57" t="n">
        <v>0</v>
      </c>
      <c r="I57" t="n">
        <v>1</v>
      </c>
      <c r="J57" t="n">
        <v>0</v>
      </c>
      <c r="K57" t="n">
        <v>0</v>
      </c>
      <c r="L57" t="n">
        <v>0</v>
      </c>
      <c r="M57" t="n">
        <v>0</v>
      </c>
      <c r="N57" t="n">
        <v>0</v>
      </c>
      <c r="O57" t="n">
        <v>0</v>
      </c>
      <c r="P57" t="n">
        <v>0</v>
      </c>
      <c r="Q57" t="n">
        <v>1</v>
      </c>
      <c r="R57" s="2" t="inlineStr">
        <is>
          <t>Brandticka</t>
        </is>
      </c>
      <c r="S57">
        <f>HYPERLINK("https://klasma.github.io/Logging_2083/artfynd/A 31539-2021 artfynd.xlsx", "A 31539-2021")</f>
        <v/>
      </c>
      <c r="T57">
        <f>HYPERLINK("https://klasma.github.io/Logging_2083/kartor/A 31539-2021 karta.png", "A 31539-2021")</f>
        <v/>
      </c>
      <c r="V57">
        <f>HYPERLINK("https://klasma.github.io/Logging_2083/klagomål/A 31539-2021 FSC-klagomål.docx", "A 31539-2021")</f>
        <v/>
      </c>
      <c r="W57">
        <f>HYPERLINK("https://klasma.github.io/Logging_2083/klagomålsmail/A 31539-2021 FSC-klagomål mail.docx", "A 31539-2021")</f>
        <v/>
      </c>
      <c r="X57">
        <f>HYPERLINK("https://klasma.github.io/Logging_2083/tillsyn/A 31539-2021 tillsynsbegäran.docx", "A 31539-2021")</f>
        <v/>
      </c>
      <c r="Y57">
        <f>HYPERLINK("https://klasma.github.io/Logging_2083/tillsynsmail/A 31539-2021 tillsynsbegäran mail.docx", "A 31539-2021")</f>
        <v/>
      </c>
    </row>
    <row r="58" ht="15" customHeight="1">
      <c r="A58" t="inlineStr">
        <is>
          <t>A 51111-2021</t>
        </is>
      </c>
      <c r="B58" s="1" t="n">
        <v>44461</v>
      </c>
      <c r="C58" s="1" t="n">
        <v>45294</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48135-2022</t>
        </is>
      </c>
      <c r="B59" s="1" t="n">
        <v>44857</v>
      </c>
      <c r="C59" s="1" t="n">
        <v>45294</v>
      </c>
      <c r="D59" t="inlineStr">
        <is>
          <t>DALARNAS LÄN</t>
        </is>
      </c>
      <c r="E59" t="inlineStr">
        <is>
          <t>HEDEMORA</t>
        </is>
      </c>
      <c r="F59" t="inlineStr">
        <is>
          <t>Sveaskog</t>
        </is>
      </c>
      <c r="G59" t="n">
        <v>5.6</v>
      </c>
      <c r="H59" t="n">
        <v>0</v>
      </c>
      <c r="I59" t="n">
        <v>0</v>
      </c>
      <c r="J59" t="n">
        <v>1</v>
      </c>
      <c r="K59" t="n">
        <v>0</v>
      </c>
      <c r="L59" t="n">
        <v>0</v>
      </c>
      <c r="M59" t="n">
        <v>0</v>
      </c>
      <c r="N59" t="n">
        <v>0</v>
      </c>
      <c r="O59" t="n">
        <v>1</v>
      </c>
      <c r="P59" t="n">
        <v>0</v>
      </c>
      <c r="Q59" t="n">
        <v>1</v>
      </c>
      <c r="R59" s="2" t="inlineStr">
        <is>
          <t>Skrovellav</t>
        </is>
      </c>
      <c r="S59">
        <f>HYPERLINK("https://klasma.github.io/Logging_2083/artfynd/A 48135-2022 artfynd.xlsx", "A 48135-2022")</f>
        <v/>
      </c>
      <c r="T59">
        <f>HYPERLINK("https://klasma.github.io/Logging_2083/kartor/A 48135-2022 karta.png", "A 48135-2022")</f>
        <v/>
      </c>
      <c r="V59">
        <f>HYPERLINK("https://klasma.github.io/Logging_2083/klagomål/A 48135-2022 FSC-klagomål.docx", "A 48135-2022")</f>
        <v/>
      </c>
      <c r="W59">
        <f>HYPERLINK("https://klasma.github.io/Logging_2083/klagomålsmail/A 48135-2022 FSC-klagomål mail.docx", "A 48135-2022")</f>
        <v/>
      </c>
      <c r="X59">
        <f>HYPERLINK("https://klasma.github.io/Logging_2083/tillsyn/A 48135-2022 tillsynsbegäran.docx", "A 48135-2022")</f>
        <v/>
      </c>
      <c r="Y59">
        <f>HYPERLINK("https://klasma.github.io/Logging_2083/tillsynsmail/A 48135-2022 tillsynsbegäran mail.docx", "A 48135-2022")</f>
        <v/>
      </c>
    </row>
    <row r="60" ht="15" customHeight="1">
      <c r="A60" t="inlineStr">
        <is>
          <t>A 51525-2022</t>
        </is>
      </c>
      <c r="B60" s="1" t="n">
        <v>44869</v>
      </c>
      <c r="C60" s="1" t="n">
        <v>45294</v>
      </c>
      <c r="D60" t="inlineStr">
        <is>
          <t>DALARNAS LÄN</t>
        </is>
      </c>
      <c r="E60" t="inlineStr">
        <is>
          <t>HEDEMORA</t>
        </is>
      </c>
      <c r="F60" t="inlineStr">
        <is>
          <t>Sveaskog</t>
        </is>
      </c>
      <c r="G60" t="n">
        <v>20.1</v>
      </c>
      <c r="H60" t="n">
        <v>1</v>
      </c>
      <c r="I60" t="n">
        <v>0</v>
      </c>
      <c r="J60" t="n">
        <v>0</v>
      </c>
      <c r="K60" t="n">
        <v>0</v>
      </c>
      <c r="L60" t="n">
        <v>0</v>
      </c>
      <c r="M60" t="n">
        <v>0</v>
      </c>
      <c r="N60" t="n">
        <v>0</v>
      </c>
      <c r="O60" t="n">
        <v>0</v>
      </c>
      <c r="P60" t="n">
        <v>0</v>
      </c>
      <c r="Q60" t="n">
        <v>1</v>
      </c>
      <c r="R60" s="2" t="inlineStr">
        <is>
          <t>Mattlummer</t>
        </is>
      </c>
      <c r="S60">
        <f>HYPERLINK("https://klasma.github.io/Logging_2083/artfynd/A 51525-2022 artfynd.xlsx", "A 51525-2022")</f>
        <v/>
      </c>
      <c r="T60">
        <f>HYPERLINK("https://klasma.github.io/Logging_2083/kartor/A 51525-2022 karta.png", "A 51525-2022")</f>
        <v/>
      </c>
      <c r="V60">
        <f>HYPERLINK("https://klasma.github.io/Logging_2083/klagomål/A 51525-2022 FSC-klagomål.docx", "A 51525-2022")</f>
        <v/>
      </c>
      <c r="W60">
        <f>HYPERLINK("https://klasma.github.io/Logging_2083/klagomålsmail/A 51525-2022 FSC-klagomål mail.docx", "A 51525-2022")</f>
        <v/>
      </c>
      <c r="X60">
        <f>HYPERLINK("https://klasma.github.io/Logging_2083/tillsyn/A 51525-2022 tillsynsbegäran.docx", "A 51525-2022")</f>
        <v/>
      </c>
      <c r="Y60">
        <f>HYPERLINK("https://klasma.github.io/Logging_2083/tillsynsmail/A 51525-2022 tillsynsbegäran mail.docx", "A 51525-2022")</f>
        <v/>
      </c>
    </row>
    <row r="61" ht="15" customHeight="1">
      <c r="A61" t="inlineStr">
        <is>
          <t>A 53916-2022</t>
        </is>
      </c>
      <c r="B61" s="1" t="n">
        <v>44880</v>
      </c>
      <c r="C61" s="1" t="n">
        <v>45294</v>
      </c>
      <c r="D61" t="inlineStr">
        <is>
          <t>DALARNAS LÄN</t>
        </is>
      </c>
      <c r="E61" t="inlineStr">
        <is>
          <t>HEDEMORA</t>
        </is>
      </c>
      <c r="F61" t="inlineStr">
        <is>
          <t>Sveaskog</t>
        </is>
      </c>
      <c r="G61" t="n">
        <v>12.1</v>
      </c>
      <c r="H61" t="n">
        <v>1</v>
      </c>
      <c r="I61" t="n">
        <v>0</v>
      </c>
      <c r="J61" t="n">
        <v>1</v>
      </c>
      <c r="K61" t="n">
        <v>0</v>
      </c>
      <c r="L61" t="n">
        <v>0</v>
      </c>
      <c r="M61" t="n">
        <v>0</v>
      </c>
      <c r="N61" t="n">
        <v>0</v>
      </c>
      <c r="O61" t="n">
        <v>1</v>
      </c>
      <c r="P61" t="n">
        <v>0</v>
      </c>
      <c r="Q61" t="n">
        <v>1</v>
      </c>
      <c r="R61" s="2" t="inlineStr">
        <is>
          <t>Spillkråka</t>
        </is>
      </c>
      <c r="S61">
        <f>HYPERLINK("https://klasma.github.io/Logging_2083/artfynd/A 53916-2022 artfynd.xlsx", "A 53916-2022")</f>
        <v/>
      </c>
      <c r="T61">
        <f>HYPERLINK("https://klasma.github.io/Logging_2083/kartor/A 53916-2022 karta.png", "A 53916-2022")</f>
        <v/>
      </c>
      <c r="V61">
        <f>HYPERLINK("https://klasma.github.io/Logging_2083/klagomål/A 53916-2022 FSC-klagomål.docx", "A 53916-2022")</f>
        <v/>
      </c>
      <c r="W61">
        <f>HYPERLINK("https://klasma.github.io/Logging_2083/klagomålsmail/A 53916-2022 FSC-klagomål mail.docx", "A 53916-2022")</f>
        <v/>
      </c>
      <c r="X61">
        <f>HYPERLINK("https://klasma.github.io/Logging_2083/tillsyn/A 53916-2022 tillsynsbegäran.docx", "A 53916-2022")</f>
        <v/>
      </c>
      <c r="Y61">
        <f>HYPERLINK("https://klasma.github.io/Logging_2083/tillsynsmail/A 53916-2022 tillsynsbegäran mail.docx", "A 53916-2022")</f>
        <v/>
      </c>
    </row>
    <row r="62" ht="15" customHeight="1">
      <c r="A62" t="inlineStr">
        <is>
          <t>A 55144-2022</t>
        </is>
      </c>
      <c r="B62" s="1" t="n">
        <v>44886</v>
      </c>
      <c r="C62" s="1" t="n">
        <v>45294</v>
      </c>
      <c r="D62" t="inlineStr">
        <is>
          <t>DALARNAS LÄN</t>
        </is>
      </c>
      <c r="E62" t="inlineStr">
        <is>
          <t>HEDEMORA</t>
        </is>
      </c>
      <c r="F62" t="inlineStr">
        <is>
          <t>Sveaskog</t>
        </is>
      </c>
      <c r="G62" t="n">
        <v>2.6</v>
      </c>
      <c r="H62" t="n">
        <v>1</v>
      </c>
      <c r="I62" t="n">
        <v>0</v>
      </c>
      <c r="J62" t="n">
        <v>0</v>
      </c>
      <c r="K62" t="n">
        <v>0</v>
      </c>
      <c r="L62" t="n">
        <v>0</v>
      </c>
      <c r="M62" t="n">
        <v>0</v>
      </c>
      <c r="N62" t="n">
        <v>0</v>
      </c>
      <c r="O62" t="n">
        <v>0</v>
      </c>
      <c r="P62" t="n">
        <v>0</v>
      </c>
      <c r="Q62" t="n">
        <v>1</v>
      </c>
      <c r="R62" s="2" t="inlineStr">
        <is>
          <t>Fläcknycklar</t>
        </is>
      </c>
      <c r="S62">
        <f>HYPERLINK("https://klasma.github.io/Logging_2083/artfynd/A 55144-2022 artfynd.xlsx", "A 55144-2022")</f>
        <v/>
      </c>
      <c r="T62">
        <f>HYPERLINK("https://klasma.github.io/Logging_2083/kartor/A 55144-2022 karta.png", "A 55144-2022")</f>
        <v/>
      </c>
      <c r="V62">
        <f>HYPERLINK("https://klasma.github.io/Logging_2083/klagomål/A 55144-2022 FSC-klagomål.docx", "A 55144-2022")</f>
        <v/>
      </c>
      <c r="W62">
        <f>HYPERLINK("https://klasma.github.io/Logging_2083/klagomålsmail/A 55144-2022 FSC-klagomål mail.docx", "A 55144-2022")</f>
        <v/>
      </c>
      <c r="X62">
        <f>HYPERLINK("https://klasma.github.io/Logging_2083/tillsyn/A 55144-2022 tillsynsbegäran.docx", "A 55144-2022")</f>
        <v/>
      </c>
      <c r="Y62">
        <f>HYPERLINK("https://klasma.github.io/Logging_2083/tillsynsmail/A 55144-2022 tillsynsbegäran mail.docx", "A 55144-2022")</f>
        <v/>
      </c>
    </row>
    <row r="63" ht="15" customHeight="1">
      <c r="A63" t="inlineStr">
        <is>
          <t>A 11742-2023</t>
        </is>
      </c>
      <c r="B63" s="1" t="n">
        <v>44994</v>
      </c>
      <c r="C63" s="1" t="n">
        <v>45294</v>
      </c>
      <c r="D63" t="inlineStr">
        <is>
          <t>DALARNAS LÄN</t>
        </is>
      </c>
      <c r="E63" t="inlineStr">
        <is>
          <t>HEDEMORA</t>
        </is>
      </c>
      <c r="G63" t="n">
        <v>6</v>
      </c>
      <c r="H63" t="n">
        <v>0</v>
      </c>
      <c r="I63" t="n">
        <v>0</v>
      </c>
      <c r="J63" t="n">
        <v>1</v>
      </c>
      <c r="K63" t="n">
        <v>0</v>
      </c>
      <c r="L63" t="n">
        <v>0</v>
      </c>
      <c r="M63" t="n">
        <v>0</v>
      </c>
      <c r="N63" t="n">
        <v>0</v>
      </c>
      <c r="O63" t="n">
        <v>1</v>
      </c>
      <c r="P63" t="n">
        <v>0</v>
      </c>
      <c r="Q63" t="n">
        <v>1</v>
      </c>
      <c r="R63" s="2" t="inlineStr">
        <is>
          <t>Tallticka</t>
        </is>
      </c>
      <c r="S63">
        <f>HYPERLINK("https://klasma.github.io/Logging_2083/artfynd/A 11742-2023 artfynd.xlsx", "A 11742-2023")</f>
        <v/>
      </c>
      <c r="T63">
        <f>HYPERLINK("https://klasma.github.io/Logging_2083/kartor/A 11742-2023 karta.png", "A 11742-2023")</f>
        <v/>
      </c>
      <c r="V63">
        <f>HYPERLINK("https://klasma.github.io/Logging_2083/klagomål/A 11742-2023 FSC-klagomål.docx", "A 11742-2023")</f>
        <v/>
      </c>
      <c r="W63">
        <f>HYPERLINK("https://klasma.github.io/Logging_2083/klagomålsmail/A 11742-2023 FSC-klagomål mail.docx", "A 11742-2023")</f>
        <v/>
      </c>
      <c r="X63">
        <f>HYPERLINK("https://klasma.github.io/Logging_2083/tillsyn/A 11742-2023 tillsynsbegäran.docx", "A 11742-2023")</f>
        <v/>
      </c>
      <c r="Y63">
        <f>HYPERLINK("https://klasma.github.io/Logging_2083/tillsynsmail/A 11742-2023 tillsynsbegäran mail.docx", "A 11742-2023")</f>
        <v/>
      </c>
    </row>
    <row r="64" ht="15" customHeight="1">
      <c r="A64" t="inlineStr">
        <is>
          <t>A 13986-2023</t>
        </is>
      </c>
      <c r="B64" s="1" t="n">
        <v>45008</v>
      </c>
      <c r="C64" s="1" t="n">
        <v>45294</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20231-2023</t>
        </is>
      </c>
      <c r="B65" s="1" t="n">
        <v>45055</v>
      </c>
      <c r="C65" s="1" t="n">
        <v>45294</v>
      </c>
      <c r="D65" t="inlineStr">
        <is>
          <t>DALARNAS LÄN</t>
        </is>
      </c>
      <c r="E65" t="inlineStr">
        <is>
          <t>HEDEMORA</t>
        </is>
      </c>
      <c r="F65" t="inlineStr">
        <is>
          <t>Bergvik skog väst AB</t>
        </is>
      </c>
      <c r="G65" t="n">
        <v>3.9</v>
      </c>
      <c r="H65" t="n">
        <v>1</v>
      </c>
      <c r="I65" t="n">
        <v>0</v>
      </c>
      <c r="J65" t="n">
        <v>1</v>
      </c>
      <c r="K65" t="n">
        <v>0</v>
      </c>
      <c r="L65" t="n">
        <v>0</v>
      </c>
      <c r="M65" t="n">
        <v>0</v>
      </c>
      <c r="N65" t="n">
        <v>0</v>
      </c>
      <c r="O65" t="n">
        <v>1</v>
      </c>
      <c r="P65" t="n">
        <v>0</v>
      </c>
      <c r="Q65" t="n">
        <v>1</v>
      </c>
      <c r="R65" s="2" t="inlineStr">
        <is>
          <t>Tretåig hackspett</t>
        </is>
      </c>
      <c r="S65">
        <f>HYPERLINK("https://klasma.github.io/Logging_2083/artfynd/A 20231-2023 artfynd.xlsx", "A 20231-2023")</f>
        <v/>
      </c>
      <c r="T65">
        <f>HYPERLINK("https://klasma.github.io/Logging_2083/kartor/A 20231-2023 karta.png", "A 20231-2023")</f>
        <v/>
      </c>
      <c r="V65">
        <f>HYPERLINK("https://klasma.github.io/Logging_2083/klagomål/A 20231-2023 FSC-klagomål.docx", "A 20231-2023")</f>
        <v/>
      </c>
      <c r="W65">
        <f>HYPERLINK("https://klasma.github.io/Logging_2083/klagomålsmail/A 20231-2023 FSC-klagomål mail.docx", "A 20231-2023")</f>
        <v/>
      </c>
      <c r="X65">
        <f>HYPERLINK("https://klasma.github.io/Logging_2083/tillsyn/A 20231-2023 tillsynsbegäran.docx", "A 20231-2023")</f>
        <v/>
      </c>
      <c r="Y65">
        <f>HYPERLINK("https://klasma.github.io/Logging_2083/tillsynsmail/A 20231-2023 tillsynsbegäran mail.docx", "A 20231-2023")</f>
        <v/>
      </c>
    </row>
    <row r="66" ht="15" customHeight="1">
      <c r="A66" t="inlineStr">
        <is>
          <t>A 21147-2023</t>
        </is>
      </c>
      <c r="B66" s="1" t="n">
        <v>45057</v>
      </c>
      <c r="C66" s="1" t="n">
        <v>45294</v>
      </c>
      <c r="D66" t="inlineStr">
        <is>
          <t>DALARNAS LÄN</t>
        </is>
      </c>
      <c r="E66" t="inlineStr">
        <is>
          <t>HEDEMORA</t>
        </is>
      </c>
      <c r="G66" t="n">
        <v>10</v>
      </c>
      <c r="H66" t="n">
        <v>1</v>
      </c>
      <c r="I66" t="n">
        <v>0</v>
      </c>
      <c r="J66" t="n">
        <v>0</v>
      </c>
      <c r="K66" t="n">
        <v>0</v>
      </c>
      <c r="L66" t="n">
        <v>0</v>
      </c>
      <c r="M66" t="n">
        <v>0</v>
      </c>
      <c r="N66" t="n">
        <v>0</v>
      </c>
      <c r="O66" t="n">
        <v>0</v>
      </c>
      <c r="P66" t="n">
        <v>0</v>
      </c>
      <c r="Q66" t="n">
        <v>1</v>
      </c>
      <c r="R66" s="2" t="inlineStr">
        <is>
          <t>Blåsippa</t>
        </is>
      </c>
      <c r="S66">
        <f>HYPERLINK("https://klasma.github.io/Logging_2083/artfynd/A 21147-2023 artfynd.xlsx", "A 21147-2023")</f>
        <v/>
      </c>
      <c r="T66">
        <f>HYPERLINK("https://klasma.github.io/Logging_2083/kartor/A 21147-2023 karta.png", "A 21147-2023")</f>
        <v/>
      </c>
      <c r="V66">
        <f>HYPERLINK("https://klasma.github.io/Logging_2083/klagomål/A 21147-2023 FSC-klagomål.docx", "A 21147-2023")</f>
        <v/>
      </c>
      <c r="W66">
        <f>HYPERLINK("https://klasma.github.io/Logging_2083/klagomålsmail/A 21147-2023 FSC-klagomål mail.docx", "A 21147-2023")</f>
        <v/>
      </c>
      <c r="X66">
        <f>HYPERLINK("https://klasma.github.io/Logging_2083/tillsyn/A 21147-2023 tillsynsbegäran.docx", "A 21147-2023")</f>
        <v/>
      </c>
      <c r="Y66">
        <f>HYPERLINK("https://klasma.github.io/Logging_2083/tillsynsmail/A 21147-2023 tillsynsbegäran mail.docx", "A 21147-2023")</f>
        <v/>
      </c>
    </row>
    <row r="67" ht="15" customHeight="1">
      <c r="A67" t="inlineStr">
        <is>
          <t>A 23815-2023</t>
        </is>
      </c>
      <c r="B67" s="1" t="n">
        <v>45078</v>
      </c>
      <c r="C67" s="1" t="n">
        <v>45294</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28028-2023</t>
        </is>
      </c>
      <c r="B68" s="1" t="n">
        <v>45099</v>
      </c>
      <c r="C68" s="1" t="n">
        <v>45294</v>
      </c>
      <c r="D68" t="inlineStr">
        <is>
          <t>DALARNAS LÄN</t>
        </is>
      </c>
      <c r="E68" t="inlineStr">
        <is>
          <t>HEDEMORA</t>
        </is>
      </c>
      <c r="G68" t="n">
        <v>0.8</v>
      </c>
      <c r="H68" t="n">
        <v>1</v>
      </c>
      <c r="I68" t="n">
        <v>0</v>
      </c>
      <c r="J68" t="n">
        <v>0</v>
      </c>
      <c r="K68" t="n">
        <v>0</v>
      </c>
      <c r="L68" t="n">
        <v>0</v>
      </c>
      <c r="M68" t="n">
        <v>0</v>
      </c>
      <c r="N68" t="n">
        <v>0</v>
      </c>
      <c r="O68" t="n">
        <v>0</v>
      </c>
      <c r="P68" t="n">
        <v>0</v>
      </c>
      <c r="Q68" t="n">
        <v>1</v>
      </c>
      <c r="R68" s="2" t="inlineStr">
        <is>
          <t>Blåsippa</t>
        </is>
      </c>
      <c r="S68">
        <f>HYPERLINK("https://klasma.github.io/Logging_2083/artfynd/A 28028-2023 artfynd.xlsx", "A 28028-2023")</f>
        <v/>
      </c>
      <c r="T68">
        <f>HYPERLINK("https://klasma.github.io/Logging_2083/kartor/A 28028-2023 karta.png", "A 28028-2023")</f>
        <v/>
      </c>
      <c r="V68">
        <f>HYPERLINK("https://klasma.github.io/Logging_2083/klagomål/A 28028-2023 FSC-klagomål.docx", "A 28028-2023")</f>
        <v/>
      </c>
      <c r="W68">
        <f>HYPERLINK("https://klasma.github.io/Logging_2083/klagomålsmail/A 28028-2023 FSC-klagomål mail.docx", "A 28028-2023")</f>
        <v/>
      </c>
      <c r="X68">
        <f>HYPERLINK("https://klasma.github.io/Logging_2083/tillsyn/A 28028-2023 tillsynsbegäran.docx", "A 28028-2023")</f>
        <v/>
      </c>
      <c r="Y68">
        <f>HYPERLINK("https://klasma.github.io/Logging_2083/tillsynsmail/A 28028-2023 tillsynsbegäran mail.docx", "A 28028-2023")</f>
        <v/>
      </c>
    </row>
    <row r="69" ht="15" customHeight="1">
      <c r="A69" t="inlineStr">
        <is>
          <t>A 30936-2023</t>
        </is>
      </c>
      <c r="B69" s="1" t="n">
        <v>45113</v>
      </c>
      <c r="C69" s="1" t="n">
        <v>45294</v>
      </c>
      <c r="D69" t="inlineStr">
        <is>
          <t>DALARNAS LÄN</t>
        </is>
      </c>
      <c r="E69" t="inlineStr">
        <is>
          <t>HEDEMORA</t>
        </is>
      </c>
      <c r="F69" t="inlineStr">
        <is>
          <t>Sveaskog</t>
        </is>
      </c>
      <c r="G69" t="n">
        <v>9.199999999999999</v>
      </c>
      <c r="H69" t="n">
        <v>0</v>
      </c>
      <c r="I69" t="n">
        <v>0</v>
      </c>
      <c r="J69" t="n">
        <v>1</v>
      </c>
      <c r="K69" t="n">
        <v>0</v>
      </c>
      <c r="L69" t="n">
        <v>0</v>
      </c>
      <c r="M69" t="n">
        <v>0</v>
      </c>
      <c r="N69" t="n">
        <v>0</v>
      </c>
      <c r="O69" t="n">
        <v>1</v>
      </c>
      <c r="P69" t="n">
        <v>0</v>
      </c>
      <c r="Q69" t="n">
        <v>1</v>
      </c>
      <c r="R69" s="2" t="inlineStr">
        <is>
          <t>Kolflarnlav</t>
        </is>
      </c>
      <c r="S69">
        <f>HYPERLINK("https://klasma.github.io/Logging_2083/artfynd/A 30936-2023 artfynd.xlsx", "A 30936-2023")</f>
        <v/>
      </c>
      <c r="T69">
        <f>HYPERLINK("https://klasma.github.io/Logging_2083/kartor/A 30936-2023 karta.png", "A 30936-2023")</f>
        <v/>
      </c>
      <c r="V69">
        <f>HYPERLINK("https://klasma.github.io/Logging_2083/klagomål/A 30936-2023 FSC-klagomål.docx", "A 30936-2023")</f>
        <v/>
      </c>
      <c r="W69">
        <f>HYPERLINK("https://klasma.github.io/Logging_2083/klagomålsmail/A 30936-2023 FSC-klagomål mail.docx", "A 30936-2023")</f>
        <v/>
      </c>
      <c r="X69">
        <f>HYPERLINK("https://klasma.github.io/Logging_2083/tillsyn/A 30936-2023 tillsynsbegäran.docx", "A 30936-2023")</f>
        <v/>
      </c>
      <c r="Y69">
        <f>HYPERLINK("https://klasma.github.io/Logging_2083/tillsynsmail/A 30936-2023 tillsynsbegäran mail.docx", "A 30936-2023")</f>
        <v/>
      </c>
    </row>
    <row r="70" ht="15" customHeight="1">
      <c r="A70" t="inlineStr">
        <is>
          <t>A 33023-2023</t>
        </is>
      </c>
      <c r="B70" s="1" t="n">
        <v>45125</v>
      </c>
      <c r="C70" s="1" t="n">
        <v>45294</v>
      </c>
      <c r="D70" t="inlineStr">
        <is>
          <t>DALARNAS LÄN</t>
        </is>
      </c>
      <c r="E70" t="inlineStr">
        <is>
          <t>HEDEMORA</t>
        </is>
      </c>
      <c r="F70" t="inlineStr">
        <is>
          <t>Sveaskog</t>
        </is>
      </c>
      <c r="G70" t="n">
        <v>3.9</v>
      </c>
      <c r="H70" t="n">
        <v>1</v>
      </c>
      <c r="I70" t="n">
        <v>0</v>
      </c>
      <c r="J70" t="n">
        <v>0</v>
      </c>
      <c r="K70" t="n">
        <v>0</v>
      </c>
      <c r="L70" t="n">
        <v>0</v>
      </c>
      <c r="M70" t="n">
        <v>0</v>
      </c>
      <c r="N70" t="n">
        <v>0</v>
      </c>
      <c r="O70" t="n">
        <v>0</v>
      </c>
      <c r="P70" t="n">
        <v>0</v>
      </c>
      <c r="Q70" t="n">
        <v>1</v>
      </c>
      <c r="R70" s="2" t="inlineStr">
        <is>
          <t>Revlummer</t>
        </is>
      </c>
      <c r="S70">
        <f>HYPERLINK("https://klasma.github.io/Logging_2083/artfynd/A 33023-2023 artfynd.xlsx", "A 33023-2023")</f>
        <v/>
      </c>
      <c r="T70">
        <f>HYPERLINK("https://klasma.github.io/Logging_2083/kartor/A 33023-2023 karta.png", "A 33023-2023")</f>
        <v/>
      </c>
      <c r="V70">
        <f>HYPERLINK("https://klasma.github.io/Logging_2083/klagomål/A 33023-2023 FSC-klagomål.docx", "A 33023-2023")</f>
        <v/>
      </c>
      <c r="W70">
        <f>HYPERLINK("https://klasma.github.io/Logging_2083/klagomålsmail/A 33023-2023 FSC-klagomål mail.docx", "A 33023-2023")</f>
        <v/>
      </c>
      <c r="X70">
        <f>HYPERLINK("https://klasma.github.io/Logging_2083/tillsyn/A 33023-2023 tillsynsbegäran.docx", "A 33023-2023")</f>
        <v/>
      </c>
      <c r="Y70">
        <f>HYPERLINK("https://klasma.github.io/Logging_2083/tillsynsmail/A 33023-2023 tillsynsbegäran mail.docx", "A 33023-2023")</f>
        <v/>
      </c>
    </row>
    <row r="71" ht="15" customHeight="1">
      <c r="A71" t="inlineStr">
        <is>
          <t>A 35321-2023</t>
        </is>
      </c>
      <c r="B71" s="1" t="n">
        <v>45146</v>
      </c>
      <c r="C71" s="1" t="n">
        <v>45294</v>
      </c>
      <c r="D71" t="inlineStr">
        <is>
          <t>DALARNAS LÄN</t>
        </is>
      </c>
      <c r="E71" t="inlineStr">
        <is>
          <t>HEDEMORA</t>
        </is>
      </c>
      <c r="G71" t="n">
        <v>3.5</v>
      </c>
      <c r="H71" t="n">
        <v>1</v>
      </c>
      <c r="I71" t="n">
        <v>0</v>
      </c>
      <c r="J71" t="n">
        <v>1</v>
      </c>
      <c r="K71" t="n">
        <v>0</v>
      </c>
      <c r="L71" t="n">
        <v>0</v>
      </c>
      <c r="M71" t="n">
        <v>0</v>
      </c>
      <c r="N71" t="n">
        <v>0</v>
      </c>
      <c r="O71" t="n">
        <v>1</v>
      </c>
      <c r="P71" t="n">
        <v>0</v>
      </c>
      <c r="Q71" t="n">
        <v>1</v>
      </c>
      <c r="R71" s="2" t="inlineStr">
        <is>
          <t>Havsörn</t>
        </is>
      </c>
      <c r="S71">
        <f>HYPERLINK("https://klasma.github.io/Logging_2083/artfynd/A 35321-2023 artfynd.xlsx", "A 35321-2023")</f>
        <v/>
      </c>
      <c r="T71">
        <f>HYPERLINK("https://klasma.github.io/Logging_2083/kartor/A 35321-2023 karta.png", "A 35321-2023")</f>
        <v/>
      </c>
      <c r="V71">
        <f>HYPERLINK("https://klasma.github.io/Logging_2083/klagomål/A 35321-2023 FSC-klagomål.docx", "A 35321-2023")</f>
        <v/>
      </c>
      <c r="W71">
        <f>HYPERLINK("https://klasma.github.io/Logging_2083/klagomålsmail/A 35321-2023 FSC-klagomål mail.docx", "A 35321-2023")</f>
        <v/>
      </c>
      <c r="X71">
        <f>HYPERLINK("https://klasma.github.io/Logging_2083/tillsyn/A 35321-2023 tillsynsbegäran.docx", "A 35321-2023")</f>
        <v/>
      </c>
      <c r="Y71">
        <f>HYPERLINK("https://klasma.github.io/Logging_2083/tillsynsmail/A 35321-2023 tillsynsbegäran mail.docx", "A 35321-2023")</f>
        <v/>
      </c>
    </row>
    <row r="72" ht="15" customHeight="1">
      <c r="A72" t="inlineStr">
        <is>
          <t>A 36849-2023</t>
        </is>
      </c>
      <c r="B72" s="1" t="n">
        <v>45154</v>
      </c>
      <c r="C72" s="1" t="n">
        <v>45294</v>
      </c>
      <c r="D72" t="inlineStr">
        <is>
          <t>DALARNAS LÄN</t>
        </is>
      </c>
      <c r="E72" t="inlineStr">
        <is>
          <t>HEDEMORA</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36849-2023 artfynd.xlsx", "A 36849-2023")</f>
        <v/>
      </c>
      <c r="T72">
        <f>HYPERLINK("https://klasma.github.io/Logging_2083/kartor/A 36849-2023 karta.png", "A 36849-2023")</f>
        <v/>
      </c>
      <c r="U72">
        <f>HYPERLINK("https://klasma.github.io/Logging_2083/knärot/A 36849-2023 karta knärot.png", "A 36849-2023")</f>
        <v/>
      </c>
      <c r="V72">
        <f>HYPERLINK("https://klasma.github.io/Logging_2083/klagomål/A 36849-2023 FSC-klagomål.docx", "A 36849-2023")</f>
        <v/>
      </c>
      <c r="W72">
        <f>HYPERLINK("https://klasma.github.io/Logging_2083/klagomålsmail/A 36849-2023 FSC-klagomål mail.docx", "A 36849-2023")</f>
        <v/>
      </c>
      <c r="X72">
        <f>HYPERLINK("https://klasma.github.io/Logging_2083/tillsyn/A 36849-2023 tillsynsbegäran.docx", "A 36849-2023")</f>
        <v/>
      </c>
      <c r="Y72">
        <f>HYPERLINK("https://klasma.github.io/Logging_2083/tillsynsmail/A 36849-2023 tillsynsbegäran mail.docx", "A 36849-2023")</f>
        <v/>
      </c>
    </row>
    <row r="73" ht="15" customHeight="1">
      <c r="A73" t="inlineStr">
        <is>
          <t>A 37654-2023</t>
        </is>
      </c>
      <c r="B73" s="1" t="n">
        <v>45159</v>
      </c>
      <c r="C73" s="1" t="n">
        <v>45294</v>
      </c>
      <c r="D73" t="inlineStr">
        <is>
          <t>DALARNAS LÄN</t>
        </is>
      </c>
      <c r="E73" t="inlineStr">
        <is>
          <t>HEDEMORA</t>
        </is>
      </c>
      <c r="G73" t="n">
        <v>6.2</v>
      </c>
      <c r="H73" t="n">
        <v>1</v>
      </c>
      <c r="I73" t="n">
        <v>0</v>
      </c>
      <c r="J73" t="n">
        <v>0</v>
      </c>
      <c r="K73" t="n">
        <v>1</v>
      </c>
      <c r="L73" t="n">
        <v>0</v>
      </c>
      <c r="M73" t="n">
        <v>0</v>
      </c>
      <c r="N73" t="n">
        <v>0</v>
      </c>
      <c r="O73" t="n">
        <v>1</v>
      </c>
      <c r="P73" t="n">
        <v>1</v>
      </c>
      <c r="Q73" t="n">
        <v>1</v>
      </c>
      <c r="R73" s="2" t="inlineStr">
        <is>
          <t>Knärot</t>
        </is>
      </c>
      <c r="S73">
        <f>HYPERLINK("https://klasma.github.io/Logging_2083/artfynd/A 37654-2023 artfynd.xlsx", "A 37654-2023")</f>
        <v/>
      </c>
      <c r="T73">
        <f>HYPERLINK("https://klasma.github.io/Logging_2083/kartor/A 37654-2023 karta.png", "A 37654-2023")</f>
        <v/>
      </c>
      <c r="U73">
        <f>HYPERLINK("https://klasma.github.io/Logging_2083/knärot/A 37654-2023 karta knärot.png", "A 37654-2023")</f>
        <v/>
      </c>
      <c r="V73">
        <f>HYPERLINK("https://klasma.github.io/Logging_2083/klagomål/A 37654-2023 FSC-klagomål.docx", "A 37654-2023")</f>
        <v/>
      </c>
      <c r="W73">
        <f>HYPERLINK("https://klasma.github.io/Logging_2083/klagomålsmail/A 37654-2023 FSC-klagomål mail.docx", "A 37654-2023")</f>
        <v/>
      </c>
      <c r="X73">
        <f>HYPERLINK("https://klasma.github.io/Logging_2083/tillsyn/A 37654-2023 tillsynsbegäran.docx", "A 37654-2023")</f>
        <v/>
      </c>
      <c r="Y73">
        <f>HYPERLINK("https://klasma.github.io/Logging_2083/tillsynsmail/A 37654-2023 tillsynsbegäran mail.docx", "A 37654-2023")</f>
        <v/>
      </c>
    </row>
    <row r="74" ht="15" customHeight="1">
      <c r="A74" t="inlineStr">
        <is>
          <t>A 41078-2023</t>
        </is>
      </c>
      <c r="B74" s="1" t="n">
        <v>45173</v>
      </c>
      <c r="C74" s="1" t="n">
        <v>45294</v>
      </c>
      <c r="D74" t="inlineStr">
        <is>
          <t>DALARNAS LÄN</t>
        </is>
      </c>
      <c r="E74" t="inlineStr">
        <is>
          <t>HEDEMORA</t>
        </is>
      </c>
      <c r="G74" t="n">
        <v>10.3</v>
      </c>
      <c r="H74" t="n">
        <v>0</v>
      </c>
      <c r="I74" t="n">
        <v>1</v>
      </c>
      <c r="J74" t="n">
        <v>0</v>
      </c>
      <c r="K74" t="n">
        <v>0</v>
      </c>
      <c r="L74" t="n">
        <v>0</v>
      </c>
      <c r="M74" t="n">
        <v>0</v>
      </c>
      <c r="N74" t="n">
        <v>0</v>
      </c>
      <c r="O74" t="n">
        <v>0</v>
      </c>
      <c r="P74" t="n">
        <v>0</v>
      </c>
      <c r="Q74" t="n">
        <v>1</v>
      </c>
      <c r="R74" s="2" t="inlineStr">
        <is>
          <t>Bronshjon</t>
        </is>
      </c>
      <c r="S74">
        <f>HYPERLINK("https://klasma.github.io/Logging_2083/artfynd/A 41078-2023 artfynd.xlsx", "A 41078-2023")</f>
        <v/>
      </c>
      <c r="T74">
        <f>HYPERLINK("https://klasma.github.io/Logging_2083/kartor/A 41078-2023 karta.png", "A 41078-2023")</f>
        <v/>
      </c>
      <c r="V74">
        <f>HYPERLINK("https://klasma.github.io/Logging_2083/klagomål/A 41078-2023 FSC-klagomål.docx", "A 41078-2023")</f>
        <v/>
      </c>
      <c r="W74">
        <f>HYPERLINK("https://klasma.github.io/Logging_2083/klagomålsmail/A 41078-2023 FSC-klagomål mail.docx", "A 41078-2023")</f>
        <v/>
      </c>
      <c r="X74">
        <f>HYPERLINK("https://klasma.github.io/Logging_2083/tillsyn/A 41078-2023 tillsynsbegäran.docx", "A 41078-2023")</f>
        <v/>
      </c>
      <c r="Y74">
        <f>HYPERLINK("https://klasma.github.io/Logging_2083/tillsynsmail/A 41078-2023 tillsynsbegäran mail.docx", "A 41078-2023")</f>
        <v/>
      </c>
    </row>
    <row r="75" ht="15" customHeight="1">
      <c r="A75" t="inlineStr">
        <is>
          <t>A 59376-2023</t>
        </is>
      </c>
      <c r="B75" s="1" t="n">
        <v>45253</v>
      </c>
      <c r="C75" s="1" t="n">
        <v>45294</v>
      </c>
      <c r="D75" t="inlineStr">
        <is>
          <t>DALARNAS LÄN</t>
        </is>
      </c>
      <c r="E75" t="inlineStr">
        <is>
          <t>HEDEMORA</t>
        </is>
      </c>
      <c r="F75" t="inlineStr">
        <is>
          <t>Sveaskog</t>
        </is>
      </c>
      <c r="G75" t="n">
        <v>2.4</v>
      </c>
      <c r="H75" t="n">
        <v>1</v>
      </c>
      <c r="I75" t="n">
        <v>0</v>
      </c>
      <c r="J75" t="n">
        <v>1</v>
      </c>
      <c r="K75" t="n">
        <v>0</v>
      </c>
      <c r="L75" t="n">
        <v>0</v>
      </c>
      <c r="M75" t="n">
        <v>0</v>
      </c>
      <c r="N75" t="n">
        <v>0</v>
      </c>
      <c r="O75" t="n">
        <v>1</v>
      </c>
      <c r="P75" t="n">
        <v>0</v>
      </c>
      <c r="Q75" t="n">
        <v>1</v>
      </c>
      <c r="R75" s="2" t="inlineStr">
        <is>
          <t>Spillkråka</t>
        </is>
      </c>
      <c r="S75">
        <f>HYPERLINK("https://klasma.github.io/Logging_2083/artfynd/A 59376-2023 artfynd.xlsx", "A 59376-2023")</f>
        <v/>
      </c>
      <c r="T75">
        <f>HYPERLINK("https://klasma.github.io/Logging_2083/kartor/A 59376-2023 karta.png", "A 59376-2023")</f>
        <v/>
      </c>
      <c r="V75">
        <f>HYPERLINK("https://klasma.github.io/Logging_2083/klagomål/A 59376-2023 FSC-klagomål.docx", "A 59376-2023")</f>
        <v/>
      </c>
      <c r="W75">
        <f>HYPERLINK("https://klasma.github.io/Logging_2083/klagomålsmail/A 59376-2023 FSC-klagomål mail.docx", "A 59376-2023")</f>
        <v/>
      </c>
      <c r="X75">
        <f>HYPERLINK("https://klasma.github.io/Logging_2083/tillsyn/A 59376-2023 tillsynsbegäran.docx", "A 59376-2023")</f>
        <v/>
      </c>
      <c r="Y75">
        <f>HYPERLINK("https://klasma.github.io/Logging_2083/tillsynsmail/A 59376-2023 tillsynsbegäran mail.docx", "A 59376-2023")</f>
        <v/>
      </c>
    </row>
    <row r="76" ht="15" customHeight="1">
      <c r="A76" t="inlineStr">
        <is>
          <t>A 59377-2023</t>
        </is>
      </c>
      <c r="B76" s="1" t="n">
        <v>45253</v>
      </c>
      <c r="C76" s="1" t="n">
        <v>45294</v>
      </c>
      <c r="D76" t="inlineStr">
        <is>
          <t>DALARNAS LÄN</t>
        </is>
      </c>
      <c r="E76" t="inlineStr">
        <is>
          <t>HEDEMORA</t>
        </is>
      </c>
      <c r="F76" t="inlineStr">
        <is>
          <t>Sveaskog</t>
        </is>
      </c>
      <c r="G76" t="n">
        <v>4.6</v>
      </c>
      <c r="H76" t="n">
        <v>0</v>
      </c>
      <c r="I76" t="n">
        <v>0</v>
      </c>
      <c r="J76" t="n">
        <v>1</v>
      </c>
      <c r="K76" t="n">
        <v>0</v>
      </c>
      <c r="L76" t="n">
        <v>0</v>
      </c>
      <c r="M76" t="n">
        <v>0</v>
      </c>
      <c r="N76" t="n">
        <v>0</v>
      </c>
      <c r="O76" t="n">
        <v>1</v>
      </c>
      <c r="P76" t="n">
        <v>0</v>
      </c>
      <c r="Q76" t="n">
        <v>1</v>
      </c>
      <c r="R76" s="2" t="inlineStr">
        <is>
          <t>Ullticka</t>
        </is>
      </c>
      <c r="S76">
        <f>HYPERLINK("https://klasma.github.io/Logging_2083/artfynd/A 59377-2023 artfynd.xlsx", "A 59377-2023")</f>
        <v/>
      </c>
      <c r="T76">
        <f>HYPERLINK("https://klasma.github.io/Logging_2083/kartor/A 59377-2023 karta.png", "A 59377-2023")</f>
        <v/>
      </c>
      <c r="V76">
        <f>HYPERLINK("https://klasma.github.io/Logging_2083/klagomål/A 59377-2023 FSC-klagomål.docx", "A 59377-2023")</f>
        <v/>
      </c>
      <c r="W76">
        <f>HYPERLINK("https://klasma.github.io/Logging_2083/klagomålsmail/A 59377-2023 FSC-klagomål mail.docx", "A 59377-2023")</f>
        <v/>
      </c>
      <c r="X76">
        <f>HYPERLINK("https://klasma.github.io/Logging_2083/tillsyn/A 59377-2023 tillsynsbegäran.docx", "A 59377-2023")</f>
        <v/>
      </c>
      <c r="Y76">
        <f>HYPERLINK("https://klasma.github.io/Logging_2083/tillsynsmail/A 59377-2023 tillsynsbegäran mail.docx", "A 59377-2023")</f>
        <v/>
      </c>
    </row>
    <row r="77" ht="15" customHeight="1">
      <c r="A77" t="inlineStr">
        <is>
          <t>A 59751-2023</t>
        </is>
      </c>
      <c r="B77" s="1" t="n">
        <v>45257</v>
      </c>
      <c r="C77" s="1" t="n">
        <v>45294</v>
      </c>
      <c r="D77" t="inlineStr">
        <is>
          <t>DALARNAS LÄN</t>
        </is>
      </c>
      <c r="E77" t="inlineStr">
        <is>
          <t>HEDEMORA</t>
        </is>
      </c>
      <c r="F77" t="inlineStr">
        <is>
          <t>Sveaskog</t>
        </is>
      </c>
      <c r="G77" t="n">
        <v>0.7</v>
      </c>
      <c r="H77" t="n">
        <v>0</v>
      </c>
      <c r="I77" t="n">
        <v>1</v>
      </c>
      <c r="J77" t="n">
        <v>0</v>
      </c>
      <c r="K77" t="n">
        <v>0</v>
      </c>
      <c r="L77" t="n">
        <v>0</v>
      </c>
      <c r="M77" t="n">
        <v>0</v>
      </c>
      <c r="N77" t="n">
        <v>0</v>
      </c>
      <c r="O77" t="n">
        <v>0</v>
      </c>
      <c r="P77" t="n">
        <v>0</v>
      </c>
      <c r="Q77" t="n">
        <v>1</v>
      </c>
      <c r="R77" s="2" t="inlineStr">
        <is>
          <t>Svavelriska</t>
        </is>
      </c>
      <c r="S77">
        <f>HYPERLINK("https://klasma.github.io/Logging_2083/artfynd/A 59751-2023 artfynd.xlsx", "A 59751-2023")</f>
        <v/>
      </c>
      <c r="T77">
        <f>HYPERLINK("https://klasma.github.io/Logging_2083/kartor/A 59751-2023 karta.png", "A 59751-2023")</f>
        <v/>
      </c>
      <c r="V77">
        <f>HYPERLINK("https://klasma.github.io/Logging_2083/klagomål/A 59751-2023 FSC-klagomål.docx", "A 59751-2023")</f>
        <v/>
      </c>
      <c r="W77">
        <f>HYPERLINK("https://klasma.github.io/Logging_2083/klagomålsmail/A 59751-2023 FSC-klagomål mail.docx", "A 59751-2023")</f>
        <v/>
      </c>
      <c r="X77">
        <f>HYPERLINK("https://klasma.github.io/Logging_2083/tillsyn/A 59751-2023 tillsynsbegäran.docx", "A 59751-2023")</f>
        <v/>
      </c>
      <c r="Y77">
        <f>HYPERLINK("https://klasma.github.io/Logging_2083/tillsynsmail/A 59751-2023 tillsynsbegäran mail.docx", "A 59751-2023")</f>
        <v/>
      </c>
    </row>
    <row r="78" ht="15" customHeight="1">
      <c r="A78" t="inlineStr">
        <is>
          <t>A 63542-2023</t>
        </is>
      </c>
      <c r="B78" s="1" t="n">
        <v>45275</v>
      </c>
      <c r="C78" s="1" t="n">
        <v>45294</v>
      </c>
      <c r="D78" t="inlineStr">
        <is>
          <t>DALARNAS LÄN</t>
        </is>
      </c>
      <c r="E78" t="inlineStr">
        <is>
          <t>HEDEMORA</t>
        </is>
      </c>
      <c r="G78" t="n">
        <v>2.1</v>
      </c>
      <c r="H78" t="n">
        <v>1</v>
      </c>
      <c r="I78" t="n">
        <v>0</v>
      </c>
      <c r="J78" t="n">
        <v>1</v>
      </c>
      <c r="K78" t="n">
        <v>0</v>
      </c>
      <c r="L78" t="n">
        <v>0</v>
      </c>
      <c r="M78" t="n">
        <v>0</v>
      </c>
      <c r="N78" t="n">
        <v>0</v>
      </c>
      <c r="O78" t="n">
        <v>1</v>
      </c>
      <c r="P78" t="n">
        <v>0</v>
      </c>
      <c r="Q78" t="n">
        <v>1</v>
      </c>
      <c r="R78" s="2" t="inlineStr">
        <is>
          <t>Spillkråka</t>
        </is>
      </c>
      <c r="S78">
        <f>HYPERLINK("https://klasma.github.io/Logging_2083/artfynd/A 63542-2023 artfynd.xlsx", "A 63542-2023")</f>
        <v/>
      </c>
      <c r="T78">
        <f>HYPERLINK("https://klasma.github.io/Logging_2083/kartor/A 63542-2023 karta.png", "A 63542-2023")</f>
        <v/>
      </c>
      <c r="V78">
        <f>HYPERLINK("https://klasma.github.io/Logging_2083/klagomål/A 63542-2023 FSC-klagomål.docx", "A 63542-2023")</f>
        <v/>
      </c>
      <c r="W78">
        <f>HYPERLINK("https://klasma.github.io/Logging_2083/klagomålsmail/A 63542-2023 FSC-klagomål mail.docx", "A 63542-2023")</f>
        <v/>
      </c>
      <c r="X78">
        <f>HYPERLINK("https://klasma.github.io/Logging_2083/tillsyn/A 63542-2023 tillsynsbegäran.docx", "A 63542-2023")</f>
        <v/>
      </c>
      <c r="Y78">
        <f>HYPERLINK("https://klasma.github.io/Logging_2083/tillsynsmail/A 63542-2023 tillsynsbegäran mail.docx", "A 63542-2023")</f>
        <v/>
      </c>
    </row>
    <row r="79" ht="15" customHeight="1">
      <c r="A79" t="inlineStr">
        <is>
          <t>A 59680-2018</t>
        </is>
      </c>
      <c r="B79" s="1" t="n">
        <v>43374</v>
      </c>
      <c r="C79" s="1" t="n">
        <v>45294</v>
      </c>
      <c r="D79" t="inlineStr">
        <is>
          <t>DALARNAS LÄN</t>
        </is>
      </c>
      <c r="E79" t="inlineStr">
        <is>
          <t>HEDEMORA</t>
        </is>
      </c>
      <c r="G79" t="n">
        <v>1.2</v>
      </c>
      <c r="H79" t="n">
        <v>0</v>
      </c>
      <c r="I79" t="n">
        <v>0</v>
      </c>
      <c r="J79" t="n">
        <v>0</v>
      </c>
      <c r="K79" t="n">
        <v>0</v>
      </c>
      <c r="L79" t="n">
        <v>0</v>
      </c>
      <c r="M79" t="n">
        <v>0</v>
      </c>
      <c r="N79" t="n">
        <v>0</v>
      </c>
      <c r="O79" t="n">
        <v>0</v>
      </c>
      <c r="P79" t="n">
        <v>0</v>
      </c>
      <c r="Q79" t="n">
        <v>0</v>
      </c>
      <c r="R79" s="2" t="inlineStr"/>
    </row>
    <row r="80" ht="15" customHeight="1">
      <c r="A80" t="inlineStr">
        <is>
          <t>A 49376-2018</t>
        </is>
      </c>
      <c r="B80" s="1" t="n">
        <v>43376</v>
      </c>
      <c r="C80" s="1" t="n">
        <v>45294</v>
      </c>
      <c r="D80" t="inlineStr">
        <is>
          <t>DALARNAS LÄN</t>
        </is>
      </c>
      <c r="E80" t="inlineStr">
        <is>
          <t>HEDEMORA</t>
        </is>
      </c>
      <c r="F80" t="inlineStr">
        <is>
          <t>Sveaskog</t>
        </is>
      </c>
      <c r="G80" t="n">
        <v>1.5</v>
      </c>
      <c r="H80" t="n">
        <v>0</v>
      </c>
      <c r="I80" t="n">
        <v>0</v>
      </c>
      <c r="J80" t="n">
        <v>0</v>
      </c>
      <c r="K80" t="n">
        <v>0</v>
      </c>
      <c r="L80" t="n">
        <v>0</v>
      </c>
      <c r="M80" t="n">
        <v>0</v>
      </c>
      <c r="N80" t="n">
        <v>0</v>
      </c>
      <c r="O80" t="n">
        <v>0</v>
      </c>
      <c r="P80" t="n">
        <v>0</v>
      </c>
      <c r="Q80" t="n">
        <v>0</v>
      </c>
      <c r="R80" s="2" t="inlineStr"/>
    </row>
    <row r="81" ht="15" customHeight="1">
      <c r="A81" t="inlineStr">
        <is>
          <t>A 52848-2018</t>
        </is>
      </c>
      <c r="B81" s="1" t="n">
        <v>43384</v>
      </c>
      <c r="C81" s="1" t="n">
        <v>45294</v>
      </c>
      <c r="D81" t="inlineStr">
        <is>
          <t>DALARNAS LÄN</t>
        </is>
      </c>
      <c r="E81" t="inlineStr">
        <is>
          <t>HEDEMORA</t>
        </is>
      </c>
      <c r="G81" t="n">
        <v>1.6</v>
      </c>
      <c r="H81" t="n">
        <v>0</v>
      </c>
      <c r="I81" t="n">
        <v>0</v>
      </c>
      <c r="J81" t="n">
        <v>0</v>
      </c>
      <c r="K81" t="n">
        <v>0</v>
      </c>
      <c r="L81" t="n">
        <v>0</v>
      </c>
      <c r="M81" t="n">
        <v>0</v>
      </c>
      <c r="N81" t="n">
        <v>0</v>
      </c>
      <c r="O81" t="n">
        <v>0</v>
      </c>
      <c r="P81" t="n">
        <v>0</v>
      </c>
      <c r="Q81" t="n">
        <v>0</v>
      </c>
      <c r="R81" s="2" t="inlineStr"/>
    </row>
    <row r="82" ht="15" customHeight="1">
      <c r="A82" t="inlineStr">
        <is>
          <t>A 52850-2018</t>
        </is>
      </c>
      <c r="B82" s="1" t="n">
        <v>43384</v>
      </c>
      <c r="C82" s="1" t="n">
        <v>45294</v>
      </c>
      <c r="D82" t="inlineStr">
        <is>
          <t>DALARNAS LÄN</t>
        </is>
      </c>
      <c r="E82" t="inlineStr">
        <is>
          <t>HEDEMORA</t>
        </is>
      </c>
      <c r="G82" t="n">
        <v>1.6</v>
      </c>
      <c r="H82" t="n">
        <v>0</v>
      </c>
      <c r="I82" t="n">
        <v>0</v>
      </c>
      <c r="J82" t="n">
        <v>0</v>
      </c>
      <c r="K82" t="n">
        <v>0</v>
      </c>
      <c r="L82" t="n">
        <v>0</v>
      </c>
      <c r="M82" t="n">
        <v>0</v>
      </c>
      <c r="N82" t="n">
        <v>0</v>
      </c>
      <c r="O82" t="n">
        <v>0</v>
      </c>
      <c r="P82" t="n">
        <v>0</v>
      </c>
      <c r="Q82" t="n">
        <v>0</v>
      </c>
      <c r="R82" s="2" t="inlineStr"/>
    </row>
    <row r="83" ht="15" customHeight="1">
      <c r="A83" t="inlineStr">
        <is>
          <t>A 59350-2018</t>
        </is>
      </c>
      <c r="B83" s="1" t="n">
        <v>43418</v>
      </c>
      <c r="C83" s="1" t="n">
        <v>45294</v>
      </c>
      <c r="D83" t="inlineStr">
        <is>
          <t>DALARNAS LÄN</t>
        </is>
      </c>
      <c r="E83" t="inlineStr">
        <is>
          <t>HEDEMORA</t>
        </is>
      </c>
      <c r="G83" t="n">
        <v>0.6</v>
      </c>
      <c r="H83" t="n">
        <v>0</v>
      </c>
      <c r="I83" t="n">
        <v>0</v>
      </c>
      <c r="J83" t="n">
        <v>0</v>
      </c>
      <c r="K83" t="n">
        <v>0</v>
      </c>
      <c r="L83" t="n">
        <v>0</v>
      </c>
      <c r="M83" t="n">
        <v>0</v>
      </c>
      <c r="N83" t="n">
        <v>0</v>
      </c>
      <c r="O83" t="n">
        <v>0</v>
      </c>
      <c r="P83" t="n">
        <v>0</v>
      </c>
      <c r="Q83" t="n">
        <v>0</v>
      </c>
      <c r="R83" s="2" t="inlineStr"/>
    </row>
    <row r="84" ht="15" customHeight="1">
      <c r="A84" t="inlineStr">
        <is>
          <t>A 64981-2018</t>
        </is>
      </c>
      <c r="B84" s="1" t="n">
        <v>43432</v>
      </c>
      <c r="C84" s="1" t="n">
        <v>45294</v>
      </c>
      <c r="D84" t="inlineStr">
        <is>
          <t>DALARNAS LÄN</t>
        </is>
      </c>
      <c r="E84" t="inlineStr">
        <is>
          <t>HEDEMORA</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65382-2018</t>
        </is>
      </c>
      <c r="B85" s="1" t="n">
        <v>43433</v>
      </c>
      <c r="C85" s="1" t="n">
        <v>45294</v>
      </c>
      <c r="D85" t="inlineStr">
        <is>
          <t>DALARNAS LÄN</t>
        </is>
      </c>
      <c r="E85" t="inlineStr">
        <is>
          <t>HEDEMORA</t>
        </is>
      </c>
      <c r="G85" t="n">
        <v>1.1</v>
      </c>
      <c r="H85" t="n">
        <v>0</v>
      </c>
      <c r="I85" t="n">
        <v>0</v>
      </c>
      <c r="J85" t="n">
        <v>0</v>
      </c>
      <c r="K85" t="n">
        <v>0</v>
      </c>
      <c r="L85" t="n">
        <v>0</v>
      </c>
      <c r="M85" t="n">
        <v>0</v>
      </c>
      <c r="N85" t="n">
        <v>0</v>
      </c>
      <c r="O85" t="n">
        <v>0</v>
      </c>
      <c r="P85" t="n">
        <v>0</v>
      </c>
      <c r="Q85" t="n">
        <v>0</v>
      </c>
      <c r="R85" s="2" t="inlineStr"/>
    </row>
    <row r="86" ht="15" customHeight="1">
      <c r="A86" t="inlineStr">
        <is>
          <t>A 65535-2018</t>
        </is>
      </c>
      <c r="B86" s="1" t="n">
        <v>43433</v>
      </c>
      <c r="C86" s="1" t="n">
        <v>45294</v>
      </c>
      <c r="D86" t="inlineStr">
        <is>
          <t>DALARNAS LÄN</t>
        </is>
      </c>
      <c r="E86" t="inlineStr">
        <is>
          <t>HEDEMORA</t>
        </is>
      </c>
      <c r="G86" t="n">
        <v>1</v>
      </c>
      <c r="H86" t="n">
        <v>0</v>
      </c>
      <c r="I86" t="n">
        <v>0</v>
      </c>
      <c r="J86" t="n">
        <v>0</v>
      </c>
      <c r="K86" t="n">
        <v>0</v>
      </c>
      <c r="L86" t="n">
        <v>0</v>
      </c>
      <c r="M86" t="n">
        <v>0</v>
      </c>
      <c r="N86" t="n">
        <v>0</v>
      </c>
      <c r="O86" t="n">
        <v>0</v>
      </c>
      <c r="P86" t="n">
        <v>0</v>
      </c>
      <c r="Q86" t="n">
        <v>0</v>
      </c>
      <c r="R86" s="2" t="inlineStr"/>
    </row>
    <row r="87" ht="15" customHeight="1">
      <c r="A87" t="inlineStr">
        <is>
          <t>A 65565-2018</t>
        </is>
      </c>
      <c r="B87" s="1" t="n">
        <v>43433</v>
      </c>
      <c r="C87" s="1" t="n">
        <v>45294</v>
      </c>
      <c r="D87" t="inlineStr">
        <is>
          <t>DALARNAS LÄN</t>
        </is>
      </c>
      <c r="E87" t="inlineStr">
        <is>
          <t>HEDEMORA</t>
        </is>
      </c>
      <c r="G87" t="n">
        <v>3.3</v>
      </c>
      <c r="H87" t="n">
        <v>0</v>
      </c>
      <c r="I87" t="n">
        <v>0</v>
      </c>
      <c r="J87" t="n">
        <v>0</v>
      </c>
      <c r="K87" t="n">
        <v>0</v>
      </c>
      <c r="L87" t="n">
        <v>0</v>
      </c>
      <c r="M87" t="n">
        <v>0</v>
      </c>
      <c r="N87" t="n">
        <v>0</v>
      </c>
      <c r="O87" t="n">
        <v>0</v>
      </c>
      <c r="P87" t="n">
        <v>0</v>
      </c>
      <c r="Q87" t="n">
        <v>0</v>
      </c>
      <c r="R87" s="2" t="inlineStr"/>
    </row>
    <row r="88" ht="15" customHeight="1">
      <c r="A88" t="inlineStr">
        <is>
          <t>A 65551-2018</t>
        </is>
      </c>
      <c r="B88" s="1" t="n">
        <v>43433</v>
      </c>
      <c r="C88" s="1" t="n">
        <v>45294</v>
      </c>
      <c r="D88" t="inlineStr">
        <is>
          <t>DALARNAS LÄN</t>
        </is>
      </c>
      <c r="E88" t="inlineStr">
        <is>
          <t>HEDEMORA</t>
        </is>
      </c>
      <c r="G88" t="n">
        <v>3.8</v>
      </c>
      <c r="H88" t="n">
        <v>0</v>
      </c>
      <c r="I88" t="n">
        <v>0</v>
      </c>
      <c r="J88" t="n">
        <v>0</v>
      </c>
      <c r="K88" t="n">
        <v>0</v>
      </c>
      <c r="L88" t="n">
        <v>0</v>
      </c>
      <c r="M88" t="n">
        <v>0</v>
      </c>
      <c r="N88" t="n">
        <v>0</v>
      </c>
      <c r="O88" t="n">
        <v>0</v>
      </c>
      <c r="P88" t="n">
        <v>0</v>
      </c>
      <c r="Q88" t="n">
        <v>0</v>
      </c>
      <c r="R88" s="2" t="inlineStr"/>
    </row>
    <row r="89" ht="15" customHeight="1">
      <c r="A89" t="inlineStr">
        <is>
          <t>A 67042-2018</t>
        </is>
      </c>
      <c r="B89" s="1" t="n">
        <v>43438</v>
      </c>
      <c r="C89" s="1" t="n">
        <v>45294</v>
      </c>
      <c r="D89" t="inlineStr">
        <is>
          <t>DALARNAS LÄN</t>
        </is>
      </c>
      <c r="E89" t="inlineStr">
        <is>
          <t>HEDEMORA</t>
        </is>
      </c>
      <c r="F89" t="inlineStr">
        <is>
          <t>Sveaskog</t>
        </is>
      </c>
      <c r="G89" t="n">
        <v>1.3</v>
      </c>
      <c r="H89" t="n">
        <v>0</v>
      </c>
      <c r="I89" t="n">
        <v>0</v>
      </c>
      <c r="J89" t="n">
        <v>0</v>
      </c>
      <c r="K89" t="n">
        <v>0</v>
      </c>
      <c r="L89" t="n">
        <v>0</v>
      </c>
      <c r="M89" t="n">
        <v>0</v>
      </c>
      <c r="N89" t="n">
        <v>0</v>
      </c>
      <c r="O89" t="n">
        <v>0</v>
      </c>
      <c r="P89" t="n">
        <v>0</v>
      </c>
      <c r="Q89" t="n">
        <v>0</v>
      </c>
      <c r="R89" s="2" t="inlineStr"/>
    </row>
    <row r="90" ht="15" customHeight="1">
      <c r="A90" t="inlineStr">
        <is>
          <t>A 67823-2018</t>
        </is>
      </c>
      <c r="B90" s="1" t="n">
        <v>43440</v>
      </c>
      <c r="C90" s="1" t="n">
        <v>45294</v>
      </c>
      <c r="D90" t="inlineStr">
        <is>
          <t>DALARNAS LÄN</t>
        </is>
      </c>
      <c r="E90" t="inlineStr">
        <is>
          <t>HEDEMORA</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69676-2018</t>
        </is>
      </c>
      <c r="B91" s="1" t="n">
        <v>43444</v>
      </c>
      <c r="C91" s="1" t="n">
        <v>45294</v>
      </c>
      <c r="D91" t="inlineStr">
        <is>
          <t>DALARNAS LÄN</t>
        </is>
      </c>
      <c r="E91" t="inlineStr">
        <is>
          <t>HEDEMORA</t>
        </is>
      </c>
      <c r="G91" t="n">
        <v>1.6</v>
      </c>
      <c r="H91" t="n">
        <v>0</v>
      </c>
      <c r="I91" t="n">
        <v>0</v>
      </c>
      <c r="J91" t="n">
        <v>0</v>
      </c>
      <c r="K91" t="n">
        <v>0</v>
      </c>
      <c r="L91" t="n">
        <v>0</v>
      </c>
      <c r="M91" t="n">
        <v>0</v>
      </c>
      <c r="N91" t="n">
        <v>0</v>
      </c>
      <c r="O91" t="n">
        <v>0</v>
      </c>
      <c r="P91" t="n">
        <v>0</v>
      </c>
      <c r="Q91" t="n">
        <v>0</v>
      </c>
      <c r="R91" s="2" t="inlineStr"/>
    </row>
    <row r="92" ht="15" customHeight="1">
      <c r="A92" t="inlineStr">
        <is>
          <t>A 72237-2018</t>
        </is>
      </c>
      <c r="B92" s="1" t="n">
        <v>43455</v>
      </c>
      <c r="C92" s="1" t="n">
        <v>45294</v>
      </c>
      <c r="D92" t="inlineStr">
        <is>
          <t>DALARNAS LÄN</t>
        </is>
      </c>
      <c r="E92" t="inlineStr">
        <is>
          <t>HEDEMORA</t>
        </is>
      </c>
      <c r="F92" t="inlineStr">
        <is>
          <t>Sveaskog</t>
        </is>
      </c>
      <c r="G92" t="n">
        <v>3</v>
      </c>
      <c r="H92" t="n">
        <v>0</v>
      </c>
      <c r="I92" t="n">
        <v>0</v>
      </c>
      <c r="J92" t="n">
        <v>0</v>
      </c>
      <c r="K92" t="n">
        <v>0</v>
      </c>
      <c r="L92" t="n">
        <v>0</v>
      </c>
      <c r="M92" t="n">
        <v>0</v>
      </c>
      <c r="N92" t="n">
        <v>0</v>
      </c>
      <c r="O92" t="n">
        <v>0</v>
      </c>
      <c r="P92" t="n">
        <v>0</v>
      </c>
      <c r="Q92" t="n">
        <v>0</v>
      </c>
      <c r="R92" s="2" t="inlineStr"/>
      <c r="U92">
        <f>HYPERLINK("https://klasma.github.io/Logging_2083/knärot/A 72237-2018 karta knärot.png", "A 72237-2018")</f>
        <v/>
      </c>
      <c r="V92">
        <f>HYPERLINK("https://klasma.github.io/Logging_2083/klagomål/A 72237-2018 FSC-klagomål.docx", "A 72237-2018")</f>
        <v/>
      </c>
      <c r="W92">
        <f>HYPERLINK("https://klasma.github.io/Logging_2083/klagomålsmail/A 72237-2018 FSC-klagomål mail.docx", "A 72237-2018")</f>
        <v/>
      </c>
      <c r="X92">
        <f>HYPERLINK("https://klasma.github.io/Logging_2083/tillsyn/A 72237-2018 tillsynsbegäran.docx", "A 72237-2018")</f>
        <v/>
      </c>
      <c r="Y92">
        <f>HYPERLINK("https://klasma.github.io/Logging_2083/tillsynsmail/A 72237-2018 tillsynsbegäran mail.docx", "A 72237-2018")</f>
        <v/>
      </c>
    </row>
    <row r="93" ht="15" customHeight="1">
      <c r="A93" t="inlineStr">
        <is>
          <t>A 72081-2018</t>
        </is>
      </c>
      <c r="B93" s="1" t="n">
        <v>43455</v>
      </c>
      <c r="C93" s="1" t="n">
        <v>45294</v>
      </c>
      <c r="D93" t="inlineStr">
        <is>
          <t>DALARNAS LÄN</t>
        </is>
      </c>
      <c r="E93" t="inlineStr">
        <is>
          <t>HEDEMORA</t>
        </is>
      </c>
      <c r="G93" t="n">
        <v>1.2</v>
      </c>
      <c r="H93" t="n">
        <v>0</v>
      </c>
      <c r="I93" t="n">
        <v>0</v>
      </c>
      <c r="J93" t="n">
        <v>0</v>
      </c>
      <c r="K93" t="n">
        <v>0</v>
      </c>
      <c r="L93" t="n">
        <v>0</v>
      </c>
      <c r="M93" t="n">
        <v>0</v>
      </c>
      <c r="N93" t="n">
        <v>0</v>
      </c>
      <c r="O93" t="n">
        <v>0</v>
      </c>
      <c r="P93" t="n">
        <v>0</v>
      </c>
      <c r="Q93" t="n">
        <v>0</v>
      </c>
      <c r="R93" s="2" t="inlineStr"/>
    </row>
    <row r="94" ht="15" customHeight="1">
      <c r="A94" t="inlineStr">
        <is>
          <t>A 72241-2018</t>
        </is>
      </c>
      <c r="B94" s="1" t="n">
        <v>43455</v>
      </c>
      <c r="C94" s="1" t="n">
        <v>45294</v>
      </c>
      <c r="D94" t="inlineStr">
        <is>
          <t>DALARNAS LÄN</t>
        </is>
      </c>
      <c r="E94" t="inlineStr">
        <is>
          <t>HEDEMORA</t>
        </is>
      </c>
      <c r="F94" t="inlineStr">
        <is>
          <t>Sveaskog</t>
        </is>
      </c>
      <c r="G94" t="n">
        <v>2.9</v>
      </c>
      <c r="H94" t="n">
        <v>0</v>
      </c>
      <c r="I94" t="n">
        <v>0</v>
      </c>
      <c r="J94" t="n">
        <v>0</v>
      </c>
      <c r="K94" t="n">
        <v>0</v>
      </c>
      <c r="L94" t="n">
        <v>0</v>
      </c>
      <c r="M94" t="n">
        <v>0</v>
      </c>
      <c r="N94" t="n">
        <v>0</v>
      </c>
      <c r="O94" t="n">
        <v>0</v>
      </c>
      <c r="P94" t="n">
        <v>0</v>
      </c>
      <c r="Q94" t="n">
        <v>0</v>
      </c>
      <c r="R94" s="2" t="inlineStr"/>
    </row>
    <row r="95" ht="15" customHeight="1">
      <c r="A95" t="inlineStr">
        <is>
          <t>A 72622-2018</t>
        </is>
      </c>
      <c r="B95" s="1" t="n">
        <v>43464</v>
      </c>
      <c r="C95" s="1" t="n">
        <v>45294</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1019-2019</t>
        </is>
      </c>
      <c r="B96" s="1" t="n">
        <v>43472</v>
      </c>
      <c r="C96" s="1" t="n">
        <v>45294</v>
      </c>
      <c r="D96" t="inlineStr">
        <is>
          <t>DALARNAS LÄN</t>
        </is>
      </c>
      <c r="E96" t="inlineStr">
        <is>
          <t>HEDEMORA</t>
        </is>
      </c>
      <c r="G96" t="n">
        <v>2.2</v>
      </c>
      <c r="H96" t="n">
        <v>0</v>
      </c>
      <c r="I96" t="n">
        <v>0</v>
      </c>
      <c r="J96" t="n">
        <v>0</v>
      </c>
      <c r="K96" t="n">
        <v>0</v>
      </c>
      <c r="L96" t="n">
        <v>0</v>
      </c>
      <c r="M96" t="n">
        <v>0</v>
      </c>
      <c r="N96" t="n">
        <v>0</v>
      </c>
      <c r="O96" t="n">
        <v>0</v>
      </c>
      <c r="P96" t="n">
        <v>0</v>
      </c>
      <c r="Q96" t="n">
        <v>0</v>
      </c>
      <c r="R96" s="2" t="inlineStr"/>
    </row>
    <row r="97" ht="15" customHeight="1">
      <c r="A97" t="inlineStr">
        <is>
          <t>A 3349-2019</t>
        </is>
      </c>
      <c r="B97" s="1" t="n">
        <v>43474</v>
      </c>
      <c r="C97" s="1" t="n">
        <v>45294</v>
      </c>
      <c r="D97" t="inlineStr">
        <is>
          <t>DALARNAS LÄN</t>
        </is>
      </c>
      <c r="E97" t="inlineStr">
        <is>
          <t>HEDEMORA</t>
        </is>
      </c>
      <c r="F97" t="inlineStr">
        <is>
          <t>Sveaskog</t>
        </is>
      </c>
      <c r="G97" t="n">
        <v>1.8</v>
      </c>
      <c r="H97" t="n">
        <v>0</v>
      </c>
      <c r="I97" t="n">
        <v>0</v>
      </c>
      <c r="J97" t="n">
        <v>0</v>
      </c>
      <c r="K97" t="n">
        <v>0</v>
      </c>
      <c r="L97" t="n">
        <v>0</v>
      </c>
      <c r="M97" t="n">
        <v>0</v>
      </c>
      <c r="N97" t="n">
        <v>0</v>
      </c>
      <c r="O97" t="n">
        <v>0</v>
      </c>
      <c r="P97" t="n">
        <v>0</v>
      </c>
      <c r="Q97" t="n">
        <v>0</v>
      </c>
      <c r="R97" s="2" t="inlineStr"/>
    </row>
    <row r="98" ht="15" customHeight="1">
      <c r="A98" t="inlineStr">
        <is>
          <t>A 3529-2019</t>
        </is>
      </c>
      <c r="B98" s="1" t="n">
        <v>43481</v>
      </c>
      <c r="C98" s="1" t="n">
        <v>45294</v>
      </c>
      <c r="D98" t="inlineStr">
        <is>
          <t>DALARNAS LÄN</t>
        </is>
      </c>
      <c r="E98" t="inlineStr">
        <is>
          <t>HEDEMORA</t>
        </is>
      </c>
      <c r="G98" t="n">
        <v>14.7</v>
      </c>
      <c r="H98" t="n">
        <v>0</v>
      </c>
      <c r="I98" t="n">
        <v>0</v>
      </c>
      <c r="J98" t="n">
        <v>0</v>
      </c>
      <c r="K98" t="n">
        <v>0</v>
      </c>
      <c r="L98" t="n">
        <v>0</v>
      </c>
      <c r="M98" t="n">
        <v>0</v>
      </c>
      <c r="N98" t="n">
        <v>0</v>
      </c>
      <c r="O98" t="n">
        <v>0</v>
      </c>
      <c r="P98" t="n">
        <v>0</v>
      </c>
      <c r="Q98" t="n">
        <v>0</v>
      </c>
      <c r="R98" s="2" t="inlineStr"/>
    </row>
    <row r="99" ht="15" customHeight="1">
      <c r="A99" t="inlineStr">
        <is>
          <t>A 4473-2019</t>
        </is>
      </c>
      <c r="B99" s="1" t="n">
        <v>43486</v>
      </c>
      <c r="C99" s="1" t="n">
        <v>45294</v>
      </c>
      <c r="D99" t="inlineStr">
        <is>
          <t>DALARNAS LÄN</t>
        </is>
      </c>
      <c r="E99" t="inlineStr">
        <is>
          <t>HEDEMORA</t>
        </is>
      </c>
      <c r="G99" t="n">
        <v>1.7</v>
      </c>
      <c r="H99" t="n">
        <v>0</v>
      </c>
      <c r="I99" t="n">
        <v>0</v>
      </c>
      <c r="J99" t="n">
        <v>0</v>
      </c>
      <c r="K99" t="n">
        <v>0</v>
      </c>
      <c r="L99" t="n">
        <v>0</v>
      </c>
      <c r="M99" t="n">
        <v>0</v>
      </c>
      <c r="N99" t="n">
        <v>0</v>
      </c>
      <c r="O99" t="n">
        <v>0</v>
      </c>
      <c r="P99" t="n">
        <v>0</v>
      </c>
      <c r="Q99" t="n">
        <v>0</v>
      </c>
      <c r="R99" s="2" t="inlineStr"/>
    </row>
    <row r="100" ht="15" customHeight="1">
      <c r="A100" t="inlineStr">
        <is>
          <t>A 4764-2019</t>
        </is>
      </c>
      <c r="B100" s="1" t="n">
        <v>43486</v>
      </c>
      <c r="C100" s="1" t="n">
        <v>45294</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8981-2019</t>
        </is>
      </c>
      <c r="B101" s="1" t="n">
        <v>43504</v>
      </c>
      <c r="C101" s="1" t="n">
        <v>45294</v>
      </c>
      <c r="D101" t="inlineStr">
        <is>
          <t>DALARNAS LÄN</t>
        </is>
      </c>
      <c r="E101" t="inlineStr">
        <is>
          <t>HEDEMORA</t>
        </is>
      </c>
      <c r="G101" t="n">
        <v>1.2</v>
      </c>
      <c r="H101" t="n">
        <v>0</v>
      </c>
      <c r="I101" t="n">
        <v>0</v>
      </c>
      <c r="J101" t="n">
        <v>0</v>
      </c>
      <c r="K101" t="n">
        <v>0</v>
      </c>
      <c r="L101" t="n">
        <v>0</v>
      </c>
      <c r="M101" t="n">
        <v>0</v>
      </c>
      <c r="N101" t="n">
        <v>0</v>
      </c>
      <c r="O101" t="n">
        <v>0</v>
      </c>
      <c r="P101" t="n">
        <v>0</v>
      </c>
      <c r="Q101" t="n">
        <v>0</v>
      </c>
      <c r="R101" s="2" t="inlineStr"/>
    </row>
    <row r="102" ht="15" customHeight="1">
      <c r="A102" t="inlineStr">
        <is>
          <t>A 9350-2019</t>
        </is>
      </c>
      <c r="B102" s="1" t="n">
        <v>43507</v>
      </c>
      <c r="C102" s="1" t="n">
        <v>45294</v>
      </c>
      <c r="D102" t="inlineStr">
        <is>
          <t>DALARNAS LÄN</t>
        </is>
      </c>
      <c r="E102" t="inlineStr">
        <is>
          <t>HEDEMORA</t>
        </is>
      </c>
      <c r="G102" t="n">
        <v>2.9</v>
      </c>
      <c r="H102" t="n">
        <v>0</v>
      </c>
      <c r="I102" t="n">
        <v>0</v>
      </c>
      <c r="J102" t="n">
        <v>0</v>
      </c>
      <c r="K102" t="n">
        <v>0</v>
      </c>
      <c r="L102" t="n">
        <v>0</v>
      </c>
      <c r="M102" t="n">
        <v>0</v>
      </c>
      <c r="N102" t="n">
        <v>0</v>
      </c>
      <c r="O102" t="n">
        <v>0</v>
      </c>
      <c r="P102" t="n">
        <v>0</v>
      </c>
      <c r="Q102" t="n">
        <v>0</v>
      </c>
      <c r="R102" s="2" t="inlineStr"/>
    </row>
    <row r="103" ht="15" customHeight="1">
      <c r="A103" t="inlineStr">
        <is>
          <t>A 9655-2019</t>
        </is>
      </c>
      <c r="B103" s="1" t="n">
        <v>43508</v>
      </c>
      <c r="C103" s="1" t="n">
        <v>45294</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12380-2019</t>
        </is>
      </c>
      <c r="B104" s="1" t="n">
        <v>43523</v>
      </c>
      <c r="C104" s="1" t="n">
        <v>45294</v>
      </c>
      <c r="D104" t="inlineStr">
        <is>
          <t>DALARNAS LÄN</t>
        </is>
      </c>
      <c r="E104" t="inlineStr">
        <is>
          <t>HEDEMORA</t>
        </is>
      </c>
      <c r="G104" t="n">
        <v>0.7</v>
      </c>
      <c r="H104" t="n">
        <v>0</v>
      </c>
      <c r="I104" t="n">
        <v>0</v>
      </c>
      <c r="J104" t="n">
        <v>0</v>
      </c>
      <c r="K104" t="n">
        <v>0</v>
      </c>
      <c r="L104" t="n">
        <v>0</v>
      </c>
      <c r="M104" t="n">
        <v>0</v>
      </c>
      <c r="N104" t="n">
        <v>0</v>
      </c>
      <c r="O104" t="n">
        <v>0</v>
      </c>
      <c r="P104" t="n">
        <v>0</v>
      </c>
      <c r="Q104" t="n">
        <v>0</v>
      </c>
      <c r="R104" s="2" t="inlineStr"/>
    </row>
    <row r="105" ht="15" customHeight="1">
      <c r="A105" t="inlineStr">
        <is>
          <t>A 12359-2019</t>
        </is>
      </c>
      <c r="B105" s="1" t="n">
        <v>43523</v>
      </c>
      <c r="C105" s="1" t="n">
        <v>45294</v>
      </c>
      <c r="D105" t="inlineStr">
        <is>
          <t>DALARNAS LÄN</t>
        </is>
      </c>
      <c r="E105" t="inlineStr">
        <is>
          <t>HEDEMORA</t>
        </is>
      </c>
      <c r="G105" t="n">
        <v>0.1</v>
      </c>
      <c r="H105" t="n">
        <v>0</v>
      </c>
      <c r="I105" t="n">
        <v>0</v>
      </c>
      <c r="J105" t="n">
        <v>0</v>
      </c>
      <c r="K105" t="n">
        <v>0</v>
      </c>
      <c r="L105" t="n">
        <v>0</v>
      </c>
      <c r="M105" t="n">
        <v>0</v>
      </c>
      <c r="N105" t="n">
        <v>0</v>
      </c>
      <c r="O105" t="n">
        <v>0</v>
      </c>
      <c r="P105" t="n">
        <v>0</v>
      </c>
      <c r="Q105" t="n">
        <v>0</v>
      </c>
      <c r="R105" s="2" t="inlineStr"/>
    </row>
    <row r="106" ht="15" customHeight="1">
      <c r="A106" t="inlineStr">
        <is>
          <t>A 12367-2019</t>
        </is>
      </c>
      <c r="B106" s="1" t="n">
        <v>43523</v>
      </c>
      <c r="C106" s="1" t="n">
        <v>45294</v>
      </c>
      <c r="D106" t="inlineStr">
        <is>
          <t>DALARNAS LÄN</t>
        </is>
      </c>
      <c r="E106" t="inlineStr">
        <is>
          <t>HEDEMORA</t>
        </is>
      </c>
      <c r="G106" t="n">
        <v>2.5</v>
      </c>
      <c r="H106" t="n">
        <v>0</v>
      </c>
      <c r="I106" t="n">
        <v>0</v>
      </c>
      <c r="J106" t="n">
        <v>0</v>
      </c>
      <c r="K106" t="n">
        <v>0</v>
      </c>
      <c r="L106" t="n">
        <v>0</v>
      </c>
      <c r="M106" t="n">
        <v>0</v>
      </c>
      <c r="N106" t="n">
        <v>0</v>
      </c>
      <c r="O106" t="n">
        <v>0</v>
      </c>
      <c r="P106" t="n">
        <v>0</v>
      </c>
      <c r="Q106" t="n">
        <v>0</v>
      </c>
      <c r="R106" s="2" t="inlineStr"/>
    </row>
    <row r="107" ht="15" customHeight="1">
      <c r="A107" t="inlineStr">
        <is>
          <t>A 19016-2019</t>
        </is>
      </c>
      <c r="B107" s="1" t="n">
        <v>43563</v>
      </c>
      <c r="C107" s="1" t="n">
        <v>45294</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45294</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45294</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45294</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45294</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45294</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45294</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45294</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45294</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45294</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45294</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45294</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45294</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45294</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45294</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45294</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45294</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45294</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45294</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45294</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45294</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45294</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45294</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45294</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45294</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45294</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45294</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45294</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45294</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45294</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45294</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45294</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45294</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45294</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45294</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45294</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45294</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45294</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45294</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45294</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45294</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45294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45294</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45294</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45294</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45294</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45294</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45294</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45294</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45294</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45294</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45294</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45294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45294</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45294</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45294</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45294</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45294</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45294</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8494-2020</t>
        </is>
      </c>
      <c r="B166" s="1" t="n">
        <v>43875</v>
      </c>
      <c r="C166" s="1" t="n">
        <v>45294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45294</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45294</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45294</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45294</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45294</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45294</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45294</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45294</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45294</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45294</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45294</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45294</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45294</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45294</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45294</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45294</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45294</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45294</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45294</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45294</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45294</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24759-2020</t>
        </is>
      </c>
      <c r="B188" s="1" t="n">
        <v>43978</v>
      </c>
      <c r="C188" s="1" t="n">
        <v>45294</v>
      </c>
      <c r="D188" t="inlineStr">
        <is>
          <t>DALARNAS LÄN</t>
        </is>
      </c>
      <c r="E188" t="inlineStr">
        <is>
          <t>HEDEMORA</t>
        </is>
      </c>
      <c r="F188" t="inlineStr">
        <is>
          <t>Sveaskog</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25623-2020</t>
        </is>
      </c>
      <c r="B189" s="1" t="n">
        <v>43983</v>
      </c>
      <c r="C189" s="1" t="n">
        <v>45294</v>
      </c>
      <c r="D189" t="inlineStr">
        <is>
          <t>DALARNAS LÄN</t>
        </is>
      </c>
      <c r="E189" t="inlineStr">
        <is>
          <t>HEDEMORA</t>
        </is>
      </c>
      <c r="G189" t="n">
        <v>1.5</v>
      </c>
      <c r="H189" t="n">
        <v>0</v>
      </c>
      <c r="I189" t="n">
        <v>0</v>
      </c>
      <c r="J189" t="n">
        <v>0</v>
      </c>
      <c r="K189" t="n">
        <v>0</v>
      </c>
      <c r="L189" t="n">
        <v>0</v>
      </c>
      <c r="M189" t="n">
        <v>0</v>
      </c>
      <c r="N189" t="n">
        <v>0</v>
      </c>
      <c r="O189" t="n">
        <v>0</v>
      </c>
      <c r="P189" t="n">
        <v>0</v>
      </c>
      <c r="Q189" t="n">
        <v>0</v>
      </c>
      <c r="R189" s="2" t="inlineStr"/>
    </row>
    <row r="190" ht="15" customHeight="1">
      <c r="A190" t="inlineStr">
        <is>
          <t>A 25657-2020</t>
        </is>
      </c>
      <c r="B190" s="1" t="n">
        <v>43983</v>
      </c>
      <c r="C190" s="1" t="n">
        <v>45294</v>
      </c>
      <c r="D190" t="inlineStr">
        <is>
          <t>DALARNAS LÄN</t>
        </is>
      </c>
      <c r="E190" t="inlineStr">
        <is>
          <t>HEDEMORA</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27050-2020</t>
        </is>
      </c>
      <c r="B191" s="1" t="n">
        <v>43991</v>
      </c>
      <c r="C191" s="1" t="n">
        <v>45294</v>
      </c>
      <c r="D191" t="inlineStr">
        <is>
          <t>DALARNAS LÄN</t>
        </is>
      </c>
      <c r="E191" t="inlineStr">
        <is>
          <t>HEDEMORA</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27076-2020</t>
        </is>
      </c>
      <c r="B192" s="1" t="n">
        <v>43991</v>
      </c>
      <c r="C192" s="1" t="n">
        <v>45294</v>
      </c>
      <c r="D192" t="inlineStr">
        <is>
          <t>DALARNAS LÄN</t>
        </is>
      </c>
      <c r="E192" t="inlineStr">
        <is>
          <t>HEDEMORA</t>
        </is>
      </c>
      <c r="F192" t="inlineStr">
        <is>
          <t>Övriga Aktiebolag</t>
        </is>
      </c>
      <c r="G192" t="n">
        <v>10.4</v>
      </c>
      <c r="H192" t="n">
        <v>0</v>
      </c>
      <c r="I192" t="n">
        <v>0</v>
      </c>
      <c r="J192" t="n">
        <v>0</v>
      </c>
      <c r="K192" t="n">
        <v>0</v>
      </c>
      <c r="L192" t="n">
        <v>0</v>
      </c>
      <c r="M192" t="n">
        <v>0</v>
      </c>
      <c r="N192" t="n">
        <v>0</v>
      </c>
      <c r="O192" t="n">
        <v>0</v>
      </c>
      <c r="P192" t="n">
        <v>0</v>
      </c>
      <c r="Q192" t="n">
        <v>0</v>
      </c>
      <c r="R192" s="2" t="inlineStr"/>
    </row>
    <row r="193" ht="15" customHeight="1">
      <c r="A193" t="inlineStr">
        <is>
          <t>A 29857-2020</t>
        </is>
      </c>
      <c r="B193" s="1" t="n">
        <v>44006</v>
      </c>
      <c r="C193" s="1" t="n">
        <v>45294</v>
      </c>
      <c r="D193" t="inlineStr">
        <is>
          <t>DALARNAS LÄN</t>
        </is>
      </c>
      <c r="E193" t="inlineStr">
        <is>
          <t>HEDEMORA</t>
        </is>
      </c>
      <c r="G193" t="n">
        <v>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45294</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45294</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45294</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45294</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45294</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45294</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45294</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45294</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45294</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45294</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45294</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45294</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45294</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45294</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45294</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45294</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45294</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45294</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45294</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45294</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45294</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45294</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45294</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45294</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45294</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45294</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45294</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45294</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45294</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45294</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45294</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45294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45294</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45294</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45294</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45294</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45294</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45294</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45294</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45294</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45294</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45294</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45294</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45294</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45294</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45294</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45294</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45294</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45294</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45294</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45294</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45294</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45294</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45294</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45294</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45294</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45294</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45294</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45294</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45294</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45294</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45294</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45294</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45294</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45294</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45294</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45294</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45294</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45294</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45294</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45294</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45294</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45294</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45294</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45294</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45294</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45294</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45294</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45294</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45294</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45294</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45294</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45294</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45294</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45294</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45294</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45294</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45294</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45294</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45294</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45294</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45294</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45294</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45294</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45294</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45294</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45294</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45294</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45294</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45294</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45294</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45294</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45294</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45294</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45294</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45294</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45294</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45294</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45294</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45294</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45294</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45294</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45294</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45294</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45294</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45294</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45294</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45294</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45294</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45294</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45294</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45294</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45294</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45294</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45294</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45294</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45294</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45294</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45294</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45294</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45294</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45294</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45294</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45294</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45294</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45294</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45294</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45294</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45294</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45294</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45294</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45294</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45294</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45294</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45294</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45294</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45294</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45294</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45294</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45294</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45294</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45294</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45294</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45294</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45294</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49889-2022</t>
        </is>
      </c>
      <c r="B349" s="1" t="n">
        <v>44864</v>
      </c>
      <c r="C349" s="1" t="n">
        <v>45294</v>
      </c>
      <c r="D349" t="inlineStr">
        <is>
          <t>DALARNAS LÄN</t>
        </is>
      </c>
      <c r="E349" t="inlineStr">
        <is>
          <t>HEDEMORA</t>
        </is>
      </c>
      <c r="F349" t="inlineStr">
        <is>
          <t>Sveaskog</t>
        </is>
      </c>
      <c r="G349" t="n">
        <v>6.8</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45294</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45294</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45294</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45294</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45294</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45294</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45294</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45294</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45294</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53915-2022</t>
        </is>
      </c>
      <c r="B359" s="1" t="n">
        <v>44880</v>
      </c>
      <c r="C359" s="1" t="n">
        <v>45294</v>
      </c>
      <c r="D359" t="inlineStr">
        <is>
          <t>DALARNAS LÄN</t>
        </is>
      </c>
      <c r="E359" t="inlineStr">
        <is>
          <t>HEDEMORA</t>
        </is>
      </c>
      <c r="F359" t="inlineStr">
        <is>
          <t>Sveaskog</t>
        </is>
      </c>
      <c r="G359" t="n">
        <v>5.3</v>
      </c>
      <c r="H359" t="n">
        <v>0</v>
      </c>
      <c r="I359" t="n">
        <v>0</v>
      </c>
      <c r="J359" t="n">
        <v>0</v>
      </c>
      <c r="K359" t="n">
        <v>0</v>
      </c>
      <c r="L359" t="n">
        <v>0</v>
      </c>
      <c r="M359" t="n">
        <v>0</v>
      </c>
      <c r="N359" t="n">
        <v>0</v>
      </c>
      <c r="O359" t="n">
        <v>0</v>
      </c>
      <c r="P359" t="n">
        <v>0</v>
      </c>
      <c r="Q359" t="n">
        <v>0</v>
      </c>
      <c r="R359" s="2" t="inlineStr"/>
    </row>
    <row r="360" ht="15" customHeight="1">
      <c r="A360" t="inlineStr">
        <is>
          <t>A 54198-2022</t>
        </is>
      </c>
      <c r="B360" s="1" t="n">
        <v>44881</v>
      </c>
      <c r="C360" s="1" t="n">
        <v>45294</v>
      </c>
      <c r="D360" t="inlineStr">
        <is>
          <t>DALARNAS LÄN</t>
        </is>
      </c>
      <c r="E360" t="inlineStr">
        <is>
          <t>HEDEMORA</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54197-2022</t>
        </is>
      </c>
      <c r="B361" s="1" t="n">
        <v>44881</v>
      </c>
      <c r="C361" s="1" t="n">
        <v>45294</v>
      </c>
      <c r="D361" t="inlineStr">
        <is>
          <t>DALARNAS LÄN</t>
        </is>
      </c>
      <c r="E361" t="inlineStr">
        <is>
          <t>HEDEMORA</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54196-2022</t>
        </is>
      </c>
      <c r="B362" s="1" t="n">
        <v>44881</v>
      </c>
      <c r="C362" s="1" t="n">
        <v>45294</v>
      </c>
      <c r="D362" t="inlineStr">
        <is>
          <t>DALARNAS LÄN</t>
        </is>
      </c>
      <c r="E362" t="inlineStr">
        <is>
          <t>HEDEMORA</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54849-2022</t>
        </is>
      </c>
      <c r="B363" s="1" t="n">
        <v>44883</v>
      </c>
      <c r="C363" s="1" t="n">
        <v>45294</v>
      </c>
      <c r="D363" t="inlineStr">
        <is>
          <t>DALARNAS LÄN</t>
        </is>
      </c>
      <c r="E363" t="inlineStr">
        <is>
          <t>HEDEMORA</t>
        </is>
      </c>
      <c r="F363" t="inlineStr">
        <is>
          <t>Sveaskog</t>
        </is>
      </c>
      <c r="G363" t="n">
        <v>8.5</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45294</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45294</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45294</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45294</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45294</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45294</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45294</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45294</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45294</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45294</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45294</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45294</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45294</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45294</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45294</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45294</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45294</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45294</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45294</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45294</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45294</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45294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45294</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45294</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45294</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45294</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45294</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45294</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45294</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45294</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45294</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45294</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45294</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45294</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45294</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45294</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45294</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45294</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45294</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45294</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45294</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45294</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45294</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45294</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45294</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45294</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45294</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45294</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45294</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45294</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45294</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45294</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45294</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45294</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45294</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45294</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45294</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45294</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45294</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45294</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45294</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45294</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45294</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45294</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45294</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45294</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45294</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45294</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45294</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45294</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45294</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45294</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45294</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45294</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45294</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45294</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45294</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45294</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45294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45294</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30014-2023</t>
        </is>
      </c>
      <c r="B444" s="1" t="n">
        <v>45109</v>
      </c>
      <c r="C444" s="1" t="n">
        <v>45294</v>
      </c>
      <c r="D444" t="inlineStr">
        <is>
          <t>DALARNAS LÄN</t>
        </is>
      </c>
      <c r="E444" t="inlineStr">
        <is>
          <t>HEDEMORA</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45294</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45294</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45294</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45294</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45294</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45294</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45294</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45294</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45294</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45294</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45294</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45294</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45294</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45294</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45294</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45294</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45294</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45294</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45294</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45294</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45294</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45294</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45294</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45294</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45294</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45294</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45294</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45294</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41477-2023</t>
        </is>
      </c>
      <c r="B473" s="1" t="n">
        <v>45171</v>
      </c>
      <c r="C473" s="1" t="n">
        <v>45294</v>
      </c>
      <c r="D473" t="inlineStr">
        <is>
          <t>DALARNAS LÄN</t>
        </is>
      </c>
      <c r="E473" t="inlineStr">
        <is>
          <t>HEDEMORA</t>
        </is>
      </c>
      <c r="F473" t="inlineStr">
        <is>
          <t>Bergvik skog väst AB</t>
        </is>
      </c>
      <c r="G473" t="n">
        <v>9.1</v>
      </c>
      <c r="H473" t="n">
        <v>0</v>
      </c>
      <c r="I473" t="n">
        <v>0</v>
      </c>
      <c r="J473" t="n">
        <v>0</v>
      </c>
      <c r="K473" t="n">
        <v>0</v>
      </c>
      <c r="L473" t="n">
        <v>0</v>
      </c>
      <c r="M473" t="n">
        <v>0</v>
      </c>
      <c r="N473" t="n">
        <v>0</v>
      </c>
      <c r="O473" t="n">
        <v>0</v>
      </c>
      <c r="P473" t="n">
        <v>0</v>
      </c>
      <c r="Q473" t="n">
        <v>0</v>
      </c>
      <c r="R473" s="2" t="inlineStr"/>
    </row>
    <row r="474" ht="15" customHeight="1">
      <c r="A474" t="inlineStr">
        <is>
          <t>A 41523-2023</t>
        </is>
      </c>
      <c r="B474" s="1" t="n">
        <v>45172</v>
      </c>
      <c r="C474" s="1" t="n">
        <v>45294</v>
      </c>
      <c r="D474" t="inlineStr">
        <is>
          <t>DALARNAS LÄN</t>
        </is>
      </c>
      <c r="E474" t="inlineStr">
        <is>
          <t>HEDEMORA</t>
        </is>
      </c>
      <c r="F474" t="inlineStr">
        <is>
          <t>Bergvik skog väst AB</t>
        </is>
      </c>
      <c r="G474" t="n">
        <v>3.7</v>
      </c>
      <c r="H474" t="n">
        <v>0</v>
      </c>
      <c r="I474" t="n">
        <v>0</v>
      </c>
      <c r="J474" t="n">
        <v>0</v>
      </c>
      <c r="K474" t="n">
        <v>0</v>
      </c>
      <c r="L474" t="n">
        <v>0</v>
      </c>
      <c r="M474" t="n">
        <v>0</v>
      </c>
      <c r="N474" t="n">
        <v>0</v>
      </c>
      <c r="O474" t="n">
        <v>0</v>
      </c>
      <c r="P474" t="n">
        <v>0</v>
      </c>
      <c r="Q474" t="n">
        <v>0</v>
      </c>
      <c r="R474" s="2" t="inlineStr"/>
    </row>
    <row r="475" ht="15" customHeight="1">
      <c r="A475" t="inlineStr">
        <is>
          <t>A 40919-2023</t>
        </is>
      </c>
      <c r="B475" s="1" t="n">
        <v>45173</v>
      </c>
      <c r="C475" s="1" t="n">
        <v>45294</v>
      </c>
      <c r="D475" t="inlineStr">
        <is>
          <t>DALARNAS LÄN</t>
        </is>
      </c>
      <c r="E475" t="inlineStr">
        <is>
          <t>HEDEMORA</t>
        </is>
      </c>
      <c r="F475" t="inlineStr">
        <is>
          <t>Bergvik skog väst AB</t>
        </is>
      </c>
      <c r="G475" t="n">
        <v>2.6</v>
      </c>
      <c r="H475" t="n">
        <v>0</v>
      </c>
      <c r="I475" t="n">
        <v>0</v>
      </c>
      <c r="J475" t="n">
        <v>0</v>
      </c>
      <c r="K475" t="n">
        <v>0</v>
      </c>
      <c r="L475" t="n">
        <v>0</v>
      </c>
      <c r="M475" t="n">
        <v>0</v>
      </c>
      <c r="N475" t="n">
        <v>0</v>
      </c>
      <c r="O475" t="n">
        <v>0</v>
      </c>
      <c r="P475" t="n">
        <v>0</v>
      </c>
      <c r="Q475" t="n">
        <v>0</v>
      </c>
      <c r="R475" s="2" t="inlineStr"/>
    </row>
    <row r="476" ht="15" customHeight="1">
      <c r="A476" t="inlineStr">
        <is>
          <t>A 40923-2023</t>
        </is>
      </c>
      <c r="B476" s="1" t="n">
        <v>45173</v>
      </c>
      <c r="C476" s="1" t="n">
        <v>45294</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40918-2023</t>
        </is>
      </c>
      <c r="B477" s="1" t="n">
        <v>45173</v>
      </c>
      <c r="C477" s="1" t="n">
        <v>45294</v>
      </c>
      <c r="D477" t="inlineStr">
        <is>
          <t>DALARNAS LÄN</t>
        </is>
      </c>
      <c r="E477" t="inlineStr">
        <is>
          <t>HEDEMORA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40922-2023</t>
        </is>
      </c>
      <c r="B478" s="1" t="n">
        <v>45173</v>
      </c>
      <c r="C478" s="1" t="n">
        <v>45294</v>
      </c>
      <c r="D478" t="inlineStr">
        <is>
          <t>DALARNAS LÄN</t>
        </is>
      </c>
      <c r="E478" t="inlineStr">
        <is>
          <t>HEDEMORA</t>
        </is>
      </c>
      <c r="F478" t="inlineStr">
        <is>
          <t>Bergvik skog väst AB</t>
        </is>
      </c>
      <c r="G478" t="n">
        <v>5.8</v>
      </c>
      <c r="H478" t="n">
        <v>0</v>
      </c>
      <c r="I478" t="n">
        <v>0</v>
      </c>
      <c r="J478" t="n">
        <v>0</v>
      </c>
      <c r="K478" t="n">
        <v>0</v>
      </c>
      <c r="L478" t="n">
        <v>0</v>
      </c>
      <c r="M478" t="n">
        <v>0</v>
      </c>
      <c r="N478" t="n">
        <v>0</v>
      </c>
      <c r="O478" t="n">
        <v>0</v>
      </c>
      <c r="P478" t="n">
        <v>0</v>
      </c>
      <c r="Q478" t="n">
        <v>0</v>
      </c>
      <c r="R478" s="2" t="inlineStr"/>
    </row>
    <row r="479" ht="15" customHeight="1">
      <c r="A479" t="inlineStr">
        <is>
          <t>A 40921-2023</t>
        </is>
      </c>
      <c r="B479" s="1" t="n">
        <v>45173</v>
      </c>
      <c r="C479" s="1" t="n">
        <v>45294</v>
      </c>
      <c r="D479" t="inlineStr">
        <is>
          <t>DALARNAS LÄN</t>
        </is>
      </c>
      <c r="E479" t="inlineStr">
        <is>
          <t>HEDEMORA</t>
        </is>
      </c>
      <c r="F479" t="inlineStr">
        <is>
          <t>Bergvik skog väst AB</t>
        </is>
      </c>
      <c r="G479" t="n">
        <v>1.8</v>
      </c>
      <c r="H479" t="n">
        <v>0</v>
      </c>
      <c r="I479" t="n">
        <v>0</v>
      </c>
      <c r="J479" t="n">
        <v>0</v>
      </c>
      <c r="K479" t="n">
        <v>0</v>
      </c>
      <c r="L479" t="n">
        <v>0</v>
      </c>
      <c r="M479" t="n">
        <v>0</v>
      </c>
      <c r="N479" t="n">
        <v>0</v>
      </c>
      <c r="O479" t="n">
        <v>0</v>
      </c>
      <c r="P479" t="n">
        <v>0</v>
      </c>
      <c r="Q479" t="n">
        <v>0</v>
      </c>
      <c r="R479" s="2" t="inlineStr"/>
    </row>
    <row r="480" ht="15" customHeight="1">
      <c r="A480" t="inlineStr">
        <is>
          <t>A 41324-2023</t>
        </is>
      </c>
      <c r="B480" s="1" t="n">
        <v>45174</v>
      </c>
      <c r="C480" s="1" t="n">
        <v>45294</v>
      </c>
      <c r="D480" t="inlineStr">
        <is>
          <t>DALARNAS LÄN</t>
        </is>
      </c>
      <c r="E480" t="inlineStr">
        <is>
          <t>HEDEMORA</t>
        </is>
      </c>
      <c r="F480" t="inlineStr">
        <is>
          <t>Sveaskog</t>
        </is>
      </c>
      <c r="G480" t="n">
        <v>2.7</v>
      </c>
      <c r="H480" t="n">
        <v>0</v>
      </c>
      <c r="I480" t="n">
        <v>0</v>
      </c>
      <c r="J480" t="n">
        <v>0</v>
      </c>
      <c r="K480" t="n">
        <v>0</v>
      </c>
      <c r="L480" t="n">
        <v>0</v>
      </c>
      <c r="M480" t="n">
        <v>0</v>
      </c>
      <c r="N480" t="n">
        <v>0</v>
      </c>
      <c r="O480" t="n">
        <v>0</v>
      </c>
      <c r="P480" t="n">
        <v>0</v>
      </c>
      <c r="Q480" t="n">
        <v>0</v>
      </c>
      <c r="R480" s="2" t="inlineStr"/>
    </row>
    <row r="481" ht="15" customHeight="1">
      <c r="A481" t="inlineStr">
        <is>
          <t>A 41642-2023</t>
        </is>
      </c>
      <c r="B481" s="1" t="n">
        <v>45175</v>
      </c>
      <c r="C481" s="1" t="n">
        <v>45294</v>
      </c>
      <c r="D481" t="inlineStr">
        <is>
          <t>DALARNAS LÄN</t>
        </is>
      </c>
      <c r="E481" t="inlineStr">
        <is>
          <t>HEDEMORA</t>
        </is>
      </c>
      <c r="G481" t="n">
        <v>2.8</v>
      </c>
      <c r="H481" t="n">
        <v>0</v>
      </c>
      <c r="I481" t="n">
        <v>0</v>
      </c>
      <c r="J481" t="n">
        <v>0</v>
      </c>
      <c r="K481" t="n">
        <v>0</v>
      </c>
      <c r="L481" t="n">
        <v>0</v>
      </c>
      <c r="M481" t="n">
        <v>0</v>
      </c>
      <c r="N481" t="n">
        <v>0</v>
      </c>
      <c r="O481" t="n">
        <v>0</v>
      </c>
      <c r="P481" t="n">
        <v>0</v>
      </c>
      <c r="Q481" t="n">
        <v>0</v>
      </c>
      <c r="R481" s="2" t="inlineStr"/>
    </row>
    <row r="482" ht="15" customHeight="1">
      <c r="A482" t="inlineStr">
        <is>
          <t>A 42387-2023</t>
        </is>
      </c>
      <c r="B482" s="1" t="n">
        <v>45180</v>
      </c>
      <c r="C482" s="1" t="n">
        <v>45294</v>
      </c>
      <c r="D482" t="inlineStr">
        <is>
          <t>DALARNAS LÄN</t>
        </is>
      </c>
      <c r="E482" t="inlineStr">
        <is>
          <t>HEDEMORA</t>
        </is>
      </c>
      <c r="G482" t="n">
        <v>0.6</v>
      </c>
      <c r="H482" t="n">
        <v>0</v>
      </c>
      <c r="I482" t="n">
        <v>0</v>
      </c>
      <c r="J482" t="n">
        <v>0</v>
      </c>
      <c r="K482" t="n">
        <v>0</v>
      </c>
      <c r="L482" t="n">
        <v>0</v>
      </c>
      <c r="M482" t="n">
        <v>0</v>
      </c>
      <c r="N482" t="n">
        <v>0</v>
      </c>
      <c r="O482" t="n">
        <v>0</v>
      </c>
      <c r="P482" t="n">
        <v>0</v>
      </c>
      <c r="Q482" t="n">
        <v>0</v>
      </c>
      <c r="R482" s="2" t="inlineStr"/>
    </row>
    <row r="483" ht="15" customHeight="1">
      <c r="A483" t="inlineStr">
        <is>
          <t>A 42618-2023</t>
        </is>
      </c>
      <c r="B483" s="1" t="n">
        <v>45181</v>
      </c>
      <c r="C483" s="1" t="n">
        <v>45294</v>
      </c>
      <c r="D483" t="inlineStr">
        <is>
          <t>DALARNAS LÄN</t>
        </is>
      </c>
      <c r="E483" t="inlineStr">
        <is>
          <t>HEDEMORA</t>
        </is>
      </c>
      <c r="G483" t="n">
        <v>3.8</v>
      </c>
      <c r="H483" t="n">
        <v>0</v>
      </c>
      <c r="I483" t="n">
        <v>0</v>
      </c>
      <c r="J483" t="n">
        <v>0</v>
      </c>
      <c r="K483" t="n">
        <v>0</v>
      </c>
      <c r="L483" t="n">
        <v>0</v>
      </c>
      <c r="M483" t="n">
        <v>0</v>
      </c>
      <c r="N483" t="n">
        <v>0</v>
      </c>
      <c r="O483" t="n">
        <v>0</v>
      </c>
      <c r="P483" t="n">
        <v>0</v>
      </c>
      <c r="Q483" t="n">
        <v>0</v>
      </c>
      <c r="R483" s="2" t="inlineStr"/>
    </row>
    <row r="484" ht="15" customHeight="1">
      <c r="A484" t="inlineStr">
        <is>
          <t>A 43621-2023</t>
        </is>
      </c>
      <c r="B484" s="1" t="n">
        <v>45184</v>
      </c>
      <c r="C484" s="1" t="n">
        <v>45294</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43785-2023</t>
        </is>
      </c>
      <c r="B485" s="1" t="n">
        <v>45187</v>
      </c>
      <c r="C485" s="1" t="n">
        <v>45294</v>
      </c>
      <c r="D485" t="inlineStr">
        <is>
          <t>DALARNAS LÄN</t>
        </is>
      </c>
      <c r="E485" t="inlineStr">
        <is>
          <t>HEDEMORA</t>
        </is>
      </c>
      <c r="F485" t="inlineStr">
        <is>
          <t>Sveaskog</t>
        </is>
      </c>
      <c r="G485" t="n">
        <v>5.7</v>
      </c>
      <c r="H485" t="n">
        <v>0</v>
      </c>
      <c r="I485" t="n">
        <v>0</v>
      </c>
      <c r="J485" t="n">
        <v>0</v>
      </c>
      <c r="K485" t="n">
        <v>0</v>
      </c>
      <c r="L485" t="n">
        <v>0</v>
      </c>
      <c r="M485" t="n">
        <v>0</v>
      </c>
      <c r="N485" t="n">
        <v>0</v>
      </c>
      <c r="O485" t="n">
        <v>0</v>
      </c>
      <c r="P485" t="n">
        <v>0</v>
      </c>
      <c r="Q485" t="n">
        <v>0</v>
      </c>
      <c r="R485" s="2" t="inlineStr"/>
    </row>
    <row r="486" ht="15" customHeight="1">
      <c r="A486" t="inlineStr">
        <is>
          <t>A 43675-2023</t>
        </is>
      </c>
      <c r="B486" s="1" t="n">
        <v>45187</v>
      </c>
      <c r="C486" s="1" t="n">
        <v>45294</v>
      </c>
      <c r="D486" t="inlineStr">
        <is>
          <t>DALARNAS LÄN</t>
        </is>
      </c>
      <c r="E486" t="inlineStr">
        <is>
          <t>HEDEMORA</t>
        </is>
      </c>
      <c r="G486" t="n">
        <v>1.5</v>
      </c>
      <c r="H486" t="n">
        <v>0</v>
      </c>
      <c r="I486" t="n">
        <v>0</v>
      </c>
      <c r="J486" t="n">
        <v>0</v>
      </c>
      <c r="K486" t="n">
        <v>0</v>
      </c>
      <c r="L486" t="n">
        <v>0</v>
      </c>
      <c r="M486" t="n">
        <v>0</v>
      </c>
      <c r="N486" t="n">
        <v>0</v>
      </c>
      <c r="O486" t="n">
        <v>0</v>
      </c>
      <c r="P486" t="n">
        <v>0</v>
      </c>
      <c r="Q486" t="n">
        <v>0</v>
      </c>
      <c r="R486" s="2" t="inlineStr"/>
      <c r="U486">
        <f>HYPERLINK("https://klasma.github.io/Logging_2083/knärot/A 43675-2023 karta knärot.png", "A 43675-2023")</f>
        <v/>
      </c>
      <c r="V486">
        <f>HYPERLINK("https://klasma.github.io/Logging_2083/klagomål/A 43675-2023 FSC-klagomål.docx", "A 43675-2023")</f>
        <v/>
      </c>
      <c r="W486">
        <f>HYPERLINK("https://klasma.github.io/Logging_2083/klagomålsmail/A 43675-2023 FSC-klagomål mail.docx", "A 43675-2023")</f>
        <v/>
      </c>
      <c r="X486">
        <f>HYPERLINK("https://klasma.github.io/Logging_2083/tillsyn/A 43675-2023 tillsynsbegäran.docx", "A 43675-2023")</f>
        <v/>
      </c>
      <c r="Y486">
        <f>HYPERLINK("https://klasma.github.io/Logging_2083/tillsynsmail/A 43675-2023 tillsynsbegäran mail.docx", "A 43675-2023")</f>
        <v/>
      </c>
    </row>
    <row r="487" ht="15" customHeight="1">
      <c r="A487" t="inlineStr">
        <is>
          <t>A 44587-2023</t>
        </is>
      </c>
      <c r="B487" s="1" t="n">
        <v>45189</v>
      </c>
      <c r="C487" s="1" t="n">
        <v>45294</v>
      </c>
      <c r="D487" t="inlineStr">
        <is>
          <t>DALARNAS LÄN</t>
        </is>
      </c>
      <c r="E487" t="inlineStr">
        <is>
          <t>HEDEMORA</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44750-2023</t>
        </is>
      </c>
      <c r="B488" s="1" t="n">
        <v>45190</v>
      </c>
      <c r="C488" s="1" t="n">
        <v>45294</v>
      </c>
      <c r="D488" t="inlineStr">
        <is>
          <t>DALARNAS LÄN</t>
        </is>
      </c>
      <c r="E488" t="inlineStr">
        <is>
          <t>HEDEMORA</t>
        </is>
      </c>
      <c r="G488" t="n">
        <v>5.4</v>
      </c>
      <c r="H488" t="n">
        <v>0</v>
      </c>
      <c r="I488" t="n">
        <v>0</v>
      </c>
      <c r="J488" t="n">
        <v>0</v>
      </c>
      <c r="K488" t="n">
        <v>0</v>
      </c>
      <c r="L488" t="n">
        <v>0</v>
      </c>
      <c r="M488" t="n">
        <v>0</v>
      </c>
      <c r="N488" t="n">
        <v>0</v>
      </c>
      <c r="O488" t="n">
        <v>0</v>
      </c>
      <c r="P488" t="n">
        <v>0</v>
      </c>
      <c r="Q488" t="n">
        <v>0</v>
      </c>
      <c r="R488" s="2" t="inlineStr"/>
    </row>
    <row r="489" ht="15" customHeight="1">
      <c r="A489" t="inlineStr">
        <is>
          <t>A 46217-2023</t>
        </is>
      </c>
      <c r="B489" s="1" t="n">
        <v>45190</v>
      </c>
      <c r="C489" s="1" t="n">
        <v>45294</v>
      </c>
      <c r="D489" t="inlineStr">
        <is>
          <t>DALARNAS LÄN</t>
        </is>
      </c>
      <c r="E489" t="inlineStr">
        <is>
          <t>HEDEMORA</t>
        </is>
      </c>
      <c r="F489" t="inlineStr">
        <is>
          <t>Bergvik skog väst AB</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45186-2023</t>
        </is>
      </c>
      <c r="B490" s="1" t="n">
        <v>45191</v>
      </c>
      <c r="C490" s="1" t="n">
        <v>45294</v>
      </c>
      <c r="D490" t="inlineStr">
        <is>
          <t>DALARNAS LÄN</t>
        </is>
      </c>
      <c r="E490" t="inlineStr">
        <is>
          <t>HEDEMORA</t>
        </is>
      </c>
      <c r="F490" t="inlineStr">
        <is>
          <t>Sveaskog</t>
        </is>
      </c>
      <c r="G490" t="n">
        <v>18.9</v>
      </c>
      <c r="H490" t="n">
        <v>0</v>
      </c>
      <c r="I490" t="n">
        <v>0</v>
      </c>
      <c r="J490" t="n">
        <v>0</v>
      </c>
      <c r="K490" t="n">
        <v>0</v>
      </c>
      <c r="L490" t="n">
        <v>0</v>
      </c>
      <c r="M490" t="n">
        <v>0</v>
      </c>
      <c r="N490" t="n">
        <v>0</v>
      </c>
      <c r="O490" t="n">
        <v>0</v>
      </c>
      <c r="P490" t="n">
        <v>0</v>
      </c>
      <c r="Q490" t="n">
        <v>0</v>
      </c>
      <c r="R490" s="2" t="inlineStr"/>
    </row>
    <row r="491" ht="15" customHeight="1">
      <c r="A491" t="inlineStr">
        <is>
          <t>A 45589-2023</t>
        </is>
      </c>
      <c r="B491" s="1" t="n">
        <v>45194</v>
      </c>
      <c r="C491" s="1" t="n">
        <v>45294</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48204-2023</t>
        </is>
      </c>
      <c r="B492" s="1" t="n">
        <v>45205</v>
      </c>
      <c r="C492" s="1" t="n">
        <v>45294</v>
      </c>
      <c r="D492" t="inlineStr">
        <is>
          <t>DALARNAS LÄN</t>
        </is>
      </c>
      <c r="E492" t="inlineStr">
        <is>
          <t>HEDEMORA</t>
        </is>
      </c>
      <c r="F492" t="inlineStr">
        <is>
          <t>Kyrkan</t>
        </is>
      </c>
      <c r="G492" t="n">
        <v>21.8</v>
      </c>
      <c r="H492" t="n">
        <v>0</v>
      </c>
      <c r="I492" t="n">
        <v>0</v>
      </c>
      <c r="J492" t="n">
        <v>0</v>
      </c>
      <c r="K492" t="n">
        <v>0</v>
      </c>
      <c r="L492" t="n">
        <v>0</v>
      </c>
      <c r="M492" t="n">
        <v>0</v>
      </c>
      <c r="N492" t="n">
        <v>0</v>
      </c>
      <c r="O492" t="n">
        <v>0</v>
      </c>
      <c r="P492" t="n">
        <v>0</v>
      </c>
      <c r="Q492" t="n">
        <v>0</v>
      </c>
      <c r="R492" s="2" t="inlineStr"/>
    </row>
    <row r="493" ht="15" customHeight="1">
      <c r="A493" t="inlineStr">
        <is>
          <t>A 48254-2023</t>
        </is>
      </c>
      <c r="B493" s="1" t="n">
        <v>45205</v>
      </c>
      <c r="C493" s="1" t="n">
        <v>45294</v>
      </c>
      <c r="D493" t="inlineStr">
        <is>
          <t>DALARNAS LÄN</t>
        </is>
      </c>
      <c r="E493" t="inlineStr">
        <is>
          <t>HEDEMORA</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48834-2023</t>
        </is>
      </c>
      <c r="B494" s="1" t="n">
        <v>45209</v>
      </c>
      <c r="C494" s="1" t="n">
        <v>45294</v>
      </c>
      <c r="D494" t="inlineStr">
        <is>
          <t>DALARNAS LÄN</t>
        </is>
      </c>
      <c r="E494" t="inlineStr">
        <is>
          <t>HEDEMORA</t>
        </is>
      </c>
      <c r="G494" t="n">
        <v>1.9</v>
      </c>
      <c r="H494" t="n">
        <v>0</v>
      </c>
      <c r="I494" t="n">
        <v>0</v>
      </c>
      <c r="J494" t="n">
        <v>0</v>
      </c>
      <c r="K494" t="n">
        <v>0</v>
      </c>
      <c r="L494" t="n">
        <v>0</v>
      </c>
      <c r="M494" t="n">
        <v>0</v>
      </c>
      <c r="N494" t="n">
        <v>0</v>
      </c>
      <c r="O494" t="n">
        <v>0</v>
      </c>
      <c r="P494" t="n">
        <v>0</v>
      </c>
      <c r="Q494" t="n">
        <v>0</v>
      </c>
      <c r="R494" s="2" t="inlineStr"/>
    </row>
    <row r="495" ht="15" customHeight="1">
      <c r="A495" t="inlineStr">
        <is>
          <t>A 48826-2023</t>
        </is>
      </c>
      <c r="B495" s="1" t="n">
        <v>45209</v>
      </c>
      <c r="C495" s="1" t="n">
        <v>45294</v>
      </c>
      <c r="D495" t="inlineStr">
        <is>
          <t>DALARNAS LÄN</t>
        </is>
      </c>
      <c r="E495" t="inlineStr">
        <is>
          <t>HEDEMORA</t>
        </is>
      </c>
      <c r="G495" t="n">
        <v>1</v>
      </c>
      <c r="H495" t="n">
        <v>0</v>
      </c>
      <c r="I495" t="n">
        <v>0</v>
      </c>
      <c r="J495" t="n">
        <v>0</v>
      </c>
      <c r="K495" t="n">
        <v>0</v>
      </c>
      <c r="L495" t="n">
        <v>0</v>
      </c>
      <c r="M495" t="n">
        <v>0</v>
      </c>
      <c r="N495" t="n">
        <v>0</v>
      </c>
      <c r="O495" t="n">
        <v>0</v>
      </c>
      <c r="P495" t="n">
        <v>0</v>
      </c>
      <c r="Q495" t="n">
        <v>0</v>
      </c>
      <c r="R495" s="2" t="inlineStr"/>
    </row>
    <row r="496" ht="15" customHeight="1">
      <c r="A496" t="inlineStr">
        <is>
          <t>A 50333-2023</t>
        </is>
      </c>
      <c r="B496" s="1" t="n">
        <v>45216</v>
      </c>
      <c r="C496" s="1" t="n">
        <v>45294</v>
      </c>
      <c r="D496" t="inlineStr">
        <is>
          <t>DALARNAS LÄN</t>
        </is>
      </c>
      <c r="E496" t="inlineStr">
        <is>
          <t>HEDEMORA</t>
        </is>
      </c>
      <c r="G496" t="n">
        <v>1.1</v>
      </c>
      <c r="H496" t="n">
        <v>0</v>
      </c>
      <c r="I496" t="n">
        <v>0</v>
      </c>
      <c r="J496" t="n">
        <v>0</v>
      </c>
      <c r="K496" t="n">
        <v>0</v>
      </c>
      <c r="L496" t="n">
        <v>0</v>
      </c>
      <c r="M496" t="n">
        <v>0</v>
      </c>
      <c r="N496" t="n">
        <v>0</v>
      </c>
      <c r="O496" t="n">
        <v>0</v>
      </c>
      <c r="P496" t="n">
        <v>0</v>
      </c>
      <c r="Q496" t="n">
        <v>0</v>
      </c>
      <c r="R496" s="2" t="inlineStr"/>
    </row>
    <row r="497" ht="15" customHeight="1">
      <c r="A497" t="inlineStr">
        <is>
          <t>A 50885-2023</t>
        </is>
      </c>
      <c r="B497" s="1" t="n">
        <v>45218</v>
      </c>
      <c r="C497" s="1" t="n">
        <v>45294</v>
      </c>
      <c r="D497" t="inlineStr">
        <is>
          <t>DALARNAS LÄN</t>
        </is>
      </c>
      <c r="E497" t="inlineStr">
        <is>
          <t>HEDEMORA</t>
        </is>
      </c>
      <c r="G497" t="n">
        <v>0.7</v>
      </c>
      <c r="H497" t="n">
        <v>0</v>
      </c>
      <c r="I497" t="n">
        <v>0</v>
      </c>
      <c r="J497" t="n">
        <v>0</v>
      </c>
      <c r="K497" t="n">
        <v>0</v>
      </c>
      <c r="L497" t="n">
        <v>0</v>
      </c>
      <c r="M497" t="n">
        <v>0</v>
      </c>
      <c r="N497" t="n">
        <v>0</v>
      </c>
      <c r="O497" t="n">
        <v>0</v>
      </c>
      <c r="P497" t="n">
        <v>0</v>
      </c>
      <c r="Q497" t="n">
        <v>0</v>
      </c>
      <c r="R497" s="2" t="inlineStr"/>
    </row>
    <row r="498" ht="15" customHeight="1">
      <c r="A498" t="inlineStr">
        <is>
          <t>A 51879-2023</t>
        </is>
      </c>
      <c r="B498" s="1" t="n">
        <v>45223</v>
      </c>
      <c r="C498" s="1" t="n">
        <v>45294</v>
      </c>
      <c r="D498" t="inlineStr">
        <is>
          <t>DALARNAS LÄN</t>
        </is>
      </c>
      <c r="E498" t="inlineStr">
        <is>
          <t>HEDEMORA</t>
        </is>
      </c>
      <c r="G498" t="n">
        <v>2.1</v>
      </c>
      <c r="H498" t="n">
        <v>0</v>
      </c>
      <c r="I498" t="n">
        <v>0</v>
      </c>
      <c r="J498" t="n">
        <v>0</v>
      </c>
      <c r="K498" t="n">
        <v>0</v>
      </c>
      <c r="L498" t="n">
        <v>0</v>
      </c>
      <c r="M498" t="n">
        <v>0</v>
      </c>
      <c r="N498" t="n">
        <v>0</v>
      </c>
      <c r="O498" t="n">
        <v>0</v>
      </c>
      <c r="P498" t="n">
        <v>0</v>
      </c>
      <c r="Q498" t="n">
        <v>0</v>
      </c>
      <c r="R498" s="2" t="inlineStr"/>
    </row>
    <row r="499" ht="15" customHeight="1">
      <c r="A499" t="inlineStr">
        <is>
          <t>A 53031-2023</t>
        </is>
      </c>
      <c r="B499" s="1" t="n">
        <v>45226</v>
      </c>
      <c r="C499" s="1" t="n">
        <v>45294</v>
      </c>
      <c r="D499" t="inlineStr">
        <is>
          <t>DALARNAS LÄN</t>
        </is>
      </c>
      <c r="E499" t="inlineStr">
        <is>
          <t>HEDEMORA</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52967-2023</t>
        </is>
      </c>
      <c r="B500" s="1" t="n">
        <v>45226</v>
      </c>
      <c r="C500" s="1" t="n">
        <v>45294</v>
      </c>
      <c r="D500" t="inlineStr">
        <is>
          <t>DALARNAS LÄN</t>
        </is>
      </c>
      <c r="E500" t="inlineStr">
        <is>
          <t>HEDEMORA</t>
        </is>
      </c>
      <c r="F500" t="inlineStr">
        <is>
          <t>Bergvik skog väst AB</t>
        </is>
      </c>
      <c r="G500" t="n">
        <v>8.5</v>
      </c>
      <c r="H500" t="n">
        <v>0</v>
      </c>
      <c r="I500" t="n">
        <v>0</v>
      </c>
      <c r="J500" t="n">
        <v>0</v>
      </c>
      <c r="K500" t="n">
        <v>0</v>
      </c>
      <c r="L500" t="n">
        <v>0</v>
      </c>
      <c r="M500" t="n">
        <v>0</v>
      </c>
      <c r="N500" t="n">
        <v>0</v>
      </c>
      <c r="O500" t="n">
        <v>0</v>
      </c>
      <c r="P500" t="n">
        <v>0</v>
      </c>
      <c r="Q500" t="n">
        <v>0</v>
      </c>
      <c r="R500" s="2" t="inlineStr"/>
    </row>
    <row r="501" ht="15" customHeight="1">
      <c r="A501" t="inlineStr">
        <is>
          <t>A 53743-2023</t>
        </is>
      </c>
      <c r="B501" s="1" t="n">
        <v>45230</v>
      </c>
      <c r="C501" s="1" t="n">
        <v>45294</v>
      </c>
      <c r="D501" t="inlineStr">
        <is>
          <t>DALARNAS LÄN</t>
        </is>
      </c>
      <c r="E501" t="inlineStr">
        <is>
          <t>HEDEMORA</t>
        </is>
      </c>
      <c r="G501" t="n">
        <v>3.8</v>
      </c>
      <c r="H501" t="n">
        <v>0</v>
      </c>
      <c r="I501" t="n">
        <v>0</v>
      </c>
      <c r="J501" t="n">
        <v>0</v>
      </c>
      <c r="K501" t="n">
        <v>0</v>
      </c>
      <c r="L501" t="n">
        <v>0</v>
      </c>
      <c r="M501" t="n">
        <v>0</v>
      </c>
      <c r="N501" t="n">
        <v>0</v>
      </c>
      <c r="O501" t="n">
        <v>0</v>
      </c>
      <c r="P501" t="n">
        <v>0</v>
      </c>
      <c r="Q501" t="n">
        <v>0</v>
      </c>
      <c r="R501" s="2" t="inlineStr"/>
    </row>
    <row r="502" ht="15" customHeight="1">
      <c r="A502" t="inlineStr">
        <is>
          <t>A 53588-2023</t>
        </is>
      </c>
      <c r="B502" s="1" t="n">
        <v>45230</v>
      </c>
      <c r="C502" s="1" t="n">
        <v>45294</v>
      </c>
      <c r="D502" t="inlineStr">
        <is>
          <t>DALARNAS LÄN</t>
        </is>
      </c>
      <c r="E502" t="inlineStr">
        <is>
          <t>HEDEMORA</t>
        </is>
      </c>
      <c r="G502" t="n">
        <v>0.6</v>
      </c>
      <c r="H502" t="n">
        <v>0</v>
      </c>
      <c r="I502" t="n">
        <v>0</v>
      </c>
      <c r="J502" t="n">
        <v>0</v>
      </c>
      <c r="K502" t="n">
        <v>0</v>
      </c>
      <c r="L502" t="n">
        <v>0</v>
      </c>
      <c r="M502" t="n">
        <v>0</v>
      </c>
      <c r="N502" t="n">
        <v>0</v>
      </c>
      <c r="O502" t="n">
        <v>0</v>
      </c>
      <c r="P502" t="n">
        <v>0</v>
      </c>
      <c r="Q502" t="n">
        <v>0</v>
      </c>
      <c r="R502" s="2" t="inlineStr"/>
    </row>
    <row r="503" ht="15" customHeight="1">
      <c r="A503" t="inlineStr">
        <is>
          <t>A 53584-2023</t>
        </is>
      </c>
      <c r="B503" s="1" t="n">
        <v>45230</v>
      </c>
      <c r="C503" s="1" t="n">
        <v>45294</v>
      </c>
      <c r="D503" t="inlineStr">
        <is>
          <t>DALARNAS LÄN</t>
        </is>
      </c>
      <c r="E503" t="inlineStr">
        <is>
          <t>HEDEMORA</t>
        </is>
      </c>
      <c r="G503" t="n">
        <v>6.6</v>
      </c>
      <c r="H503" t="n">
        <v>0</v>
      </c>
      <c r="I503" t="n">
        <v>0</v>
      </c>
      <c r="J503" t="n">
        <v>0</v>
      </c>
      <c r="K503" t="n">
        <v>0</v>
      </c>
      <c r="L503" t="n">
        <v>0</v>
      </c>
      <c r="M503" t="n">
        <v>0</v>
      </c>
      <c r="N503" t="n">
        <v>0</v>
      </c>
      <c r="O503" t="n">
        <v>0</v>
      </c>
      <c r="P503" t="n">
        <v>0</v>
      </c>
      <c r="Q503" t="n">
        <v>0</v>
      </c>
      <c r="R503" s="2" t="inlineStr"/>
    </row>
    <row r="504" ht="15" customHeight="1">
      <c r="A504" t="inlineStr">
        <is>
          <t>A 53576-2023</t>
        </is>
      </c>
      <c r="B504" s="1" t="n">
        <v>45230</v>
      </c>
      <c r="C504" s="1" t="n">
        <v>45294</v>
      </c>
      <c r="D504" t="inlineStr">
        <is>
          <t>DALARNAS LÄN</t>
        </is>
      </c>
      <c r="E504" t="inlineStr">
        <is>
          <t>HEDEMORA</t>
        </is>
      </c>
      <c r="G504" t="n">
        <v>0.9</v>
      </c>
      <c r="H504" t="n">
        <v>0</v>
      </c>
      <c r="I504" t="n">
        <v>0</v>
      </c>
      <c r="J504" t="n">
        <v>0</v>
      </c>
      <c r="K504" t="n">
        <v>0</v>
      </c>
      <c r="L504" t="n">
        <v>0</v>
      </c>
      <c r="M504" t="n">
        <v>0</v>
      </c>
      <c r="N504" t="n">
        <v>0</v>
      </c>
      <c r="O504" t="n">
        <v>0</v>
      </c>
      <c r="P504" t="n">
        <v>0</v>
      </c>
      <c r="Q504" t="n">
        <v>0</v>
      </c>
      <c r="R504" s="2" t="inlineStr"/>
    </row>
    <row r="505" ht="15" customHeight="1">
      <c r="A505" t="inlineStr">
        <is>
          <t>A 53568-2023</t>
        </is>
      </c>
      <c r="B505" s="1" t="n">
        <v>45230</v>
      </c>
      <c r="C505" s="1" t="n">
        <v>45294</v>
      </c>
      <c r="D505" t="inlineStr">
        <is>
          <t>DALARNAS LÄN</t>
        </is>
      </c>
      <c r="E505" t="inlineStr">
        <is>
          <t>HEDEMORA</t>
        </is>
      </c>
      <c r="G505" t="n">
        <v>1.2</v>
      </c>
      <c r="H505" t="n">
        <v>0</v>
      </c>
      <c r="I505" t="n">
        <v>0</v>
      </c>
      <c r="J505" t="n">
        <v>0</v>
      </c>
      <c r="K505" t="n">
        <v>0</v>
      </c>
      <c r="L505" t="n">
        <v>0</v>
      </c>
      <c r="M505" t="n">
        <v>0</v>
      </c>
      <c r="N505" t="n">
        <v>0</v>
      </c>
      <c r="O505" t="n">
        <v>0</v>
      </c>
      <c r="P505" t="n">
        <v>0</v>
      </c>
      <c r="Q505" t="n">
        <v>0</v>
      </c>
      <c r="R505" s="2" t="inlineStr"/>
    </row>
    <row r="506" ht="15" customHeight="1">
      <c r="A506" t="inlineStr">
        <is>
          <t>A 53586-2023</t>
        </is>
      </c>
      <c r="B506" s="1" t="n">
        <v>45230</v>
      </c>
      <c r="C506" s="1" t="n">
        <v>45294</v>
      </c>
      <c r="D506" t="inlineStr">
        <is>
          <t>DALARNAS LÄN</t>
        </is>
      </c>
      <c r="E506" t="inlineStr">
        <is>
          <t>HEDEMORA</t>
        </is>
      </c>
      <c r="G506" t="n">
        <v>2.4</v>
      </c>
      <c r="H506" t="n">
        <v>0</v>
      </c>
      <c r="I506" t="n">
        <v>0</v>
      </c>
      <c r="J506" t="n">
        <v>0</v>
      </c>
      <c r="K506" t="n">
        <v>0</v>
      </c>
      <c r="L506" t="n">
        <v>0</v>
      </c>
      <c r="M506" t="n">
        <v>0</v>
      </c>
      <c r="N506" t="n">
        <v>0</v>
      </c>
      <c r="O506" t="n">
        <v>0</v>
      </c>
      <c r="P506" t="n">
        <v>0</v>
      </c>
      <c r="Q506" t="n">
        <v>0</v>
      </c>
      <c r="R506" s="2" t="inlineStr"/>
    </row>
    <row r="507" ht="15" customHeight="1">
      <c r="A507" t="inlineStr">
        <is>
          <t>A 54423-2023</t>
        </is>
      </c>
      <c r="B507" s="1" t="n">
        <v>45233</v>
      </c>
      <c r="C507" s="1" t="n">
        <v>45294</v>
      </c>
      <c r="D507" t="inlineStr">
        <is>
          <t>DALARNAS LÄN</t>
        </is>
      </c>
      <c r="E507" t="inlineStr">
        <is>
          <t>HEDEMORA</t>
        </is>
      </c>
      <c r="G507" t="n">
        <v>3.4</v>
      </c>
      <c r="H507" t="n">
        <v>0</v>
      </c>
      <c r="I507" t="n">
        <v>0</v>
      </c>
      <c r="J507" t="n">
        <v>0</v>
      </c>
      <c r="K507" t="n">
        <v>0</v>
      </c>
      <c r="L507" t="n">
        <v>0</v>
      </c>
      <c r="M507" t="n">
        <v>0</v>
      </c>
      <c r="N507" t="n">
        <v>0</v>
      </c>
      <c r="O507" t="n">
        <v>0</v>
      </c>
      <c r="P507" t="n">
        <v>0</v>
      </c>
      <c r="Q507" t="n">
        <v>0</v>
      </c>
      <c r="R507" s="2" t="inlineStr"/>
    </row>
    <row r="508" ht="15" customHeight="1">
      <c r="A508" t="inlineStr">
        <is>
          <t>A 54440-2023</t>
        </is>
      </c>
      <c r="B508" s="1" t="n">
        <v>45233</v>
      </c>
      <c r="C508" s="1" t="n">
        <v>45294</v>
      </c>
      <c r="D508" t="inlineStr">
        <is>
          <t>DALARNAS LÄN</t>
        </is>
      </c>
      <c r="E508" t="inlineStr">
        <is>
          <t>HEDEMORA</t>
        </is>
      </c>
      <c r="G508" t="n">
        <v>1.1</v>
      </c>
      <c r="H508" t="n">
        <v>0</v>
      </c>
      <c r="I508" t="n">
        <v>0</v>
      </c>
      <c r="J508" t="n">
        <v>0</v>
      </c>
      <c r="K508" t="n">
        <v>0</v>
      </c>
      <c r="L508" t="n">
        <v>0</v>
      </c>
      <c r="M508" t="n">
        <v>0</v>
      </c>
      <c r="N508" t="n">
        <v>0</v>
      </c>
      <c r="O508" t="n">
        <v>0</v>
      </c>
      <c r="P508" t="n">
        <v>0</v>
      </c>
      <c r="Q508" t="n">
        <v>0</v>
      </c>
      <c r="R508" s="2" t="inlineStr"/>
    </row>
    <row r="509" ht="15" customHeight="1">
      <c r="A509" t="inlineStr">
        <is>
          <t>A 55881-2023</t>
        </is>
      </c>
      <c r="B509" s="1" t="n">
        <v>45239</v>
      </c>
      <c r="C509" s="1" t="n">
        <v>45294</v>
      </c>
      <c r="D509" t="inlineStr">
        <is>
          <t>DALARNAS LÄN</t>
        </is>
      </c>
      <c r="E509" t="inlineStr">
        <is>
          <t>HEDEMORA</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55882-2023</t>
        </is>
      </c>
      <c r="B510" s="1" t="n">
        <v>45239</v>
      </c>
      <c r="C510" s="1" t="n">
        <v>45294</v>
      </c>
      <c r="D510" t="inlineStr">
        <is>
          <t>DALARNAS LÄN</t>
        </is>
      </c>
      <c r="E510" t="inlineStr">
        <is>
          <t>HEDEMORA</t>
        </is>
      </c>
      <c r="F510" t="inlineStr">
        <is>
          <t>Sveaskog</t>
        </is>
      </c>
      <c r="G510" t="n">
        <v>5.2</v>
      </c>
      <c r="H510" t="n">
        <v>0</v>
      </c>
      <c r="I510" t="n">
        <v>0</v>
      </c>
      <c r="J510" t="n">
        <v>0</v>
      </c>
      <c r="K510" t="n">
        <v>0</v>
      </c>
      <c r="L510" t="n">
        <v>0</v>
      </c>
      <c r="M510" t="n">
        <v>0</v>
      </c>
      <c r="N510" t="n">
        <v>0</v>
      </c>
      <c r="O510" t="n">
        <v>0</v>
      </c>
      <c r="P510" t="n">
        <v>0</v>
      </c>
      <c r="Q510" t="n">
        <v>0</v>
      </c>
      <c r="R510" s="2" t="inlineStr"/>
    </row>
    <row r="511" ht="15" customHeight="1">
      <c r="A511" t="inlineStr">
        <is>
          <t>A 55981-2023</t>
        </is>
      </c>
      <c r="B511" s="1" t="n">
        <v>45240</v>
      </c>
      <c r="C511" s="1" t="n">
        <v>45294</v>
      </c>
      <c r="D511" t="inlineStr">
        <is>
          <t>DALARNAS LÄN</t>
        </is>
      </c>
      <c r="E511" t="inlineStr">
        <is>
          <t>HEDEMORA</t>
        </is>
      </c>
      <c r="G511" t="n">
        <v>3.2</v>
      </c>
      <c r="H511" t="n">
        <v>0</v>
      </c>
      <c r="I511" t="n">
        <v>0</v>
      </c>
      <c r="J511" t="n">
        <v>0</v>
      </c>
      <c r="K511" t="n">
        <v>0</v>
      </c>
      <c r="L511" t="n">
        <v>0</v>
      </c>
      <c r="M511" t="n">
        <v>0</v>
      </c>
      <c r="N511" t="n">
        <v>0</v>
      </c>
      <c r="O511" t="n">
        <v>0</v>
      </c>
      <c r="P511" t="n">
        <v>0</v>
      </c>
      <c r="Q511" t="n">
        <v>0</v>
      </c>
      <c r="R511" s="2" t="inlineStr"/>
    </row>
    <row r="512" ht="15" customHeight="1">
      <c r="A512" t="inlineStr">
        <is>
          <t>A 57486-2023</t>
        </is>
      </c>
      <c r="B512" s="1" t="n">
        <v>45246</v>
      </c>
      <c r="C512" s="1" t="n">
        <v>45294</v>
      </c>
      <c r="D512" t="inlineStr">
        <is>
          <t>DALARNAS LÄN</t>
        </is>
      </c>
      <c r="E512" t="inlineStr">
        <is>
          <t>HEDEMORA</t>
        </is>
      </c>
      <c r="F512" t="inlineStr">
        <is>
          <t>Bergvik skog väst AB</t>
        </is>
      </c>
      <c r="G512" t="n">
        <v>4.2</v>
      </c>
      <c r="H512" t="n">
        <v>0</v>
      </c>
      <c r="I512" t="n">
        <v>0</v>
      </c>
      <c r="J512" t="n">
        <v>0</v>
      </c>
      <c r="K512" t="n">
        <v>0</v>
      </c>
      <c r="L512" t="n">
        <v>0</v>
      </c>
      <c r="M512" t="n">
        <v>0</v>
      </c>
      <c r="N512" t="n">
        <v>0</v>
      </c>
      <c r="O512" t="n">
        <v>0</v>
      </c>
      <c r="P512" t="n">
        <v>0</v>
      </c>
      <c r="Q512" t="n">
        <v>0</v>
      </c>
      <c r="R512" s="2" t="inlineStr"/>
    </row>
    <row r="513" ht="15" customHeight="1">
      <c r="A513" t="inlineStr">
        <is>
          <t>A 58841-2023</t>
        </is>
      </c>
      <c r="B513" s="1" t="n">
        <v>45252</v>
      </c>
      <c r="C513" s="1" t="n">
        <v>45294</v>
      </c>
      <c r="D513" t="inlineStr">
        <is>
          <t>DALARNAS LÄN</t>
        </is>
      </c>
      <c r="E513" t="inlineStr">
        <is>
          <t>HEDEMORA</t>
        </is>
      </c>
      <c r="G513" t="n">
        <v>14.8</v>
      </c>
      <c r="H513" t="n">
        <v>0</v>
      </c>
      <c r="I513" t="n">
        <v>0</v>
      </c>
      <c r="J513" t="n">
        <v>0</v>
      </c>
      <c r="K513" t="n">
        <v>0</v>
      </c>
      <c r="L513" t="n">
        <v>0</v>
      </c>
      <c r="M513" t="n">
        <v>0</v>
      </c>
      <c r="N513" t="n">
        <v>0</v>
      </c>
      <c r="O513" t="n">
        <v>0</v>
      </c>
      <c r="P513" t="n">
        <v>0</v>
      </c>
      <c r="Q513" t="n">
        <v>0</v>
      </c>
      <c r="R513" s="2" t="inlineStr"/>
    </row>
    <row r="514" ht="15" customHeight="1">
      <c r="A514" t="inlineStr">
        <is>
          <t>A 59249-2023</t>
        </is>
      </c>
      <c r="B514" s="1" t="n">
        <v>45253</v>
      </c>
      <c r="C514" s="1" t="n">
        <v>45294</v>
      </c>
      <c r="D514" t="inlineStr">
        <is>
          <t>DALARNAS LÄN</t>
        </is>
      </c>
      <c r="E514" t="inlineStr">
        <is>
          <t>HEDEMORA</t>
        </is>
      </c>
      <c r="G514" t="n">
        <v>1.2</v>
      </c>
      <c r="H514" t="n">
        <v>0</v>
      </c>
      <c r="I514" t="n">
        <v>0</v>
      </c>
      <c r="J514" t="n">
        <v>0</v>
      </c>
      <c r="K514" t="n">
        <v>0</v>
      </c>
      <c r="L514" t="n">
        <v>0</v>
      </c>
      <c r="M514" t="n">
        <v>0</v>
      </c>
      <c r="N514" t="n">
        <v>0</v>
      </c>
      <c r="O514" t="n">
        <v>0</v>
      </c>
      <c r="P514" t="n">
        <v>0</v>
      </c>
      <c r="Q514" t="n">
        <v>0</v>
      </c>
      <c r="R514" s="2" t="inlineStr"/>
    </row>
    <row r="515" ht="15" customHeight="1">
      <c r="A515" t="inlineStr">
        <is>
          <t>A 59235-2023</t>
        </is>
      </c>
      <c r="B515" s="1" t="n">
        <v>45253</v>
      </c>
      <c r="C515" s="1" t="n">
        <v>45294</v>
      </c>
      <c r="D515" t="inlineStr">
        <is>
          <t>DALARNAS LÄN</t>
        </is>
      </c>
      <c r="E515" t="inlineStr">
        <is>
          <t>HEDEMORA</t>
        </is>
      </c>
      <c r="G515" t="n">
        <v>2.4</v>
      </c>
      <c r="H515" t="n">
        <v>0</v>
      </c>
      <c r="I515" t="n">
        <v>0</v>
      </c>
      <c r="J515" t="n">
        <v>0</v>
      </c>
      <c r="K515" t="n">
        <v>0</v>
      </c>
      <c r="L515" t="n">
        <v>0</v>
      </c>
      <c r="M515" t="n">
        <v>0</v>
      </c>
      <c r="N515" t="n">
        <v>0</v>
      </c>
      <c r="O515" t="n">
        <v>0</v>
      </c>
      <c r="P515" t="n">
        <v>0</v>
      </c>
      <c r="Q515" t="n">
        <v>0</v>
      </c>
      <c r="R515" s="2" t="inlineStr"/>
    </row>
    <row r="516" ht="15" customHeight="1">
      <c r="A516" t="inlineStr">
        <is>
          <t>A 59140-2023</t>
        </is>
      </c>
      <c r="B516" s="1" t="n">
        <v>45253</v>
      </c>
      <c r="C516" s="1" t="n">
        <v>45294</v>
      </c>
      <c r="D516" t="inlineStr">
        <is>
          <t>DALARNAS LÄN</t>
        </is>
      </c>
      <c r="E516" t="inlineStr">
        <is>
          <t>HEDEMORA</t>
        </is>
      </c>
      <c r="F516" t="inlineStr">
        <is>
          <t>Sveaskog</t>
        </is>
      </c>
      <c r="G516" t="n">
        <v>6.7</v>
      </c>
      <c r="H516" t="n">
        <v>0</v>
      </c>
      <c r="I516" t="n">
        <v>0</v>
      </c>
      <c r="J516" t="n">
        <v>0</v>
      </c>
      <c r="K516" t="n">
        <v>0</v>
      </c>
      <c r="L516" t="n">
        <v>0</v>
      </c>
      <c r="M516" t="n">
        <v>0</v>
      </c>
      <c r="N516" t="n">
        <v>0</v>
      </c>
      <c r="O516" t="n">
        <v>0</v>
      </c>
      <c r="P516" t="n">
        <v>0</v>
      </c>
      <c r="Q516" t="n">
        <v>0</v>
      </c>
      <c r="R516" s="2" t="inlineStr"/>
    </row>
    <row r="517" ht="15" customHeight="1">
      <c r="A517" t="inlineStr">
        <is>
          <t>A 59232-2023</t>
        </is>
      </c>
      <c r="B517" s="1" t="n">
        <v>45253</v>
      </c>
      <c r="C517" s="1" t="n">
        <v>45294</v>
      </c>
      <c r="D517" t="inlineStr">
        <is>
          <t>DALARNAS LÄN</t>
        </is>
      </c>
      <c r="E517" t="inlineStr">
        <is>
          <t>HEDEMORA</t>
        </is>
      </c>
      <c r="G517" t="n">
        <v>3.7</v>
      </c>
      <c r="H517" t="n">
        <v>0</v>
      </c>
      <c r="I517" t="n">
        <v>0</v>
      </c>
      <c r="J517" t="n">
        <v>0</v>
      </c>
      <c r="K517" t="n">
        <v>0</v>
      </c>
      <c r="L517" t="n">
        <v>0</v>
      </c>
      <c r="M517" t="n">
        <v>0</v>
      </c>
      <c r="N517" t="n">
        <v>0</v>
      </c>
      <c r="O517" t="n">
        <v>0</v>
      </c>
      <c r="P517" t="n">
        <v>0</v>
      </c>
      <c r="Q517" t="n">
        <v>0</v>
      </c>
      <c r="R517" s="2" t="inlineStr"/>
    </row>
    <row r="518" ht="15" customHeight="1">
      <c r="A518" t="inlineStr">
        <is>
          <t>A 59515-2023</t>
        </is>
      </c>
      <c r="B518" s="1" t="n">
        <v>45253</v>
      </c>
      <c r="C518" s="1" t="n">
        <v>45294</v>
      </c>
      <c r="D518" t="inlineStr">
        <is>
          <t>DALARNAS LÄN</t>
        </is>
      </c>
      <c r="E518" t="inlineStr">
        <is>
          <t>HEDEMORA</t>
        </is>
      </c>
      <c r="G518" t="n">
        <v>5.1</v>
      </c>
      <c r="H518" t="n">
        <v>0</v>
      </c>
      <c r="I518" t="n">
        <v>0</v>
      </c>
      <c r="J518" t="n">
        <v>0</v>
      </c>
      <c r="K518" t="n">
        <v>0</v>
      </c>
      <c r="L518" t="n">
        <v>0</v>
      </c>
      <c r="M518" t="n">
        <v>0</v>
      </c>
      <c r="N518" t="n">
        <v>0</v>
      </c>
      <c r="O518" t="n">
        <v>0</v>
      </c>
      <c r="P518" t="n">
        <v>0</v>
      </c>
      <c r="Q518" t="n">
        <v>0</v>
      </c>
      <c r="R518" s="2" t="inlineStr"/>
    </row>
    <row r="519" ht="15" customHeight="1">
      <c r="A519" t="inlineStr">
        <is>
          <t>A 59519-2023</t>
        </is>
      </c>
      <c r="B519" s="1" t="n">
        <v>45253</v>
      </c>
      <c r="C519" s="1" t="n">
        <v>45294</v>
      </c>
      <c r="D519" t="inlineStr">
        <is>
          <t>DALARNAS LÄN</t>
        </is>
      </c>
      <c r="E519" t="inlineStr">
        <is>
          <t>HEDEMORA</t>
        </is>
      </c>
      <c r="G519" t="n">
        <v>1.9</v>
      </c>
      <c r="H519" t="n">
        <v>0</v>
      </c>
      <c r="I519" t="n">
        <v>0</v>
      </c>
      <c r="J519" t="n">
        <v>0</v>
      </c>
      <c r="K519" t="n">
        <v>0</v>
      </c>
      <c r="L519" t="n">
        <v>0</v>
      </c>
      <c r="M519" t="n">
        <v>0</v>
      </c>
      <c r="N519" t="n">
        <v>0</v>
      </c>
      <c r="O519" t="n">
        <v>0</v>
      </c>
      <c r="P519" t="n">
        <v>0</v>
      </c>
      <c r="Q519" t="n">
        <v>0</v>
      </c>
      <c r="R519" s="2" t="inlineStr"/>
    </row>
    <row r="520" ht="15" customHeight="1">
      <c r="A520" t="inlineStr">
        <is>
          <t>A 59632-2023</t>
        </is>
      </c>
      <c r="B520" s="1" t="n">
        <v>45254</v>
      </c>
      <c r="C520" s="1" t="n">
        <v>45294</v>
      </c>
      <c r="D520" t="inlineStr">
        <is>
          <t>DALARNAS LÄN</t>
        </is>
      </c>
      <c r="E520" t="inlineStr">
        <is>
          <t>HEDEMORA</t>
        </is>
      </c>
      <c r="G520" t="n">
        <v>1.4</v>
      </c>
      <c r="H520" t="n">
        <v>0</v>
      </c>
      <c r="I520" t="n">
        <v>0</v>
      </c>
      <c r="J520" t="n">
        <v>0</v>
      </c>
      <c r="K520" t="n">
        <v>0</v>
      </c>
      <c r="L520" t="n">
        <v>0</v>
      </c>
      <c r="M520" t="n">
        <v>0</v>
      </c>
      <c r="N520" t="n">
        <v>0</v>
      </c>
      <c r="O520" t="n">
        <v>0</v>
      </c>
      <c r="P520" t="n">
        <v>0</v>
      </c>
      <c r="Q520" t="n">
        <v>0</v>
      </c>
      <c r="R520" s="2" t="inlineStr"/>
    </row>
    <row r="521" ht="15" customHeight="1">
      <c r="A521" t="inlineStr">
        <is>
          <t>A 59728-2023</t>
        </is>
      </c>
      <c r="B521" s="1" t="n">
        <v>45257</v>
      </c>
      <c r="C521" s="1" t="n">
        <v>45294</v>
      </c>
      <c r="D521" t="inlineStr">
        <is>
          <t>DALARNAS LÄN</t>
        </is>
      </c>
      <c r="E521" t="inlineStr">
        <is>
          <t>HEDEMORA</t>
        </is>
      </c>
      <c r="G521" t="n">
        <v>3.7</v>
      </c>
      <c r="H521" t="n">
        <v>0</v>
      </c>
      <c r="I521" t="n">
        <v>0</v>
      </c>
      <c r="J521" t="n">
        <v>0</v>
      </c>
      <c r="K521" t="n">
        <v>0</v>
      </c>
      <c r="L521" t="n">
        <v>0</v>
      </c>
      <c r="M521" t="n">
        <v>0</v>
      </c>
      <c r="N521" t="n">
        <v>0</v>
      </c>
      <c r="O521" t="n">
        <v>0</v>
      </c>
      <c r="P521" t="n">
        <v>0</v>
      </c>
      <c r="Q521" t="n">
        <v>0</v>
      </c>
      <c r="R521" s="2" t="inlineStr"/>
    </row>
    <row r="522" ht="15" customHeight="1">
      <c r="A522" t="inlineStr">
        <is>
          <t>A 60496-2023</t>
        </is>
      </c>
      <c r="B522" s="1" t="n">
        <v>45259</v>
      </c>
      <c r="C522" s="1" t="n">
        <v>45294</v>
      </c>
      <c r="D522" t="inlineStr">
        <is>
          <t>DALARNAS LÄN</t>
        </is>
      </c>
      <c r="E522" t="inlineStr">
        <is>
          <t>HEDEMORA</t>
        </is>
      </c>
      <c r="G522" t="n">
        <v>0.8</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45294</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45294</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60767-2023</t>
        </is>
      </c>
      <c r="B525" s="1" t="n">
        <v>45260</v>
      </c>
      <c r="C525" s="1" t="n">
        <v>45294</v>
      </c>
      <c r="D525" t="inlineStr">
        <is>
          <t>DALARNAS LÄN</t>
        </is>
      </c>
      <c r="E525" t="inlineStr">
        <is>
          <t>HEDEMORA</t>
        </is>
      </c>
      <c r="G525" t="n">
        <v>3.9</v>
      </c>
      <c r="H525" t="n">
        <v>0</v>
      </c>
      <c r="I525" t="n">
        <v>0</v>
      </c>
      <c r="J525" t="n">
        <v>0</v>
      </c>
      <c r="K525" t="n">
        <v>0</v>
      </c>
      <c r="L525" t="n">
        <v>0</v>
      </c>
      <c r="M525" t="n">
        <v>0</v>
      </c>
      <c r="N525" t="n">
        <v>0</v>
      </c>
      <c r="O525" t="n">
        <v>0</v>
      </c>
      <c r="P525" t="n">
        <v>0</v>
      </c>
      <c r="Q525" t="n">
        <v>0</v>
      </c>
      <c r="R525" s="2" t="inlineStr"/>
    </row>
    <row r="526" ht="15" customHeight="1">
      <c r="A526" t="inlineStr">
        <is>
          <t>A 60806-2023</t>
        </is>
      </c>
      <c r="B526" s="1" t="n">
        <v>45260</v>
      </c>
      <c r="C526" s="1" t="n">
        <v>45294</v>
      </c>
      <c r="D526" t="inlineStr">
        <is>
          <t>DALARNAS LÄN</t>
        </is>
      </c>
      <c r="E526" t="inlineStr">
        <is>
          <t>HEDEMORA</t>
        </is>
      </c>
      <c r="G526" t="n">
        <v>1.7</v>
      </c>
      <c r="H526" t="n">
        <v>0</v>
      </c>
      <c r="I526" t="n">
        <v>0</v>
      </c>
      <c r="J526" t="n">
        <v>0</v>
      </c>
      <c r="K526" t="n">
        <v>0</v>
      </c>
      <c r="L526" t="n">
        <v>0</v>
      </c>
      <c r="M526" t="n">
        <v>0</v>
      </c>
      <c r="N526" t="n">
        <v>0</v>
      </c>
      <c r="O526" t="n">
        <v>0</v>
      </c>
      <c r="P526" t="n">
        <v>0</v>
      </c>
      <c r="Q526" t="n">
        <v>0</v>
      </c>
      <c r="R526" s="2" t="inlineStr"/>
    </row>
    <row r="527" ht="15" customHeight="1">
      <c r="A527" t="inlineStr">
        <is>
          <t>A 61671-2023</t>
        </is>
      </c>
      <c r="B527" s="1" t="n">
        <v>45265</v>
      </c>
      <c r="C527" s="1" t="n">
        <v>45294</v>
      </c>
      <c r="D527" t="inlineStr">
        <is>
          <t>DALARNAS LÄN</t>
        </is>
      </c>
      <c r="E527" t="inlineStr">
        <is>
          <t>HEDEMORA</t>
        </is>
      </c>
      <c r="F527" t="inlineStr">
        <is>
          <t>Bergvik skog väst AB</t>
        </is>
      </c>
      <c r="G527" t="n">
        <v>6.5</v>
      </c>
      <c r="H527" t="n">
        <v>0</v>
      </c>
      <c r="I527" t="n">
        <v>0</v>
      </c>
      <c r="J527" t="n">
        <v>0</v>
      </c>
      <c r="K527" t="n">
        <v>0</v>
      </c>
      <c r="L527" t="n">
        <v>0</v>
      </c>
      <c r="M527" t="n">
        <v>0</v>
      </c>
      <c r="N527" t="n">
        <v>0</v>
      </c>
      <c r="O527" t="n">
        <v>0</v>
      </c>
      <c r="P527" t="n">
        <v>0</v>
      </c>
      <c r="Q527" t="n">
        <v>0</v>
      </c>
      <c r="R527" s="2" t="inlineStr"/>
    </row>
    <row r="528" ht="15" customHeight="1">
      <c r="A528" t="inlineStr">
        <is>
          <t>A 62054-2023</t>
        </is>
      </c>
      <c r="B528" s="1" t="n">
        <v>45265</v>
      </c>
      <c r="C528" s="1" t="n">
        <v>45294</v>
      </c>
      <c r="D528" t="inlineStr">
        <is>
          <t>DALARNAS LÄN</t>
        </is>
      </c>
      <c r="E528" t="inlineStr">
        <is>
          <t>HEDEMORA</t>
        </is>
      </c>
      <c r="G528" t="n">
        <v>2.3</v>
      </c>
      <c r="H528" t="n">
        <v>0</v>
      </c>
      <c r="I528" t="n">
        <v>0</v>
      </c>
      <c r="J528" t="n">
        <v>0</v>
      </c>
      <c r="K528" t="n">
        <v>0</v>
      </c>
      <c r="L528" t="n">
        <v>0</v>
      </c>
      <c r="M528" t="n">
        <v>0</v>
      </c>
      <c r="N528" t="n">
        <v>0</v>
      </c>
      <c r="O528" t="n">
        <v>0</v>
      </c>
      <c r="P528" t="n">
        <v>0</v>
      </c>
      <c r="Q528" t="n">
        <v>0</v>
      </c>
      <c r="R528" s="2" t="inlineStr"/>
    </row>
    <row r="529" ht="15" customHeight="1">
      <c r="A529" t="inlineStr">
        <is>
          <t>A 62188-2023</t>
        </is>
      </c>
      <c r="B529" s="1" t="n">
        <v>45267</v>
      </c>
      <c r="C529" s="1" t="n">
        <v>45294</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45294</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62386-2023</t>
        </is>
      </c>
      <c r="B531" s="1" t="n">
        <v>45268</v>
      </c>
      <c r="C531" s="1" t="n">
        <v>45294</v>
      </c>
      <c r="D531" t="inlineStr">
        <is>
          <t>DALARNAS LÄN</t>
        </is>
      </c>
      <c r="E531" t="inlineStr">
        <is>
          <t>HEDEMORA</t>
        </is>
      </c>
      <c r="G531" t="n">
        <v>1.7</v>
      </c>
      <c r="H531" t="n">
        <v>0</v>
      </c>
      <c r="I531" t="n">
        <v>0</v>
      </c>
      <c r="J531" t="n">
        <v>0</v>
      </c>
      <c r="K531" t="n">
        <v>0</v>
      </c>
      <c r="L531" t="n">
        <v>0</v>
      </c>
      <c r="M531" t="n">
        <v>0</v>
      </c>
      <c r="N531" t="n">
        <v>0</v>
      </c>
      <c r="O531" t="n">
        <v>0</v>
      </c>
      <c r="P531" t="n">
        <v>0</v>
      </c>
      <c r="Q531" t="n">
        <v>0</v>
      </c>
      <c r="R531" s="2" t="inlineStr"/>
    </row>
    <row r="532" ht="15" customHeight="1">
      <c r="A532" t="inlineStr">
        <is>
          <t>A 62401-2023</t>
        </is>
      </c>
      <c r="B532" s="1" t="n">
        <v>45268</v>
      </c>
      <c r="C532" s="1" t="n">
        <v>45294</v>
      </c>
      <c r="D532" t="inlineStr">
        <is>
          <t>DALARNAS LÄN</t>
        </is>
      </c>
      <c r="E532" t="inlineStr">
        <is>
          <t>HEDEMORA</t>
        </is>
      </c>
      <c r="G532" t="n">
        <v>1.6</v>
      </c>
      <c r="H532" t="n">
        <v>0</v>
      </c>
      <c r="I532" t="n">
        <v>0</v>
      </c>
      <c r="J532" t="n">
        <v>0</v>
      </c>
      <c r="K532" t="n">
        <v>0</v>
      </c>
      <c r="L532" t="n">
        <v>0</v>
      </c>
      <c r="M532" t="n">
        <v>0</v>
      </c>
      <c r="N532" t="n">
        <v>0</v>
      </c>
      <c r="O532" t="n">
        <v>0</v>
      </c>
      <c r="P532" t="n">
        <v>0</v>
      </c>
      <c r="Q532" t="n">
        <v>0</v>
      </c>
      <c r="R532" s="2" t="inlineStr"/>
    </row>
    <row r="533" ht="15" customHeight="1">
      <c r="A533" t="inlineStr">
        <is>
          <t>A 62374-2023</t>
        </is>
      </c>
      <c r="B533" s="1" t="n">
        <v>45268</v>
      </c>
      <c r="C533" s="1" t="n">
        <v>45294</v>
      </c>
      <c r="D533" t="inlineStr">
        <is>
          <t>DALARNAS LÄN</t>
        </is>
      </c>
      <c r="E533" t="inlineStr">
        <is>
          <t>HEDEMORA</t>
        </is>
      </c>
      <c r="G533" t="n">
        <v>2.5</v>
      </c>
      <c r="H533" t="n">
        <v>0</v>
      </c>
      <c r="I533" t="n">
        <v>0</v>
      </c>
      <c r="J533" t="n">
        <v>0</v>
      </c>
      <c r="K533" t="n">
        <v>0</v>
      </c>
      <c r="L533" t="n">
        <v>0</v>
      </c>
      <c r="M533" t="n">
        <v>0</v>
      </c>
      <c r="N533" t="n">
        <v>0</v>
      </c>
      <c r="O533" t="n">
        <v>0</v>
      </c>
      <c r="P533" t="n">
        <v>0</v>
      </c>
      <c r="Q533" t="n">
        <v>0</v>
      </c>
      <c r="R533" s="2" t="inlineStr"/>
    </row>
    <row r="534" ht="15" customHeight="1">
      <c r="A534" t="inlineStr">
        <is>
          <t>A 63543-2023</t>
        </is>
      </c>
      <c r="B534" s="1" t="n">
        <v>45275</v>
      </c>
      <c r="C534" s="1" t="n">
        <v>45294</v>
      </c>
      <c r="D534" t="inlineStr">
        <is>
          <t>DALARNAS LÄN</t>
        </is>
      </c>
      <c r="E534" t="inlineStr">
        <is>
          <t>HEDEMORA</t>
        </is>
      </c>
      <c r="G534" t="n">
        <v>1.3</v>
      </c>
      <c r="H534" t="n">
        <v>0</v>
      </c>
      <c r="I534" t="n">
        <v>0</v>
      </c>
      <c r="J534" t="n">
        <v>0</v>
      </c>
      <c r="K534" t="n">
        <v>0</v>
      </c>
      <c r="L534" t="n">
        <v>0</v>
      </c>
      <c r="M534" t="n">
        <v>0</v>
      </c>
      <c r="N534" t="n">
        <v>0</v>
      </c>
      <c r="O534" t="n">
        <v>0</v>
      </c>
      <c r="P534" t="n">
        <v>0</v>
      </c>
      <c r="Q534" t="n">
        <v>0</v>
      </c>
      <c r="R534" s="2" t="inlineStr"/>
    </row>
    <row r="535" ht="15" customHeight="1">
      <c r="A535" t="inlineStr">
        <is>
          <t>A 63925-2023</t>
        </is>
      </c>
      <c r="B535" s="1" t="n">
        <v>45278</v>
      </c>
      <c r="C535" s="1" t="n">
        <v>45294</v>
      </c>
      <c r="D535" t="inlineStr">
        <is>
          <t>DALARNAS LÄN</t>
        </is>
      </c>
      <c r="E535" t="inlineStr">
        <is>
          <t>HEDEMORA</t>
        </is>
      </c>
      <c r="G535" t="n">
        <v>5.2</v>
      </c>
      <c r="H535" t="n">
        <v>0</v>
      </c>
      <c r="I535" t="n">
        <v>0</v>
      </c>
      <c r="J535" t="n">
        <v>0</v>
      </c>
      <c r="K535" t="n">
        <v>0</v>
      </c>
      <c r="L535" t="n">
        <v>0</v>
      </c>
      <c r="M535" t="n">
        <v>0</v>
      </c>
      <c r="N535" t="n">
        <v>0</v>
      </c>
      <c r="O535" t="n">
        <v>0</v>
      </c>
      <c r="P535" t="n">
        <v>0</v>
      </c>
      <c r="Q535" t="n">
        <v>0</v>
      </c>
      <c r="R535" s="2" t="inlineStr"/>
    </row>
    <row r="536" ht="15" customHeight="1">
      <c r="A536" t="inlineStr">
        <is>
          <t>A 63929-2023</t>
        </is>
      </c>
      <c r="B536" s="1" t="n">
        <v>45278</v>
      </c>
      <c r="C536" s="1" t="n">
        <v>45294</v>
      </c>
      <c r="D536" t="inlineStr">
        <is>
          <t>DALARNAS LÄN</t>
        </is>
      </c>
      <c r="E536" t="inlineStr">
        <is>
          <t>HEDEMORA</t>
        </is>
      </c>
      <c r="G536" t="n">
        <v>0.4</v>
      </c>
      <c r="H536" t="n">
        <v>0</v>
      </c>
      <c r="I536" t="n">
        <v>0</v>
      </c>
      <c r="J536" t="n">
        <v>0</v>
      </c>
      <c r="K536" t="n">
        <v>0</v>
      </c>
      <c r="L536" t="n">
        <v>0</v>
      </c>
      <c r="M536" t="n">
        <v>0</v>
      </c>
      <c r="N536" t="n">
        <v>0</v>
      </c>
      <c r="O536" t="n">
        <v>0</v>
      </c>
      <c r="P536" t="n">
        <v>0</v>
      </c>
      <c r="Q536" t="n">
        <v>0</v>
      </c>
      <c r="R536" s="2" t="inlineStr"/>
    </row>
    <row r="537" ht="15" customHeight="1">
      <c r="A537" t="inlineStr">
        <is>
          <t>A 63941-2023</t>
        </is>
      </c>
      <c r="B537" s="1" t="n">
        <v>45278</v>
      </c>
      <c r="C537" s="1" t="n">
        <v>45294</v>
      </c>
      <c r="D537" t="inlineStr">
        <is>
          <t>DALARNAS LÄN</t>
        </is>
      </c>
      <c r="E537" t="inlineStr">
        <is>
          <t>HEDEMORA</t>
        </is>
      </c>
      <c r="G537" t="n">
        <v>1.1</v>
      </c>
      <c r="H537" t="n">
        <v>0</v>
      </c>
      <c r="I537" t="n">
        <v>0</v>
      </c>
      <c r="J537" t="n">
        <v>0</v>
      </c>
      <c r="K537" t="n">
        <v>0</v>
      </c>
      <c r="L537" t="n">
        <v>0</v>
      </c>
      <c r="M537" t="n">
        <v>0</v>
      </c>
      <c r="N537" t="n">
        <v>0</v>
      </c>
      <c r="O537" t="n">
        <v>0</v>
      </c>
      <c r="P537" t="n">
        <v>0</v>
      </c>
      <c r="Q537" t="n">
        <v>0</v>
      </c>
      <c r="R537" s="2" t="inlineStr"/>
    </row>
    <row r="538" ht="15" customHeight="1">
      <c r="A538" t="inlineStr">
        <is>
          <t>A 63926-2023</t>
        </is>
      </c>
      <c r="B538" s="1" t="n">
        <v>45278</v>
      </c>
      <c r="C538" s="1" t="n">
        <v>45294</v>
      </c>
      <c r="D538" t="inlineStr">
        <is>
          <t>DALARNAS LÄN</t>
        </is>
      </c>
      <c r="E538" t="inlineStr">
        <is>
          <t>HEDEMORA</t>
        </is>
      </c>
      <c r="G538" t="n">
        <v>5</v>
      </c>
      <c r="H538" t="n">
        <v>0</v>
      </c>
      <c r="I538" t="n">
        <v>0</v>
      </c>
      <c r="J538" t="n">
        <v>0</v>
      </c>
      <c r="K538" t="n">
        <v>0</v>
      </c>
      <c r="L538" t="n">
        <v>0</v>
      </c>
      <c r="M538" t="n">
        <v>0</v>
      </c>
      <c r="N538" t="n">
        <v>0</v>
      </c>
      <c r="O538" t="n">
        <v>0</v>
      </c>
      <c r="P538" t="n">
        <v>0</v>
      </c>
      <c r="Q538" t="n">
        <v>0</v>
      </c>
      <c r="R538" s="2" t="inlineStr"/>
    </row>
    <row r="539" ht="15" customHeight="1">
      <c r="A539" t="inlineStr">
        <is>
          <t>A 63911-2023</t>
        </is>
      </c>
      <c r="B539" s="1" t="n">
        <v>45278</v>
      </c>
      <c r="C539" s="1" t="n">
        <v>45294</v>
      </c>
      <c r="D539" t="inlineStr">
        <is>
          <t>DALARNAS LÄN</t>
        </is>
      </c>
      <c r="E539" t="inlineStr">
        <is>
          <t>HEDEMORA</t>
        </is>
      </c>
      <c r="G539" t="n">
        <v>8.9</v>
      </c>
      <c r="H539" t="n">
        <v>0</v>
      </c>
      <c r="I539" t="n">
        <v>0</v>
      </c>
      <c r="J539" t="n">
        <v>0</v>
      </c>
      <c r="K539" t="n">
        <v>0</v>
      </c>
      <c r="L539" t="n">
        <v>0</v>
      </c>
      <c r="M539" t="n">
        <v>0</v>
      </c>
      <c r="N539" t="n">
        <v>0</v>
      </c>
      <c r="O539" t="n">
        <v>0</v>
      </c>
      <c r="P539" t="n">
        <v>0</v>
      </c>
      <c r="Q539" t="n">
        <v>0</v>
      </c>
      <c r="R539" s="2" t="inlineStr"/>
    </row>
    <row r="540" ht="15" customHeight="1">
      <c r="A540" t="inlineStr">
        <is>
          <t>A 64277-2023</t>
        </is>
      </c>
      <c r="B540" s="1" t="n">
        <v>45280</v>
      </c>
      <c r="C540" s="1" t="n">
        <v>45294</v>
      </c>
      <c r="D540" t="inlineStr">
        <is>
          <t>DALARNAS LÄN</t>
        </is>
      </c>
      <c r="E540" t="inlineStr">
        <is>
          <t>HEDEMORA</t>
        </is>
      </c>
      <c r="G540" t="n">
        <v>3.1</v>
      </c>
      <c r="H540" t="n">
        <v>0</v>
      </c>
      <c r="I540" t="n">
        <v>0</v>
      </c>
      <c r="J540" t="n">
        <v>0</v>
      </c>
      <c r="K540" t="n">
        <v>0</v>
      </c>
      <c r="L540" t="n">
        <v>0</v>
      </c>
      <c r="M540" t="n">
        <v>0</v>
      </c>
      <c r="N540" t="n">
        <v>0</v>
      </c>
      <c r="O540" t="n">
        <v>0</v>
      </c>
      <c r="P540" t="n">
        <v>0</v>
      </c>
      <c r="Q540" t="n">
        <v>0</v>
      </c>
      <c r="R540" s="2" t="inlineStr"/>
    </row>
    <row r="541" ht="15" customHeight="1">
      <c r="A541" t="inlineStr">
        <is>
          <t>A 64276-2023</t>
        </is>
      </c>
      <c r="B541" s="1" t="n">
        <v>45280</v>
      </c>
      <c r="C541" s="1" t="n">
        <v>45294</v>
      </c>
      <c r="D541" t="inlineStr">
        <is>
          <t>DALARNAS LÄN</t>
        </is>
      </c>
      <c r="E541" t="inlineStr">
        <is>
          <t>HEDEMORA</t>
        </is>
      </c>
      <c r="G541" t="n">
        <v>3.5</v>
      </c>
      <c r="H541" t="n">
        <v>0</v>
      </c>
      <c r="I541" t="n">
        <v>0</v>
      </c>
      <c r="J541" t="n">
        <v>0</v>
      </c>
      <c r="K541" t="n">
        <v>0</v>
      </c>
      <c r="L541" t="n">
        <v>0</v>
      </c>
      <c r="M541" t="n">
        <v>0</v>
      </c>
      <c r="N541" t="n">
        <v>0</v>
      </c>
      <c r="O541" t="n">
        <v>0</v>
      </c>
      <c r="P541" t="n">
        <v>0</v>
      </c>
      <c r="Q541" t="n">
        <v>0</v>
      </c>
      <c r="R541" s="2" t="inlineStr"/>
    </row>
    <row r="542" ht="15" customHeight="1">
      <c r="A542" t="inlineStr">
        <is>
          <t>A 64965-2023</t>
        </is>
      </c>
      <c r="B542" s="1" t="n">
        <v>45283</v>
      </c>
      <c r="C542" s="1" t="n">
        <v>45294</v>
      </c>
      <c r="D542" t="inlineStr">
        <is>
          <t>DALARNAS LÄN</t>
        </is>
      </c>
      <c r="E542" t="inlineStr">
        <is>
          <t>HEDEMORA</t>
        </is>
      </c>
      <c r="G542" t="n">
        <v>6</v>
      </c>
      <c r="H542" t="n">
        <v>0</v>
      </c>
      <c r="I542" t="n">
        <v>0</v>
      </c>
      <c r="J542" t="n">
        <v>0</v>
      </c>
      <c r="K542" t="n">
        <v>0</v>
      </c>
      <c r="L542" t="n">
        <v>0</v>
      </c>
      <c r="M542" t="n">
        <v>0</v>
      </c>
      <c r="N542" t="n">
        <v>0</v>
      </c>
      <c r="O542" t="n">
        <v>0</v>
      </c>
      <c r="P542" t="n">
        <v>0</v>
      </c>
      <c r="Q542" t="n">
        <v>0</v>
      </c>
      <c r="R542" s="2" t="inlineStr"/>
    </row>
    <row r="543" ht="15" customHeight="1">
      <c r="A543" t="inlineStr">
        <is>
          <t>A 64964-2023</t>
        </is>
      </c>
      <c r="B543" s="1" t="n">
        <v>45283</v>
      </c>
      <c r="C543" s="1" t="n">
        <v>45294</v>
      </c>
      <c r="D543" t="inlineStr">
        <is>
          <t>DALARNAS LÄN</t>
        </is>
      </c>
      <c r="E543" t="inlineStr">
        <is>
          <t>HEDEMORA</t>
        </is>
      </c>
      <c r="G543" t="n">
        <v>0.9</v>
      </c>
      <c r="H543" t="n">
        <v>0</v>
      </c>
      <c r="I543" t="n">
        <v>0</v>
      </c>
      <c r="J543" t="n">
        <v>0</v>
      </c>
      <c r="K543" t="n">
        <v>0</v>
      </c>
      <c r="L543" t="n">
        <v>0</v>
      </c>
      <c r="M543" t="n">
        <v>0</v>
      </c>
      <c r="N543" t="n">
        <v>0</v>
      </c>
      <c r="O543" t="n">
        <v>0</v>
      </c>
      <c r="P543" t="n">
        <v>0</v>
      </c>
      <c r="Q543" t="n">
        <v>0</v>
      </c>
      <c r="R543" s="2" t="inlineStr"/>
    </row>
    <row r="544">
      <c r="A544" t="inlineStr">
        <is>
          <t>A 65057-2023</t>
        </is>
      </c>
      <c r="B544" s="1" t="n">
        <v>45287</v>
      </c>
      <c r="C544" s="1" t="n">
        <v>45294</v>
      </c>
      <c r="D544" t="inlineStr">
        <is>
          <t>DALARNAS LÄN</t>
        </is>
      </c>
      <c r="E544" t="inlineStr">
        <is>
          <t>HEDEMORA</t>
        </is>
      </c>
      <c r="G544" t="n">
        <v>1.8</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2024-01-03T10:02:12Z</dcterms:created>
  <dcterms:modified xmlns:dcterms="http://purl.org/dc/terms/" xmlns:xsi="http://www.w3.org/2001/XMLSchema-instance" xsi:type="dcterms:W3CDTF">2024-01-03T10:02:13Z</dcterms:modified>
</cp:coreProperties>
</file>