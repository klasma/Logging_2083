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45665</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45665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45665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45665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45665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45665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45665</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45665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45665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45665</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45665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45665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45665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45665</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45665</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45665</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45665</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45665</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45665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45665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45665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45665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45665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45665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45665</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45665</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45665</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45665</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45665</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45665</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45665</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45665</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45665</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45665</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45665</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45665</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45665</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45665</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45665</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45665</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45665</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45665</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45665</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45665</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45665</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45665</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45665</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45665</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45665</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45665</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45665</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45665</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45665</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45665</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45665</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45665</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45665</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45665</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45665</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45665</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45665</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45665</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45665</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45665</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45665</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45665</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45665</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45665</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45665</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45665</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45665</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45665</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45665</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45665</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45665</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45665</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55144-2022</t>
        </is>
      </c>
      <c r="B78" s="1" t="n">
        <v>44886</v>
      </c>
      <c r="C78" s="1" t="n">
        <v>45665</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55144-2022 artfynd.xlsx", "A 55144-2022")</f>
        <v/>
      </c>
      <c r="T78">
        <f>HYPERLINK("https://klasma.github.io/Logging_2083/kartor/A 55144-2022 karta.png", "A 55144-2022")</f>
        <v/>
      </c>
      <c r="V78">
        <f>HYPERLINK("https://klasma.github.io/Logging_2083/klagomål/A 55144-2022 FSC-klagomål.docx", "A 55144-2022")</f>
        <v/>
      </c>
      <c r="W78">
        <f>HYPERLINK("https://klasma.github.io/Logging_2083/klagomålsmail/A 55144-2022 FSC-klagomål mail.docx", "A 55144-2022")</f>
        <v/>
      </c>
      <c r="X78">
        <f>HYPERLINK("https://klasma.github.io/Logging_2083/tillsyn/A 55144-2022 tillsynsbegäran.docx", "A 55144-2022")</f>
        <v/>
      </c>
      <c r="Y78">
        <f>HYPERLINK("https://klasma.github.io/Logging_2083/tillsynsmail/A 55144-2022 tillsynsbegäran mail.docx", "A 55144-2022")</f>
        <v/>
      </c>
    </row>
    <row r="79" ht="15" customHeight="1">
      <c r="A79" t="inlineStr">
        <is>
          <t>A 11742-2023</t>
        </is>
      </c>
      <c r="B79" s="1" t="n">
        <v>44994</v>
      </c>
      <c r="C79" s="1" t="n">
        <v>45665</v>
      </c>
      <c r="D79" t="inlineStr">
        <is>
          <t>DALARNAS LÄN</t>
        </is>
      </c>
      <c r="E79" t="inlineStr">
        <is>
          <t>HEDEMORA</t>
        </is>
      </c>
      <c r="G79" t="n">
        <v>6</v>
      </c>
      <c r="H79" t="n">
        <v>0</v>
      </c>
      <c r="I79" t="n">
        <v>0</v>
      </c>
      <c r="J79" t="n">
        <v>1</v>
      </c>
      <c r="K79" t="n">
        <v>0</v>
      </c>
      <c r="L79" t="n">
        <v>0</v>
      </c>
      <c r="M79" t="n">
        <v>0</v>
      </c>
      <c r="N79" t="n">
        <v>0</v>
      </c>
      <c r="O79" t="n">
        <v>1</v>
      </c>
      <c r="P79" t="n">
        <v>0</v>
      </c>
      <c r="Q79" t="n">
        <v>1</v>
      </c>
      <c r="R79" s="2" t="inlineStr">
        <is>
          <t>Tallticka</t>
        </is>
      </c>
      <c r="S79">
        <f>HYPERLINK("https://klasma.github.io/Logging_2083/artfynd/A 11742-2023 artfynd.xlsx", "A 11742-2023")</f>
        <v/>
      </c>
      <c r="T79">
        <f>HYPERLINK("https://klasma.github.io/Logging_2083/kartor/A 11742-2023 karta.png", "A 11742-2023")</f>
        <v/>
      </c>
      <c r="V79">
        <f>HYPERLINK("https://klasma.github.io/Logging_2083/klagomål/A 11742-2023 FSC-klagomål.docx", "A 11742-2023")</f>
        <v/>
      </c>
      <c r="W79">
        <f>HYPERLINK("https://klasma.github.io/Logging_2083/klagomålsmail/A 11742-2023 FSC-klagomål mail.docx", "A 11742-2023")</f>
        <v/>
      </c>
      <c r="X79">
        <f>HYPERLINK("https://klasma.github.io/Logging_2083/tillsyn/A 11742-2023 tillsynsbegäran.docx", "A 11742-2023")</f>
        <v/>
      </c>
      <c r="Y79">
        <f>HYPERLINK("https://klasma.github.io/Logging_2083/tillsynsmail/A 11742-2023 tillsynsbegäran mail.docx", "A 11742-2023")</f>
        <v/>
      </c>
    </row>
    <row r="80" ht="15" customHeight="1">
      <c r="A80" t="inlineStr">
        <is>
          <t>A 13986-2023</t>
        </is>
      </c>
      <c r="B80" s="1" t="n">
        <v>45008</v>
      </c>
      <c r="C80" s="1" t="n">
        <v>45665</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20231-2023</t>
        </is>
      </c>
      <c r="B81" s="1" t="n">
        <v>45055</v>
      </c>
      <c r="C81" s="1" t="n">
        <v>45665</v>
      </c>
      <c r="D81" t="inlineStr">
        <is>
          <t>DALARNAS LÄN</t>
        </is>
      </c>
      <c r="E81" t="inlineStr">
        <is>
          <t>HEDEMORA</t>
        </is>
      </c>
      <c r="F81" t="inlineStr">
        <is>
          <t>Bergvik skog väst AB</t>
        </is>
      </c>
      <c r="G81" t="n">
        <v>3.9</v>
      </c>
      <c r="H81" t="n">
        <v>1</v>
      </c>
      <c r="I81" t="n">
        <v>0</v>
      </c>
      <c r="J81" t="n">
        <v>1</v>
      </c>
      <c r="K81" t="n">
        <v>0</v>
      </c>
      <c r="L81" t="n">
        <v>0</v>
      </c>
      <c r="M81" t="n">
        <v>0</v>
      </c>
      <c r="N81" t="n">
        <v>0</v>
      </c>
      <c r="O81" t="n">
        <v>1</v>
      </c>
      <c r="P81" t="n">
        <v>0</v>
      </c>
      <c r="Q81" t="n">
        <v>1</v>
      </c>
      <c r="R81" s="2" t="inlineStr">
        <is>
          <t>Tretåig hackspett</t>
        </is>
      </c>
      <c r="S81">
        <f>HYPERLINK("https://klasma.github.io/Logging_2083/artfynd/A 20231-2023 artfynd.xlsx", "A 20231-2023")</f>
        <v/>
      </c>
      <c r="T81">
        <f>HYPERLINK("https://klasma.github.io/Logging_2083/kartor/A 20231-2023 karta.png", "A 20231-2023")</f>
        <v/>
      </c>
      <c r="V81">
        <f>HYPERLINK("https://klasma.github.io/Logging_2083/klagomål/A 20231-2023 FSC-klagomål.docx", "A 20231-2023")</f>
        <v/>
      </c>
      <c r="W81">
        <f>HYPERLINK("https://klasma.github.io/Logging_2083/klagomålsmail/A 20231-2023 FSC-klagomål mail.docx", "A 20231-2023")</f>
        <v/>
      </c>
      <c r="X81">
        <f>HYPERLINK("https://klasma.github.io/Logging_2083/tillsyn/A 20231-2023 tillsynsbegäran.docx", "A 20231-2023")</f>
        <v/>
      </c>
      <c r="Y81">
        <f>HYPERLINK("https://klasma.github.io/Logging_2083/tillsynsmail/A 20231-2023 tillsynsbegäran mail.docx", "A 20231-2023")</f>
        <v/>
      </c>
      <c r="Z81">
        <f>HYPERLINK("https://klasma.github.io/Logging_2083/fåglar/A 20231-2023 prioriterade fågelarter.docx", "A 20231-2023")</f>
        <v/>
      </c>
    </row>
    <row r="82" ht="15" customHeight="1">
      <c r="A82" t="inlineStr">
        <is>
          <t>A 21147-2023</t>
        </is>
      </c>
      <c r="B82" s="1" t="n">
        <v>45057</v>
      </c>
      <c r="C82" s="1" t="n">
        <v>45665</v>
      </c>
      <c r="D82" t="inlineStr">
        <is>
          <t>DALARNAS LÄN</t>
        </is>
      </c>
      <c r="E82" t="inlineStr">
        <is>
          <t>HEDEMORA</t>
        </is>
      </c>
      <c r="G82" t="n">
        <v>10</v>
      </c>
      <c r="H82" t="n">
        <v>1</v>
      </c>
      <c r="I82" t="n">
        <v>0</v>
      </c>
      <c r="J82" t="n">
        <v>0</v>
      </c>
      <c r="K82" t="n">
        <v>0</v>
      </c>
      <c r="L82" t="n">
        <v>0</v>
      </c>
      <c r="M82" t="n">
        <v>0</v>
      </c>
      <c r="N82" t="n">
        <v>0</v>
      </c>
      <c r="O82" t="n">
        <v>0</v>
      </c>
      <c r="P82" t="n">
        <v>0</v>
      </c>
      <c r="Q82" t="n">
        <v>1</v>
      </c>
      <c r="R82" s="2" t="inlineStr">
        <is>
          <t>Blåsippa</t>
        </is>
      </c>
      <c r="S82">
        <f>HYPERLINK("https://klasma.github.io/Logging_2083/artfynd/A 21147-2023 artfynd.xlsx", "A 21147-2023")</f>
        <v/>
      </c>
      <c r="T82">
        <f>HYPERLINK("https://klasma.github.io/Logging_2083/kartor/A 21147-2023 karta.png", "A 21147-2023")</f>
        <v/>
      </c>
      <c r="V82">
        <f>HYPERLINK("https://klasma.github.io/Logging_2083/klagomål/A 21147-2023 FSC-klagomål.docx", "A 21147-2023")</f>
        <v/>
      </c>
      <c r="W82">
        <f>HYPERLINK("https://klasma.github.io/Logging_2083/klagomålsmail/A 21147-2023 FSC-klagomål mail.docx", "A 21147-2023")</f>
        <v/>
      </c>
      <c r="X82">
        <f>HYPERLINK("https://klasma.github.io/Logging_2083/tillsyn/A 21147-2023 tillsynsbegäran.docx", "A 21147-2023")</f>
        <v/>
      </c>
      <c r="Y82">
        <f>HYPERLINK("https://klasma.github.io/Logging_2083/tillsynsmail/A 21147-2023 tillsynsbegäran mail.docx", "A 21147-2023")</f>
        <v/>
      </c>
    </row>
    <row r="83" ht="15" customHeight="1">
      <c r="A83" t="inlineStr">
        <is>
          <t>A 23815-2023</t>
        </is>
      </c>
      <c r="B83" s="1" t="n">
        <v>45078</v>
      </c>
      <c r="C83" s="1" t="n">
        <v>45665</v>
      </c>
      <c r="D83" t="inlineStr">
        <is>
          <t>DALARNAS LÄN</t>
        </is>
      </c>
      <c r="E83" t="inlineStr">
        <is>
          <t>HEDEMORA</t>
        </is>
      </c>
      <c r="G83" t="n">
        <v>3.1</v>
      </c>
      <c r="H83" t="n">
        <v>1</v>
      </c>
      <c r="I83" t="n">
        <v>0</v>
      </c>
      <c r="J83" t="n">
        <v>0</v>
      </c>
      <c r="K83" t="n">
        <v>1</v>
      </c>
      <c r="L83" t="n">
        <v>0</v>
      </c>
      <c r="M83" t="n">
        <v>0</v>
      </c>
      <c r="N83" t="n">
        <v>0</v>
      </c>
      <c r="O83" t="n">
        <v>1</v>
      </c>
      <c r="P83" t="n">
        <v>1</v>
      </c>
      <c r="Q83" t="n">
        <v>1</v>
      </c>
      <c r="R83" s="2" t="inlineStr">
        <is>
          <t>Knärot</t>
        </is>
      </c>
      <c r="S83">
        <f>HYPERLINK("https://klasma.github.io/Logging_2083/artfynd/A 23815-2023 artfynd.xlsx", "A 23815-2023")</f>
        <v/>
      </c>
      <c r="T83">
        <f>HYPERLINK("https://klasma.github.io/Logging_2083/kartor/A 23815-2023 karta.png", "A 23815-2023")</f>
        <v/>
      </c>
      <c r="U83">
        <f>HYPERLINK("https://klasma.github.io/Logging_2083/knärot/A 23815-2023 karta knärot.png", "A 23815-2023")</f>
        <v/>
      </c>
      <c r="V83">
        <f>HYPERLINK("https://klasma.github.io/Logging_2083/klagomål/A 23815-2023 FSC-klagomål.docx", "A 23815-2023")</f>
        <v/>
      </c>
      <c r="W83">
        <f>HYPERLINK("https://klasma.github.io/Logging_2083/klagomålsmail/A 23815-2023 FSC-klagomål mail.docx", "A 23815-2023")</f>
        <v/>
      </c>
      <c r="X83">
        <f>HYPERLINK("https://klasma.github.io/Logging_2083/tillsyn/A 23815-2023 tillsynsbegäran.docx", "A 23815-2023")</f>
        <v/>
      </c>
      <c r="Y83">
        <f>HYPERLINK("https://klasma.github.io/Logging_2083/tillsynsmail/A 23815-2023 tillsynsbegäran mail.docx", "A 23815-2023")</f>
        <v/>
      </c>
    </row>
    <row r="84" ht="15" customHeight="1">
      <c r="A84" t="inlineStr">
        <is>
          <t>A 28028-2023</t>
        </is>
      </c>
      <c r="B84" s="1" t="n">
        <v>45099</v>
      </c>
      <c r="C84" s="1" t="n">
        <v>45665</v>
      </c>
      <c r="D84" t="inlineStr">
        <is>
          <t>DALARNAS LÄN</t>
        </is>
      </c>
      <c r="E84" t="inlineStr">
        <is>
          <t>HEDEMORA</t>
        </is>
      </c>
      <c r="G84" t="n">
        <v>0.8</v>
      </c>
      <c r="H84" t="n">
        <v>1</v>
      </c>
      <c r="I84" t="n">
        <v>0</v>
      </c>
      <c r="J84" t="n">
        <v>0</v>
      </c>
      <c r="K84" t="n">
        <v>0</v>
      </c>
      <c r="L84" t="n">
        <v>0</v>
      </c>
      <c r="M84" t="n">
        <v>0</v>
      </c>
      <c r="N84" t="n">
        <v>0</v>
      </c>
      <c r="O84" t="n">
        <v>0</v>
      </c>
      <c r="P84" t="n">
        <v>0</v>
      </c>
      <c r="Q84" t="n">
        <v>1</v>
      </c>
      <c r="R84" s="2" t="inlineStr">
        <is>
          <t>Blåsippa</t>
        </is>
      </c>
      <c r="S84">
        <f>HYPERLINK("https://klasma.github.io/Logging_2083/artfynd/A 28028-2023 artfynd.xlsx", "A 28028-2023")</f>
        <v/>
      </c>
      <c r="T84">
        <f>HYPERLINK("https://klasma.github.io/Logging_2083/kartor/A 28028-2023 karta.png", "A 28028-2023")</f>
        <v/>
      </c>
      <c r="V84">
        <f>HYPERLINK("https://klasma.github.io/Logging_2083/klagomål/A 28028-2023 FSC-klagomål.docx", "A 28028-2023")</f>
        <v/>
      </c>
      <c r="W84">
        <f>HYPERLINK("https://klasma.github.io/Logging_2083/klagomålsmail/A 28028-2023 FSC-klagomål mail.docx", "A 28028-2023")</f>
        <v/>
      </c>
      <c r="X84">
        <f>HYPERLINK("https://klasma.github.io/Logging_2083/tillsyn/A 28028-2023 tillsynsbegäran.docx", "A 28028-2023")</f>
        <v/>
      </c>
      <c r="Y84">
        <f>HYPERLINK("https://klasma.github.io/Logging_2083/tillsynsmail/A 28028-2023 tillsynsbegäran mail.docx", "A 28028-2023")</f>
        <v/>
      </c>
    </row>
    <row r="85" ht="15" customHeight="1">
      <c r="A85" t="inlineStr">
        <is>
          <t>A 30014-2023</t>
        </is>
      </c>
      <c r="B85" s="1" t="n">
        <v>45109</v>
      </c>
      <c r="C85" s="1" t="n">
        <v>45665</v>
      </c>
      <c r="D85" t="inlineStr">
        <is>
          <t>DALARNAS LÄN</t>
        </is>
      </c>
      <c r="E85" t="inlineStr">
        <is>
          <t>HEDEMORA</t>
        </is>
      </c>
      <c r="F85" t="inlineStr">
        <is>
          <t>Sveaskog</t>
        </is>
      </c>
      <c r="G85" t="n">
        <v>1.6</v>
      </c>
      <c r="H85" t="n">
        <v>1</v>
      </c>
      <c r="I85" t="n">
        <v>1</v>
      </c>
      <c r="J85" t="n">
        <v>0</v>
      </c>
      <c r="K85" t="n">
        <v>0</v>
      </c>
      <c r="L85" t="n">
        <v>0</v>
      </c>
      <c r="M85" t="n">
        <v>0</v>
      </c>
      <c r="N85" t="n">
        <v>0</v>
      </c>
      <c r="O85" t="n">
        <v>0</v>
      </c>
      <c r="P85" t="n">
        <v>0</v>
      </c>
      <c r="Q85" t="n">
        <v>1</v>
      </c>
      <c r="R85" s="2" t="inlineStr">
        <is>
          <t>Plattlummer</t>
        </is>
      </c>
      <c r="S85">
        <f>HYPERLINK("https://klasma.github.io/Logging_2083/artfynd/A 30014-2023 artfynd.xlsx", "A 30014-2023")</f>
        <v/>
      </c>
      <c r="T85">
        <f>HYPERLINK("https://klasma.github.io/Logging_2083/kartor/A 30014-2023 karta.png", "A 30014-2023")</f>
        <v/>
      </c>
      <c r="V85">
        <f>HYPERLINK("https://klasma.github.io/Logging_2083/klagomål/A 30014-2023 FSC-klagomål.docx", "A 30014-2023")</f>
        <v/>
      </c>
      <c r="W85">
        <f>HYPERLINK("https://klasma.github.io/Logging_2083/klagomålsmail/A 30014-2023 FSC-klagomål mail.docx", "A 30014-2023")</f>
        <v/>
      </c>
      <c r="X85">
        <f>HYPERLINK("https://klasma.github.io/Logging_2083/tillsyn/A 30014-2023 tillsynsbegäran.docx", "A 30014-2023")</f>
        <v/>
      </c>
      <c r="Y85">
        <f>HYPERLINK("https://klasma.github.io/Logging_2083/tillsynsmail/A 30014-2023 tillsynsbegäran mail.docx", "A 30014-2023")</f>
        <v/>
      </c>
    </row>
    <row r="86" ht="15" customHeight="1">
      <c r="A86" t="inlineStr">
        <is>
          <t>A 30936-2023</t>
        </is>
      </c>
      <c r="B86" s="1" t="n">
        <v>45113</v>
      </c>
      <c r="C86" s="1" t="n">
        <v>45665</v>
      </c>
      <c r="D86" t="inlineStr">
        <is>
          <t>DALARNAS LÄN</t>
        </is>
      </c>
      <c r="E86" t="inlineStr">
        <is>
          <t>HEDEMORA</t>
        </is>
      </c>
      <c r="F86" t="inlineStr">
        <is>
          <t>Sveaskog</t>
        </is>
      </c>
      <c r="G86" t="n">
        <v>9.199999999999999</v>
      </c>
      <c r="H86" t="n">
        <v>0</v>
      </c>
      <c r="I86" t="n">
        <v>0</v>
      </c>
      <c r="J86" t="n">
        <v>1</v>
      </c>
      <c r="K86" t="n">
        <v>0</v>
      </c>
      <c r="L86" t="n">
        <v>0</v>
      </c>
      <c r="M86" t="n">
        <v>0</v>
      </c>
      <c r="N86" t="n">
        <v>0</v>
      </c>
      <c r="O86" t="n">
        <v>1</v>
      </c>
      <c r="P86" t="n">
        <v>0</v>
      </c>
      <c r="Q86" t="n">
        <v>1</v>
      </c>
      <c r="R86" s="2" t="inlineStr">
        <is>
          <t>Kolflarnlav</t>
        </is>
      </c>
      <c r="S86">
        <f>HYPERLINK("https://klasma.github.io/Logging_2083/artfynd/A 30936-2023 artfynd.xlsx", "A 30936-2023")</f>
        <v/>
      </c>
      <c r="T86">
        <f>HYPERLINK("https://klasma.github.io/Logging_2083/kartor/A 30936-2023 karta.png", "A 30936-2023")</f>
        <v/>
      </c>
      <c r="V86">
        <f>HYPERLINK("https://klasma.github.io/Logging_2083/klagomål/A 30936-2023 FSC-klagomål.docx", "A 30936-2023")</f>
        <v/>
      </c>
      <c r="W86">
        <f>HYPERLINK("https://klasma.github.io/Logging_2083/klagomålsmail/A 30936-2023 FSC-klagomål mail.docx", "A 30936-2023")</f>
        <v/>
      </c>
      <c r="X86">
        <f>HYPERLINK("https://klasma.github.io/Logging_2083/tillsyn/A 30936-2023 tillsynsbegäran.docx", "A 30936-2023")</f>
        <v/>
      </c>
      <c r="Y86">
        <f>HYPERLINK("https://klasma.github.io/Logging_2083/tillsynsmail/A 30936-2023 tillsynsbegäran mail.docx", "A 30936-2023")</f>
        <v/>
      </c>
    </row>
    <row r="87" ht="15" customHeight="1">
      <c r="A87" t="inlineStr">
        <is>
          <t>A 33023-2023</t>
        </is>
      </c>
      <c r="B87" s="1" t="n">
        <v>45125</v>
      </c>
      <c r="C87" s="1" t="n">
        <v>45665</v>
      </c>
      <c r="D87" t="inlineStr">
        <is>
          <t>DALARNAS LÄN</t>
        </is>
      </c>
      <c r="E87" t="inlineStr">
        <is>
          <t>HEDEMORA</t>
        </is>
      </c>
      <c r="F87" t="inlineStr">
        <is>
          <t>Sveaskog</t>
        </is>
      </c>
      <c r="G87" t="n">
        <v>3.9</v>
      </c>
      <c r="H87" t="n">
        <v>1</v>
      </c>
      <c r="I87" t="n">
        <v>0</v>
      </c>
      <c r="J87" t="n">
        <v>0</v>
      </c>
      <c r="K87" t="n">
        <v>0</v>
      </c>
      <c r="L87" t="n">
        <v>0</v>
      </c>
      <c r="M87" t="n">
        <v>0</v>
      </c>
      <c r="N87" t="n">
        <v>0</v>
      </c>
      <c r="O87" t="n">
        <v>0</v>
      </c>
      <c r="P87" t="n">
        <v>0</v>
      </c>
      <c r="Q87" t="n">
        <v>1</v>
      </c>
      <c r="R87" s="2" t="inlineStr">
        <is>
          <t>Revlummer</t>
        </is>
      </c>
      <c r="S87">
        <f>HYPERLINK("https://klasma.github.io/Logging_2083/artfynd/A 33023-2023 artfynd.xlsx", "A 33023-2023")</f>
        <v/>
      </c>
      <c r="T87">
        <f>HYPERLINK("https://klasma.github.io/Logging_2083/kartor/A 33023-2023 karta.png", "A 33023-2023")</f>
        <v/>
      </c>
      <c r="V87">
        <f>HYPERLINK("https://klasma.github.io/Logging_2083/klagomål/A 33023-2023 FSC-klagomål.docx", "A 33023-2023")</f>
        <v/>
      </c>
      <c r="W87">
        <f>HYPERLINK("https://klasma.github.io/Logging_2083/klagomålsmail/A 33023-2023 FSC-klagomål mail.docx", "A 33023-2023")</f>
        <v/>
      </c>
      <c r="X87">
        <f>HYPERLINK("https://klasma.github.io/Logging_2083/tillsyn/A 33023-2023 tillsynsbegäran.docx", "A 33023-2023")</f>
        <v/>
      </c>
      <c r="Y87">
        <f>HYPERLINK("https://klasma.github.io/Logging_2083/tillsynsmail/A 33023-2023 tillsynsbegäran mail.docx", "A 33023-2023")</f>
        <v/>
      </c>
    </row>
    <row r="88" ht="15" customHeight="1">
      <c r="A88" t="inlineStr">
        <is>
          <t>A 35321-2023</t>
        </is>
      </c>
      <c r="B88" s="1" t="n">
        <v>45146</v>
      </c>
      <c r="C88" s="1" t="n">
        <v>45665</v>
      </c>
      <c r="D88" t="inlineStr">
        <is>
          <t>DALARNAS LÄN</t>
        </is>
      </c>
      <c r="E88" t="inlineStr">
        <is>
          <t>HEDEMORA</t>
        </is>
      </c>
      <c r="G88" t="n">
        <v>3.5</v>
      </c>
      <c r="H88" t="n">
        <v>1</v>
      </c>
      <c r="I88" t="n">
        <v>0</v>
      </c>
      <c r="J88" t="n">
        <v>1</v>
      </c>
      <c r="K88" t="n">
        <v>0</v>
      </c>
      <c r="L88" t="n">
        <v>0</v>
      </c>
      <c r="M88" t="n">
        <v>0</v>
      </c>
      <c r="N88" t="n">
        <v>0</v>
      </c>
      <c r="O88" t="n">
        <v>1</v>
      </c>
      <c r="P88" t="n">
        <v>0</v>
      </c>
      <c r="Q88" t="n">
        <v>1</v>
      </c>
      <c r="R88" s="2" t="inlineStr">
        <is>
          <t>Havsörn</t>
        </is>
      </c>
      <c r="S88">
        <f>HYPERLINK("https://klasma.github.io/Logging_2083/artfynd/A 35321-2023 artfynd.xlsx", "A 35321-2023")</f>
        <v/>
      </c>
      <c r="T88">
        <f>HYPERLINK("https://klasma.github.io/Logging_2083/kartor/A 35321-2023 karta.png", "A 35321-2023")</f>
        <v/>
      </c>
      <c r="V88">
        <f>HYPERLINK("https://klasma.github.io/Logging_2083/klagomål/A 35321-2023 FSC-klagomål.docx", "A 35321-2023")</f>
        <v/>
      </c>
      <c r="W88">
        <f>HYPERLINK("https://klasma.github.io/Logging_2083/klagomålsmail/A 35321-2023 FSC-klagomål mail.docx", "A 35321-2023")</f>
        <v/>
      </c>
      <c r="X88">
        <f>HYPERLINK("https://klasma.github.io/Logging_2083/tillsyn/A 35321-2023 tillsynsbegäran.docx", "A 35321-2023")</f>
        <v/>
      </c>
      <c r="Y88">
        <f>HYPERLINK("https://klasma.github.io/Logging_2083/tillsynsmail/A 35321-2023 tillsynsbegäran mail.docx", "A 35321-2023")</f>
        <v/>
      </c>
      <c r="Z88">
        <f>HYPERLINK("https://klasma.github.io/Logging_2083/fåglar/A 35321-2023 prioriterade fågelarter.docx", "A 35321-2023")</f>
        <v/>
      </c>
    </row>
    <row r="89" ht="15" customHeight="1">
      <c r="A89" t="inlineStr">
        <is>
          <t>A 36849-2023</t>
        </is>
      </c>
      <c r="B89" s="1" t="n">
        <v>45154</v>
      </c>
      <c r="C89" s="1" t="n">
        <v>45665</v>
      </c>
      <c r="D89" t="inlineStr">
        <is>
          <t>DALARNAS LÄN</t>
        </is>
      </c>
      <c r="E89" t="inlineStr">
        <is>
          <t>HEDEMORA</t>
        </is>
      </c>
      <c r="G89" t="n">
        <v>5.8</v>
      </c>
      <c r="H89" t="n">
        <v>1</v>
      </c>
      <c r="I89" t="n">
        <v>0</v>
      </c>
      <c r="J89" t="n">
        <v>0</v>
      </c>
      <c r="K89" t="n">
        <v>1</v>
      </c>
      <c r="L89" t="n">
        <v>0</v>
      </c>
      <c r="M89" t="n">
        <v>0</v>
      </c>
      <c r="N89" t="n">
        <v>0</v>
      </c>
      <c r="O89" t="n">
        <v>1</v>
      </c>
      <c r="P89" t="n">
        <v>1</v>
      </c>
      <c r="Q89" t="n">
        <v>1</v>
      </c>
      <c r="R89" s="2" t="inlineStr">
        <is>
          <t>Knärot</t>
        </is>
      </c>
      <c r="S89">
        <f>HYPERLINK("https://klasma.github.io/Logging_2083/artfynd/A 36849-2023 artfynd.xlsx", "A 36849-2023")</f>
        <v/>
      </c>
      <c r="T89">
        <f>HYPERLINK("https://klasma.github.io/Logging_2083/kartor/A 36849-2023 karta.png", "A 36849-2023")</f>
        <v/>
      </c>
      <c r="U89">
        <f>HYPERLINK("https://klasma.github.io/Logging_2083/knärot/A 36849-2023 karta knärot.png", "A 36849-2023")</f>
        <v/>
      </c>
      <c r="V89">
        <f>HYPERLINK("https://klasma.github.io/Logging_2083/klagomål/A 36849-2023 FSC-klagomål.docx", "A 36849-2023")</f>
        <v/>
      </c>
      <c r="W89">
        <f>HYPERLINK("https://klasma.github.io/Logging_2083/klagomålsmail/A 36849-2023 FSC-klagomål mail.docx", "A 36849-2023")</f>
        <v/>
      </c>
      <c r="X89">
        <f>HYPERLINK("https://klasma.github.io/Logging_2083/tillsyn/A 36849-2023 tillsynsbegäran.docx", "A 36849-2023")</f>
        <v/>
      </c>
      <c r="Y89">
        <f>HYPERLINK("https://klasma.github.io/Logging_2083/tillsynsmail/A 36849-2023 tillsynsbegäran mail.docx", "A 36849-2023")</f>
        <v/>
      </c>
    </row>
    <row r="90" ht="15" customHeight="1">
      <c r="A90" t="inlineStr">
        <is>
          <t>A 37654-2023</t>
        </is>
      </c>
      <c r="B90" s="1" t="n">
        <v>45159</v>
      </c>
      <c r="C90" s="1" t="n">
        <v>45665</v>
      </c>
      <c r="D90" t="inlineStr">
        <is>
          <t>DALARNAS LÄN</t>
        </is>
      </c>
      <c r="E90" t="inlineStr">
        <is>
          <t>HEDEMORA</t>
        </is>
      </c>
      <c r="G90" t="n">
        <v>6.2</v>
      </c>
      <c r="H90" t="n">
        <v>1</v>
      </c>
      <c r="I90" t="n">
        <v>0</v>
      </c>
      <c r="J90" t="n">
        <v>0</v>
      </c>
      <c r="K90" t="n">
        <v>1</v>
      </c>
      <c r="L90" t="n">
        <v>0</v>
      </c>
      <c r="M90" t="n">
        <v>0</v>
      </c>
      <c r="N90" t="n">
        <v>0</v>
      </c>
      <c r="O90" t="n">
        <v>1</v>
      </c>
      <c r="P90" t="n">
        <v>1</v>
      </c>
      <c r="Q90" t="n">
        <v>1</v>
      </c>
      <c r="R90" s="2" t="inlineStr">
        <is>
          <t>Knärot</t>
        </is>
      </c>
      <c r="S90">
        <f>HYPERLINK("https://klasma.github.io/Logging_2083/artfynd/A 37654-2023 artfynd.xlsx", "A 37654-2023")</f>
        <v/>
      </c>
      <c r="T90">
        <f>HYPERLINK("https://klasma.github.io/Logging_2083/kartor/A 37654-2023 karta.png", "A 37654-2023")</f>
        <v/>
      </c>
      <c r="U90">
        <f>HYPERLINK("https://klasma.github.io/Logging_2083/knärot/A 37654-2023 karta knärot.png", "A 37654-2023")</f>
        <v/>
      </c>
      <c r="V90">
        <f>HYPERLINK("https://klasma.github.io/Logging_2083/klagomål/A 37654-2023 FSC-klagomål.docx", "A 37654-2023")</f>
        <v/>
      </c>
      <c r="W90">
        <f>HYPERLINK("https://klasma.github.io/Logging_2083/klagomålsmail/A 37654-2023 FSC-klagomål mail.docx", "A 37654-2023")</f>
        <v/>
      </c>
      <c r="X90">
        <f>HYPERLINK("https://klasma.github.io/Logging_2083/tillsyn/A 37654-2023 tillsynsbegäran.docx", "A 37654-2023")</f>
        <v/>
      </c>
      <c r="Y90">
        <f>HYPERLINK("https://klasma.github.io/Logging_2083/tillsynsmail/A 37654-2023 tillsynsbegäran mail.docx", "A 37654-2023")</f>
        <v/>
      </c>
    </row>
    <row r="91" ht="15" customHeight="1">
      <c r="A91" t="inlineStr">
        <is>
          <t>A 41477-2023</t>
        </is>
      </c>
      <c r="B91" s="1" t="n">
        <v>45171</v>
      </c>
      <c r="C91" s="1" t="n">
        <v>45665</v>
      </c>
      <c r="D91" t="inlineStr">
        <is>
          <t>DALARNAS LÄN</t>
        </is>
      </c>
      <c r="E91" t="inlineStr">
        <is>
          <t>HEDEMORA</t>
        </is>
      </c>
      <c r="F91" t="inlineStr">
        <is>
          <t>Bergvik skog väst AB</t>
        </is>
      </c>
      <c r="G91" t="n">
        <v>9.1</v>
      </c>
      <c r="H91" t="n">
        <v>0</v>
      </c>
      <c r="I91" t="n">
        <v>1</v>
      </c>
      <c r="J91" t="n">
        <v>0</v>
      </c>
      <c r="K91" t="n">
        <v>0</v>
      </c>
      <c r="L91" t="n">
        <v>0</v>
      </c>
      <c r="M91" t="n">
        <v>0</v>
      </c>
      <c r="N91" t="n">
        <v>0</v>
      </c>
      <c r="O91" t="n">
        <v>0</v>
      </c>
      <c r="P91" t="n">
        <v>0</v>
      </c>
      <c r="Q91" t="n">
        <v>1</v>
      </c>
      <c r="R91" s="2" t="inlineStr">
        <is>
          <t>Ögonpyrola</t>
        </is>
      </c>
      <c r="S91">
        <f>HYPERLINK("https://klasma.github.io/Logging_2083/artfynd/A 41477-2023 artfynd.xlsx", "A 41477-2023")</f>
        <v/>
      </c>
      <c r="T91">
        <f>HYPERLINK("https://klasma.github.io/Logging_2083/kartor/A 41477-2023 karta.png", "A 41477-2023")</f>
        <v/>
      </c>
      <c r="V91">
        <f>HYPERLINK("https://klasma.github.io/Logging_2083/klagomål/A 41477-2023 FSC-klagomål.docx", "A 41477-2023")</f>
        <v/>
      </c>
      <c r="W91">
        <f>HYPERLINK("https://klasma.github.io/Logging_2083/klagomålsmail/A 41477-2023 FSC-klagomål mail.docx", "A 41477-2023")</f>
        <v/>
      </c>
      <c r="X91">
        <f>HYPERLINK("https://klasma.github.io/Logging_2083/tillsyn/A 41477-2023 tillsynsbegäran.docx", "A 41477-2023")</f>
        <v/>
      </c>
      <c r="Y91">
        <f>HYPERLINK("https://klasma.github.io/Logging_2083/tillsynsmail/A 41477-2023 tillsynsbegäran mail.docx", "A 41477-2023")</f>
        <v/>
      </c>
    </row>
    <row r="92" ht="15" customHeight="1">
      <c r="A92" t="inlineStr">
        <is>
          <t>A 41078-2023</t>
        </is>
      </c>
      <c r="B92" s="1" t="n">
        <v>45173</v>
      </c>
      <c r="C92" s="1" t="n">
        <v>45665</v>
      </c>
      <c r="D92" t="inlineStr">
        <is>
          <t>DALARNAS LÄN</t>
        </is>
      </c>
      <c r="E92" t="inlineStr">
        <is>
          <t>HEDEMORA</t>
        </is>
      </c>
      <c r="G92" t="n">
        <v>10.3</v>
      </c>
      <c r="H92" t="n">
        <v>0</v>
      </c>
      <c r="I92" t="n">
        <v>1</v>
      </c>
      <c r="J92" t="n">
        <v>0</v>
      </c>
      <c r="K92" t="n">
        <v>0</v>
      </c>
      <c r="L92" t="n">
        <v>0</v>
      </c>
      <c r="M92" t="n">
        <v>0</v>
      </c>
      <c r="N92" t="n">
        <v>0</v>
      </c>
      <c r="O92" t="n">
        <v>0</v>
      </c>
      <c r="P92" t="n">
        <v>0</v>
      </c>
      <c r="Q92" t="n">
        <v>1</v>
      </c>
      <c r="R92" s="2" t="inlineStr">
        <is>
          <t>Bronshjon</t>
        </is>
      </c>
      <c r="S92">
        <f>HYPERLINK("https://klasma.github.io/Logging_2083/artfynd/A 41078-2023 artfynd.xlsx", "A 41078-2023")</f>
        <v/>
      </c>
      <c r="T92">
        <f>HYPERLINK("https://klasma.github.io/Logging_2083/kartor/A 41078-2023 karta.png", "A 41078-2023")</f>
        <v/>
      </c>
      <c r="V92">
        <f>HYPERLINK("https://klasma.github.io/Logging_2083/klagomål/A 41078-2023 FSC-klagomål.docx", "A 41078-2023")</f>
        <v/>
      </c>
      <c r="W92">
        <f>HYPERLINK("https://klasma.github.io/Logging_2083/klagomålsmail/A 41078-2023 FSC-klagomål mail.docx", "A 41078-2023")</f>
        <v/>
      </c>
      <c r="X92">
        <f>HYPERLINK("https://klasma.github.io/Logging_2083/tillsyn/A 41078-2023 tillsynsbegäran.docx", "A 41078-2023")</f>
        <v/>
      </c>
      <c r="Y92">
        <f>HYPERLINK("https://klasma.github.io/Logging_2083/tillsynsmail/A 41078-2023 tillsynsbegäran mail.docx", "A 41078-2023")</f>
        <v/>
      </c>
    </row>
    <row r="93" ht="15" customHeight="1">
      <c r="A93" t="inlineStr">
        <is>
          <t>A 53031-2023</t>
        </is>
      </c>
      <c r="B93" s="1" t="n">
        <v>45226</v>
      </c>
      <c r="C93" s="1" t="n">
        <v>45665</v>
      </c>
      <c r="D93" t="inlineStr">
        <is>
          <t>DALARNAS LÄN</t>
        </is>
      </c>
      <c r="E93" t="inlineStr">
        <is>
          <t>HEDEMORA</t>
        </is>
      </c>
      <c r="F93" t="inlineStr">
        <is>
          <t>Sveaskog</t>
        </is>
      </c>
      <c r="G93" t="n">
        <v>6.9</v>
      </c>
      <c r="H93" t="n">
        <v>1</v>
      </c>
      <c r="I93" t="n">
        <v>0</v>
      </c>
      <c r="J93" t="n">
        <v>1</v>
      </c>
      <c r="K93" t="n">
        <v>0</v>
      </c>
      <c r="L93" t="n">
        <v>0</v>
      </c>
      <c r="M93" t="n">
        <v>0</v>
      </c>
      <c r="N93" t="n">
        <v>0</v>
      </c>
      <c r="O93" t="n">
        <v>1</v>
      </c>
      <c r="P93" t="n">
        <v>0</v>
      </c>
      <c r="Q93" t="n">
        <v>1</v>
      </c>
      <c r="R93" s="2" t="inlineStr">
        <is>
          <t>Talltita</t>
        </is>
      </c>
      <c r="S93">
        <f>HYPERLINK("https://klasma.github.io/Logging_2083/artfynd/A 53031-2023 artfynd.xlsx", "A 53031-2023")</f>
        <v/>
      </c>
      <c r="T93">
        <f>HYPERLINK("https://klasma.github.io/Logging_2083/kartor/A 53031-2023 karta.png", "A 53031-2023")</f>
        <v/>
      </c>
      <c r="V93">
        <f>HYPERLINK("https://klasma.github.io/Logging_2083/klagomål/A 53031-2023 FSC-klagomål.docx", "A 53031-2023")</f>
        <v/>
      </c>
      <c r="W93">
        <f>HYPERLINK("https://klasma.github.io/Logging_2083/klagomålsmail/A 53031-2023 FSC-klagomål mail.docx", "A 53031-2023")</f>
        <v/>
      </c>
      <c r="X93">
        <f>HYPERLINK("https://klasma.github.io/Logging_2083/tillsyn/A 53031-2023 tillsynsbegäran.docx", "A 53031-2023")</f>
        <v/>
      </c>
      <c r="Y93">
        <f>HYPERLINK("https://klasma.github.io/Logging_2083/tillsynsmail/A 53031-2023 tillsynsbegäran mail.docx", "A 53031-2023")</f>
        <v/>
      </c>
      <c r="Z93">
        <f>HYPERLINK("https://klasma.github.io/Logging_2083/fåglar/A 53031-2023 prioriterade fågelarter.docx", "A 53031-2023")</f>
        <v/>
      </c>
    </row>
    <row r="94" ht="15" customHeight="1">
      <c r="A94" t="inlineStr">
        <is>
          <t>A 59376-2023</t>
        </is>
      </c>
      <c r="B94" s="1" t="n">
        <v>45253</v>
      </c>
      <c r="C94" s="1" t="n">
        <v>45665</v>
      </c>
      <c r="D94" t="inlineStr">
        <is>
          <t>DALARNAS LÄN</t>
        </is>
      </c>
      <c r="E94" t="inlineStr">
        <is>
          <t>HEDEMORA</t>
        </is>
      </c>
      <c r="F94" t="inlineStr">
        <is>
          <t>Sveaskog</t>
        </is>
      </c>
      <c r="G94" t="n">
        <v>2.4</v>
      </c>
      <c r="H94" t="n">
        <v>1</v>
      </c>
      <c r="I94" t="n">
        <v>0</v>
      </c>
      <c r="J94" t="n">
        <v>1</v>
      </c>
      <c r="K94" t="n">
        <v>0</v>
      </c>
      <c r="L94" t="n">
        <v>0</v>
      </c>
      <c r="M94" t="n">
        <v>0</v>
      </c>
      <c r="N94" t="n">
        <v>0</v>
      </c>
      <c r="O94" t="n">
        <v>1</v>
      </c>
      <c r="P94" t="n">
        <v>0</v>
      </c>
      <c r="Q94" t="n">
        <v>1</v>
      </c>
      <c r="R94" s="2" t="inlineStr">
        <is>
          <t>Spillkråka</t>
        </is>
      </c>
      <c r="S94">
        <f>HYPERLINK("https://klasma.github.io/Logging_2083/artfynd/A 59376-2023 artfynd.xlsx", "A 59376-2023")</f>
        <v/>
      </c>
      <c r="T94">
        <f>HYPERLINK("https://klasma.github.io/Logging_2083/kartor/A 59376-2023 karta.png", "A 59376-2023")</f>
        <v/>
      </c>
      <c r="V94">
        <f>HYPERLINK("https://klasma.github.io/Logging_2083/klagomål/A 59376-2023 FSC-klagomål.docx", "A 59376-2023")</f>
        <v/>
      </c>
      <c r="W94">
        <f>HYPERLINK("https://klasma.github.io/Logging_2083/klagomålsmail/A 59376-2023 FSC-klagomål mail.docx", "A 59376-2023")</f>
        <v/>
      </c>
      <c r="X94">
        <f>HYPERLINK("https://klasma.github.io/Logging_2083/tillsyn/A 59376-2023 tillsynsbegäran.docx", "A 59376-2023")</f>
        <v/>
      </c>
      <c r="Y94">
        <f>HYPERLINK("https://klasma.github.io/Logging_2083/tillsynsmail/A 59376-2023 tillsynsbegäran mail.docx", "A 59376-2023")</f>
        <v/>
      </c>
      <c r="Z94">
        <f>HYPERLINK("https://klasma.github.io/Logging_2083/fåglar/A 59376-2023 prioriterade fågelarter.docx", "A 59376-2023")</f>
        <v/>
      </c>
    </row>
    <row r="95" ht="15" customHeight="1">
      <c r="A95" t="inlineStr">
        <is>
          <t>A 59377-2023</t>
        </is>
      </c>
      <c r="B95" s="1" t="n">
        <v>45253</v>
      </c>
      <c r="C95" s="1" t="n">
        <v>45665</v>
      </c>
      <c r="D95" t="inlineStr">
        <is>
          <t>DALARNAS LÄN</t>
        </is>
      </c>
      <c r="E95" t="inlineStr">
        <is>
          <t>HEDEMORA</t>
        </is>
      </c>
      <c r="F95" t="inlineStr">
        <is>
          <t>Sveaskog</t>
        </is>
      </c>
      <c r="G95" t="n">
        <v>4.6</v>
      </c>
      <c r="H95" t="n">
        <v>0</v>
      </c>
      <c r="I95" t="n">
        <v>0</v>
      </c>
      <c r="J95" t="n">
        <v>1</v>
      </c>
      <c r="K95" t="n">
        <v>0</v>
      </c>
      <c r="L95" t="n">
        <v>0</v>
      </c>
      <c r="M95" t="n">
        <v>0</v>
      </c>
      <c r="N95" t="n">
        <v>0</v>
      </c>
      <c r="O95" t="n">
        <v>1</v>
      </c>
      <c r="P95" t="n">
        <v>0</v>
      </c>
      <c r="Q95" t="n">
        <v>1</v>
      </c>
      <c r="R95" s="2" t="inlineStr">
        <is>
          <t>Ullticka</t>
        </is>
      </c>
      <c r="S95">
        <f>HYPERLINK("https://klasma.github.io/Logging_2083/artfynd/A 59377-2023 artfynd.xlsx", "A 59377-2023")</f>
        <v/>
      </c>
      <c r="T95">
        <f>HYPERLINK("https://klasma.github.io/Logging_2083/kartor/A 59377-2023 karta.png", "A 59377-2023")</f>
        <v/>
      </c>
      <c r="V95">
        <f>HYPERLINK("https://klasma.github.io/Logging_2083/klagomål/A 59377-2023 FSC-klagomål.docx", "A 59377-2023")</f>
        <v/>
      </c>
      <c r="W95">
        <f>HYPERLINK("https://klasma.github.io/Logging_2083/klagomålsmail/A 59377-2023 FSC-klagomål mail.docx", "A 59377-2023")</f>
        <v/>
      </c>
      <c r="X95">
        <f>HYPERLINK("https://klasma.github.io/Logging_2083/tillsyn/A 59377-2023 tillsynsbegäran.docx", "A 59377-2023")</f>
        <v/>
      </c>
      <c r="Y95">
        <f>HYPERLINK("https://klasma.github.io/Logging_2083/tillsynsmail/A 59377-2023 tillsynsbegäran mail.docx", "A 59377-2023")</f>
        <v/>
      </c>
    </row>
    <row r="96" ht="15" customHeight="1">
      <c r="A96" t="inlineStr">
        <is>
          <t>A 59751-2023</t>
        </is>
      </c>
      <c r="B96" s="1" t="n">
        <v>45257</v>
      </c>
      <c r="C96" s="1" t="n">
        <v>45665</v>
      </c>
      <c r="D96" t="inlineStr">
        <is>
          <t>DALARNAS LÄN</t>
        </is>
      </c>
      <c r="E96" t="inlineStr">
        <is>
          <t>HEDEMORA</t>
        </is>
      </c>
      <c r="F96" t="inlineStr">
        <is>
          <t>Sveaskog</t>
        </is>
      </c>
      <c r="G96" t="n">
        <v>0.7</v>
      </c>
      <c r="H96" t="n">
        <v>0</v>
      </c>
      <c r="I96" t="n">
        <v>1</v>
      </c>
      <c r="J96" t="n">
        <v>0</v>
      </c>
      <c r="K96" t="n">
        <v>0</v>
      </c>
      <c r="L96" t="n">
        <v>0</v>
      </c>
      <c r="M96" t="n">
        <v>0</v>
      </c>
      <c r="N96" t="n">
        <v>0</v>
      </c>
      <c r="O96" t="n">
        <v>0</v>
      </c>
      <c r="P96" t="n">
        <v>0</v>
      </c>
      <c r="Q96" t="n">
        <v>1</v>
      </c>
      <c r="R96" s="2" t="inlineStr">
        <is>
          <t>Svavelriska</t>
        </is>
      </c>
      <c r="S96">
        <f>HYPERLINK("https://klasma.github.io/Logging_2083/artfynd/A 59751-2023 artfynd.xlsx", "A 59751-2023")</f>
        <v/>
      </c>
      <c r="T96">
        <f>HYPERLINK("https://klasma.github.io/Logging_2083/kartor/A 59751-2023 karta.png", "A 59751-2023")</f>
        <v/>
      </c>
      <c r="V96">
        <f>HYPERLINK("https://klasma.github.io/Logging_2083/klagomål/A 59751-2023 FSC-klagomål.docx", "A 59751-2023")</f>
        <v/>
      </c>
      <c r="W96">
        <f>HYPERLINK("https://klasma.github.io/Logging_2083/klagomålsmail/A 59751-2023 FSC-klagomål mail.docx", "A 59751-2023")</f>
        <v/>
      </c>
      <c r="X96">
        <f>HYPERLINK("https://klasma.github.io/Logging_2083/tillsyn/A 59751-2023 tillsynsbegäran.docx", "A 59751-2023")</f>
        <v/>
      </c>
      <c r="Y96">
        <f>HYPERLINK("https://klasma.github.io/Logging_2083/tillsynsmail/A 59751-2023 tillsynsbegäran mail.docx", "A 59751-2023")</f>
        <v/>
      </c>
    </row>
    <row r="97" ht="15" customHeight="1">
      <c r="A97" t="inlineStr">
        <is>
          <t>A 63542-2023</t>
        </is>
      </c>
      <c r="B97" s="1" t="n">
        <v>45275</v>
      </c>
      <c r="C97" s="1" t="n">
        <v>45665</v>
      </c>
      <c r="D97" t="inlineStr">
        <is>
          <t>DALARNAS LÄN</t>
        </is>
      </c>
      <c r="E97" t="inlineStr">
        <is>
          <t>HEDEMORA</t>
        </is>
      </c>
      <c r="G97" t="n">
        <v>2.1</v>
      </c>
      <c r="H97" t="n">
        <v>1</v>
      </c>
      <c r="I97" t="n">
        <v>0</v>
      </c>
      <c r="J97" t="n">
        <v>1</v>
      </c>
      <c r="K97" t="n">
        <v>0</v>
      </c>
      <c r="L97" t="n">
        <v>0</v>
      </c>
      <c r="M97" t="n">
        <v>0</v>
      </c>
      <c r="N97" t="n">
        <v>0</v>
      </c>
      <c r="O97" t="n">
        <v>1</v>
      </c>
      <c r="P97" t="n">
        <v>0</v>
      </c>
      <c r="Q97" t="n">
        <v>1</v>
      </c>
      <c r="R97" s="2" t="inlineStr">
        <is>
          <t>Spillkråka</t>
        </is>
      </c>
      <c r="S97">
        <f>HYPERLINK("https://klasma.github.io/Logging_2083/artfynd/A 63542-2023 artfynd.xlsx", "A 63542-2023")</f>
        <v/>
      </c>
      <c r="T97">
        <f>HYPERLINK("https://klasma.github.io/Logging_2083/kartor/A 63542-2023 karta.png", "A 63542-2023")</f>
        <v/>
      </c>
      <c r="V97">
        <f>HYPERLINK("https://klasma.github.io/Logging_2083/klagomål/A 63542-2023 FSC-klagomål.docx", "A 63542-2023")</f>
        <v/>
      </c>
      <c r="W97">
        <f>HYPERLINK("https://klasma.github.io/Logging_2083/klagomålsmail/A 63542-2023 FSC-klagomål mail.docx", "A 63542-2023")</f>
        <v/>
      </c>
      <c r="X97">
        <f>HYPERLINK("https://klasma.github.io/Logging_2083/tillsyn/A 63542-2023 tillsynsbegäran.docx", "A 63542-2023")</f>
        <v/>
      </c>
      <c r="Y97">
        <f>HYPERLINK("https://klasma.github.io/Logging_2083/tillsynsmail/A 63542-2023 tillsynsbegäran mail.docx", "A 63542-2023")</f>
        <v/>
      </c>
      <c r="Z97">
        <f>HYPERLINK("https://klasma.github.io/Logging_2083/fåglar/A 63542-2023 prioriterade fågelarter.docx", "A 63542-2023")</f>
        <v/>
      </c>
    </row>
    <row r="98" ht="15" customHeight="1">
      <c r="A98" t="inlineStr">
        <is>
          <t>A 21535-2024</t>
        </is>
      </c>
      <c r="B98" s="1" t="n">
        <v>45441</v>
      </c>
      <c r="C98" s="1" t="n">
        <v>45665</v>
      </c>
      <c r="D98" t="inlineStr">
        <is>
          <t>DALARNAS LÄN</t>
        </is>
      </c>
      <c r="E98" t="inlineStr">
        <is>
          <t>HEDEMORA</t>
        </is>
      </c>
      <c r="F98" t="inlineStr">
        <is>
          <t>Sveaskog</t>
        </is>
      </c>
      <c r="G98" t="n">
        <v>3.4</v>
      </c>
      <c r="H98" t="n">
        <v>1</v>
      </c>
      <c r="I98" t="n">
        <v>0</v>
      </c>
      <c r="J98" t="n">
        <v>0</v>
      </c>
      <c r="K98" t="n">
        <v>1</v>
      </c>
      <c r="L98" t="n">
        <v>0</v>
      </c>
      <c r="M98" t="n">
        <v>0</v>
      </c>
      <c r="N98" t="n">
        <v>0</v>
      </c>
      <c r="O98" t="n">
        <v>1</v>
      </c>
      <c r="P98" t="n">
        <v>1</v>
      </c>
      <c r="Q98" t="n">
        <v>1</v>
      </c>
      <c r="R98" s="2" t="inlineStr">
        <is>
          <t>Knärot</t>
        </is>
      </c>
      <c r="S98">
        <f>HYPERLINK("https://klasma.github.io/Logging_2083/artfynd/A 21535-2024 artfynd.xlsx", "A 21535-2024")</f>
        <v/>
      </c>
      <c r="T98">
        <f>HYPERLINK("https://klasma.github.io/Logging_2083/kartor/A 21535-2024 karta.png", "A 21535-2024")</f>
        <v/>
      </c>
      <c r="U98">
        <f>HYPERLINK("https://klasma.github.io/Logging_2083/knärot/A 21535-2024 karta knärot.png", "A 21535-2024")</f>
        <v/>
      </c>
      <c r="V98">
        <f>HYPERLINK("https://klasma.github.io/Logging_2083/klagomål/A 21535-2024 FSC-klagomål.docx", "A 21535-2024")</f>
        <v/>
      </c>
      <c r="W98">
        <f>HYPERLINK("https://klasma.github.io/Logging_2083/klagomålsmail/A 21535-2024 FSC-klagomål mail.docx", "A 21535-2024")</f>
        <v/>
      </c>
      <c r="X98">
        <f>HYPERLINK("https://klasma.github.io/Logging_2083/tillsyn/A 21535-2024 tillsynsbegäran.docx", "A 21535-2024")</f>
        <v/>
      </c>
      <c r="Y98">
        <f>HYPERLINK("https://klasma.github.io/Logging_2083/tillsynsmail/A 21535-2024 tillsynsbegäran mail.docx", "A 21535-2024")</f>
        <v/>
      </c>
    </row>
    <row r="99" ht="15" customHeight="1">
      <c r="A99" t="inlineStr">
        <is>
          <t>A 42614-2024</t>
        </is>
      </c>
      <c r="B99" s="1" t="n">
        <v>45565</v>
      </c>
      <c r="C99" s="1" t="n">
        <v>45665</v>
      </c>
      <c r="D99" t="inlineStr">
        <is>
          <t>DALARNAS LÄN</t>
        </is>
      </c>
      <c r="E99" t="inlineStr">
        <is>
          <t>HEDEMORA</t>
        </is>
      </c>
      <c r="F99" t="inlineStr">
        <is>
          <t>Sveaskog</t>
        </is>
      </c>
      <c r="G99" t="n">
        <v>3</v>
      </c>
      <c r="H99" t="n">
        <v>1</v>
      </c>
      <c r="I99" t="n">
        <v>0</v>
      </c>
      <c r="J99" t="n">
        <v>1</v>
      </c>
      <c r="K99" t="n">
        <v>0</v>
      </c>
      <c r="L99" t="n">
        <v>0</v>
      </c>
      <c r="M99" t="n">
        <v>0</v>
      </c>
      <c r="N99" t="n">
        <v>0</v>
      </c>
      <c r="O99" t="n">
        <v>1</v>
      </c>
      <c r="P99" t="n">
        <v>0</v>
      </c>
      <c r="Q99" t="n">
        <v>1</v>
      </c>
      <c r="R99" s="2" t="inlineStr">
        <is>
          <t>Talltita</t>
        </is>
      </c>
      <c r="S99">
        <f>HYPERLINK("https://klasma.github.io/Logging_2083/artfynd/A 42614-2024 artfynd.xlsx", "A 42614-2024")</f>
        <v/>
      </c>
      <c r="T99">
        <f>HYPERLINK("https://klasma.github.io/Logging_2083/kartor/A 42614-2024 karta.png", "A 42614-2024")</f>
        <v/>
      </c>
      <c r="V99">
        <f>HYPERLINK("https://klasma.github.io/Logging_2083/klagomål/A 42614-2024 FSC-klagomål.docx", "A 42614-2024")</f>
        <v/>
      </c>
      <c r="W99">
        <f>HYPERLINK("https://klasma.github.io/Logging_2083/klagomålsmail/A 42614-2024 FSC-klagomål mail.docx", "A 42614-2024")</f>
        <v/>
      </c>
      <c r="X99">
        <f>HYPERLINK("https://klasma.github.io/Logging_2083/tillsyn/A 42614-2024 tillsynsbegäran.docx", "A 42614-2024")</f>
        <v/>
      </c>
      <c r="Y99">
        <f>HYPERLINK("https://klasma.github.io/Logging_2083/tillsynsmail/A 42614-2024 tillsynsbegäran mail.docx", "A 42614-2024")</f>
        <v/>
      </c>
      <c r="Z99">
        <f>HYPERLINK("https://klasma.github.io/Logging_2083/fåglar/A 42614-2024 prioriterade fågelarter.docx", "A 42614-2024")</f>
        <v/>
      </c>
    </row>
    <row r="100" ht="15" customHeight="1">
      <c r="A100" t="inlineStr">
        <is>
          <t>A 48323-2024</t>
        </is>
      </c>
      <c r="B100" s="1" t="n">
        <v>45590</v>
      </c>
      <c r="C100" s="1" t="n">
        <v>45665</v>
      </c>
      <c r="D100" t="inlineStr">
        <is>
          <t>DALARNAS LÄN</t>
        </is>
      </c>
      <c r="E100" t="inlineStr">
        <is>
          <t>HEDEMORA</t>
        </is>
      </c>
      <c r="F100" t="inlineStr">
        <is>
          <t>Sveaskog</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HYPERLINK("https://klasma.github.io/Logging_2083/artfynd/A 48323-2024 artfynd.xlsx", "A 48323-2024")</f>
        <v/>
      </c>
      <c r="T100">
        <f>HYPERLINK("https://klasma.github.io/Logging_2083/kartor/A 48323-2024 karta.png", "A 48323-2024")</f>
        <v/>
      </c>
      <c r="V100">
        <f>HYPERLINK("https://klasma.github.io/Logging_2083/klagomål/A 48323-2024 FSC-klagomål.docx", "A 48323-2024")</f>
        <v/>
      </c>
      <c r="W100">
        <f>HYPERLINK("https://klasma.github.io/Logging_2083/klagomålsmail/A 48323-2024 FSC-klagomål mail.docx", "A 48323-2024")</f>
        <v/>
      </c>
      <c r="X100">
        <f>HYPERLINK("https://klasma.github.io/Logging_2083/tillsyn/A 48323-2024 tillsynsbegäran.docx", "A 48323-2024")</f>
        <v/>
      </c>
      <c r="Y100">
        <f>HYPERLINK("https://klasma.github.io/Logging_2083/tillsynsmail/A 48323-2024 tillsynsbegäran mail.docx", "A 48323-2024")</f>
        <v/>
      </c>
    </row>
    <row r="101" ht="15" customHeight="1">
      <c r="A101" t="inlineStr">
        <is>
          <t>A 52941-2024</t>
        </is>
      </c>
      <c r="B101" s="1" t="n">
        <v>45610</v>
      </c>
      <c r="C101" s="1" t="n">
        <v>45665</v>
      </c>
      <c r="D101" t="inlineStr">
        <is>
          <t>DALARNAS LÄN</t>
        </is>
      </c>
      <c r="E101" t="inlineStr">
        <is>
          <t>HEDEMORA</t>
        </is>
      </c>
      <c r="F101" t="inlineStr">
        <is>
          <t>Sveaskog</t>
        </is>
      </c>
      <c r="G101" t="n">
        <v>18.3</v>
      </c>
      <c r="H101" t="n">
        <v>1</v>
      </c>
      <c r="I101" t="n">
        <v>0</v>
      </c>
      <c r="J101" t="n">
        <v>0</v>
      </c>
      <c r="K101" t="n">
        <v>1</v>
      </c>
      <c r="L101" t="n">
        <v>0</v>
      </c>
      <c r="M101" t="n">
        <v>0</v>
      </c>
      <c r="N101" t="n">
        <v>0</v>
      </c>
      <c r="O101" t="n">
        <v>1</v>
      </c>
      <c r="P101" t="n">
        <v>1</v>
      </c>
      <c r="Q101" t="n">
        <v>1</v>
      </c>
      <c r="R101" s="2" t="inlineStr">
        <is>
          <t>Knärot</t>
        </is>
      </c>
      <c r="S101">
        <f>HYPERLINK("https://klasma.github.io/Logging_2083/artfynd/A 52941-2024 artfynd.xlsx", "A 52941-2024")</f>
        <v/>
      </c>
      <c r="T101">
        <f>HYPERLINK("https://klasma.github.io/Logging_2083/kartor/A 52941-2024 karta.png", "A 52941-2024")</f>
        <v/>
      </c>
      <c r="U101">
        <f>HYPERLINK("https://klasma.github.io/Logging_2083/knärot/A 52941-2024 karta knärot.png", "A 52941-2024")</f>
        <v/>
      </c>
      <c r="V101">
        <f>HYPERLINK("https://klasma.github.io/Logging_2083/klagomål/A 52941-2024 FSC-klagomål.docx", "A 52941-2024")</f>
        <v/>
      </c>
      <c r="W101">
        <f>HYPERLINK("https://klasma.github.io/Logging_2083/klagomålsmail/A 52941-2024 FSC-klagomål mail.docx", "A 52941-2024")</f>
        <v/>
      </c>
      <c r="X101">
        <f>HYPERLINK("https://klasma.github.io/Logging_2083/tillsyn/A 52941-2024 tillsynsbegäran.docx", "A 52941-2024")</f>
        <v/>
      </c>
      <c r="Y101">
        <f>HYPERLINK("https://klasma.github.io/Logging_2083/tillsynsmail/A 52941-2024 tillsynsbegäran mail.docx", "A 52941-2024")</f>
        <v/>
      </c>
    </row>
    <row r="102" ht="15" customHeight="1">
      <c r="A102" t="inlineStr">
        <is>
          <t>A 19016-2019</t>
        </is>
      </c>
      <c r="B102" s="1" t="n">
        <v>43563</v>
      </c>
      <c r="C102" s="1" t="n">
        <v>45665</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21235-2019</t>
        </is>
      </c>
      <c r="B103" s="1" t="n">
        <v>43579</v>
      </c>
      <c r="C103" s="1" t="n">
        <v>45665</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21212-2019</t>
        </is>
      </c>
      <c r="B104" s="1" t="n">
        <v>43579</v>
      </c>
      <c r="C104" s="1" t="n">
        <v>45665</v>
      </c>
      <c r="D104" t="inlineStr">
        <is>
          <t>DALARNAS LÄN</t>
        </is>
      </c>
      <c r="E104" t="inlineStr">
        <is>
          <t>HEDEMORA</t>
        </is>
      </c>
      <c r="G104" t="n">
        <v>0.9</v>
      </c>
      <c r="H104" t="n">
        <v>0</v>
      </c>
      <c r="I104" t="n">
        <v>0</v>
      </c>
      <c r="J104" t="n">
        <v>0</v>
      </c>
      <c r="K104" t="n">
        <v>0</v>
      </c>
      <c r="L104" t="n">
        <v>0</v>
      </c>
      <c r="M104" t="n">
        <v>0</v>
      </c>
      <c r="N104" t="n">
        <v>0</v>
      </c>
      <c r="O104" t="n">
        <v>0</v>
      </c>
      <c r="P104" t="n">
        <v>0</v>
      </c>
      <c r="Q104" t="n">
        <v>0</v>
      </c>
      <c r="R104" s="2" t="inlineStr"/>
    </row>
    <row r="105" ht="15" customHeight="1">
      <c r="A105" t="inlineStr">
        <is>
          <t>A 22494-2019</t>
        </is>
      </c>
      <c r="B105" s="1" t="n">
        <v>43587</v>
      </c>
      <c r="C105" s="1" t="n">
        <v>45665</v>
      </c>
      <c r="D105" t="inlineStr">
        <is>
          <t>DALARNAS LÄN</t>
        </is>
      </c>
      <c r="E105" t="inlineStr">
        <is>
          <t>HEDEMORA</t>
        </is>
      </c>
      <c r="G105" t="n">
        <v>5.3</v>
      </c>
      <c r="H105" t="n">
        <v>0</v>
      </c>
      <c r="I105" t="n">
        <v>0</v>
      </c>
      <c r="J105" t="n">
        <v>0</v>
      </c>
      <c r="K105" t="n">
        <v>0</v>
      </c>
      <c r="L105" t="n">
        <v>0</v>
      </c>
      <c r="M105" t="n">
        <v>0</v>
      </c>
      <c r="N105" t="n">
        <v>0</v>
      </c>
      <c r="O105" t="n">
        <v>0</v>
      </c>
      <c r="P105" t="n">
        <v>0</v>
      </c>
      <c r="Q105" t="n">
        <v>0</v>
      </c>
      <c r="R105" s="2" t="inlineStr"/>
    </row>
    <row r="106" ht="15" customHeight="1">
      <c r="A106" t="inlineStr">
        <is>
          <t>A 22810-2019</t>
        </is>
      </c>
      <c r="B106" s="1" t="n">
        <v>43590</v>
      </c>
      <c r="C106" s="1" t="n">
        <v>45665</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23492-2019</t>
        </is>
      </c>
      <c r="B107" s="1" t="n">
        <v>43594</v>
      </c>
      <c r="C107" s="1" t="n">
        <v>45665</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23804-2019</t>
        </is>
      </c>
      <c r="B108" s="1" t="n">
        <v>43595</v>
      </c>
      <c r="C108" s="1" t="n">
        <v>45665</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23808-2019</t>
        </is>
      </c>
      <c r="B109" s="1" t="n">
        <v>43595</v>
      </c>
      <c r="C109" s="1" t="n">
        <v>45665</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24904-2019</t>
        </is>
      </c>
      <c r="B110" s="1" t="n">
        <v>43602</v>
      </c>
      <c r="C110" s="1" t="n">
        <v>45665</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26162-2019</t>
        </is>
      </c>
      <c r="B111" s="1" t="n">
        <v>43609</v>
      </c>
      <c r="C111" s="1" t="n">
        <v>45665</v>
      </c>
      <c r="D111" t="inlineStr">
        <is>
          <t>DALARNAS LÄN</t>
        </is>
      </c>
      <c r="E111" t="inlineStr">
        <is>
          <t>HEDEMORA</t>
        </is>
      </c>
      <c r="F111" t="inlineStr">
        <is>
          <t>Sveaskog</t>
        </is>
      </c>
      <c r="G111" t="n">
        <v>12.8</v>
      </c>
      <c r="H111" t="n">
        <v>0</v>
      </c>
      <c r="I111" t="n">
        <v>0</v>
      </c>
      <c r="J111" t="n">
        <v>0</v>
      </c>
      <c r="K111" t="n">
        <v>0</v>
      </c>
      <c r="L111" t="n">
        <v>0</v>
      </c>
      <c r="M111" t="n">
        <v>0</v>
      </c>
      <c r="N111" t="n">
        <v>0</v>
      </c>
      <c r="O111" t="n">
        <v>0</v>
      </c>
      <c r="P111" t="n">
        <v>0</v>
      </c>
      <c r="Q111" t="n">
        <v>0</v>
      </c>
      <c r="R111" s="2" t="inlineStr"/>
    </row>
    <row r="112" ht="15" customHeight="1">
      <c r="A112" t="inlineStr">
        <is>
          <t>A 26167-2019</t>
        </is>
      </c>
      <c r="B112" s="1" t="n">
        <v>43609</v>
      </c>
      <c r="C112" s="1" t="n">
        <v>45665</v>
      </c>
      <c r="D112" t="inlineStr">
        <is>
          <t>DALARNAS LÄN</t>
        </is>
      </c>
      <c r="E112" t="inlineStr">
        <is>
          <t>HEDEMORA</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27393-2019</t>
        </is>
      </c>
      <c r="B113" s="1" t="n">
        <v>43616</v>
      </c>
      <c r="C113" s="1" t="n">
        <v>45665</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27949-2019</t>
        </is>
      </c>
      <c r="B114" s="1" t="n">
        <v>43620</v>
      </c>
      <c r="C114" s="1" t="n">
        <v>45665</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28696-2019</t>
        </is>
      </c>
      <c r="B115" s="1" t="n">
        <v>43627</v>
      </c>
      <c r="C115" s="1" t="n">
        <v>45665</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30497-2019</t>
        </is>
      </c>
      <c r="B116" s="1" t="n">
        <v>43635</v>
      </c>
      <c r="C116" s="1" t="n">
        <v>45665</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30687-2019</t>
        </is>
      </c>
      <c r="B117" s="1" t="n">
        <v>43636</v>
      </c>
      <c r="C117" s="1" t="n">
        <v>45665</v>
      </c>
      <c r="D117" t="inlineStr">
        <is>
          <t>DALARNAS LÄN</t>
        </is>
      </c>
      <c r="E117" t="inlineStr">
        <is>
          <t>HEDEMORA</t>
        </is>
      </c>
      <c r="G117" t="n">
        <v>0.6</v>
      </c>
      <c r="H117" t="n">
        <v>0</v>
      </c>
      <c r="I117" t="n">
        <v>0</v>
      </c>
      <c r="J117" t="n">
        <v>0</v>
      </c>
      <c r="K117" t="n">
        <v>0</v>
      </c>
      <c r="L117" t="n">
        <v>0</v>
      </c>
      <c r="M117" t="n">
        <v>0</v>
      </c>
      <c r="N117" t="n">
        <v>0</v>
      </c>
      <c r="O117" t="n">
        <v>0</v>
      </c>
      <c r="P117" t="n">
        <v>0</v>
      </c>
      <c r="Q117" t="n">
        <v>0</v>
      </c>
      <c r="R117" s="2" t="inlineStr"/>
    </row>
    <row r="118" ht="15" customHeight="1">
      <c r="A118" t="inlineStr">
        <is>
          <t>A 34027-2019</t>
        </is>
      </c>
      <c r="B118" s="1" t="n">
        <v>43654</v>
      </c>
      <c r="C118" s="1" t="n">
        <v>45665</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35855-2019</t>
        </is>
      </c>
      <c r="B119" s="1" t="n">
        <v>43665</v>
      </c>
      <c r="C119" s="1" t="n">
        <v>45665</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40919-2019</t>
        </is>
      </c>
      <c r="B120" s="1" t="n">
        <v>43697</v>
      </c>
      <c r="C120" s="1" t="n">
        <v>45665</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41399-2019</t>
        </is>
      </c>
      <c r="B121" s="1" t="n">
        <v>43698</v>
      </c>
      <c r="C121" s="1" t="n">
        <v>45665</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43530-2019</t>
        </is>
      </c>
      <c r="B122" s="1" t="n">
        <v>43706</v>
      </c>
      <c r="C122" s="1" t="n">
        <v>45665</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46775-2019</t>
        </is>
      </c>
      <c r="B123" s="1" t="n">
        <v>43720</v>
      </c>
      <c r="C123" s="1" t="n">
        <v>45665</v>
      </c>
      <c r="D123" t="inlineStr">
        <is>
          <t>DALARNAS LÄN</t>
        </is>
      </c>
      <c r="E123" t="inlineStr">
        <is>
          <t>HEDEMORA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46795-2019</t>
        </is>
      </c>
      <c r="B124" s="1" t="n">
        <v>43720</v>
      </c>
      <c r="C124" s="1" t="n">
        <v>45665</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47882-2019</t>
        </is>
      </c>
      <c r="B125" s="1" t="n">
        <v>43725</v>
      </c>
      <c r="C125" s="1" t="n">
        <v>45665</v>
      </c>
      <c r="D125" t="inlineStr">
        <is>
          <t>DALARNAS LÄN</t>
        </is>
      </c>
      <c r="E125" t="inlineStr">
        <is>
          <t>HEDEMORA</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49197-2019</t>
        </is>
      </c>
      <c r="B126" s="1" t="n">
        <v>43731</v>
      </c>
      <c r="C126" s="1" t="n">
        <v>45665</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49300-2019</t>
        </is>
      </c>
      <c r="B127" s="1" t="n">
        <v>43731</v>
      </c>
      <c r="C127" s="1" t="n">
        <v>45665</v>
      </c>
      <c r="D127" t="inlineStr">
        <is>
          <t>DALARNAS LÄN</t>
        </is>
      </c>
      <c r="E127" t="inlineStr">
        <is>
          <t>HEDEMORA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49324-2019</t>
        </is>
      </c>
      <c r="B128" s="1" t="n">
        <v>43731</v>
      </c>
      <c r="C128" s="1" t="n">
        <v>45665</v>
      </c>
      <c r="D128" t="inlineStr">
        <is>
          <t>DALARNAS LÄN</t>
        </is>
      </c>
      <c r="E128" t="inlineStr">
        <is>
          <t>HEDEMORA</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50183-2019</t>
        </is>
      </c>
      <c r="B129" s="1" t="n">
        <v>43734</v>
      </c>
      <c r="C129" s="1" t="n">
        <v>45665</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51877-2019</t>
        </is>
      </c>
      <c r="B130" s="1" t="n">
        <v>43741</v>
      </c>
      <c r="C130" s="1" t="n">
        <v>45665</v>
      </c>
      <c r="D130" t="inlineStr">
        <is>
          <t>DALARNAS LÄN</t>
        </is>
      </c>
      <c r="E130" t="inlineStr">
        <is>
          <t>HEDEMORA</t>
        </is>
      </c>
      <c r="G130" t="n">
        <v>3.3</v>
      </c>
      <c r="H130" t="n">
        <v>0</v>
      </c>
      <c r="I130" t="n">
        <v>0</v>
      </c>
      <c r="J130" t="n">
        <v>0</v>
      </c>
      <c r="K130" t="n">
        <v>0</v>
      </c>
      <c r="L130" t="n">
        <v>0</v>
      </c>
      <c r="M130" t="n">
        <v>0</v>
      </c>
      <c r="N130" t="n">
        <v>0</v>
      </c>
      <c r="O130" t="n">
        <v>0</v>
      </c>
      <c r="P130" t="n">
        <v>0</v>
      </c>
      <c r="Q130" t="n">
        <v>0</v>
      </c>
      <c r="R130" s="2" t="inlineStr"/>
    </row>
    <row r="131" ht="15" customHeight="1">
      <c r="A131" t="inlineStr">
        <is>
          <t>A 53323-2019</t>
        </is>
      </c>
      <c r="B131" s="1" t="n">
        <v>43748</v>
      </c>
      <c r="C131" s="1" t="n">
        <v>45665</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54358-2019</t>
        </is>
      </c>
      <c r="B132" s="1" t="n">
        <v>43754</v>
      </c>
      <c r="C132" s="1" t="n">
        <v>45665</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60139-2019</t>
        </is>
      </c>
      <c r="B133" s="1" t="n">
        <v>43779</v>
      </c>
      <c r="C133" s="1" t="n">
        <v>45665</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60319-2019</t>
        </is>
      </c>
      <c r="B134" s="1" t="n">
        <v>43780</v>
      </c>
      <c r="C134" s="1" t="n">
        <v>45665</v>
      </c>
      <c r="D134" t="inlineStr">
        <is>
          <t>DALARNAS LÄN</t>
        </is>
      </c>
      <c r="E134" t="inlineStr">
        <is>
          <t>HEDEMORA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60318-2019</t>
        </is>
      </c>
      <c r="B135" s="1" t="n">
        <v>43780</v>
      </c>
      <c r="C135" s="1" t="n">
        <v>45665</v>
      </c>
      <c r="D135" t="inlineStr">
        <is>
          <t>DALARNAS LÄN</t>
        </is>
      </c>
      <c r="E135" t="inlineStr">
        <is>
          <t>HEDEMORA</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60461-2019</t>
        </is>
      </c>
      <c r="B136" s="1" t="n">
        <v>43780</v>
      </c>
      <c r="C136" s="1" t="n">
        <v>45665</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60543-2019</t>
        </is>
      </c>
      <c r="B137" s="1" t="n">
        <v>43781</v>
      </c>
      <c r="C137" s="1" t="n">
        <v>45665</v>
      </c>
      <c r="D137" t="inlineStr">
        <is>
          <t>DALARNAS LÄN</t>
        </is>
      </c>
      <c r="E137" t="inlineStr">
        <is>
          <t>HEDEMORA</t>
        </is>
      </c>
      <c r="G137" t="n">
        <v>4.6</v>
      </c>
      <c r="H137" t="n">
        <v>0</v>
      </c>
      <c r="I137" t="n">
        <v>0</v>
      </c>
      <c r="J137" t="n">
        <v>0</v>
      </c>
      <c r="K137" t="n">
        <v>0</v>
      </c>
      <c r="L137" t="n">
        <v>0</v>
      </c>
      <c r="M137" t="n">
        <v>0</v>
      </c>
      <c r="N137" t="n">
        <v>0</v>
      </c>
      <c r="O137" t="n">
        <v>0</v>
      </c>
      <c r="P137" t="n">
        <v>0</v>
      </c>
      <c r="Q137" t="n">
        <v>0</v>
      </c>
      <c r="R137" s="2" t="inlineStr"/>
    </row>
    <row r="138" ht="15" customHeight="1">
      <c r="A138" t="inlineStr">
        <is>
          <t>A 60529-2019</t>
        </is>
      </c>
      <c r="B138" s="1" t="n">
        <v>43781</v>
      </c>
      <c r="C138" s="1" t="n">
        <v>45665</v>
      </c>
      <c r="D138" t="inlineStr">
        <is>
          <t>DALARNAS LÄN</t>
        </is>
      </c>
      <c r="E138" t="inlineStr">
        <is>
          <t>HEDEMORA</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60556-2019</t>
        </is>
      </c>
      <c r="B139" s="1" t="n">
        <v>43781</v>
      </c>
      <c r="C139" s="1" t="n">
        <v>45665</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61007-2019</t>
        </is>
      </c>
      <c r="B140" s="1" t="n">
        <v>43782</v>
      </c>
      <c r="C140" s="1" t="n">
        <v>45665</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61382-2019</t>
        </is>
      </c>
      <c r="B141" s="1" t="n">
        <v>43783</v>
      </c>
      <c r="C141" s="1" t="n">
        <v>45665</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63101-2019</t>
        </is>
      </c>
      <c r="B142" s="1" t="n">
        <v>43791</v>
      </c>
      <c r="C142" s="1" t="n">
        <v>45665</v>
      </c>
      <c r="D142" t="inlineStr">
        <is>
          <t>DALARNAS LÄN</t>
        </is>
      </c>
      <c r="E142" t="inlineStr">
        <is>
          <t>HEDEMORA</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65308-2019</t>
        </is>
      </c>
      <c r="B143" s="1" t="n">
        <v>43802</v>
      </c>
      <c r="C143" s="1" t="n">
        <v>45665</v>
      </c>
      <c r="D143" t="inlineStr">
        <is>
          <t>DALARNAS LÄN</t>
        </is>
      </c>
      <c r="E143" t="inlineStr">
        <is>
          <t>HEDEMORA</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65315-2019</t>
        </is>
      </c>
      <c r="B144" s="1" t="n">
        <v>43802</v>
      </c>
      <c r="C144" s="1" t="n">
        <v>45665</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68856-2019</t>
        </is>
      </c>
      <c r="B145" s="1" t="n">
        <v>43820</v>
      </c>
      <c r="C145" s="1" t="n">
        <v>45665</v>
      </c>
      <c r="D145" t="inlineStr">
        <is>
          <t>DALARNAS LÄN</t>
        </is>
      </c>
      <c r="E145" t="inlineStr">
        <is>
          <t>HEDEMORA</t>
        </is>
      </c>
      <c r="G145" t="n">
        <v>17.6</v>
      </c>
      <c r="H145" t="n">
        <v>0</v>
      </c>
      <c r="I145" t="n">
        <v>0</v>
      </c>
      <c r="J145" t="n">
        <v>0</v>
      </c>
      <c r="K145" t="n">
        <v>0</v>
      </c>
      <c r="L145" t="n">
        <v>0</v>
      </c>
      <c r="M145" t="n">
        <v>0</v>
      </c>
      <c r="N145" t="n">
        <v>0</v>
      </c>
      <c r="O145" t="n">
        <v>0</v>
      </c>
      <c r="P145" t="n">
        <v>0</v>
      </c>
      <c r="Q145" t="n">
        <v>0</v>
      </c>
      <c r="R145" s="2" t="inlineStr"/>
    </row>
    <row r="146" ht="15" customHeight="1">
      <c r="A146" t="inlineStr">
        <is>
          <t>A 1215-2020</t>
        </is>
      </c>
      <c r="B146" s="1" t="n">
        <v>43840</v>
      </c>
      <c r="C146" s="1" t="n">
        <v>45665</v>
      </c>
      <c r="D146" t="inlineStr">
        <is>
          <t>DALARNAS LÄN</t>
        </is>
      </c>
      <c r="E146" t="inlineStr">
        <is>
          <t>HEDEMORA</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2390-2020</t>
        </is>
      </c>
      <c r="B147" s="1" t="n">
        <v>43847</v>
      </c>
      <c r="C147" s="1" t="n">
        <v>45665</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2846-2020</t>
        </is>
      </c>
      <c r="B148" s="1" t="n">
        <v>43850</v>
      </c>
      <c r="C148" s="1" t="n">
        <v>45665</v>
      </c>
      <c r="D148" t="inlineStr">
        <is>
          <t>DALARNAS LÄN</t>
        </is>
      </c>
      <c r="E148" t="inlineStr">
        <is>
          <t>HEDEMORA</t>
        </is>
      </c>
      <c r="G148" t="n">
        <v>4.2</v>
      </c>
      <c r="H148" t="n">
        <v>0</v>
      </c>
      <c r="I148" t="n">
        <v>0</v>
      </c>
      <c r="J148" t="n">
        <v>0</v>
      </c>
      <c r="K148" t="n">
        <v>0</v>
      </c>
      <c r="L148" t="n">
        <v>0</v>
      </c>
      <c r="M148" t="n">
        <v>0</v>
      </c>
      <c r="N148" t="n">
        <v>0</v>
      </c>
      <c r="O148" t="n">
        <v>0</v>
      </c>
      <c r="P148" t="n">
        <v>0</v>
      </c>
      <c r="Q148" t="n">
        <v>0</v>
      </c>
      <c r="R148" s="2" t="inlineStr"/>
    </row>
    <row r="149" ht="15" customHeight="1">
      <c r="A149" t="inlineStr">
        <is>
          <t>A 2915-2020</t>
        </is>
      </c>
      <c r="B149" s="1" t="n">
        <v>43850</v>
      </c>
      <c r="C149" s="1" t="n">
        <v>45665</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3127-2020</t>
        </is>
      </c>
      <c r="B150" s="1" t="n">
        <v>43851</v>
      </c>
      <c r="C150" s="1" t="n">
        <v>45665</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5353-2020</t>
        </is>
      </c>
      <c r="B151" s="1" t="n">
        <v>43860</v>
      </c>
      <c r="C151" s="1" t="n">
        <v>45665</v>
      </c>
      <c r="D151" t="inlineStr">
        <is>
          <t>DALARNAS LÄN</t>
        </is>
      </c>
      <c r="E151" t="inlineStr">
        <is>
          <t>HEDEMORA</t>
        </is>
      </c>
      <c r="G151" t="n">
        <v>2.4</v>
      </c>
      <c r="H151" t="n">
        <v>0</v>
      </c>
      <c r="I151" t="n">
        <v>0</v>
      </c>
      <c r="J151" t="n">
        <v>0</v>
      </c>
      <c r="K151" t="n">
        <v>0</v>
      </c>
      <c r="L151" t="n">
        <v>0</v>
      </c>
      <c r="M151" t="n">
        <v>0</v>
      </c>
      <c r="N151" t="n">
        <v>0</v>
      </c>
      <c r="O151" t="n">
        <v>0</v>
      </c>
      <c r="P151" t="n">
        <v>0</v>
      </c>
      <c r="Q151" t="n">
        <v>0</v>
      </c>
      <c r="R151" s="2" t="inlineStr"/>
    </row>
    <row r="152" ht="15" customHeight="1">
      <c r="A152" t="inlineStr">
        <is>
          <t>A 5752-2020</t>
        </is>
      </c>
      <c r="B152" s="1" t="n">
        <v>43864</v>
      </c>
      <c r="C152" s="1" t="n">
        <v>45665</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5763-2020</t>
        </is>
      </c>
      <c r="B153" s="1" t="n">
        <v>43864</v>
      </c>
      <c r="C153" s="1" t="n">
        <v>45665</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5950-2020</t>
        </is>
      </c>
      <c r="B154" s="1" t="n">
        <v>43864</v>
      </c>
      <c r="C154" s="1" t="n">
        <v>45665</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6795-2020</t>
        </is>
      </c>
      <c r="B155" s="1" t="n">
        <v>43867</v>
      </c>
      <c r="C155" s="1" t="n">
        <v>45665</v>
      </c>
      <c r="D155" t="inlineStr">
        <is>
          <t>DALARNAS LÄN</t>
        </is>
      </c>
      <c r="E155" t="inlineStr">
        <is>
          <t>HEDEMORA</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6794-2020</t>
        </is>
      </c>
      <c r="B156" s="1" t="n">
        <v>43867</v>
      </c>
      <c r="C156" s="1" t="n">
        <v>45665</v>
      </c>
      <c r="D156" t="inlineStr">
        <is>
          <t>DALARNAS LÄN</t>
        </is>
      </c>
      <c r="E156" t="inlineStr">
        <is>
          <t>HEDEMORA</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7209-2020</t>
        </is>
      </c>
      <c r="B157" s="1" t="n">
        <v>43871</v>
      </c>
      <c r="C157" s="1" t="n">
        <v>45665</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7434-2020</t>
        </is>
      </c>
      <c r="B158" s="1" t="n">
        <v>43871</v>
      </c>
      <c r="C158" s="1" t="n">
        <v>45665</v>
      </c>
      <c r="D158" t="inlineStr">
        <is>
          <t>DALARNAS LÄN</t>
        </is>
      </c>
      <c r="E158" t="inlineStr">
        <is>
          <t>HEDEMORA</t>
        </is>
      </c>
      <c r="G158" t="n">
        <v>4.3</v>
      </c>
      <c r="H158" t="n">
        <v>0</v>
      </c>
      <c r="I158" t="n">
        <v>0</v>
      </c>
      <c r="J158" t="n">
        <v>0</v>
      </c>
      <c r="K158" t="n">
        <v>0</v>
      </c>
      <c r="L158" t="n">
        <v>0</v>
      </c>
      <c r="M158" t="n">
        <v>0</v>
      </c>
      <c r="N158" t="n">
        <v>0</v>
      </c>
      <c r="O158" t="n">
        <v>0</v>
      </c>
      <c r="P158" t="n">
        <v>0</v>
      </c>
      <c r="Q158" t="n">
        <v>0</v>
      </c>
      <c r="R158" s="2" t="inlineStr"/>
    </row>
    <row r="159" ht="15" customHeight="1">
      <c r="A159" t="inlineStr">
        <is>
          <t>A 8181-2020</t>
        </is>
      </c>
      <c r="B159" s="1" t="n">
        <v>43874</v>
      </c>
      <c r="C159" s="1" t="n">
        <v>45665</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8489-2020</t>
        </is>
      </c>
      <c r="B160" s="1" t="n">
        <v>43875</v>
      </c>
      <c r="C160" s="1" t="n">
        <v>45665</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45665</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45665</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45665</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45665</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45665</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45665</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45665</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45665</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45665</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45665</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45665</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45665</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45665</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45665</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45665</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45665</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45665</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45665</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45665</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45665</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45665</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45665</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45665</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45665</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45665</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45665</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45665</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45665</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45665</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45665</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45665</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45665</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45665</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45665</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45665</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45665</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45665</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45665</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45665</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45665</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45665</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45665</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45665</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45665</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45665</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45665</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45665</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45665</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45665</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45665</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45665</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45665</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45665</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45665</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45665</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45665</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45665</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45665</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45665</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45665</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45665</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45665</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45665</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45665</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45665</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45665</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45665</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45665</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45665</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45665</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45665</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45665</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45665</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45665</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45665</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45665</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45665</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45665</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45665</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45665</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45665</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45665</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45665</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45665</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45665</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45665</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45665</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45665</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45665</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45665</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45665</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45665</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45665</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45665</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45665</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45665</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45665</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45665</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45665</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45665</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45665</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45665</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45665</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45665</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45665</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45665</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45665</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45665</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45665</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45665</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45665</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45665</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45665</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45665</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45665</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45665</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45665</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45665</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45665</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45665</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45665</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45665</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45665</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45665</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45665</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45665</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45665</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45665</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45665</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45665</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45665</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45665</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45665</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45665</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45665</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45665</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45665</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45665</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45665</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45665</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45665</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45665</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45665</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45665</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45665</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45665</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45665</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45665</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45665</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45665</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45665</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45665</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45665</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45665</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45665</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45665</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45665</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45665</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45665</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45665</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45665</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45665</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45665</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45665</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45665</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45665</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45665</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45665</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45665</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45665</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45665</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45665</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45665</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45665</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45665</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45665</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45665</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45665</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45665</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45665</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45665</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45665</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45665</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45665</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45665</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45665</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45665</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45665</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45665</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45665</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45665</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45665</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45665</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45665</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45665</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45665</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45665</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45665</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45665</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45665</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45665</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45665</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45665</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45665</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45665</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45665</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45665</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45665</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45665</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45665</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45665</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45665</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45665</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45665</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45665</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45665</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45665</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45665</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45665</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45665</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45665</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45665</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45665</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45665</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45665</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45665</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45665</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45665</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45665</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45665</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45665</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45665</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45665</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45665</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45665</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45665</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45665</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45665</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45665</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45665</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45665</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45665</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45665</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45665</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45665</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45665</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45665</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45665</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45665</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45665</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45665</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45665</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45665</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45665</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45665</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45665</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45665</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45665</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45665</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45665</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45665</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45665</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45665</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45665</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45665</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45665</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45665</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45665</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45665</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45665</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45665</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45665</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45665</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45665</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45665</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45665</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45665</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45665</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45665</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45665</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45665</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45665</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45665</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45665</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45665</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45665</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45665</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45665</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45665</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45665</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45665</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45665</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45665</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45665</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45665</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45665</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45665</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45665</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45665</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45665</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45665</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45665</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45665</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45665</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45665</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45665</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45665</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45665</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45665</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45665</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45665</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45665</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45665</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45665</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45665</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45665</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45665</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45665</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45665</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45665</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45665</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45665</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45665</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45665</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45665</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45665</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45665</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45665</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45665</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45665</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45665</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45665</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45665</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45665</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45665</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45665</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45665</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45665</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45665</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45665</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45665</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45665</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45665</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45665</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45665</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45665</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45665</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45665</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45665</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45665</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45665</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45665</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45665</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45665</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45665</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45665</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45665</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45665</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45665</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45665</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45665</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45665</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45665</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45665</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45665</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45665</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45665</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45665</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45665</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45665</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45665</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45665</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45665</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45665</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45665</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45665</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45665</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45665</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45665</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45665</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45665</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45665</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45665</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45665</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45665</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45665</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45665</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45665</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45665</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45665</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45665</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45665</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45665</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45665</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45665</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45665</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45665</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45665</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45665</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45665</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45665</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45665</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45665</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45665</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45665</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45665</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45665</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45665</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45665</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45665</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45665</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45665</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45665</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45665</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45665</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45665</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45665</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45665</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45665</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45665</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45665</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45665</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45665</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45665</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45665</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45665</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45665</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45665</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45665</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45665</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45665</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45665</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45665</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45665</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45665</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45665</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45665</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45665</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45665</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45665</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45665</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45665</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45665</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45665</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45665</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45665</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45665</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45665</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45665</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45665</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45665</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45665</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45665</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45665</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45665</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45665</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45665</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45665</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45665</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45665</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45665</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45665</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45665</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45665</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45665</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45665</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45665</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45665</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45665</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45665</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45665</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45665</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45665</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45665</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45665</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45665</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45665</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45665</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45665</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45665</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45665</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45665</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45665</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45665</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45665</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45665</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45665</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45665</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45665</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45665</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45665</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45665</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45665</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45665</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45665</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45665</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45665</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45665</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45665</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45665</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45665</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45665</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45665</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45665</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45665</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45665</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45665</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45665</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45665</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45665</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45665</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60780-2024</t>
        </is>
      </c>
      <c r="B672" s="1" t="n">
        <v>45644</v>
      </c>
      <c r="C672" s="1" t="n">
        <v>45665</v>
      </c>
      <c r="D672" t="inlineStr">
        <is>
          <t>DALARNAS LÄN</t>
        </is>
      </c>
      <c r="E672" t="inlineStr">
        <is>
          <t>HEDEMORA</t>
        </is>
      </c>
      <c r="F672" t="inlineStr">
        <is>
          <t>Sveaskog</t>
        </is>
      </c>
      <c r="G672" t="n">
        <v>4.3</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45665</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61519-2024</t>
        </is>
      </c>
      <c r="B674" s="1" t="n">
        <v>45646</v>
      </c>
      <c r="C674" s="1" t="n">
        <v>45665</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row r="675" ht="15" customHeight="1">
      <c r="A675" t="inlineStr">
        <is>
          <t>A 193-2025</t>
        </is>
      </c>
      <c r="B675" s="1" t="n">
        <v>45649</v>
      </c>
      <c r="C675" s="1" t="n">
        <v>45665</v>
      </c>
      <c r="D675" t="inlineStr">
        <is>
          <t>DALARNAS LÄN</t>
        </is>
      </c>
      <c r="E675" t="inlineStr">
        <is>
          <t>HEDEMORA</t>
        </is>
      </c>
      <c r="G675" t="n">
        <v>2</v>
      </c>
      <c r="H675" t="n">
        <v>0</v>
      </c>
      <c r="I675" t="n">
        <v>0</v>
      </c>
      <c r="J675" t="n">
        <v>0</v>
      </c>
      <c r="K675" t="n">
        <v>0</v>
      </c>
      <c r="L675" t="n">
        <v>0</v>
      </c>
      <c r="M675" t="n">
        <v>0</v>
      </c>
      <c r="N675" t="n">
        <v>0</v>
      </c>
      <c r="O675" t="n">
        <v>0</v>
      </c>
      <c r="P675" t="n">
        <v>0</v>
      </c>
      <c r="Q675" t="n">
        <v>0</v>
      </c>
      <c r="R675" s="2" t="inlineStr"/>
      <c r="U675">
        <f>HYPERLINK("https://klasma.github.io/Logging_2083/knärot/A 193-2025 karta knärot.png", "A 193-2025")</f>
        <v/>
      </c>
      <c r="V675">
        <f>HYPERLINK("https://klasma.github.io/Logging_2083/klagomål/A 193-2025 FSC-klagomål.docx", "A 193-2025")</f>
        <v/>
      </c>
      <c r="W675">
        <f>HYPERLINK("https://klasma.github.io/Logging_2083/klagomålsmail/A 193-2025 FSC-klagomål mail.docx", "A 193-2025")</f>
        <v/>
      </c>
      <c r="X675">
        <f>HYPERLINK("https://klasma.github.io/Logging_2083/tillsyn/A 193-2025 tillsynsbegäran.docx", "A 193-2025")</f>
        <v/>
      </c>
      <c r="Y675">
        <f>HYPERLINK("https://klasma.github.io/Logging_2083/tillsynsmail/A 193-2025 tillsynsbegäran mail.docx", "A 193-2025")</f>
        <v/>
      </c>
    </row>
    <row r="676" ht="15" customHeight="1">
      <c r="A676" t="inlineStr">
        <is>
          <t>A 183-2025</t>
        </is>
      </c>
      <c r="B676" s="1" t="n">
        <v>45659</v>
      </c>
      <c r="C676" s="1" t="n">
        <v>45665</v>
      </c>
      <c r="D676" t="inlineStr">
        <is>
          <t>DALARNAS LÄN</t>
        </is>
      </c>
      <c r="E676" t="inlineStr">
        <is>
          <t>HEDEMORA</t>
        </is>
      </c>
      <c r="G676" t="n">
        <v>2.4</v>
      </c>
      <c r="H676" t="n">
        <v>0</v>
      </c>
      <c r="I676" t="n">
        <v>0</v>
      </c>
      <c r="J676" t="n">
        <v>0</v>
      </c>
      <c r="K676" t="n">
        <v>0</v>
      </c>
      <c r="L676" t="n">
        <v>0</v>
      </c>
      <c r="M676" t="n">
        <v>0</v>
      </c>
      <c r="N676" t="n">
        <v>0</v>
      </c>
      <c r="O676" t="n">
        <v>0</v>
      </c>
      <c r="P676" t="n">
        <v>0</v>
      </c>
      <c r="Q676" t="n">
        <v>0</v>
      </c>
      <c r="R676" s="2" t="inlineStr"/>
    </row>
    <row r="677">
      <c r="A677" t="inlineStr">
        <is>
          <t>A 451-2025</t>
        </is>
      </c>
      <c r="B677" s="1" t="n">
        <v>45664</v>
      </c>
      <c r="C677" s="1" t="n">
        <v>45665</v>
      </c>
      <c r="D677" t="inlineStr">
        <is>
          <t>DALARNAS LÄN</t>
        </is>
      </c>
      <c r="E677" t="inlineStr">
        <is>
          <t>HEDEMORA</t>
        </is>
      </c>
      <c r="G677" t="n">
        <v>4.5</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2025-01-08T15:24:48Z</dcterms:created>
  <dcterms:modified xmlns:dcterms="http://purl.org/dc/terms/" xmlns:xsi="http://www.w3.org/2001/XMLSchema-instance" xsi:type="dcterms:W3CDTF">2025-01-08T15:24:48Z</dcterms:modified>
</cp:coreProperties>
</file>