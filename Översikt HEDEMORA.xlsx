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45474</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45474</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45474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45474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45474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45474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45474</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45474</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45474</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45474</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45474</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45474</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45474</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45474</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45474</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45474</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45474</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45474</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49872-2021</t>
        </is>
      </c>
      <c r="B20" s="1" t="n">
        <v>44455</v>
      </c>
      <c r="C20" s="1" t="n">
        <v>45474</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58719-2021</t>
        </is>
      </c>
      <c r="B21" s="1" t="n">
        <v>44489</v>
      </c>
      <c r="C21" s="1" t="n">
        <v>45474</v>
      </c>
      <c r="D21" t="inlineStr">
        <is>
          <t>DALARNAS LÄN</t>
        </is>
      </c>
      <c r="E21" t="inlineStr">
        <is>
          <t>HEDEMORA</t>
        </is>
      </c>
      <c r="G21" t="n">
        <v>3</v>
      </c>
      <c r="H21" t="n">
        <v>1</v>
      </c>
      <c r="I21" t="n">
        <v>3</v>
      </c>
      <c r="J21" t="n">
        <v>0</v>
      </c>
      <c r="K21" t="n">
        <v>1</v>
      </c>
      <c r="L21" t="n">
        <v>0</v>
      </c>
      <c r="M21" t="n">
        <v>0</v>
      </c>
      <c r="N21" t="n">
        <v>0</v>
      </c>
      <c r="O21" t="n">
        <v>1</v>
      </c>
      <c r="P21" t="n">
        <v>1</v>
      </c>
      <c r="Q21" t="n">
        <v>4</v>
      </c>
      <c r="R21" s="2" t="inlineStr">
        <is>
          <t>Knärot
Blomkålssvamp
Bronshjon
Dropptaggsvamp</t>
        </is>
      </c>
      <c r="S21">
        <f>HYPERLINK("https://klasma.github.io/Logging_2083/artfynd/A 58719-2021 artfynd.xlsx", "A 58719-2021")</f>
        <v/>
      </c>
      <c r="T21">
        <f>HYPERLINK("https://klasma.github.io/Logging_2083/kartor/A 58719-2021 karta.png", "A 58719-2021")</f>
        <v/>
      </c>
      <c r="U21">
        <f>HYPERLINK("https://klasma.github.io/Logging_2083/knärot/A 58719-2021 karta knärot.png", "A 58719-2021")</f>
        <v/>
      </c>
      <c r="V21">
        <f>HYPERLINK("https://klasma.github.io/Logging_2083/klagomål/A 58719-2021 FSC-klagomål.docx", "A 58719-2021")</f>
        <v/>
      </c>
      <c r="W21">
        <f>HYPERLINK("https://klasma.github.io/Logging_2083/klagomålsmail/A 58719-2021 FSC-klagomål mail.docx", "A 58719-2021")</f>
        <v/>
      </c>
      <c r="X21">
        <f>HYPERLINK("https://klasma.github.io/Logging_2083/tillsyn/A 58719-2021 tillsynsbegäran.docx", "A 58719-2021")</f>
        <v/>
      </c>
      <c r="Y21">
        <f>HYPERLINK("https://klasma.github.io/Logging_2083/tillsynsmail/A 58719-2021 tillsynsbegäran mail.docx", "A 58719-2021")</f>
        <v/>
      </c>
    </row>
    <row r="22" ht="15" customHeight="1">
      <c r="A22" t="inlineStr">
        <is>
          <t>A 57643-2022</t>
        </is>
      </c>
      <c r="B22" s="1" t="n">
        <v>44897</v>
      </c>
      <c r="C22" s="1" t="n">
        <v>45474</v>
      </c>
      <c r="D22" t="inlineStr">
        <is>
          <t>DALARNAS LÄN</t>
        </is>
      </c>
      <c r="E22" t="inlineStr">
        <is>
          <t>HEDEMORA</t>
        </is>
      </c>
      <c r="G22" t="n">
        <v>8</v>
      </c>
      <c r="H22" t="n">
        <v>3</v>
      </c>
      <c r="I22" t="n">
        <v>1</v>
      </c>
      <c r="J22" t="n">
        <v>1</v>
      </c>
      <c r="K22" t="n">
        <v>1</v>
      </c>
      <c r="L22" t="n">
        <v>0</v>
      </c>
      <c r="M22" t="n">
        <v>0</v>
      </c>
      <c r="N22" t="n">
        <v>0</v>
      </c>
      <c r="O22" t="n">
        <v>2</v>
      </c>
      <c r="P22" t="n">
        <v>1</v>
      </c>
      <c r="Q22" t="n">
        <v>4</v>
      </c>
      <c r="R22" s="2" t="inlineStr">
        <is>
          <t>Knärot
Spillkråka
Bronshjon
Fläcknycklar</t>
        </is>
      </c>
      <c r="S22">
        <f>HYPERLINK("https://klasma.github.io/Logging_2083/artfynd/A 57643-2022 artfynd.xlsx", "A 57643-2022")</f>
        <v/>
      </c>
      <c r="T22">
        <f>HYPERLINK("https://klasma.github.io/Logging_2083/kartor/A 57643-2022 karta.png", "A 57643-2022")</f>
        <v/>
      </c>
      <c r="U22">
        <f>HYPERLINK("https://klasma.github.io/Logging_2083/knärot/A 57643-2022 karta knärot.png", "A 57643-2022")</f>
        <v/>
      </c>
      <c r="V22">
        <f>HYPERLINK("https://klasma.github.io/Logging_2083/klagomål/A 57643-2022 FSC-klagomål.docx", "A 57643-2022")</f>
        <v/>
      </c>
      <c r="W22">
        <f>HYPERLINK("https://klasma.github.io/Logging_2083/klagomålsmail/A 57643-2022 FSC-klagomål mail.docx", "A 57643-2022")</f>
        <v/>
      </c>
      <c r="X22">
        <f>HYPERLINK("https://klasma.github.io/Logging_2083/tillsyn/A 57643-2022 tillsynsbegäran.docx", "A 57643-2022")</f>
        <v/>
      </c>
      <c r="Y22">
        <f>HYPERLINK("https://klasma.github.io/Logging_2083/tillsynsmail/A 57643-2022 tillsynsbegäran mail.docx", "A 57643-2022")</f>
        <v/>
      </c>
      <c r="Z22">
        <f>HYPERLINK("https://klasma.github.io/Logging_2083/fåglar/A 57643-2022 prioriterade fågelarter.docx", "A 57643-2022")</f>
        <v/>
      </c>
    </row>
    <row r="23" ht="15" customHeight="1">
      <c r="A23" t="inlineStr">
        <is>
          <t>A 992-2024</t>
        </is>
      </c>
      <c r="B23" s="1" t="n">
        <v>45301</v>
      </c>
      <c r="C23" s="1" t="n">
        <v>45474</v>
      </c>
      <c r="D23" t="inlineStr">
        <is>
          <t>DALARNAS LÄN</t>
        </is>
      </c>
      <c r="E23" t="inlineStr">
        <is>
          <t>HEDEMORA</t>
        </is>
      </c>
      <c r="G23" t="n">
        <v>4.2</v>
      </c>
      <c r="H23" t="n">
        <v>2</v>
      </c>
      <c r="I23" t="n">
        <v>1</v>
      </c>
      <c r="J23" t="n">
        <v>3</v>
      </c>
      <c r="K23" t="n">
        <v>0</v>
      </c>
      <c r="L23" t="n">
        <v>0</v>
      </c>
      <c r="M23" t="n">
        <v>0</v>
      </c>
      <c r="N23" t="n">
        <v>0</v>
      </c>
      <c r="O23" t="n">
        <v>3</v>
      </c>
      <c r="P23" t="n">
        <v>0</v>
      </c>
      <c r="Q23" t="n">
        <v>4</v>
      </c>
      <c r="R23" s="2" t="inlineStr">
        <is>
          <t>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49272-2020</t>
        </is>
      </c>
      <c r="B24" s="1" t="n">
        <v>44105</v>
      </c>
      <c r="C24" s="1" t="n">
        <v>45474</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55022-2020</t>
        </is>
      </c>
      <c r="B25" s="1" t="n">
        <v>44130</v>
      </c>
      <c r="C25" s="1" t="n">
        <v>45474</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34360-2021</t>
        </is>
      </c>
      <c r="B26" s="1" t="n">
        <v>44379</v>
      </c>
      <c r="C26" s="1" t="n">
        <v>45474</v>
      </c>
      <c r="D26" t="inlineStr">
        <is>
          <t>DALARNAS LÄN</t>
        </is>
      </c>
      <c r="E26" t="inlineStr">
        <is>
          <t>HEDEMORA</t>
        </is>
      </c>
      <c r="F26" t="inlineStr">
        <is>
          <t>Sveaskog</t>
        </is>
      </c>
      <c r="G26" t="n">
        <v>3.6</v>
      </c>
      <c r="H26" t="n">
        <v>2</v>
      </c>
      <c r="I26" t="n">
        <v>1</v>
      </c>
      <c r="J26" t="n">
        <v>1</v>
      </c>
      <c r="K26" t="n">
        <v>1</v>
      </c>
      <c r="L26" t="n">
        <v>0</v>
      </c>
      <c r="M26" t="n">
        <v>0</v>
      </c>
      <c r="N26" t="n">
        <v>0</v>
      </c>
      <c r="O26" t="n">
        <v>2</v>
      </c>
      <c r="P26" t="n">
        <v>1</v>
      </c>
      <c r="Q26" t="n">
        <v>3</v>
      </c>
      <c r="R26" s="2" t="inlineStr">
        <is>
          <t>Knärot
Spillkråka
Bronshjon</t>
        </is>
      </c>
      <c r="S26">
        <f>HYPERLINK("https://klasma.github.io/Logging_2083/artfynd/A 34360-2021 artfynd.xlsx", "A 34360-2021")</f>
        <v/>
      </c>
      <c r="T26">
        <f>HYPERLINK("https://klasma.github.io/Logging_2083/kartor/A 34360-2021 karta.png", "A 34360-2021")</f>
        <v/>
      </c>
      <c r="U26">
        <f>HYPERLINK("https://klasma.github.io/Logging_2083/knärot/A 34360-2021 karta knärot.png", "A 34360-2021")</f>
        <v/>
      </c>
      <c r="V26">
        <f>HYPERLINK("https://klasma.github.io/Logging_2083/klagomål/A 34360-2021 FSC-klagomål.docx", "A 34360-2021")</f>
        <v/>
      </c>
      <c r="W26">
        <f>HYPERLINK("https://klasma.github.io/Logging_2083/klagomålsmail/A 34360-2021 FSC-klagomål mail.docx", "A 34360-2021")</f>
        <v/>
      </c>
      <c r="X26">
        <f>HYPERLINK("https://klasma.github.io/Logging_2083/tillsyn/A 34360-2021 tillsynsbegäran.docx", "A 34360-2021")</f>
        <v/>
      </c>
      <c r="Y26">
        <f>HYPERLINK("https://klasma.github.io/Logging_2083/tillsynsmail/A 34360-2021 tillsynsbegäran mail.docx", "A 34360-2021")</f>
        <v/>
      </c>
      <c r="Z26">
        <f>HYPERLINK("https://klasma.github.io/Logging_2083/fåglar/A 34360-2021 prioriterade fågelarter.docx", "A 34360-2021")</f>
        <v/>
      </c>
    </row>
    <row r="27" ht="15" customHeight="1">
      <c r="A27" t="inlineStr">
        <is>
          <t>A 62054-2021</t>
        </is>
      </c>
      <c r="B27" s="1" t="n">
        <v>44502</v>
      </c>
      <c r="C27" s="1" t="n">
        <v>45474</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45474</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4177-2022</t>
        </is>
      </c>
      <c r="B29" s="1" t="n">
        <v>44588</v>
      </c>
      <c r="C29" s="1" t="n">
        <v>45474</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46595-2023</t>
        </is>
      </c>
      <c r="B30" s="1" t="n">
        <v>45194</v>
      </c>
      <c r="C30" s="1" t="n">
        <v>45474</v>
      </c>
      <c r="D30" t="inlineStr">
        <is>
          <t>DALARNAS LÄN</t>
        </is>
      </c>
      <c r="E30" t="inlineStr">
        <is>
          <t>HEDEMORA</t>
        </is>
      </c>
      <c r="G30" t="n">
        <v>13.5</v>
      </c>
      <c r="H30" t="n">
        <v>2</v>
      </c>
      <c r="I30" t="n">
        <v>1</v>
      </c>
      <c r="J30" t="n">
        <v>1</v>
      </c>
      <c r="K30" t="n">
        <v>0</v>
      </c>
      <c r="L30" t="n">
        <v>0</v>
      </c>
      <c r="M30" t="n">
        <v>0</v>
      </c>
      <c r="N30" t="n">
        <v>0</v>
      </c>
      <c r="O30" t="n">
        <v>1</v>
      </c>
      <c r="P30" t="n">
        <v>0</v>
      </c>
      <c r="Q30" t="n">
        <v>3</v>
      </c>
      <c r="R30" s="2" t="inlineStr">
        <is>
          <t>Spillkråka
Tibast
Blåsippa</t>
        </is>
      </c>
      <c r="S30">
        <f>HYPERLINK("https://klasma.github.io/Logging_2083/artfynd/A 46595-2023 artfynd.xlsx", "A 46595-2023")</f>
        <v/>
      </c>
      <c r="T30">
        <f>HYPERLINK("https://klasma.github.io/Logging_2083/kartor/A 46595-2023 karta.png", "A 46595-2023")</f>
        <v/>
      </c>
      <c r="V30">
        <f>HYPERLINK("https://klasma.github.io/Logging_2083/klagomål/A 46595-2023 FSC-klagomål.docx", "A 46595-2023")</f>
        <v/>
      </c>
      <c r="W30">
        <f>HYPERLINK("https://klasma.github.io/Logging_2083/klagomålsmail/A 46595-2023 FSC-klagomål mail.docx", "A 46595-2023")</f>
        <v/>
      </c>
      <c r="X30">
        <f>HYPERLINK("https://klasma.github.io/Logging_2083/tillsyn/A 46595-2023 tillsynsbegäran.docx", "A 46595-2023")</f>
        <v/>
      </c>
      <c r="Y30">
        <f>HYPERLINK("https://klasma.github.io/Logging_2083/tillsynsmail/A 46595-2023 tillsynsbegäran mail.docx", "A 46595-2023")</f>
        <v/>
      </c>
      <c r="Z30">
        <f>HYPERLINK("https://klasma.github.io/Logging_2083/fåglar/A 46595-2023 prioriterade fågelarter.docx", "A 46595-2023")</f>
        <v/>
      </c>
    </row>
    <row r="31" ht="15" customHeight="1">
      <c r="A31" t="inlineStr">
        <is>
          <t>A 63545-2023</t>
        </is>
      </c>
      <c r="B31" s="1" t="n">
        <v>45275</v>
      </c>
      <c r="C31" s="1" t="n">
        <v>45474</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c r="Z31">
        <f>HYPERLINK("https://klasma.github.io/Logging_2083/fåglar/A 63545-2023 prioriterade fågelarter.docx", "A 63545-2023")</f>
        <v/>
      </c>
    </row>
    <row r="32" ht="15" customHeight="1">
      <c r="A32" t="inlineStr">
        <is>
          <t>A 49294-2019</t>
        </is>
      </c>
      <c r="B32" s="1" t="n">
        <v>43731</v>
      </c>
      <c r="C32" s="1" t="n">
        <v>45474</v>
      </c>
      <c r="D32" t="inlineStr">
        <is>
          <t>DALARNAS LÄN</t>
        </is>
      </c>
      <c r="E32" t="inlineStr">
        <is>
          <t>HEDEMORA</t>
        </is>
      </c>
      <c r="F32" t="inlineStr">
        <is>
          <t>Sveaskog</t>
        </is>
      </c>
      <c r="G32" t="n">
        <v>7.7</v>
      </c>
      <c r="H32" t="n">
        <v>2</v>
      </c>
      <c r="I32" t="n">
        <v>0</v>
      </c>
      <c r="J32" t="n">
        <v>1</v>
      </c>
      <c r="K32" t="n">
        <v>0</v>
      </c>
      <c r="L32" t="n">
        <v>0</v>
      </c>
      <c r="M32" t="n">
        <v>0</v>
      </c>
      <c r="N32" t="n">
        <v>0</v>
      </c>
      <c r="O32" t="n">
        <v>1</v>
      </c>
      <c r="P32" t="n">
        <v>0</v>
      </c>
      <c r="Q32" t="n">
        <v>2</v>
      </c>
      <c r="R32" s="2" t="inlineStr">
        <is>
          <t>Nordfladdermus
Vattenfladdermus</t>
        </is>
      </c>
      <c r="S32">
        <f>HYPERLINK("https://klasma.github.io/Logging_2083/artfynd/A 49294-2019 artfynd.xlsx", "A 49294-2019")</f>
        <v/>
      </c>
      <c r="T32">
        <f>HYPERLINK("https://klasma.github.io/Logging_2083/kartor/A 49294-2019 karta.png", "A 49294-2019")</f>
        <v/>
      </c>
      <c r="V32">
        <f>HYPERLINK("https://klasma.github.io/Logging_2083/klagomål/A 49294-2019 FSC-klagomål.docx", "A 49294-2019")</f>
        <v/>
      </c>
      <c r="W32">
        <f>HYPERLINK("https://klasma.github.io/Logging_2083/klagomålsmail/A 49294-2019 FSC-klagomål mail.docx", "A 49294-2019")</f>
        <v/>
      </c>
      <c r="X32">
        <f>HYPERLINK("https://klasma.github.io/Logging_2083/tillsyn/A 49294-2019 tillsynsbegäran.docx", "A 49294-2019")</f>
        <v/>
      </c>
      <c r="Y32">
        <f>HYPERLINK("https://klasma.github.io/Logging_2083/tillsynsmail/A 49294-2019 tillsynsbegäran mail.docx", "A 49294-2019")</f>
        <v/>
      </c>
    </row>
    <row r="33" ht="15" customHeight="1">
      <c r="A33" t="inlineStr">
        <is>
          <t>A 7808-2020</t>
        </is>
      </c>
      <c r="B33" s="1" t="n">
        <v>43873</v>
      </c>
      <c r="C33" s="1" t="n">
        <v>45474</v>
      </c>
      <c r="D33" t="inlineStr">
        <is>
          <t>DALARNAS LÄN</t>
        </is>
      </c>
      <c r="E33" t="inlineStr">
        <is>
          <t>HEDEMORA</t>
        </is>
      </c>
      <c r="G33" t="n">
        <v>9.1</v>
      </c>
      <c r="H33" t="n">
        <v>1</v>
      </c>
      <c r="I33" t="n">
        <v>0</v>
      </c>
      <c r="J33" t="n">
        <v>1</v>
      </c>
      <c r="K33" t="n">
        <v>1</v>
      </c>
      <c r="L33" t="n">
        <v>0</v>
      </c>
      <c r="M33" t="n">
        <v>0</v>
      </c>
      <c r="N33" t="n">
        <v>0</v>
      </c>
      <c r="O33" t="n">
        <v>2</v>
      </c>
      <c r="P33" t="n">
        <v>1</v>
      </c>
      <c r="Q33" t="n">
        <v>2</v>
      </c>
      <c r="R33" s="2" t="inlineStr">
        <is>
          <t>Knärot
Ullticka</t>
        </is>
      </c>
      <c r="S33">
        <f>HYPERLINK("https://klasma.github.io/Logging_2083/artfynd/A 7808-2020 artfynd.xlsx", "A 7808-2020")</f>
        <v/>
      </c>
      <c r="T33">
        <f>HYPERLINK("https://klasma.github.io/Logging_2083/kartor/A 7808-2020 karta.png", "A 7808-2020")</f>
        <v/>
      </c>
      <c r="U33">
        <f>HYPERLINK("https://klasma.github.io/Logging_2083/knärot/A 7808-2020 karta knärot.png", "A 7808-2020")</f>
        <v/>
      </c>
      <c r="V33">
        <f>HYPERLINK("https://klasma.github.io/Logging_2083/klagomål/A 7808-2020 FSC-klagomål.docx", "A 7808-2020")</f>
        <v/>
      </c>
      <c r="W33">
        <f>HYPERLINK("https://klasma.github.io/Logging_2083/klagomålsmail/A 7808-2020 FSC-klagomål mail.docx", "A 7808-2020")</f>
        <v/>
      </c>
      <c r="X33">
        <f>HYPERLINK("https://klasma.github.io/Logging_2083/tillsyn/A 7808-2020 tillsynsbegäran.docx", "A 7808-2020")</f>
        <v/>
      </c>
      <c r="Y33">
        <f>HYPERLINK("https://klasma.github.io/Logging_2083/tillsynsmail/A 7808-2020 tillsynsbegäran mail.docx", "A 7808-2020")</f>
        <v/>
      </c>
    </row>
    <row r="34" ht="15" customHeight="1">
      <c r="A34" t="inlineStr">
        <is>
          <t>A 15453-2021</t>
        </is>
      </c>
      <c r="B34" s="1" t="n">
        <v>44285</v>
      </c>
      <c r="C34" s="1" t="n">
        <v>45474</v>
      </c>
      <c r="D34" t="inlineStr">
        <is>
          <t>DALARNAS LÄN</t>
        </is>
      </c>
      <c r="E34" t="inlineStr">
        <is>
          <t>HEDEMORA</t>
        </is>
      </c>
      <c r="G34" t="n">
        <v>2.5</v>
      </c>
      <c r="H34" t="n">
        <v>2</v>
      </c>
      <c r="I34" t="n">
        <v>0</v>
      </c>
      <c r="J34" t="n">
        <v>2</v>
      </c>
      <c r="K34" t="n">
        <v>0</v>
      </c>
      <c r="L34" t="n">
        <v>0</v>
      </c>
      <c r="M34" t="n">
        <v>0</v>
      </c>
      <c r="N34" t="n">
        <v>0</v>
      </c>
      <c r="O34" t="n">
        <v>2</v>
      </c>
      <c r="P34" t="n">
        <v>0</v>
      </c>
      <c r="Q34" t="n">
        <v>2</v>
      </c>
      <c r="R34" s="2" t="inlineStr">
        <is>
          <t>Spillkråka
Tretåig hackspett</t>
        </is>
      </c>
      <c r="S34">
        <f>HYPERLINK("https://klasma.github.io/Logging_2083/artfynd/A 15453-2021 artfynd.xlsx", "A 15453-2021")</f>
        <v/>
      </c>
      <c r="T34">
        <f>HYPERLINK("https://klasma.github.io/Logging_2083/kartor/A 15453-2021 karta.png", "A 15453-2021")</f>
        <v/>
      </c>
      <c r="V34">
        <f>HYPERLINK("https://klasma.github.io/Logging_2083/klagomål/A 15453-2021 FSC-klagomål.docx", "A 15453-2021")</f>
        <v/>
      </c>
      <c r="W34">
        <f>HYPERLINK("https://klasma.github.io/Logging_2083/klagomålsmail/A 15453-2021 FSC-klagomål mail.docx", "A 15453-2021")</f>
        <v/>
      </c>
      <c r="X34">
        <f>HYPERLINK("https://klasma.github.io/Logging_2083/tillsyn/A 15453-2021 tillsynsbegäran.docx", "A 15453-2021")</f>
        <v/>
      </c>
      <c r="Y34">
        <f>HYPERLINK("https://klasma.github.io/Logging_2083/tillsynsmail/A 15453-2021 tillsynsbegäran mail.docx", "A 15453-2021")</f>
        <v/>
      </c>
      <c r="Z34">
        <f>HYPERLINK("https://klasma.github.io/Logging_2083/fåglar/A 15453-2021 prioriterade fågelarter.docx", "A 15453-2021")</f>
        <v/>
      </c>
    </row>
    <row r="35" ht="15" customHeight="1">
      <c r="A35" t="inlineStr">
        <is>
          <t>A 28066-2021</t>
        </is>
      </c>
      <c r="B35" s="1" t="n">
        <v>44355</v>
      </c>
      <c r="C35" s="1" t="n">
        <v>45474</v>
      </c>
      <c r="D35" t="inlineStr">
        <is>
          <t>DALARNAS LÄN</t>
        </is>
      </c>
      <c r="E35" t="inlineStr">
        <is>
          <t>HEDEMORA</t>
        </is>
      </c>
      <c r="F35" t="inlineStr">
        <is>
          <t>Sveaskog</t>
        </is>
      </c>
      <c r="G35" t="n">
        <v>1.7</v>
      </c>
      <c r="H35" t="n">
        <v>1</v>
      </c>
      <c r="I35" t="n">
        <v>1</v>
      </c>
      <c r="J35" t="n">
        <v>0</v>
      </c>
      <c r="K35" t="n">
        <v>0</v>
      </c>
      <c r="L35" t="n">
        <v>0</v>
      </c>
      <c r="M35" t="n">
        <v>0</v>
      </c>
      <c r="N35" t="n">
        <v>0</v>
      </c>
      <c r="O35" t="n">
        <v>0</v>
      </c>
      <c r="P35" t="n">
        <v>0</v>
      </c>
      <c r="Q35" t="n">
        <v>2</v>
      </c>
      <c r="R35" s="2" t="inlineStr">
        <is>
          <t>Bronshjon
Vanlig groda</t>
        </is>
      </c>
      <c r="S35">
        <f>HYPERLINK("https://klasma.github.io/Logging_2083/artfynd/A 28066-2021 artfynd.xlsx", "A 28066-2021")</f>
        <v/>
      </c>
      <c r="T35">
        <f>HYPERLINK("https://klasma.github.io/Logging_2083/kartor/A 28066-2021 karta.png", "A 28066-2021")</f>
        <v/>
      </c>
      <c r="V35">
        <f>HYPERLINK("https://klasma.github.io/Logging_2083/klagomål/A 28066-2021 FSC-klagomål.docx", "A 28066-2021")</f>
        <v/>
      </c>
      <c r="W35">
        <f>HYPERLINK("https://klasma.github.io/Logging_2083/klagomålsmail/A 28066-2021 FSC-klagomål mail.docx", "A 28066-2021")</f>
        <v/>
      </c>
      <c r="X35">
        <f>HYPERLINK("https://klasma.github.io/Logging_2083/tillsyn/A 28066-2021 tillsynsbegäran.docx", "A 28066-2021")</f>
        <v/>
      </c>
      <c r="Y35">
        <f>HYPERLINK("https://klasma.github.io/Logging_2083/tillsynsmail/A 28066-2021 tillsynsbegäran mail.docx", "A 28066-2021")</f>
        <v/>
      </c>
    </row>
    <row r="36" ht="15" customHeight="1">
      <c r="A36" t="inlineStr">
        <is>
          <t>A 34361-2021</t>
        </is>
      </c>
      <c r="B36" s="1" t="n">
        <v>44379</v>
      </c>
      <c r="C36" s="1" t="n">
        <v>45474</v>
      </c>
      <c r="D36" t="inlineStr">
        <is>
          <t>DALARNAS LÄN</t>
        </is>
      </c>
      <c r="E36" t="inlineStr">
        <is>
          <t>HEDEMORA</t>
        </is>
      </c>
      <c r="F36" t="inlineStr">
        <is>
          <t>Sveaskog</t>
        </is>
      </c>
      <c r="G36" t="n">
        <v>1</v>
      </c>
      <c r="H36" t="n">
        <v>1</v>
      </c>
      <c r="I36" t="n">
        <v>0</v>
      </c>
      <c r="J36" t="n">
        <v>1</v>
      </c>
      <c r="K36" t="n">
        <v>1</v>
      </c>
      <c r="L36" t="n">
        <v>0</v>
      </c>
      <c r="M36" t="n">
        <v>0</v>
      </c>
      <c r="N36" t="n">
        <v>0</v>
      </c>
      <c r="O36" t="n">
        <v>2</v>
      </c>
      <c r="P36" t="n">
        <v>1</v>
      </c>
      <c r="Q36" t="n">
        <v>2</v>
      </c>
      <c r="R36" s="2" t="inlineStr">
        <is>
          <t>Knärot
Dofttaggsvamp</t>
        </is>
      </c>
      <c r="S36">
        <f>HYPERLINK("https://klasma.github.io/Logging_2083/artfynd/A 34361-2021 artfynd.xlsx", "A 34361-2021")</f>
        <v/>
      </c>
      <c r="T36">
        <f>HYPERLINK("https://klasma.github.io/Logging_2083/kartor/A 34361-2021 karta.png", "A 34361-2021")</f>
        <v/>
      </c>
      <c r="U36">
        <f>HYPERLINK("https://klasma.github.io/Logging_2083/knärot/A 34361-2021 karta knärot.png", "A 34361-2021")</f>
        <v/>
      </c>
      <c r="V36">
        <f>HYPERLINK("https://klasma.github.io/Logging_2083/klagomål/A 34361-2021 FSC-klagomål.docx", "A 34361-2021")</f>
        <v/>
      </c>
      <c r="W36">
        <f>HYPERLINK("https://klasma.github.io/Logging_2083/klagomålsmail/A 34361-2021 FSC-klagomål mail.docx", "A 34361-2021")</f>
        <v/>
      </c>
      <c r="X36">
        <f>HYPERLINK("https://klasma.github.io/Logging_2083/tillsyn/A 34361-2021 tillsynsbegäran.docx", "A 34361-2021")</f>
        <v/>
      </c>
      <c r="Y36">
        <f>HYPERLINK("https://klasma.github.io/Logging_2083/tillsynsmail/A 34361-2021 tillsynsbegäran mail.docx", "A 34361-2021")</f>
        <v/>
      </c>
    </row>
    <row r="37" ht="15" customHeight="1">
      <c r="A37" t="inlineStr">
        <is>
          <t>A 45884-2021</t>
        </is>
      </c>
      <c r="B37" s="1" t="n">
        <v>44441</v>
      </c>
      <c r="C37" s="1" t="n">
        <v>45474</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45474</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4031-2022</t>
        </is>
      </c>
      <c r="B39" s="1" t="n">
        <v>44588</v>
      </c>
      <c r="C39" s="1" t="n">
        <v>45474</v>
      </c>
      <c r="D39" t="inlineStr">
        <is>
          <t>DALARNAS LÄN</t>
        </is>
      </c>
      <c r="E39" t="inlineStr">
        <is>
          <t>HEDEMORA</t>
        </is>
      </c>
      <c r="F39" t="inlineStr">
        <is>
          <t>Kyrkan</t>
        </is>
      </c>
      <c r="G39" t="n">
        <v>4.3</v>
      </c>
      <c r="H39" t="n">
        <v>1</v>
      </c>
      <c r="I39" t="n">
        <v>1</v>
      </c>
      <c r="J39" t="n">
        <v>0</v>
      </c>
      <c r="K39" t="n">
        <v>0</v>
      </c>
      <c r="L39" t="n">
        <v>0</v>
      </c>
      <c r="M39" t="n">
        <v>0</v>
      </c>
      <c r="N39" t="n">
        <v>0</v>
      </c>
      <c r="O39" t="n">
        <v>0</v>
      </c>
      <c r="P39" t="n">
        <v>0</v>
      </c>
      <c r="Q39" t="n">
        <v>2</v>
      </c>
      <c r="R39" s="2" t="inlineStr">
        <is>
          <t>Stubbspretmossa
Blåsippa</t>
        </is>
      </c>
      <c r="S39">
        <f>HYPERLINK("https://klasma.github.io/Logging_2083/artfynd/A 4031-2022 artfynd.xlsx", "A 4031-2022")</f>
        <v/>
      </c>
      <c r="T39">
        <f>HYPERLINK("https://klasma.github.io/Logging_2083/kartor/A 4031-2022 karta.png", "A 4031-2022")</f>
        <v/>
      </c>
      <c r="V39">
        <f>HYPERLINK("https://klasma.github.io/Logging_2083/klagomål/A 4031-2022 FSC-klagomål.docx", "A 4031-2022")</f>
        <v/>
      </c>
      <c r="W39">
        <f>HYPERLINK("https://klasma.github.io/Logging_2083/klagomålsmail/A 4031-2022 FSC-klagomål mail.docx", "A 4031-2022")</f>
        <v/>
      </c>
      <c r="X39">
        <f>HYPERLINK("https://klasma.github.io/Logging_2083/tillsyn/A 4031-2022 tillsynsbegäran.docx", "A 4031-2022")</f>
        <v/>
      </c>
      <c r="Y39">
        <f>HYPERLINK("https://klasma.github.io/Logging_2083/tillsynsmail/A 4031-2022 tillsynsbegäran mail.docx", "A 4031-2022")</f>
        <v/>
      </c>
    </row>
    <row r="40" ht="15" customHeight="1">
      <c r="A40" t="inlineStr">
        <is>
          <t>A 11751-2023</t>
        </is>
      </c>
      <c r="B40" s="1" t="n">
        <v>44994</v>
      </c>
      <c r="C40" s="1" t="n">
        <v>45474</v>
      </c>
      <c r="D40" t="inlineStr">
        <is>
          <t>DALARNAS LÄN</t>
        </is>
      </c>
      <c r="E40" t="inlineStr">
        <is>
          <t>HEDEMORA</t>
        </is>
      </c>
      <c r="G40" t="n">
        <v>3.7</v>
      </c>
      <c r="H40" t="n">
        <v>1</v>
      </c>
      <c r="I40" t="n">
        <v>0</v>
      </c>
      <c r="J40" t="n">
        <v>1</v>
      </c>
      <c r="K40" t="n">
        <v>0</v>
      </c>
      <c r="L40" t="n">
        <v>0</v>
      </c>
      <c r="M40" t="n">
        <v>0</v>
      </c>
      <c r="N40" t="n">
        <v>0</v>
      </c>
      <c r="O40" t="n">
        <v>1</v>
      </c>
      <c r="P40" t="n">
        <v>0</v>
      </c>
      <c r="Q40" t="n">
        <v>2</v>
      </c>
      <c r="R40" s="2" t="inlineStr">
        <is>
          <t>Vedtrappmossa
Blåsippa</t>
        </is>
      </c>
      <c r="S40">
        <f>HYPERLINK("https://klasma.github.io/Logging_2083/artfynd/A 11751-2023 artfynd.xlsx", "A 11751-2023")</f>
        <v/>
      </c>
      <c r="T40">
        <f>HYPERLINK("https://klasma.github.io/Logging_2083/kartor/A 11751-2023 karta.png", "A 11751-2023")</f>
        <v/>
      </c>
      <c r="V40">
        <f>HYPERLINK("https://klasma.github.io/Logging_2083/klagomål/A 11751-2023 FSC-klagomål.docx", "A 11751-2023")</f>
        <v/>
      </c>
      <c r="W40">
        <f>HYPERLINK("https://klasma.github.io/Logging_2083/klagomålsmail/A 11751-2023 FSC-klagomål mail.docx", "A 11751-2023")</f>
        <v/>
      </c>
      <c r="X40">
        <f>HYPERLINK("https://klasma.github.io/Logging_2083/tillsyn/A 11751-2023 tillsynsbegäran.docx", "A 11751-2023")</f>
        <v/>
      </c>
      <c r="Y40">
        <f>HYPERLINK("https://klasma.github.io/Logging_2083/tillsynsmail/A 11751-2023 tillsynsbegäran mail.docx", "A 11751-2023")</f>
        <v/>
      </c>
    </row>
    <row r="41" ht="15" customHeight="1">
      <c r="A41" t="inlineStr">
        <is>
          <t>A 13916-2023</t>
        </is>
      </c>
      <c r="B41" s="1" t="n">
        <v>45008</v>
      </c>
      <c r="C41" s="1" t="n">
        <v>45474</v>
      </c>
      <c r="D41" t="inlineStr">
        <is>
          <t>DALARNAS LÄN</t>
        </is>
      </c>
      <c r="E41" t="inlineStr">
        <is>
          <t>HEDEMORA</t>
        </is>
      </c>
      <c r="G41" t="n">
        <v>3.9</v>
      </c>
      <c r="H41" t="n">
        <v>1</v>
      </c>
      <c r="I41" t="n">
        <v>0</v>
      </c>
      <c r="J41" t="n">
        <v>1</v>
      </c>
      <c r="K41" t="n">
        <v>1</v>
      </c>
      <c r="L41" t="n">
        <v>0</v>
      </c>
      <c r="M41" t="n">
        <v>0</v>
      </c>
      <c r="N41" t="n">
        <v>0</v>
      </c>
      <c r="O41" t="n">
        <v>2</v>
      </c>
      <c r="P41" t="n">
        <v>1</v>
      </c>
      <c r="Q41" t="n">
        <v>2</v>
      </c>
      <c r="R41" s="2" t="inlineStr">
        <is>
          <t>Knärot
Skrovlig flatbagge</t>
        </is>
      </c>
      <c r="S41">
        <f>HYPERLINK("https://klasma.github.io/Logging_2083/artfynd/A 13916-2023 artfynd.xlsx", "A 13916-2023")</f>
        <v/>
      </c>
      <c r="T41">
        <f>HYPERLINK("https://klasma.github.io/Logging_2083/kartor/A 13916-2023 karta.png", "A 13916-2023")</f>
        <v/>
      </c>
      <c r="U41">
        <f>HYPERLINK("https://klasma.github.io/Logging_2083/knärot/A 13916-2023 karta knärot.png", "A 13916-2023")</f>
        <v/>
      </c>
      <c r="V41">
        <f>HYPERLINK("https://klasma.github.io/Logging_2083/klagomål/A 13916-2023 FSC-klagomål.docx", "A 13916-2023")</f>
        <v/>
      </c>
      <c r="W41">
        <f>HYPERLINK("https://klasma.github.io/Logging_2083/klagomålsmail/A 13916-2023 FSC-klagomål mail.docx", "A 13916-2023")</f>
        <v/>
      </c>
      <c r="X41">
        <f>HYPERLINK("https://klasma.github.io/Logging_2083/tillsyn/A 13916-2023 tillsynsbegäran.docx", "A 13916-2023")</f>
        <v/>
      </c>
      <c r="Y41">
        <f>HYPERLINK("https://klasma.github.io/Logging_2083/tillsynsmail/A 13916-2023 tillsynsbegäran mail.docx", "A 13916-2023")</f>
        <v/>
      </c>
    </row>
    <row r="42" ht="15" customHeight="1">
      <c r="A42" t="inlineStr">
        <is>
          <t>A 13989-2023</t>
        </is>
      </c>
      <c r="B42" s="1" t="n">
        <v>45008</v>
      </c>
      <c r="C42" s="1" t="n">
        <v>45474</v>
      </c>
      <c r="D42" t="inlineStr">
        <is>
          <t>DALARNAS LÄN</t>
        </is>
      </c>
      <c r="E42" t="inlineStr">
        <is>
          <t>HEDEMORA</t>
        </is>
      </c>
      <c r="G42" t="n">
        <v>1.2</v>
      </c>
      <c r="H42" t="n">
        <v>1</v>
      </c>
      <c r="I42" t="n">
        <v>1</v>
      </c>
      <c r="J42" t="n">
        <v>0</v>
      </c>
      <c r="K42" t="n">
        <v>1</v>
      </c>
      <c r="L42" t="n">
        <v>0</v>
      </c>
      <c r="M42" t="n">
        <v>0</v>
      </c>
      <c r="N42" t="n">
        <v>0</v>
      </c>
      <c r="O42" t="n">
        <v>1</v>
      </c>
      <c r="P42" t="n">
        <v>1</v>
      </c>
      <c r="Q42" t="n">
        <v>2</v>
      </c>
      <c r="R42" s="2" t="inlineStr">
        <is>
          <t>Knärot
Bronshjon</t>
        </is>
      </c>
      <c r="S42">
        <f>HYPERLINK("https://klasma.github.io/Logging_2083/artfynd/A 13989-2023 artfynd.xlsx", "A 13989-2023")</f>
        <v/>
      </c>
      <c r="T42">
        <f>HYPERLINK("https://klasma.github.io/Logging_2083/kartor/A 13989-2023 karta.png", "A 13989-2023")</f>
        <v/>
      </c>
      <c r="U42">
        <f>HYPERLINK("https://klasma.github.io/Logging_2083/knärot/A 13989-2023 karta knärot.png", "A 13989-2023")</f>
        <v/>
      </c>
      <c r="V42">
        <f>HYPERLINK("https://klasma.github.io/Logging_2083/klagomål/A 13989-2023 FSC-klagomål.docx", "A 13989-2023")</f>
        <v/>
      </c>
      <c r="W42">
        <f>HYPERLINK("https://klasma.github.io/Logging_2083/klagomålsmail/A 13989-2023 FSC-klagomål mail.docx", "A 13989-2023")</f>
        <v/>
      </c>
      <c r="X42">
        <f>HYPERLINK("https://klasma.github.io/Logging_2083/tillsyn/A 13989-2023 tillsynsbegäran.docx", "A 13989-2023")</f>
        <v/>
      </c>
      <c r="Y42">
        <f>HYPERLINK("https://klasma.github.io/Logging_2083/tillsynsmail/A 13989-2023 tillsynsbegäran mail.docx", "A 13989-2023")</f>
        <v/>
      </c>
    </row>
    <row r="43" ht="15" customHeight="1">
      <c r="A43" t="inlineStr">
        <is>
          <t>A 30944-2023</t>
        </is>
      </c>
      <c r="B43" s="1" t="n">
        <v>45113</v>
      </c>
      <c r="C43" s="1" t="n">
        <v>45474</v>
      </c>
      <c r="D43" t="inlineStr">
        <is>
          <t>DALARNAS LÄN</t>
        </is>
      </c>
      <c r="E43" t="inlineStr">
        <is>
          <t>HEDEMORA</t>
        </is>
      </c>
      <c r="F43" t="inlineStr">
        <is>
          <t>Sveaskog</t>
        </is>
      </c>
      <c r="G43" t="n">
        <v>5.3</v>
      </c>
      <c r="H43" t="n">
        <v>2</v>
      </c>
      <c r="I43" t="n">
        <v>0</v>
      </c>
      <c r="J43" t="n">
        <v>0</v>
      </c>
      <c r="K43" t="n">
        <v>1</v>
      </c>
      <c r="L43" t="n">
        <v>0</v>
      </c>
      <c r="M43" t="n">
        <v>0</v>
      </c>
      <c r="N43" t="n">
        <v>0</v>
      </c>
      <c r="O43" t="n">
        <v>1</v>
      </c>
      <c r="P43" t="n">
        <v>1</v>
      </c>
      <c r="Q43" t="n">
        <v>2</v>
      </c>
      <c r="R43" s="2" t="inlineStr">
        <is>
          <t>Knärot
Fläcknycklar</t>
        </is>
      </c>
      <c r="S43">
        <f>HYPERLINK("https://klasma.github.io/Logging_2083/artfynd/A 30944-2023 artfynd.xlsx", "A 30944-2023")</f>
        <v/>
      </c>
      <c r="T43">
        <f>HYPERLINK("https://klasma.github.io/Logging_2083/kartor/A 30944-2023 karta.png", "A 30944-2023")</f>
        <v/>
      </c>
      <c r="U43">
        <f>HYPERLINK("https://klasma.github.io/Logging_2083/knärot/A 30944-2023 karta knärot.png", "A 30944-2023")</f>
        <v/>
      </c>
      <c r="V43">
        <f>HYPERLINK("https://klasma.github.io/Logging_2083/klagomål/A 30944-2023 FSC-klagomål.docx", "A 30944-2023")</f>
        <v/>
      </c>
      <c r="W43">
        <f>HYPERLINK("https://klasma.github.io/Logging_2083/klagomålsmail/A 30944-2023 FSC-klagomål mail.docx", "A 30944-2023")</f>
        <v/>
      </c>
      <c r="X43">
        <f>HYPERLINK("https://klasma.github.io/Logging_2083/tillsyn/A 30944-2023 tillsynsbegäran.docx", "A 30944-2023")</f>
        <v/>
      </c>
      <c r="Y43">
        <f>HYPERLINK("https://klasma.github.io/Logging_2083/tillsynsmail/A 30944-2023 tillsynsbegäran mail.docx", "A 30944-2023")</f>
        <v/>
      </c>
    </row>
    <row r="44" ht="15" customHeight="1">
      <c r="A44" t="inlineStr">
        <is>
          <t>A 59035-2023</t>
        </is>
      </c>
      <c r="B44" s="1" t="n">
        <v>45252</v>
      </c>
      <c r="C44" s="1" t="n">
        <v>45474</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64277-2023</t>
        </is>
      </c>
      <c r="B45" s="1" t="n">
        <v>45280</v>
      </c>
      <c r="C45" s="1" t="n">
        <v>45474</v>
      </c>
      <c r="D45" t="inlineStr">
        <is>
          <t>DALARNAS LÄN</t>
        </is>
      </c>
      <c r="E45" t="inlineStr">
        <is>
          <t>HEDEMORA</t>
        </is>
      </c>
      <c r="G45" t="n">
        <v>3.1</v>
      </c>
      <c r="H45" t="n">
        <v>0</v>
      </c>
      <c r="I45" t="n">
        <v>2</v>
      </c>
      <c r="J45" t="n">
        <v>0</v>
      </c>
      <c r="K45" t="n">
        <v>0</v>
      </c>
      <c r="L45" t="n">
        <v>0</v>
      </c>
      <c r="M45" t="n">
        <v>0</v>
      </c>
      <c r="N45" t="n">
        <v>0</v>
      </c>
      <c r="O45" t="n">
        <v>0</v>
      </c>
      <c r="P45" t="n">
        <v>0</v>
      </c>
      <c r="Q45" t="n">
        <v>2</v>
      </c>
      <c r="R45" s="2" t="inlineStr">
        <is>
          <t>Bronshjon
Thomsons trägnagare</t>
        </is>
      </c>
      <c r="S45">
        <f>HYPERLINK("https://klasma.github.io/Logging_2083/artfynd/A 64277-2023 artfynd.xlsx", "A 64277-2023")</f>
        <v/>
      </c>
      <c r="T45">
        <f>HYPERLINK("https://klasma.github.io/Logging_2083/kartor/A 64277-2023 karta.png", "A 64277-2023")</f>
        <v/>
      </c>
      <c r="V45">
        <f>HYPERLINK("https://klasma.github.io/Logging_2083/klagomål/A 64277-2023 FSC-klagomål.docx", "A 64277-2023")</f>
        <v/>
      </c>
      <c r="W45">
        <f>HYPERLINK("https://klasma.github.io/Logging_2083/klagomålsmail/A 64277-2023 FSC-klagomål mail.docx", "A 64277-2023")</f>
        <v/>
      </c>
      <c r="X45">
        <f>HYPERLINK("https://klasma.github.io/Logging_2083/tillsyn/A 64277-2023 tillsynsbegäran.docx", "A 64277-2023")</f>
        <v/>
      </c>
      <c r="Y45">
        <f>HYPERLINK("https://klasma.github.io/Logging_2083/tillsynsmail/A 64277-2023 tillsynsbegäran mail.docx", "A 64277-2023")</f>
        <v/>
      </c>
    </row>
    <row r="46" ht="15" customHeight="1">
      <c r="A46" t="inlineStr">
        <is>
          <t>A 19352-2024</t>
        </is>
      </c>
      <c r="B46" s="1" t="n">
        <v>45429</v>
      </c>
      <c r="C46" s="1" t="n">
        <v>45474</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9058-2020</t>
        </is>
      </c>
      <c r="B47" s="1" t="n">
        <v>43879</v>
      </c>
      <c r="C47" s="1" t="n">
        <v>45474</v>
      </c>
      <c r="D47" t="inlineStr">
        <is>
          <t>DALARNAS LÄN</t>
        </is>
      </c>
      <c r="E47" t="inlineStr">
        <is>
          <t>HEDEMORA</t>
        </is>
      </c>
      <c r="G47" t="n">
        <v>0.5</v>
      </c>
      <c r="H47" t="n">
        <v>0</v>
      </c>
      <c r="I47" t="n">
        <v>1</v>
      </c>
      <c r="J47" t="n">
        <v>0</v>
      </c>
      <c r="K47" t="n">
        <v>0</v>
      </c>
      <c r="L47" t="n">
        <v>0</v>
      </c>
      <c r="M47" t="n">
        <v>0</v>
      </c>
      <c r="N47" t="n">
        <v>0</v>
      </c>
      <c r="O47" t="n">
        <v>0</v>
      </c>
      <c r="P47" t="n">
        <v>0</v>
      </c>
      <c r="Q47" t="n">
        <v>1</v>
      </c>
      <c r="R47" s="2" t="inlineStr">
        <is>
          <t>Tibast</t>
        </is>
      </c>
      <c r="S47">
        <f>HYPERLINK("https://klasma.github.io/Logging_2083/artfynd/A 9058-2020 artfynd.xlsx", "A 9058-2020")</f>
        <v/>
      </c>
      <c r="T47">
        <f>HYPERLINK("https://klasma.github.io/Logging_2083/kartor/A 9058-2020 karta.png", "A 9058-2020")</f>
        <v/>
      </c>
      <c r="V47">
        <f>HYPERLINK("https://klasma.github.io/Logging_2083/klagomål/A 9058-2020 FSC-klagomål.docx", "A 9058-2020")</f>
        <v/>
      </c>
      <c r="W47">
        <f>HYPERLINK("https://klasma.github.io/Logging_2083/klagomålsmail/A 9058-2020 FSC-klagomål mail.docx", "A 9058-2020")</f>
        <v/>
      </c>
      <c r="X47">
        <f>HYPERLINK("https://klasma.github.io/Logging_2083/tillsyn/A 9058-2020 tillsynsbegäran.docx", "A 9058-2020")</f>
        <v/>
      </c>
      <c r="Y47">
        <f>HYPERLINK("https://klasma.github.io/Logging_2083/tillsynsmail/A 9058-2020 tillsynsbegäran mail.docx", "A 9058-2020")</f>
        <v/>
      </c>
    </row>
    <row r="48" ht="15" customHeight="1">
      <c r="A48" t="inlineStr">
        <is>
          <t>A 9056-2020</t>
        </is>
      </c>
      <c r="B48" s="1" t="n">
        <v>43879</v>
      </c>
      <c r="C48" s="1" t="n">
        <v>45474</v>
      </c>
      <c r="D48" t="inlineStr">
        <is>
          <t>DALARNAS LÄN</t>
        </is>
      </c>
      <c r="E48" t="inlineStr">
        <is>
          <t>HEDEMORA</t>
        </is>
      </c>
      <c r="G48" t="n">
        <v>1.4</v>
      </c>
      <c r="H48" t="n">
        <v>0</v>
      </c>
      <c r="I48" t="n">
        <v>0</v>
      </c>
      <c r="J48" t="n">
        <v>1</v>
      </c>
      <c r="K48" t="n">
        <v>0</v>
      </c>
      <c r="L48" t="n">
        <v>0</v>
      </c>
      <c r="M48" t="n">
        <v>0</v>
      </c>
      <c r="N48" t="n">
        <v>0</v>
      </c>
      <c r="O48" t="n">
        <v>1</v>
      </c>
      <c r="P48" t="n">
        <v>0</v>
      </c>
      <c r="Q48" t="n">
        <v>1</v>
      </c>
      <c r="R48" s="2" t="inlineStr">
        <is>
          <t>Garnlav</t>
        </is>
      </c>
      <c r="S48">
        <f>HYPERLINK("https://klasma.github.io/Logging_2083/artfynd/A 9056-2020 artfynd.xlsx", "A 9056-2020")</f>
        <v/>
      </c>
      <c r="T48">
        <f>HYPERLINK("https://klasma.github.io/Logging_2083/kartor/A 9056-2020 karta.png", "A 9056-2020")</f>
        <v/>
      </c>
      <c r="V48">
        <f>HYPERLINK("https://klasma.github.io/Logging_2083/klagomål/A 9056-2020 FSC-klagomål.docx", "A 9056-2020")</f>
        <v/>
      </c>
      <c r="W48">
        <f>HYPERLINK("https://klasma.github.io/Logging_2083/klagomålsmail/A 9056-2020 FSC-klagomål mail.docx", "A 9056-2020")</f>
        <v/>
      </c>
      <c r="X48">
        <f>HYPERLINK("https://klasma.github.io/Logging_2083/tillsyn/A 9056-2020 tillsynsbegäran.docx", "A 9056-2020")</f>
        <v/>
      </c>
      <c r="Y48">
        <f>HYPERLINK("https://klasma.github.io/Logging_2083/tillsynsmail/A 9056-2020 tillsynsbegäran mail.docx", "A 9056-2020")</f>
        <v/>
      </c>
    </row>
    <row r="49" ht="15" customHeight="1">
      <c r="A49" t="inlineStr">
        <is>
          <t>A 11129-2020</t>
        </is>
      </c>
      <c r="B49" s="1" t="n">
        <v>43889</v>
      </c>
      <c r="C49" s="1" t="n">
        <v>45474</v>
      </c>
      <c r="D49" t="inlineStr">
        <is>
          <t>DALARNAS LÄN</t>
        </is>
      </c>
      <c r="E49" t="inlineStr">
        <is>
          <t>HEDEMORA</t>
        </is>
      </c>
      <c r="G49" t="n">
        <v>2.1</v>
      </c>
      <c r="H49" t="n">
        <v>0</v>
      </c>
      <c r="I49" t="n">
        <v>1</v>
      </c>
      <c r="J49" t="n">
        <v>0</v>
      </c>
      <c r="K49" t="n">
        <v>0</v>
      </c>
      <c r="L49" t="n">
        <v>0</v>
      </c>
      <c r="M49" t="n">
        <v>0</v>
      </c>
      <c r="N49" t="n">
        <v>0</v>
      </c>
      <c r="O49" t="n">
        <v>0</v>
      </c>
      <c r="P49" t="n">
        <v>0</v>
      </c>
      <c r="Q49" t="n">
        <v>1</v>
      </c>
      <c r="R49" s="2" t="inlineStr">
        <is>
          <t>Bollvitmossa</t>
        </is>
      </c>
      <c r="S49">
        <f>HYPERLINK("https://klasma.github.io/Logging_2083/artfynd/A 11129-2020 artfynd.xlsx", "A 11129-2020")</f>
        <v/>
      </c>
      <c r="T49">
        <f>HYPERLINK("https://klasma.github.io/Logging_2083/kartor/A 11129-2020 karta.png", "A 11129-2020")</f>
        <v/>
      </c>
      <c r="V49">
        <f>HYPERLINK("https://klasma.github.io/Logging_2083/klagomål/A 11129-2020 FSC-klagomål.docx", "A 11129-2020")</f>
        <v/>
      </c>
      <c r="W49">
        <f>HYPERLINK("https://klasma.github.io/Logging_2083/klagomålsmail/A 11129-2020 FSC-klagomål mail.docx", "A 11129-2020")</f>
        <v/>
      </c>
      <c r="X49">
        <f>HYPERLINK("https://klasma.github.io/Logging_2083/tillsyn/A 11129-2020 tillsynsbegäran.docx", "A 11129-2020")</f>
        <v/>
      </c>
      <c r="Y49">
        <f>HYPERLINK("https://klasma.github.io/Logging_2083/tillsynsmail/A 11129-2020 tillsynsbegäran mail.docx", "A 11129-2020")</f>
        <v/>
      </c>
    </row>
    <row r="50" ht="15" customHeight="1">
      <c r="A50" t="inlineStr">
        <is>
          <t>A 17882-2020</t>
        </is>
      </c>
      <c r="B50" s="1" t="n">
        <v>43924</v>
      </c>
      <c r="C50" s="1" t="n">
        <v>45474</v>
      </c>
      <c r="D50" t="inlineStr">
        <is>
          <t>DALARNAS LÄN</t>
        </is>
      </c>
      <c r="E50" t="inlineStr">
        <is>
          <t>HEDEMORA</t>
        </is>
      </c>
      <c r="G50" t="n">
        <v>9.300000000000001</v>
      </c>
      <c r="H50" t="n">
        <v>1</v>
      </c>
      <c r="I50" t="n">
        <v>0</v>
      </c>
      <c r="J50" t="n">
        <v>0</v>
      </c>
      <c r="K50" t="n">
        <v>0</v>
      </c>
      <c r="L50" t="n">
        <v>0</v>
      </c>
      <c r="M50" t="n">
        <v>0</v>
      </c>
      <c r="N50" t="n">
        <v>0</v>
      </c>
      <c r="O50" t="n">
        <v>0</v>
      </c>
      <c r="P50" t="n">
        <v>0</v>
      </c>
      <c r="Q50" t="n">
        <v>1</v>
      </c>
      <c r="R50" s="2" t="inlineStr">
        <is>
          <t>Tjäder</t>
        </is>
      </c>
      <c r="S50">
        <f>HYPERLINK("https://klasma.github.io/Logging_2083/artfynd/A 17882-2020 artfynd.xlsx", "A 17882-2020")</f>
        <v/>
      </c>
      <c r="T50">
        <f>HYPERLINK("https://klasma.github.io/Logging_2083/kartor/A 17882-2020 karta.png", "A 17882-2020")</f>
        <v/>
      </c>
      <c r="V50">
        <f>HYPERLINK("https://klasma.github.io/Logging_2083/klagomål/A 17882-2020 FSC-klagomål.docx", "A 17882-2020")</f>
        <v/>
      </c>
      <c r="W50">
        <f>HYPERLINK("https://klasma.github.io/Logging_2083/klagomålsmail/A 17882-2020 FSC-klagomål mail.docx", "A 17882-2020")</f>
        <v/>
      </c>
      <c r="X50">
        <f>HYPERLINK("https://klasma.github.io/Logging_2083/tillsyn/A 17882-2020 tillsynsbegäran.docx", "A 17882-2020")</f>
        <v/>
      </c>
      <c r="Y50">
        <f>HYPERLINK("https://klasma.github.io/Logging_2083/tillsynsmail/A 17882-2020 tillsynsbegäran mail.docx", "A 17882-2020")</f>
        <v/>
      </c>
      <c r="Z50">
        <f>HYPERLINK("https://klasma.github.io/Logging_2083/fåglar/A 17882-2020 prioriterade fågelarter.docx", "A 17882-2020")</f>
        <v/>
      </c>
    </row>
    <row r="51" ht="15" customHeight="1">
      <c r="A51" t="inlineStr">
        <is>
          <t>A 29857-2020</t>
        </is>
      </c>
      <c r="B51" s="1" t="n">
        <v>44006</v>
      </c>
      <c r="C51" s="1" t="n">
        <v>45474</v>
      </c>
      <c r="D51" t="inlineStr">
        <is>
          <t>DALARNAS LÄN</t>
        </is>
      </c>
      <c r="E51" t="inlineStr">
        <is>
          <t>HEDEMORA</t>
        </is>
      </c>
      <c r="G51" t="n">
        <v>0.4</v>
      </c>
      <c r="H51" t="n">
        <v>1</v>
      </c>
      <c r="I51" t="n">
        <v>0</v>
      </c>
      <c r="J51" t="n">
        <v>1</v>
      </c>
      <c r="K51" t="n">
        <v>0</v>
      </c>
      <c r="L51" t="n">
        <v>0</v>
      </c>
      <c r="M51" t="n">
        <v>0</v>
      </c>
      <c r="N51" t="n">
        <v>0</v>
      </c>
      <c r="O51" t="n">
        <v>1</v>
      </c>
      <c r="P51" t="n">
        <v>0</v>
      </c>
      <c r="Q51" t="n">
        <v>1</v>
      </c>
      <c r="R51" s="2" t="inlineStr">
        <is>
          <t>Gulsparv</t>
        </is>
      </c>
      <c r="S51">
        <f>HYPERLINK("https://klasma.github.io/Logging_2083/artfynd/A 29857-2020 artfynd.xlsx", "A 29857-2020")</f>
        <v/>
      </c>
      <c r="T51">
        <f>HYPERLINK("https://klasma.github.io/Logging_2083/kartor/A 29857-2020 karta.png", "A 29857-2020")</f>
        <v/>
      </c>
      <c r="V51">
        <f>HYPERLINK("https://klasma.github.io/Logging_2083/klagomål/A 29857-2020 FSC-klagomål.docx", "A 29857-2020")</f>
        <v/>
      </c>
      <c r="W51">
        <f>HYPERLINK("https://klasma.github.io/Logging_2083/klagomålsmail/A 29857-2020 FSC-klagomål mail.docx", "A 29857-2020")</f>
        <v/>
      </c>
      <c r="X51">
        <f>HYPERLINK("https://klasma.github.io/Logging_2083/tillsyn/A 29857-2020 tillsynsbegäran.docx", "A 29857-2020")</f>
        <v/>
      </c>
      <c r="Y51">
        <f>HYPERLINK("https://klasma.github.io/Logging_2083/tillsynsmail/A 29857-2020 tillsynsbegäran mail.docx", "A 29857-2020")</f>
        <v/>
      </c>
      <c r="Z51">
        <f>HYPERLINK("https://klasma.github.io/Logging_2083/fåglar/A 29857-2020 prioriterade fågelarter.docx", "A 29857-2020")</f>
        <v/>
      </c>
    </row>
    <row r="52" ht="15" customHeight="1">
      <c r="A52" t="inlineStr">
        <is>
          <t>A 49767-2020</t>
        </is>
      </c>
      <c r="B52" s="1" t="n">
        <v>44106</v>
      </c>
      <c r="C52" s="1" t="n">
        <v>45474</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45474</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45474</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45474</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45474</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45474</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45474</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45474</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45474</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45474</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c r="Z61">
        <f>HYPERLINK("https://klasma.github.io/Logging_2083/fåglar/A 53916-2022 prioriterade fågelarter.docx", "A 53916-2022")</f>
        <v/>
      </c>
    </row>
    <row r="62" ht="15" customHeight="1">
      <c r="A62" t="inlineStr">
        <is>
          <t>A 55144-2022</t>
        </is>
      </c>
      <c r="B62" s="1" t="n">
        <v>44886</v>
      </c>
      <c r="C62" s="1" t="n">
        <v>45474</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45474</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45474</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45474</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c r="Z65">
        <f>HYPERLINK("https://klasma.github.io/Logging_2083/fåglar/A 20231-2023 prioriterade fågelarter.docx", "A 20231-2023")</f>
        <v/>
      </c>
    </row>
    <row r="66" ht="15" customHeight="1">
      <c r="A66" t="inlineStr">
        <is>
          <t>A 21147-2023</t>
        </is>
      </c>
      <c r="B66" s="1" t="n">
        <v>45057</v>
      </c>
      <c r="C66" s="1" t="n">
        <v>45474</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45474</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45474</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45474</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45474</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45474</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c r="Z71">
        <f>HYPERLINK("https://klasma.github.io/Logging_2083/fåglar/A 35321-2023 prioriterade fågelarter.docx", "A 35321-2023")</f>
        <v/>
      </c>
    </row>
    <row r="72" ht="15" customHeight="1">
      <c r="A72" t="inlineStr">
        <is>
          <t>A 36849-2023</t>
        </is>
      </c>
      <c r="B72" s="1" t="n">
        <v>45154</v>
      </c>
      <c r="C72" s="1" t="n">
        <v>45474</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45474</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41477-2023</t>
        </is>
      </c>
      <c r="B74" s="1" t="n">
        <v>45171</v>
      </c>
      <c r="C74" s="1" t="n">
        <v>45474</v>
      </c>
      <c r="D74" t="inlineStr">
        <is>
          <t>DALARNAS LÄN</t>
        </is>
      </c>
      <c r="E74" t="inlineStr">
        <is>
          <t>HEDEMORA</t>
        </is>
      </c>
      <c r="F74" t="inlineStr">
        <is>
          <t>Bergvik skog väst AB</t>
        </is>
      </c>
      <c r="G74" t="n">
        <v>9.1</v>
      </c>
      <c r="H74" t="n">
        <v>0</v>
      </c>
      <c r="I74" t="n">
        <v>1</v>
      </c>
      <c r="J74" t="n">
        <v>0</v>
      </c>
      <c r="K74" t="n">
        <v>0</v>
      </c>
      <c r="L74" t="n">
        <v>0</v>
      </c>
      <c r="M74" t="n">
        <v>0</v>
      </c>
      <c r="N74" t="n">
        <v>0</v>
      </c>
      <c r="O74" t="n">
        <v>0</v>
      </c>
      <c r="P74" t="n">
        <v>0</v>
      </c>
      <c r="Q74" t="n">
        <v>1</v>
      </c>
      <c r="R74" s="2" t="inlineStr">
        <is>
          <t>Ögonpyrola</t>
        </is>
      </c>
      <c r="S74">
        <f>HYPERLINK("https://klasma.github.io/Logging_2083/artfynd/A 41477-2023 artfynd.xlsx", "A 41477-2023")</f>
        <v/>
      </c>
      <c r="T74">
        <f>HYPERLINK("https://klasma.github.io/Logging_2083/kartor/A 41477-2023 karta.png", "A 41477-2023")</f>
        <v/>
      </c>
      <c r="V74">
        <f>HYPERLINK("https://klasma.github.io/Logging_2083/klagomål/A 41477-2023 FSC-klagomål.docx", "A 41477-2023")</f>
        <v/>
      </c>
      <c r="W74">
        <f>HYPERLINK("https://klasma.github.io/Logging_2083/klagomålsmail/A 41477-2023 FSC-klagomål mail.docx", "A 41477-2023")</f>
        <v/>
      </c>
      <c r="X74">
        <f>HYPERLINK("https://klasma.github.io/Logging_2083/tillsyn/A 41477-2023 tillsynsbegäran.docx", "A 41477-2023")</f>
        <v/>
      </c>
      <c r="Y74">
        <f>HYPERLINK("https://klasma.github.io/Logging_2083/tillsynsmail/A 41477-2023 tillsynsbegäran mail.docx", "A 41477-2023")</f>
        <v/>
      </c>
    </row>
    <row r="75" ht="15" customHeight="1">
      <c r="A75" t="inlineStr">
        <is>
          <t>A 41078-2023</t>
        </is>
      </c>
      <c r="B75" s="1" t="n">
        <v>45173</v>
      </c>
      <c r="C75" s="1" t="n">
        <v>45474</v>
      </c>
      <c r="D75" t="inlineStr">
        <is>
          <t>DALARNAS LÄN</t>
        </is>
      </c>
      <c r="E75" t="inlineStr">
        <is>
          <t>HEDEMORA</t>
        </is>
      </c>
      <c r="G75" t="n">
        <v>10.3</v>
      </c>
      <c r="H75" t="n">
        <v>0</v>
      </c>
      <c r="I75" t="n">
        <v>1</v>
      </c>
      <c r="J75" t="n">
        <v>0</v>
      </c>
      <c r="K75" t="n">
        <v>0</v>
      </c>
      <c r="L75" t="n">
        <v>0</v>
      </c>
      <c r="M75" t="n">
        <v>0</v>
      </c>
      <c r="N75" t="n">
        <v>0</v>
      </c>
      <c r="O75" t="n">
        <v>0</v>
      </c>
      <c r="P75" t="n">
        <v>0</v>
      </c>
      <c r="Q75" t="n">
        <v>1</v>
      </c>
      <c r="R75" s="2" t="inlineStr">
        <is>
          <t>Bronshjon</t>
        </is>
      </c>
      <c r="S75">
        <f>HYPERLINK("https://klasma.github.io/Logging_2083/artfynd/A 41078-2023 artfynd.xlsx", "A 41078-2023")</f>
        <v/>
      </c>
      <c r="T75">
        <f>HYPERLINK("https://klasma.github.io/Logging_2083/kartor/A 41078-2023 karta.png", "A 41078-2023")</f>
        <v/>
      </c>
      <c r="V75">
        <f>HYPERLINK("https://klasma.github.io/Logging_2083/klagomål/A 41078-2023 FSC-klagomål.docx", "A 41078-2023")</f>
        <v/>
      </c>
      <c r="W75">
        <f>HYPERLINK("https://klasma.github.io/Logging_2083/klagomålsmail/A 41078-2023 FSC-klagomål mail.docx", "A 41078-2023")</f>
        <v/>
      </c>
      <c r="X75">
        <f>HYPERLINK("https://klasma.github.io/Logging_2083/tillsyn/A 41078-2023 tillsynsbegäran.docx", "A 41078-2023")</f>
        <v/>
      </c>
      <c r="Y75">
        <f>HYPERLINK("https://klasma.github.io/Logging_2083/tillsynsmail/A 41078-2023 tillsynsbegäran mail.docx", "A 41078-2023")</f>
        <v/>
      </c>
    </row>
    <row r="76" ht="15" customHeight="1">
      <c r="A76" t="inlineStr">
        <is>
          <t>A 59376-2023</t>
        </is>
      </c>
      <c r="B76" s="1" t="n">
        <v>45253</v>
      </c>
      <c r="C76" s="1" t="n">
        <v>45474</v>
      </c>
      <c r="D76" t="inlineStr">
        <is>
          <t>DALARNAS LÄN</t>
        </is>
      </c>
      <c r="E76" t="inlineStr">
        <is>
          <t>HEDEMORA</t>
        </is>
      </c>
      <c r="F76" t="inlineStr">
        <is>
          <t>Sveaskog</t>
        </is>
      </c>
      <c r="G76" t="n">
        <v>2.4</v>
      </c>
      <c r="H76" t="n">
        <v>1</v>
      </c>
      <c r="I76" t="n">
        <v>0</v>
      </c>
      <c r="J76" t="n">
        <v>1</v>
      </c>
      <c r="K76" t="n">
        <v>0</v>
      </c>
      <c r="L76" t="n">
        <v>0</v>
      </c>
      <c r="M76" t="n">
        <v>0</v>
      </c>
      <c r="N76" t="n">
        <v>0</v>
      </c>
      <c r="O76" t="n">
        <v>1</v>
      </c>
      <c r="P76" t="n">
        <v>0</v>
      </c>
      <c r="Q76" t="n">
        <v>1</v>
      </c>
      <c r="R76" s="2" t="inlineStr">
        <is>
          <t>Spillkråka</t>
        </is>
      </c>
      <c r="S76">
        <f>HYPERLINK("https://klasma.github.io/Logging_2083/artfynd/A 59376-2023 artfynd.xlsx", "A 59376-2023")</f>
        <v/>
      </c>
      <c r="T76">
        <f>HYPERLINK("https://klasma.github.io/Logging_2083/kartor/A 59376-2023 karta.png", "A 59376-2023")</f>
        <v/>
      </c>
      <c r="V76">
        <f>HYPERLINK("https://klasma.github.io/Logging_2083/klagomål/A 59376-2023 FSC-klagomål.docx", "A 59376-2023")</f>
        <v/>
      </c>
      <c r="W76">
        <f>HYPERLINK("https://klasma.github.io/Logging_2083/klagomålsmail/A 59376-2023 FSC-klagomål mail.docx", "A 59376-2023")</f>
        <v/>
      </c>
      <c r="X76">
        <f>HYPERLINK("https://klasma.github.io/Logging_2083/tillsyn/A 59376-2023 tillsynsbegäran.docx", "A 59376-2023")</f>
        <v/>
      </c>
      <c r="Y76">
        <f>HYPERLINK("https://klasma.github.io/Logging_2083/tillsynsmail/A 59376-2023 tillsynsbegäran mail.docx", "A 59376-2023")</f>
        <v/>
      </c>
      <c r="Z76">
        <f>HYPERLINK("https://klasma.github.io/Logging_2083/fåglar/A 59376-2023 prioriterade fågelarter.docx", "A 59376-2023")</f>
        <v/>
      </c>
    </row>
    <row r="77" ht="15" customHeight="1">
      <c r="A77" t="inlineStr">
        <is>
          <t>A 59377-2023</t>
        </is>
      </c>
      <c r="B77" s="1" t="n">
        <v>45253</v>
      </c>
      <c r="C77" s="1" t="n">
        <v>45474</v>
      </c>
      <c r="D77" t="inlineStr">
        <is>
          <t>DALARNAS LÄN</t>
        </is>
      </c>
      <c r="E77" t="inlineStr">
        <is>
          <t>HEDEMORA</t>
        </is>
      </c>
      <c r="F77" t="inlineStr">
        <is>
          <t>Sveaskog</t>
        </is>
      </c>
      <c r="G77" t="n">
        <v>4.6</v>
      </c>
      <c r="H77" t="n">
        <v>0</v>
      </c>
      <c r="I77" t="n">
        <v>0</v>
      </c>
      <c r="J77" t="n">
        <v>1</v>
      </c>
      <c r="K77" t="n">
        <v>0</v>
      </c>
      <c r="L77" t="n">
        <v>0</v>
      </c>
      <c r="M77" t="n">
        <v>0</v>
      </c>
      <c r="N77" t="n">
        <v>0</v>
      </c>
      <c r="O77" t="n">
        <v>1</v>
      </c>
      <c r="P77" t="n">
        <v>0</v>
      </c>
      <c r="Q77" t="n">
        <v>1</v>
      </c>
      <c r="R77" s="2" t="inlineStr">
        <is>
          <t>Ullticka</t>
        </is>
      </c>
      <c r="S77">
        <f>HYPERLINK("https://klasma.github.io/Logging_2083/artfynd/A 59377-2023 artfynd.xlsx", "A 59377-2023")</f>
        <v/>
      </c>
      <c r="T77">
        <f>HYPERLINK("https://klasma.github.io/Logging_2083/kartor/A 59377-2023 karta.png", "A 59377-2023")</f>
        <v/>
      </c>
      <c r="V77">
        <f>HYPERLINK("https://klasma.github.io/Logging_2083/klagomål/A 59377-2023 FSC-klagomål.docx", "A 59377-2023")</f>
        <v/>
      </c>
      <c r="W77">
        <f>HYPERLINK("https://klasma.github.io/Logging_2083/klagomålsmail/A 59377-2023 FSC-klagomål mail.docx", "A 59377-2023")</f>
        <v/>
      </c>
      <c r="X77">
        <f>HYPERLINK("https://klasma.github.io/Logging_2083/tillsyn/A 59377-2023 tillsynsbegäran.docx", "A 59377-2023")</f>
        <v/>
      </c>
      <c r="Y77">
        <f>HYPERLINK("https://klasma.github.io/Logging_2083/tillsynsmail/A 59377-2023 tillsynsbegäran mail.docx", "A 59377-2023")</f>
        <v/>
      </c>
    </row>
    <row r="78" ht="15" customHeight="1">
      <c r="A78" t="inlineStr">
        <is>
          <t>A 59751-2023</t>
        </is>
      </c>
      <c r="B78" s="1" t="n">
        <v>45257</v>
      </c>
      <c r="C78" s="1" t="n">
        <v>45474</v>
      </c>
      <c r="D78" t="inlineStr">
        <is>
          <t>DALARNAS LÄN</t>
        </is>
      </c>
      <c r="E78" t="inlineStr">
        <is>
          <t>HEDEMORA</t>
        </is>
      </c>
      <c r="F78" t="inlineStr">
        <is>
          <t>Sveaskog</t>
        </is>
      </c>
      <c r="G78" t="n">
        <v>0.7</v>
      </c>
      <c r="H78" t="n">
        <v>0</v>
      </c>
      <c r="I78" t="n">
        <v>1</v>
      </c>
      <c r="J78" t="n">
        <v>0</v>
      </c>
      <c r="K78" t="n">
        <v>0</v>
      </c>
      <c r="L78" t="n">
        <v>0</v>
      </c>
      <c r="M78" t="n">
        <v>0</v>
      </c>
      <c r="N78" t="n">
        <v>0</v>
      </c>
      <c r="O78" t="n">
        <v>0</v>
      </c>
      <c r="P78" t="n">
        <v>0</v>
      </c>
      <c r="Q78" t="n">
        <v>1</v>
      </c>
      <c r="R78" s="2" t="inlineStr">
        <is>
          <t>Svavelriska</t>
        </is>
      </c>
      <c r="S78">
        <f>HYPERLINK("https://klasma.github.io/Logging_2083/artfynd/A 59751-2023 artfynd.xlsx", "A 59751-2023")</f>
        <v/>
      </c>
      <c r="T78">
        <f>HYPERLINK("https://klasma.github.io/Logging_2083/kartor/A 59751-2023 karta.png", "A 59751-2023")</f>
        <v/>
      </c>
      <c r="V78">
        <f>HYPERLINK("https://klasma.github.io/Logging_2083/klagomål/A 59751-2023 FSC-klagomål.docx", "A 59751-2023")</f>
        <v/>
      </c>
      <c r="W78">
        <f>HYPERLINK("https://klasma.github.io/Logging_2083/klagomålsmail/A 59751-2023 FSC-klagomål mail.docx", "A 59751-2023")</f>
        <v/>
      </c>
      <c r="X78">
        <f>HYPERLINK("https://klasma.github.io/Logging_2083/tillsyn/A 59751-2023 tillsynsbegäran.docx", "A 59751-2023")</f>
        <v/>
      </c>
      <c r="Y78">
        <f>HYPERLINK("https://klasma.github.io/Logging_2083/tillsynsmail/A 59751-2023 tillsynsbegäran mail.docx", "A 59751-2023")</f>
        <v/>
      </c>
    </row>
    <row r="79" ht="15" customHeight="1">
      <c r="A79" t="inlineStr">
        <is>
          <t>A 63542-2023</t>
        </is>
      </c>
      <c r="B79" s="1" t="n">
        <v>45275</v>
      </c>
      <c r="C79" s="1" t="n">
        <v>45474</v>
      </c>
      <c r="D79" t="inlineStr">
        <is>
          <t>DALARNAS LÄN</t>
        </is>
      </c>
      <c r="E79" t="inlineStr">
        <is>
          <t>HEDEMORA</t>
        </is>
      </c>
      <c r="G79" t="n">
        <v>2.1</v>
      </c>
      <c r="H79" t="n">
        <v>1</v>
      </c>
      <c r="I79" t="n">
        <v>0</v>
      </c>
      <c r="J79" t="n">
        <v>1</v>
      </c>
      <c r="K79" t="n">
        <v>0</v>
      </c>
      <c r="L79" t="n">
        <v>0</v>
      </c>
      <c r="M79" t="n">
        <v>0</v>
      </c>
      <c r="N79" t="n">
        <v>0</v>
      </c>
      <c r="O79" t="n">
        <v>1</v>
      </c>
      <c r="P79" t="n">
        <v>0</v>
      </c>
      <c r="Q79" t="n">
        <v>1</v>
      </c>
      <c r="R79" s="2" t="inlineStr">
        <is>
          <t>Spillkråka</t>
        </is>
      </c>
      <c r="S79">
        <f>HYPERLINK("https://klasma.github.io/Logging_2083/artfynd/A 63542-2023 artfynd.xlsx", "A 63542-2023")</f>
        <v/>
      </c>
      <c r="T79">
        <f>HYPERLINK("https://klasma.github.io/Logging_2083/kartor/A 63542-2023 karta.png", "A 63542-2023")</f>
        <v/>
      </c>
      <c r="V79">
        <f>HYPERLINK("https://klasma.github.io/Logging_2083/klagomål/A 63542-2023 FSC-klagomål.docx", "A 63542-2023")</f>
        <v/>
      </c>
      <c r="W79">
        <f>HYPERLINK("https://klasma.github.io/Logging_2083/klagomålsmail/A 63542-2023 FSC-klagomål mail.docx", "A 63542-2023")</f>
        <v/>
      </c>
      <c r="X79">
        <f>HYPERLINK("https://klasma.github.io/Logging_2083/tillsyn/A 63542-2023 tillsynsbegäran.docx", "A 63542-2023")</f>
        <v/>
      </c>
      <c r="Y79">
        <f>HYPERLINK("https://klasma.github.io/Logging_2083/tillsynsmail/A 63542-2023 tillsynsbegäran mail.docx", "A 63542-2023")</f>
        <v/>
      </c>
      <c r="Z79">
        <f>HYPERLINK("https://klasma.github.io/Logging_2083/fåglar/A 63542-2023 prioriterade fågelarter.docx", "A 63542-2023")</f>
        <v/>
      </c>
    </row>
    <row r="80" ht="15" customHeight="1">
      <c r="A80" t="inlineStr">
        <is>
          <t>A 21535-2024</t>
        </is>
      </c>
      <c r="B80" s="1" t="n">
        <v>45441</v>
      </c>
      <c r="C80" s="1" t="n">
        <v>45474</v>
      </c>
      <c r="D80" t="inlineStr">
        <is>
          <t>DALARNAS LÄN</t>
        </is>
      </c>
      <c r="E80" t="inlineStr">
        <is>
          <t>HEDEMORA</t>
        </is>
      </c>
      <c r="F80" t="inlineStr">
        <is>
          <t>Sveaskog</t>
        </is>
      </c>
      <c r="G80" t="n">
        <v>3.4</v>
      </c>
      <c r="H80" t="n">
        <v>1</v>
      </c>
      <c r="I80" t="n">
        <v>0</v>
      </c>
      <c r="J80" t="n">
        <v>0</v>
      </c>
      <c r="K80" t="n">
        <v>1</v>
      </c>
      <c r="L80" t="n">
        <v>0</v>
      </c>
      <c r="M80" t="n">
        <v>0</v>
      </c>
      <c r="N80" t="n">
        <v>0</v>
      </c>
      <c r="O80" t="n">
        <v>1</v>
      </c>
      <c r="P80" t="n">
        <v>1</v>
      </c>
      <c r="Q80" t="n">
        <v>1</v>
      </c>
      <c r="R80" s="2" t="inlineStr">
        <is>
          <t>Knärot</t>
        </is>
      </c>
      <c r="S80">
        <f>HYPERLINK("https://klasma.github.io/Logging_2083/artfynd/A 21535-2024 artfynd.xlsx", "A 21535-2024")</f>
        <v/>
      </c>
      <c r="T80">
        <f>HYPERLINK("https://klasma.github.io/Logging_2083/kartor/A 21535-2024 karta.png", "A 21535-2024")</f>
        <v/>
      </c>
      <c r="U80">
        <f>HYPERLINK("https://klasma.github.io/Logging_2083/knärot/A 21535-2024 karta knärot.png", "A 21535-2024")</f>
        <v/>
      </c>
      <c r="V80">
        <f>HYPERLINK("https://klasma.github.io/Logging_2083/klagomål/A 21535-2024 FSC-klagomål.docx", "A 21535-2024")</f>
        <v/>
      </c>
      <c r="W80">
        <f>HYPERLINK("https://klasma.github.io/Logging_2083/klagomålsmail/A 21535-2024 FSC-klagomål mail.docx", "A 21535-2024")</f>
        <v/>
      </c>
      <c r="X80">
        <f>HYPERLINK("https://klasma.github.io/Logging_2083/tillsyn/A 21535-2024 tillsynsbegäran.docx", "A 21535-2024")</f>
        <v/>
      </c>
      <c r="Y80">
        <f>HYPERLINK("https://klasma.github.io/Logging_2083/tillsynsmail/A 21535-2024 tillsynsbegäran mail.docx", "A 21535-2024")</f>
        <v/>
      </c>
    </row>
    <row r="81" ht="15" customHeight="1">
      <c r="A81" t="inlineStr">
        <is>
          <t>A 19016-2019</t>
        </is>
      </c>
      <c r="B81" s="1" t="n">
        <v>43563</v>
      </c>
      <c r="C81" s="1" t="n">
        <v>45474</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21235-2019</t>
        </is>
      </c>
      <c r="B82" s="1" t="n">
        <v>43579</v>
      </c>
      <c r="C82" s="1" t="n">
        <v>45474</v>
      </c>
      <c r="D82" t="inlineStr">
        <is>
          <t>DALARNAS LÄN</t>
        </is>
      </c>
      <c r="E82" t="inlineStr">
        <is>
          <t>HEDEMORA</t>
        </is>
      </c>
      <c r="G82" t="n">
        <v>3.7</v>
      </c>
      <c r="H82" t="n">
        <v>0</v>
      </c>
      <c r="I82" t="n">
        <v>0</v>
      </c>
      <c r="J82" t="n">
        <v>0</v>
      </c>
      <c r="K82" t="n">
        <v>0</v>
      </c>
      <c r="L82" t="n">
        <v>0</v>
      </c>
      <c r="M82" t="n">
        <v>0</v>
      </c>
      <c r="N82" t="n">
        <v>0</v>
      </c>
      <c r="O82" t="n">
        <v>0</v>
      </c>
      <c r="P82" t="n">
        <v>0</v>
      </c>
      <c r="Q82" t="n">
        <v>0</v>
      </c>
      <c r="R82" s="2" t="inlineStr"/>
    </row>
    <row r="83" ht="15" customHeight="1">
      <c r="A83" t="inlineStr">
        <is>
          <t>A 21212-2019</t>
        </is>
      </c>
      <c r="B83" s="1" t="n">
        <v>43579</v>
      </c>
      <c r="C83" s="1" t="n">
        <v>45474</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22494-2019</t>
        </is>
      </c>
      <c r="B84" s="1" t="n">
        <v>43587</v>
      </c>
      <c r="C84" s="1" t="n">
        <v>45474</v>
      </c>
      <c r="D84" t="inlineStr">
        <is>
          <t>DALARNAS LÄN</t>
        </is>
      </c>
      <c r="E84" t="inlineStr">
        <is>
          <t>HEDEMORA</t>
        </is>
      </c>
      <c r="G84" t="n">
        <v>5.3</v>
      </c>
      <c r="H84" t="n">
        <v>0</v>
      </c>
      <c r="I84" t="n">
        <v>0</v>
      </c>
      <c r="J84" t="n">
        <v>0</v>
      </c>
      <c r="K84" t="n">
        <v>0</v>
      </c>
      <c r="L84" t="n">
        <v>0</v>
      </c>
      <c r="M84" t="n">
        <v>0</v>
      </c>
      <c r="N84" t="n">
        <v>0</v>
      </c>
      <c r="O84" t="n">
        <v>0</v>
      </c>
      <c r="P84" t="n">
        <v>0</v>
      </c>
      <c r="Q84" t="n">
        <v>0</v>
      </c>
      <c r="R84" s="2" t="inlineStr"/>
    </row>
    <row r="85" ht="15" customHeight="1">
      <c r="A85" t="inlineStr">
        <is>
          <t>A 22810-2019</t>
        </is>
      </c>
      <c r="B85" s="1" t="n">
        <v>43590</v>
      </c>
      <c r="C85" s="1" t="n">
        <v>45474</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23492-2019</t>
        </is>
      </c>
      <c r="B86" s="1" t="n">
        <v>43594</v>
      </c>
      <c r="C86" s="1" t="n">
        <v>45474</v>
      </c>
      <c r="D86" t="inlineStr">
        <is>
          <t>DALARNAS LÄN</t>
        </is>
      </c>
      <c r="E86" t="inlineStr">
        <is>
          <t>HEDEMORA</t>
        </is>
      </c>
      <c r="G86" t="n">
        <v>3.2</v>
      </c>
      <c r="H86" t="n">
        <v>0</v>
      </c>
      <c r="I86" t="n">
        <v>0</v>
      </c>
      <c r="J86" t="n">
        <v>0</v>
      </c>
      <c r="K86" t="n">
        <v>0</v>
      </c>
      <c r="L86" t="n">
        <v>0</v>
      </c>
      <c r="M86" t="n">
        <v>0</v>
      </c>
      <c r="N86" t="n">
        <v>0</v>
      </c>
      <c r="O86" t="n">
        <v>0</v>
      </c>
      <c r="P86" t="n">
        <v>0</v>
      </c>
      <c r="Q86" t="n">
        <v>0</v>
      </c>
      <c r="R86" s="2" t="inlineStr"/>
    </row>
    <row r="87" ht="15" customHeight="1">
      <c r="A87" t="inlineStr">
        <is>
          <t>A 23804-2019</t>
        </is>
      </c>
      <c r="B87" s="1" t="n">
        <v>43595</v>
      </c>
      <c r="C87" s="1" t="n">
        <v>45474</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23808-2019</t>
        </is>
      </c>
      <c r="B88" s="1" t="n">
        <v>43595</v>
      </c>
      <c r="C88" s="1" t="n">
        <v>45474</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24904-2019</t>
        </is>
      </c>
      <c r="B89" s="1" t="n">
        <v>43602</v>
      </c>
      <c r="C89" s="1" t="n">
        <v>45474</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26162-2019</t>
        </is>
      </c>
      <c r="B90" s="1" t="n">
        <v>43609</v>
      </c>
      <c r="C90" s="1" t="n">
        <v>45474</v>
      </c>
      <c r="D90" t="inlineStr">
        <is>
          <t>DALARNAS LÄN</t>
        </is>
      </c>
      <c r="E90" t="inlineStr">
        <is>
          <t>HEDEMORA</t>
        </is>
      </c>
      <c r="F90" t="inlineStr">
        <is>
          <t>Sveaskog</t>
        </is>
      </c>
      <c r="G90" t="n">
        <v>12.8</v>
      </c>
      <c r="H90" t="n">
        <v>0</v>
      </c>
      <c r="I90" t="n">
        <v>0</v>
      </c>
      <c r="J90" t="n">
        <v>0</v>
      </c>
      <c r="K90" t="n">
        <v>0</v>
      </c>
      <c r="L90" t="n">
        <v>0</v>
      </c>
      <c r="M90" t="n">
        <v>0</v>
      </c>
      <c r="N90" t="n">
        <v>0</v>
      </c>
      <c r="O90" t="n">
        <v>0</v>
      </c>
      <c r="P90" t="n">
        <v>0</v>
      </c>
      <c r="Q90" t="n">
        <v>0</v>
      </c>
      <c r="R90" s="2" t="inlineStr"/>
    </row>
    <row r="91" ht="15" customHeight="1">
      <c r="A91" t="inlineStr">
        <is>
          <t>A 26167-2019</t>
        </is>
      </c>
      <c r="B91" s="1" t="n">
        <v>43609</v>
      </c>
      <c r="C91" s="1" t="n">
        <v>45474</v>
      </c>
      <c r="D91" t="inlineStr">
        <is>
          <t>DALARNAS LÄN</t>
        </is>
      </c>
      <c r="E91" t="inlineStr">
        <is>
          <t>HEDEMORA</t>
        </is>
      </c>
      <c r="F91" t="inlineStr">
        <is>
          <t>Sveaskog</t>
        </is>
      </c>
      <c r="G91" t="n">
        <v>7</v>
      </c>
      <c r="H91" t="n">
        <v>0</v>
      </c>
      <c r="I91" t="n">
        <v>0</v>
      </c>
      <c r="J91" t="n">
        <v>0</v>
      </c>
      <c r="K91" t="n">
        <v>0</v>
      </c>
      <c r="L91" t="n">
        <v>0</v>
      </c>
      <c r="M91" t="n">
        <v>0</v>
      </c>
      <c r="N91" t="n">
        <v>0</v>
      </c>
      <c r="O91" t="n">
        <v>0</v>
      </c>
      <c r="P91" t="n">
        <v>0</v>
      </c>
      <c r="Q91" t="n">
        <v>0</v>
      </c>
      <c r="R91" s="2" t="inlineStr"/>
    </row>
    <row r="92" ht="15" customHeight="1">
      <c r="A92" t="inlineStr">
        <is>
          <t>A 27393-2019</t>
        </is>
      </c>
      <c r="B92" s="1" t="n">
        <v>43616</v>
      </c>
      <c r="C92" s="1" t="n">
        <v>45474</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27949-2019</t>
        </is>
      </c>
      <c r="B93" s="1" t="n">
        <v>43620</v>
      </c>
      <c r="C93" s="1" t="n">
        <v>45474</v>
      </c>
      <c r="D93" t="inlineStr">
        <is>
          <t>DALARNAS LÄN</t>
        </is>
      </c>
      <c r="E93" t="inlineStr">
        <is>
          <t>HEDEMORA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28696-2019</t>
        </is>
      </c>
      <c r="B94" s="1" t="n">
        <v>43627</v>
      </c>
      <c r="C94" s="1" t="n">
        <v>45474</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30497-2019</t>
        </is>
      </c>
      <c r="B95" s="1" t="n">
        <v>43635</v>
      </c>
      <c r="C95" s="1" t="n">
        <v>45474</v>
      </c>
      <c r="D95" t="inlineStr">
        <is>
          <t>DALARNAS LÄN</t>
        </is>
      </c>
      <c r="E95" t="inlineStr">
        <is>
          <t>HEDEMORA</t>
        </is>
      </c>
      <c r="G95" t="n">
        <v>2.2</v>
      </c>
      <c r="H95" t="n">
        <v>0</v>
      </c>
      <c r="I95" t="n">
        <v>0</v>
      </c>
      <c r="J95" t="n">
        <v>0</v>
      </c>
      <c r="K95" t="n">
        <v>0</v>
      </c>
      <c r="L95" t="n">
        <v>0</v>
      </c>
      <c r="M95" t="n">
        <v>0</v>
      </c>
      <c r="N95" t="n">
        <v>0</v>
      </c>
      <c r="O95" t="n">
        <v>0</v>
      </c>
      <c r="P95" t="n">
        <v>0</v>
      </c>
      <c r="Q95" t="n">
        <v>0</v>
      </c>
      <c r="R95" s="2" t="inlineStr"/>
    </row>
    <row r="96" ht="15" customHeight="1">
      <c r="A96" t="inlineStr">
        <is>
          <t>A 30687-2019</t>
        </is>
      </c>
      <c r="B96" s="1" t="n">
        <v>43636</v>
      </c>
      <c r="C96" s="1" t="n">
        <v>45474</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34027-2019</t>
        </is>
      </c>
      <c r="B97" s="1" t="n">
        <v>43654</v>
      </c>
      <c r="C97" s="1" t="n">
        <v>45474</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35855-2019</t>
        </is>
      </c>
      <c r="B98" s="1" t="n">
        <v>43665</v>
      </c>
      <c r="C98" s="1" t="n">
        <v>45474</v>
      </c>
      <c r="D98" t="inlineStr">
        <is>
          <t>DALARNAS LÄN</t>
        </is>
      </c>
      <c r="E98" t="inlineStr">
        <is>
          <t>HEDEMORA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40919-2019</t>
        </is>
      </c>
      <c r="B99" s="1" t="n">
        <v>43697</v>
      </c>
      <c r="C99" s="1" t="n">
        <v>45474</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41399-2019</t>
        </is>
      </c>
      <c r="B100" s="1" t="n">
        <v>43698</v>
      </c>
      <c r="C100" s="1" t="n">
        <v>45474</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43530-2019</t>
        </is>
      </c>
      <c r="B101" s="1" t="n">
        <v>43706</v>
      </c>
      <c r="C101" s="1" t="n">
        <v>45474</v>
      </c>
      <c r="D101" t="inlineStr">
        <is>
          <t>DALARNAS LÄN</t>
        </is>
      </c>
      <c r="E101" t="inlineStr">
        <is>
          <t>HEDEMORA</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46775-2019</t>
        </is>
      </c>
      <c r="B102" s="1" t="n">
        <v>43720</v>
      </c>
      <c r="C102" s="1" t="n">
        <v>45474</v>
      </c>
      <c r="D102" t="inlineStr">
        <is>
          <t>DALARNAS LÄN</t>
        </is>
      </c>
      <c r="E102" t="inlineStr">
        <is>
          <t>HEDEMORA</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46795-2019</t>
        </is>
      </c>
      <c r="B103" s="1" t="n">
        <v>43720</v>
      </c>
      <c r="C103" s="1" t="n">
        <v>45474</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47882-2019</t>
        </is>
      </c>
      <c r="B104" s="1" t="n">
        <v>43725</v>
      </c>
      <c r="C104" s="1" t="n">
        <v>45474</v>
      </c>
      <c r="D104" t="inlineStr">
        <is>
          <t>DALARNAS LÄN</t>
        </is>
      </c>
      <c r="E104" t="inlineStr">
        <is>
          <t>HEDEMORA</t>
        </is>
      </c>
      <c r="F104" t="inlineStr">
        <is>
          <t>Sveaskog</t>
        </is>
      </c>
      <c r="G104" t="n">
        <v>4.7</v>
      </c>
      <c r="H104" t="n">
        <v>0</v>
      </c>
      <c r="I104" t="n">
        <v>0</v>
      </c>
      <c r="J104" t="n">
        <v>0</v>
      </c>
      <c r="K104" t="n">
        <v>0</v>
      </c>
      <c r="L104" t="n">
        <v>0</v>
      </c>
      <c r="M104" t="n">
        <v>0</v>
      </c>
      <c r="N104" t="n">
        <v>0</v>
      </c>
      <c r="O104" t="n">
        <v>0</v>
      </c>
      <c r="P104" t="n">
        <v>0</v>
      </c>
      <c r="Q104" t="n">
        <v>0</v>
      </c>
      <c r="R104" s="2" t="inlineStr"/>
    </row>
    <row r="105" ht="15" customHeight="1">
      <c r="A105" t="inlineStr">
        <is>
          <t>A 49197-2019</t>
        </is>
      </c>
      <c r="B105" s="1" t="n">
        <v>43731</v>
      </c>
      <c r="C105" s="1" t="n">
        <v>45474</v>
      </c>
      <c r="D105" t="inlineStr">
        <is>
          <t>DALARNAS LÄN</t>
        </is>
      </c>
      <c r="E105" t="inlineStr">
        <is>
          <t>HEDEMORA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49300-2019</t>
        </is>
      </c>
      <c r="B106" s="1" t="n">
        <v>43731</v>
      </c>
      <c r="C106" s="1" t="n">
        <v>45474</v>
      </c>
      <c r="D106" t="inlineStr">
        <is>
          <t>DALARNAS LÄN</t>
        </is>
      </c>
      <c r="E106" t="inlineStr">
        <is>
          <t>HEDEMORA</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49324-2019</t>
        </is>
      </c>
      <c r="B107" s="1" t="n">
        <v>43731</v>
      </c>
      <c r="C107" s="1" t="n">
        <v>45474</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50183-2019</t>
        </is>
      </c>
      <c r="B108" s="1" t="n">
        <v>43734</v>
      </c>
      <c r="C108" s="1" t="n">
        <v>45474</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51877-2019</t>
        </is>
      </c>
      <c r="B109" s="1" t="n">
        <v>43741</v>
      </c>
      <c r="C109" s="1" t="n">
        <v>45474</v>
      </c>
      <c r="D109" t="inlineStr">
        <is>
          <t>DALARNAS LÄN</t>
        </is>
      </c>
      <c r="E109" t="inlineStr">
        <is>
          <t>HEDEMORA</t>
        </is>
      </c>
      <c r="G109" t="n">
        <v>3.3</v>
      </c>
      <c r="H109" t="n">
        <v>0</v>
      </c>
      <c r="I109" t="n">
        <v>0</v>
      </c>
      <c r="J109" t="n">
        <v>0</v>
      </c>
      <c r="K109" t="n">
        <v>0</v>
      </c>
      <c r="L109" t="n">
        <v>0</v>
      </c>
      <c r="M109" t="n">
        <v>0</v>
      </c>
      <c r="N109" t="n">
        <v>0</v>
      </c>
      <c r="O109" t="n">
        <v>0</v>
      </c>
      <c r="P109" t="n">
        <v>0</v>
      </c>
      <c r="Q109" t="n">
        <v>0</v>
      </c>
      <c r="R109" s="2" t="inlineStr"/>
    </row>
    <row r="110" ht="15" customHeight="1">
      <c r="A110" t="inlineStr">
        <is>
          <t>A 53323-2019</t>
        </is>
      </c>
      <c r="B110" s="1" t="n">
        <v>43748</v>
      </c>
      <c r="C110" s="1" t="n">
        <v>45474</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54358-2019</t>
        </is>
      </c>
      <c r="B111" s="1" t="n">
        <v>43754</v>
      </c>
      <c r="C111" s="1" t="n">
        <v>45474</v>
      </c>
      <c r="D111" t="inlineStr">
        <is>
          <t>DALARNAS LÄN</t>
        </is>
      </c>
      <c r="E111" t="inlineStr">
        <is>
          <t>HEDEMORA</t>
        </is>
      </c>
      <c r="G111" t="n">
        <v>5.2</v>
      </c>
      <c r="H111" t="n">
        <v>0</v>
      </c>
      <c r="I111" t="n">
        <v>0</v>
      </c>
      <c r="J111" t="n">
        <v>0</v>
      </c>
      <c r="K111" t="n">
        <v>0</v>
      </c>
      <c r="L111" t="n">
        <v>0</v>
      </c>
      <c r="M111" t="n">
        <v>0</v>
      </c>
      <c r="N111" t="n">
        <v>0</v>
      </c>
      <c r="O111" t="n">
        <v>0</v>
      </c>
      <c r="P111" t="n">
        <v>0</v>
      </c>
      <c r="Q111" t="n">
        <v>0</v>
      </c>
      <c r="R111" s="2" t="inlineStr"/>
    </row>
    <row r="112" ht="15" customHeight="1">
      <c r="A112" t="inlineStr">
        <is>
          <t>A 60139-2019</t>
        </is>
      </c>
      <c r="B112" s="1" t="n">
        <v>43779</v>
      </c>
      <c r="C112" s="1" t="n">
        <v>45474</v>
      </c>
      <c r="D112" t="inlineStr">
        <is>
          <t>DALARNAS LÄN</t>
        </is>
      </c>
      <c r="E112" t="inlineStr">
        <is>
          <t>HEDEMORA</t>
        </is>
      </c>
      <c r="G112" t="n">
        <v>3.6</v>
      </c>
      <c r="H112" t="n">
        <v>0</v>
      </c>
      <c r="I112" t="n">
        <v>0</v>
      </c>
      <c r="J112" t="n">
        <v>0</v>
      </c>
      <c r="K112" t="n">
        <v>0</v>
      </c>
      <c r="L112" t="n">
        <v>0</v>
      </c>
      <c r="M112" t="n">
        <v>0</v>
      </c>
      <c r="N112" t="n">
        <v>0</v>
      </c>
      <c r="O112" t="n">
        <v>0</v>
      </c>
      <c r="P112" t="n">
        <v>0</v>
      </c>
      <c r="Q112" t="n">
        <v>0</v>
      </c>
      <c r="R112" s="2" t="inlineStr"/>
    </row>
    <row r="113" ht="15" customHeight="1">
      <c r="A113" t="inlineStr">
        <is>
          <t>A 60319-2019</t>
        </is>
      </c>
      <c r="B113" s="1" t="n">
        <v>43780</v>
      </c>
      <c r="C113" s="1" t="n">
        <v>45474</v>
      </c>
      <c r="D113" t="inlineStr">
        <is>
          <t>DALARNAS LÄN</t>
        </is>
      </c>
      <c r="E113" t="inlineStr">
        <is>
          <t>HEDEMORA</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60318-2019</t>
        </is>
      </c>
      <c r="B114" s="1" t="n">
        <v>43780</v>
      </c>
      <c r="C114" s="1" t="n">
        <v>45474</v>
      </c>
      <c r="D114" t="inlineStr">
        <is>
          <t>DALARNAS LÄN</t>
        </is>
      </c>
      <c r="E114" t="inlineStr">
        <is>
          <t>HEDEMORA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60461-2019</t>
        </is>
      </c>
      <c r="B115" s="1" t="n">
        <v>43780</v>
      </c>
      <c r="C115" s="1" t="n">
        <v>45474</v>
      </c>
      <c r="D115" t="inlineStr">
        <is>
          <t>DALARNAS LÄN</t>
        </is>
      </c>
      <c r="E115" t="inlineStr">
        <is>
          <t>HEDEMORA</t>
        </is>
      </c>
      <c r="G115" t="n">
        <v>2.8</v>
      </c>
      <c r="H115" t="n">
        <v>0</v>
      </c>
      <c r="I115" t="n">
        <v>0</v>
      </c>
      <c r="J115" t="n">
        <v>0</v>
      </c>
      <c r="K115" t="n">
        <v>0</v>
      </c>
      <c r="L115" t="n">
        <v>0</v>
      </c>
      <c r="M115" t="n">
        <v>0</v>
      </c>
      <c r="N115" t="n">
        <v>0</v>
      </c>
      <c r="O115" t="n">
        <v>0</v>
      </c>
      <c r="P115" t="n">
        <v>0</v>
      </c>
      <c r="Q115" t="n">
        <v>0</v>
      </c>
      <c r="R115" s="2" t="inlineStr"/>
    </row>
    <row r="116" ht="15" customHeight="1">
      <c r="A116" t="inlineStr">
        <is>
          <t>A 60543-2019</t>
        </is>
      </c>
      <c r="B116" s="1" t="n">
        <v>43781</v>
      </c>
      <c r="C116" s="1" t="n">
        <v>45474</v>
      </c>
      <c r="D116" t="inlineStr">
        <is>
          <t>DALARNAS LÄN</t>
        </is>
      </c>
      <c r="E116" t="inlineStr">
        <is>
          <t>HEDEMORA</t>
        </is>
      </c>
      <c r="G116" t="n">
        <v>4.6</v>
      </c>
      <c r="H116" t="n">
        <v>0</v>
      </c>
      <c r="I116" t="n">
        <v>0</v>
      </c>
      <c r="J116" t="n">
        <v>0</v>
      </c>
      <c r="K116" t="n">
        <v>0</v>
      </c>
      <c r="L116" t="n">
        <v>0</v>
      </c>
      <c r="M116" t="n">
        <v>0</v>
      </c>
      <c r="N116" t="n">
        <v>0</v>
      </c>
      <c r="O116" t="n">
        <v>0</v>
      </c>
      <c r="P116" t="n">
        <v>0</v>
      </c>
      <c r="Q116" t="n">
        <v>0</v>
      </c>
      <c r="R116" s="2" t="inlineStr"/>
    </row>
    <row r="117" ht="15" customHeight="1">
      <c r="A117" t="inlineStr">
        <is>
          <t>A 60529-2019</t>
        </is>
      </c>
      <c r="B117" s="1" t="n">
        <v>43781</v>
      </c>
      <c r="C117" s="1" t="n">
        <v>45474</v>
      </c>
      <c r="D117" t="inlineStr">
        <is>
          <t>DALARNAS LÄN</t>
        </is>
      </c>
      <c r="E117" t="inlineStr">
        <is>
          <t>HEDEMORA</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60556-2019</t>
        </is>
      </c>
      <c r="B118" s="1" t="n">
        <v>43781</v>
      </c>
      <c r="C118" s="1" t="n">
        <v>45474</v>
      </c>
      <c r="D118" t="inlineStr">
        <is>
          <t>DALARNAS LÄN</t>
        </is>
      </c>
      <c r="E118" t="inlineStr">
        <is>
          <t>HEDEMORA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61007-2019</t>
        </is>
      </c>
      <c r="B119" s="1" t="n">
        <v>43782</v>
      </c>
      <c r="C119" s="1" t="n">
        <v>45474</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61382-2019</t>
        </is>
      </c>
      <c r="B120" s="1" t="n">
        <v>43783</v>
      </c>
      <c r="C120" s="1" t="n">
        <v>45474</v>
      </c>
      <c r="D120" t="inlineStr">
        <is>
          <t>DALARNAS LÄN</t>
        </is>
      </c>
      <c r="E120" t="inlineStr">
        <is>
          <t>HEDEMORA</t>
        </is>
      </c>
      <c r="G120" t="n">
        <v>1.8</v>
      </c>
      <c r="H120" t="n">
        <v>0</v>
      </c>
      <c r="I120" t="n">
        <v>0</v>
      </c>
      <c r="J120" t="n">
        <v>0</v>
      </c>
      <c r="K120" t="n">
        <v>0</v>
      </c>
      <c r="L120" t="n">
        <v>0</v>
      </c>
      <c r="M120" t="n">
        <v>0</v>
      </c>
      <c r="N120" t="n">
        <v>0</v>
      </c>
      <c r="O120" t="n">
        <v>0</v>
      </c>
      <c r="P120" t="n">
        <v>0</v>
      </c>
      <c r="Q120" t="n">
        <v>0</v>
      </c>
      <c r="R120" s="2" t="inlineStr"/>
    </row>
    <row r="121" ht="15" customHeight="1">
      <c r="A121" t="inlineStr">
        <is>
          <t>A 63101-2019</t>
        </is>
      </c>
      <c r="B121" s="1" t="n">
        <v>43791</v>
      </c>
      <c r="C121" s="1" t="n">
        <v>45474</v>
      </c>
      <c r="D121" t="inlineStr">
        <is>
          <t>DALARNAS LÄN</t>
        </is>
      </c>
      <c r="E121" t="inlineStr">
        <is>
          <t>HEDEMORA</t>
        </is>
      </c>
      <c r="F121" t="inlineStr">
        <is>
          <t>Kommuner</t>
        </is>
      </c>
      <c r="G121" t="n">
        <v>3.3</v>
      </c>
      <c r="H121" t="n">
        <v>0</v>
      </c>
      <c r="I121" t="n">
        <v>0</v>
      </c>
      <c r="J121" t="n">
        <v>0</v>
      </c>
      <c r="K121" t="n">
        <v>0</v>
      </c>
      <c r="L121" t="n">
        <v>0</v>
      </c>
      <c r="M121" t="n">
        <v>0</v>
      </c>
      <c r="N121" t="n">
        <v>0</v>
      </c>
      <c r="O121" t="n">
        <v>0</v>
      </c>
      <c r="P121" t="n">
        <v>0</v>
      </c>
      <c r="Q121" t="n">
        <v>0</v>
      </c>
      <c r="R121" s="2" t="inlineStr"/>
    </row>
    <row r="122" ht="15" customHeight="1">
      <c r="A122" t="inlineStr">
        <is>
          <t>A 65308-2019</t>
        </is>
      </c>
      <c r="B122" s="1" t="n">
        <v>43802</v>
      </c>
      <c r="C122" s="1" t="n">
        <v>45474</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65315-2019</t>
        </is>
      </c>
      <c r="B123" s="1" t="n">
        <v>43802</v>
      </c>
      <c r="C123" s="1" t="n">
        <v>45474</v>
      </c>
      <c r="D123" t="inlineStr">
        <is>
          <t>DALARNAS LÄN</t>
        </is>
      </c>
      <c r="E123" t="inlineStr">
        <is>
          <t>HEDEMORA</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68856-2019</t>
        </is>
      </c>
      <c r="B124" s="1" t="n">
        <v>43820</v>
      </c>
      <c r="C124" s="1" t="n">
        <v>45474</v>
      </c>
      <c r="D124" t="inlineStr">
        <is>
          <t>DALARNAS LÄN</t>
        </is>
      </c>
      <c r="E124" t="inlineStr">
        <is>
          <t>HEDEMORA</t>
        </is>
      </c>
      <c r="G124" t="n">
        <v>17.6</v>
      </c>
      <c r="H124" t="n">
        <v>0</v>
      </c>
      <c r="I124" t="n">
        <v>0</v>
      </c>
      <c r="J124" t="n">
        <v>0</v>
      </c>
      <c r="K124" t="n">
        <v>0</v>
      </c>
      <c r="L124" t="n">
        <v>0</v>
      </c>
      <c r="M124" t="n">
        <v>0</v>
      </c>
      <c r="N124" t="n">
        <v>0</v>
      </c>
      <c r="O124" t="n">
        <v>0</v>
      </c>
      <c r="P124" t="n">
        <v>0</v>
      </c>
      <c r="Q124" t="n">
        <v>0</v>
      </c>
      <c r="R124" s="2" t="inlineStr"/>
    </row>
    <row r="125" ht="15" customHeight="1">
      <c r="A125" t="inlineStr">
        <is>
          <t>A 1215-2020</t>
        </is>
      </c>
      <c r="B125" s="1" t="n">
        <v>43840</v>
      </c>
      <c r="C125" s="1" t="n">
        <v>45474</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2390-2020</t>
        </is>
      </c>
      <c r="B126" s="1" t="n">
        <v>43847</v>
      </c>
      <c r="C126" s="1" t="n">
        <v>45474</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2846-2020</t>
        </is>
      </c>
      <c r="B127" s="1" t="n">
        <v>43850</v>
      </c>
      <c r="C127" s="1" t="n">
        <v>45474</v>
      </c>
      <c r="D127" t="inlineStr">
        <is>
          <t>DALARNAS LÄN</t>
        </is>
      </c>
      <c r="E127" t="inlineStr">
        <is>
          <t>HEDEMORA</t>
        </is>
      </c>
      <c r="G127" t="n">
        <v>4.2</v>
      </c>
      <c r="H127" t="n">
        <v>0</v>
      </c>
      <c r="I127" t="n">
        <v>0</v>
      </c>
      <c r="J127" t="n">
        <v>0</v>
      </c>
      <c r="K127" t="n">
        <v>0</v>
      </c>
      <c r="L127" t="n">
        <v>0</v>
      </c>
      <c r="M127" t="n">
        <v>0</v>
      </c>
      <c r="N127" t="n">
        <v>0</v>
      </c>
      <c r="O127" t="n">
        <v>0</v>
      </c>
      <c r="P127" t="n">
        <v>0</v>
      </c>
      <c r="Q127" t="n">
        <v>0</v>
      </c>
      <c r="R127" s="2" t="inlineStr"/>
    </row>
    <row r="128" ht="15" customHeight="1">
      <c r="A128" t="inlineStr">
        <is>
          <t>A 2915-2020</t>
        </is>
      </c>
      <c r="B128" s="1" t="n">
        <v>43850</v>
      </c>
      <c r="C128" s="1" t="n">
        <v>45474</v>
      </c>
      <c r="D128" t="inlineStr">
        <is>
          <t>DALARNAS LÄN</t>
        </is>
      </c>
      <c r="E128" t="inlineStr">
        <is>
          <t>HEDEMORA</t>
        </is>
      </c>
      <c r="G128" t="n">
        <v>0.8</v>
      </c>
      <c r="H128" t="n">
        <v>0</v>
      </c>
      <c r="I128" t="n">
        <v>0</v>
      </c>
      <c r="J128" t="n">
        <v>0</v>
      </c>
      <c r="K128" t="n">
        <v>0</v>
      </c>
      <c r="L128" t="n">
        <v>0</v>
      </c>
      <c r="M128" t="n">
        <v>0</v>
      </c>
      <c r="N128" t="n">
        <v>0</v>
      </c>
      <c r="O128" t="n">
        <v>0</v>
      </c>
      <c r="P128" t="n">
        <v>0</v>
      </c>
      <c r="Q128" t="n">
        <v>0</v>
      </c>
      <c r="R128" s="2" t="inlineStr"/>
    </row>
    <row r="129" ht="15" customHeight="1">
      <c r="A129" t="inlineStr">
        <is>
          <t>A 3127-2020</t>
        </is>
      </c>
      <c r="B129" s="1" t="n">
        <v>43851</v>
      </c>
      <c r="C129" s="1" t="n">
        <v>45474</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5353-2020</t>
        </is>
      </c>
      <c r="B130" s="1" t="n">
        <v>43860</v>
      </c>
      <c r="C130" s="1" t="n">
        <v>45474</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5752-2020</t>
        </is>
      </c>
      <c r="B131" s="1" t="n">
        <v>43864</v>
      </c>
      <c r="C131" s="1" t="n">
        <v>45474</v>
      </c>
      <c r="D131" t="inlineStr">
        <is>
          <t>DALARNAS LÄN</t>
        </is>
      </c>
      <c r="E131" t="inlineStr">
        <is>
          <t>HEDEMORA</t>
        </is>
      </c>
      <c r="G131" t="n">
        <v>2.6</v>
      </c>
      <c r="H131" t="n">
        <v>0</v>
      </c>
      <c r="I131" t="n">
        <v>0</v>
      </c>
      <c r="J131" t="n">
        <v>0</v>
      </c>
      <c r="K131" t="n">
        <v>0</v>
      </c>
      <c r="L131" t="n">
        <v>0</v>
      </c>
      <c r="M131" t="n">
        <v>0</v>
      </c>
      <c r="N131" t="n">
        <v>0</v>
      </c>
      <c r="O131" t="n">
        <v>0</v>
      </c>
      <c r="P131" t="n">
        <v>0</v>
      </c>
      <c r="Q131" t="n">
        <v>0</v>
      </c>
      <c r="R131" s="2" t="inlineStr"/>
    </row>
    <row r="132" ht="15" customHeight="1">
      <c r="A132" t="inlineStr">
        <is>
          <t>A 5763-2020</t>
        </is>
      </c>
      <c r="B132" s="1" t="n">
        <v>43864</v>
      </c>
      <c r="C132" s="1" t="n">
        <v>45474</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5950-2020</t>
        </is>
      </c>
      <c r="B133" s="1" t="n">
        <v>43864</v>
      </c>
      <c r="C133" s="1" t="n">
        <v>45474</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6795-2020</t>
        </is>
      </c>
      <c r="B134" s="1" t="n">
        <v>43867</v>
      </c>
      <c r="C134" s="1" t="n">
        <v>45474</v>
      </c>
      <c r="D134" t="inlineStr">
        <is>
          <t>DALARNAS LÄN</t>
        </is>
      </c>
      <c r="E134" t="inlineStr">
        <is>
          <t>HEDEMORA</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6794-2020</t>
        </is>
      </c>
      <c r="B135" s="1" t="n">
        <v>43867</v>
      </c>
      <c r="C135" s="1" t="n">
        <v>45474</v>
      </c>
      <c r="D135" t="inlineStr">
        <is>
          <t>DALARNAS LÄN</t>
        </is>
      </c>
      <c r="E135" t="inlineStr">
        <is>
          <t>HEDEMORA</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7209-2020</t>
        </is>
      </c>
      <c r="B136" s="1" t="n">
        <v>43871</v>
      </c>
      <c r="C136" s="1" t="n">
        <v>45474</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7434-2020</t>
        </is>
      </c>
      <c r="B137" s="1" t="n">
        <v>43871</v>
      </c>
      <c r="C137" s="1" t="n">
        <v>45474</v>
      </c>
      <c r="D137" t="inlineStr">
        <is>
          <t>DALARNAS LÄN</t>
        </is>
      </c>
      <c r="E137" t="inlineStr">
        <is>
          <t>HEDEMORA</t>
        </is>
      </c>
      <c r="G137" t="n">
        <v>4.3</v>
      </c>
      <c r="H137" t="n">
        <v>0</v>
      </c>
      <c r="I137" t="n">
        <v>0</v>
      </c>
      <c r="J137" t="n">
        <v>0</v>
      </c>
      <c r="K137" t="n">
        <v>0</v>
      </c>
      <c r="L137" t="n">
        <v>0</v>
      </c>
      <c r="M137" t="n">
        <v>0</v>
      </c>
      <c r="N137" t="n">
        <v>0</v>
      </c>
      <c r="O137" t="n">
        <v>0</v>
      </c>
      <c r="P137" t="n">
        <v>0</v>
      </c>
      <c r="Q137" t="n">
        <v>0</v>
      </c>
      <c r="R137" s="2" t="inlineStr"/>
    </row>
    <row r="138" ht="15" customHeight="1">
      <c r="A138" t="inlineStr">
        <is>
          <t>A 8181-2020</t>
        </is>
      </c>
      <c r="B138" s="1" t="n">
        <v>43874</v>
      </c>
      <c r="C138" s="1" t="n">
        <v>45474</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8489-2020</t>
        </is>
      </c>
      <c r="B139" s="1" t="n">
        <v>43875</v>
      </c>
      <c r="C139" s="1" t="n">
        <v>45474</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8494-2020</t>
        </is>
      </c>
      <c r="B140" s="1" t="n">
        <v>43875</v>
      </c>
      <c r="C140" s="1" t="n">
        <v>45474</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9042-2020</t>
        </is>
      </c>
      <c r="B141" s="1" t="n">
        <v>43879</v>
      </c>
      <c r="C141" s="1" t="n">
        <v>45474</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9054-2020</t>
        </is>
      </c>
      <c r="B142" s="1" t="n">
        <v>43879</v>
      </c>
      <c r="C142" s="1" t="n">
        <v>45474</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9491-2020</t>
        </is>
      </c>
      <c r="B143" s="1" t="n">
        <v>43880</v>
      </c>
      <c r="C143" s="1" t="n">
        <v>45474</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9714-2020</t>
        </is>
      </c>
      <c r="B144" s="1" t="n">
        <v>43881</v>
      </c>
      <c r="C144" s="1" t="n">
        <v>45474</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10507-2020</t>
        </is>
      </c>
      <c r="B145" s="1" t="n">
        <v>43886</v>
      </c>
      <c r="C145" s="1" t="n">
        <v>45474</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11894-2020</t>
        </is>
      </c>
      <c r="B146" s="1" t="n">
        <v>43894</v>
      </c>
      <c r="C146" s="1" t="n">
        <v>45474</v>
      </c>
      <c r="D146" t="inlineStr">
        <is>
          <t>DALARNAS LÄN</t>
        </is>
      </c>
      <c r="E146" t="inlineStr">
        <is>
          <t>HEDEMORA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13872-2020</t>
        </is>
      </c>
      <c r="B147" s="1" t="n">
        <v>43906</v>
      </c>
      <c r="C147" s="1" t="n">
        <v>45474</v>
      </c>
      <c r="D147" t="inlineStr">
        <is>
          <t>DALARNAS LÄN</t>
        </is>
      </c>
      <c r="E147" t="inlineStr">
        <is>
          <t>HEDEMORA</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14117-2020</t>
        </is>
      </c>
      <c r="B148" s="1" t="n">
        <v>43907</v>
      </c>
      <c r="C148" s="1" t="n">
        <v>45474</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14554-2020</t>
        </is>
      </c>
      <c r="B149" s="1" t="n">
        <v>43908</v>
      </c>
      <c r="C149" s="1" t="n">
        <v>45474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c r="U149">
        <f>HYPERLINK("https://klasma.github.io/Logging_2083/knärot/A 14554-2020 karta knärot.png", "A 14554-2020")</f>
        <v/>
      </c>
      <c r="V149">
        <f>HYPERLINK("https://klasma.github.io/Logging_2083/klagomål/A 14554-2020 FSC-klagomål.docx", "A 14554-2020")</f>
        <v/>
      </c>
      <c r="W149">
        <f>HYPERLINK("https://klasma.github.io/Logging_2083/klagomålsmail/A 14554-2020 FSC-klagomål mail.docx", "A 14554-2020")</f>
        <v/>
      </c>
      <c r="X149">
        <f>HYPERLINK("https://klasma.github.io/Logging_2083/tillsyn/A 14554-2020 tillsynsbegäran.docx", "A 14554-2020")</f>
        <v/>
      </c>
      <c r="Y149">
        <f>HYPERLINK("https://klasma.github.io/Logging_2083/tillsynsmail/A 14554-2020 tillsynsbegäran mail.docx", "A 14554-2020")</f>
        <v/>
      </c>
    </row>
    <row r="150" ht="15" customHeight="1">
      <c r="A150" t="inlineStr">
        <is>
          <t>A 16641-2020</t>
        </is>
      </c>
      <c r="B150" s="1" t="n">
        <v>43910</v>
      </c>
      <c r="C150" s="1" t="n">
        <v>45474</v>
      </c>
      <c r="D150" t="inlineStr">
        <is>
          <t>DALARNAS LÄN</t>
        </is>
      </c>
      <c r="E150" t="inlineStr">
        <is>
          <t>HEDEMORA</t>
        </is>
      </c>
      <c r="G150" t="n">
        <v>3.3</v>
      </c>
      <c r="H150" t="n">
        <v>0</v>
      </c>
      <c r="I150" t="n">
        <v>0</v>
      </c>
      <c r="J150" t="n">
        <v>0</v>
      </c>
      <c r="K150" t="n">
        <v>0</v>
      </c>
      <c r="L150" t="n">
        <v>0</v>
      </c>
      <c r="M150" t="n">
        <v>0</v>
      </c>
      <c r="N150" t="n">
        <v>0</v>
      </c>
      <c r="O150" t="n">
        <v>0</v>
      </c>
      <c r="P150" t="n">
        <v>0</v>
      </c>
      <c r="Q150" t="n">
        <v>0</v>
      </c>
      <c r="R150" s="2" t="inlineStr"/>
    </row>
    <row r="151" ht="15" customHeight="1">
      <c r="A151" t="inlineStr">
        <is>
          <t>A 17585-2020</t>
        </is>
      </c>
      <c r="B151" s="1" t="n">
        <v>43923</v>
      </c>
      <c r="C151" s="1" t="n">
        <v>45474</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18955-2020</t>
        </is>
      </c>
      <c r="B152" s="1" t="n">
        <v>43935</v>
      </c>
      <c r="C152" s="1" t="n">
        <v>45474</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18824-2020</t>
        </is>
      </c>
      <c r="B153" s="1" t="n">
        <v>43935</v>
      </c>
      <c r="C153" s="1" t="n">
        <v>45474</v>
      </c>
      <c r="D153" t="inlineStr">
        <is>
          <t>DALARNAS LÄN</t>
        </is>
      </c>
      <c r="E153" t="inlineStr">
        <is>
          <t>HEDEMORA</t>
        </is>
      </c>
      <c r="F153" t="inlineStr">
        <is>
          <t>Sveaskog</t>
        </is>
      </c>
      <c r="G153" t="n">
        <v>22.7</v>
      </c>
      <c r="H153" t="n">
        <v>0</v>
      </c>
      <c r="I153" t="n">
        <v>0</v>
      </c>
      <c r="J153" t="n">
        <v>0</v>
      </c>
      <c r="K153" t="n">
        <v>0</v>
      </c>
      <c r="L153" t="n">
        <v>0</v>
      </c>
      <c r="M153" t="n">
        <v>0</v>
      </c>
      <c r="N153" t="n">
        <v>0</v>
      </c>
      <c r="O153" t="n">
        <v>0</v>
      </c>
      <c r="P153" t="n">
        <v>0</v>
      </c>
      <c r="Q153" t="n">
        <v>0</v>
      </c>
      <c r="R153" s="2" t="inlineStr"/>
    </row>
    <row r="154" ht="15" customHeight="1">
      <c r="A154" t="inlineStr">
        <is>
          <t>A 20804-2020</t>
        </is>
      </c>
      <c r="B154" s="1" t="n">
        <v>43949</v>
      </c>
      <c r="C154" s="1" t="n">
        <v>45474</v>
      </c>
      <c r="D154" t="inlineStr">
        <is>
          <t>DALARNAS LÄN</t>
        </is>
      </c>
      <c r="E154" t="inlineStr">
        <is>
          <t>HEDEMORA</t>
        </is>
      </c>
      <c r="G154" t="n">
        <v>4.7</v>
      </c>
      <c r="H154" t="n">
        <v>0</v>
      </c>
      <c r="I154" t="n">
        <v>0</v>
      </c>
      <c r="J154" t="n">
        <v>0</v>
      </c>
      <c r="K154" t="n">
        <v>0</v>
      </c>
      <c r="L154" t="n">
        <v>0</v>
      </c>
      <c r="M154" t="n">
        <v>0</v>
      </c>
      <c r="N154" t="n">
        <v>0</v>
      </c>
      <c r="O154" t="n">
        <v>0</v>
      </c>
      <c r="P154" t="n">
        <v>0</v>
      </c>
      <c r="Q154" t="n">
        <v>0</v>
      </c>
      <c r="R154" s="2" t="inlineStr"/>
    </row>
    <row r="155" ht="15" customHeight="1">
      <c r="A155" t="inlineStr">
        <is>
          <t>A 21254-2020</t>
        </is>
      </c>
      <c r="B155" s="1" t="n">
        <v>43955</v>
      </c>
      <c r="C155" s="1" t="n">
        <v>45474</v>
      </c>
      <c r="D155" t="inlineStr">
        <is>
          <t>DALARNAS LÄN</t>
        </is>
      </c>
      <c r="E155" t="inlineStr">
        <is>
          <t>HEDEMORA</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21252-2020</t>
        </is>
      </c>
      <c r="B156" s="1" t="n">
        <v>43955</v>
      </c>
      <c r="C156" s="1" t="n">
        <v>45474</v>
      </c>
      <c r="D156" t="inlineStr">
        <is>
          <t>DALARNAS LÄN</t>
        </is>
      </c>
      <c r="E156" t="inlineStr">
        <is>
          <t>HEDEMORA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21458-2020</t>
        </is>
      </c>
      <c r="B157" s="1" t="n">
        <v>43956</v>
      </c>
      <c r="C157" s="1" t="n">
        <v>45474</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22374-2020</t>
        </is>
      </c>
      <c r="B158" s="1" t="n">
        <v>43962</v>
      </c>
      <c r="C158" s="1" t="n">
        <v>45474</v>
      </c>
      <c r="D158" t="inlineStr">
        <is>
          <t>DALARNAS LÄN</t>
        </is>
      </c>
      <c r="E158" t="inlineStr">
        <is>
          <t>HEDEMORA</t>
        </is>
      </c>
      <c r="F158" t="inlineStr">
        <is>
          <t>Kommuner</t>
        </is>
      </c>
      <c r="G158" t="n">
        <v>9.1</v>
      </c>
      <c r="H158" t="n">
        <v>0</v>
      </c>
      <c r="I158" t="n">
        <v>0</v>
      </c>
      <c r="J158" t="n">
        <v>0</v>
      </c>
      <c r="K158" t="n">
        <v>0</v>
      </c>
      <c r="L158" t="n">
        <v>0</v>
      </c>
      <c r="M158" t="n">
        <v>0</v>
      </c>
      <c r="N158" t="n">
        <v>0</v>
      </c>
      <c r="O158" t="n">
        <v>0</v>
      </c>
      <c r="P158" t="n">
        <v>0</v>
      </c>
      <c r="Q158" t="n">
        <v>0</v>
      </c>
      <c r="R158" s="2" t="inlineStr"/>
    </row>
    <row r="159" ht="15" customHeight="1">
      <c r="A159" t="inlineStr">
        <is>
          <t>A 23402-2020</t>
        </is>
      </c>
      <c r="B159" s="1" t="n">
        <v>43968</v>
      </c>
      <c r="C159" s="1" t="n">
        <v>45474</v>
      </c>
      <c r="D159" t="inlineStr">
        <is>
          <t>DALARNAS LÄN</t>
        </is>
      </c>
      <c r="E159" t="inlineStr">
        <is>
          <t>HEDEMORA</t>
        </is>
      </c>
      <c r="G159" t="n">
        <v>2.9</v>
      </c>
      <c r="H159" t="n">
        <v>0</v>
      </c>
      <c r="I159" t="n">
        <v>0</v>
      </c>
      <c r="J159" t="n">
        <v>0</v>
      </c>
      <c r="K159" t="n">
        <v>0</v>
      </c>
      <c r="L159" t="n">
        <v>0</v>
      </c>
      <c r="M159" t="n">
        <v>0</v>
      </c>
      <c r="N159" t="n">
        <v>0</v>
      </c>
      <c r="O159" t="n">
        <v>0</v>
      </c>
      <c r="P159" t="n">
        <v>0</v>
      </c>
      <c r="Q159" t="n">
        <v>0</v>
      </c>
      <c r="R159" s="2" t="inlineStr"/>
    </row>
    <row r="160" ht="15" customHeight="1">
      <c r="A160" t="inlineStr">
        <is>
          <t>A 23401-2020</t>
        </is>
      </c>
      <c r="B160" s="1" t="n">
        <v>43968</v>
      </c>
      <c r="C160" s="1" t="n">
        <v>45474</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23872-2020</t>
        </is>
      </c>
      <c r="B161" s="1" t="n">
        <v>43971</v>
      </c>
      <c r="C161" s="1" t="n">
        <v>45474</v>
      </c>
      <c r="D161" t="inlineStr">
        <is>
          <t>DALARNAS LÄN</t>
        </is>
      </c>
      <c r="E161" t="inlineStr">
        <is>
          <t>HEDEMORA</t>
        </is>
      </c>
      <c r="G161" t="n">
        <v>3.5</v>
      </c>
      <c r="H161" t="n">
        <v>0</v>
      </c>
      <c r="I161" t="n">
        <v>0</v>
      </c>
      <c r="J161" t="n">
        <v>0</v>
      </c>
      <c r="K161" t="n">
        <v>0</v>
      </c>
      <c r="L161" t="n">
        <v>0</v>
      </c>
      <c r="M161" t="n">
        <v>0</v>
      </c>
      <c r="N161" t="n">
        <v>0</v>
      </c>
      <c r="O161" t="n">
        <v>0</v>
      </c>
      <c r="P161" t="n">
        <v>0</v>
      </c>
      <c r="Q161" t="n">
        <v>0</v>
      </c>
      <c r="R161" s="2" t="inlineStr"/>
    </row>
    <row r="162" ht="15" customHeight="1">
      <c r="A162" t="inlineStr">
        <is>
          <t>A 24759-2020</t>
        </is>
      </c>
      <c r="B162" s="1" t="n">
        <v>43978</v>
      </c>
      <c r="C162" s="1" t="n">
        <v>45474</v>
      </c>
      <c r="D162" t="inlineStr">
        <is>
          <t>DALARNAS LÄN</t>
        </is>
      </c>
      <c r="E162" t="inlineStr">
        <is>
          <t>HEDEMORA</t>
        </is>
      </c>
      <c r="F162" t="inlineStr">
        <is>
          <t>Sveaskog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25623-2020</t>
        </is>
      </c>
      <c r="B163" s="1" t="n">
        <v>43983</v>
      </c>
      <c r="C163" s="1" t="n">
        <v>45474</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25657-2020</t>
        </is>
      </c>
      <c r="B164" s="1" t="n">
        <v>43983</v>
      </c>
      <c r="C164" s="1" t="n">
        <v>45474</v>
      </c>
      <c r="D164" t="inlineStr">
        <is>
          <t>DALARNAS LÄN</t>
        </is>
      </c>
      <c r="E164" t="inlineStr">
        <is>
          <t>HEDEMORA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27050-2020</t>
        </is>
      </c>
      <c r="B165" s="1" t="n">
        <v>43991</v>
      </c>
      <c r="C165" s="1" t="n">
        <v>45474</v>
      </c>
      <c r="D165" t="inlineStr">
        <is>
          <t>DALARNAS LÄN</t>
        </is>
      </c>
      <c r="E165" t="inlineStr">
        <is>
          <t>HEDEMORA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27076-2020</t>
        </is>
      </c>
      <c r="B166" s="1" t="n">
        <v>43991</v>
      </c>
      <c r="C166" s="1" t="n">
        <v>45474</v>
      </c>
      <c r="D166" t="inlineStr">
        <is>
          <t>DALARNAS LÄN</t>
        </is>
      </c>
      <c r="E166" t="inlineStr">
        <is>
          <t>HEDEMORA</t>
        </is>
      </c>
      <c r="F166" t="inlineStr">
        <is>
          <t>Övriga Aktiebolag</t>
        </is>
      </c>
      <c r="G166" t="n">
        <v>10.4</v>
      </c>
      <c r="H166" t="n">
        <v>0</v>
      </c>
      <c r="I166" t="n">
        <v>0</v>
      </c>
      <c r="J166" t="n">
        <v>0</v>
      </c>
      <c r="K166" t="n">
        <v>0</v>
      </c>
      <c r="L166" t="n">
        <v>0</v>
      </c>
      <c r="M166" t="n">
        <v>0</v>
      </c>
      <c r="N166" t="n">
        <v>0</v>
      </c>
      <c r="O166" t="n">
        <v>0</v>
      </c>
      <c r="P166" t="n">
        <v>0</v>
      </c>
      <c r="Q166" t="n">
        <v>0</v>
      </c>
      <c r="R166" s="2" t="inlineStr"/>
    </row>
    <row r="167" ht="15" customHeight="1">
      <c r="A167" t="inlineStr">
        <is>
          <t>A 31502-2020</t>
        </is>
      </c>
      <c r="B167" s="1" t="n">
        <v>44013</v>
      </c>
      <c r="C167" s="1" t="n">
        <v>45474</v>
      </c>
      <c r="D167" t="inlineStr">
        <is>
          <t>DALARNAS LÄN</t>
        </is>
      </c>
      <c r="E167" t="inlineStr">
        <is>
          <t>HEDEMORA</t>
        </is>
      </c>
      <c r="F167" t="inlineStr">
        <is>
          <t>Bergvik skog väst AB</t>
        </is>
      </c>
      <c r="G167" t="n">
        <v>10.2</v>
      </c>
      <c r="H167" t="n">
        <v>0</v>
      </c>
      <c r="I167" t="n">
        <v>0</v>
      </c>
      <c r="J167" t="n">
        <v>0</v>
      </c>
      <c r="K167" t="n">
        <v>0</v>
      </c>
      <c r="L167" t="n">
        <v>0</v>
      </c>
      <c r="M167" t="n">
        <v>0</v>
      </c>
      <c r="N167" t="n">
        <v>0</v>
      </c>
      <c r="O167" t="n">
        <v>0</v>
      </c>
      <c r="P167" t="n">
        <v>0</v>
      </c>
      <c r="Q167" t="n">
        <v>0</v>
      </c>
      <c r="R167" s="2" t="inlineStr"/>
    </row>
    <row r="168" ht="15" customHeight="1">
      <c r="A168" t="inlineStr">
        <is>
          <t>A 31579-2020</t>
        </is>
      </c>
      <c r="B168" s="1" t="n">
        <v>44013</v>
      </c>
      <c r="C168" s="1" t="n">
        <v>45474</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32508-2020</t>
        </is>
      </c>
      <c r="B169" s="1" t="n">
        <v>44018</v>
      </c>
      <c r="C169" s="1" t="n">
        <v>45474</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35786-2020</t>
        </is>
      </c>
      <c r="B170" s="1" t="n">
        <v>44046</v>
      </c>
      <c r="C170" s="1" t="n">
        <v>45474</v>
      </c>
      <c r="D170" t="inlineStr">
        <is>
          <t>DALARNAS LÄN</t>
        </is>
      </c>
      <c r="E170" t="inlineStr">
        <is>
          <t>HEDEMORA</t>
        </is>
      </c>
      <c r="G170" t="n">
        <v>1.9</v>
      </c>
      <c r="H170" t="n">
        <v>0</v>
      </c>
      <c r="I170" t="n">
        <v>0</v>
      </c>
      <c r="J170" t="n">
        <v>0</v>
      </c>
      <c r="K170" t="n">
        <v>0</v>
      </c>
      <c r="L170" t="n">
        <v>0</v>
      </c>
      <c r="M170" t="n">
        <v>0</v>
      </c>
      <c r="N170" t="n">
        <v>0</v>
      </c>
      <c r="O170" t="n">
        <v>0</v>
      </c>
      <c r="P170" t="n">
        <v>0</v>
      </c>
      <c r="Q170" t="n">
        <v>0</v>
      </c>
      <c r="R170" s="2" t="inlineStr"/>
    </row>
    <row r="171" ht="15" customHeight="1">
      <c r="A171" t="inlineStr">
        <is>
          <t>A 40865-2020</t>
        </is>
      </c>
      <c r="B171" s="1" t="n">
        <v>44070</v>
      </c>
      <c r="C171" s="1" t="n">
        <v>45474</v>
      </c>
      <c r="D171" t="inlineStr">
        <is>
          <t>DALARNAS LÄN</t>
        </is>
      </c>
      <c r="E171" t="inlineStr">
        <is>
          <t>HEDEMORA</t>
        </is>
      </c>
      <c r="G171" t="n">
        <v>6.1</v>
      </c>
      <c r="H171" t="n">
        <v>0</v>
      </c>
      <c r="I171" t="n">
        <v>0</v>
      </c>
      <c r="J171" t="n">
        <v>0</v>
      </c>
      <c r="K171" t="n">
        <v>0</v>
      </c>
      <c r="L171" t="n">
        <v>0</v>
      </c>
      <c r="M171" t="n">
        <v>0</v>
      </c>
      <c r="N171" t="n">
        <v>0</v>
      </c>
      <c r="O171" t="n">
        <v>0</v>
      </c>
      <c r="P171" t="n">
        <v>0</v>
      </c>
      <c r="Q171" t="n">
        <v>0</v>
      </c>
      <c r="R171" s="2" t="inlineStr"/>
    </row>
    <row r="172" ht="15" customHeight="1">
      <c r="A172" t="inlineStr">
        <is>
          <t>A 40868-2020</t>
        </is>
      </c>
      <c r="B172" s="1" t="n">
        <v>44070</v>
      </c>
      <c r="C172" s="1" t="n">
        <v>45474</v>
      </c>
      <c r="D172" t="inlineStr">
        <is>
          <t>DALARNAS LÄN</t>
        </is>
      </c>
      <c r="E172" t="inlineStr">
        <is>
          <t>HEDEMORA</t>
        </is>
      </c>
      <c r="G172" t="n">
        <v>1.7</v>
      </c>
      <c r="H172" t="n">
        <v>0</v>
      </c>
      <c r="I172" t="n">
        <v>0</v>
      </c>
      <c r="J172" t="n">
        <v>0</v>
      </c>
      <c r="K172" t="n">
        <v>0</v>
      </c>
      <c r="L172" t="n">
        <v>0</v>
      </c>
      <c r="M172" t="n">
        <v>0</v>
      </c>
      <c r="N172" t="n">
        <v>0</v>
      </c>
      <c r="O172" t="n">
        <v>0</v>
      </c>
      <c r="P172" t="n">
        <v>0</v>
      </c>
      <c r="Q172" t="n">
        <v>0</v>
      </c>
      <c r="R172" s="2" t="inlineStr"/>
    </row>
    <row r="173" ht="15" customHeight="1">
      <c r="A173" t="inlineStr">
        <is>
          <t>A 42929-2020</t>
        </is>
      </c>
      <c r="B173" s="1" t="n">
        <v>44078</v>
      </c>
      <c r="C173" s="1" t="n">
        <v>45474</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44110-2020</t>
        </is>
      </c>
      <c r="B174" s="1" t="n">
        <v>44083</v>
      </c>
      <c r="C174" s="1" t="n">
        <v>45474</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44098-2020</t>
        </is>
      </c>
      <c r="B175" s="1" t="n">
        <v>44083</v>
      </c>
      <c r="C175" s="1" t="n">
        <v>45474</v>
      </c>
      <c r="D175" t="inlineStr">
        <is>
          <t>DALARNAS LÄN</t>
        </is>
      </c>
      <c r="E175" t="inlineStr">
        <is>
          <t>HEDEMORA</t>
        </is>
      </c>
      <c r="G175" t="n">
        <v>1.3</v>
      </c>
      <c r="H175" t="n">
        <v>0</v>
      </c>
      <c r="I175" t="n">
        <v>0</v>
      </c>
      <c r="J175" t="n">
        <v>0</v>
      </c>
      <c r="K175" t="n">
        <v>0</v>
      </c>
      <c r="L175" t="n">
        <v>0</v>
      </c>
      <c r="M175" t="n">
        <v>0</v>
      </c>
      <c r="N175" t="n">
        <v>0</v>
      </c>
      <c r="O175" t="n">
        <v>0</v>
      </c>
      <c r="P175" t="n">
        <v>0</v>
      </c>
      <c r="Q175" t="n">
        <v>0</v>
      </c>
      <c r="R175" s="2" t="inlineStr"/>
    </row>
    <row r="176" ht="15" customHeight="1">
      <c r="A176" t="inlineStr">
        <is>
          <t>A 45616-2020</t>
        </is>
      </c>
      <c r="B176" s="1" t="n">
        <v>44084</v>
      </c>
      <c r="C176" s="1" t="n">
        <v>45474</v>
      </c>
      <c r="D176" t="inlineStr">
        <is>
          <t>DALARNAS LÄN</t>
        </is>
      </c>
      <c r="E176" t="inlineStr">
        <is>
          <t>HEDEMORA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45392-2020</t>
        </is>
      </c>
      <c r="B177" s="1" t="n">
        <v>44085</v>
      </c>
      <c r="C177" s="1" t="n">
        <v>45474</v>
      </c>
      <c r="D177" t="inlineStr">
        <is>
          <t>DALARNAS LÄN</t>
        </is>
      </c>
      <c r="E177" t="inlineStr">
        <is>
          <t>HEDEMORA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46393-2020</t>
        </is>
      </c>
      <c r="B178" s="1" t="n">
        <v>44093</v>
      </c>
      <c r="C178" s="1" t="n">
        <v>45474</v>
      </c>
      <c r="D178" t="inlineStr">
        <is>
          <t>DALARNAS LÄN</t>
        </is>
      </c>
      <c r="E178" t="inlineStr">
        <is>
          <t>HEDEMORA</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46391-2020</t>
        </is>
      </c>
      <c r="B179" s="1" t="n">
        <v>44093</v>
      </c>
      <c r="C179" s="1" t="n">
        <v>45474</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46392-2020</t>
        </is>
      </c>
      <c r="B180" s="1" t="n">
        <v>44093</v>
      </c>
      <c r="C180" s="1" t="n">
        <v>45474</v>
      </c>
      <c r="D180" t="inlineStr">
        <is>
          <t>DALARNAS LÄN</t>
        </is>
      </c>
      <c r="E180" t="inlineStr">
        <is>
          <t>HEDEMORA</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49271-2020</t>
        </is>
      </c>
      <c r="B181" s="1" t="n">
        <v>44105</v>
      </c>
      <c r="C181" s="1" t="n">
        <v>45474</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49760-2020</t>
        </is>
      </c>
      <c r="B182" s="1" t="n">
        <v>44106</v>
      </c>
      <c r="C182" s="1" t="n">
        <v>45474</v>
      </c>
      <c r="D182" t="inlineStr">
        <is>
          <t>DALARNAS LÄN</t>
        </is>
      </c>
      <c r="E182" t="inlineStr">
        <is>
          <t>HEDEMORA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49758-2020</t>
        </is>
      </c>
      <c r="B183" s="1" t="n">
        <v>44106</v>
      </c>
      <c r="C183" s="1" t="n">
        <v>45474</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51495-2020</t>
        </is>
      </c>
      <c r="B184" s="1" t="n">
        <v>44113</v>
      </c>
      <c r="C184" s="1" t="n">
        <v>45474</v>
      </c>
      <c r="D184" t="inlineStr">
        <is>
          <t>DALARNAS LÄN</t>
        </is>
      </c>
      <c r="E184" t="inlineStr">
        <is>
          <t>HEDEMORA</t>
        </is>
      </c>
      <c r="F184" t="inlineStr">
        <is>
          <t>Sveaskog</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54347-2020</t>
        </is>
      </c>
      <c r="B185" s="1" t="n">
        <v>44126</v>
      </c>
      <c r="C185" s="1" t="n">
        <v>45474</v>
      </c>
      <c r="D185" t="inlineStr">
        <is>
          <t>DALARNAS LÄN</t>
        </is>
      </c>
      <c r="E185" t="inlineStr">
        <is>
          <t>HEDEMORA</t>
        </is>
      </c>
      <c r="G185" t="n">
        <v>4.1</v>
      </c>
      <c r="H185" t="n">
        <v>0</v>
      </c>
      <c r="I185" t="n">
        <v>0</v>
      </c>
      <c r="J185" t="n">
        <v>0</v>
      </c>
      <c r="K185" t="n">
        <v>0</v>
      </c>
      <c r="L185" t="n">
        <v>0</v>
      </c>
      <c r="M185" t="n">
        <v>0</v>
      </c>
      <c r="N185" t="n">
        <v>0</v>
      </c>
      <c r="O185" t="n">
        <v>0</v>
      </c>
      <c r="P185" t="n">
        <v>0</v>
      </c>
      <c r="Q185" t="n">
        <v>0</v>
      </c>
      <c r="R185" s="2" t="inlineStr"/>
    </row>
    <row r="186" ht="15" customHeight="1">
      <c r="A186" t="inlineStr">
        <is>
          <t>A 57071-2020</t>
        </is>
      </c>
      <c r="B186" s="1" t="n">
        <v>44138</v>
      </c>
      <c r="C186" s="1" t="n">
        <v>45474</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57781-2020</t>
        </is>
      </c>
      <c r="B187" s="1" t="n">
        <v>44141</v>
      </c>
      <c r="C187" s="1" t="n">
        <v>45474</v>
      </c>
      <c r="D187" t="inlineStr">
        <is>
          <t>DALARNAS LÄN</t>
        </is>
      </c>
      <c r="E187" t="inlineStr">
        <is>
          <t>HEDEMORA</t>
        </is>
      </c>
      <c r="G187" t="n">
        <v>3.1</v>
      </c>
      <c r="H187" t="n">
        <v>0</v>
      </c>
      <c r="I187" t="n">
        <v>0</v>
      </c>
      <c r="J187" t="n">
        <v>0</v>
      </c>
      <c r="K187" t="n">
        <v>0</v>
      </c>
      <c r="L187" t="n">
        <v>0</v>
      </c>
      <c r="M187" t="n">
        <v>0</v>
      </c>
      <c r="N187" t="n">
        <v>0</v>
      </c>
      <c r="O187" t="n">
        <v>0</v>
      </c>
      <c r="P187" t="n">
        <v>0</v>
      </c>
      <c r="Q187" t="n">
        <v>0</v>
      </c>
      <c r="R187" s="2" t="inlineStr"/>
    </row>
    <row r="188" ht="15" customHeight="1">
      <c r="A188" t="inlineStr">
        <is>
          <t>A 57936-2020</t>
        </is>
      </c>
      <c r="B188" s="1" t="n">
        <v>44141</v>
      </c>
      <c r="C188" s="1" t="n">
        <v>45474</v>
      </c>
      <c r="D188" t="inlineStr">
        <is>
          <t>DALARNAS LÄN</t>
        </is>
      </c>
      <c r="E188" t="inlineStr">
        <is>
          <t>HEDEMORA</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57779-2020</t>
        </is>
      </c>
      <c r="B189" s="1" t="n">
        <v>44141</v>
      </c>
      <c r="C189" s="1" t="n">
        <v>45474</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58111-2020</t>
        </is>
      </c>
      <c r="B190" s="1" t="n">
        <v>44144</v>
      </c>
      <c r="C190" s="1" t="n">
        <v>45474</v>
      </c>
      <c r="D190" t="inlineStr">
        <is>
          <t>DALARNAS LÄN</t>
        </is>
      </c>
      <c r="E190" t="inlineStr">
        <is>
          <t>HEDEMORA</t>
        </is>
      </c>
      <c r="G190" t="n">
        <v>3.1</v>
      </c>
      <c r="H190" t="n">
        <v>0</v>
      </c>
      <c r="I190" t="n">
        <v>0</v>
      </c>
      <c r="J190" t="n">
        <v>0</v>
      </c>
      <c r="K190" t="n">
        <v>0</v>
      </c>
      <c r="L190" t="n">
        <v>0</v>
      </c>
      <c r="M190" t="n">
        <v>0</v>
      </c>
      <c r="N190" t="n">
        <v>0</v>
      </c>
      <c r="O190" t="n">
        <v>0</v>
      </c>
      <c r="P190" t="n">
        <v>0</v>
      </c>
      <c r="Q190" t="n">
        <v>0</v>
      </c>
      <c r="R190" s="2" t="inlineStr"/>
    </row>
    <row r="191" ht="15" customHeight="1">
      <c r="A191" t="inlineStr">
        <is>
          <t>A 59471-2020</t>
        </is>
      </c>
      <c r="B191" s="1" t="n">
        <v>44148</v>
      </c>
      <c r="C191" s="1" t="n">
        <v>45474</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62373-2020</t>
        </is>
      </c>
      <c r="B192" s="1" t="n">
        <v>44160</v>
      </c>
      <c r="C192" s="1" t="n">
        <v>45474</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c r="U192">
        <f>HYPERLINK("https://klasma.github.io/Logging_2083/knärot/A 62373-2020 karta knärot.png", "A 62373-2020")</f>
        <v/>
      </c>
      <c r="V192">
        <f>HYPERLINK("https://klasma.github.io/Logging_2083/klagomål/A 62373-2020 FSC-klagomål.docx", "A 62373-2020")</f>
        <v/>
      </c>
      <c r="W192">
        <f>HYPERLINK("https://klasma.github.io/Logging_2083/klagomålsmail/A 62373-2020 FSC-klagomål mail.docx", "A 62373-2020")</f>
        <v/>
      </c>
      <c r="X192">
        <f>HYPERLINK("https://klasma.github.io/Logging_2083/tillsyn/A 62373-2020 tillsynsbegäran.docx", "A 62373-2020")</f>
        <v/>
      </c>
      <c r="Y192">
        <f>HYPERLINK("https://klasma.github.io/Logging_2083/tillsynsmail/A 62373-2020 tillsynsbegäran mail.docx", "A 62373-2020")</f>
        <v/>
      </c>
    </row>
    <row r="193" ht="15" customHeight="1">
      <c r="A193" t="inlineStr">
        <is>
          <t>A 62412-2020</t>
        </is>
      </c>
      <c r="B193" s="1" t="n">
        <v>44160</v>
      </c>
      <c r="C193" s="1" t="n">
        <v>45474</v>
      </c>
      <c r="D193" t="inlineStr">
        <is>
          <t>DALARNAS LÄN</t>
        </is>
      </c>
      <c r="E193" t="inlineStr">
        <is>
          <t>HEDEMORA</t>
        </is>
      </c>
      <c r="G193" t="n">
        <v>2.4</v>
      </c>
      <c r="H193" t="n">
        <v>0</v>
      </c>
      <c r="I193" t="n">
        <v>0</v>
      </c>
      <c r="J193" t="n">
        <v>0</v>
      </c>
      <c r="K193" t="n">
        <v>0</v>
      </c>
      <c r="L193" t="n">
        <v>0</v>
      </c>
      <c r="M193" t="n">
        <v>0</v>
      </c>
      <c r="N193" t="n">
        <v>0</v>
      </c>
      <c r="O193" t="n">
        <v>0</v>
      </c>
      <c r="P193" t="n">
        <v>0</v>
      </c>
      <c r="Q193" t="n">
        <v>0</v>
      </c>
      <c r="R193" s="2" t="inlineStr"/>
    </row>
    <row r="194" ht="15" customHeight="1">
      <c r="A194" t="inlineStr">
        <is>
          <t>A 66064-2020</t>
        </is>
      </c>
      <c r="B194" s="1" t="n">
        <v>44175</v>
      </c>
      <c r="C194" s="1" t="n">
        <v>45474</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67062-2020</t>
        </is>
      </c>
      <c r="B195" s="1" t="n">
        <v>44180</v>
      </c>
      <c r="C195" s="1" t="n">
        <v>45474</v>
      </c>
      <c r="D195" t="inlineStr">
        <is>
          <t>DALARNAS LÄN</t>
        </is>
      </c>
      <c r="E195" t="inlineStr">
        <is>
          <t>HEDEMORA</t>
        </is>
      </c>
      <c r="G195" t="n">
        <v>2.9</v>
      </c>
      <c r="H195" t="n">
        <v>0</v>
      </c>
      <c r="I195" t="n">
        <v>0</v>
      </c>
      <c r="J195" t="n">
        <v>0</v>
      </c>
      <c r="K195" t="n">
        <v>0</v>
      </c>
      <c r="L195" t="n">
        <v>0</v>
      </c>
      <c r="M195" t="n">
        <v>0</v>
      </c>
      <c r="N195" t="n">
        <v>0</v>
      </c>
      <c r="O195" t="n">
        <v>0</v>
      </c>
      <c r="P195" t="n">
        <v>0</v>
      </c>
      <c r="Q195" t="n">
        <v>0</v>
      </c>
      <c r="R195" s="2" t="inlineStr"/>
    </row>
    <row r="196" ht="15" customHeight="1">
      <c r="A196" t="inlineStr">
        <is>
          <t>A 653-2021</t>
        </is>
      </c>
      <c r="B196" s="1" t="n">
        <v>44203</v>
      </c>
      <c r="C196" s="1" t="n">
        <v>45474</v>
      </c>
      <c r="D196" t="inlineStr">
        <is>
          <t>DALARNAS LÄN</t>
        </is>
      </c>
      <c r="E196" t="inlineStr">
        <is>
          <t>HEDEMORA</t>
        </is>
      </c>
      <c r="G196" t="n">
        <v>3.8</v>
      </c>
      <c r="H196" t="n">
        <v>0</v>
      </c>
      <c r="I196" t="n">
        <v>0</v>
      </c>
      <c r="J196" t="n">
        <v>0</v>
      </c>
      <c r="K196" t="n">
        <v>0</v>
      </c>
      <c r="L196" t="n">
        <v>0</v>
      </c>
      <c r="M196" t="n">
        <v>0</v>
      </c>
      <c r="N196" t="n">
        <v>0</v>
      </c>
      <c r="O196" t="n">
        <v>0</v>
      </c>
      <c r="P196" t="n">
        <v>0</v>
      </c>
      <c r="Q196" t="n">
        <v>0</v>
      </c>
      <c r="R196" s="2" t="inlineStr"/>
    </row>
    <row r="197" ht="15" customHeight="1">
      <c r="A197" t="inlineStr">
        <is>
          <t>A 1916-2021</t>
        </is>
      </c>
      <c r="B197" s="1" t="n">
        <v>44210</v>
      </c>
      <c r="C197" s="1" t="n">
        <v>45474</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1973-2021</t>
        </is>
      </c>
      <c r="B198" s="1" t="n">
        <v>44210</v>
      </c>
      <c r="C198" s="1" t="n">
        <v>45474</v>
      </c>
      <c r="D198" t="inlineStr">
        <is>
          <t>DALARNAS LÄN</t>
        </is>
      </c>
      <c r="E198" t="inlineStr">
        <is>
          <t>HEDEMORA</t>
        </is>
      </c>
      <c r="G198" t="n">
        <v>0.8</v>
      </c>
      <c r="H198" t="n">
        <v>0</v>
      </c>
      <c r="I198" t="n">
        <v>0</v>
      </c>
      <c r="J198" t="n">
        <v>0</v>
      </c>
      <c r="K198" t="n">
        <v>0</v>
      </c>
      <c r="L198" t="n">
        <v>0</v>
      </c>
      <c r="M198" t="n">
        <v>0</v>
      </c>
      <c r="N198" t="n">
        <v>0</v>
      </c>
      <c r="O198" t="n">
        <v>0</v>
      </c>
      <c r="P198" t="n">
        <v>0</v>
      </c>
      <c r="Q198" t="n">
        <v>0</v>
      </c>
      <c r="R198" s="2" t="inlineStr"/>
    </row>
    <row r="199" ht="15" customHeight="1">
      <c r="A199" t="inlineStr">
        <is>
          <t>A 1978-2021</t>
        </is>
      </c>
      <c r="B199" s="1" t="n">
        <v>44210</v>
      </c>
      <c r="C199" s="1" t="n">
        <v>45474</v>
      </c>
      <c r="D199" t="inlineStr">
        <is>
          <t>DALARNAS LÄN</t>
        </is>
      </c>
      <c r="E199" t="inlineStr">
        <is>
          <t>HEDEMORA</t>
        </is>
      </c>
      <c r="G199" t="n">
        <v>1</v>
      </c>
      <c r="H199" t="n">
        <v>0</v>
      </c>
      <c r="I199" t="n">
        <v>0</v>
      </c>
      <c r="J199" t="n">
        <v>0</v>
      </c>
      <c r="K199" t="n">
        <v>0</v>
      </c>
      <c r="L199" t="n">
        <v>0</v>
      </c>
      <c r="M199" t="n">
        <v>0</v>
      </c>
      <c r="N199" t="n">
        <v>0</v>
      </c>
      <c r="O199" t="n">
        <v>0</v>
      </c>
      <c r="P199" t="n">
        <v>0</v>
      </c>
      <c r="Q199" t="n">
        <v>0</v>
      </c>
      <c r="R199" s="2" t="inlineStr"/>
    </row>
    <row r="200" ht="15" customHeight="1">
      <c r="A200" t="inlineStr">
        <is>
          <t>A 3314-2021</t>
        </is>
      </c>
      <c r="B200" s="1" t="n">
        <v>44217</v>
      </c>
      <c r="C200" s="1" t="n">
        <v>45474</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6185-2021</t>
        </is>
      </c>
      <c r="B201" s="1" t="n">
        <v>44233</v>
      </c>
      <c r="C201" s="1" t="n">
        <v>45474</v>
      </c>
      <c r="D201" t="inlineStr">
        <is>
          <t>DALARNAS LÄN</t>
        </is>
      </c>
      <c r="E201" t="inlineStr">
        <is>
          <t>HEDEMORA</t>
        </is>
      </c>
      <c r="G201" t="n">
        <v>3.3</v>
      </c>
      <c r="H201" t="n">
        <v>0</v>
      </c>
      <c r="I201" t="n">
        <v>0</v>
      </c>
      <c r="J201" t="n">
        <v>0</v>
      </c>
      <c r="K201" t="n">
        <v>0</v>
      </c>
      <c r="L201" t="n">
        <v>0</v>
      </c>
      <c r="M201" t="n">
        <v>0</v>
      </c>
      <c r="N201" t="n">
        <v>0</v>
      </c>
      <c r="O201" t="n">
        <v>0</v>
      </c>
      <c r="P201" t="n">
        <v>0</v>
      </c>
      <c r="Q201" t="n">
        <v>0</v>
      </c>
      <c r="R201" s="2" t="inlineStr"/>
    </row>
    <row r="202" ht="15" customHeight="1">
      <c r="A202" t="inlineStr">
        <is>
          <t>A 6441-2021</t>
        </is>
      </c>
      <c r="B202" s="1" t="n">
        <v>44235</v>
      </c>
      <c r="C202" s="1" t="n">
        <v>45474</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14456-2021</t>
        </is>
      </c>
      <c r="B203" s="1" t="n">
        <v>44279</v>
      </c>
      <c r="C203" s="1" t="n">
        <v>45474</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15125-2021</t>
        </is>
      </c>
      <c r="B204" s="1" t="n">
        <v>44283</v>
      </c>
      <c r="C204" s="1" t="n">
        <v>45474</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15290-2021</t>
        </is>
      </c>
      <c r="B205" s="1" t="n">
        <v>44284</v>
      </c>
      <c r="C205" s="1" t="n">
        <v>45474</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17464-2021</t>
        </is>
      </c>
      <c r="B206" s="1" t="n">
        <v>44299</v>
      </c>
      <c r="C206" s="1" t="n">
        <v>45474</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v>
      </c>
      <c r="C207" s="1" t="n">
        <v>45474</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20330-2021</t>
        </is>
      </c>
      <c r="B208" s="1" t="n">
        <v>44315</v>
      </c>
      <c r="C208" s="1" t="n">
        <v>45474</v>
      </c>
      <c r="D208" t="inlineStr">
        <is>
          <t>DALARNAS LÄN</t>
        </is>
      </c>
      <c r="E208" t="inlineStr">
        <is>
          <t>HEDEMORA</t>
        </is>
      </c>
      <c r="G208" t="n">
        <v>1</v>
      </c>
      <c r="H208" t="n">
        <v>0</v>
      </c>
      <c r="I208" t="n">
        <v>0</v>
      </c>
      <c r="J208" t="n">
        <v>0</v>
      </c>
      <c r="K208" t="n">
        <v>0</v>
      </c>
      <c r="L208" t="n">
        <v>0</v>
      </c>
      <c r="M208" t="n">
        <v>0</v>
      </c>
      <c r="N208" t="n">
        <v>0</v>
      </c>
      <c r="O208" t="n">
        <v>0</v>
      </c>
      <c r="P208" t="n">
        <v>0</v>
      </c>
      <c r="Q208" t="n">
        <v>0</v>
      </c>
      <c r="R208" s="2" t="inlineStr"/>
    </row>
    <row r="209" ht="15" customHeight="1">
      <c r="A209" t="inlineStr">
        <is>
          <t>A 20353-2021</t>
        </is>
      </c>
      <c r="B209" s="1" t="n">
        <v>44315</v>
      </c>
      <c r="C209" s="1" t="n">
        <v>45474</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21171-2021</t>
        </is>
      </c>
      <c r="B210" s="1" t="n">
        <v>44320</v>
      </c>
      <c r="C210" s="1" t="n">
        <v>45474</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21408-2021</t>
        </is>
      </c>
      <c r="B211" s="1" t="n">
        <v>44321</v>
      </c>
      <c r="C211" s="1" t="n">
        <v>45474</v>
      </c>
      <c r="D211" t="inlineStr">
        <is>
          <t>DALARNAS LÄN</t>
        </is>
      </c>
      <c r="E211" t="inlineStr">
        <is>
          <t>HEDEMORA</t>
        </is>
      </c>
      <c r="G211" t="n">
        <v>1.1</v>
      </c>
      <c r="H211" t="n">
        <v>0</v>
      </c>
      <c r="I211" t="n">
        <v>0</v>
      </c>
      <c r="J211" t="n">
        <v>0</v>
      </c>
      <c r="K211" t="n">
        <v>0</v>
      </c>
      <c r="L211" t="n">
        <v>0</v>
      </c>
      <c r="M211" t="n">
        <v>0</v>
      </c>
      <c r="N211" t="n">
        <v>0</v>
      </c>
      <c r="O211" t="n">
        <v>0</v>
      </c>
      <c r="P211" t="n">
        <v>0</v>
      </c>
      <c r="Q211" t="n">
        <v>0</v>
      </c>
      <c r="R211" s="2" t="inlineStr"/>
    </row>
    <row r="212" ht="15" customHeight="1">
      <c r="A212" t="inlineStr">
        <is>
          <t>A 25641-2021</t>
        </is>
      </c>
      <c r="B212" s="1" t="n">
        <v>44343</v>
      </c>
      <c r="C212" s="1" t="n">
        <v>45474</v>
      </c>
      <c r="D212" t="inlineStr">
        <is>
          <t>DALARNAS LÄN</t>
        </is>
      </c>
      <c r="E212" t="inlineStr">
        <is>
          <t>HEDEMORA</t>
        </is>
      </c>
      <c r="G212" t="n">
        <v>11.2</v>
      </c>
      <c r="H212" t="n">
        <v>0</v>
      </c>
      <c r="I212" t="n">
        <v>0</v>
      </c>
      <c r="J212" t="n">
        <v>0</v>
      </c>
      <c r="K212" t="n">
        <v>0</v>
      </c>
      <c r="L212" t="n">
        <v>0</v>
      </c>
      <c r="M212" t="n">
        <v>0</v>
      </c>
      <c r="N212" t="n">
        <v>0</v>
      </c>
      <c r="O212" t="n">
        <v>0</v>
      </c>
      <c r="P212" t="n">
        <v>0</v>
      </c>
      <c r="Q212" t="n">
        <v>0</v>
      </c>
      <c r="R212" s="2" t="inlineStr"/>
    </row>
    <row r="213" ht="15" customHeight="1">
      <c r="A213" t="inlineStr">
        <is>
          <t>A 26612-2021</t>
        </is>
      </c>
      <c r="B213" s="1" t="n">
        <v>44348</v>
      </c>
      <c r="C213" s="1" t="n">
        <v>45474</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28067-2021</t>
        </is>
      </c>
      <c r="B214" s="1" t="n">
        <v>44355</v>
      </c>
      <c r="C214" s="1" t="n">
        <v>45474</v>
      </c>
      <c r="D214" t="inlineStr">
        <is>
          <t>DALARNAS LÄN</t>
        </is>
      </c>
      <c r="E214" t="inlineStr">
        <is>
          <t>HEDEMORA</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29123-2021</t>
        </is>
      </c>
      <c r="B215" s="1" t="n">
        <v>44358</v>
      </c>
      <c r="C215" s="1" t="n">
        <v>45474</v>
      </c>
      <c r="D215" t="inlineStr">
        <is>
          <t>DALARNAS LÄN</t>
        </is>
      </c>
      <c r="E215" t="inlineStr">
        <is>
          <t>HEDEMORA</t>
        </is>
      </c>
      <c r="G215" t="n">
        <v>5.6</v>
      </c>
      <c r="H215" t="n">
        <v>0</v>
      </c>
      <c r="I215" t="n">
        <v>0</v>
      </c>
      <c r="J215" t="n">
        <v>0</v>
      </c>
      <c r="K215" t="n">
        <v>0</v>
      </c>
      <c r="L215" t="n">
        <v>0</v>
      </c>
      <c r="M215" t="n">
        <v>0</v>
      </c>
      <c r="N215" t="n">
        <v>0</v>
      </c>
      <c r="O215" t="n">
        <v>0</v>
      </c>
      <c r="P215" t="n">
        <v>0</v>
      </c>
      <c r="Q215" t="n">
        <v>0</v>
      </c>
      <c r="R215" s="2" t="inlineStr"/>
    </row>
    <row r="216" ht="15" customHeight="1">
      <c r="A216" t="inlineStr">
        <is>
          <t>A 29208-2021</t>
        </is>
      </c>
      <c r="B216" s="1" t="n">
        <v>44359</v>
      </c>
      <c r="C216" s="1" t="n">
        <v>45474</v>
      </c>
      <c r="D216" t="inlineStr">
        <is>
          <t>DALARNAS LÄN</t>
        </is>
      </c>
      <c r="E216" t="inlineStr">
        <is>
          <t>HEDEMORA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30571-2021</t>
        </is>
      </c>
      <c r="B217" s="1" t="n">
        <v>44364</v>
      </c>
      <c r="C217" s="1" t="n">
        <v>45474</v>
      </c>
      <c r="D217" t="inlineStr">
        <is>
          <t>DALARNAS LÄN</t>
        </is>
      </c>
      <c r="E217" t="inlineStr">
        <is>
          <t>HEDEMORA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30572-2021</t>
        </is>
      </c>
      <c r="B218" s="1" t="n">
        <v>44364</v>
      </c>
      <c r="C218" s="1" t="n">
        <v>45474</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30573-2021</t>
        </is>
      </c>
      <c r="B219" s="1" t="n">
        <v>44364</v>
      </c>
      <c r="C219" s="1" t="n">
        <v>45474</v>
      </c>
      <c r="D219" t="inlineStr">
        <is>
          <t>DALARNAS LÄN</t>
        </is>
      </c>
      <c r="E219" t="inlineStr">
        <is>
          <t>HEDEMORA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30574-2021</t>
        </is>
      </c>
      <c r="B220" s="1" t="n">
        <v>44364</v>
      </c>
      <c r="C220" s="1" t="n">
        <v>45474</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v>
      </c>
      <c r="C221" s="1" t="n">
        <v>45474</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32073-2021</t>
        </is>
      </c>
      <c r="B222" s="1" t="n">
        <v>44370</v>
      </c>
      <c r="C222" s="1" t="n">
        <v>45474</v>
      </c>
      <c r="D222" t="inlineStr">
        <is>
          <t>DALARNAS LÄN</t>
        </is>
      </c>
      <c r="E222" t="inlineStr">
        <is>
          <t>HEDEMORA</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35792-2021</t>
        </is>
      </c>
      <c r="B223" s="1" t="n">
        <v>44386</v>
      </c>
      <c r="C223" s="1" t="n">
        <v>45474</v>
      </c>
      <c r="D223" t="inlineStr">
        <is>
          <t>DALARNAS LÄN</t>
        </is>
      </c>
      <c r="E223" t="inlineStr">
        <is>
          <t>HEDEMORA</t>
        </is>
      </c>
      <c r="F223" t="inlineStr">
        <is>
          <t>Bergvik skog väst AB</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36943-2021</t>
        </is>
      </c>
      <c r="B224" s="1" t="n">
        <v>44393</v>
      </c>
      <c r="C224" s="1" t="n">
        <v>45474</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39411-2021</t>
        </is>
      </c>
      <c r="B225" s="1" t="n">
        <v>44414</v>
      </c>
      <c r="C225" s="1" t="n">
        <v>45474</v>
      </c>
      <c r="D225" t="inlineStr">
        <is>
          <t>DALARNAS LÄN</t>
        </is>
      </c>
      <c r="E225" t="inlineStr">
        <is>
          <t>HEDEMORA</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40930-2021</t>
        </is>
      </c>
      <c r="B226" s="1" t="n">
        <v>44421</v>
      </c>
      <c r="C226" s="1" t="n">
        <v>45474</v>
      </c>
      <c r="D226" t="inlineStr">
        <is>
          <t>DALARNAS LÄN</t>
        </is>
      </c>
      <c r="E226" t="inlineStr">
        <is>
          <t>HEDEMORA</t>
        </is>
      </c>
      <c r="G226" t="n">
        <v>6.5</v>
      </c>
      <c r="H226" t="n">
        <v>0</v>
      </c>
      <c r="I226" t="n">
        <v>0</v>
      </c>
      <c r="J226" t="n">
        <v>0</v>
      </c>
      <c r="K226" t="n">
        <v>0</v>
      </c>
      <c r="L226" t="n">
        <v>0</v>
      </c>
      <c r="M226" t="n">
        <v>0</v>
      </c>
      <c r="N226" t="n">
        <v>0</v>
      </c>
      <c r="O226" t="n">
        <v>0</v>
      </c>
      <c r="P226" t="n">
        <v>0</v>
      </c>
      <c r="Q226" t="n">
        <v>0</v>
      </c>
      <c r="R226" s="2" t="inlineStr"/>
    </row>
    <row r="227" ht="15" customHeight="1">
      <c r="A227" t="inlineStr">
        <is>
          <t>A 40938-2021</t>
        </is>
      </c>
      <c r="B227" s="1" t="n">
        <v>44421</v>
      </c>
      <c r="C227" s="1" t="n">
        <v>45474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41047-2021</t>
        </is>
      </c>
      <c r="B228" s="1" t="n">
        <v>44421</v>
      </c>
      <c r="C228" s="1" t="n">
        <v>45474</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c r="U228">
        <f>HYPERLINK("https://klasma.github.io/Logging_2083/knärot/A 41047-2021 karta knärot.png", "A 41047-2021")</f>
        <v/>
      </c>
      <c r="V228">
        <f>HYPERLINK("https://klasma.github.io/Logging_2083/klagomål/A 41047-2021 FSC-klagomål.docx", "A 41047-2021")</f>
        <v/>
      </c>
      <c r="W228">
        <f>HYPERLINK("https://klasma.github.io/Logging_2083/klagomålsmail/A 41047-2021 FSC-klagomål mail.docx", "A 41047-2021")</f>
        <v/>
      </c>
      <c r="X228">
        <f>HYPERLINK("https://klasma.github.io/Logging_2083/tillsyn/A 41047-2021 tillsynsbegäran.docx", "A 41047-2021")</f>
        <v/>
      </c>
      <c r="Y228">
        <f>HYPERLINK("https://klasma.github.io/Logging_2083/tillsynsmail/A 41047-2021 tillsynsbegäran mail.docx", "A 41047-2021")</f>
        <v/>
      </c>
    </row>
    <row r="229" ht="15" customHeight="1">
      <c r="A229" t="inlineStr">
        <is>
          <t>A 44065-2021</t>
        </is>
      </c>
      <c r="B229" s="1" t="n">
        <v>44434</v>
      </c>
      <c r="C229" s="1" t="n">
        <v>45474</v>
      </c>
      <c r="D229" t="inlineStr">
        <is>
          <t>DALARNAS LÄN</t>
        </is>
      </c>
      <c r="E229" t="inlineStr">
        <is>
          <t>HEDEMORA</t>
        </is>
      </c>
      <c r="F229" t="inlineStr">
        <is>
          <t>Bergvik skog väst AB</t>
        </is>
      </c>
      <c r="G229" t="n">
        <v>9.1</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v>
      </c>
      <c r="C230" s="1" t="n">
        <v>45474</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44957-2021</t>
        </is>
      </c>
      <c r="B231" s="1" t="n">
        <v>44438</v>
      </c>
      <c r="C231" s="1" t="n">
        <v>45474</v>
      </c>
      <c r="D231" t="inlineStr">
        <is>
          <t>DALARNAS LÄN</t>
        </is>
      </c>
      <c r="E231" t="inlineStr">
        <is>
          <t>HEDEMORA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44966-2021</t>
        </is>
      </c>
      <c r="B232" s="1" t="n">
        <v>44438</v>
      </c>
      <c r="C232" s="1" t="n">
        <v>45474</v>
      </c>
      <c r="D232" t="inlineStr">
        <is>
          <t>DALARNAS LÄN</t>
        </is>
      </c>
      <c r="E232" t="inlineStr">
        <is>
          <t>HEDEMORA</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46235-2021</t>
        </is>
      </c>
      <c r="B233" s="1" t="n">
        <v>44442</v>
      </c>
      <c r="C233" s="1" t="n">
        <v>45474</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48323-2021</t>
        </is>
      </c>
      <c r="B234" s="1" t="n">
        <v>44450</v>
      </c>
      <c r="C234" s="1" t="n">
        <v>45474</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49636-2021</t>
        </is>
      </c>
      <c r="B235" s="1" t="n">
        <v>44455</v>
      </c>
      <c r="C235" s="1" t="n">
        <v>45474</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50441-2021</t>
        </is>
      </c>
      <c r="B236" s="1" t="n">
        <v>44456</v>
      </c>
      <c r="C236" s="1" t="n">
        <v>45474</v>
      </c>
      <c r="D236" t="inlineStr">
        <is>
          <t>DALARNAS LÄN</t>
        </is>
      </c>
      <c r="E236" t="inlineStr">
        <is>
          <t>HEDEMORA</t>
        </is>
      </c>
      <c r="F236" t="inlineStr">
        <is>
          <t>Bergvik skog väst AB</t>
        </is>
      </c>
      <c r="G236" t="n">
        <v>6.4</v>
      </c>
      <c r="H236" t="n">
        <v>0</v>
      </c>
      <c r="I236" t="n">
        <v>0</v>
      </c>
      <c r="J236" t="n">
        <v>0</v>
      </c>
      <c r="K236" t="n">
        <v>0</v>
      </c>
      <c r="L236" t="n">
        <v>0</v>
      </c>
      <c r="M236" t="n">
        <v>0</v>
      </c>
      <c r="N236" t="n">
        <v>0</v>
      </c>
      <c r="O236" t="n">
        <v>0</v>
      </c>
      <c r="P236" t="n">
        <v>0</v>
      </c>
      <c r="Q236" t="n">
        <v>0</v>
      </c>
      <c r="R236" s="2" t="inlineStr"/>
    </row>
    <row r="237" ht="15" customHeight="1">
      <c r="A237" t="inlineStr">
        <is>
          <t>A 51106-2021</t>
        </is>
      </c>
      <c r="B237" s="1" t="n">
        <v>44461</v>
      </c>
      <c r="C237" s="1" t="n">
        <v>45474</v>
      </c>
      <c r="D237" t="inlineStr">
        <is>
          <t>DALARNAS LÄN</t>
        </is>
      </c>
      <c r="E237" t="inlineStr">
        <is>
          <t>HEDEMORA</t>
        </is>
      </c>
      <c r="G237" t="n">
        <v>2.2</v>
      </c>
      <c r="H237" t="n">
        <v>0</v>
      </c>
      <c r="I237" t="n">
        <v>0</v>
      </c>
      <c r="J237" t="n">
        <v>0</v>
      </c>
      <c r="K237" t="n">
        <v>0</v>
      </c>
      <c r="L237" t="n">
        <v>0</v>
      </c>
      <c r="M237" t="n">
        <v>0</v>
      </c>
      <c r="N237" t="n">
        <v>0</v>
      </c>
      <c r="O237" t="n">
        <v>0</v>
      </c>
      <c r="P237" t="n">
        <v>0</v>
      </c>
      <c r="Q237" t="n">
        <v>0</v>
      </c>
      <c r="R237" s="2" t="inlineStr"/>
    </row>
    <row r="238" ht="15" customHeight="1">
      <c r="A238" t="inlineStr">
        <is>
          <t>A 52199-2021</t>
        </is>
      </c>
      <c r="B238" s="1" t="n">
        <v>44462</v>
      </c>
      <c r="C238" s="1" t="n">
        <v>45474</v>
      </c>
      <c r="D238" t="inlineStr">
        <is>
          <t>DALARNAS LÄN</t>
        </is>
      </c>
      <c r="E238" t="inlineStr">
        <is>
          <t>HEDEMORA</t>
        </is>
      </c>
      <c r="F238" t="inlineStr">
        <is>
          <t>Bergvik skog väst AB</t>
        </is>
      </c>
      <c r="G238" t="n">
        <v>4.4</v>
      </c>
      <c r="H238" t="n">
        <v>0</v>
      </c>
      <c r="I238" t="n">
        <v>0</v>
      </c>
      <c r="J238" t="n">
        <v>0</v>
      </c>
      <c r="K238" t="n">
        <v>0</v>
      </c>
      <c r="L238" t="n">
        <v>0</v>
      </c>
      <c r="M238" t="n">
        <v>0</v>
      </c>
      <c r="N238" t="n">
        <v>0</v>
      </c>
      <c r="O238" t="n">
        <v>0</v>
      </c>
      <c r="P238" t="n">
        <v>0</v>
      </c>
      <c r="Q238" t="n">
        <v>0</v>
      </c>
      <c r="R238" s="2" t="inlineStr"/>
    </row>
    <row r="239" ht="15" customHeight="1">
      <c r="A239" t="inlineStr">
        <is>
          <t>A 52215-2021</t>
        </is>
      </c>
      <c r="B239" s="1" t="n">
        <v>44462</v>
      </c>
      <c r="C239" s="1" t="n">
        <v>45474</v>
      </c>
      <c r="D239" t="inlineStr">
        <is>
          <t>DALARNAS LÄN</t>
        </is>
      </c>
      <c r="E239" t="inlineStr">
        <is>
          <t>HEDEMORA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52221-2021</t>
        </is>
      </c>
      <c r="B240" s="1" t="n">
        <v>44462</v>
      </c>
      <c r="C240" s="1" t="n">
        <v>45474</v>
      </c>
      <c r="D240" t="inlineStr">
        <is>
          <t>DALARNAS LÄN</t>
        </is>
      </c>
      <c r="E240" t="inlineStr">
        <is>
          <t>HEDEMORA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52425-2021</t>
        </is>
      </c>
      <c r="B241" s="1" t="n">
        <v>44466</v>
      </c>
      <c r="C241" s="1" t="n">
        <v>45474</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52511-2021</t>
        </is>
      </c>
      <c r="B242" s="1" t="n">
        <v>44466</v>
      </c>
      <c r="C242" s="1" t="n">
        <v>45474</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53443-2021</t>
        </is>
      </c>
      <c r="B243" s="1" t="n">
        <v>44468</v>
      </c>
      <c r="C243" s="1" t="n">
        <v>45474</v>
      </c>
      <c r="D243" t="inlineStr">
        <is>
          <t>DALARNAS LÄN</t>
        </is>
      </c>
      <c r="E243" t="inlineStr">
        <is>
          <t>HEDEMORA</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45474</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55195-2021</t>
        </is>
      </c>
      <c r="B245" s="1" t="n">
        <v>44475</v>
      </c>
      <c r="C245" s="1" t="n">
        <v>45474</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57117-2021</t>
        </is>
      </c>
      <c r="B246" s="1" t="n">
        <v>44482</v>
      </c>
      <c r="C246" s="1" t="n">
        <v>45474</v>
      </c>
      <c r="D246" t="inlineStr">
        <is>
          <t>DALARNAS LÄN</t>
        </is>
      </c>
      <c r="E246" t="inlineStr">
        <is>
          <t>HEDEMORA</t>
        </is>
      </c>
      <c r="F246" t="inlineStr">
        <is>
          <t>Bergvik skog väst AB</t>
        </is>
      </c>
      <c r="G246" t="n">
        <v>14.3</v>
      </c>
      <c r="H246" t="n">
        <v>0</v>
      </c>
      <c r="I246" t="n">
        <v>0</v>
      </c>
      <c r="J246" t="n">
        <v>0</v>
      </c>
      <c r="K246" t="n">
        <v>0</v>
      </c>
      <c r="L246" t="n">
        <v>0</v>
      </c>
      <c r="M246" t="n">
        <v>0</v>
      </c>
      <c r="N246" t="n">
        <v>0</v>
      </c>
      <c r="O246" t="n">
        <v>0</v>
      </c>
      <c r="P246" t="n">
        <v>0</v>
      </c>
      <c r="Q246" t="n">
        <v>0</v>
      </c>
      <c r="R246" s="2" t="inlineStr"/>
    </row>
    <row r="247" ht="15" customHeight="1">
      <c r="A247" t="inlineStr">
        <is>
          <t>A 59491-2021</t>
        </is>
      </c>
      <c r="B247" s="1" t="n">
        <v>44491</v>
      </c>
      <c r="C247" s="1" t="n">
        <v>45474</v>
      </c>
      <c r="D247" t="inlineStr">
        <is>
          <t>DALARNAS LÄN</t>
        </is>
      </c>
      <c r="E247" t="inlineStr">
        <is>
          <t>HEDEMORA</t>
        </is>
      </c>
      <c r="G247" t="n">
        <v>2.2</v>
      </c>
      <c r="H247" t="n">
        <v>0</v>
      </c>
      <c r="I247" t="n">
        <v>0</v>
      </c>
      <c r="J247" t="n">
        <v>0</v>
      </c>
      <c r="K247" t="n">
        <v>0</v>
      </c>
      <c r="L247" t="n">
        <v>0</v>
      </c>
      <c r="M247" t="n">
        <v>0</v>
      </c>
      <c r="N247" t="n">
        <v>0</v>
      </c>
      <c r="O247" t="n">
        <v>0</v>
      </c>
      <c r="P247" t="n">
        <v>0</v>
      </c>
      <c r="Q247" t="n">
        <v>0</v>
      </c>
      <c r="R247" s="2" t="inlineStr"/>
    </row>
    <row r="248" ht="15" customHeight="1">
      <c r="A248" t="inlineStr">
        <is>
          <t>A 59495-2021</t>
        </is>
      </c>
      <c r="B248" s="1" t="n">
        <v>44491</v>
      </c>
      <c r="C248" s="1" t="n">
        <v>45474</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60418-2021</t>
        </is>
      </c>
      <c r="B249" s="1" t="n">
        <v>44495</v>
      </c>
      <c r="C249" s="1" t="n">
        <v>45474</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61533-2021</t>
        </is>
      </c>
      <c r="B250" s="1" t="n">
        <v>44501</v>
      </c>
      <c r="C250" s="1" t="n">
        <v>45474</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62305-2021</t>
        </is>
      </c>
      <c r="B251" s="1" t="n">
        <v>44502</v>
      </c>
      <c r="C251" s="1" t="n">
        <v>45474</v>
      </c>
      <c r="D251" t="inlineStr">
        <is>
          <t>DALARNAS LÄN</t>
        </is>
      </c>
      <c r="E251" t="inlineStr">
        <is>
          <t>HEDEMORA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63908-2021</t>
        </is>
      </c>
      <c r="B252" s="1" t="n">
        <v>44509</v>
      </c>
      <c r="C252" s="1" t="n">
        <v>45474</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64473-2021</t>
        </is>
      </c>
      <c r="B253" s="1" t="n">
        <v>44511</v>
      </c>
      <c r="C253" s="1" t="n">
        <v>45474</v>
      </c>
      <c r="D253" t="inlineStr">
        <is>
          <t>DALARNAS LÄN</t>
        </is>
      </c>
      <c r="E253" t="inlineStr">
        <is>
          <t>HEDEMORA</t>
        </is>
      </c>
      <c r="G253" t="n">
        <v>1</v>
      </c>
      <c r="H253" t="n">
        <v>0</v>
      </c>
      <c r="I253" t="n">
        <v>0</v>
      </c>
      <c r="J253" t="n">
        <v>0</v>
      </c>
      <c r="K253" t="n">
        <v>0</v>
      </c>
      <c r="L253" t="n">
        <v>0</v>
      </c>
      <c r="M253" t="n">
        <v>0</v>
      </c>
      <c r="N253" t="n">
        <v>0</v>
      </c>
      <c r="O253" t="n">
        <v>0</v>
      </c>
      <c r="P253" t="n">
        <v>0</v>
      </c>
      <c r="Q253" t="n">
        <v>0</v>
      </c>
      <c r="R253" s="2" t="inlineStr"/>
    </row>
    <row r="254" ht="15" customHeight="1">
      <c r="A254" t="inlineStr">
        <is>
          <t>A 67282-2021</t>
        </is>
      </c>
      <c r="B254" s="1" t="n">
        <v>44523</v>
      </c>
      <c r="C254" s="1" t="n">
        <v>45474</v>
      </c>
      <c r="D254" t="inlineStr">
        <is>
          <t>DALARNAS LÄN</t>
        </is>
      </c>
      <c r="E254" t="inlineStr">
        <is>
          <t>HEDEMORA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67288-2021</t>
        </is>
      </c>
      <c r="B255" s="1" t="n">
        <v>44523</v>
      </c>
      <c r="C255" s="1" t="n">
        <v>45474</v>
      </c>
      <c r="D255" t="inlineStr">
        <is>
          <t>DALARNAS LÄN</t>
        </is>
      </c>
      <c r="E255" t="inlineStr">
        <is>
          <t>HEDEMORA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68553-2021</t>
        </is>
      </c>
      <c r="B256" s="1" t="n">
        <v>44529</v>
      </c>
      <c r="C256" s="1" t="n">
        <v>45474</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68457-2021</t>
        </is>
      </c>
      <c r="B257" s="1" t="n">
        <v>44529</v>
      </c>
      <c r="C257" s="1" t="n">
        <v>45474</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v>
      </c>
      <c r="C258" s="1" t="n">
        <v>45474</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73099-2021</t>
        </is>
      </c>
      <c r="B259" s="1" t="n">
        <v>44546</v>
      </c>
      <c r="C259" s="1" t="n">
        <v>45474</v>
      </c>
      <c r="D259" t="inlineStr">
        <is>
          <t>DALARNAS LÄN</t>
        </is>
      </c>
      <c r="E259" t="inlineStr">
        <is>
          <t>HEDEMORA</t>
        </is>
      </c>
      <c r="G259" t="n">
        <v>4.5</v>
      </c>
      <c r="H259" t="n">
        <v>0</v>
      </c>
      <c r="I259" t="n">
        <v>0</v>
      </c>
      <c r="J259" t="n">
        <v>0</v>
      </c>
      <c r="K259" t="n">
        <v>0</v>
      </c>
      <c r="L259" t="n">
        <v>0</v>
      </c>
      <c r="M259" t="n">
        <v>0</v>
      </c>
      <c r="N259" t="n">
        <v>0</v>
      </c>
      <c r="O259" t="n">
        <v>0</v>
      </c>
      <c r="P259" t="n">
        <v>0</v>
      </c>
      <c r="Q259" t="n">
        <v>0</v>
      </c>
      <c r="R259" s="2" t="inlineStr"/>
    </row>
    <row r="260" ht="15" customHeight="1">
      <c r="A260" t="inlineStr">
        <is>
          <t>A 73464-2021</t>
        </is>
      </c>
      <c r="B260" s="1" t="n">
        <v>44551</v>
      </c>
      <c r="C260" s="1" t="n">
        <v>45474</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295-2022</t>
        </is>
      </c>
      <c r="B261" s="1" t="n">
        <v>44565</v>
      </c>
      <c r="C261" s="1" t="n">
        <v>45474</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769-2022</t>
        </is>
      </c>
      <c r="B262" s="1" t="n">
        <v>44570</v>
      </c>
      <c r="C262" s="1" t="n">
        <v>45474</v>
      </c>
      <c r="D262" t="inlineStr">
        <is>
          <t>DALARNAS LÄN</t>
        </is>
      </c>
      <c r="E262" t="inlineStr">
        <is>
          <t>HEDEMORA</t>
        </is>
      </c>
      <c r="G262" t="n">
        <v>5.9</v>
      </c>
      <c r="H262" t="n">
        <v>0</v>
      </c>
      <c r="I262" t="n">
        <v>0</v>
      </c>
      <c r="J262" t="n">
        <v>0</v>
      </c>
      <c r="K262" t="n">
        <v>0</v>
      </c>
      <c r="L262" t="n">
        <v>0</v>
      </c>
      <c r="M262" t="n">
        <v>0</v>
      </c>
      <c r="N262" t="n">
        <v>0</v>
      </c>
      <c r="O262" t="n">
        <v>0</v>
      </c>
      <c r="P262" t="n">
        <v>0</v>
      </c>
      <c r="Q262" t="n">
        <v>0</v>
      </c>
      <c r="R262" s="2" t="inlineStr"/>
    </row>
    <row r="263" ht="15" customHeight="1">
      <c r="A263" t="inlineStr">
        <is>
          <t>A 1666-2022</t>
        </is>
      </c>
      <c r="B263" s="1" t="n">
        <v>44574</v>
      </c>
      <c r="C263" s="1" t="n">
        <v>45474</v>
      </c>
      <c r="D263" t="inlineStr">
        <is>
          <t>DALARNAS LÄN</t>
        </is>
      </c>
      <c r="E263" t="inlineStr">
        <is>
          <t>HEDEMORA</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1917-2022</t>
        </is>
      </c>
      <c r="B264" s="1" t="n">
        <v>44574</v>
      </c>
      <c r="C264" s="1" t="n">
        <v>45474</v>
      </c>
      <c r="D264" t="inlineStr">
        <is>
          <t>DALARNAS LÄN</t>
        </is>
      </c>
      <c r="E264" t="inlineStr">
        <is>
          <t>HEDEMORA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1973-2022</t>
        </is>
      </c>
      <c r="B265" s="1" t="n">
        <v>44575</v>
      </c>
      <c r="C265" s="1" t="n">
        <v>45474</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1976-2022</t>
        </is>
      </c>
      <c r="B266" s="1" t="n">
        <v>44575</v>
      </c>
      <c r="C266" s="1" t="n">
        <v>45474</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4030-2022</t>
        </is>
      </c>
      <c r="B267" s="1" t="n">
        <v>44588</v>
      </c>
      <c r="C267" s="1" t="n">
        <v>45474</v>
      </c>
      <c r="D267" t="inlineStr">
        <is>
          <t>DALARNAS LÄN</t>
        </is>
      </c>
      <c r="E267" t="inlineStr">
        <is>
          <t>HEDEMORA</t>
        </is>
      </c>
      <c r="F267" t="inlineStr">
        <is>
          <t>Kyrkan</t>
        </is>
      </c>
      <c r="G267" t="n">
        <v>2.1</v>
      </c>
      <c r="H267" t="n">
        <v>0</v>
      </c>
      <c r="I267" t="n">
        <v>0</v>
      </c>
      <c r="J267" t="n">
        <v>0</v>
      </c>
      <c r="K267" t="n">
        <v>0</v>
      </c>
      <c r="L267" t="n">
        <v>0</v>
      </c>
      <c r="M267" t="n">
        <v>0</v>
      </c>
      <c r="N267" t="n">
        <v>0</v>
      </c>
      <c r="O267" t="n">
        <v>0</v>
      </c>
      <c r="P267" t="n">
        <v>0</v>
      </c>
      <c r="Q267" t="n">
        <v>0</v>
      </c>
      <c r="R267" s="2" t="inlineStr"/>
    </row>
    <row r="268" ht="15" customHeight="1">
      <c r="A268" t="inlineStr">
        <is>
          <t>A 7515-2022</t>
        </is>
      </c>
      <c r="B268" s="1" t="n">
        <v>44607</v>
      </c>
      <c r="C268" s="1" t="n">
        <v>45474</v>
      </c>
      <c r="D268" t="inlineStr">
        <is>
          <t>DALARNAS LÄN</t>
        </is>
      </c>
      <c r="E268" t="inlineStr">
        <is>
          <t>HEDEMORA</t>
        </is>
      </c>
      <c r="G268" t="n">
        <v>3.8</v>
      </c>
      <c r="H268" t="n">
        <v>0</v>
      </c>
      <c r="I268" t="n">
        <v>0</v>
      </c>
      <c r="J268" t="n">
        <v>0</v>
      </c>
      <c r="K268" t="n">
        <v>0</v>
      </c>
      <c r="L268" t="n">
        <v>0</v>
      </c>
      <c r="M268" t="n">
        <v>0</v>
      </c>
      <c r="N268" t="n">
        <v>0</v>
      </c>
      <c r="O268" t="n">
        <v>0</v>
      </c>
      <c r="P268" t="n">
        <v>0</v>
      </c>
      <c r="Q268" t="n">
        <v>0</v>
      </c>
      <c r="R268" s="2" t="inlineStr"/>
    </row>
    <row r="269" ht="15" customHeight="1">
      <c r="A269" t="inlineStr">
        <is>
          <t>A 10408-2022</t>
        </is>
      </c>
      <c r="B269" s="1" t="n">
        <v>44623</v>
      </c>
      <c r="C269" s="1" t="n">
        <v>45474</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45474</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15635-2022</t>
        </is>
      </c>
      <c r="B271" s="1" t="n">
        <v>44662</v>
      </c>
      <c r="C271" s="1" t="n">
        <v>45474</v>
      </c>
      <c r="D271" t="inlineStr">
        <is>
          <t>DALARNAS LÄN</t>
        </is>
      </c>
      <c r="E271" t="inlineStr">
        <is>
          <t>HEDEMORA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16122-2022</t>
        </is>
      </c>
      <c r="B272" s="1" t="n">
        <v>44665</v>
      </c>
      <c r="C272" s="1" t="n">
        <v>45474</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16779-2022</t>
        </is>
      </c>
      <c r="B273" s="1" t="n">
        <v>44673</v>
      </c>
      <c r="C273" s="1" t="n">
        <v>45474</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v>
      </c>
      <c r="C274" s="1" t="n">
        <v>45474</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18098-2022</t>
        </is>
      </c>
      <c r="B275" s="1" t="n">
        <v>44684</v>
      </c>
      <c r="C275" s="1" t="n">
        <v>45474</v>
      </c>
      <c r="D275" t="inlineStr">
        <is>
          <t>DALARNAS LÄN</t>
        </is>
      </c>
      <c r="E275" t="inlineStr">
        <is>
          <t>HEDEMORA</t>
        </is>
      </c>
      <c r="G275" t="n">
        <v>4.9</v>
      </c>
      <c r="H275" t="n">
        <v>0</v>
      </c>
      <c r="I275" t="n">
        <v>0</v>
      </c>
      <c r="J275" t="n">
        <v>0</v>
      </c>
      <c r="K275" t="n">
        <v>0</v>
      </c>
      <c r="L275" t="n">
        <v>0</v>
      </c>
      <c r="M275" t="n">
        <v>0</v>
      </c>
      <c r="N275" t="n">
        <v>0</v>
      </c>
      <c r="O275" t="n">
        <v>0</v>
      </c>
      <c r="P275" t="n">
        <v>0</v>
      </c>
      <c r="Q275" t="n">
        <v>0</v>
      </c>
      <c r="R275" s="2" t="inlineStr"/>
    </row>
    <row r="276" ht="15" customHeight="1">
      <c r="A276" t="inlineStr">
        <is>
          <t>A 20177-2022</t>
        </is>
      </c>
      <c r="B276" s="1" t="n">
        <v>44698</v>
      </c>
      <c r="C276" s="1" t="n">
        <v>45474</v>
      </c>
      <c r="D276" t="inlineStr">
        <is>
          <t>DALARNAS LÄN</t>
        </is>
      </c>
      <c r="E276" t="inlineStr">
        <is>
          <t>HEDEMORA</t>
        </is>
      </c>
      <c r="G276" t="n">
        <v>3.9</v>
      </c>
      <c r="H276" t="n">
        <v>0</v>
      </c>
      <c r="I276" t="n">
        <v>0</v>
      </c>
      <c r="J276" t="n">
        <v>0</v>
      </c>
      <c r="K276" t="n">
        <v>0</v>
      </c>
      <c r="L276" t="n">
        <v>0</v>
      </c>
      <c r="M276" t="n">
        <v>0</v>
      </c>
      <c r="N276" t="n">
        <v>0</v>
      </c>
      <c r="O276" t="n">
        <v>0</v>
      </c>
      <c r="P276" t="n">
        <v>0</v>
      </c>
      <c r="Q276" t="n">
        <v>0</v>
      </c>
      <c r="R276" s="2" t="inlineStr"/>
    </row>
    <row r="277" ht="15" customHeight="1">
      <c r="A277" t="inlineStr">
        <is>
          <t>A 21520-2022</t>
        </is>
      </c>
      <c r="B277" s="1" t="n">
        <v>44706</v>
      </c>
      <c r="C277" s="1" t="n">
        <v>45474</v>
      </c>
      <c r="D277" t="inlineStr">
        <is>
          <t>DALARNAS LÄN</t>
        </is>
      </c>
      <c r="E277" t="inlineStr">
        <is>
          <t>HEDEMORA</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22968-2022</t>
        </is>
      </c>
      <c r="B278" s="1" t="n">
        <v>44716</v>
      </c>
      <c r="C278" s="1" t="n">
        <v>45474</v>
      </c>
      <c r="D278" t="inlineStr">
        <is>
          <t>DALARNAS LÄN</t>
        </is>
      </c>
      <c r="E278" t="inlineStr">
        <is>
          <t>HEDEMORA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22970-2022</t>
        </is>
      </c>
      <c r="B279" s="1" t="n">
        <v>44716</v>
      </c>
      <c r="C279" s="1" t="n">
        <v>45474</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22969-2022</t>
        </is>
      </c>
      <c r="B280" s="1" t="n">
        <v>44716</v>
      </c>
      <c r="C280" s="1" t="n">
        <v>45474</v>
      </c>
      <c r="D280" t="inlineStr">
        <is>
          <t>DALARNAS LÄN</t>
        </is>
      </c>
      <c r="E280" t="inlineStr">
        <is>
          <t>HEDEMORA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23329-2022</t>
        </is>
      </c>
      <c r="B281" s="1" t="n">
        <v>44720</v>
      </c>
      <c r="C281" s="1" t="n">
        <v>45474</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23843-2022</t>
        </is>
      </c>
      <c r="B282" s="1" t="n">
        <v>44722</v>
      </c>
      <c r="C282" s="1" t="n">
        <v>45474</v>
      </c>
      <c r="D282" t="inlineStr">
        <is>
          <t>DALARNAS LÄN</t>
        </is>
      </c>
      <c r="E282" t="inlineStr">
        <is>
          <t>HEDEMORA</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23839-2022</t>
        </is>
      </c>
      <c r="B283" s="1" t="n">
        <v>44722</v>
      </c>
      <c r="C283" s="1" t="n">
        <v>45474</v>
      </c>
      <c r="D283" t="inlineStr">
        <is>
          <t>DALARNAS LÄN</t>
        </is>
      </c>
      <c r="E283" t="inlineStr">
        <is>
          <t>HEDEMORA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45474</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24446-2022</t>
        </is>
      </c>
      <c r="B285" s="1" t="n">
        <v>44726</v>
      </c>
      <c r="C285" s="1" t="n">
        <v>45474</v>
      </c>
      <c r="D285" t="inlineStr">
        <is>
          <t>DALARNAS LÄN</t>
        </is>
      </c>
      <c r="E285" t="inlineStr">
        <is>
          <t>HEDEMORA</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24706-2022</t>
        </is>
      </c>
      <c r="B286" s="1" t="n">
        <v>44727</v>
      </c>
      <c r="C286" s="1" t="n">
        <v>45474</v>
      </c>
      <c r="D286" t="inlineStr">
        <is>
          <t>DALARNAS LÄN</t>
        </is>
      </c>
      <c r="E286" t="inlineStr">
        <is>
          <t>HEDEMORA</t>
        </is>
      </c>
      <c r="G286" t="n">
        <v>25.4</v>
      </c>
      <c r="H286" t="n">
        <v>0</v>
      </c>
      <c r="I286" t="n">
        <v>0</v>
      </c>
      <c r="J286" t="n">
        <v>0</v>
      </c>
      <c r="K286" t="n">
        <v>0</v>
      </c>
      <c r="L286" t="n">
        <v>0</v>
      </c>
      <c r="M286" t="n">
        <v>0</v>
      </c>
      <c r="N286" t="n">
        <v>0</v>
      </c>
      <c r="O286" t="n">
        <v>0</v>
      </c>
      <c r="P286" t="n">
        <v>0</v>
      </c>
      <c r="Q286" t="n">
        <v>0</v>
      </c>
      <c r="R286" s="2" t="inlineStr"/>
    </row>
    <row r="287" ht="15" customHeight="1">
      <c r="A287" t="inlineStr">
        <is>
          <t>A 25754-2022</t>
        </is>
      </c>
      <c r="B287" s="1" t="n">
        <v>44732</v>
      </c>
      <c r="C287" s="1" t="n">
        <v>45474</v>
      </c>
      <c r="D287" t="inlineStr">
        <is>
          <t>DALARNAS LÄN</t>
        </is>
      </c>
      <c r="E287" t="inlineStr">
        <is>
          <t>HEDEMORA</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25567-2022</t>
        </is>
      </c>
      <c r="B288" s="1" t="n">
        <v>44732</v>
      </c>
      <c r="C288" s="1" t="n">
        <v>45474</v>
      </c>
      <c r="D288" t="inlineStr">
        <is>
          <t>DALARNAS LÄN</t>
        </is>
      </c>
      <c r="E288" t="inlineStr">
        <is>
          <t>HEDEMORA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25577-2022</t>
        </is>
      </c>
      <c r="B289" s="1" t="n">
        <v>44732</v>
      </c>
      <c r="C289" s="1" t="n">
        <v>45474</v>
      </c>
      <c r="D289" t="inlineStr">
        <is>
          <t>DALARNAS LÄN</t>
        </is>
      </c>
      <c r="E289" t="inlineStr">
        <is>
          <t>HEDEMORA</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25692-2022</t>
        </is>
      </c>
      <c r="B290" s="1" t="n">
        <v>44732</v>
      </c>
      <c r="C290" s="1" t="n">
        <v>45474</v>
      </c>
      <c r="D290" t="inlineStr">
        <is>
          <t>DALARNAS LÄN</t>
        </is>
      </c>
      <c r="E290" t="inlineStr">
        <is>
          <t>HEDEMORA</t>
        </is>
      </c>
      <c r="F290" t="inlineStr">
        <is>
          <t>Bergvik skog väst AB</t>
        </is>
      </c>
      <c r="G290" t="n">
        <v>22.3</v>
      </c>
      <c r="H290" t="n">
        <v>0</v>
      </c>
      <c r="I290" t="n">
        <v>0</v>
      </c>
      <c r="J290" t="n">
        <v>0</v>
      </c>
      <c r="K290" t="n">
        <v>0</v>
      </c>
      <c r="L290" t="n">
        <v>0</v>
      </c>
      <c r="M290" t="n">
        <v>0</v>
      </c>
      <c r="N290" t="n">
        <v>0</v>
      </c>
      <c r="O290" t="n">
        <v>0</v>
      </c>
      <c r="P290" t="n">
        <v>0</v>
      </c>
      <c r="Q290" t="n">
        <v>0</v>
      </c>
      <c r="R290" s="2" t="inlineStr"/>
    </row>
    <row r="291" ht="15" customHeight="1">
      <c r="A291" t="inlineStr">
        <is>
          <t>A 25691-2022</t>
        </is>
      </c>
      <c r="B291" s="1" t="n">
        <v>44733</v>
      </c>
      <c r="C291" s="1" t="n">
        <v>45474</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27238-2022</t>
        </is>
      </c>
      <c r="B292" s="1" t="n">
        <v>44741</v>
      </c>
      <c r="C292" s="1" t="n">
        <v>45474</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28173-2022</t>
        </is>
      </c>
      <c r="B293" s="1" t="n">
        <v>44746</v>
      </c>
      <c r="C293" s="1" t="n">
        <v>45474</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28105-2022</t>
        </is>
      </c>
      <c r="B294" s="1" t="n">
        <v>44746</v>
      </c>
      <c r="C294" s="1" t="n">
        <v>45474</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29284-2022</t>
        </is>
      </c>
      <c r="B295" s="1" t="n">
        <v>44750</v>
      </c>
      <c r="C295" s="1" t="n">
        <v>45474</v>
      </c>
      <c r="D295" t="inlineStr">
        <is>
          <t>DALARNAS LÄN</t>
        </is>
      </c>
      <c r="E295" t="inlineStr">
        <is>
          <t>HEDEMORA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29283-2022</t>
        </is>
      </c>
      <c r="B296" s="1" t="n">
        <v>44750</v>
      </c>
      <c r="C296" s="1" t="n">
        <v>45474</v>
      </c>
      <c r="D296" t="inlineStr">
        <is>
          <t>DALARNAS LÄN</t>
        </is>
      </c>
      <c r="E296" t="inlineStr">
        <is>
          <t>HEDEMORA</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30163-2022</t>
        </is>
      </c>
      <c r="B297" s="1" t="n">
        <v>44757</v>
      </c>
      <c r="C297" s="1" t="n">
        <v>45474</v>
      </c>
      <c r="D297" t="inlineStr">
        <is>
          <t>DALARNAS LÄN</t>
        </is>
      </c>
      <c r="E297" t="inlineStr">
        <is>
          <t>HEDEMORA</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30162-2022</t>
        </is>
      </c>
      <c r="B298" s="1" t="n">
        <v>44757</v>
      </c>
      <c r="C298" s="1" t="n">
        <v>45474</v>
      </c>
      <c r="D298" t="inlineStr">
        <is>
          <t>DALARNAS LÄN</t>
        </is>
      </c>
      <c r="E298" t="inlineStr">
        <is>
          <t>HEDEMORA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30205-2022</t>
        </is>
      </c>
      <c r="B299" s="1" t="n">
        <v>44757</v>
      </c>
      <c r="C299" s="1" t="n">
        <v>45474</v>
      </c>
      <c r="D299" t="inlineStr">
        <is>
          <t>DALARNAS LÄN</t>
        </is>
      </c>
      <c r="E299" t="inlineStr">
        <is>
          <t>HEDEMORA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32731-2022</t>
        </is>
      </c>
      <c r="B300" s="1" t="n">
        <v>44783</v>
      </c>
      <c r="C300" s="1" t="n">
        <v>45474</v>
      </c>
      <c r="D300" t="inlineStr">
        <is>
          <t>DALARNAS LÄN</t>
        </is>
      </c>
      <c r="E300" t="inlineStr">
        <is>
          <t>HEDEMORA</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32738-2022</t>
        </is>
      </c>
      <c r="B301" s="1" t="n">
        <v>44783</v>
      </c>
      <c r="C301" s="1" t="n">
        <v>45474</v>
      </c>
      <c r="D301" t="inlineStr">
        <is>
          <t>DALARNAS LÄN</t>
        </is>
      </c>
      <c r="E301" t="inlineStr">
        <is>
          <t>HEDEMORA</t>
        </is>
      </c>
      <c r="G301" t="n">
        <v>2.6</v>
      </c>
      <c r="H301" t="n">
        <v>0</v>
      </c>
      <c r="I301" t="n">
        <v>0</v>
      </c>
      <c r="J301" t="n">
        <v>0</v>
      </c>
      <c r="K301" t="n">
        <v>0</v>
      </c>
      <c r="L301" t="n">
        <v>0</v>
      </c>
      <c r="M301" t="n">
        <v>0</v>
      </c>
      <c r="N301" t="n">
        <v>0</v>
      </c>
      <c r="O301" t="n">
        <v>0</v>
      </c>
      <c r="P301" t="n">
        <v>0</v>
      </c>
      <c r="Q301" t="n">
        <v>0</v>
      </c>
      <c r="R301" s="2" t="inlineStr"/>
    </row>
    <row r="302" ht="15" customHeight="1">
      <c r="A302" t="inlineStr">
        <is>
          <t>A 32748-2022</t>
        </is>
      </c>
      <c r="B302" s="1" t="n">
        <v>44783</v>
      </c>
      <c r="C302" s="1" t="n">
        <v>45474</v>
      </c>
      <c r="D302" t="inlineStr">
        <is>
          <t>DALARNAS LÄN</t>
        </is>
      </c>
      <c r="E302" t="inlineStr">
        <is>
          <t>HEDEMORA</t>
        </is>
      </c>
      <c r="G302" t="n">
        <v>1</v>
      </c>
      <c r="H302" t="n">
        <v>0</v>
      </c>
      <c r="I302" t="n">
        <v>0</v>
      </c>
      <c r="J302" t="n">
        <v>0</v>
      </c>
      <c r="K302" t="n">
        <v>0</v>
      </c>
      <c r="L302" t="n">
        <v>0</v>
      </c>
      <c r="M302" t="n">
        <v>0</v>
      </c>
      <c r="N302" t="n">
        <v>0</v>
      </c>
      <c r="O302" t="n">
        <v>0</v>
      </c>
      <c r="P302" t="n">
        <v>0</v>
      </c>
      <c r="Q302" t="n">
        <v>0</v>
      </c>
      <c r="R302" s="2" t="inlineStr"/>
    </row>
    <row r="303" ht="15" customHeight="1">
      <c r="A303" t="inlineStr">
        <is>
          <t>A 33071-2022</t>
        </is>
      </c>
      <c r="B303" s="1" t="n">
        <v>44785</v>
      </c>
      <c r="C303" s="1" t="n">
        <v>45474</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34237-2022</t>
        </is>
      </c>
      <c r="B304" s="1" t="n">
        <v>44791</v>
      </c>
      <c r="C304" s="1" t="n">
        <v>45474</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34409-2022</t>
        </is>
      </c>
      <c r="B305" s="1" t="n">
        <v>44792</v>
      </c>
      <c r="C305" s="1" t="n">
        <v>45474</v>
      </c>
      <c r="D305" t="inlineStr">
        <is>
          <t>DALARNAS LÄN</t>
        </is>
      </c>
      <c r="E305" t="inlineStr">
        <is>
          <t>HEDEMORA</t>
        </is>
      </c>
      <c r="G305" t="n">
        <v>13.7</v>
      </c>
      <c r="H305" t="n">
        <v>0</v>
      </c>
      <c r="I305" t="n">
        <v>0</v>
      </c>
      <c r="J305" t="n">
        <v>0</v>
      </c>
      <c r="K305" t="n">
        <v>0</v>
      </c>
      <c r="L305" t="n">
        <v>0</v>
      </c>
      <c r="M305" t="n">
        <v>0</v>
      </c>
      <c r="N305" t="n">
        <v>0</v>
      </c>
      <c r="O305" t="n">
        <v>0</v>
      </c>
      <c r="P305" t="n">
        <v>0</v>
      </c>
      <c r="Q305" t="n">
        <v>0</v>
      </c>
      <c r="R305" s="2" t="inlineStr"/>
    </row>
    <row r="306" ht="15" customHeight="1">
      <c r="A306" t="inlineStr">
        <is>
          <t>A 35806-2022</t>
        </is>
      </c>
      <c r="B306" s="1" t="n">
        <v>44802</v>
      </c>
      <c r="C306" s="1" t="n">
        <v>45474</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36865-2022</t>
        </is>
      </c>
      <c r="B307" s="1" t="n">
        <v>44805</v>
      </c>
      <c r="C307" s="1" t="n">
        <v>45474</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36900-2022</t>
        </is>
      </c>
      <c r="B308" s="1" t="n">
        <v>44805</v>
      </c>
      <c r="C308" s="1" t="n">
        <v>45474</v>
      </c>
      <c r="D308" t="inlineStr">
        <is>
          <t>DALARNAS LÄN</t>
        </is>
      </c>
      <c r="E308" t="inlineStr">
        <is>
          <t>HEDEMORA</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39046-2022</t>
        </is>
      </c>
      <c r="B309" s="1" t="n">
        <v>44817</v>
      </c>
      <c r="C309" s="1" t="n">
        <v>45474</v>
      </c>
      <c r="D309" t="inlineStr">
        <is>
          <t>DALARNAS LÄN</t>
        </is>
      </c>
      <c r="E309" t="inlineStr">
        <is>
          <t>HEDEMORA</t>
        </is>
      </c>
      <c r="F309" t="inlineStr">
        <is>
          <t>Sveaskog</t>
        </is>
      </c>
      <c r="G309" t="n">
        <v>14.8</v>
      </c>
      <c r="H309" t="n">
        <v>0</v>
      </c>
      <c r="I309" t="n">
        <v>0</v>
      </c>
      <c r="J309" t="n">
        <v>0</v>
      </c>
      <c r="K309" t="n">
        <v>0</v>
      </c>
      <c r="L309" t="n">
        <v>0</v>
      </c>
      <c r="M309" t="n">
        <v>0</v>
      </c>
      <c r="N309" t="n">
        <v>0</v>
      </c>
      <c r="O309" t="n">
        <v>0</v>
      </c>
      <c r="P309" t="n">
        <v>0</v>
      </c>
      <c r="Q309" t="n">
        <v>0</v>
      </c>
      <c r="R309" s="2" t="inlineStr"/>
    </row>
    <row r="310" ht="15" customHeight="1">
      <c r="A310" t="inlineStr">
        <is>
          <t>A 39497-2022</t>
        </is>
      </c>
      <c r="B310" s="1" t="n">
        <v>44817</v>
      </c>
      <c r="C310" s="1" t="n">
        <v>45474</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39511-2022</t>
        </is>
      </c>
      <c r="B311" s="1" t="n">
        <v>44817</v>
      </c>
      <c r="C311" s="1" t="n">
        <v>45474</v>
      </c>
      <c r="D311" t="inlineStr">
        <is>
          <t>DALARNAS LÄN</t>
        </is>
      </c>
      <c r="E311" t="inlineStr">
        <is>
          <t>HEDEMORA</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39506-2022</t>
        </is>
      </c>
      <c r="B312" s="1" t="n">
        <v>44817</v>
      </c>
      <c r="C312" s="1" t="n">
        <v>45474</v>
      </c>
      <c r="D312" t="inlineStr">
        <is>
          <t>DALARNAS LÄN</t>
        </is>
      </c>
      <c r="E312" t="inlineStr">
        <is>
          <t>HEDEMORA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39667-2022</t>
        </is>
      </c>
      <c r="B313" s="1" t="n">
        <v>44818</v>
      </c>
      <c r="C313" s="1" t="n">
        <v>45474</v>
      </c>
      <c r="D313" t="inlineStr">
        <is>
          <t>DALARNAS LÄN</t>
        </is>
      </c>
      <c r="E313" t="inlineStr">
        <is>
          <t>HEDEMORA</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40030-2022</t>
        </is>
      </c>
      <c r="B314" s="1" t="n">
        <v>44820</v>
      </c>
      <c r="C314" s="1" t="n">
        <v>45474</v>
      </c>
      <c r="D314" t="inlineStr">
        <is>
          <t>DALARNAS LÄN</t>
        </is>
      </c>
      <c r="E314" t="inlineStr">
        <is>
          <t>HEDEMORA</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40025-2022</t>
        </is>
      </c>
      <c r="B315" s="1" t="n">
        <v>44820</v>
      </c>
      <c r="C315" s="1" t="n">
        <v>45474</v>
      </c>
      <c r="D315" t="inlineStr">
        <is>
          <t>DALARNAS LÄN</t>
        </is>
      </c>
      <c r="E315" t="inlineStr">
        <is>
          <t>HEDEMORA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41845-2022</t>
        </is>
      </c>
      <c r="B316" s="1" t="n">
        <v>44828</v>
      </c>
      <c r="C316" s="1" t="n">
        <v>45474</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45276-2022</t>
        </is>
      </c>
      <c r="B317" s="1" t="n">
        <v>44844</v>
      </c>
      <c r="C317" s="1" t="n">
        <v>45474</v>
      </c>
      <c r="D317" t="inlineStr">
        <is>
          <t>DALARNAS LÄN</t>
        </is>
      </c>
      <c r="E317" t="inlineStr">
        <is>
          <t>HEDEMORA</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45741-2022</t>
        </is>
      </c>
      <c r="B318" s="1" t="n">
        <v>44846</v>
      </c>
      <c r="C318" s="1" t="n">
        <v>45474</v>
      </c>
      <c r="D318" t="inlineStr">
        <is>
          <t>DALARNAS LÄN</t>
        </is>
      </c>
      <c r="E318" t="inlineStr">
        <is>
          <t>HEDEMORA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48639-2022</t>
        </is>
      </c>
      <c r="B319" s="1" t="n">
        <v>44859</v>
      </c>
      <c r="C319" s="1" t="n">
        <v>45474</v>
      </c>
      <c r="D319" t="inlineStr">
        <is>
          <t>DALARNAS LÄN</t>
        </is>
      </c>
      <c r="E319" t="inlineStr">
        <is>
          <t>HEDEMORA</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49160-2022</t>
        </is>
      </c>
      <c r="B320" s="1" t="n">
        <v>44860</v>
      </c>
      <c r="C320" s="1" t="n">
        <v>45474</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49768-2022</t>
        </is>
      </c>
      <c r="B321" s="1" t="n">
        <v>44862</v>
      </c>
      <c r="C321" s="1" t="n">
        <v>45474</v>
      </c>
      <c r="D321" t="inlineStr">
        <is>
          <t>DALARNAS LÄN</t>
        </is>
      </c>
      <c r="E321" t="inlineStr">
        <is>
          <t>HEDEMORA</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49889-2022</t>
        </is>
      </c>
      <c r="B322" s="1" t="n">
        <v>44864</v>
      </c>
      <c r="C322" s="1" t="n">
        <v>45474</v>
      </c>
      <c r="D322" t="inlineStr">
        <is>
          <t>DALARNAS LÄN</t>
        </is>
      </c>
      <c r="E322" t="inlineStr">
        <is>
          <t>HEDEMORA</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49890-2022</t>
        </is>
      </c>
      <c r="B323" s="1" t="n">
        <v>44864</v>
      </c>
      <c r="C323" s="1" t="n">
        <v>45474</v>
      </c>
      <c r="D323" t="inlineStr">
        <is>
          <t>DALARNAS LÄN</t>
        </is>
      </c>
      <c r="E323" t="inlineStr">
        <is>
          <t>HEDEMORA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51181-2022</t>
        </is>
      </c>
      <c r="B324" s="1" t="n">
        <v>44868</v>
      </c>
      <c r="C324" s="1" t="n">
        <v>45474</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51167-2022</t>
        </is>
      </c>
      <c r="B325" s="1" t="n">
        <v>44868</v>
      </c>
      <c r="C325" s="1" t="n">
        <v>45474</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51520-2022</t>
        </is>
      </c>
      <c r="B326" s="1" t="n">
        <v>44869</v>
      </c>
      <c r="C326" s="1" t="n">
        <v>45474</v>
      </c>
      <c r="D326" t="inlineStr">
        <is>
          <t>DALARNAS LÄN</t>
        </is>
      </c>
      <c r="E326" t="inlineStr">
        <is>
          <t>HEDEMORA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52822-2022</t>
        </is>
      </c>
      <c r="B327" s="1" t="n">
        <v>44875</v>
      </c>
      <c r="C327" s="1" t="n">
        <v>45474</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53875-2022</t>
        </is>
      </c>
      <c r="B328" s="1" t="n">
        <v>44880</v>
      </c>
      <c r="C328" s="1" t="n">
        <v>45474</v>
      </c>
      <c r="D328" t="inlineStr">
        <is>
          <t>DALARNAS LÄN</t>
        </is>
      </c>
      <c r="E328" t="inlineStr">
        <is>
          <t>HEDEMORA</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53894-2022</t>
        </is>
      </c>
      <c r="B329" s="1" t="n">
        <v>44880</v>
      </c>
      <c r="C329" s="1" t="n">
        <v>45474</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53896-2022</t>
        </is>
      </c>
      <c r="B330" s="1" t="n">
        <v>44880</v>
      </c>
      <c r="C330" s="1" t="n">
        <v>45474</v>
      </c>
      <c r="D330" t="inlineStr">
        <is>
          <t>DALARNAS LÄN</t>
        </is>
      </c>
      <c r="E330" t="inlineStr">
        <is>
          <t>HEDEMORA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53895-2022</t>
        </is>
      </c>
      <c r="B331" s="1" t="n">
        <v>44880</v>
      </c>
      <c r="C331" s="1" t="n">
        <v>45474</v>
      </c>
      <c r="D331" t="inlineStr">
        <is>
          <t>DALARNAS LÄN</t>
        </is>
      </c>
      <c r="E331" t="inlineStr">
        <is>
          <t>HEDEMORA</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53915-2022</t>
        </is>
      </c>
      <c r="B332" s="1" t="n">
        <v>44880</v>
      </c>
      <c r="C332" s="1" t="n">
        <v>45474</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54198-2022</t>
        </is>
      </c>
      <c r="B333" s="1" t="n">
        <v>44881</v>
      </c>
      <c r="C333" s="1" t="n">
        <v>45474</v>
      </c>
      <c r="D333" t="inlineStr">
        <is>
          <t>DALARNAS LÄN</t>
        </is>
      </c>
      <c r="E333" t="inlineStr">
        <is>
          <t>HEDEMORA</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54197-2022</t>
        </is>
      </c>
      <c r="B334" s="1" t="n">
        <v>44881</v>
      </c>
      <c r="C334" s="1" t="n">
        <v>45474</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54196-2022</t>
        </is>
      </c>
      <c r="B335" s="1" t="n">
        <v>44881</v>
      </c>
      <c r="C335" s="1" t="n">
        <v>45474</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54849-2022</t>
        </is>
      </c>
      <c r="B336" s="1" t="n">
        <v>44883</v>
      </c>
      <c r="C336" s="1" t="n">
        <v>45474</v>
      </c>
      <c r="D336" t="inlineStr">
        <is>
          <t>DALARNAS LÄN</t>
        </is>
      </c>
      <c r="E336" t="inlineStr">
        <is>
          <t>HEDEMORA</t>
        </is>
      </c>
      <c r="F336" t="inlineStr">
        <is>
          <t>Sveaskog</t>
        </is>
      </c>
      <c r="G336" t="n">
        <v>8.5</v>
      </c>
      <c r="H336" t="n">
        <v>0</v>
      </c>
      <c r="I336" t="n">
        <v>0</v>
      </c>
      <c r="J336" t="n">
        <v>0</v>
      </c>
      <c r="K336" t="n">
        <v>0</v>
      </c>
      <c r="L336" t="n">
        <v>0</v>
      </c>
      <c r="M336" t="n">
        <v>0</v>
      </c>
      <c r="N336" t="n">
        <v>0</v>
      </c>
      <c r="O336" t="n">
        <v>0</v>
      </c>
      <c r="P336" t="n">
        <v>0</v>
      </c>
      <c r="Q336" t="n">
        <v>0</v>
      </c>
      <c r="R336" s="2" t="inlineStr"/>
    </row>
    <row r="337" ht="15" customHeight="1">
      <c r="A337" t="inlineStr">
        <is>
          <t>A 55143-2022</t>
        </is>
      </c>
      <c r="B337" s="1" t="n">
        <v>44886</v>
      </c>
      <c r="C337" s="1" t="n">
        <v>45474</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55145-2022</t>
        </is>
      </c>
      <c r="B338" s="1" t="n">
        <v>44886</v>
      </c>
      <c r="C338" s="1" t="n">
        <v>45474</v>
      </c>
      <c r="D338" t="inlineStr">
        <is>
          <t>DALARNAS LÄN</t>
        </is>
      </c>
      <c r="E338" t="inlineStr">
        <is>
          <t>HEDEMORA</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55142-2022</t>
        </is>
      </c>
      <c r="B339" s="1" t="n">
        <v>44886</v>
      </c>
      <c r="C339" s="1" t="n">
        <v>45474</v>
      </c>
      <c r="D339" t="inlineStr">
        <is>
          <t>DALARNAS LÄN</t>
        </is>
      </c>
      <c r="E339" t="inlineStr">
        <is>
          <t>HEDEMORA</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57143-2022</t>
        </is>
      </c>
      <c r="B340" s="1" t="n">
        <v>44895</v>
      </c>
      <c r="C340" s="1" t="n">
        <v>45474</v>
      </c>
      <c r="D340" t="inlineStr">
        <is>
          <t>DALARNAS LÄN</t>
        </is>
      </c>
      <c r="E340" t="inlineStr">
        <is>
          <t>HEDEMORA</t>
        </is>
      </c>
      <c r="F340" t="inlineStr">
        <is>
          <t>Bergvik skog väst AB</t>
        </is>
      </c>
      <c r="G340" t="n">
        <v>9.9</v>
      </c>
      <c r="H340" t="n">
        <v>0</v>
      </c>
      <c r="I340" t="n">
        <v>0</v>
      </c>
      <c r="J340" t="n">
        <v>0</v>
      </c>
      <c r="K340" t="n">
        <v>0</v>
      </c>
      <c r="L340" t="n">
        <v>0</v>
      </c>
      <c r="M340" t="n">
        <v>0</v>
      </c>
      <c r="N340" t="n">
        <v>0</v>
      </c>
      <c r="O340" t="n">
        <v>0</v>
      </c>
      <c r="P340" t="n">
        <v>0</v>
      </c>
      <c r="Q340" t="n">
        <v>0</v>
      </c>
      <c r="R340" s="2" t="inlineStr"/>
    </row>
    <row r="341" ht="15" customHeight="1">
      <c r="A341" t="inlineStr">
        <is>
          <t>A 58005-2022</t>
        </is>
      </c>
      <c r="B341" s="1" t="n">
        <v>44900</v>
      </c>
      <c r="C341" s="1" t="n">
        <v>45474</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58018-2022</t>
        </is>
      </c>
      <c r="B342" s="1" t="n">
        <v>44900</v>
      </c>
      <c r="C342" s="1" t="n">
        <v>45474</v>
      </c>
      <c r="D342" t="inlineStr">
        <is>
          <t>DALARNAS LÄN</t>
        </is>
      </c>
      <c r="E342" t="inlineStr">
        <is>
          <t>HEDEMORA</t>
        </is>
      </c>
      <c r="G342" t="n">
        <v>3.6</v>
      </c>
      <c r="H342" t="n">
        <v>0</v>
      </c>
      <c r="I342" t="n">
        <v>0</v>
      </c>
      <c r="J342" t="n">
        <v>0</v>
      </c>
      <c r="K342" t="n">
        <v>0</v>
      </c>
      <c r="L342" t="n">
        <v>0</v>
      </c>
      <c r="M342" t="n">
        <v>0</v>
      </c>
      <c r="N342" t="n">
        <v>0</v>
      </c>
      <c r="O342" t="n">
        <v>0</v>
      </c>
      <c r="P342" t="n">
        <v>0</v>
      </c>
      <c r="Q342" t="n">
        <v>0</v>
      </c>
      <c r="R342" s="2" t="inlineStr"/>
    </row>
    <row r="343" ht="15" customHeight="1">
      <c r="A343" t="inlineStr">
        <is>
          <t>A 59088-2022</t>
        </is>
      </c>
      <c r="B343" s="1" t="n">
        <v>44904</v>
      </c>
      <c r="C343" s="1" t="n">
        <v>45474</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59280-2022</t>
        </is>
      </c>
      <c r="B344" s="1" t="n">
        <v>44904</v>
      </c>
      <c r="C344" s="1" t="n">
        <v>45474</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60077-2022</t>
        </is>
      </c>
      <c r="B345" s="1" t="n">
        <v>44909</v>
      </c>
      <c r="C345" s="1" t="n">
        <v>45474</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v>
      </c>
      <c r="C346" s="1" t="n">
        <v>45474</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60475-2022</t>
        </is>
      </c>
      <c r="B347" s="1" t="n">
        <v>44911</v>
      </c>
      <c r="C347" s="1" t="n">
        <v>45474</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60774-2022</t>
        </is>
      </c>
      <c r="B348" s="1" t="n">
        <v>44914</v>
      </c>
      <c r="C348" s="1" t="n">
        <v>45474</v>
      </c>
      <c r="D348" t="inlineStr">
        <is>
          <t>DALARNAS LÄN</t>
        </is>
      </c>
      <c r="E348" t="inlineStr">
        <is>
          <t>HEDEMORA</t>
        </is>
      </c>
      <c r="G348" t="n">
        <v>11.5</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45474</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61883-2022</t>
        </is>
      </c>
      <c r="B350" s="1" t="n">
        <v>44917</v>
      </c>
      <c r="C350" s="1" t="n">
        <v>45474</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61886-2022</t>
        </is>
      </c>
      <c r="B351" s="1" t="n">
        <v>44917</v>
      </c>
      <c r="C351" s="1" t="n">
        <v>45474</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62051-2022</t>
        </is>
      </c>
      <c r="B352" s="1" t="n">
        <v>44918</v>
      </c>
      <c r="C352" s="1" t="n">
        <v>45474</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62046-2022</t>
        </is>
      </c>
      <c r="B353" s="1" t="n">
        <v>44918</v>
      </c>
      <c r="C353" s="1" t="n">
        <v>45474</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566-2023</t>
        </is>
      </c>
      <c r="B354" s="1" t="n">
        <v>44925</v>
      </c>
      <c r="C354" s="1" t="n">
        <v>45474</v>
      </c>
      <c r="D354" t="inlineStr">
        <is>
          <t>DALARNAS LÄN</t>
        </is>
      </c>
      <c r="E354" t="inlineStr">
        <is>
          <t>HEDEMORA</t>
        </is>
      </c>
      <c r="G354" t="n">
        <v>13.7</v>
      </c>
      <c r="H354" t="n">
        <v>0</v>
      </c>
      <c r="I354" t="n">
        <v>0</v>
      </c>
      <c r="J354" t="n">
        <v>0</v>
      </c>
      <c r="K354" t="n">
        <v>0</v>
      </c>
      <c r="L354" t="n">
        <v>0</v>
      </c>
      <c r="M354" t="n">
        <v>0</v>
      </c>
      <c r="N354" t="n">
        <v>0</v>
      </c>
      <c r="O354" t="n">
        <v>0</v>
      </c>
      <c r="P354" t="n">
        <v>0</v>
      </c>
      <c r="Q354" t="n">
        <v>0</v>
      </c>
      <c r="R354" s="2" t="inlineStr"/>
    </row>
    <row r="355" ht="15" customHeight="1">
      <c r="A355" t="inlineStr">
        <is>
          <t>A 1140-2023</t>
        </is>
      </c>
      <c r="B355" s="1" t="n">
        <v>44935</v>
      </c>
      <c r="C355" s="1" t="n">
        <v>45474</v>
      </c>
      <c r="D355" t="inlineStr">
        <is>
          <t>DALARNAS LÄN</t>
        </is>
      </c>
      <c r="E355" t="inlineStr">
        <is>
          <t>HEDEMORA</t>
        </is>
      </c>
      <c r="G355" t="n">
        <v>3.5</v>
      </c>
      <c r="H355" t="n">
        <v>0</v>
      </c>
      <c r="I355" t="n">
        <v>0</v>
      </c>
      <c r="J355" t="n">
        <v>0</v>
      </c>
      <c r="K355" t="n">
        <v>0</v>
      </c>
      <c r="L355" t="n">
        <v>0</v>
      </c>
      <c r="M355" t="n">
        <v>0</v>
      </c>
      <c r="N355" t="n">
        <v>0</v>
      </c>
      <c r="O355" t="n">
        <v>0</v>
      </c>
      <c r="P355" t="n">
        <v>0</v>
      </c>
      <c r="Q355" t="n">
        <v>0</v>
      </c>
      <c r="R355" s="2" t="inlineStr"/>
    </row>
    <row r="356" ht="15" customHeight="1">
      <c r="A356" t="inlineStr">
        <is>
          <t>A 2996-2023</t>
        </is>
      </c>
      <c r="B356" s="1" t="n">
        <v>44945</v>
      </c>
      <c r="C356" s="1" t="n">
        <v>45474</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5010-2023</t>
        </is>
      </c>
      <c r="B357" s="1" t="n">
        <v>44956</v>
      </c>
      <c r="C357" s="1" t="n">
        <v>45474</v>
      </c>
      <c r="D357" t="inlineStr">
        <is>
          <t>DALARNAS LÄN</t>
        </is>
      </c>
      <c r="E357" t="inlineStr">
        <is>
          <t>HEDEMORA</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45474</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6806-2023</t>
        </is>
      </c>
      <c r="B359" s="1" t="n">
        <v>44967</v>
      </c>
      <c r="C359" s="1" t="n">
        <v>45474</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8715-2023</t>
        </is>
      </c>
      <c r="B360" s="1" t="n">
        <v>44978</v>
      </c>
      <c r="C360" s="1" t="n">
        <v>45474</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9635-2023</t>
        </is>
      </c>
      <c r="B361" s="1" t="n">
        <v>44984</v>
      </c>
      <c r="C361" s="1" t="n">
        <v>45474</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9920-2023</t>
        </is>
      </c>
      <c r="B362" s="1" t="n">
        <v>44985</v>
      </c>
      <c r="C362" s="1" t="n">
        <v>45474</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9918-2023</t>
        </is>
      </c>
      <c r="B363" s="1" t="n">
        <v>44985</v>
      </c>
      <c r="C363" s="1" t="n">
        <v>45474</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9922-2023</t>
        </is>
      </c>
      <c r="B364" s="1" t="n">
        <v>44985</v>
      </c>
      <c r="C364" s="1" t="n">
        <v>45474</v>
      </c>
      <c r="D364" t="inlineStr">
        <is>
          <t>DALARNAS LÄN</t>
        </is>
      </c>
      <c r="E364" t="inlineStr">
        <is>
          <t>HEDEMORA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9972-2023</t>
        </is>
      </c>
      <c r="B365" s="1" t="n">
        <v>44985</v>
      </c>
      <c r="C365" s="1" t="n">
        <v>45474</v>
      </c>
      <c r="D365" t="inlineStr">
        <is>
          <t>DALARNAS LÄN</t>
        </is>
      </c>
      <c r="E365" t="inlineStr">
        <is>
          <t>HEDEMORA</t>
        </is>
      </c>
      <c r="G365" t="n">
        <v>4.1</v>
      </c>
      <c r="H365" t="n">
        <v>0</v>
      </c>
      <c r="I365" t="n">
        <v>0</v>
      </c>
      <c r="J365" t="n">
        <v>0</v>
      </c>
      <c r="K365" t="n">
        <v>0</v>
      </c>
      <c r="L365" t="n">
        <v>0</v>
      </c>
      <c r="M365" t="n">
        <v>0</v>
      </c>
      <c r="N365" t="n">
        <v>0</v>
      </c>
      <c r="O365" t="n">
        <v>0</v>
      </c>
      <c r="P365" t="n">
        <v>0</v>
      </c>
      <c r="Q365" t="n">
        <v>0</v>
      </c>
      <c r="R365" s="2" t="inlineStr"/>
    </row>
    <row r="366" ht="15" customHeight="1">
      <c r="A366" t="inlineStr">
        <is>
          <t>A 11920-2023</t>
        </is>
      </c>
      <c r="B366" s="1" t="n">
        <v>44995</v>
      </c>
      <c r="C366" s="1" t="n">
        <v>45474</v>
      </c>
      <c r="D366" t="inlineStr">
        <is>
          <t>DALARNAS LÄN</t>
        </is>
      </c>
      <c r="E366" t="inlineStr">
        <is>
          <t>HEDEMORA</t>
        </is>
      </c>
      <c r="G366" t="n">
        <v>10.6</v>
      </c>
      <c r="H366" t="n">
        <v>0</v>
      </c>
      <c r="I366" t="n">
        <v>0</v>
      </c>
      <c r="J366" t="n">
        <v>0</v>
      </c>
      <c r="K366" t="n">
        <v>0</v>
      </c>
      <c r="L366" t="n">
        <v>0</v>
      </c>
      <c r="M366" t="n">
        <v>0</v>
      </c>
      <c r="N366" t="n">
        <v>0</v>
      </c>
      <c r="O366" t="n">
        <v>0</v>
      </c>
      <c r="P366" t="n">
        <v>0</v>
      </c>
      <c r="Q366" t="n">
        <v>0</v>
      </c>
      <c r="R366" s="2" t="inlineStr"/>
    </row>
    <row r="367" ht="15" customHeight="1">
      <c r="A367" t="inlineStr">
        <is>
          <t>A 12259-2023</t>
        </is>
      </c>
      <c r="B367" s="1" t="n">
        <v>44998</v>
      </c>
      <c r="C367" s="1" t="n">
        <v>45474</v>
      </c>
      <c r="D367" t="inlineStr">
        <is>
          <t>DALARNAS LÄN</t>
        </is>
      </c>
      <c r="E367" t="inlineStr">
        <is>
          <t>HEDEMORA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13457-2023</t>
        </is>
      </c>
      <c r="B368" s="1" t="n">
        <v>45005</v>
      </c>
      <c r="C368" s="1" t="n">
        <v>45474</v>
      </c>
      <c r="D368" t="inlineStr">
        <is>
          <t>DALARNAS LÄN</t>
        </is>
      </c>
      <c r="E368" t="inlineStr">
        <is>
          <t>HEDEMORA</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13596-2023</t>
        </is>
      </c>
      <c r="B369" s="1" t="n">
        <v>45005</v>
      </c>
      <c r="C369" s="1" t="n">
        <v>45474</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14787-2023</t>
        </is>
      </c>
      <c r="B370" s="1" t="n">
        <v>45014</v>
      </c>
      <c r="C370" s="1" t="n">
        <v>45474</v>
      </c>
      <c r="D370" t="inlineStr">
        <is>
          <t>DALARNAS LÄN</t>
        </is>
      </c>
      <c r="E370" t="inlineStr">
        <is>
          <t>HEDEMORA</t>
        </is>
      </c>
      <c r="G370" t="n">
        <v>3.5</v>
      </c>
      <c r="H370" t="n">
        <v>0</v>
      </c>
      <c r="I370" t="n">
        <v>0</v>
      </c>
      <c r="J370" t="n">
        <v>0</v>
      </c>
      <c r="K370" t="n">
        <v>0</v>
      </c>
      <c r="L370" t="n">
        <v>0</v>
      </c>
      <c r="M370" t="n">
        <v>0</v>
      </c>
      <c r="N370" t="n">
        <v>0</v>
      </c>
      <c r="O370" t="n">
        <v>0</v>
      </c>
      <c r="P370" t="n">
        <v>0</v>
      </c>
      <c r="Q370" t="n">
        <v>0</v>
      </c>
      <c r="R370" s="2" t="inlineStr"/>
    </row>
    <row r="371" ht="15" customHeight="1">
      <c r="A371" t="inlineStr">
        <is>
          <t>A 14954-2023</t>
        </is>
      </c>
      <c r="B371" s="1" t="n">
        <v>45015</v>
      </c>
      <c r="C371" s="1" t="n">
        <v>45474</v>
      </c>
      <c r="D371" t="inlineStr">
        <is>
          <t>DALARNAS LÄN</t>
        </is>
      </c>
      <c r="E371" t="inlineStr">
        <is>
          <t>HEDEMORA</t>
        </is>
      </c>
      <c r="G371" t="n">
        <v>5.3</v>
      </c>
      <c r="H371" t="n">
        <v>0</v>
      </c>
      <c r="I371" t="n">
        <v>0</v>
      </c>
      <c r="J371" t="n">
        <v>0</v>
      </c>
      <c r="K371" t="n">
        <v>0</v>
      </c>
      <c r="L371" t="n">
        <v>0</v>
      </c>
      <c r="M371" t="n">
        <v>0</v>
      </c>
      <c r="N371" t="n">
        <v>0</v>
      </c>
      <c r="O371" t="n">
        <v>0</v>
      </c>
      <c r="P371" t="n">
        <v>0</v>
      </c>
      <c r="Q371" t="n">
        <v>0</v>
      </c>
      <c r="R371" s="2" t="inlineStr"/>
    </row>
    <row r="372" ht="15" customHeight="1">
      <c r="A372" t="inlineStr">
        <is>
          <t>A 15858-2023</t>
        </is>
      </c>
      <c r="B372" s="1" t="n">
        <v>45022</v>
      </c>
      <c r="C372" s="1" t="n">
        <v>45474</v>
      </c>
      <c r="D372" t="inlineStr">
        <is>
          <t>DALARNAS LÄN</t>
        </is>
      </c>
      <c r="E372" t="inlineStr">
        <is>
          <t>HEDEMORA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15863-2023</t>
        </is>
      </c>
      <c r="B373" s="1" t="n">
        <v>45022</v>
      </c>
      <c r="C373" s="1" t="n">
        <v>45474</v>
      </c>
      <c r="D373" t="inlineStr">
        <is>
          <t>DALARNAS LÄN</t>
        </is>
      </c>
      <c r="E373" t="inlineStr">
        <is>
          <t>HEDEMORA</t>
        </is>
      </c>
      <c r="F373" t="inlineStr">
        <is>
          <t>Bergvik skog väst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16046-2023</t>
        </is>
      </c>
      <c r="B374" s="1" t="n">
        <v>45027</v>
      </c>
      <c r="C374" s="1" t="n">
        <v>45474</v>
      </c>
      <c r="D374" t="inlineStr">
        <is>
          <t>DALARNAS LÄN</t>
        </is>
      </c>
      <c r="E374" t="inlineStr">
        <is>
          <t>HEDEMORA</t>
        </is>
      </c>
      <c r="G374" t="n">
        <v>2.8</v>
      </c>
      <c r="H374" t="n">
        <v>0</v>
      </c>
      <c r="I374" t="n">
        <v>0</v>
      </c>
      <c r="J374" t="n">
        <v>0</v>
      </c>
      <c r="K374" t="n">
        <v>0</v>
      </c>
      <c r="L374" t="n">
        <v>0</v>
      </c>
      <c r="M374" t="n">
        <v>0</v>
      </c>
      <c r="N374" t="n">
        <v>0</v>
      </c>
      <c r="O374" t="n">
        <v>0</v>
      </c>
      <c r="P374" t="n">
        <v>0</v>
      </c>
      <c r="Q374" t="n">
        <v>0</v>
      </c>
      <c r="R374" s="2" t="inlineStr"/>
    </row>
    <row r="375" ht="15" customHeight="1">
      <c r="A375" t="inlineStr">
        <is>
          <t>A 16589-2023</t>
        </is>
      </c>
      <c r="B375" s="1" t="n">
        <v>45030</v>
      </c>
      <c r="C375" s="1" t="n">
        <v>45474</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16821-2023</t>
        </is>
      </c>
      <c r="B376" s="1" t="n">
        <v>45033</v>
      </c>
      <c r="C376" s="1" t="n">
        <v>45474</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17247-2023</t>
        </is>
      </c>
      <c r="B377" s="1" t="n">
        <v>45035</v>
      </c>
      <c r="C377" s="1" t="n">
        <v>45474</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18470-2023</t>
        </is>
      </c>
      <c r="B378" s="1" t="n">
        <v>45042</v>
      </c>
      <c r="C378" s="1" t="n">
        <v>45474</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20153-2023</t>
        </is>
      </c>
      <c r="B379" s="1" t="n">
        <v>45055</v>
      </c>
      <c r="C379" s="1" t="n">
        <v>45474</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20224-2023</t>
        </is>
      </c>
      <c r="B380" s="1" t="n">
        <v>45055</v>
      </c>
      <c r="C380" s="1" t="n">
        <v>45474</v>
      </c>
      <c r="D380" t="inlineStr">
        <is>
          <t>DALARNAS LÄN</t>
        </is>
      </c>
      <c r="E380" t="inlineStr">
        <is>
          <t>HEDEMORA</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20226-2023</t>
        </is>
      </c>
      <c r="B381" s="1" t="n">
        <v>45055</v>
      </c>
      <c r="C381" s="1" t="n">
        <v>45474</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45474</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20229-2023</t>
        </is>
      </c>
      <c r="B383" s="1" t="n">
        <v>45055</v>
      </c>
      <c r="C383" s="1" t="n">
        <v>45474</v>
      </c>
      <c r="D383" t="inlineStr">
        <is>
          <t>DALARNAS LÄN</t>
        </is>
      </c>
      <c r="E383" t="inlineStr">
        <is>
          <t>HEDEMORA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20233-2023</t>
        </is>
      </c>
      <c r="B384" s="1" t="n">
        <v>45055</v>
      </c>
      <c r="C384" s="1" t="n">
        <v>45474</v>
      </c>
      <c r="D384" t="inlineStr">
        <is>
          <t>DALARNAS LÄN</t>
        </is>
      </c>
      <c r="E384" t="inlineStr">
        <is>
          <t>HEDEMORA</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20239-2023</t>
        </is>
      </c>
      <c r="B385" s="1" t="n">
        <v>45055</v>
      </c>
      <c r="C385" s="1" t="n">
        <v>45474</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21093-2023</t>
        </is>
      </c>
      <c r="B386" s="1" t="n">
        <v>45061</v>
      </c>
      <c r="C386" s="1" t="n">
        <v>45474</v>
      </c>
      <c r="D386" t="inlineStr">
        <is>
          <t>DALARNAS LÄN</t>
        </is>
      </c>
      <c r="E386" t="inlineStr">
        <is>
          <t>HEDEMORA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21096-2023</t>
        </is>
      </c>
      <c r="B387" s="1" t="n">
        <v>45061</v>
      </c>
      <c r="C387" s="1" t="n">
        <v>45474</v>
      </c>
      <c r="D387" t="inlineStr">
        <is>
          <t>DALARNAS LÄN</t>
        </is>
      </c>
      <c r="E387" t="inlineStr">
        <is>
          <t>HEDEMORA</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21092-2023</t>
        </is>
      </c>
      <c r="B388" s="1" t="n">
        <v>45061</v>
      </c>
      <c r="C388" s="1" t="n">
        <v>45474</v>
      </c>
      <c r="D388" t="inlineStr">
        <is>
          <t>DALARNAS LÄN</t>
        </is>
      </c>
      <c r="E388" t="inlineStr">
        <is>
          <t>HEDEMORA</t>
        </is>
      </c>
      <c r="F388" t="inlineStr">
        <is>
          <t>Sveaskog</t>
        </is>
      </c>
      <c r="G388" t="n">
        <v>0.1</v>
      </c>
      <c r="H388" t="n">
        <v>0</v>
      </c>
      <c r="I388" t="n">
        <v>0</v>
      </c>
      <c r="J388" t="n">
        <v>0</v>
      </c>
      <c r="K388" t="n">
        <v>0</v>
      </c>
      <c r="L388" t="n">
        <v>0</v>
      </c>
      <c r="M388" t="n">
        <v>0</v>
      </c>
      <c r="N388" t="n">
        <v>0</v>
      </c>
      <c r="O388" t="n">
        <v>0</v>
      </c>
      <c r="P388" t="n">
        <v>0</v>
      </c>
      <c r="Q388" t="n">
        <v>0</v>
      </c>
      <c r="R388" s="2" t="inlineStr"/>
    </row>
    <row r="389" ht="15" customHeight="1">
      <c r="A389" t="inlineStr">
        <is>
          <t>A 21657-2023</t>
        </is>
      </c>
      <c r="B389" s="1" t="n">
        <v>45063</v>
      </c>
      <c r="C389" s="1" t="n">
        <v>45474</v>
      </c>
      <c r="D389" t="inlineStr">
        <is>
          <t>DALARNAS LÄN</t>
        </is>
      </c>
      <c r="E389" t="inlineStr">
        <is>
          <t>HEDEMORA</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21763-2023</t>
        </is>
      </c>
      <c r="B390" s="1" t="n">
        <v>45065</v>
      </c>
      <c r="C390" s="1" t="n">
        <v>45474</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21762-2023</t>
        </is>
      </c>
      <c r="B391" s="1" t="n">
        <v>45065</v>
      </c>
      <c r="C391" s="1" t="n">
        <v>45474</v>
      </c>
      <c r="D391" t="inlineStr">
        <is>
          <t>DALARNAS LÄN</t>
        </is>
      </c>
      <c r="E391" t="inlineStr">
        <is>
          <t>HEDEMORA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22222-2023</t>
        </is>
      </c>
      <c r="B392" s="1" t="n">
        <v>45070</v>
      </c>
      <c r="C392" s="1" t="n">
        <v>45474</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22273-2023</t>
        </is>
      </c>
      <c r="B393" s="1" t="n">
        <v>45070</v>
      </c>
      <c r="C393" s="1" t="n">
        <v>45474</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22270-2023</t>
        </is>
      </c>
      <c r="B394" s="1" t="n">
        <v>45070</v>
      </c>
      <c r="C394" s="1" t="n">
        <v>45474</v>
      </c>
      <c r="D394" t="inlineStr">
        <is>
          <t>DALARNAS LÄN</t>
        </is>
      </c>
      <c r="E394" t="inlineStr">
        <is>
          <t>HEDEMORA</t>
        </is>
      </c>
      <c r="G394" t="n">
        <v>1.8</v>
      </c>
      <c r="H394" t="n">
        <v>0</v>
      </c>
      <c r="I394" t="n">
        <v>0</v>
      </c>
      <c r="J394" t="n">
        <v>0</v>
      </c>
      <c r="K394" t="n">
        <v>0</v>
      </c>
      <c r="L394" t="n">
        <v>0</v>
      </c>
      <c r="M394" t="n">
        <v>0</v>
      </c>
      <c r="N394" t="n">
        <v>0</v>
      </c>
      <c r="O394" t="n">
        <v>0</v>
      </c>
      <c r="P394" t="n">
        <v>0</v>
      </c>
      <c r="Q394" t="n">
        <v>0</v>
      </c>
      <c r="R394" s="2" t="inlineStr"/>
    </row>
    <row r="395" ht="15" customHeight="1">
      <c r="A395" t="inlineStr">
        <is>
          <t>A 22726-2023</t>
        </is>
      </c>
      <c r="B395" s="1" t="n">
        <v>45071</v>
      </c>
      <c r="C395" s="1" t="n">
        <v>45474</v>
      </c>
      <c r="D395" t="inlineStr">
        <is>
          <t>DALARNAS LÄN</t>
        </is>
      </c>
      <c r="E395" t="inlineStr">
        <is>
          <t>HEDEMORA</t>
        </is>
      </c>
      <c r="G395" t="n">
        <v>0.8</v>
      </c>
      <c r="H395" t="n">
        <v>0</v>
      </c>
      <c r="I395" t="n">
        <v>0</v>
      </c>
      <c r="J395" t="n">
        <v>0</v>
      </c>
      <c r="K395" t="n">
        <v>0</v>
      </c>
      <c r="L395" t="n">
        <v>0</v>
      </c>
      <c r="M395" t="n">
        <v>0</v>
      </c>
      <c r="N395" t="n">
        <v>0</v>
      </c>
      <c r="O395" t="n">
        <v>0</v>
      </c>
      <c r="P395" t="n">
        <v>0</v>
      </c>
      <c r="Q395" t="n">
        <v>0</v>
      </c>
      <c r="R395" s="2" t="inlineStr"/>
    </row>
    <row r="396" ht="15" customHeight="1">
      <c r="A396" t="inlineStr">
        <is>
          <t>A 23501-2023</t>
        </is>
      </c>
      <c r="B396" s="1" t="n">
        <v>45076</v>
      </c>
      <c r="C396" s="1" t="n">
        <v>45474</v>
      </c>
      <c r="D396" t="inlineStr">
        <is>
          <t>DALARNAS LÄN</t>
        </is>
      </c>
      <c r="E396" t="inlineStr">
        <is>
          <t>HEDEMORA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23934-2023</t>
        </is>
      </c>
      <c r="B397" s="1" t="n">
        <v>45078</v>
      </c>
      <c r="C397" s="1" t="n">
        <v>45474</v>
      </c>
      <c r="D397" t="inlineStr">
        <is>
          <t>DALARNAS LÄN</t>
        </is>
      </c>
      <c r="E397" t="inlineStr">
        <is>
          <t>HEDEMORA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23968-2023</t>
        </is>
      </c>
      <c r="B398" s="1" t="n">
        <v>45078</v>
      </c>
      <c r="C398" s="1" t="n">
        <v>45474</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24569-2023</t>
        </is>
      </c>
      <c r="B399" s="1" t="n">
        <v>45083</v>
      </c>
      <c r="C399" s="1" t="n">
        <v>45474</v>
      </c>
      <c r="D399" t="inlineStr">
        <is>
          <t>DALARNAS LÄN</t>
        </is>
      </c>
      <c r="E399" t="inlineStr">
        <is>
          <t>HEDEMORA</t>
        </is>
      </c>
      <c r="F399" t="inlineStr">
        <is>
          <t>Sveaskog</t>
        </is>
      </c>
      <c r="G399" t="n">
        <v>34.6</v>
      </c>
      <c r="H399" t="n">
        <v>0</v>
      </c>
      <c r="I399" t="n">
        <v>0</v>
      </c>
      <c r="J399" t="n">
        <v>0</v>
      </c>
      <c r="K399" t="n">
        <v>0</v>
      </c>
      <c r="L399" t="n">
        <v>0</v>
      </c>
      <c r="M399" t="n">
        <v>0</v>
      </c>
      <c r="N399" t="n">
        <v>0</v>
      </c>
      <c r="O399" t="n">
        <v>0</v>
      </c>
      <c r="P399" t="n">
        <v>0</v>
      </c>
      <c r="Q399" t="n">
        <v>0</v>
      </c>
      <c r="R399" s="2" t="inlineStr"/>
    </row>
    <row r="400" ht="15" customHeight="1">
      <c r="A400" t="inlineStr">
        <is>
          <t>A 24780-2023</t>
        </is>
      </c>
      <c r="B400" s="1" t="n">
        <v>45084</v>
      </c>
      <c r="C400" s="1" t="n">
        <v>45474</v>
      </c>
      <c r="D400" t="inlineStr">
        <is>
          <t>DALARNAS LÄN</t>
        </is>
      </c>
      <c r="E400" t="inlineStr">
        <is>
          <t>HEDEMORA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24660-2023</t>
        </is>
      </c>
      <c r="B401" s="1" t="n">
        <v>45084</v>
      </c>
      <c r="C401" s="1" t="n">
        <v>45474</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24792-2023</t>
        </is>
      </c>
      <c r="B402" s="1" t="n">
        <v>45084</v>
      </c>
      <c r="C402" s="1" t="n">
        <v>45474</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24864-2023</t>
        </is>
      </c>
      <c r="B403" s="1" t="n">
        <v>45085</v>
      </c>
      <c r="C403" s="1" t="n">
        <v>45474</v>
      </c>
      <c r="D403" t="inlineStr">
        <is>
          <t>DALARNAS LÄN</t>
        </is>
      </c>
      <c r="E403" t="inlineStr">
        <is>
          <t>HEDEMORA</t>
        </is>
      </c>
      <c r="G403" t="n">
        <v>13.2</v>
      </c>
      <c r="H403" t="n">
        <v>0</v>
      </c>
      <c r="I403" t="n">
        <v>0</v>
      </c>
      <c r="J403" t="n">
        <v>0</v>
      </c>
      <c r="K403" t="n">
        <v>0</v>
      </c>
      <c r="L403" t="n">
        <v>0</v>
      </c>
      <c r="M403" t="n">
        <v>0</v>
      </c>
      <c r="N403" t="n">
        <v>0</v>
      </c>
      <c r="O403" t="n">
        <v>0</v>
      </c>
      <c r="P403" t="n">
        <v>0</v>
      </c>
      <c r="Q403" t="n">
        <v>0</v>
      </c>
      <c r="R403" s="2" t="inlineStr"/>
    </row>
    <row r="404" ht="15" customHeight="1">
      <c r="A404" t="inlineStr">
        <is>
          <t>A 25150-2023</t>
        </is>
      </c>
      <c r="B404" s="1" t="n">
        <v>45086</v>
      </c>
      <c r="C404" s="1" t="n">
        <v>45474</v>
      </c>
      <c r="D404" t="inlineStr">
        <is>
          <t>DALARNAS LÄN</t>
        </is>
      </c>
      <c r="E404" t="inlineStr">
        <is>
          <t>HEDEMORA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25155-2023</t>
        </is>
      </c>
      <c r="B405" s="1" t="n">
        <v>45086</v>
      </c>
      <c r="C405" s="1" t="n">
        <v>45474</v>
      </c>
      <c r="D405" t="inlineStr">
        <is>
          <t>DALARNAS LÄN</t>
        </is>
      </c>
      <c r="E405" t="inlineStr">
        <is>
          <t>HEDEMORA</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26232-2023</t>
        </is>
      </c>
      <c r="B406" s="1" t="n">
        <v>45091</v>
      </c>
      <c r="C406" s="1" t="n">
        <v>45474</v>
      </c>
      <c r="D406" t="inlineStr">
        <is>
          <t>DALARNAS LÄN</t>
        </is>
      </c>
      <c r="E406" t="inlineStr">
        <is>
          <t>HEDEMORA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27695-2023</t>
        </is>
      </c>
      <c r="B407" s="1" t="n">
        <v>45097</v>
      </c>
      <c r="C407" s="1" t="n">
        <v>45474</v>
      </c>
      <c r="D407" t="inlineStr">
        <is>
          <t>DALARNAS LÄN</t>
        </is>
      </c>
      <c r="E407" t="inlineStr">
        <is>
          <t>HEDEMORA</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27696-2023</t>
        </is>
      </c>
      <c r="B408" s="1" t="n">
        <v>45097</v>
      </c>
      <c r="C408" s="1" t="n">
        <v>45474</v>
      </c>
      <c r="D408" t="inlineStr">
        <is>
          <t>DALARNAS LÄN</t>
        </is>
      </c>
      <c r="E408" t="inlineStr">
        <is>
          <t>HEDEMORA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27965-2023</t>
        </is>
      </c>
      <c r="B409" s="1" t="n">
        <v>45098</v>
      </c>
      <c r="C409" s="1" t="n">
        <v>45474</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27963-2023</t>
        </is>
      </c>
      <c r="B410" s="1" t="n">
        <v>45098</v>
      </c>
      <c r="C410" s="1" t="n">
        <v>45474</v>
      </c>
      <c r="D410" t="inlineStr">
        <is>
          <t>DALARNAS LÄN</t>
        </is>
      </c>
      <c r="E410" t="inlineStr">
        <is>
          <t>HEDEMORA</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28029-2023</t>
        </is>
      </c>
      <c r="B411" s="1" t="n">
        <v>45099</v>
      </c>
      <c r="C411" s="1" t="n">
        <v>45474</v>
      </c>
      <c r="D411" t="inlineStr">
        <is>
          <t>DALARNAS LÄN</t>
        </is>
      </c>
      <c r="E411" t="inlineStr">
        <is>
          <t>HEDEMORA</t>
        </is>
      </c>
      <c r="G411" t="n">
        <v>0.6</v>
      </c>
      <c r="H411" t="n">
        <v>0</v>
      </c>
      <c r="I411" t="n">
        <v>0</v>
      </c>
      <c r="J411" t="n">
        <v>0</v>
      </c>
      <c r="K411" t="n">
        <v>0</v>
      </c>
      <c r="L411" t="n">
        <v>0</v>
      </c>
      <c r="M411" t="n">
        <v>0</v>
      </c>
      <c r="N411" t="n">
        <v>0</v>
      </c>
      <c r="O411" t="n">
        <v>0</v>
      </c>
      <c r="P411" t="n">
        <v>0</v>
      </c>
      <c r="Q411" t="n">
        <v>0</v>
      </c>
      <c r="R411" s="2" t="inlineStr"/>
    </row>
    <row r="412" ht="15" customHeight="1">
      <c r="A412" t="inlineStr">
        <is>
          <t>A 28398-2023</t>
        </is>
      </c>
      <c r="B412" s="1" t="n">
        <v>45100</v>
      </c>
      <c r="C412" s="1" t="n">
        <v>45474</v>
      </c>
      <c r="D412" t="inlineStr">
        <is>
          <t>DALARNAS LÄN</t>
        </is>
      </c>
      <c r="E412" t="inlineStr">
        <is>
          <t>HEDEMORA</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29050-2023</t>
        </is>
      </c>
      <c r="B413" s="1" t="n">
        <v>45104</v>
      </c>
      <c r="C413" s="1" t="n">
        <v>45474</v>
      </c>
      <c r="D413" t="inlineStr">
        <is>
          <t>DALARNAS LÄN</t>
        </is>
      </c>
      <c r="E413" t="inlineStr">
        <is>
          <t>HEDEMORA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29301-2023</t>
        </is>
      </c>
      <c r="B414" s="1" t="n">
        <v>45105</v>
      </c>
      <c r="C414" s="1" t="n">
        <v>45474</v>
      </c>
      <c r="D414" t="inlineStr">
        <is>
          <t>DALARNAS LÄN</t>
        </is>
      </c>
      <c r="E414" t="inlineStr">
        <is>
          <t>HEDEMORA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29303-2023</t>
        </is>
      </c>
      <c r="B415" s="1" t="n">
        <v>45105</v>
      </c>
      <c r="C415" s="1" t="n">
        <v>45474</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30013-2023</t>
        </is>
      </c>
      <c r="B416" s="1" t="n">
        <v>45109</v>
      </c>
      <c r="C416" s="1" t="n">
        <v>45474</v>
      </c>
      <c r="D416" t="inlineStr">
        <is>
          <t>DALARNAS LÄN</t>
        </is>
      </c>
      <c r="E416" t="inlineStr">
        <is>
          <t>HEDEMORA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30014-2023</t>
        </is>
      </c>
      <c r="B417" s="1" t="n">
        <v>45109</v>
      </c>
      <c r="C417" s="1" t="n">
        <v>45474</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30430-2023</t>
        </is>
      </c>
      <c r="B418" s="1" t="n">
        <v>45111</v>
      </c>
      <c r="C418" s="1" t="n">
        <v>45474</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30428-2023</t>
        </is>
      </c>
      <c r="B419" s="1" t="n">
        <v>45111</v>
      </c>
      <c r="C419" s="1" t="n">
        <v>45474</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30939-2023</t>
        </is>
      </c>
      <c r="B420" s="1" t="n">
        <v>45113</v>
      </c>
      <c r="C420" s="1" t="n">
        <v>45474</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31103-2023</t>
        </is>
      </c>
      <c r="B421" s="1" t="n">
        <v>45113</v>
      </c>
      <c r="C421" s="1" t="n">
        <v>45474</v>
      </c>
      <c r="D421" t="inlineStr">
        <is>
          <t>DALARNAS LÄN</t>
        </is>
      </c>
      <c r="E421" t="inlineStr">
        <is>
          <t>HEDEMORA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31253-2023</t>
        </is>
      </c>
      <c r="B422" s="1" t="n">
        <v>45114</v>
      </c>
      <c r="C422" s="1" t="n">
        <v>45474</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33469-2023</t>
        </is>
      </c>
      <c r="B423" s="1" t="n">
        <v>45118</v>
      </c>
      <c r="C423" s="1" t="n">
        <v>45474</v>
      </c>
      <c r="D423" t="inlineStr">
        <is>
          <t>DALARNAS LÄN</t>
        </is>
      </c>
      <c r="E423" t="inlineStr">
        <is>
          <t>HEDEMORA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33475-2023</t>
        </is>
      </c>
      <c r="B424" s="1" t="n">
        <v>45118</v>
      </c>
      <c r="C424" s="1" t="n">
        <v>45474</v>
      </c>
      <c r="D424" t="inlineStr">
        <is>
          <t>DALARNAS LÄN</t>
        </is>
      </c>
      <c r="E424" t="inlineStr">
        <is>
          <t>HEDEMORA</t>
        </is>
      </c>
      <c r="F424" t="inlineStr">
        <is>
          <t>Bergvik skog väst AB</t>
        </is>
      </c>
      <c r="G424" t="n">
        <v>7.8</v>
      </c>
      <c r="H424" t="n">
        <v>0</v>
      </c>
      <c r="I424" t="n">
        <v>0</v>
      </c>
      <c r="J424" t="n">
        <v>0</v>
      </c>
      <c r="K424" t="n">
        <v>0</v>
      </c>
      <c r="L424" t="n">
        <v>0</v>
      </c>
      <c r="M424" t="n">
        <v>0</v>
      </c>
      <c r="N424" t="n">
        <v>0</v>
      </c>
      <c r="O424" t="n">
        <v>0</v>
      </c>
      <c r="P424" t="n">
        <v>0</v>
      </c>
      <c r="Q424" t="n">
        <v>0</v>
      </c>
      <c r="R424" s="2" t="inlineStr"/>
    </row>
    <row r="425" ht="15" customHeight="1">
      <c r="A425" t="inlineStr">
        <is>
          <t>A 33775-2023</t>
        </is>
      </c>
      <c r="B425" s="1" t="n">
        <v>45120</v>
      </c>
      <c r="C425" s="1" t="n">
        <v>45474</v>
      </c>
      <c r="D425" t="inlineStr">
        <is>
          <t>DALARNAS LÄN</t>
        </is>
      </c>
      <c r="E425" t="inlineStr">
        <is>
          <t>HEDEMORA</t>
        </is>
      </c>
      <c r="G425" t="n">
        <v>3</v>
      </c>
      <c r="H425" t="n">
        <v>0</v>
      </c>
      <c r="I425" t="n">
        <v>0</v>
      </c>
      <c r="J425" t="n">
        <v>0</v>
      </c>
      <c r="K425" t="n">
        <v>0</v>
      </c>
      <c r="L425" t="n">
        <v>0</v>
      </c>
      <c r="M425" t="n">
        <v>0</v>
      </c>
      <c r="N425" t="n">
        <v>0</v>
      </c>
      <c r="O425" t="n">
        <v>0</v>
      </c>
      <c r="P425" t="n">
        <v>0</v>
      </c>
      <c r="Q425" t="n">
        <v>0</v>
      </c>
      <c r="R425" s="2" t="inlineStr"/>
    </row>
    <row r="426" ht="15" customHeight="1">
      <c r="A426" t="inlineStr">
        <is>
          <t>A 32598-2023</t>
        </is>
      </c>
      <c r="B426" s="1" t="n">
        <v>45121</v>
      </c>
      <c r="C426" s="1" t="n">
        <v>45474</v>
      </c>
      <c r="D426" t="inlineStr">
        <is>
          <t>DALARNAS LÄN</t>
        </is>
      </c>
      <c r="E426" t="inlineStr">
        <is>
          <t>HEDEMORA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32607-2023</t>
        </is>
      </c>
      <c r="B427" s="1" t="n">
        <v>45121</v>
      </c>
      <c r="C427" s="1" t="n">
        <v>45474</v>
      </c>
      <c r="D427" t="inlineStr">
        <is>
          <t>DALARNAS LÄN</t>
        </is>
      </c>
      <c r="E427" t="inlineStr">
        <is>
          <t>HEDEMORA</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32720-2023</t>
        </is>
      </c>
      <c r="B428" s="1" t="n">
        <v>45121</v>
      </c>
      <c r="C428" s="1" t="n">
        <v>45474</v>
      </c>
      <c r="D428" t="inlineStr">
        <is>
          <t>DALARNAS LÄN</t>
        </is>
      </c>
      <c r="E428" t="inlineStr">
        <is>
          <t>HEDEMORA</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32721-2023</t>
        </is>
      </c>
      <c r="B429" s="1" t="n">
        <v>45121</v>
      </c>
      <c r="C429" s="1" t="n">
        <v>45474</v>
      </c>
      <c r="D429" t="inlineStr">
        <is>
          <t>DALARNAS LÄN</t>
        </is>
      </c>
      <c r="E429" t="inlineStr">
        <is>
          <t>HEDEMORA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32719-2023</t>
        </is>
      </c>
      <c r="B430" s="1" t="n">
        <v>45121</v>
      </c>
      <c r="C430" s="1" t="n">
        <v>45474</v>
      </c>
      <c r="D430" t="inlineStr">
        <is>
          <t>DALARNAS LÄN</t>
        </is>
      </c>
      <c r="E430" t="inlineStr">
        <is>
          <t>HEDEMORA</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33314-2023</t>
        </is>
      </c>
      <c r="B431" s="1" t="n">
        <v>45127</v>
      </c>
      <c r="C431" s="1" t="n">
        <v>45474</v>
      </c>
      <c r="D431" t="inlineStr">
        <is>
          <t>DALARNAS LÄN</t>
        </is>
      </c>
      <c r="E431" t="inlineStr">
        <is>
          <t>HEDEMORA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33313-2023</t>
        </is>
      </c>
      <c r="B432" s="1" t="n">
        <v>45127</v>
      </c>
      <c r="C432" s="1" t="n">
        <v>45474</v>
      </c>
      <c r="D432" t="inlineStr">
        <is>
          <t>DALARNAS LÄN</t>
        </is>
      </c>
      <c r="E432" t="inlineStr">
        <is>
          <t>HEDEMORA</t>
        </is>
      </c>
      <c r="F432" t="inlineStr">
        <is>
          <t>Bergvik skog väst AB</t>
        </is>
      </c>
      <c r="G432" t="n">
        <v>8.6</v>
      </c>
      <c r="H432" t="n">
        <v>0</v>
      </c>
      <c r="I432" t="n">
        <v>0</v>
      </c>
      <c r="J432" t="n">
        <v>0</v>
      </c>
      <c r="K432" t="n">
        <v>0</v>
      </c>
      <c r="L432" t="n">
        <v>0</v>
      </c>
      <c r="M432" t="n">
        <v>0</v>
      </c>
      <c r="N432" t="n">
        <v>0</v>
      </c>
      <c r="O432" t="n">
        <v>0</v>
      </c>
      <c r="P432" t="n">
        <v>0</v>
      </c>
      <c r="Q432" t="n">
        <v>0</v>
      </c>
      <c r="R432" s="2" t="inlineStr"/>
    </row>
    <row r="433" ht="15" customHeight="1">
      <c r="A433" t="inlineStr">
        <is>
          <t>A 33315-2023</t>
        </is>
      </c>
      <c r="B433" s="1" t="n">
        <v>45127</v>
      </c>
      <c r="C433" s="1" t="n">
        <v>45474</v>
      </c>
      <c r="D433" t="inlineStr">
        <is>
          <t>DALARNAS LÄN</t>
        </is>
      </c>
      <c r="E433" t="inlineStr">
        <is>
          <t>HEDEMORA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35240-2023</t>
        </is>
      </c>
      <c r="B434" s="1" t="n">
        <v>45145</v>
      </c>
      <c r="C434" s="1" t="n">
        <v>45474</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ht="15" customHeight="1">
      <c r="A435" t="inlineStr">
        <is>
          <t>A 36049-2023</t>
        </is>
      </c>
      <c r="B435" s="1" t="n">
        <v>45149</v>
      </c>
      <c r="C435" s="1" t="n">
        <v>45474</v>
      </c>
      <c r="D435" t="inlineStr">
        <is>
          <t>DALARNAS LÄN</t>
        </is>
      </c>
      <c r="E435" t="inlineStr">
        <is>
          <t>HEDEMORA</t>
        </is>
      </c>
      <c r="G435" t="n">
        <v>3.6</v>
      </c>
      <c r="H435" t="n">
        <v>0</v>
      </c>
      <c r="I435" t="n">
        <v>0</v>
      </c>
      <c r="J435" t="n">
        <v>0</v>
      </c>
      <c r="K435" t="n">
        <v>0</v>
      </c>
      <c r="L435" t="n">
        <v>0</v>
      </c>
      <c r="M435" t="n">
        <v>0</v>
      </c>
      <c r="N435" t="n">
        <v>0</v>
      </c>
      <c r="O435" t="n">
        <v>0</v>
      </c>
      <c r="P435" t="n">
        <v>0</v>
      </c>
      <c r="Q435" t="n">
        <v>0</v>
      </c>
      <c r="R435" s="2" t="inlineStr"/>
    </row>
    <row r="436" ht="15" customHeight="1">
      <c r="A436" t="inlineStr">
        <is>
          <t>A 38032-2023</t>
        </is>
      </c>
      <c r="B436" s="1" t="n">
        <v>45160</v>
      </c>
      <c r="C436" s="1" t="n">
        <v>45474</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ht="15" customHeight="1">
      <c r="A437" t="inlineStr">
        <is>
          <t>A 38957-2023</t>
        </is>
      </c>
      <c r="B437" s="1" t="n">
        <v>45163</v>
      </c>
      <c r="C437" s="1" t="n">
        <v>45474</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38947-2023</t>
        </is>
      </c>
      <c r="B438" s="1" t="n">
        <v>45163</v>
      </c>
      <c r="C438" s="1" t="n">
        <v>45474</v>
      </c>
      <c r="D438" t="inlineStr">
        <is>
          <t>DALARNAS LÄN</t>
        </is>
      </c>
      <c r="E438" t="inlineStr">
        <is>
          <t>HEDEMORA</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38951-2023</t>
        </is>
      </c>
      <c r="B439" s="1" t="n">
        <v>45163</v>
      </c>
      <c r="C439" s="1" t="n">
        <v>45474</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41445-2023</t>
        </is>
      </c>
      <c r="B440" s="1" t="n">
        <v>45170</v>
      </c>
      <c r="C440" s="1" t="n">
        <v>45474</v>
      </c>
      <c r="D440" t="inlineStr">
        <is>
          <t>DALARNAS LÄN</t>
        </is>
      </c>
      <c r="E440" t="inlineStr">
        <is>
          <t>HEDEMORA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40707-2023</t>
        </is>
      </c>
      <c r="B441" s="1" t="n">
        <v>45170</v>
      </c>
      <c r="C441" s="1" t="n">
        <v>45474</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41458-2023</t>
        </is>
      </c>
      <c r="B442" s="1" t="n">
        <v>45170</v>
      </c>
      <c r="C442" s="1" t="n">
        <v>45474</v>
      </c>
      <c r="D442" t="inlineStr">
        <is>
          <t>DALARNAS LÄN</t>
        </is>
      </c>
      <c r="E442" t="inlineStr">
        <is>
          <t>HEDEMORA</t>
        </is>
      </c>
      <c r="F442" t="inlineStr">
        <is>
          <t>Bergvik skog väst AB</t>
        </is>
      </c>
      <c r="G442" t="n">
        <v>5.8</v>
      </c>
      <c r="H442" t="n">
        <v>0</v>
      </c>
      <c r="I442" t="n">
        <v>0</v>
      </c>
      <c r="J442" t="n">
        <v>0</v>
      </c>
      <c r="K442" t="n">
        <v>0</v>
      </c>
      <c r="L442" t="n">
        <v>0</v>
      </c>
      <c r="M442" t="n">
        <v>0</v>
      </c>
      <c r="N442" t="n">
        <v>0</v>
      </c>
      <c r="O442" t="n">
        <v>0</v>
      </c>
      <c r="P442" t="n">
        <v>0</v>
      </c>
      <c r="Q442" t="n">
        <v>0</v>
      </c>
      <c r="R442" s="2" t="inlineStr"/>
    </row>
    <row r="443" ht="15" customHeight="1">
      <c r="A443" t="inlineStr">
        <is>
          <t>A 41294-2023</t>
        </is>
      </c>
      <c r="B443" s="1" t="n">
        <v>45170</v>
      </c>
      <c r="C443" s="1" t="n">
        <v>45474</v>
      </c>
      <c r="D443" t="inlineStr">
        <is>
          <t>DALARNAS LÄN</t>
        </is>
      </c>
      <c r="E443" t="inlineStr">
        <is>
          <t>HEDEMORA</t>
        </is>
      </c>
      <c r="F443" t="inlineStr">
        <is>
          <t>Bergvik skog väst AB</t>
        </is>
      </c>
      <c r="G443" t="n">
        <v>16.2</v>
      </c>
      <c r="H443" t="n">
        <v>0</v>
      </c>
      <c r="I443" t="n">
        <v>0</v>
      </c>
      <c r="J443" t="n">
        <v>0</v>
      </c>
      <c r="K443" t="n">
        <v>0</v>
      </c>
      <c r="L443" t="n">
        <v>0</v>
      </c>
      <c r="M443" t="n">
        <v>0</v>
      </c>
      <c r="N443" t="n">
        <v>0</v>
      </c>
      <c r="O443" t="n">
        <v>0</v>
      </c>
      <c r="P443" t="n">
        <v>0</v>
      </c>
      <c r="Q443" t="n">
        <v>0</v>
      </c>
      <c r="R443" s="2" t="inlineStr"/>
    </row>
    <row r="444" ht="15" customHeight="1">
      <c r="A444" t="inlineStr">
        <is>
          <t>A 41435-2023</t>
        </is>
      </c>
      <c r="B444" s="1" t="n">
        <v>45170</v>
      </c>
      <c r="C444" s="1" t="n">
        <v>45474</v>
      </c>
      <c r="D444" t="inlineStr">
        <is>
          <t>DALARNAS LÄN</t>
        </is>
      </c>
      <c r="E444" t="inlineStr">
        <is>
          <t>HEDEMORA</t>
        </is>
      </c>
      <c r="G444" t="n">
        <v>2.9</v>
      </c>
      <c r="H444" t="n">
        <v>0</v>
      </c>
      <c r="I444" t="n">
        <v>0</v>
      </c>
      <c r="J444" t="n">
        <v>0</v>
      </c>
      <c r="K444" t="n">
        <v>0</v>
      </c>
      <c r="L444" t="n">
        <v>0</v>
      </c>
      <c r="M444" t="n">
        <v>0</v>
      </c>
      <c r="N444" t="n">
        <v>0</v>
      </c>
      <c r="O444" t="n">
        <v>0</v>
      </c>
      <c r="P444" t="n">
        <v>0</v>
      </c>
      <c r="Q444" t="n">
        <v>0</v>
      </c>
      <c r="R444" s="2" t="inlineStr"/>
    </row>
    <row r="445" ht="15" customHeight="1">
      <c r="A445" t="inlineStr">
        <is>
          <t>A 41462-2023</t>
        </is>
      </c>
      <c r="B445" s="1" t="n">
        <v>45170</v>
      </c>
      <c r="C445" s="1" t="n">
        <v>45474</v>
      </c>
      <c r="D445" t="inlineStr">
        <is>
          <t>DALARNAS LÄN</t>
        </is>
      </c>
      <c r="E445" t="inlineStr">
        <is>
          <t>HEDEMORA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41523-2023</t>
        </is>
      </c>
      <c r="B446" s="1" t="n">
        <v>45172</v>
      </c>
      <c r="C446" s="1" t="n">
        <v>45474</v>
      </c>
      <c r="D446" t="inlineStr">
        <is>
          <t>DALARNAS LÄN</t>
        </is>
      </c>
      <c r="E446" t="inlineStr">
        <is>
          <t>HEDEMORA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40919-2023</t>
        </is>
      </c>
      <c r="B447" s="1" t="n">
        <v>45173</v>
      </c>
      <c r="C447" s="1" t="n">
        <v>45474</v>
      </c>
      <c r="D447" t="inlineStr">
        <is>
          <t>DALARNAS LÄN</t>
        </is>
      </c>
      <c r="E447" t="inlineStr">
        <is>
          <t>HEDEMORA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40923-2023</t>
        </is>
      </c>
      <c r="B448" s="1" t="n">
        <v>45173</v>
      </c>
      <c r="C448" s="1" t="n">
        <v>45474</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40918-2023</t>
        </is>
      </c>
      <c r="B449" s="1" t="n">
        <v>45173</v>
      </c>
      <c r="C449" s="1" t="n">
        <v>45474</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40922-2023</t>
        </is>
      </c>
      <c r="B450" s="1" t="n">
        <v>45173</v>
      </c>
      <c r="C450" s="1" t="n">
        <v>45474</v>
      </c>
      <c r="D450" t="inlineStr">
        <is>
          <t>DALARNAS LÄN</t>
        </is>
      </c>
      <c r="E450" t="inlineStr">
        <is>
          <t>HEDEMORA</t>
        </is>
      </c>
      <c r="F450" t="inlineStr">
        <is>
          <t>Bergvik skog väst AB</t>
        </is>
      </c>
      <c r="G450" t="n">
        <v>5.8</v>
      </c>
      <c r="H450" t="n">
        <v>0</v>
      </c>
      <c r="I450" t="n">
        <v>0</v>
      </c>
      <c r="J450" t="n">
        <v>0</v>
      </c>
      <c r="K450" t="n">
        <v>0</v>
      </c>
      <c r="L450" t="n">
        <v>0</v>
      </c>
      <c r="M450" t="n">
        <v>0</v>
      </c>
      <c r="N450" t="n">
        <v>0</v>
      </c>
      <c r="O450" t="n">
        <v>0</v>
      </c>
      <c r="P450" t="n">
        <v>0</v>
      </c>
      <c r="Q450" t="n">
        <v>0</v>
      </c>
      <c r="R450" s="2" t="inlineStr"/>
    </row>
    <row r="451" ht="15" customHeight="1">
      <c r="A451" t="inlineStr">
        <is>
          <t>A 40921-2023</t>
        </is>
      </c>
      <c r="B451" s="1" t="n">
        <v>45173</v>
      </c>
      <c r="C451" s="1" t="n">
        <v>45474</v>
      </c>
      <c r="D451" t="inlineStr">
        <is>
          <t>DALARNAS LÄN</t>
        </is>
      </c>
      <c r="E451" t="inlineStr">
        <is>
          <t>HEDEMORA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41324-2023</t>
        </is>
      </c>
      <c r="B452" s="1" t="n">
        <v>45174</v>
      </c>
      <c r="C452" s="1" t="n">
        <v>45474</v>
      </c>
      <c r="D452" t="inlineStr">
        <is>
          <t>DALARNAS LÄN</t>
        </is>
      </c>
      <c r="E452" t="inlineStr">
        <is>
          <t>HEDEMORA</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41642-2023</t>
        </is>
      </c>
      <c r="B453" s="1" t="n">
        <v>45175</v>
      </c>
      <c r="C453" s="1" t="n">
        <v>45474</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42387-2023</t>
        </is>
      </c>
      <c r="B454" s="1" t="n">
        <v>45180</v>
      </c>
      <c r="C454" s="1" t="n">
        <v>45474</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42618-2023</t>
        </is>
      </c>
      <c r="B455" s="1" t="n">
        <v>45181</v>
      </c>
      <c r="C455" s="1" t="n">
        <v>45474</v>
      </c>
      <c r="D455" t="inlineStr">
        <is>
          <t>DALARNAS LÄN</t>
        </is>
      </c>
      <c r="E455" t="inlineStr">
        <is>
          <t>HEDEMORA</t>
        </is>
      </c>
      <c r="G455" t="n">
        <v>3.8</v>
      </c>
      <c r="H455" t="n">
        <v>0</v>
      </c>
      <c r="I455" t="n">
        <v>0</v>
      </c>
      <c r="J455" t="n">
        <v>0</v>
      </c>
      <c r="K455" t="n">
        <v>0</v>
      </c>
      <c r="L455" t="n">
        <v>0</v>
      </c>
      <c r="M455" t="n">
        <v>0</v>
      </c>
      <c r="N455" t="n">
        <v>0</v>
      </c>
      <c r="O455" t="n">
        <v>0</v>
      </c>
      <c r="P455" t="n">
        <v>0</v>
      </c>
      <c r="Q455" t="n">
        <v>0</v>
      </c>
      <c r="R455" s="2" t="inlineStr"/>
    </row>
    <row r="456" ht="15" customHeight="1">
      <c r="A456" t="inlineStr">
        <is>
          <t>A 43621-2023</t>
        </is>
      </c>
      <c r="B456" s="1" t="n">
        <v>45184</v>
      </c>
      <c r="C456" s="1" t="n">
        <v>45474</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43785-2023</t>
        </is>
      </c>
      <c r="B457" s="1" t="n">
        <v>45187</v>
      </c>
      <c r="C457" s="1" t="n">
        <v>45474</v>
      </c>
      <c r="D457" t="inlineStr">
        <is>
          <t>DALARNAS LÄN</t>
        </is>
      </c>
      <c r="E457" t="inlineStr">
        <is>
          <t>HEDEMORA</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43675-2023</t>
        </is>
      </c>
      <c r="B458" s="1" t="n">
        <v>45187</v>
      </c>
      <c r="C458" s="1" t="n">
        <v>45474</v>
      </c>
      <c r="D458" t="inlineStr">
        <is>
          <t>DALARNAS LÄN</t>
        </is>
      </c>
      <c r="E458" t="inlineStr">
        <is>
          <t>HEDEMORA</t>
        </is>
      </c>
      <c r="G458" t="n">
        <v>1.5</v>
      </c>
      <c r="H458" t="n">
        <v>0</v>
      </c>
      <c r="I458" t="n">
        <v>0</v>
      </c>
      <c r="J458" t="n">
        <v>0</v>
      </c>
      <c r="K458" t="n">
        <v>0</v>
      </c>
      <c r="L458" t="n">
        <v>0</v>
      </c>
      <c r="M458" t="n">
        <v>0</v>
      </c>
      <c r="N458" t="n">
        <v>0</v>
      </c>
      <c r="O458" t="n">
        <v>0</v>
      </c>
      <c r="P458" t="n">
        <v>0</v>
      </c>
      <c r="Q458" t="n">
        <v>0</v>
      </c>
      <c r="R458" s="2" t="inlineStr"/>
      <c r="U458">
        <f>HYPERLINK("https://klasma.github.io/Logging_2083/knärot/A 43675-2023 karta knärot.png", "A 43675-2023")</f>
        <v/>
      </c>
      <c r="V458">
        <f>HYPERLINK("https://klasma.github.io/Logging_2083/klagomål/A 43675-2023 FSC-klagomål.docx", "A 43675-2023")</f>
        <v/>
      </c>
      <c r="W458">
        <f>HYPERLINK("https://klasma.github.io/Logging_2083/klagomålsmail/A 43675-2023 FSC-klagomål mail.docx", "A 43675-2023")</f>
        <v/>
      </c>
      <c r="X458">
        <f>HYPERLINK("https://klasma.github.io/Logging_2083/tillsyn/A 43675-2023 tillsynsbegäran.docx", "A 43675-2023")</f>
        <v/>
      </c>
      <c r="Y458">
        <f>HYPERLINK("https://klasma.github.io/Logging_2083/tillsynsmail/A 43675-2023 tillsynsbegäran mail.docx", "A 43675-2023")</f>
        <v/>
      </c>
    </row>
    <row r="459" ht="15" customHeight="1">
      <c r="A459" t="inlineStr">
        <is>
          <t>A 44587-2023</t>
        </is>
      </c>
      <c r="B459" s="1" t="n">
        <v>45189</v>
      </c>
      <c r="C459" s="1" t="n">
        <v>45474</v>
      </c>
      <c r="D459" t="inlineStr">
        <is>
          <t>DALARNAS LÄN</t>
        </is>
      </c>
      <c r="E459" t="inlineStr">
        <is>
          <t>HEDEMORA</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44750-2023</t>
        </is>
      </c>
      <c r="B460" s="1" t="n">
        <v>45190</v>
      </c>
      <c r="C460" s="1" t="n">
        <v>45474</v>
      </c>
      <c r="D460" t="inlineStr">
        <is>
          <t>DALARNAS LÄN</t>
        </is>
      </c>
      <c r="E460" t="inlineStr">
        <is>
          <t>HEDEMORA</t>
        </is>
      </c>
      <c r="G460" t="n">
        <v>5.4</v>
      </c>
      <c r="H460" t="n">
        <v>0</v>
      </c>
      <c r="I460" t="n">
        <v>0</v>
      </c>
      <c r="J460" t="n">
        <v>0</v>
      </c>
      <c r="K460" t="n">
        <v>0</v>
      </c>
      <c r="L460" t="n">
        <v>0</v>
      </c>
      <c r="M460" t="n">
        <v>0</v>
      </c>
      <c r="N460" t="n">
        <v>0</v>
      </c>
      <c r="O460" t="n">
        <v>0</v>
      </c>
      <c r="P460" t="n">
        <v>0</v>
      </c>
      <c r="Q460" t="n">
        <v>0</v>
      </c>
      <c r="R460" s="2" t="inlineStr"/>
    </row>
    <row r="461" ht="15" customHeight="1">
      <c r="A461" t="inlineStr">
        <is>
          <t>A 46217-2023</t>
        </is>
      </c>
      <c r="B461" s="1" t="n">
        <v>45190</v>
      </c>
      <c r="C461" s="1" t="n">
        <v>45474</v>
      </c>
      <c r="D461" t="inlineStr">
        <is>
          <t>DALARNAS LÄN</t>
        </is>
      </c>
      <c r="E461" t="inlineStr">
        <is>
          <t>HEDEMORA</t>
        </is>
      </c>
      <c r="F461" t="inlineStr">
        <is>
          <t>Bergvik skog väst AB</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45186-2023</t>
        </is>
      </c>
      <c r="B462" s="1" t="n">
        <v>45191</v>
      </c>
      <c r="C462" s="1" t="n">
        <v>45474</v>
      </c>
      <c r="D462" t="inlineStr">
        <is>
          <t>DALARNAS LÄN</t>
        </is>
      </c>
      <c r="E462" t="inlineStr">
        <is>
          <t>HEDEMORA</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45589-2023</t>
        </is>
      </c>
      <c r="B463" s="1" t="n">
        <v>45194</v>
      </c>
      <c r="C463" s="1" t="n">
        <v>45474</v>
      </c>
      <c r="D463" t="inlineStr">
        <is>
          <t>DALARNAS LÄN</t>
        </is>
      </c>
      <c r="E463" t="inlineStr">
        <is>
          <t>HEDEMORA</t>
        </is>
      </c>
      <c r="G463" t="n">
        <v>0.7</v>
      </c>
      <c r="H463" t="n">
        <v>0</v>
      </c>
      <c r="I463" t="n">
        <v>0</v>
      </c>
      <c r="J463" t="n">
        <v>0</v>
      </c>
      <c r="K463" t="n">
        <v>0</v>
      </c>
      <c r="L463" t="n">
        <v>0</v>
      </c>
      <c r="M463" t="n">
        <v>0</v>
      </c>
      <c r="N463" t="n">
        <v>0</v>
      </c>
      <c r="O463" t="n">
        <v>0</v>
      </c>
      <c r="P463" t="n">
        <v>0</v>
      </c>
      <c r="Q463" t="n">
        <v>0</v>
      </c>
      <c r="R463" s="2" t="inlineStr"/>
    </row>
    <row r="464" ht="15" customHeight="1">
      <c r="A464" t="inlineStr">
        <is>
          <t>A 48204-2023</t>
        </is>
      </c>
      <c r="B464" s="1" t="n">
        <v>45205</v>
      </c>
      <c r="C464" s="1" t="n">
        <v>45474</v>
      </c>
      <c r="D464" t="inlineStr">
        <is>
          <t>DALARNAS LÄN</t>
        </is>
      </c>
      <c r="E464" t="inlineStr">
        <is>
          <t>HEDEMORA</t>
        </is>
      </c>
      <c r="F464" t="inlineStr">
        <is>
          <t>Kyrkan</t>
        </is>
      </c>
      <c r="G464" t="n">
        <v>21.8</v>
      </c>
      <c r="H464" t="n">
        <v>0</v>
      </c>
      <c r="I464" t="n">
        <v>0</v>
      </c>
      <c r="J464" t="n">
        <v>0</v>
      </c>
      <c r="K464" t="n">
        <v>0</v>
      </c>
      <c r="L464" t="n">
        <v>0</v>
      </c>
      <c r="M464" t="n">
        <v>0</v>
      </c>
      <c r="N464" t="n">
        <v>0</v>
      </c>
      <c r="O464" t="n">
        <v>0</v>
      </c>
      <c r="P464" t="n">
        <v>0</v>
      </c>
      <c r="Q464" t="n">
        <v>0</v>
      </c>
      <c r="R464" s="2" t="inlineStr"/>
    </row>
    <row r="465" ht="15" customHeight="1">
      <c r="A465" t="inlineStr">
        <is>
          <t>A 48254-2023</t>
        </is>
      </c>
      <c r="B465" s="1" t="n">
        <v>45205</v>
      </c>
      <c r="C465" s="1" t="n">
        <v>45474</v>
      </c>
      <c r="D465" t="inlineStr">
        <is>
          <t>DALARNAS LÄN</t>
        </is>
      </c>
      <c r="E465" t="inlineStr">
        <is>
          <t>HEDEMORA</t>
        </is>
      </c>
      <c r="F465" t="inlineStr">
        <is>
          <t>Sveaskog</t>
        </is>
      </c>
      <c r="G465" t="n">
        <v>1.5</v>
      </c>
      <c r="H465" t="n">
        <v>0</v>
      </c>
      <c r="I465" t="n">
        <v>0</v>
      </c>
      <c r="J465" t="n">
        <v>0</v>
      </c>
      <c r="K465" t="n">
        <v>0</v>
      </c>
      <c r="L465" t="n">
        <v>0</v>
      </c>
      <c r="M465" t="n">
        <v>0</v>
      </c>
      <c r="N465" t="n">
        <v>0</v>
      </c>
      <c r="O465" t="n">
        <v>0</v>
      </c>
      <c r="P465" t="n">
        <v>0</v>
      </c>
      <c r="Q465" t="n">
        <v>0</v>
      </c>
      <c r="R465" s="2" t="inlineStr"/>
      <c r="U465">
        <f>HYPERLINK("https://klasma.github.io/Logging_2083/knärot/A 48254-2023 karta knärot.png", "A 48254-2023")</f>
        <v/>
      </c>
      <c r="V465">
        <f>HYPERLINK("https://klasma.github.io/Logging_2083/klagomål/A 48254-2023 FSC-klagomål.docx", "A 48254-2023")</f>
        <v/>
      </c>
      <c r="W465">
        <f>HYPERLINK("https://klasma.github.io/Logging_2083/klagomålsmail/A 48254-2023 FSC-klagomål mail.docx", "A 48254-2023")</f>
        <v/>
      </c>
      <c r="X465">
        <f>HYPERLINK("https://klasma.github.io/Logging_2083/tillsyn/A 48254-2023 tillsynsbegäran.docx", "A 48254-2023")</f>
        <v/>
      </c>
      <c r="Y465">
        <f>HYPERLINK("https://klasma.github.io/Logging_2083/tillsynsmail/A 48254-2023 tillsynsbegäran mail.docx", "A 48254-2023")</f>
        <v/>
      </c>
    </row>
    <row r="466" ht="15" customHeight="1">
      <c r="A466" t="inlineStr">
        <is>
          <t>A 48834-2023</t>
        </is>
      </c>
      <c r="B466" s="1" t="n">
        <v>45209</v>
      </c>
      <c r="C466" s="1" t="n">
        <v>45474</v>
      </c>
      <c r="D466" t="inlineStr">
        <is>
          <t>DALARNAS LÄN</t>
        </is>
      </c>
      <c r="E466" t="inlineStr">
        <is>
          <t>HEDEMORA</t>
        </is>
      </c>
      <c r="G466" t="n">
        <v>1.9</v>
      </c>
      <c r="H466" t="n">
        <v>0</v>
      </c>
      <c r="I466" t="n">
        <v>0</v>
      </c>
      <c r="J466" t="n">
        <v>0</v>
      </c>
      <c r="K466" t="n">
        <v>0</v>
      </c>
      <c r="L466" t="n">
        <v>0</v>
      </c>
      <c r="M466" t="n">
        <v>0</v>
      </c>
      <c r="N466" t="n">
        <v>0</v>
      </c>
      <c r="O466" t="n">
        <v>0</v>
      </c>
      <c r="P466" t="n">
        <v>0</v>
      </c>
      <c r="Q466" t="n">
        <v>0</v>
      </c>
      <c r="R466" s="2" t="inlineStr"/>
    </row>
    <row r="467" ht="15" customHeight="1">
      <c r="A467" t="inlineStr">
        <is>
          <t>A 48826-2023</t>
        </is>
      </c>
      <c r="B467" s="1" t="n">
        <v>45209</v>
      </c>
      <c r="C467" s="1" t="n">
        <v>45474</v>
      </c>
      <c r="D467" t="inlineStr">
        <is>
          <t>DALARNAS LÄN</t>
        </is>
      </c>
      <c r="E467" t="inlineStr">
        <is>
          <t>HEDEMORA</t>
        </is>
      </c>
      <c r="G467" t="n">
        <v>1</v>
      </c>
      <c r="H467" t="n">
        <v>0</v>
      </c>
      <c r="I467" t="n">
        <v>0</v>
      </c>
      <c r="J467" t="n">
        <v>0</v>
      </c>
      <c r="K467" t="n">
        <v>0</v>
      </c>
      <c r="L467" t="n">
        <v>0</v>
      </c>
      <c r="M467" t="n">
        <v>0</v>
      </c>
      <c r="N467" t="n">
        <v>0</v>
      </c>
      <c r="O467" t="n">
        <v>0</v>
      </c>
      <c r="P467" t="n">
        <v>0</v>
      </c>
      <c r="Q467" t="n">
        <v>0</v>
      </c>
      <c r="R467" s="2" t="inlineStr"/>
    </row>
    <row r="468" ht="15" customHeight="1">
      <c r="A468" t="inlineStr">
        <is>
          <t>A 50333-2023</t>
        </is>
      </c>
      <c r="B468" s="1" t="n">
        <v>45216</v>
      </c>
      <c r="C468" s="1" t="n">
        <v>45474</v>
      </c>
      <c r="D468" t="inlineStr">
        <is>
          <t>DALARNAS LÄN</t>
        </is>
      </c>
      <c r="E468" t="inlineStr">
        <is>
          <t>HEDEMORA</t>
        </is>
      </c>
      <c r="G468" t="n">
        <v>1.1</v>
      </c>
      <c r="H468" t="n">
        <v>0</v>
      </c>
      <c r="I468" t="n">
        <v>0</v>
      </c>
      <c r="J468" t="n">
        <v>0</v>
      </c>
      <c r="K468" t="n">
        <v>0</v>
      </c>
      <c r="L468" t="n">
        <v>0</v>
      </c>
      <c r="M468" t="n">
        <v>0</v>
      </c>
      <c r="N468" t="n">
        <v>0</v>
      </c>
      <c r="O468" t="n">
        <v>0</v>
      </c>
      <c r="P468" t="n">
        <v>0</v>
      </c>
      <c r="Q468" t="n">
        <v>0</v>
      </c>
      <c r="R468" s="2" t="inlineStr"/>
    </row>
    <row r="469" ht="15" customHeight="1">
      <c r="A469" t="inlineStr">
        <is>
          <t>A 50885-2023</t>
        </is>
      </c>
      <c r="B469" s="1" t="n">
        <v>45218</v>
      </c>
      <c r="C469" s="1" t="n">
        <v>45474</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51879-2023</t>
        </is>
      </c>
      <c r="B470" s="1" t="n">
        <v>45223</v>
      </c>
      <c r="C470" s="1" t="n">
        <v>45474</v>
      </c>
      <c r="D470" t="inlineStr">
        <is>
          <t>DALARNAS LÄN</t>
        </is>
      </c>
      <c r="E470" t="inlineStr">
        <is>
          <t>HEDEMORA</t>
        </is>
      </c>
      <c r="G470" t="n">
        <v>2.1</v>
      </c>
      <c r="H470" t="n">
        <v>0</v>
      </c>
      <c r="I470" t="n">
        <v>0</v>
      </c>
      <c r="J470" t="n">
        <v>0</v>
      </c>
      <c r="K470" t="n">
        <v>0</v>
      </c>
      <c r="L470" t="n">
        <v>0</v>
      </c>
      <c r="M470" t="n">
        <v>0</v>
      </c>
      <c r="N470" t="n">
        <v>0</v>
      </c>
      <c r="O470" t="n">
        <v>0</v>
      </c>
      <c r="P470" t="n">
        <v>0</v>
      </c>
      <c r="Q470" t="n">
        <v>0</v>
      </c>
      <c r="R470" s="2" t="inlineStr"/>
    </row>
    <row r="471" ht="15" customHeight="1">
      <c r="A471" t="inlineStr">
        <is>
          <t>A 53031-2023</t>
        </is>
      </c>
      <c r="B471" s="1" t="n">
        <v>45226</v>
      </c>
      <c r="C471" s="1" t="n">
        <v>45474</v>
      </c>
      <c r="D471" t="inlineStr">
        <is>
          <t>DALARNAS LÄN</t>
        </is>
      </c>
      <c r="E471" t="inlineStr">
        <is>
          <t>HEDEMORA</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52967-2023</t>
        </is>
      </c>
      <c r="B472" s="1" t="n">
        <v>45226</v>
      </c>
      <c r="C472" s="1" t="n">
        <v>45474</v>
      </c>
      <c r="D472" t="inlineStr">
        <is>
          <t>DALARNAS LÄN</t>
        </is>
      </c>
      <c r="E472" t="inlineStr">
        <is>
          <t>HEDEMORA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53743-2023</t>
        </is>
      </c>
      <c r="B473" s="1" t="n">
        <v>45230</v>
      </c>
      <c r="C473" s="1" t="n">
        <v>45474</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53588-2023</t>
        </is>
      </c>
      <c r="B474" s="1" t="n">
        <v>45230</v>
      </c>
      <c r="C474" s="1" t="n">
        <v>45474</v>
      </c>
      <c r="D474" t="inlineStr">
        <is>
          <t>DALARNAS LÄN</t>
        </is>
      </c>
      <c r="E474" t="inlineStr">
        <is>
          <t>HEDEMORA</t>
        </is>
      </c>
      <c r="G474" t="n">
        <v>0.6</v>
      </c>
      <c r="H474" t="n">
        <v>0</v>
      </c>
      <c r="I474" t="n">
        <v>0</v>
      </c>
      <c r="J474" t="n">
        <v>0</v>
      </c>
      <c r="K474" t="n">
        <v>0</v>
      </c>
      <c r="L474" t="n">
        <v>0</v>
      </c>
      <c r="M474" t="n">
        <v>0</v>
      </c>
      <c r="N474" t="n">
        <v>0</v>
      </c>
      <c r="O474" t="n">
        <v>0</v>
      </c>
      <c r="P474" t="n">
        <v>0</v>
      </c>
      <c r="Q474" t="n">
        <v>0</v>
      </c>
      <c r="R474" s="2" t="inlineStr"/>
    </row>
    <row r="475" ht="15" customHeight="1">
      <c r="A475" t="inlineStr">
        <is>
          <t>A 53584-2023</t>
        </is>
      </c>
      <c r="B475" s="1" t="n">
        <v>45230</v>
      </c>
      <c r="C475" s="1" t="n">
        <v>45474</v>
      </c>
      <c r="D475" t="inlineStr">
        <is>
          <t>DALARNAS LÄN</t>
        </is>
      </c>
      <c r="E475" t="inlineStr">
        <is>
          <t>HEDEMORA</t>
        </is>
      </c>
      <c r="G475" t="n">
        <v>6.6</v>
      </c>
      <c r="H475" t="n">
        <v>0</v>
      </c>
      <c r="I475" t="n">
        <v>0</v>
      </c>
      <c r="J475" t="n">
        <v>0</v>
      </c>
      <c r="K475" t="n">
        <v>0</v>
      </c>
      <c r="L475" t="n">
        <v>0</v>
      </c>
      <c r="M475" t="n">
        <v>0</v>
      </c>
      <c r="N475" t="n">
        <v>0</v>
      </c>
      <c r="O475" t="n">
        <v>0</v>
      </c>
      <c r="P475" t="n">
        <v>0</v>
      </c>
      <c r="Q475" t="n">
        <v>0</v>
      </c>
      <c r="R475" s="2" t="inlineStr"/>
    </row>
    <row r="476" ht="15" customHeight="1">
      <c r="A476" t="inlineStr">
        <is>
          <t>A 53576-2023</t>
        </is>
      </c>
      <c r="B476" s="1" t="n">
        <v>45230</v>
      </c>
      <c r="C476" s="1" t="n">
        <v>45474</v>
      </c>
      <c r="D476" t="inlineStr">
        <is>
          <t>DALARNAS LÄN</t>
        </is>
      </c>
      <c r="E476" t="inlineStr">
        <is>
          <t>HEDEMORA</t>
        </is>
      </c>
      <c r="G476" t="n">
        <v>0.9</v>
      </c>
      <c r="H476" t="n">
        <v>0</v>
      </c>
      <c r="I476" t="n">
        <v>0</v>
      </c>
      <c r="J476" t="n">
        <v>0</v>
      </c>
      <c r="K476" t="n">
        <v>0</v>
      </c>
      <c r="L476" t="n">
        <v>0</v>
      </c>
      <c r="M476" t="n">
        <v>0</v>
      </c>
      <c r="N476" t="n">
        <v>0</v>
      </c>
      <c r="O476" t="n">
        <v>0</v>
      </c>
      <c r="P476" t="n">
        <v>0</v>
      </c>
      <c r="Q476" t="n">
        <v>0</v>
      </c>
      <c r="R476" s="2" t="inlineStr"/>
    </row>
    <row r="477" ht="15" customHeight="1">
      <c r="A477" t="inlineStr">
        <is>
          <t>A 53568-2023</t>
        </is>
      </c>
      <c r="B477" s="1" t="n">
        <v>45230</v>
      </c>
      <c r="C477" s="1" t="n">
        <v>45474</v>
      </c>
      <c r="D477" t="inlineStr">
        <is>
          <t>DALARNAS LÄN</t>
        </is>
      </c>
      <c r="E477" t="inlineStr">
        <is>
          <t>HEDEMORA</t>
        </is>
      </c>
      <c r="G477" t="n">
        <v>1.2</v>
      </c>
      <c r="H477" t="n">
        <v>0</v>
      </c>
      <c r="I477" t="n">
        <v>0</v>
      </c>
      <c r="J477" t="n">
        <v>0</v>
      </c>
      <c r="K477" t="n">
        <v>0</v>
      </c>
      <c r="L477" t="n">
        <v>0</v>
      </c>
      <c r="M477" t="n">
        <v>0</v>
      </c>
      <c r="N477" t="n">
        <v>0</v>
      </c>
      <c r="O477" t="n">
        <v>0</v>
      </c>
      <c r="P477" t="n">
        <v>0</v>
      </c>
      <c r="Q477" t="n">
        <v>0</v>
      </c>
      <c r="R477" s="2" t="inlineStr"/>
    </row>
    <row r="478" ht="15" customHeight="1">
      <c r="A478" t="inlineStr">
        <is>
          <t>A 53586-2023</t>
        </is>
      </c>
      <c r="B478" s="1" t="n">
        <v>45230</v>
      </c>
      <c r="C478" s="1" t="n">
        <v>45474</v>
      </c>
      <c r="D478" t="inlineStr">
        <is>
          <t>DALARNAS LÄN</t>
        </is>
      </c>
      <c r="E478" t="inlineStr">
        <is>
          <t>HEDEMORA</t>
        </is>
      </c>
      <c r="G478" t="n">
        <v>2.4</v>
      </c>
      <c r="H478" t="n">
        <v>0</v>
      </c>
      <c r="I478" t="n">
        <v>0</v>
      </c>
      <c r="J478" t="n">
        <v>0</v>
      </c>
      <c r="K478" t="n">
        <v>0</v>
      </c>
      <c r="L478" t="n">
        <v>0</v>
      </c>
      <c r="M478" t="n">
        <v>0</v>
      </c>
      <c r="N478" t="n">
        <v>0</v>
      </c>
      <c r="O478" t="n">
        <v>0</v>
      </c>
      <c r="P478" t="n">
        <v>0</v>
      </c>
      <c r="Q478" t="n">
        <v>0</v>
      </c>
      <c r="R478" s="2" t="inlineStr"/>
    </row>
    <row r="479" ht="15" customHeight="1">
      <c r="A479" t="inlineStr">
        <is>
          <t>A 54423-2023</t>
        </is>
      </c>
      <c r="B479" s="1" t="n">
        <v>45233</v>
      </c>
      <c r="C479" s="1" t="n">
        <v>45474</v>
      </c>
      <c r="D479" t="inlineStr">
        <is>
          <t>DALARNAS LÄN</t>
        </is>
      </c>
      <c r="E479" t="inlineStr">
        <is>
          <t>HEDEMORA</t>
        </is>
      </c>
      <c r="G479" t="n">
        <v>3.4</v>
      </c>
      <c r="H479" t="n">
        <v>0</v>
      </c>
      <c r="I479" t="n">
        <v>0</v>
      </c>
      <c r="J479" t="n">
        <v>0</v>
      </c>
      <c r="K479" t="n">
        <v>0</v>
      </c>
      <c r="L479" t="n">
        <v>0</v>
      </c>
      <c r="M479" t="n">
        <v>0</v>
      </c>
      <c r="N479" t="n">
        <v>0</v>
      </c>
      <c r="O479" t="n">
        <v>0</v>
      </c>
      <c r="P479" t="n">
        <v>0</v>
      </c>
      <c r="Q479" t="n">
        <v>0</v>
      </c>
      <c r="R479" s="2" t="inlineStr"/>
    </row>
    <row r="480" ht="15" customHeight="1">
      <c r="A480" t="inlineStr">
        <is>
          <t>A 54440-2023</t>
        </is>
      </c>
      <c r="B480" s="1" t="n">
        <v>45233</v>
      </c>
      <c r="C480" s="1" t="n">
        <v>45474</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55881-2023</t>
        </is>
      </c>
      <c r="B481" s="1" t="n">
        <v>45239</v>
      </c>
      <c r="C481" s="1" t="n">
        <v>45474</v>
      </c>
      <c r="D481" t="inlineStr">
        <is>
          <t>DALARNAS LÄN</t>
        </is>
      </c>
      <c r="E481" t="inlineStr">
        <is>
          <t>HEDEMORA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55882-2023</t>
        </is>
      </c>
      <c r="B482" s="1" t="n">
        <v>45239</v>
      </c>
      <c r="C482" s="1" t="n">
        <v>45474</v>
      </c>
      <c r="D482" t="inlineStr">
        <is>
          <t>DALARNAS LÄN</t>
        </is>
      </c>
      <c r="E482" t="inlineStr">
        <is>
          <t>HEDEMORA</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55981-2023</t>
        </is>
      </c>
      <c r="B483" s="1" t="n">
        <v>45240</v>
      </c>
      <c r="C483" s="1" t="n">
        <v>45474</v>
      </c>
      <c r="D483" t="inlineStr">
        <is>
          <t>DALARNAS LÄN</t>
        </is>
      </c>
      <c r="E483" t="inlineStr">
        <is>
          <t>HEDEMORA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57486-2023</t>
        </is>
      </c>
      <c r="B484" s="1" t="n">
        <v>45246</v>
      </c>
      <c r="C484" s="1" t="n">
        <v>45474</v>
      </c>
      <c r="D484" t="inlineStr">
        <is>
          <t>DALARNAS LÄN</t>
        </is>
      </c>
      <c r="E484" t="inlineStr">
        <is>
          <t>HEDEMORA</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58841-2023</t>
        </is>
      </c>
      <c r="B485" s="1" t="n">
        <v>45252</v>
      </c>
      <c r="C485" s="1" t="n">
        <v>45474</v>
      </c>
      <c r="D485" t="inlineStr">
        <is>
          <t>DALARNAS LÄN</t>
        </is>
      </c>
      <c r="E485" t="inlineStr">
        <is>
          <t>HEDEMORA</t>
        </is>
      </c>
      <c r="G485" t="n">
        <v>14.8</v>
      </c>
      <c r="H485" t="n">
        <v>0</v>
      </c>
      <c r="I485" t="n">
        <v>0</v>
      </c>
      <c r="J485" t="n">
        <v>0</v>
      </c>
      <c r="K485" t="n">
        <v>0</v>
      </c>
      <c r="L485" t="n">
        <v>0</v>
      </c>
      <c r="M485" t="n">
        <v>0</v>
      </c>
      <c r="N485" t="n">
        <v>0</v>
      </c>
      <c r="O485" t="n">
        <v>0</v>
      </c>
      <c r="P485" t="n">
        <v>0</v>
      </c>
      <c r="Q485" t="n">
        <v>0</v>
      </c>
      <c r="R485" s="2" t="inlineStr"/>
    </row>
    <row r="486" ht="15" customHeight="1">
      <c r="A486" t="inlineStr">
        <is>
          <t>A 59249-2023</t>
        </is>
      </c>
      <c r="B486" s="1" t="n">
        <v>45253</v>
      </c>
      <c r="C486" s="1" t="n">
        <v>45474</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59235-2023</t>
        </is>
      </c>
      <c r="B487" s="1" t="n">
        <v>45253</v>
      </c>
      <c r="C487" s="1" t="n">
        <v>45474</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59140-2023</t>
        </is>
      </c>
      <c r="B488" s="1" t="n">
        <v>45253</v>
      </c>
      <c r="C488" s="1" t="n">
        <v>45474</v>
      </c>
      <c r="D488" t="inlineStr">
        <is>
          <t>DALARNAS LÄN</t>
        </is>
      </c>
      <c r="E488" t="inlineStr">
        <is>
          <t>HEDEMORA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59232-2023</t>
        </is>
      </c>
      <c r="B489" s="1" t="n">
        <v>45253</v>
      </c>
      <c r="C489" s="1" t="n">
        <v>45474</v>
      </c>
      <c r="D489" t="inlineStr">
        <is>
          <t>DALARNAS LÄN</t>
        </is>
      </c>
      <c r="E489" t="inlineStr">
        <is>
          <t>HEDEMORA</t>
        </is>
      </c>
      <c r="G489" t="n">
        <v>3.7</v>
      </c>
      <c r="H489" t="n">
        <v>0</v>
      </c>
      <c r="I489" t="n">
        <v>0</v>
      </c>
      <c r="J489" t="n">
        <v>0</v>
      </c>
      <c r="K489" t="n">
        <v>0</v>
      </c>
      <c r="L489" t="n">
        <v>0</v>
      </c>
      <c r="M489" t="n">
        <v>0</v>
      </c>
      <c r="N489" t="n">
        <v>0</v>
      </c>
      <c r="O489" t="n">
        <v>0</v>
      </c>
      <c r="P489" t="n">
        <v>0</v>
      </c>
      <c r="Q489" t="n">
        <v>0</v>
      </c>
      <c r="R489" s="2" t="inlineStr"/>
    </row>
    <row r="490" ht="15" customHeight="1">
      <c r="A490" t="inlineStr">
        <is>
          <t>A 59515-2023</t>
        </is>
      </c>
      <c r="B490" s="1" t="n">
        <v>45253</v>
      </c>
      <c r="C490" s="1" t="n">
        <v>45474</v>
      </c>
      <c r="D490" t="inlineStr">
        <is>
          <t>DALARNAS LÄN</t>
        </is>
      </c>
      <c r="E490" t="inlineStr">
        <is>
          <t>HEDEMORA</t>
        </is>
      </c>
      <c r="G490" t="n">
        <v>5.1</v>
      </c>
      <c r="H490" t="n">
        <v>0</v>
      </c>
      <c r="I490" t="n">
        <v>0</v>
      </c>
      <c r="J490" t="n">
        <v>0</v>
      </c>
      <c r="K490" t="n">
        <v>0</v>
      </c>
      <c r="L490" t="n">
        <v>0</v>
      </c>
      <c r="M490" t="n">
        <v>0</v>
      </c>
      <c r="N490" t="n">
        <v>0</v>
      </c>
      <c r="O490" t="n">
        <v>0</v>
      </c>
      <c r="P490" t="n">
        <v>0</v>
      </c>
      <c r="Q490" t="n">
        <v>0</v>
      </c>
      <c r="R490" s="2" t="inlineStr"/>
    </row>
    <row r="491" ht="15" customHeight="1">
      <c r="A491" t="inlineStr">
        <is>
          <t>A 59519-2023</t>
        </is>
      </c>
      <c r="B491" s="1" t="n">
        <v>45253</v>
      </c>
      <c r="C491" s="1" t="n">
        <v>45474</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59632-2023</t>
        </is>
      </c>
      <c r="B492" s="1" t="n">
        <v>45254</v>
      </c>
      <c r="C492" s="1" t="n">
        <v>45474</v>
      </c>
      <c r="D492" t="inlineStr">
        <is>
          <t>DALARNAS LÄN</t>
        </is>
      </c>
      <c r="E492" t="inlineStr">
        <is>
          <t>HEDEMORA</t>
        </is>
      </c>
      <c r="G492" t="n">
        <v>1.4</v>
      </c>
      <c r="H492" t="n">
        <v>0</v>
      </c>
      <c r="I492" t="n">
        <v>0</v>
      </c>
      <c r="J492" t="n">
        <v>0</v>
      </c>
      <c r="K492" t="n">
        <v>0</v>
      </c>
      <c r="L492" t="n">
        <v>0</v>
      </c>
      <c r="M492" t="n">
        <v>0</v>
      </c>
      <c r="N492" t="n">
        <v>0</v>
      </c>
      <c r="O492" t="n">
        <v>0</v>
      </c>
      <c r="P492" t="n">
        <v>0</v>
      </c>
      <c r="Q492" t="n">
        <v>0</v>
      </c>
      <c r="R492" s="2" t="inlineStr"/>
    </row>
    <row r="493" ht="15" customHeight="1">
      <c r="A493" t="inlineStr">
        <is>
          <t>A 59728-2023</t>
        </is>
      </c>
      <c r="B493" s="1" t="n">
        <v>45257</v>
      </c>
      <c r="C493" s="1" t="n">
        <v>45474</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60496-2023</t>
        </is>
      </c>
      <c r="B494" s="1" t="n">
        <v>45259</v>
      </c>
      <c r="C494" s="1" t="n">
        <v>45474</v>
      </c>
      <c r="D494" t="inlineStr">
        <is>
          <t>DALARNAS LÄN</t>
        </is>
      </c>
      <c r="E494" t="inlineStr">
        <is>
          <t>HEDEMORA</t>
        </is>
      </c>
      <c r="G494" t="n">
        <v>0.8</v>
      </c>
      <c r="H494" t="n">
        <v>0</v>
      </c>
      <c r="I494" t="n">
        <v>0</v>
      </c>
      <c r="J494" t="n">
        <v>0</v>
      </c>
      <c r="K494" t="n">
        <v>0</v>
      </c>
      <c r="L494" t="n">
        <v>0</v>
      </c>
      <c r="M494" t="n">
        <v>0</v>
      </c>
      <c r="N494" t="n">
        <v>0</v>
      </c>
      <c r="O494" t="n">
        <v>0</v>
      </c>
      <c r="P494" t="n">
        <v>0</v>
      </c>
      <c r="Q494" t="n">
        <v>0</v>
      </c>
      <c r="R494" s="2" t="inlineStr"/>
      <c r="U494">
        <f>HYPERLINK("https://klasma.github.io/Logging_2083/knärot/A 60496-2023 karta knärot.png", "A 60496-2023")</f>
        <v/>
      </c>
      <c r="V494">
        <f>HYPERLINK("https://klasma.github.io/Logging_2083/klagomål/A 60496-2023 FSC-klagomål.docx", "A 60496-2023")</f>
        <v/>
      </c>
      <c r="W494">
        <f>HYPERLINK("https://klasma.github.io/Logging_2083/klagomålsmail/A 60496-2023 FSC-klagomål mail.docx", "A 60496-2023")</f>
        <v/>
      </c>
      <c r="X494">
        <f>HYPERLINK("https://klasma.github.io/Logging_2083/tillsyn/A 60496-2023 tillsynsbegäran.docx", "A 60496-2023")</f>
        <v/>
      </c>
      <c r="Y494">
        <f>HYPERLINK("https://klasma.github.io/Logging_2083/tillsynsmail/A 60496-2023 tillsynsbegäran mail.docx", "A 60496-2023")</f>
        <v/>
      </c>
    </row>
    <row r="495" ht="15" customHeight="1">
      <c r="A495" t="inlineStr">
        <is>
          <t>A 60767-2023</t>
        </is>
      </c>
      <c r="B495" s="1" t="n">
        <v>45260</v>
      </c>
      <c r="C495" s="1" t="n">
        <v>45474</v>
      </c>
      <c r="D495" t="inlineStr">
        <is>
          <t>DALARNAS LÄN</t>
        </is>
      </c>
      <c r="E495" t="inlineStr">
        <is>
          <t>HEDEMORA</t>
        </is>
      </c>
      <c r="G495" t="n">
        <v>3.9</v>
      </c>
      <c r="H495" t="n">
        <v>0</v>
      </c>
      <c r="I495" t="n">
        <v>0</v>
      </c>
      <c r="J495" t="n">
        <v>0</v>
      </c>
      <c r="K495" t="n">
        <v>0</v>
      </c>
      <c r="L495" t="n">
        <v>0</v>
      </c>
      <c r="M495" t="n">
        <v>0</v>
      </c>
      <c r="N495" t="n">
        <v>0</v>
      </c>
      <c r="O495" t="n">
        <v>0</v>
      </c>
      <c r="P495" t="n">
        <v>0</v>
      </c>
      <c r="Q495" t="n">
        <v>0</v>
      </c>
      <c r="R495" s="2" t="inlineStr"/>
    </row>
    <row r="496" ht="15" customHeight="1">
      <c r="A496" t="inlineStr">
        <is>
          <t>A 60806-2023</t>
        </is>
      </c>
      <c r="B496" s="1" t="n">
        <v>45260</v>
      </c>
      <c r="C496" s="1" t="n">
        <v>45474</v>
      </c>
      <c r="D496" t="inlineStr">
        <is>
          <t>DALARNAS LÄN</t>
        </is>
      </c>
      <c r="E496" t="inlineStr">
        <is>
          <t>HEDEMORA</t>
        </is>
      </c>
      <c r="G496" t="n">
        <v>1.7</v>
      </c>
      <c r="H496" t="n">
        <v>0</v>
      </c>
      <c r="I496" t="n">
        <v>0</v>
      </c>
      <c r="J496" t="n">
        <v>0</v>
      </c>
      <c r="K496" t="n">
        <v>0</v>
      </c>
      <c r="L496" t="n">
        <v>0</v>
      </c>
      <c r="M496" t="n">
        <v>0</v>
      </c>
      <c r="N496" t="n">
        <v>0</v>
      </c>
      <c r="O496" t="n">
        <v>0</v>
      </c>
      <c r="P496" t="n">
        <v>0</v>
      </c>
      <c r="Q496" t="n">
        <v>0</v>
      </c>
      <c r="R496" s="2" t="inlineStr"/>
    </row>
    <row r="497" ht="15" customHeight="1">
      <c r="A497" t="inlineStr">
        <is>
          <t>A 60786-2023</t>
        </is>
      </c>
      <c r="B497" s="1" t="n">
        <v>45260</v>
      </c>
      <c r="C497" s="1" t="n">
        <v>45474</v>
      </c>
      <c r="D497" t="inlineStr">
        <is>
          <t>DALARNAS LÄN</t>
        </is>
      </c>
      <c r="E497" t="inlineStr">
        <is>
          <t>HEDEMORA</t>
        </is>
      </c>
      <c r="G497" t="n">
        <v>7.1</v>
      </c>
      <c r="H497" t="n">
        <v>0</v>
      </c>
      <c r="I497" t="n">
        <v>0</v>
      </c>
      <c r="J497" t="n">
        <v>0</v>
      </c>
      <c r="K497" t="n">
        <v>0</v>
      </c>
      <c r="L497" t="n">
        <v>0</v>
      </c>
      <c r="M497" t="n">
        <v>0</v>
      </c>
      <c r="N497" t="n">
        <v>0</v>
      </c>
      <c r="O497" t="n">
        <v>0</v>
      </c>
      <c r="P497" t="n">
        <v>0</v>
      </c>
      <c r="Q497" t="n">
        <v>0</v>
      </c>
      <c r="R497" s="2" t="inlineStr"/>
    </row>
    <row r="498" ht="15" customHeight="1">
      <c r="A498" t="inlineStr">
        <is>
          <t>A 60811-2023</t>
        </is>
      </c>
      <c r="B498" s="1" t="n">
        <v>45260</v>
      </c>
      <c r="C498" s="1" t="n">
        <v>45474</v>
      </c>
      <c r="D498" t="inlineStr">
        <is>
          <t>DALARNAS LÄN</t>
        </is>
      </c>
      <c r="E498" t="inlineStr">
        <is>
          <t>HEDEMORA</t>
        </is>
      </c>
      <c r="G498" t="n">
        <v>3.9</v>
      </c>
      <c r="H498" t="n">
        <v>0</v>
      </c>
      <c r="I498" t="n">
        <v>0</v>
      </c>
      <c r="J498" t="n">
        <v>0</v>
      </c>
      <c r="K498" t="n">
        <v>0</v>
      </c>
      <c r="L498" t="n">
        <v>0</v>
      </c>
      <c r="M498" t="n">
        <v>0</v>
      </c>
      <c r="N498" t="n">
        <v>0</v>
      </c>
      <c r="O498" t="n">
        <v>0</v>
      </c>
      <c r="P498" t="n">
        <v>0</v>
      </c>
      <c r="Q498" t="n">
        <v>0</v>
      </c>
      <c r="R498" s="2" t="inlineStr"/>
    </row>
    <row r="499" ht="15" customHeight="1">
      <c r="A499" t="inlineStr">
        <is>
          <t>A 61671-2023</t>
        </is>
      </c>
      <c r="B499" s="1" t="n">
        <v>45265</v>
      </c>
      <c r="C499" s="1" t="n">
        <v>45474</v>
      </c>
      <c r="D499" t="inlineStr">
        <is>
          <t>DALARNAS LÄN</t>
        </is>
      </c>
      <c r="E499" t="inlineStr">
        <is>
          <t>HEDEMORA</t>
        </is>
      </c>
      <c r="F499" t="inlineStr">
        <is>
          <t>Bergvik skog väst AB</t>
        </is>
      </c>
      <c r="G499" t="n">
        <v>6.5</v>
      </c>
      <c r="H499" t="n">
        <v>0</v>
      </c>
      <c r="I499" t="n">
        <v>0</v>
      </c>
      <c r="J499" t="n">
        <v>0</v>
      </c>
      <c r="K499" t="n">
        <v>0</v>
      </c>
      <c r="L499" t="n">
        <v>0</v>
      </c>
      <c r="M499" t="n">
        <v>0</v>
      </c>
      <c r="N499" t="n">
        <v>0</v>
      </c>
      <c r="O499" t="n">
        <v>0</v>
      </c>
      <c r="P499" t="n">
        <v>0</v>
      </c>
      <c r="Q499" t="n">
        <v>0</v>
      </c>
      <c r="R499" s="2" t="inlineStr"/>
    </row>
    <row r="500" ht="15" customHeight="1">
      <c r="A500" t="inlineStr">
        <is>
          <t>A 62054-2023</t>
        </is>
      </c>
      <c r="B500" s="1" t="n">
        <v>45265</v>
      </c>
      <c r="C500" s="1" t="n">
        <v>45474</v>
      </c>
      <c r="D500" t="inlineStr">
        <is>
          <t>DALARNAS LÄN</t>
        </is>
      </c>
      <c r="E500" t="inlineStr">
        <is>
          <t>HEDEMORA</t>
        </is>
      </c>
      <c r="G500" t="n">
        <v>2.3</v>
      </c>
      <c r="H500" t="n">
        <v>0</v>
      </c>
      <c r="I500" t="n">
        <v>0</v>
      </c>
      <c r="J500" t="n">
        <v>0</v>
      </c>
      <c r="K500" t="n">
        <v>0</v>
      </c>
      <c r="L500" t="n">
        <v>0</v>
      </c>
      <c r="M500" t="n">
        <v>0</v>
      </c>
      <c r="N500" t="n">
        <v>0</v>
      </c>
      <c r="O500" t="n">
        <v>0</v>
      </c>
      <c r="P500" t="n">
        <v>0</v>
      </c>
      <c r="Q500" t="n">
        <v>0</v>
      </c>
      <c r="R500" s="2" t="inlineStr"/>
    </row>
    <row r="501" ht="15" customHeight="1">
      <c r="A501" t="inlineStr">
        <is>
          <t>A 62188-2023</t>
        </is>
      </c>
      <c r="B501" s="1" t="n">
        <v>45267</v>
      </c>
      <c r="C501" s="1" t="n">
        <v>45474</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62386-2023</t>
        </is>
      </c>
      <c r="B502" s="1" t="n">
        <v>45268</v>
      </c>
      <c r="C502" s="1" t="n">
        <v>45474</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62401-2023</t>
        </is>
      </c>
      <c r="B503" s="1" t="n">
        <v>45268</v>
      </c>
      <c r="C503" s="1" t="n">
        <v>45474</v>
      </c>
      <c r="D503" t="inlineStr">
        <is>
          <t>DALARNAS LÄN</t>
        </is>
      </c>
      <c r="E503" t="inlineStr">
        <is>
          <t>HEDEMORA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62398-2023</t>
        </is>
      </c>
      <c r="B504" s="1" t="n">
        <v>45268</v>
      </c>
      <c r="C504" s="1" t="n">
        <v>45474</v>
      </c>
      <c r="D504" t="inlineStr">
        <is>
          <t>DALARNAS LÄN</t>
        </is>
      </c>
      <c r="E504" t="inlineStr">
        <is>
          <t>HEDEMORA</t>
        </is>
      </c>
      <c r="G504" t="n">
        <v>2.1</v>
      </c>
      <c r="H504" t="n">
        <v>0</v>
      </c>
      <c r="I504" t="n">
        <v>0</v>
      </c>
      <c r="J504" t="n">
        <v>0</v>
      </c>
      <c r="K504" t="n">
        <v>0</v>
      </c>
      <c r="L504" t="n">
        <v>0</v>
      </c>
      <c r="M504" t="n">
        <v>0</v>
      </c>
      <c r="N504" t="n">
        <v>0</v>
      </c>
      <c r="O504" t="n">
        <v>0</v>
      </c>
      <c r="P504" t="n">
        <v>0</v>
      </c>
      <c r="Q504" t="n">
        <v>0</v>
      </c>
      <c r="R504" s="2" t="inlineStr"/>
    </row>
    <row r="505" ht="15" customHeight="1">
      <c r="A505" t="inlineStr">
        <is>
          <t>A 62374-2023</t>
        </is>
      </c>
      <c r="B505" s="1" t="n">
        <v>45268</v>
      </c>
      <c r="C505" s="1" t="n">
        <v>45474</v>
      </c>
      <c r="D505" t="inlineStr">
        <is>
          <t>DALARNAS LÄN</t>
        </is>
      </c>
      <c r="E505" t="inlineStr">
        <is>
          <t>HEDEMORA</t>
        </is>
      </c>
      <c r="G505" t="n">
        <v>2.5</v>
      </c>
      <c r="H505" t="n">
        <v>0</v>
      </c>
      <c r="I505" t="n">
        <v>0</v>
      </c>
      <c r="J505" t="n">
        <v>0</v>
      </c>
      <c r="K505" t="n">
        <v>0</v>
      </c>
      <c r="L505" t="n">
        <v>0</v>
      </c>
      <c r="M505" t="n">
        <v>0</v>
      </c>
      <c r="N505" t="n">
        <v>0</v>
      </c>
      <c r="O505" t="n">
        <v>0</v>
      </c>
      <c r="P505" t="n">
        <v>0</v>
      </c>
      <c r="Q505" t="n">
        <v>0</v>
      </c>
      <c r="R505" s="2" t="inlineStr"/>
    </row>
    <row r="506" ht="15" customHeight="1">
      <c r="A506" t="inlineStr">
        <is>
          <t>A 63543-2023</t>
        </is>
      </c>
      <c r="B506" s="1" t="n">
        <v>45275</v>
      </c>
      <c r="C506" s="1" t="n">
        <v>45474</v>
      </c>
      <c r="D506" t="inlineStr">
        <is>
          <t>DALARNAS LÄN</t>
        </is>
      </c>
      <c r="E506" t="inlineStr">
        <is>
          <t>HEDEMORA</t>
        </is>
      </c>
      <c r="G506" t="n">
        <v>1.3</v>
      </c>
      <c r="H506" t="n">
        <v>0</v>
      </c>
      <c r="I506" t="n">
        <v>0</v>
      </c>
      <c r="J506" t="n">
        <v>0</v>
      </c>
      <c r="K506" t="n">
        <v>0</v>
      </c>
      <c r="L506" t="n">
        <v>0</v>
      </c>
      <c r="M506" t="n">
        <v>0</v>
      </c>
      <c r="N506" t="n">
        <v>0</v>
      </c>
      <c r="O506" t="n">
        <v>0</v>
      </c>
      <c r="P506" t="n">
        <v>0</v>
      </c>
      <c r="Q506" t="n">
        <v>0</v>
      </c>
      <c r="R506" s="2" t="inlineStr"/>
    </row>
    <row r="507" ht="15" customHeight="1">
      <c r="A507" t="inlineStr">
        <is>
          <t>A 63925-2023</t>
        </is>
      </c>
      <c r="B507" s="1" t="n">
        <v>45278</v>
      </c>
      <c r="C507" s="1" t="n">
        <v>45474</v>
      </c>
      <c r="D507" t="inlineStr">
        <is>
          <t>DALARNAS LÄN</t>
        </is>
      </c>
      <c r="E507" t="inlineStr">
        <is>
          <t>HEDEMORA</t>
        </is>
      </c>
      <c r="G507" t="n">
        <v>5.2</v>
      </c>
      <c r="H507" t="n">
        <v>0</v>
      </c>
      <c r="I507" t="n">
        <v>0</v>
      </c>
      <c r="J507" t="n">
        <v>0</v>
      </c>
      <c r="K507" t="n">
        <v>0</v>
      </c>
      <c r="L507" t="n">
        <v>0</v>
      </c>
      <c r="M507" t="n">
        <v>0</v>
      </c>
      <c r="N507" t="n">
        <v>0</v>
      </c>
      <c r="O507" t="n">
        <v>0</v>
      </c>
      <c r="P507" t="n">
        <v>0</v>
      </c>
      <c r="Q507" t="n">
        <v>0</v>
      </c>
      <c r="R507" s="2" t="inlineStr"/>
    </row>
    <row r="508" ht="15" customHeight="1">
      <c r="A508" t="inlineStr">
        <is>
          <t>A 63929-2023</t>
        </is>
      </c>
      <c r="B508" s="1" t="n">
        <v>45278</v>
      </c>
      <c r="C508" s="1" t="n">
        <v>45474</v>
      </c>
      <c r="D508" t="inlineStr">
        <is>
          <t>DALARNAS LÄN</t>
        </is>
      </c>
      <c r="E508" t="inlineStr">
        <is>
          <t>HEDEMORA</t>
        </is>
      </c>
      <c r="G508" t="n">
        <v>0.4</v>
      </c>
      <c r="H508" t="n">
        <v>0</v>
      </c>
      <c r="I508" t="n">
        <v>0</v>
      </c>
      <c r="J508" t="n">
        <v>0</v>
      </c>
      <c r="K508" t="n">
        <v>0</v>
      </c>
      <c r="L508" t="n">
        <v>0</v>
      </c>
      <c r="M508" t="n">
        <v>0</v>
      </c>
      <c r="N508" t="n">
        <v>0</v>
      </c>
      <c r="O508" t="n">
        <v>0</v>
      </c>
      <c r="P508" t="n">
        <v>0</v>
      </c>
      <c r="Q508" t="n">
        <v>0</v>
      </c>
      <c r="R508" s="2" t="inlineStr"/>
    </row>
    <row r="509" ht="15" customHeight="1">
      <c r="A509" t="inlineStr">
        <is>
          <t>A 63941-2023</t>
        </is>
      </c>
      <c r="B509" s="1" t="n">
        <v>45278</v>
      </c>
      <c r="C509" s="1" t="n">
        <v>45474</v>
      </c>
      <c r="D509" t="inlineStr">
        <is>
          <t>DALARNAS LÄN</t>
        </is>
      </c>
      <c r="E509" t="inlineStr">
        <is>
          <t>HEDEMORA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63926-2023</t>
        </is>
      </c>
      <c r="B510" s="1" t="n">
        <v>45278</v>
      </c>
      <c r="C510" s="1" t="n">
        <v>45474</v>
      </c>
      <c r="D510" t="inlineStr">
        <is>
          <t>DALARNAS LÄN</t>
        </is>
      </c>
      <c r="E510" t="inlineStr">
        <is>
          <t>HEDEMORA</t>
        </is>
      </c>
      <c r="G510" t="n">
        <v>5</v>
      </c>
      <c r="H510" t="n">
        <v>0</v>
      </c>
      <c r="I510" t="n">
        <v>0</v>
      </c>
      <c r="J510" t="n">
        <v>0</v>
      </c>
      <c r="K510" t="n">
        <v>0</v>
      </c>
      <c r="L510" t="n">
        <v>0</v>
      </c>
      <c r="M510" t="n">
        <v>0</v>
      </c>
      <c r="N510" t="n">
        <v>0</v>
      </c>
      <c r="O510" t="n">
        <v>0</v>
      </c>
      <c r="P510" t="n">
        <v>0</v>
      </c>
      <c r="Q510" t="n">
        <v>0</v>
      </c>
      <c r="R510" s="2" t="inlineStr"/>
    </row>
    <row r="511" ht="15" customHeight="1">
      <c r="A511" t="inlineStr">
        <is>
          <t>A 63911-2023</t>
        </is>
      </c>
      <c r="B511" s="1" t="n">
        <v>45278</v>
      </c>
      <c r="C511" s="1" t="n">
        <v>45474</v>
      </c>
      <c r="D511" t="inlineStr">
        <is>
          <t>DALARNAS LÄN</t>
        </is>
      </c>
      <c r="E511" t="inlineStr">
        <is>
          <t>HEDEMORA</t>
        </is>
      </c>
      <c r="G511" t="n">
        <v>8.9</v>
      </c>
      <c r="H511" t="n">
        <v>0</v>
      </c>
      <c r="I511" t="n">
        <v>0</v>
      </c>
      <c r="J511" t="n">
        <v>0</v>
      </c>
      <c r="K511" t="n">
        <v>0</v>
      </c>
      <c r="L511" t="n">
        <v>0</v>
      </c>
      <c r="M511" t="n">
        <v>0</v>
      </c>
      <c r="N511" t="n">
        <v>0</v>
      </c>
      <c r="O511" t="n">
        <v>0</v>
      </c>
      <c r="P511" t="n">
        <v>0</v>
      </c>
      <c r="Q511" t="n">
        <v>0</v>
      </c>
      <c r="R511" s="2" t="inlineStr"/>
    </row>
    <row r="512" ht="15" customHeight="1">
      <c r="A512" t="inlineStr">
        <is>
          <t>A 64276-2023</t>
        </is>
      </c>
      <c r="B512" s="1" t="n">
        <v>45280</v>
      </c>
      <c r="C512" s="1" t="n">
        <v>45474</v>
      </c>
      <c r="D512" t="inlineStr">
        <is>
          <t>DALARNAS LÄN</t>
        </is>
      </c>
      <c r="E512" t="inlineStr">
        <is>
          <t>HEDEMORA</t>
        </is>
      </c>
      <c r="G512" t="n">
        <v>3.5</v>
      </c>
      <c r="H512" t="n">
        <v>0</v>
      </c>
      <c r="I512" t="n">
        <v>0</v>
      </c>
      <c r="J512" t="n">
        <v>0</v>
      </c>
      <c r="K512" t="n">
        <v>0</v>
      </c>
      <c r="L512" t="n">
        <v>0</v>
      </c>
      <c r="M512" t="n">
        <v>0</v>
      </c>
      <c r="N512" t="n">
        <v>0</v>
      </c>
      <c r="O512" t="n">
        <v>0</v>
      </c>
      <c r="P512" t="n">
        <v>0</v>
      </c>
      <c r="Q512" t="n">
        <v>0</v>
      </c>
      <c r="R512" s="2" t="inlineStr"/>
    </row>
    <row r="513" ht="15" customHeight="1">
      <c r="A513" t="inlineStr">
        <is>
          <t>A 64965-2023</t>
        </is>
      </c>
      <c r="B513" s="1" t="n">
        <v>45283</v>
      </c>
      <c r="C513" s="1" t="n">
        <v>45474</v>
      </c>
      <c r="D513" t="inlineStr">
        <is>
          <t>DALARNAS LÄN</t>
        </is>
      </c>
      <c r="E513" t="inlineStr">
        <is>
          <t>HEDEMORA</t>
        </is>
      </c>
      <c r="G513" t="n">
        <v>6</v>
      </c>
      <c r="H513" t="n">
        <v>0</v>
      </c>
      <c r="I513" t="n">
        <v>0</v>
      </c>
      <c r="J513" t="n">
        <v>0</v>
      </c>
      <c r="K513" t="n">
        <v>0</v>
      </c>
      <c r="L513" t="n">
        <v>0</v>
      </c>
      <c r="M513" t="n">
        <v>0</v>
      </c>
      <c r="N513" t="n">
        <v>0</v>
      </c>
      <c r="O513" t="n">
        <v>0</v>
      </c>
      <c r="P513" t="n">
        <v>0</v>
      </c>
      <c r="Q513" t="n">
        <v>0</v>
      </c>
      <c r="R513" s="2" t="inlineStr"/>
    </row>
    <row r="514" ht="15" customHeight="1">
      <c r="A514" t="inlineStr">
        <is>
          <t>A 64964-2023</t>
        </is>
      </c>
      <c r="B514" s="1" t="n">
        <v>45283</v>
      </c>
      <c r="C514" s="1" t="n">
        <v>45474</v>
      </c>
      <c r="D514" t="inlineStr">
        <is>
          <t>DALARNAS LÄN</t>
        </is>
      </c>
      <c r="E514" t="inlineStr">
        <is>
          <t>HEDEMORA</t>
        </is>
      </c>
      <c r="G514" t="n">
        <v>0.9</v>
      </c>
      <c r="H514" t="n">
        <v>0</v>
      </c>
      <c r="I514" t="n">
        <v>0</v>
      </c>
      <c r="J514" t="n">
        <v>0</v>
      </c>
      <c r="K514" t="n">
        <v>0</v>
      </c>
      <c r="L514" t="n">
        <v>0</v>
      </c>
      <c r="M514" t="n">
        <v>0</v>
      </c>
      <c r="N514" t="n">
        <v>0</v>
      </c>
      <c r="O514" t="n">
        <v>0</v>
      </c>
      <c r="P514" t="n">
        <v>0</v>
      </c>
      <c r="Q514" t="n">
        <v>0</v>
      </c>
      <c r="R514" s="2" t="inlineStr"/>
    </row>
    <row r="515" ht="15" customHeight="1">
      <c r="A515" t="inlineStr">
        <is>
          <t>A 65057-2023</t>
        </is>
      </c>
      <c r="B515" s="1" t="n">
        <v>45287</v>
      </c>
      <c r="C515" s="1" t="n">
        <v>45474</v>
      </c>
      <c r="D515" t="inlineStr">
        <is>
          <t>DALARNAS LÄN</t>
        </is>
      </c>
      <c r="E515" t="inlineStr">
        <is>
          <t>HEDEMORA</t>
        </is>
      </c>
      <c r="G515" t="n">
        <v>1.8</v>
      </c>
      <c r="H515" t="n">
        <v>0</v>
      </c>
      <c r="I515" t="n">
        <v>0</v>
      </c>
      <c r="J515" t="n">
        <v>0</v>
      </c>
      <c r="K515" t="n">
        <v>0</v>
      </c>
      <c r="L515" t="n">
        <v>0</v>
      </c>
      <c r="M515" t="n">
        <v>0</v>
      </c>
      <c r="N515" t="n">
        <v>0</v>
      </c>
      <c r="O515" t="n">
        <v>0</v>
      </c>
      <c r="P515" t="n">
        <v>0</v>
      </c>
      <c r="Q515" t="n">
        <v>0</v>
      </c>
      <c r="R515" s="2" t="inlineStr"/>
    </row>
    <row r="516" ht="15" customHeight="1">
      <c r="A516" t="inlineStr">
        <is>
          <t>A 385-2024</t>
        </is>
      </c>
      <c r="B516" s="1" t="n">
        <v>45296</v>
      </c>
      <c r="C516" s="1" t="n">
        <v>45474</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1072-2024</t>
        </is>
      </c>
      <c r="B517" s="1" t="n">
        <v>45302</v>
      </c>
      <c r="C517" s="1" t="n">
        <v>45474</v>
      </c>
      <c r="D517" t="inlineStr">
        <is>
          <t>DALARNAS LÄN</t>
        </is>
      </c>
      <c r="E517" t="inlineStr">
        <is>
          <t>HEDEMORA</t>
        </is>
      </c>
      <c r="G517" t="n">
        <v>1.8</v>
      </c>
      <c r="H517" t="n">
        <v>0</v>
      </c>
      <c r="I517" t="n">
        <v>0</v>
      </c>
      <c r="J517" t="n">
        <v>0</v>
      </c>
      <c r="K517" t="n">
        <v>0</v>
      </c>
      <c r="L517" t="n">
        <v>0</v>
      </c>
      <c r="M517" t="n">
        <v>0</v>
      </c>
      <c r="N517" t="n">
        <v>0</v>
      </c>
      <c r="O517" t="n">
        <v>0</v>
      </c>
      <c r="P517" t="n">
        <v>0</v>
      </c>
      <c r="Q517" t="n">
        <v>0</v>
      </c>
      <c r="R517" s="2" t="inlineStr"/>
    </row>
    <row r="518" ht="15" customHeight="1">
      <c r="A518" t="inlineStr">
        <is>
          <t>A 1168-2024</t>
        </is>
      </c>
      <c r="B518" s="1" t="n">
        <v>45302</v>
      </c>
      <c r="C518" s="1" t="n">
        <v>45474</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2915-2024</t>
        </is>
      </c>
      <c r="B519" s="1" t="n">
        <v>45315</v>
      </c>
      <c r="C519" s="1" t="n">
        <v>45474</v>
      </c>
      <c r="D519" t="inlineStr">
        <is>
          <t>DALARNAS LÄN</t>
        </is>
      </c>
      <c r="E519" t="inlineStr">
        <is>
          <t>HEDEMORA</t>
        </is>
      </c>
      <c r="G519" t="n">
        <v>2</v>
      </c>
      <c r="H519" t="n">
        <v>0</v>
      </c>
      <c r="I519" t="n">
        <v>0</v>
      </c>
      <c r="J519" t="n">
        <v>0</v>
      </c>
      <c r="K519" t="n">
        <v>0</v>
      </c>
      <c r="L519" t="n">
        <v>0</v>
      </c>
      <c r="M519" t="n">
        <v>0</v>
      </c>
      <c r="N519" t="n">
        <v>0</v>
      </c>
      <c r="O519" t="n">
        <v>0</v>
      </c>
      <c r="P519" t="n">
        <v>0</v>
      </c>
      <c r="Q519" t="n">
        <v>0</v>
      </c>
      <c r="R519" s="2" t="inlineStr"/>
    </row>
    <row r="520" ht="15" customHeight="1">
      <c r="A520" t="inlineStr">
        <is>
          <t>A 3089-2024</t>
        </is>
      </c>
      <c r="B520" s="1" t="n">
        <v>45316</v>
      </c>
      <c r="C520" s="1" t="n">
        <v>45474</v>
      </c>
      <c r="D520" t="inlineStr">
        <is>
          <t>DALARNAS LÄN</t>
        </is>
      </c>
      <c r="E520" t="inlineStr">
        <is>
          <t>HEDEMORA</t>
        </is>
      </c>
      <c r="G520" t="n">
        <v>5.5</v>
      </c>
      <c r="H520" t="n">
        <v>0</v>
      </c>
      <c r="I520" t="n">
        <v>0</v>
      </c>
      <c r="J520" t="n">
        <v>0</v>
      </c>
      <c r="K520" t="n">
        <v>0</v>
      </c>
      <c r="L520" t="n">
        <v>0</v>
      </c>
      <c r="M520" t="n">
        <v>0</v>
      </c>
      <c r="N520" t="n">
        <v>0</v>
      </c>
      <c r="O520" t="n">
        <v>0</v>
      </c>
      <c r="P520" t="n">
        <v>0</v>
      </c>
      <c r="Q520" t="n">
        <v>0</v>
      </c>
      <c r="R520" s="2" t="inlineStr"/>
    </row>
    <row r="521" ht="15" customHeight="1">
      <c r="A521" t="inlineStr">
        <is>
          <t>A 4391-2024</t>
        </is>
      </c>
      <c r="B521" s="1" t="n">
        <v>45327</v>
      </c>
      <c r="C521" s="1" t="n">
        <v>45474</v>
      </c>
      <c r="D521" t="inlineStr">
        <is>
          <t>DALARNAS LÄN</t>
        </is>
      </c>
      <c r="E521" t="inlineStr">
        <is>
          <t>HEDEMORA</t>
        </is>
      </c>
      <c r="G521" t="n">
        <v>2.6</v>
      </c>
      <c r="H521" t="n">
        <v>0</v>
      </c>
      <c r="I521" t="n">
        <v>0</v>
      </c>
      <c r="J521" t="n">
        <v>0</v>
      </c>
      <c r="K521" t="n">
        <v>0</v>
      </c>
      <c r="L521" t="n">
        <v>0</v>
      </c>
      <c r="M521" t="n">
        <v>0</v>
      </c>
      <c r="N521" t="n">
        <v>0</v>
      </c>
      <c r="O521" t="n">
        <v>0</v>
      </c>
      <c r="P521" t="n">
        <v>0</v>
      </c>
      <c r="Q521" t="n">
        <v>0</v>
      </c>
      <c r="R521" s="2" t="inlineStr"/>
    </row>
    <row r="522" ht="15" customHeight="1">
      <c r="A522" t="inlineStr">
        <is>
          <t>A 6210-2024</t>
        </is>
      </c>
      <c r="B522" s="1" t="n">
        <v>45337</v>
      </c>
      <c r="C522" s="1" t="n">
        <v>45474</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6880-2024</t>
        </is>
      </c>
      <c r="B523" s="1" t="n">
        <v>45342</v>
      </c>
      <c r="C523" s="1" t="n">
        <v>45474</v>
      </c>
      <c r="D523" t="inlineStr">
        <is>
          <t>DALARNAS LÄN</t>
        </is>
      </c>
      <c r="E523" t="inlineStr">
        <is>
          <t>HEDEMORA</t>
        </is>
      </c>
      <c r="G523" t="n">
        <v>4.1</v>
      </c>
      <c r="H523" t="n">
        <v>0</v>
      </c>
      <c r="I523" t="n">
        <v>0</v>
      </c>
      <c r="J523" t="n">
        <v>0</v>
      </c>
      <c r="K523" t="n">
        <v>0</v>
      </c>
      <c r="L523" t="n">
        <v>0</v>
      </c>
      <c r="M523" t="n">
        <v>0</v>
      </c>
      <c r="N523" t="n">
        <v>0</v>
      </c>
      <c r="O523" t="n">
        <v>0</v>
      </c>
      <c r="P523" t="n">
        <v>0</v>
      </c>
      <c r="Q523" t="n">
        <v>0</v>
      </c>
      <c r="R523" s="2" t="inlineStr"/>
    </row>
    <row r="524" ht="15" customHeight="1">
      <c r="A524" t="inlineStr">
        <is>
          <t>A 6881-2024</t>
        </is>
      </c>
      <c r="B524" s="1" t="n">
        <v>45342</v>
      </c>
      <c r="C524" s="1" t="n">
        <v>45474</v>
      </c>
      <c r="D524" t="inlineStr">
        <is>
          <t>DALARNAS LÄN</t>
        </is>
      </c>
      <c r="E524" t="inlineStr">
        <is>
          <t>HEDEMORA</t>
        </is>
      </c>
      <c r="G524" t="n">
        <v>2.5</v>
      </c>
      <c r="H524" t="n">
        <v>0</v>
      </c>
      <c r="I524" t="n">
        <v>0</v>
      </c>
      <c r="J524" t="n">
        <v>0</v>
      </c>
      <c r="K524" t="n">
        <v>0</v>
      </c>
      <c r="L524" t="n">
        <v>0</v>
      </c>
      <c r="M524" t="n">
        <v>0</v>
      </c>
      <c r="N524" t="n">
        <v>0</v>
      </c>
      <c r="O524" t="n">
        <v>0</v>
      </c>
      <c r="P524" t="n">
        <v>0</v>
      </c>
      <c r="Q524" t="n">
        <v>0</v>
      </c>
      <c r="R524" s="2" t="inlineStr"/>
    </row>
    <row r="525" ht="15" customHeight="1">
      <c r="A525" t="inlineStr">
        <is>
          <t>A 7914-2024</t>
        </is>
      </c>
      <c r="B525" s="1" t="n">
        <v>45350</v>
      </c>
      <c r="C525" s="1" t="n">
        <v>45474</v>
      </c>
      <c r="D525" t="inlineStr">
        <is>
          <t>DALARNAS LÄN</t>
        </is>
      </c>
      <c r="E525" t="inlineStr">
        <is>
          <t>HEDEMORA</t>
        </is>
      </c>
      <c r="G525" t="n">
        <v>4.1</v>
      </c>
      <c r="H525" t="n">
        <v>0</v>
      </c>
      <c r="I525" t="n">
        <v>0</v>
      </c>
      <c r="J525" t="n">
        <v>0</v>
      </c>
      <c r="K525" t="n">
        <v>0</v>
      </c>
      <c r="L525" t="n">
        <v>0</v>
      </c>
      <c r="M525" t="n">
        <v>0</v>
      </c>
      <c r="N525" t="n">
        <v>0</v>
      </c>
      <c r="O525" t="n">
        <v>0</v>
      </c>
      <c r="P525" t="n">
        <v>0</v>
      </c>
      <c r="Q525" t="n">
        <v>0</v>
      </c>
      <c r="R525" s="2" t="inlineStr"/>
    </row>
    <row r="526" ht="15" customHeight="1">
      <c r="A526" t="inlineStr">
        <is>
          <t>A 7916-2024</t>
        </is>
      </c>
      <c r="B526" s="1" t="n">
        <v>45350</v>
      </c>
      <c r="C526" s="1" t="n">
        <v>45474</v>
      </c>
      <c r="D526" t="inlineStr">
        <is>
          <t>DALARNAS LÄN</t>
        </is>
      </c>
      <c r="E526" t="inlineStr">
        <is>
          <t>HEDEMORA</t>
        </is>
      </c>
      <c r="G526" t="n">
        <v>5.8</v>
      </c>
      <c r="H526" t="n">
        <v>0</v>
      </c>
      <c r="I526" t="n">
        <v>0</v>
      </c>
      <c r="J526" t="n">
        <v>0</v>
      </c>
      <c r="K526" t="n">
        <v>0</v>
      </c>
      <c r="L526" t="n">
        <v>0</v>
      </c>
      <c r="M526" t="n">
        <v>0</v>
      </c>
      <c r="N526" t="n">
        <v>0</v>
      </c>
      <c r="O526" t="n">
        <v>0</v>
      </c>
      <c r="P526" t="n">
        <v>0</v>
      </c>
      <c r="Q526" t="n">
        <v>0</v>
      </c>
      <c r="R526" s="2" t="inlineStr"/>
    </row>
    <row r="527" ht="15" customHeight="1">
      <c r="A527" t="inlineStr">
        <is>
          <t>A 9314-2024</t>
        </is>
      </c>
      <c r="B527" s="1" t="n">
        <v>45358</v>
      </c>
      <c r="C527" s="1" t="n">
        <v>45474</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9313-2024</t>
        </is>
      </c>
      <c r="B528" s="1" t="n">
        <v>45358</v>
      </c>
      <c r="C528" s="1" t="n">
        <v>45474</v>
      </c>
      <c r="D528" t="inlineStr">
        <is>
          <t>DALARNAS LÄN</t>
        </is>
      </c>
      <c r="E528" t="inlineStr">
        <is>
          <t>HEDEMORA</t>
        </is>
      </c>
      <c r="G528" t="n">
        <v>1.2</v>
      </c>
      <c r="H528" t="n">
        <v>0</v>
      </c>
      <c r="I528" t="n">
        <v>0</v>
      </c>
      <c r="J528" t="n">
        <v>0</v>
      </c>
      <c r="K528" t="n">
        <v>0</v>
      </c>
      <c r="L528" t="n">
        <v>0</v>
      </c>
      <c r="M528" t="n">
        <v>0</v>
      </c>
      <c r="N528" t="n">
        <v>0</v>
      </c>
      <c r="O528" t="n">
        <v>0</v>
      </c>
      <c r="P528" t="n">
        <v>0</v>
      </c>
      <c r="Q528" t="n">
        <v>0</v>
      </c>
      <c r="R528" s="2" t="inlineStr"/>
    </row>
    <row r="529" ht="15" customHeight="1">
      <c r="A529" t="inlineStr">
        <is>
          <t>A 12126-2024</t>
        </is>
      </c>
      <c r="B529" s="1" t="n">
        <v>45377</v>
      </c>
      <c r="C529" s="1" t="n">
        <v>45474</v>
      </c>
      <c r="D529" t="inlineStr">
        <is>
          <t>DALARNAS LÄN</t>
        </is>
      </c>
      <c r="E529" t="inlineStr">
        <is>
          <t>HEDEMORA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12030-2024</t>
        </is>
      </c>
      <c r="B530" s="1" t="n">
        <v>45377</v>
      </c>
      <c r="C530" s="1" t="n">
        <v>45474</v>
      </c>
      <c r="D530" t="inlineStr">
        <is>
          <t>DALARNAS LÄN</t>
        </is>
      </c>
      <c r="E530" t="inlineStr">
        <is>
          <t>HEDEMORA</t>
        </is>
      </c>
      <c r="G530" t="n">
        <v>0.7</v>
      </c>
      <c r="H530" t="n">
        <v>0</v>
      </c>
      <c r="I530" t="n">
        <v>0</v>
      </c>
      <c r="J530" t="n">
        <v>0</v>
      </c>
      <c r="K530" t="n">
        <v>0</v>
      </c>
      <c r="L530" t="n">
        <v>0</v>
      </c>
      <c r="M530" t="n">
        <v>0</v>
      </c>
      <c r="N530" t="n">
        <v>0</v>
      </c>
      <c r="O530" t="n">
        <v>0</v>
      </c>
      <c r="P530" t="n">
        <v>0</v>
      </c>
      <c r="Q530" t="n">
        <v>0</v>
      </c>
      <c r="R530" s="2" t="inlineStr"/>
    </row>
    <row r="531" ht="15" customHeight="1">
      <c r="A531" t="inlineStr">
        <is>
          <t>A 13657-2024</t>
        </is>
      </c>
      <c r="B531" s="1" t="n">
        <v>45390</v>
      </c>
      <c r="C531" s="1" t="n">
        <v>45474</v>
      </c>
      <c r="D531" t="inlineStr">
        <is>
          <t>DALARNAS LÄN</t>
        </is>
      </c>
      <c r="E531" t="inlineStr">
        <is>
          <t>HEDEMORA</t>
        </is>
      </c>
      <c r="G531" t="n">
        <v>3.1</v>
      </c>
      <c r="H531" t="n">
        <v>0</v>
      </c>
      <c r="I531" t="n">
        <v>0</v>
      </c>
      <c r="J531" t="n">
        <v>0</v>
      </c>
      <c r="K531" t="n">
        <v>0</v>
      </c>
      <c r="L531" t="n">
        <v>0</v>
      </c>
      <c r="M531" t="n">
        <v>0</v>
      </c>
      <c r="N531" t="n">
        <v>0</v>
      </c>
      <c r="O531" t="n">
        <v>0</v>
      </c>
      <c r="P531" t="n">
        <v>0</v>
      </c>
      <c r="Q531" t="n">
        <v>0</v>
      </c>
      <c r="R531" s="2" t="inlineStr"/>
    </row>
    <row r="532" ht="15" customHeight="1">
      <c r="A532" t="inlineStr">
        <is>
          <t>A 14120-2024</t>
        </is>
      </c>
      <c r="B532" s="1" t="n">
        <v>45392</v>
      </c>
      <c r="C532" s="1" t="n">
        <v>45474</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15345-2024</t>
        </is>
      </c>
      <c r="B533" s="1" t="n">
        <v>45400</v>
      </c>
      <c r="C533" s="1" t="n">
        <v>45474</v>
      </c>
      <c r="D533" t="inlineStr">
        <is>
          <t>DALARNAS LÄN</t>
        </is>
      </c>
      <c r="E533" t="inlineStr">
        <is>
          <t>HEDEMORA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16413-2024</t>
        </is>
      </c>
      <c r="B534" s="1" t="n">
        <v>45407</v>
      </c>
      <c r="C534" s="1" t="n">
        <v>45474</v>
      </c>
      <c r="D534" t="inlineStr">
        <is>
          <t>DALARNAS LÄN</t>
        </is>
      </c>
      <c r="E534" t="inlineStr">
        <is>
          <t>HEDEMORA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16410-2024</t>
        </is>
      </c>
      <c r="B535" s="1" t="n">
        <v>45407</v>
      </c>
      <c r="C535" s="1" t="n">
        <v>45474</v>
      </c>
      <c r="D535" t="inlineStr">
        <is>
          <t>DALARNAS LÄN</t>
        </is>
      </c>
      <c r="E535" t="inlineStr">
        <is>
          <t>HEDEMORA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16408-2024</t>
        </is>
      </c>
      <c r="B536" s="1" t="n">
        <v>45407</v>
      </c>
      <c r="C536" s="1" t="n">
        <v>45474</v>
      </c>
      <c r="D536" t="inlineStr">
        <is>
          <t>DALARNAS LÄN</t>
        </is>
      </c>
      <c r="E536" t="inlineStr">
        <is>
          <t>HEDEMORA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18223-2024</t>
        </is>
      </c>
      <c r="B537" s="1" t="n">
        <v>45421</v>
      </c>
      <c r="C537" s="1" t="n">
        <v>45474</v>
      </c>
      <c r="D537" t="inlineStr">
        <is>
          <t>DALARNAS LÄN</t>
        </is>
      </c>
      <c r="E537" t="inlineStr">
        <is>
          <t>HEDEMORA</t>
        </is>
      </c>
      <c r="F537" t="inlineStr">
        <is>
          <t>Sveaskog</t>
        </is>
      </c>
      <c r="G537" t="n">
        <v>29.8</v>
      </c>
      <c r="H537" t="n">
        <v>0</v>
      </c>
      <c r="I537" t="n">
        <v>0</v>
      </c>
      <c r="J537" t="n">
        <v>0</v>
      </c>
      <c r="K537" t="n">
        <v>0</v>
      </c>
      <c r="L537" t="n">
        <v>0</v>
      </c>
      <c r="M537" t="n">
        <v>0</v>
      </c>
      <c r="N537" t="n">
        <v>0</v>
      </c>
      <c r="O537" t="n">
        <v>0</v>
      </c>
      <c r="P537" t="n">
        <v>0</v>
      </c>
      <c r="Q537" t="n">
        <v>0</v>
      </c>
      <c r="R537" s="2" t="inlineStr"/>
    </row>
    <row r="538" ht="15" customHeight="1">
      <c r="A538" t="inlineStr">
        <is>
          <t>A 18699-2024</t>
        </is>
      </c>
      <c r="B538" s="1" t="n">
        <v>45426</v>
      </c>
      <c r="C538" s="1" t="n">
        <v>45474</v>
      </c>
      <c r="D538" t="inlineStr">
        <is>
          <t>DALARNAS LÄN</t>
        </is>
      </c>
      <c r="E538" t="inlineStr">
        <is>
          <t>HEDEMORA</t>
        </is>
      </c>
      <c r="G538" t="n">
        <v>6.6</v>
      </c>
      <c r="H538" t="n">
        <v>0</v>
      </c>
      <c r="I538" t="n">
        <v>0</v>
      </c>
      <c r="J538" t="n">
        <v>0</v>
      </c>
      <c r="K538" t="n">
        <v>0</v>
      </c>
      <c r="L538" t="n">
        <v>0</v>
      </c>
      <c r="M538" t="n">
        <v>0</v>
      </c>
      <c r="N538" t="n">
        <v>0</v>
      </c>
      <c r="O538" t="n">
        <v>0</v>
      </c>
      <c r="P538" t="n">
        <v>0</v>
      </c>
      <c r="Q538" t="n">
        <v>0</v>
      </c>
      <c r="R538" s="2" t="inlineStr"/>
    </row>
    <row r="539" ht="15" customHeight="1">
      <c r="A539" t="inlineStr">
        <is>
          <t>A 19353-2024</t>
        </is>
      </c>
      <c r="B539" s="1" t="n">
        <v>45429</v>
      </c>
      <c r="C539" s="1" t="n">
        <v>45474</v>
      </c>
      <c r="D539" t="inlineStr">
        <is>
          <t>DALARNAS LÄN</t>
        </is>
      </c>
      <c r="E539" t="inlineStr">
        <is>
          <t>HEDEMORA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19397-2024</t>
        </is>
      </c>
      <c r="B540" s="1" t="n">
        <v>45429</v>
      </c>
      <c r="C540" s="1" t="n">
        <v>45474</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19473-2024</t>
        </is>
      </c>
      <c r="B541" s="1" t="n">
        <v>45429</v>
      </c>
      <c r="C541" s="1" t="n">
        <v>45474</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19604-2024</t>
        </is>
      </c>
      <c r="B542" s="1" t="n">
        <v>45431</v>
      </c>
      <c r="C542" s="1" t="n">
        <v>45474</v>
      </c>
      <c r="D542" t="inlineStr">
        <is>
          <t>DALARNAS LÄN</t>
        </is>
      </c>
      <c r="E542" t="inlineStr">
        <is>
          <t>HEDEMORA</t>
        </is>
      </c>
      <c r="F542" t="inlineStr">
        <is>
          <t>Bergvik skog väst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20078-2024</t>
        </is>
      </c>
      <c r="B543" s="1" t="n">
        <v>45434</v>
      </c>
      <c r="C543" s="1" t="n">
        <v>45474</v>
      </c>
      <c r="D543" t="inlineStr">
        <is>
          <t>DALARNAS LÄN</t>
        </is>
      </c>
      <c r="E543" t="inlineStr">
        <is>
          <t>HEDEMORA</t>
        </is>
      </c>
      <c r="G543" t="n">
        <v>6.5</v>
      </c>
      <c r="H543" t="n">
        <v>0</v>
      </c>
      <c r="I543" t="n">
        <v>0</v>
      </c>
      <c r="J543" t="n">
        <v>0</v>
      </c>
      <c r="K543" t="n">
        <v>0</v>
      </c>
      <c r="L543" t="n">
        <v>0</v>
      </c>
      <c r="M543" t="n">
        <v>0</v>
      </c>
      <c r="N543" t="n">
        <v>0</v>
      </c>
      <c r="O543" t="n">
        <v>0</v>
      </c>
      <c r="P543" t="n">
        <v>0</v>
      </c>
      <c r="Q543" t="n">
        <v>0</v>
      </c>
      <c r="R543" s="2" t="inlineStr"/>
    </row>
    <row r="544" ht="15" customHeight="1">
      <c r="A544" t="inlineStr">
        <is>
          <t>A 20235-2024</t>
        </is>
      </c>
      <c r="B544" s="1" t="n">
        <v>45434</v>
      </c>
      <c r="C544" s="1" t="n">
        <v>45474</v>
      </c>
      <c r="D544" t="inlineStr">
        <is>
          <t>DALARNAS LÄN</t>
        </is>
      </c>
      <c r="E544" t="inlineStr">
        <is>
          <t>HEDEMORA</t>
        </is>
      </c>
      <c r="G544" t="n">
        <v>1.3</v>
      </c>
      <c r="H544" t="n">
        <v>0</v>
      </c>
      <c r="I544" t="n">
        <v>0</v>
      </c>
      <c r="J544" t="n">
        <v>0</v>
      </c>
      <c r="K544" t="n">
        <v>0</v>
      </c>
      <c r="L544" t="n">
        <v>0</v>
      </c>
      <c r="M544" t="n">
        <v>0</v>
      </c>
      <c r="N544" t="n">
        <v>0</v>
      </c>
      <c r="O544" t="n">
        <v>0</v>
      </c>
      <c r="P544" t="n">
        <v>0</v>
      </c>
      <c r="Q544" t="n">
        <v>0</v>
      </c>
      <c r="R544" s="2" t="inlineStr"/>
    </row>
    <row r="545" ht="15" customHeight="1">
      <c r="A545" t="inlineStr">
        <is>
          <t>A 20504-2024</t>
        </is>
      </c>
      <c r="B545" s="1" t="n">
        <v>45436</v>
      </c>
      <c r="C545" s="1" t="n">
        <v>45474</v>
      </c>
      <c r="D545" t="inlineStr">
        <is>
          <t>DALARNAS LÄN</t>
        </is>
      </c>
      <c r="E545" t="inlineStr">
        <is>
          <t>HEDEMORA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20503-2024</t>
        </is>
      </c>
      <c r="B546" s="1" t="n">
        <v>45436</v>
      </c>
      <c r="C546" s="1" t="n">
        <v>45474</v>
      </c>
      <c r="D546" t="inlineStr">
        <is>
          <t>DALARNAS LÄN</t>
        </is>
      </c>
      <c r="E546" t="inlineStr">
        <is>
          <t>HEDEMORA</t>
        </is>
      </c>
      <c r="F546" t="inlineStr">
        <is>
          <t>Sveaskog</t>
        </is>
      </c>
      <c r="G546" t="n">
        <v>5.1</v>
      </c>
      <c r="H546" t="n">
        <v>0</v>
      </c>
      <c r="I546" t="n">
        <v>0</v>
      </c>
      <c r="J546" t="n">
        <v>0</v>
      </c>
      <c r="K546" t="n">
        <v>0</v>
      </c>
      <c r="L546" t="n">
        <v>0</v>
      </c>
      <c r="M546" t="n">
        <v>0</v>
      </c>
      <c r="N546" t="n">
        <v>0</v>
      </c>
      <c r="O546" t="n">
        <v>0</v>
      </c>
      <c r="P546" t="n">
        <v>0</v>
      </c>
      <c r="Q546" t="n">
        <v>0</v>
      </c>
      <c r="R546" s="2" t="inlineStr"/>
    </row>
    <row r="547" ht="15" customHeight="1">
      <c r="A547" t="inlineStr">
        <is>
          <t>A 20666-2024</t>
        </is>
      </c>
      <c r="B547" s="1" t="n">
        <v>45436</v>
      </c>
      <c r="C547" s="1" t="n">
        <v>45474</v>
      </c>
      <c r="D547" t="inlineStr">
        <is>
          <t>DALARNAS LÄN</t>
        </is>
      </c>
      <c r="E547" t="inlineStr">
        <is>
          <t>HEDEMORA</t>
        </is>
      </c>
      <c r="G547" t="n">
        <v>5.1</v>
      </c>
      <c r="H547" t="n">
        <v>0</v>
      </c>
      <c r="I547" t="n">
        <v>0</v>
      </c>
      <c r="J547" t="n">
        <v>0</v>
      </c>
      <c r="K547" t="n">
        <v>0</v>
      </c>
      <c r="L547" t="n">
        <v>0</v>
      </c>
      <c r="M547" t="n">
        <v>0</v>
      </c>
      <c r="N547" t="n">
        <v>0</v>
      </c>
      <c r="O547" t="n">
        <v>0</v>
      </c>
      <c r="P547" t="n">
        <v>0</v>
      </c>
      <c r="Q547" t="n">
        <v>0</v>
      </c>
      <c r="R547" s="2" t="inlineStr"/>
    </row>
    <row r="548" ht="15" customHeight="1">
      <c r="A548" t="inlineStr">
        <is>
          <t>A 20670-2024</t>
        </is>
      </c>
      <c r="B548" s="1" t="n">
        <v>45436</v>
      </c>
      <c r="C548" s="1" t="n">
        <v>45474</v>
      </c>
      <c r="D548" t="inlineStr">
        <is>
          <t>DALARNAS LÄN</t>
        </is>
      </c>
      <c r="E548" t="inlineStr">
        <is>
          <t>HEDEMORA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21270-2024</t>
        </is>
      </c>
      <c r="B549" s="1" t="n">
        <v>45440</v>
      </c>
      <c r="C549" s="1" t="n">
        <v>45474</v>
      </c>
      <c r="D549" t="inlineStr">
        <is>
          <t>DALARNAS LÄN</t>
        </is>
      </c>
      <c r="E549" t="inlineStr">
        <is>
          <t>HEDEMORA</t>
        </is>
      </c>
      <c r="G549" t="n">
        <v>4.7</v>
      </c>
      <c r="H549" t="n">
        <v>0</v>
      </c>
      <c r="I549" t="n">
        <v>0</v>
      </c>
      <c r="J549" t="n">
        <v>0</v>
      </c>
      <c r="K549" t="n">
        <v>0</v>
      </c>
      <c r="L549" t="n">
        <v>0</v>
      </c>
      <c r="M549" t="n">
        <v>0</v>
      </c>
      <c r="N549" t="n">
        <v>0</v>
      </c>
      <c r="O549" t="n">
        <v>0</v>
      </c>
      <c r="P549" t="n">
        <v>0</v>
      </c>
      <c r="Q549" t="n">
        <v>0</v>
      </c>
      <c r="R549" s="2" t="inlineStr"/>
    </row>
    <row r="550" ht="15" customHeight="1">
      <c r="A550" t="inlineStr">
        <is>
          <t>A 21514-2024</t>
        </is>
      </c>
      <c r="B550" s="1" t="n">
        <v>45441</v>
      </c>
      <c r="C550" s="1" t="n">
        <v>45474</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21539-2024</t>
        </is>
      </c>
      <c r="B551" s="1" t="n">
        <v>45441</v>
      </c>
      <c r="C551" s="1" t="n">
        <v>45474</v>
      </c>
      <c r="D551" t="inlineStr">
        <is>
          <t>DALARNAS LÄN</t>
        </is>
      </c>
      <c r="E551" t="inlineStr">
        <is>
          <t>HEDEMORA</t>
        </is>
      </c>
      <c r="F551" t="inlineStr">
        <is>
          <t>Sveaskog</t>
        </is>
      </c>
      <c r="G551" t="n">
        <v>11.9</v>
      </c>
      <c r="H551" t="n">
        <v>0</v>
      </c>
      <c r="I551" t="n">
        <v>0</v>
      </c>
      <c r="J551" t="n">
        <v>0</v>
      </c>
      <c r="K551" t="n">
        <v>0</v>
      </c>
      <c r="L551" t="n">
        <v>0</v>
      </c>
      <c r="M551" t="n">
        <v>0</v>
      </c>
      <c r="N551" t="n">
        <v>0</v>
      </c>
      <c r="O551" t="n">
        <v>0</v>
      </c>
      <c r="P551" t="n">
        <v>0</v>
      </c>
      <c r="Q551" t="n">
        <v>0</v>
      </c>
      <c r="R551" s="2" t="inlineStr"/>
    </row>
    <row r="552" ht="15" customHeight="1">
      <c r="A552" t="inlineStr">
        <is>
          <t>A 21595-2024</t>
        </is>
      </c>
      <c r="B552" s="1" t="n">
        <v>45441</v>
      </c>
      <c r="C552" s="1" t="n">
        <v>45474</v>
      </c>
      <c r="D552" t="inlineStr">
        <is>
          <t>DALARNAS LÄN</t>
        </is>
      </c>
      <c r="E552" t="inlineStr">
        <is>
          <t>HEDEMORA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21538-2024</t>
        </is>
      </c>
      <c r="B553" s="1" t="n">
        <v>45441</v>
      </c>
      <c r="C553" s="1" t="n">
        <v>45474</v>
      </c>
      <c r="D553" t="inlineStr">
        <is>
          <t>DALARNAS LÄN</t>
        </is>
      </c>
      <c r="E553" t="inlineStr">
        <is>
          <t>HEDEMORA</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21763-2024</t>
        </is>
      </c>
      <c r="B554" s="1" t="n">
        <v>45442</v>
      </c>
      <c r="C554" s="1" t="n">
        <v>45474</v>
      </c>
      <c r="D554" t="inlineStr">
        <is>
          <t>DALARNAS LÄN</t>
        </is>
      </c>
      <c r="E554" t="inlineStr">
        <is>
          <t>HEDEMORA</t>
        </is>
      </c>
      <c r="G554" t="n">
        <v>1.6</v>
      </c>
      <c r="H554" t="n">
        <v>0</v>
      </c>
      <c r="I554" t="n">
        <v>0</v>
      </c>
      <c r="J554" t="n">
        <v>0</v>
      </c>
      <c r="K554" t="n">
        <v>0</v>
      </c>
      <c r="L554" t="n">
        <v>0</v>
      </c>
      <c r="M554" t="n">
        <v>0</v>
      </c>
      <c r="N554" t="n">
        <v>0</v>
      </c>
      <c r="O554" t="n">
        <v>0</v>
      </c>
      <c r="P554" t="n">
        <v>0</v>
      </c>
      <c r="Q554" t="n">
        <v>0</v>
      </c>
      <c r="R554" s="2" t="inlineStr"/>
    </row>
    <row r="555" ht="15" customHeight="1">
      <c r="A555" t="inlineStr">
        <is>
          <t>A 21823-2024</t>
        </is>
      </c>
      <c r="B555" s="1" t="n">
        <v>45442</v>
      </c>
      <c r="C555" s="1" t="n">
        <v>45474</v>
      </c>
      <c r="D555" t="inlineStr">
        <is>
          <t>DALARNAS LÄN</t>
        </is>
      </c>
      <c r="E555" t="inlineStr">
        <is>
          <t>HEDEMORA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22588-2024</t>
        </is>
      </c>
      <c r="B556" s="1" t="n">
        <v>45447</v>
      </c>
      <c r="C556" s="1" t="n">
        <v>45474</v>
      </c>
      <c r="D556" t="inlineStr">
        <is>
          <t>DALARNAS LÄN</t>
        </is>
      </c>
      <c r="E556" t="inlineStr">
        <is>
          <t>HEDEMORA</t>
        </is>
      </c>
      <c r="G556" t="n">
        <v>8.4</v>
      </c>
      <c r="H556" t="n">
        <v>0</v>
      </c>
      <c r="I556" t="n">
        <v>0</v>
      </c>
      <c r="J556" t="n">
        <v>0</v>
      </c>
      <c r="K556" t="n">
        <v>0</v>
      </c>
      <c r="L556" t="n">
        <v>0</v>
      </c>
      <c r="M556" t="n">
        <v>0</v>
      </c>
      <c r="N556" t="n">
        <v>0</v>
      </c>
      <c r="O556" t="n">
        <v>0</v>
      </c>
      <c r="P556" t="n">
        <v>0</v>
      </c>
      <c r="Q556" t="n">
        <v>0</v>
      </c>
      <c r="R556" s="2" t="inlineStr"/>
    </row>
    <row r="557" ht="15" customHeight="1">
      <c r="A557" t="inlineStr">
        <is>
          <t>A 22914-2024</t>
        </is>
      </c>
      <c r="B557" s="1" t="n">
        <v>45448</v>
      </c>
      <c r="C557" s="1" t="n">
        <v>45474</v>
      </c>
      <c r="D557" t="inlineStr">
        <is>
          <t>DALARNAS LÄN</t>
        </is>
      </c>
      <c r="E557" t="inlineStr">
        <is>
          <t>HEDEMORA</t>
        </is>
      </c>
      <c r="G557" t="n">
        <v>2</v>
      </c>
      <c r="H557" t="n">
        <v>0</v>
      </c>
      <c r="I557" t="n">
        <v>0</v>
      </c>
      <c r="J557" t="n">
        <v>0</v>
      </c>
      <c r="K557" t="n">
        <v>0</v>
      </c>
      <c r="L557" t="n">
        <v>0</v>
      </c>
      <c r="M557" t="n">
        <v>0</v>
      </c>
      <c r="N557" t="n">
        <v>0</v>
      </c>
      <c r="O557" t="n">
        <v>0</v>
      </c>
      <c r="P557" t="n">
        <v>0</v>
      </c>
      <c r="Q557" t="n">
        <v>0</v>
      </c>
      <c r="R557" s="2" t="inlineStr"/>
    </row>
    <row r="558" ht="15" customHeight="1">
      <c r="A558" t="inlineStr">
        <is>
          <t>A 23826-2024</t>
        </is>
      </c>
      <c r="B558" s="1" t="n">
        <v>45455</v>
      </c>
      <c r="C558" s="1" t="n">
        <v>45474</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24382-2024</t>
        </is>
      </c>
      <c r="B559" s="1" t="n">
        <v>45457</v>
      </c>
      <c r="C559" s="1" t="n">
        <v>45474</v>
      </c>
      <c r="D559" t="inlineStr">
        <is>
          <t>DALARNAS LÄN</t>
        </is>
      </c>
      <c r="E559" t="inlineStr">
        <is>
          <t>HEDEMORA</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24486-2024</t>
        </is>
      </c>
      <c r="B560" s="1" t="n">
        <v>45459</v>
      </c>
      <c r="C560" s="1" t="n">
        <v>45474</v>
      </c>
      <c r="D560" t="inlineStr">
        <is>
          <t>DALARNAS LÄN</t>
        </is>
      </c>
      <c r="E560" t="inlineStr">
        <is>
          <t>HEDEMORA</t>
        </is>
      </c>
      <c r="G560" t="n">
        <v>0.3</v>
      </c>
      <c r="H560" t="n">
        <v>0</v>
      </c>
      <c r="I560" t="n">
        <v>0</v>
      </c>
      <c r="J560" t="n">
        <v>0</v>
      </c>
      <c r="K560" t="n">
        <v>0</v>
      </c>
      <c r="L560" t="n">
        <v>0</v>
      </c>
      <c r="M560" t="n">
        <v>0</v>
      </c>
      <c r="N560" t="n">
        <v>0</v>
      </c>
      <c r="O560" t="n">
        <v>0</v>
      </c>
      <c r="P560" t="n">
        <v>0</v>
      </c>
      <c r="Q560" t="n">
        <v>0</v>
      </c>
      <c r="R560" s="2" t="inlineStr"/>
    </row>
    <row r="561" ht="15" customHeight="1">
      <c r="A561" t="inlineStr">
        <is>
          <t>A 25195-2024</t>
        </is>
      </c>
      <c r="B561" s="1" t="n">
        <v>45462</v>
      </c>
      <c r="C561" s="1" t="n">
        <v>45474</v>
      </c>
      <c r="D561" t="inlineStr">
        <is>
          <t>DALARNAS LÄN</t>
        </is>
      </c>
      <c r="E561" t="inlineStr">
        <is>
          <t>HEDEMORA</t>
        </is>
      </c>
      <c r="F561" t="inlineStr">
        <is>
          <t>Övriga statliga verk och myndigheter</t>
        </is>
      </c>
      <c r="G561" t="n">
        <v>3.3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45474</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25643-2024</t>
        </is>
      </c>
      <c r="B563" s="1" t="n">
        <v>45463</v>
      </c>
      <c r="C563" s="1" t="n">
        <v>45474</v>
      </c>
      <c r="D563" t="inlineStr">
        <is>
          <t>DALARNAS LÄN</t>
        </is>
      </c>
      <c r="E563" t="inlineStr">
        <is>
          <t>HEDEMORA</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25645-2024</t>
        </is>
      </c>
      <c r="B564" s="1" t="n">
        <v>45463</v>
      </c>
      <c r="C564" s="1" t="n">
        <v>45474</v>
      </c>
      <c r="D564" t="inlineStr">
        <is>
          <t>DALARNAS LÄN</t>
        </is>
      </c>
      <c r="E564" t="inlineStr">
        <is>
          <t>HEDEMORA</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26452-2024</t>
        </is>
      </c>
      <c r="B565" s="1" t="n">
        <v>45469</v>
      </c>
      <c r="C565" s="1" t="n">
        <v>45474</v>
      </c>
      <c r="D565" t="inlineStr">
        <is>
          <t>DALARNAS LÄN</t>
        </is>
      </c>
      <c r="E565" t="inlineStr">
        <is>
          <t>HEDEMORA</t>
        </is>
      </c>
      <c r="G565" t="n">
        <v>2.3</v>
      </c>
      <c r="H565" t="n">
        <v>0</v>
      </c>
      <c r="I565" t="n">
        <v>0</v>
      </c>
      <c r="J565" t="n">
        <v>0</v>
      </c>
      <c r="K565" t="n">
        <v>0</v>
      </c>
      <c r="L565" t="n">
        <v>0</v>
      </c>
      <c r="M565" t="n">
        <v>0</v>
      </c>
      <c r="N565" t="n">
        <v>0</v>
      </c>
      <c r="O565" t="n">
        <v>0</v>
      </c>
      <c r="P565" t="n">
        <v>0</v>
      </c>
      <c r="Q565" t="n">
        <v>0</v>
      </c>
      <c r="R565" s="2" t="inlineStr"/>
    </row>
    <row r="566" ht="15" customHeight="1">
      <c r="A566" t="inlineStr">
        <is>
          <t>A 26431-2024</t>
        </is>
      </c>
      <c r="B566" s="1" t="n">
        <v>45469</v>
      </c>
      <c r="C566" s="1" t="n">
        <v>45474</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c r="U566">
        <f>HYPERLINK("https://klasma.github.io/Logging_2083/knärot/A 26431-2024 karta knärot.png", "A 26431-2024")</f>
        <v/>
      </c>
      <c r="V566">
        <f>HYPERLINK("https://klasma.github.io/Logging_2083/klagomål/A 26431-2024 FSC-klagomål.docx", "A 26431-2024")</f>
        <v/>
      </c>
      <c r="W566">
        <f>HYPERLINK("https://klasma.github.io/Logging_2083/klagomålsmail/A 26431-2024 FSC-klagomål mail.docx", "A 26431-2024")</f>
        <v/>
      </c>
      <c r="X566">
        <f>HYPERLINK("https://klasma.github.io/Logging_2083/tillsyn/A 26431-2024 tillsynsbegäran.docx", "A 26431-2024")</f>
        <v/>
      </c>
      <c r="Y566">
        <f>HYPERLINK("https://klasma.github.io/Logging_2083/tillsynsmail/A 26431-2024 tillsynsbegäran mail.docx", "A 26431-2024")</f>
        <v/>
      </c>
    </row>
    <row r="567">
      <c r="A567" t="inlineStr">
        <is>
          <t>A 26449-2024</t>
        </is>
      </c>
      <c r="B567" s="1" t="n">
        <v>45469</v>
      </c>
      <c r="C567" s="1" t="n">
        <v>45474</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2024-07-01T10:11:21Z</dcterms:created>
  <dcterms:modified xmlns:dcterms="http://purl.org/dc/terms/" xmlns:xsi="http://www.w3.org/2001/XMLSchema-instance" xsi:type="dcterms:W3CDTF">2024-07-01T10:11:21Z</dcterms:modified>
</cp:coreProperties>
</file>