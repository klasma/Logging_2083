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45638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45638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45638</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45638</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45638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45638</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45638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45638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45638</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45638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45638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31534-2021</t>
        </is>
      </c>
      <c r="B19" s="1" t="n">
        <v>44369</v>
      </c>
      <c r="C19" s="1" t="n">
        <v>45638</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45638</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45638</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46595-2023</t>
        </is>
      </c>
      <c r="B22" s="1" t="n">
        <v>45194</v>
      </c>
      <c r="C22" s="1" t="n">
        <v>45638</v>
      </c>
      <c r="D22" t="inlineStr">
        <is>
          <t>DALARNAS LÄN</t>
        </is>
      </c>
      <c r="E22" t="inlineStr">
        <is>
          <t>HEDEMORA</t>
        </is>
      </c>
      <c r="G22" t="n">
        <v>13.5</v>
      </c>
      <c r="H22" t="n">
        <v>4</v>
      </c>
      <c r="I22" t="n">
        <v>1</v>
      </c>
      <c r="J22" t="n">
        <v>2</v>
      </c>
      <c r="K22" t="n">
        <v>0</v>
      </c>
      <c r="L22" t="n">
        <v>0</v>
      </c>
      <c r="M22" t="n">
        <v>0</v>
      </c>
      <c r="N22" t="n">
        <v>0</v>
      </c>
      <c r="O22" t="n">
        <v>2</v>
      </c>
      <c r="P22" t="n">
        <v>0</v>
      </c>
      <c r="Q22" t="n">
        <v>5</v>
      </c>
      <c r="R22" s="2" t="inlineStr">
        <is>
          <t>Spillkråka
Talltita
Tibast
Trana
Blåsippa</t>
        </is>
      </c>
      <c r="S22">
        <f>HYPERLINK("https://klasma.github.io/Logging_2083/artfynd/A 46595-2023 artfynd.xlsx", "A 46595-2023")</f>
        <v/>
      </c>
      <c r="T22">
        <f>HYPERLINK("https://klasma.github.io/Logging_2083/kartor/A 46595-2023 karta.png", "A 46595-2023")</f>
        <v/>
      </c>
      <c r="V22">
        <f>HYPERLINK("https://klasma.github.io/Logging_2083/klagomål/A 46595-2023 FSC-klagomål.docx", "A 46595-2023")</f>
        <v/>
      </c>
      <c r="W22">
        <f>HYPERLINK("https://klasma.github.io/Logging_2083/klagomålsmail/A 46595-2023 FSC-klagomål mail.docx", "A 46595-2023")</f>
        <v/>
      </c>
      <c r="X22">
        <f>HYPERLINK("https://klasma.github.io/Logging_2083/tillsyn/A 46595-2023 tillsynsbegäran.docx", "A 46595-2023")</f>
        <v/>
      </c>
      <c r="Y22">
        <f>HYPERLINK("https://klasma.github.io/Logging_2083/tillsynsmail/A 46595-2023 tillsynsbegäran mail.docx", "A 46595-2023")</f>
        <v/>
      </c>
      <c r="Z22">
        <f>HYPERLINK("https://klasma.github.io/Logging_2083/fåglar/A 46595-2023 prioriterade fågelarter.docx", "A 46595-2023")</f>
        <v/>
      </c>
    </row>
    <row r="23" ht="15" customHeight="1">
      <c r="A23" t="inlineStr">
        <is>
          <t>A 30003-2024</t>
        </is>
      </c>
      <c r="B23" s="1" t="n">
        <v>45488</v>
      </c>
      <c r="C23" s="1" t="n">
        <v>45638</v>
      </c>
      <c r="D23" t="inlineStr">
        <is>
          <t>DALARNAS LÄN</t>
        </is>
      </c>
      <c r="E23" t="inlineStr">
        <is>
          <t>HEDEMORA</t>
        </is>
      </c>
      <c r="G23" t="n">
        <v>10.4</v>
      </c>
      <c r="H23" t="n">
        <v>2</v>
      </c>
      <c r="I23" t="n">
        <v>2</v>
      </c>
      <c r="J23" t="n">
        <v>2</v>
      </c>
      <c r="K23" t="n">
        <v>1</v>
      </c>
      <c r="L23" t="n">
        <v>0</v>
      </c>
      <c r="M23" t="n">
        <v>0</v>
      </c>
      <c r="N23" t="n">
        <v>0</v>
      </c>
      <c r="O23" t="n">
        <v>3</v>
      </c>
      <c r="P23" t="n">
        <v>1</v>
      </c>
      <c r="Q23" t="n">
        <v>5</v>
      </c>
      <c r="R23" s="2" t="inlineStr">
        <is>
          <t>Knärot
Spillkråka
Ullticka
Rödgul trumpetsvamp
Svavelriska</t>
        </is>
      </c>
      <c r="S23">
        <f>HYPERLINK("https://klasma.github.io/Logging_2083/artfynd/A 30003-2024 artfynd.xlsx", "A 30003-2024")</f>
        <v/>
      </c>
      <c r="T23">
        <f>HYPERLINK("https://klasma.github.io/Logging_2083/kartor/A 30003-2024 karta.png", "A 30003-2024")</f>
        <v/>
      </c>
      <c r="U23">
        <f>HYPERLINK("https://klasma.github.io/Logging_2083/knärot/A 30003-2024 karta knärot.png", "A 30003-2024")</f>
        <v/>
      </c>
      <c r="V23">
        <f>HYPERLINK("https://klasma.github.io/Logging_2083/klagomål/A 30003-2024 FSC-klagomål.docx", "A 30003-2024")</f>
        <v/>
      </c>
      <c r="W23">
        <f>HYPERLINK("https://klasma.github.io/Logging_2083/klagomålsmail/A 30003-2024 FSC-klagomål mail.docx", "A 30003-2024")</f>
        <v/>
      </c>
      <c r="X23">
        <f>HYPERLINK("https://klasma.github.io/Logging_2083/tillsyn/A 30003-2024 tillsynsbegäran.docx", "A 30003-2024")</f>
        <v/>
      </c>
      <c r="Y23">
        <f>HYPERLINK("https://klasma.github.io/Logging_2083/tillsynsmail/A 30003-2024 tillsynsbegäran mail.docx", "A 30003-2024")</f>
        <v/>
      </c>
      <c r="Z23">
        <f>HYPERLINK("https://klasma.github.io/Logging_2083/fåglar/A 30003-2024 prioriterade fågelarter.docx", "A 30003-2024")</f>
        <v/>
      </c>
    </row>
    <row r="24" ht="15" customHeight="1">
      <c r="A24" t="inlineStr">
        <is>
          <t>A 49269-2024</t>
        </is>
      </c>
      <c r="B24" s="1" t="n">
        <v>45595</v>
      </c>
      <c r="C24" s="1" t="n">
        <v>45638</v>
      </c>
      <c r="D24" t="inlineStr">
        <is>
          <t>DALARNAS LÄN</t>
        </is>
      </c>
      <c r="E24" t="inlineStr">
        <is>
          <t>HEDEMORA</t>
        </is>
      </c>
      <c r="G24" t="n">
        <v>1.6</v>
      </c>
      <c r="H24" t="n">
        <v>2</v>
      </c>
      <c r="I24" t="n">
        <v>2</v>
      </c>
      <c r="J24" t="n">
        <v>3</v>
      </c>
      <c r="K24" t="n">
        <v>0</v>
      </c>
      <c r="L24" t="n">
        <v>0</v>
      </c>
      <c r="M24" t="n">
        <v>0</v>
      </c>
      <c r="N24" t="n">
        <v>0</v>
      </c>
      <c r="O24" t="n">
        <v>3</v>
      </c>
      <c r="P24" t="n">
        <v>0</v>
      </c>
      <c r="Q24" t="n">
        <v>5</v>
      </c>
      <c r="R24" s="2" t="inlineStr">
        <is>
          <t>Fager vaxskivling
Havsörn
Talltita
Blodvaxskivling
Broskvaxskivling</t>
        </is>
      </c>
      <c r="S24">
        <f>HYPERLINK("https://klasma.github.io/Logging_2083/artfynd/A 49269-2024 artfynd.xlsx", "A 49269-2024")</f>
        <v/>
      </c>
      <c r="T24">
        <f>HYPERLINK("https://klasma.github.io/Logging_2083/kartor/A 49269-2024 karta.png", "A 49269-2024")</f>
        <v/>
      </c>
      <c r="V24">
        <f>HYPERLINK("https://klasma.github.io/Logging_2083/klagomål/A 49269-2024 FSC-klagomål.docx", "A 49269-2024")</f>
        <v/>
      </c>
      <c r="W24">
        <f>HYPERLINK("https://klasma.github.io/Logging_2083/klagomålsmail/A 49269-2024 FSC-klagomål mail.docx", "A 49269-2024")</f>
        <v/>
      </c>
      <c r="X24">
        <f>HYPERLINK("https://klasma.github.io/Logging_2083/tillsyn/A 49269-2024 tillsynsbegäran.docx", "A 49269-2024")</f>
        <v/>
      </c>
      <c r="Y24">
        <f>HYPERLINK("https://klasma.github.io/Logging_2083/tillsynsmail/A 49269-2024 tillsynsbegäran mail.docx", "A 49269-2024")</f>
        <v/>
      </c>
      <c r="Z24">
        <f>HYPERLINK("https://klasma.github.io/Logging_2083/fåglar/A 49269-2024 prioriterade fågelarter.docx", "A 49269-2024")</f>
        <v/>
      </c>
    </row>
    <row r="25" ht="15" customHeight="1">
      <c r="A25" t="inlineStr">
        <is>
          <t>A 59136-2024</t>
        </is>
      </c>
      <c r="B25" s="1" t="n">
        <v>45637</v>
      </c>
      <c r="C25" s="1" t="n">
        <v>45638</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45638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45638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45638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45638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45638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45638</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45638</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45638</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45638</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45638</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45638</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45638</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45638</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45638</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45638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45638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45638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45638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45638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45638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45638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45638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45638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45638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45638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45638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45638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45638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45638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45638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45638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45638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45638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45638</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45638</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45638</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45638</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45638</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45638</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45638</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45638</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45638</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45638</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45638</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45638</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45638</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45638</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45638</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45638</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45638</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45638</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45638</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45638</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45638</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45638</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45638</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45638</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45638</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45638</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45638</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45638</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45638</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45638</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45638</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45638</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45638</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45638</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45638</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45638</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45638</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45638</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45638</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45638</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45638</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45638</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45638</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45638</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45638</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45638</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45638</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45638</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45638</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45638</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45638</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45638</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45638</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45638</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45638</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45638</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45638</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45638</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45638</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45638</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45638</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45638</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45638</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45638</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45638</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45638</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45638</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45638</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45638</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45638</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45638</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45638</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45638</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45638</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45638</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45638</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45638</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45638</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45638</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45638</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45638</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45638</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45638</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45638</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45638</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45638</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45638</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45638</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45638</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45638</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45638</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45638</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45638</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45638</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45638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45638</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45638</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45638</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45638</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45638</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45638</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45638</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45638</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45638</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45638</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45638</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45638</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45638</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45638</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45638</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45638</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45638</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45638</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45638</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45638</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45638</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45638</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45638</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45638</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45638</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45638</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45638</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45638</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45638</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45638</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45638</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45638</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45638</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45638</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45638</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45638</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45638</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45638</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45638</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45638</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45638</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45638</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45638</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45638</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45638</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45638</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45638</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45638</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45638</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45638</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45638</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45638</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45638</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45638</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45638</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45638</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45638</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45638</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45638</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45638</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45638</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45638</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45638</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45638</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45638</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45638</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45638</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45638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45638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45638</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45638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45638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45638</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45638</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45638</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45638</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45638</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45638</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45638</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45638</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45638</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45638</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45638</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45638</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45638</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45638</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45638</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45638</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45638</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45638</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45638</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45638</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45638</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45638</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45638</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45638</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45638</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45638</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45638</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45638</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45638</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45638</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45638</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45638</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45638</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45638</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45638</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45638</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45638</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45638</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45638</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45638</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45638</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45638</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45638</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45638</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45638</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45638</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45638</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45638</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45638</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45638</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45638</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45638</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45638</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45638</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45638</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45638</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45638</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45638</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45638</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45638</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45638</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45638</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45638</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45638</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45638</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45638</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45638</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45638</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45638</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45638</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45638</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45638</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45638</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45638</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45638</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45638</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45638</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45638</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45638</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45638</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45638</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45638</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45638</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45638</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45638</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45638</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45638</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45638</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45638</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45638</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45638</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45638</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45638</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45638</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45638</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45638</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45638</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45638</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45638</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45638</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45638</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45638</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45638</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45638</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45638</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45638</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45638</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45638</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45638</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45638</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45638</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45638</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45638</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45638</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45638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45638</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45638</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45638</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45638</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45638</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45638</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45638</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45638</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45638</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45638</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45638</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45638</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45638</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45638</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45638</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45638</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45638</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45638</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45638</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45638</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45638</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45638</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45638</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45638</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45638</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45638</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45638</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45638</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45638</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45638</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45638</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45638</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45638</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45638</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45638</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45638</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45638</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45638</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45638</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45638</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45638</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45638</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45638</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45638</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45638</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45638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45638</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45638</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45638</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45638</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45638</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45638</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45638</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45638</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45638</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45638</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45638</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45638</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45638</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45638</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45638</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45638</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45638</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45638</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45638</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45638</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45638</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45638</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45638</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45638</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45638</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45638</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45638</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45638</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45638</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45638</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45638</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45638</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45638</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45638</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45638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45638</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45638</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45638</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45638</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45638</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45638</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45638</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45638</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45638</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45638</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45638</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45638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45638</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45638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45638</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45638</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45638</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45638</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45638</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45638</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45638</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45638</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45638</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45638</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45638</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45638</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45638</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45638</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45638</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45638</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45638</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45638</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45638</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45638</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45638</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45638</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45638</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45638</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45638</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45638</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45638</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45638</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45638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45638</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45638</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45638</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45638</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45638</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45638</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45638</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45638</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45638</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45638</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45638</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45638</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45638</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45638</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45638</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45638</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45638</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45638</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45638</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45638</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45638</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45638</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45638</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45638</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45638</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45638</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45638</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45638</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45638</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45638</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45638</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45638</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45638</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45638</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45638</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45638</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45638</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45638</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45638</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45638</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45638</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45638</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45638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45638</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45638</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45638</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45638</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45638</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45638</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45638</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45638</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45638</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45638</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45638</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45638</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45638</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45638</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45638</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45638</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45638</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45638</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45638</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45638</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45638</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45638</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45638</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45638</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45638</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45638</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45638</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45638</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45638</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45638</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45638</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45638</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45638</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45638</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45638</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45638</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45638</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45638</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45638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45638</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45638</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45638</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45638</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45638</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45638</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45638</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45638</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45638</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45638</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45638</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45638</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45638</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45638</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45638</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45638</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45638</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45638</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45638</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45638</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45638</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45638</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45638</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45638</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45638</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45638</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45638</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45638</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45638</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45638</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45638</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45638</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45638</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45638</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45638</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45638</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45638</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45638</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45638</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45638</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45638</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45638</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45638</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45638</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45638</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45638</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45638</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45638</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45638</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45638</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45638</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45638</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45638</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45638</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45638</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45638</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45638</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45638</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45638</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45638</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45638</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45638</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45638</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45638</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45638</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45638</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45638</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45638</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45638</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45638</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45638</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45638</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45638</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45638</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45638</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45638</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45638</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45638</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45638</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45638</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45638</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45638</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45638</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45638</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45638</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45638</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45638</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45638</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45638</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45638</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45638</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45638</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45638</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45638</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45638</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45638</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45638</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45638</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45638</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45638</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45638</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45638</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45638</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45638</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45638</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45638</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45638</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45638</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45638</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45638</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52942-2024</t>
        </is>
      </c>
      <c r="B657" s="1" t="n">
        <v>45610</v>
      </c>
      <c r="C657" s="1" t="n">
        <v>45638</v>
      </c>
      <c r="D657" t="inlineStr">
        <is>
          <t>DALARNAS LÄN</t>
        </is>
      </c>
      <c r="E657" t="inlineStr">
        <is>
          <t>HEDEMORA</t>
        </is>
      </c>
      <c r="F657" t="inlineStr">
        <is>
          <t>Sveaskog</t>
        </is>
      </c>
      <c r="G657" t="n">
        <v>14.5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45638</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52945-2024</t>
        </is>
      </c>
      <c r="B659" s="1" t="n">
        <v>45610</v>
      </c>
      <c r="C659" s="1" t="n">
        <v>45638</v>
      </c>
      <c r="D659" t="inlineStr">
        <is>
          <t>DALARNAS LÄN</t>
        </is>
      </c>
      <c r="E659" t="inlineStr">
        <is>
          <t>HEDEMORA</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45638</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45638</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53923-2024</t>
        </is>
      </c>
      <c r="B662" s="1" t="n">
        <v>45615</v>
      </c>
      <c r="C662" s="1" t="n">
        <v>45638</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45638</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45638</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45638</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45638</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45638</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45638</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45638</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c r="A670" t="inlineStr">
        <is>
          <t>A 57745-2024</t>
        </is>
      </c>
      <c r="B670" s="1" t="n">
        <v>45630</v>
      </c>
      <c r="C670" s="1" t="n">
        <v>45638</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2024-12-12T15:40:31Z</dcterms:created>
  <dcterms:modified xmlns:dcterms="http://purl.org/dc/terms/" xmlns:xsi="http://www.w3.org/2001/XMLSchema-instance" xsi:type="dcterms:W3CDTF">2024-12-12T15:40:32Z</dcterms:modified>
</cp:coreProperties>
</file>