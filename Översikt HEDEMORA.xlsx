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46061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46061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46061</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46061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46061</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46061</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46061</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46061</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46061</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46061</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38724-2025</t>
        </is>
      </c>
      <c r="B12" s="1" t="n">
        <v>45887.29802083333</v>
      </c>
      <c r="C12" s="1" t="n">
        <v>46061</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53820-2025</t>
        </is>
      </c>
      <c r="B13" s="1" t="n">
        <v>45961.32736111111</v>
      </c>
      <c r="C13" s="1" t="n">
        <v>46061</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45277-2025</t>
        </is>
      </c>
      <c r="B14" s="1" t="n">
        <v>45919.71271990741</v>
      </c>
      <c r="C14" s="1" t="n">
        <v>46061</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34929-2024</t>
        </is>
      </c>
      <c r="B15" s="1" t="n">
        <v>45527.44895833333</v>
      </c>
      <c r="C15" s="1" t="n">
        <v>46061</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46061</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46061</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46061</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46061</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46061</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46061</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46061</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46061</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46061</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5827-2026</t>
        </is>
      </c>
      <c r="B25" s="1" t="n">
        <v>46051</v>
      </c>
      <c r="C25" s="1" t="n">
        <v>46061</v>
      </c>
      <c r="D25" t="inlineStr">
        <is>
          <t>DALARNAS LÄN</t>
        </is>
      </c>
      <c r="E25" t="inlineStr">
        <is>
          <t>HEDEMORA</t>
        </is>
      </c>
      <c r="G25" t="n">
        <v>2.5</v>
      </c>
      <c r="H25" t="n">
        <v>1</v>
      </c>
      <c r="I25" t="n">
        <v>2</v>
      </c>
      <c r="J25" t="n">
        <v>2</v>
      </c>
      <c r="K25" t="n">
        <v>0</v>
      </c>
      <c r="L25" t="n">
        <v>0</v>
      </c>
      <c r="M25" t="n">
        <v>0</v>
      </c>
      <c r="N25" t="n">
        <v>0</v>
      </c>
      <c r="O25" t="n">
        <v>2</v>
      </c>
      <c r="P25" t="n">
        <v>0</v>
      </c>
      <c r="Q25" t="n">
        <v>5</v>
      </c>
      <c r="R25" s="2" t="inlineStr">
        <is>
          <t>Gul taggsvamp
Vedtrappmossa
Nästlav
Rödgul trumpetsvamp
Blåsippa</t>
        </is>
      </c>
      <c r="S25">
        <f>HYPERLINK("https://klasma.github.io/Logging_2083/artfynd/A 5827-2026 artfynd.xlsx", "A 5827-2026")</f>
        <v/>
      </c>
      <c r="T25">
        <f>HYPERLINK("https://klasma.github.io/Logging_2083/kartor/A 5827-2026 karta.png", "A 5827-2026")</f>
        <v/>
      </c>
      <c r="V25">
        <f>HYPERLINK("https://klasma.github.io/Logging_2083/klagomål/A 5827-2026 FSC-klagomål.docx", "A 5827-2026")</f>
        <v/>
      </c>
      <c r="W25">
        <f>HYPERLINK("https://klasma.github.io/Logging_2083/klagomålsmail/A 5827-2026 FSC-klagomål mail.docx", "A 5827-2026")</f>
        <v/>
      </c>
      <c r="X25">
        <f>HYPERLINK("https://klasma.github.io/Logging_2083/tillsyn/A 5827-2026 tillsynsbegäran.docx", "A 5827-2026")</f>
        <v/>
      </c>
      <c r="Y25">
        <f>HYPERLINK("https://klasma.github.io/Logging_2083/tillsynsmail/A 5827-2026 tillsynsbegäran mail.docx", "A 5827-2026")</f>
        <v/>
      </c>
    </row>
    <row r="26" ht="15" customHeight="1">
      <c r="A26" t="inlineStr">
        <is>
          <t>A 992-2024</t>
        </is>
      </c>
      <c r="B26" s="1" t="n">
        <v>45301</v>
      </c>
      <c r="C26" s="1" t="n">
        <v>46061</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31534-2021</t>
        </is>
      </c>
      <c r="B27" s="1" t="n">
        <v>44369</v>
      </c>
      <c r="C27" s="1" t="n">
        <v>46061</v>
      </c>
      <c r="D27" t="inlineStr">
        <is>
          <t>DALARNAS LÄN</t>
        </is>
      </c>
      <c r="E27" t="inlineStr">
        <is>
          <t>HEDEMORA</t>
        </is>
      </c>
      <c r="F27" t="inlineStr">
        <is>
          <t>Sveaskog</t>
        </is>
      </c>
      <c r="G27" t="n">
        <v>1.9</v>
      </c>
      <c r="H27" t="n">
        <v>2</v>
      </c>
      <c r="I27" t="n">
        <v>3</v>
      </c>
      <c r="J27" t="n">
        <v>1</v>
      </c>
      <c r="K27" t="n">
        <v>0</v>
      </c>
      <c r="L27" t="n">
        <v>0</v>
      </c>
      <c r="M27" t="n">
        <v>0</v>
      </c>
      <c r="N27" t="n">
        <v>0</v>
      </c>
      <c r="O27" t="n">
        <v>1</v>
      </c>
      <c r="P27" t="n">
        <v>0</v>
      </c>
      <c r="Q27" t="n">
        <v>5</v>
      </c>
      <c r="R27" s="2" t="inlineStr">
        <is>
          <t>Spillkråka
Bollvitmossa
Bronshjon
Källpraktmossa
Vanlig groda</t>
        </is>
      </c>
      <c r="S27">
        <f>HYPERLINK("https://klasma.github.io/Logging_2083/artfynd/A 31534-2021 artfynd.xlsx", "A 31534-2021")</f>
        <v/>
      </c>
      <c r="T27">
        <f>HYPERLINK("https://klasma.github.io/Logging_2083/kartor/A 31534-2021 karta.png", "A 31534-2021")</f>
        <v/>
      </c>
      <c r="V27">
        <f>HYPERLINK("https://klasma.github.io/Logging_2083/klagomål/A 31534-2021 FSC-klagomål.docx", "A 31534-2021")</f>
        <v/>
      </c>
      <c r="W27">
        <f>HYPERLINK("https://klasma.github.io/Logging_2083/klagomålsmail/A 31534-2021 FSC-klagomål mail.docx", "A 31534-2021")</f>
        <v/>
      </c>
      <c r="X27">
        <f>HYPERLINK("https://klasma.github.io/Logging_2083/tillsyn/A 31534-2021 tillsynsbegäran.docx", "A 31534-2021")</f>
        <v/>
      </c>
      <c r="Y27">
        <f>HYPERLINK("https://klasma.github.io/Logging_2083/tillsynsmail/A 31534-2021 tillsynsbegäran mail.docx", "A 31534-2021")</f>
        <v/>
      </c>
      <c r="Z27">
        <f>HYPERLINK("https://klasma.github.io/Logging_2083/fåglar/A 31534-2021 prioriterade fågelarter.docx", "A 31534-2021")</f>
        <v/>
      </c>
    </row>
    <row r="28" ht="15" customHeight="1">
      <c r="A28" t="inlineStr">
        <is>
          <t>A 58719-2021</t>
        </is>
      </c>
      <c r="B28" s="1" t="n">
        <v>44489</v>
      </c>
      <c r="C28" s="1" t="n">
        <v>46061</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46061</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5713-2026</t>
        </is>
      </c>
      <c r="B30" s="1" t="n">
        <v>46051</v>
      </c>
      <c r="C30" s="1" t="n">
        <v>46061</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49872-2021</t>
        </is>
      </c>
      <c r="B31" s="1" t="n">
        <v>44455</v>
      </c>
      <c r="C31" s="1" t="n">
        <v>46061</v>
      </c>
      <c r="D31" t="inlineStr">
        <is>
          <t>DALARNAS LÄN</t>
        </is>
      </c>
      <c r="E31" t="inlineStr">
        <is>
          <t>HEDEMORA</t>
        </is>
      </c>
      <c r="G31" t="n">
        <v>3.4</v>
      </c>
      <c r="H31" t="n">
        <v>3</v>
      </c>
      <c r="I31" t="n">
        <v>1</v>
      </c>
      <c r="J31" t="n">
        <v>0</v>
      </c>
      <c r="K31" t="n">
        <v>1</v>
      </c>
      <c r="L31" t="n">
        <v>0</v>
      </c>
      <c r="M31" t="n">
        <v>0</v>
      </c>
      <c r="N31" t="n">
        <v>0</v>
      </c>
      <c r="O31" t="n">
        <v>1</v>
      </c>
      <c r="P31" t="n">
        <v>1</v>
      </c>
      <c r="Q31" t="n">
        <v>4</v>
      </c>
      <c r="R31" s="2" t="inlineStr">
        <is>
          <t>Knärot
Fjällig taggsvamp s.str.
Blåsippa
Revlummer</t>
        </is>
      </c>
      <c r="S31">
        <f>HYPERLINK("https://klasma.github.io/Logging_2083/artfynd/A 49872-2021 artfynd.xlsx", "A 49872-2021")</f>
        <v/>
      </c>
      <c r="T31">
        <f>HYPERLINK("https://klasma.github.io/Logging_2083/kartor/A 49872-2021 karta.png", "A 49872-2021")</f>
        <v/>
      </c>
      <c r="U31">
        <f>HYPERLINK("https://klasma.github.io/Logging_2083/knärot/A 49872-2021 karta knärot.png", "A 49872-2021")</f>
        <v/>
      </c>
      <c r="V31">
        <f>HYPERLINK("https://klasma.github.io/Logging_2083/klagomål/A 49872-2021 FSC-klagomål.docx", "A 49872-2021")</f>
        <v/>
      </c>
      <c r="W31">
        <f>HYPERLINK("https://klasma.github.io/Logging_2083/klagomålsmail/A 49872-2021 FSC-klagomål mail.docx", "A 49872-2021")</f>
        <v/>
      </c>
      <c r="X31">
        <f>HYPERLINK("https://klasma.github.io/Logging_2083/tillsyn/A 49872-2021 tillsynsbegäran.docx", "A 49872-2021")</f>
        <v/>
      </c>
      <c r="Y31">
        <f>HYPERLINK("https://klasma.github.io/Logging_2083/tillsynsmail/A 49872-2021 tillsynsbegäran mail.docx", "A 49872-2021")</f>
        <v/>
      </c>
    </row>
    <row r="32" ht="15" customHeight="1">
      <c r="A32" t="inlineStr">
        <is>
          <t>A 62054-2021</t>
        </is>
      </c>
      <c r="B32" s="1" t="n">
        <v>44502</v>
      </c>
      <c r="C32" s="1" t="n">
        <v>46061</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1454-2026</t>
        </is>
      </c>
      <c r="B33" s="1" t="n">
        <v>46033</v>
      </c>
      <c r="C33" s="1" t="n">
        <v>46061</v>
      </c>
      <c r="D33" t="inlineStr">
        <is>
          <t>DALARNAS LÄN</t>
        </is>
      </c>
      <c r="E33" t="inlineStr">
        <is>
          <t>HEDEMORA</t>
        </is>
      </c>
      <c r="G33" t="n">
        <v>2</v>
      </c>
      <c r="H33" t="n">
        <v>1</v>
      </c>
      <c r="I33" t="n">
        <v>0</v>
      </c>
      <c r="J33" t="n">
        <v>2</v>
      </c>
      <c r="K33" t="n">
        <v>1</v>
      </c>
      <c r="L33" t="n">
        <v>0</v>
      </c>
      <c r="M33" t="n">
        <v>0</v>
      </c>
      <c r="N33" t="n">
        <v>0</v>
      </c>
      <c r="O33" t="n">
        <v>3</v>
      </c>
      <c r="P33" t="n">
        <v>1</v>
      </c>
      <c r="Q33" t="n">
        <v>3</v>
      </c>
      <c r="R33" s="2" t="inlineStr">
        <is>
          <t>Knärot
Motaggsvamp
Ullticka</t>
        </is>
      </c>
      <c r="S33">
        <f>HYPERLINK("https://klasma.github.io/Logging_2083/artfynd/A 1454-2026 artfynd.xlsx", "A 1454-2026")</f>
        <v/>
      </c>
      <c r="T33">
        <f>HYPERLINK("https://klasma.github.io/Logging_2083/kartor/A 1454-2026 karta.png", "A 1454-2026")</f>
        <v/>
      </c>
      <c r="U33">
        <f>HYPERLINK("https://klasma.github.io/Logging_2083/knärot/A 1454-2026 karta knärot.png", "A 1454-2026")</f>
        <v/>
      </c>
      <c r="V33">
        <f>HYPERLINK("https://klasma.github.io/Logging_2083/klagomål/A 1454-2026 FSC-klagomål.docx", "A 1454-2026")</f>
        <v/>
      </c>
      <c r="W33">
        <f>HYPERLINK("https://klasma.github.io/Logging_2083/klagomålsmail/A 1454-2026 FSC-klagomål mail.docx", "A 1454-2026")</f>
        <v/>
      </c>
      <c r="X33">
        <f>HYPERLINK("https://klasma.github.io/Logging_2083/tillsyn/A 1454-2026 tillsynsbegäran.docx", "A 1454-2026")</f>
        <v/>
      </c>
      <c r="Y33">
        <f>HYPERLINK("https://klasma.github.io/Logging_2083/tillsynsmail/A 1454-2026 tillsynsbegäran mail.docx", "A 1454-2026")</f>
        <v/>
      </c>
    </row>
    <row r="34" ht="15" customHeight="1">
      <c r="A34" t="inlineStr">
        <is>
          <t>A 2409-2022</t>
        </is>
      </c>
      <c r="B34" s="1" t="n">
        <v>44579</v>
      </c>
      <c r="C34" s="1" t="n">
        <v>46061</v>
      </c>
      <c r="D34" t="inlineStr">
        <is>
          <t>DALARNAS LÄN</t>
        </is>
      </c>
      <c r="E34" t="inlineStr">
        <is>
          <t>HEDEMORA</t>
        </is>
      </c>
      <c r="G34" t="n">
        <v>3.1</v>
      </c>
      <c r="H34" t="n">
        <v>1</v>
      </c>
      <c r="I34" t="n">
        <v>1</v>
      </c>
      <c r="J34" t="n">
        <v>1</v>
      </c>
      <c r="K34" t="n">
        <v>1</v>
      </c>
      <c r="L34" t="n">
        <v>0</v>
      </c>
      <c r="M34" t="n">
        <v>0</v>
      </c>
      <c r="N34" t="n">
        <v>0</v>
      </c>
      <c r="O34" t="n">
        <v>2</v>
      </c>
      <c r="P34" t="n">
        <v>1</v>
      </c>
      <c r="Q34" t="n">
        <v>3</v>
      </c>
      <c r="R34" s="2" t="inlineStr">
        <is>
          <t>Knärot
Ullticka
Vedticka</t>
        </is>
      </c>
      <c r="S34">
        <f>HYPERLINK("https://klasma.github.io/Logging_2083/artfynd/A 2409-2022 artfynd.xlsx", "A 2409-2022")</f>
        <v/>
      </c>
      <c r="T34">
        <f>HYPERLINK("https://klasma.github.io/Logging_2083/kartor/A 2409-2022 karta.png", "A 2409-2022")</f>
        <v/>
      </c>
      <c r="U34">
        <f>HYPERLINK("https://klasma.github.io/Logging_2083/knärot/A 2409-2022 karta knärot.png", "A 2409-2022")</f>
        <v/>
      </c>
      <c r="V34">
        <f>HYPERLINK("https://klasma.github.io/Logging_2083/klagomål/A 2409-2022 FSC-klagomål.docx", "A 2409-2022")</f>
        <v/>
      </c>
      <c r="W34">
        <f>HYPERLINK("https://klasma.github.io/Logging_2083/klagomålsmail/A 2409-2022 FSC-klagomål mail.docx", "A 2409-2022")</f>
        <v/>
      </c>
      <c r="X34">
        <f>HYPERLINK("https://klasma.github.io/Logging_2083/tillsyn/A 2409-2022 tillsynsbegäran.docx", "A 2409-2022")</f>
        <v/>
      </c>
      <c r="Y34">
        <f>HYPERLINK("https://klasma.github.io/Logging_2083/tillsynsmail/A 2409-2022 tillsynsbegäran mail.docx", "A 2409-2022")</f>
        <v/>
      </c>
    </row>
    <row r="35" ht="15" customHeight="1">
      <c r="A35" t="inlineStr">
        <is>
          <t>A 4031-2022</t>
        </is>
      </c>
      <c r="B35" s="1" t="n">
        <v>44588</v>
      </c>
      <c r="C35" s="1" t="n">
        <v>46061</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54849-2022</t>
        </is>
      </c>
      <c r="B36" s="1" t="n">
        <v>44883</v>
      </c>
      <c r="C36" s="1" t="n">
        <v>46061</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43679-2025</t>
        </is>
      </c>
      <c r="B37" s="1" t="n">
        <v>45912.36710648148</v>
      </c>
      <c r="C37" s="1" t="n">
        <v>46061</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3152-2022</t>
        </is>
      </c>
      <c r="B38" s="1" t="n">
        <v>44582</v>
      </c>
      <c r="C38" s="1" t="n">
        <v>46061</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19352-2024</t>
        </is>
      </c>
      <c r="B39" s="1" t="n">
        <v>45429.29493055555</v>
      </c>
      <c r="C39" s="1" t="n">
        <v>46061</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43681-2025</t>
        </is>
      </c>
      <c r="B40" s="1" t="n">
        <v>45912.37243055556</v>
      </c>
      <c r="C40" s="1" t="n">
        <v>46061</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59035-2023</t>
        </is>
      </c>
      <c r="B41" s="1" t="n">
        <v>45252</v>
      </c>
      <c r="C41" s="1" t="n">
        <v>46061</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41332-2025</t>
        </is>
      </c>
      <c r="B42" s="1" t="n">
        <v>45899.35592592593</v>
      </c>
      <c r="C42" s="1" t="n">
        <v>46061</v>
      </c>
      <c r="D42" t="inlineStr">
        <is>
          <t>DALARNAS LÄN</t>
        </is>
      </c>
      <c r="E42" t="inlineStr">
        <is>
          <t>HEDEMORA</t>
        </is>
      </c>
      <c r="F42" t="inlineStr">
        <is>
          <t>Sveaskog</t>
        </is>
      </c>
      <c r="G42" t="n">
        <v>9.4</v>
      </c>
      <c r="H42" t="n">
        <v>2</v>
      </c>
      <c r="I42" t="n">
        <v>0</v>
      </c>
      <c r="J42" t="n">
        <v>0</v>
      </c>
      <c r="K42" t="n">
        <v>0</v>
      </c>
      <c r="L42" t="n">
        <v>0</v>
      </c>
      <c r="M42" t="n">
        <v>0</v>
      </c>
      <c r="N42" t="n">
        <v>0</v>
      </c>
      <c r="O42" t="n">
        <v>0</v>
      </c>
      <c r="P42" t="n">
        <v>0</v>
      </c>
      <c r="Q42" t="n">
        <v>2</v>
      </c>
      <c r="R42" s="2" t="inlineStr">
        <is>
          <t>Orre
Tjäder</t>
        </is>
      </c>
      <c r="S42">
        <f>HYPERLINK("https://klasma.github.io/Logging_2083/artfynd/A 41332-2025 artfynd.xlsx", "A 41332-2025")</f>
        <v/>
      </c>
      <c r="T42">
        <f>HYPERLINK("https://klasma.github.io/Logging_2083/kartor/A 41332-2025 karta.png", "A 41332-2025")</f>
        <v/>
      </c>
      <c r="V42">
        <f>HYPERLINK("https://klasma.github.io/Logging_2083/klagomål/A 41332-2025 FSC-klagomål.docx", "A 41332-2025")</f>
        <v/>
      </c>
      <c r="W42">
        <f>HYPERLINK("https://klasma.github.io/Logging_2083/klagomålsmail/A 41332-2025 FSC-klagomål mail.docx", "A 41332-2025")</f>
        <v/>
      </c>
      <c r="X42">
        <f>HYPERLINK("https://klasma.github.io/Logging_2083/tillsyn/A 41332-2025 tillsynsbegäran.docx", "A 41332-2025")</f>
        <v/>
      </c>
      <c r="Y42">
        <f>HYPERLINK("https://klasma.github.io/Logging_2083/tillsynsmail/A 41332-2025 tillsynsbegäran mail.docx", "A 41332-2025")</f>
        <v/>
      </c>
      <c r="Z42">
        <f>HYPERLINK("https://klasma.github.io/Logging_2083/fåglar/A 41332-2025 prioriterade fågelarter.docx", "A 41332-2025")</f>
        <v/>
      </c>
    </row>
    <row r="43" ht="15" customHeight="1">
      <c r="A43" t="inlineStr">
        <is>
          <t>A 451-2025</t>
        </is>
      </c>
      <c r="B43" s="1" t="n">
        <v>45664.39991898148</v>
      </c>
      <c r="C43" s="1" t="n">
        <v>46061</v>
      </c>
      <c r="D43" t="inlineStr">
        <is>
          <t>DALARNAS LÄN</t>
        </is>
      </c>
      <c r="E43" t="inlineStr">
        <is>
          <t>HEDEMORA</t>
        </is>
      </c>
      <c r="G43" t="n">
        <v>4.5</v>
      </c>
      <c r="H43" t="n">
        <v>2</v>
      </c>
      <c r="I43" t="n">
        <v>0</v>
      </c>
      <c r="J43" t="n">
        <v>1</v>
      </c>
      <c r="K43" t="n">
        <v>1</v>
      </c>
      <c r="L43" t="n">
        <v>0</v>
      </c>
      <c r="M43" t="n">
        <v>0</v>
      </c>
      <c r="N43" t="n">
        <v>0</v>
      </c>
      <c r="O43" t="n">
        <v>2</v>
      </c>
      <c r="P43" t="n">
        <v>1</v>
      </c>
      <c r="Q43" t="n">
        <v>2</v>
      </c>
      <c r="R43" s="2" t="inlineStr">
        <is>
          <t>Knärot
Spillkråka</t>
        </is>
      </c>
      <c r="S43">
        <f>HYPERLINK("https://klasma.github.io/Logging_2083/artfynd/A 451-2025 artfynd.xlsx", "A 451-2025")</f>
        <v/>
      </c>
      <c r="T43">
        <f>HYPERLINK("https://klasma.github.io/Logging_2083/kartor/A 451-2025 karta.png", "A 451-2025")</f>
        <v/>
      </c>
      <c r="U43">
        <f>HYPERLINK("https://klasma.github.io/Logging_2083/knärot/A 451-2025 karta knärot.png", "A 451-2025")</f>
        <v/>
      </c>
      <c r="V43">
        <f>HYPERLINK("https://klasma.github.io/Logging_2083/klagomål/A 451-2025 FSC-klagomål.docx", "A 451-2025")</f>
        <v/>
      </c>
      <c r="W43">
        <f>HYPERLINK("https://klasma.github.io/Logging_2083/klagomålsmail/A 451-2025 FSC-klagomål mail.docx", "A 451-2025")</f>
        <v/>
      </c>
      <c r="X43">
        <f>HYPERLINK("https://klasma.github.io/Logging_2083/tillsyn/A 451-2025 tillsynsbegäran.docx", "A 451-2025")</f>
        <v/>
      </c>
      <c r="Y43">
        <f>HYPERLINK("https://klasma.github.io/Logging_2083/tillsynsmail/A 451-2025 tillsynsbegäran mail.docx", "A 451-2025")</f>
        <v/>
      </c>
      <c r="Z43">
        <f>HYPERLINK("https://klasma.github.io/Logging_2083/fåglar/A 451-2025 prioriterade fågelarter.docx", "A 451-2025")</f>
        <v/>
      </c>
    </row>
    <row r="44" ht="15" customHeight="1">
      <c r="A44" t="inlineStr">
        <is>
          <t>A 56625-2024</t>
        </is>
      </c>
      <c r="B44" s="1" t="n">
        <v>45625</v>
      </c>
      <c r="C44" s="1" t="n">
        <v>46061</v>
      </c>
      <c r="D44" t="inlineStr">
        <is>
          <t>DALARNAS LÄN</t>
        </is>
      </c>
      <c r="E44" t="inlineStr">
        <is>
          <t>HEDEMORA</t>
        </is>
      </c>
      <c r="F44" t="inlineStr">
        <is>
          <t>Sveaskog</t>
        </is>
      </c>
      <c r="G44" t="n">
        <v>16.8</v>
      </c>
      <c r="H44" t="n">
        <v>1</v>
      </c>
      <c r="I44" t="n">
        <v>1</v>
      </c>
      <c r="J44" t="n">
        <v>0</v>
      </c>
      <c r="K44" t="n">
        <v>1</v>
      </c>
      <c r="L44" t="n">
        <v>0</v>
      </c>
      <c r="M44" t="n">
        <v>0</v>
      </c>
      <c r="N44" t="n">
        <v>0</v>
      </c>
      <c r="O44" t="n">
        <v>1</v>
      </c>
      <c r="P44" t="n">
        <v>1</v>
      </c>
      <c r="Q44" t="n">
        <v>2</v>
      </c>
      <c r="R44" s="2" t="inlineStr">
        <is>
          <t>Knärot
Dropptaggsvamp</t>
        </is>
      </c>
      <c r="S44">
        <f>HYPERLINK("https://klasma.github.io/Logging_2083/artfynd/A 56625-2024 artfynd.xlsx", "A 56625-2024")</f>
        <v/>
      </c>
      <c r="T44">
        <f>HYPERLINK("https://klasma.github.io/Logging_2083/kartor/A 56625-2024 karta.png", "A 56625-2024")</f>
        <v/>
      </c>
      <c r="U44">
        <f>HYPERLINK("https://klasma.github.io/Logging_2083/knärot/A 56625-2024 karta knärot.png", "A 56625-2024")</f>
        <v/>
      </c>
      <c r="V44">
        <f>HYPERLINK("https://klasma.github.io/Logging_2083/klagomål/A 56625-2024 FSC-klagomål.docx", "A 56625-2024")</f>
        <v/>
      </c>
      <c r="W44">
        <f>HYPERLINK("https://klasma.github.io/Logging_2083/klagomålsmail/A 56625-2024 FSC-klagomål mail.docx", "A 56625-2024")</f>
        <v/>
      </c>
      <c r="X44">
        <f>HYPERLINK("https://klasma.github.io/Logging_2083/tillsyn/A 56625-2024 tillsynsbegäran.docx", "A 56625-2024")</f>
        <v/>
      </c>
      <c r="Y44">
        <f>HYPERLINK("https://klasma.github.io/Logging_2083/tillsynsmail/A 56625-2024 tillsynsbegäran mail.docx", "A 56625-2024")</f>
        <v/>
      </c>
    </row>
    <row r="45" ht="15" customHeight="1">
      <c r="A45" t="inlineStr">
        <is>
          <t>A 1518-2025</t>
        </is>
      </c>
      <c r="B45" s="1" t="n">
        <v>45670</v>
      </c>
      <c r="C45" s="1" t="n">
        <v>46061</v>
      </c>
      <c r="D45" t="inlineStr">
        <is>
          <t>DALARNAS LÄN</t>
        </is>
      </c>
      <c r="E45" t="inlineStr">
        <is>
          <t>HEDEMORA</t>
        </is>
      </c>
      <c r="G45" t="n">
        <v>3.8</v>
      </c>
      <c r="H45" t="n">
        <v>1</v>
      </c>
      <c r="I45" t="n">
        <v>0</v>
      </c>
      <c r="J45" t="n">
        <v>1</v>
      </c>
      <c r="K45" t="n">
        <v>1</v>
      </c>
      <c r="L45" t="n">
        <v>0</v>
      </c>
      <c r="M45" t="n">
        <v>0</v>
      </c>
      <c r="N45" t="n">
        <v>0</v>
      </c>
      <c r="O45" t="n">
        <v>2</v>
      </c>
      <c r="P45" t="n">
        <v>1</v>
      </c>
      <c r="Q45" t="n">
        <v>2</v>
      </c>
      <c r="R45" s="2" t="inlineStr">
        <is>
          <t>Knärot
Ullticka</t>
        </is>
      </c>
      <c r="S45">
        <f>HYPERLINK("https://klasma.github.io/Logging_2083/artfynd/A 1518-2025 artfynd.xlsx", "A 1518-2025")</f>
        <v/>
      </c>
      <c r="T45">
        <f>HYPERLINK("https://klasma.github.io/Logging_2083/kartor/A 1518-2025 karta.png", "A 1518-2025")</f>
        <v/>
      </c>
      <c r="U45">
        <f>HYPERLINK("https://klasma.github.io/Logging_2083/knärot/A 1518-2025 karta knärot.png", "A 1518-2025")</f>
        <v/>
      </c>
      <c r="V45">
        <f>HYPERLINK("https://klasma.github.io/Logging_2083/klagomål/A 1518-2025 FSC-klagomål.docx", "A 1518-2025")</f>
        <v/>
      </c>
      <c r="W45">
        <f>HYPERLINK("https://klasma.github.io/Logging_2083/klagomålsmail/A 1518-2025 FSC-klagomål mail.docx", "A 1518-2025")</f>
        <v/>
      </c>
      <c r="X45">
        <f>HYPERLINK("https://klasma.github.io/Logging_2083/tillsyn/A 1518-2025 tillsynsbegäran.docx", "A 1518-2025")</f>
        <v/>
      </c>
      <c r="Y45">
        <f>HYPERLINK("https://klasma.github.io/Logging_2083/tillsynsmail/A 1518-2025 tillsynsbegäran mail.docx", "A 1518-2025")</f>
        <v/>
      </c>
    </row>
    <row r="46" ht="15" customHeight="1">
      <c r="A46" t="inlineStr">
        <is>
          <t>A 2599-2026</t>
        </is>
      </c>
      <c r="B46" s="1" t="n">
        <v>46037.57337962963</v>
      </c>
      <c r="C46" s="1" t="n">
        <v>46061</v>
      </c>
      <c r="D46" t="inlineStr">
        <is>
          <t>DALARNAS LÄN</t>
        </is>
      </c>
      <c r="E46" t="inlineStr">
        <is>
          <t>HEDEMORA</t>
        </is>
      </c>
      <c r="G46" t="n">
        <v>6.5</v>
      </c>
      <c r="H46" t="n">
        <v>2</v>
      </c>
      <c r="I46" t="n">
        <v>0</v>
      </c>
      <c r="J46" t="n">
        <v>1</v>
      </c>
      <c r="K46" t="n">
        <v>0</v>
      </c>
      <c r="L46" t="n">
        <v>0</v>
      </c>
      <c r="M46" t="n">
        <v>0</v>
      </c>
      <c r="N46" t="n">
        <v>0</v>
      </c>
      <c r="O46" t="n">
        <v>1</v>
      </c>
      <c r="P46" t="n">
        <v>0</v>
      </c>
      <c r="Q46" t="n">
        <v>2</v>
      </c>
      <c r="R46" s="2" t="inlineStr">
        <is>
          <t>Talltita
Grönsiska</t>
        </is>
      </c>
      <c r="S46">
        <f>HYPERLINK("https://klasma.github.io/Logging_2083/artfynd/A 2599-2026 artfynd.xlsx", "A 2599-2026")</f>
        <v/>
      </c>
      <c r="T46">
        <f>HYPERLINK("https://klasma.github.io/Logging_2083/kartor/A 2599-2026 karta.png", "A 2599-2026")</f>
        <v/>
      </c>
      <c r="V46">
        <f>HYPERLINK("https://klasma.github.io/Logging_2083/klagomål/A 2599-2026 FSC-klagomål.docx", "A 2599-2026")</f>
        <v/>
      </c>
      <c r="W46">
        <f>HYPERLINK("https://klasma.github.io/Logging_2083/klagomålsmail/A 2599-2026 FSC-klagomål mail.docx", "A 2599-2026")</f>
        <v/>
      </c>
      <c r="X46">
        <f>HYPERLINK("https://klasma.github.io/Logging_2083/tillsyn/A 2599-2026 tillsynsbegäran.docx", "A 2599-2026")</f>
        <v/>
      </c>
      <c r="Y46">
        <f>HYPERLINK("https://klasma.github.io/Logging_2083/tillsynsmail/A 2599-2026 tillsynsbegäran mail.docx", "A 2599-2026")</f>
        <v/>
      </c>
      <c r="Z46">
        <f>HYPERLINK("https://klasma.github.io/Logging_2083/fåglar/A 2599-2026 prioriterade fågelarter.docx", "A 2599-2026")</f>
        <v/>
      </c>
    </row>
    <row r="47" ht="15" customHeight="1">
      <c r="A47" t="inlineStr">
        <is>
          <t>A 512-2026</t>
        </is>
      </c>
      <c r="B47" s="1" t="n">
        <v>46029</v>
      </c>
      <c r="C47" s="1" t="n">
        <v>46061</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5307-2026</t>
        </is>
      </c>
      <c r="B48" s="1" t="n">
        <v>46050</v>
      </c>
      <c r="C48" s="1" t="n">
        <v>46061</v>
      </c>
      <c r="D48" t="inlineStr">
        <is>
          <t>DALARNAS LÄN</t>
        </is>
      </c>
      <c r="E48" t="inlineStr">
        <is>
          <t>HEDEMORA</t>
        </is>
      </c>
      <c r="G48" t="n">
        <v>0.8</v>
      </c>
      <c r="H48" t="n">
        <v>0</v>
      </c>
      <c r="I48" t="n">
        <v>1</v>
      </c>
      <c r="J48" t="n">
        <v>0</v>
      </c>
      <c r="K48" t="n">
        <v>1</v>
      </c>
      <c r="L48" t="n">
        <v>0</v>
      </c>
      <c r="M48" t="n">
        <v>0</v>
      </c>
      <c r="N48" t="n">
        <v>0</v>
      </c>
      <c r="O48" t="n">
        <v>1</v>
      </c>
      <c r="P48" t="n">
        <v>1</v>
      </c>
      <c r="Q48" t="n">
        <v>2</v>
      </c>
      <c r="R48" s="2" t="inlineStr">
        <is>
          <t>Blackticka
Fjällig taggsvamp s.str.</t>
        </is>
      </c>
      <c r="S48">
        <f>HYPERLINK("https://klasma.github.io/Logging_2083/artfynd/A 5307-2026 artfynd.xlsx", "A 5307-2026")</f>
        <v/>
      </c>
      <c r="T48">
        <f>HYPERLINK("https://klasma.github.io/Logging_2083/kartor/A 5307-2026 karta.png", "A 5307-2026")</f>
        <v/>
      </c>
      <c r="V48">
        <f>HYPERLINK("https://klasma.github.io/Logging_2083/klagomål/A 5307-2026 FSC-klagomål.docx", "A 5307-2026")</f>
        <v/>
      </c>
      <c r="W48">
        <f>HYPERLINK("https://klasma.github.io/Logging_2083/klagomålsmail/A 5307-2026 FSC-klagomål mail.docx", "A 5307-2026")</f>
        <v/>
      </c>
      <c r="X48">
        <f>HYPERLINK("https://klasma.github.io/Logging_2083/tillsyn/A 5307-2026 tillsynsbegäran.docx", "A 5307-2026")</f>
        <v/>
      </c>
      <c r="Y48">
        <f>HYPERLINK("https://klasma.github.io/Logging_2083/tillsynsmail/A 5307-2026 tillsynsbegäran mail.docx", "A 5307-2026")</f>
        <v/>
      </c>
    </row>
    <row r="49" ht="15" customHeight="1">
      <c r="A49" t="inlineStr">
        <is>
          <t>A 1450-2026</t>
        </is>
      </c>
      <c r="B49" s="1" t="n">
        <v>46033</v>
      </c>
      <c r="C49" s="1" t="n">
        <v>46061</v>
      </c>
      <c r="D49" t="inlineStr">
        <is>
          <t>DALARNAS LÄN</t>
        </is>
      </c>
      <c r="E49" t="inlineStr">
        <is>
          <t>HEDEMORA</t>
        </is>
      </c>
      <c r="G49" t="n">
        <v>3.6</v>
      </c>
      <c r="H49" t="n">
        <v>1</v>
      </c>
      <c r="I49" t="n">
        <v>1</v>
      </c>
      <c r="J49" t="n">
        <v>0</v>
      </c>
      <c r="K49" t="n">
        <v>1</v>
      </c>
      <c r="L49" t="n">
        <v>0</v>
      </c>
      <c r="M49" t="n">
        <v>0</v>
      </c>
      <c r="N49" t="n">
        <v>0</v>
      </c>
      <c r="O49" t="n">
        <v>1</v>
      </c>
      <c r="P49" t="n">
        <v>1</v>
      </c>
      <c r="Q49" t="n">
        <v>2</v>
      </c>
      <c r="R49" s="2" t="inlineStr">
        <is>
          <t>Knärot
Bronshjon</t>
        </is>
      </c>
      <c r="S49">
        <f>HYPERLINK("https://klasma.github.io/Logging_2083/artfynd/A 1450-2026 artfynd.xlsx", "A 1450-2026")</f>
        <v/>
      </c>
      <c r="T49">
        <f>HYPERLINK("https://klasma.github.io/Logging_2083/kartor/A 1450-2026 karta.png", "A 1450-2026")</f>
        <v/>
      </c>
      <c r="U49">
        <f>HYPERLINK("https://klasma.github.io/Logging_2083/knärot/A 1450-2026 karta knärot.png", "A 1450-2026")</f>
        <v/>
      </c>
      <c r="V49">
        <f>HYPERLINK("https://klasma.github.io/Logging_2083/klagomål/A 1450-2026 FSC-klagomål.docx", "A 1450-2026")</f>
        <v/>
      </c>
      <c r="W49">
        <f>HYPERLINK("https://klasma.github.io/Logging_2083/klagomålsmail/A 1450-2026 FSC-klagomål mail.docx", "A 1450-2026")</f>
        <v/>
      </c>
      <c r="X49">
        <f>HYPERLINK("https://klasma.github.io/Logging_2083/tillsyn/A 1450-2026 tillsynsbegäran.docx", "A 1450-2026")</f>
        <v/>
      </c>
      <c r="Y49">
        <f>HYPERLINK("https://klasma.github.io/Logging_2083/tillsynsmail/A 1450-2026 tillsynsbegäran mail.docx", "A 1450-2026")</f>
        <v/>
      </c>
    </row>
    <row r="50" ht="15" customHeight="1">
      <c r="A50" t="inlineStr">
        <is>
          <t>A 45884-2021</t>
        </is>
      </c>
      <c r="B50" s="1" t="n">
        <v>44441</v>
      </c>
      <c r="C50" s="1" t="n">
        <v>46061</v>
      </c>
      <c r="D50" t="inlineStr">
        <is>
          <t>DALARNAS LÄN</t>
        </is>
      </c>
      <c r="E50" t="inlineStr">
        <is>
          <t>HEDEMORA</t>
        </is>
      </c>
      <c r="G50" t="n">
        <v>0.9</v>
      </c>
      <c r="H50" t="n">
        <v>1</v>
      </c>
      <c r="I50" t="n">
        <v>1</v>
      </c>
      <c r="J50" t="n">
        <v>0</v>
      </c>
      <c r="K50" t="n">
        <v>1</v>
      </c>
      <c r="L50" t="n">
        <v>0</v>
      </c>
      <c r="M50" t="n">
        <v>0</v>
      </c>
      <c r="N50" t="n">
        <v>0</v>
      </c>
      <c r="O50" t="n">
        <v>1</v>
      </c>
      <c r="P50" t="n">
        <v>1</v>
      </c>
      <c r="Q50" t="n">
        <v>2</v>
      </c>
      <c r="R50" s="2" t="inlineStr">
        <is>
          <t>Knärot
Bollvitmossa</t>
        </is>
      </c>
      <c r="S50">
        <f>HYPERLINK("https://klasma.github.io/Logging_2083/artfynd/A 45884-2021 artfynd.xlsx", "A 45884-2021")</f>
        <v/>
      </c>
      <c r="T50">
        <f>HYPERLINK("https://klasma.github.io/Logging_2083/kartor/A 45884-2021 karta.png", "A 45884-2021")</f>
        <v/>
      </c>
      <c r="U50">
        <f>HYPERLINK("https://klasma.github.io/Logging_2083/knärot/A 45884-2021 karta knärot.png", "A 45884-2021")</f>
        <v/>
      </c>
      <c r="V50">
        <f>HYPERLINK("https://klasma.github.io/Logging_2083/klagomål/A 45884-2021 FSC-klagomål.docx", "A 45884-2021")</f>
        <v/>
      </c>
      <c r="W50">
        <f>HYPERLINK("https://klasma.github.io/Logging_2083/klagomålsmail/A 45884-2021 FSC-klagomål mail.docx", "A 45884-2021")</f>
        <v/>
      </c>
      <c r="X50">
        <f>HYPERLINK("https://klasma.github.io/Logging_2083/tillsyn/A 45884-2021 tillsynsbegäran.docx", "A 45884-2021")</f>
        <v/>
      </c>
      <c r="Y50">
        <f>HYPERLINK("https://klasma.github.io/Logging_2083/tillsynsmail/A 45884-2021 tillsynsbegäran mail.docx", "A 45884-2021")</f>
        <v/>
      </c>
    </row>
    <row r="51" ht="15" customHeight="1">
      <c r="A51" t="inlineStr">
        <is>
          <t>A 53915-2022</t>
        </is>
      </c>
      <c r="B51" s="1" t="n">
        <v>44880.87587962963</v>
      </c>
      <c r="C51" s="1" t="n">
        <v>46061</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46061</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46061</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46061</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42614-2024</t>
        </is>
      </c>
      <c r="B55" s="1" t="n">
        <v>45565</v>
      </c>
      <c r="C55" s="1" t="n">
        <v>46061</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23815-2023</t>
        </is>
      </c>
      <c r="B56" s="1" t="n">
        <v>45078</v>
      </c>
      <c r="C56" s="1" t="n">
        <v>46061</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39396-2025</t>
        </is>
      </c>
      <c r="B57" s="1" t="n">
        <v>45889.63289351852</v>
      </c>
      <c r="C57" s="1" t="n">
        <v>46061</v>
      </c>
      <c r="D57" t="inlineStr">
        <is>
          <t>DALARNAS LÄN</t>
        </is>
      </c>
      <c r="E57" t="inlineStr">
        <is>
          <t>HEDEMORA</t>
        </is>
      </c>
      <c r="F57" t="inlineStr">
        <is>
          <t>Sveaskog</t>
        </is>
      </c>
      <c r="G57" t="n">
        <v>4.3</v>
      </c>
      <c r="H57" t="n">
        <v>1</v>
      </c>
      <c r="I57" t="n">
        <v>0</v>
      </c>
      <c r="J57" t="n">
        <v>0</v>
      </c>
      <c r="K57" t="n">
        <v>1</v>
      </c>
      <c r="L57" t="n">
        <v>0</v>
      </c>
      <c r="M57" t="n">
        <v>0</v>
      </c>
      <c r="N57" t="n">
        <v>0</v>
      </c>
      <c r="O57" t="n">
        <v>1</v>
      </c>
      <c r="P57" t="n">
        <v>1</v>
      </c>
      <c r="Q57" t="n">
        <v>1</v>
      </c>
      <c r="R57" s="2" t="inlineStr">
        <is>
          <t>Knärot</t>
        </is>
      </c>
      <c r="S57">
        <f>HYPERLINK("https://klasma.github.io/Logging_2083/artfynd/A 39396-2025 artfynd.xlsx", "A 39396-2025")</f>
        <v/>
      </c>
      <c r="T57">
        <f>HYPERLINK("https://klasma.github.io/Logging_2083/kartor/A 39396-2025 karta.png", "A 39396-2025")</f>
        <v/>
      </c>
      <c r="U57">
        <f>HYPERLINK("https://klasma.github.io/Logging_2083/knärot/A 39396-2025 karta knärot.png", "A 39396-2025")</f>
        <v/>
      </c>
      <c r="V57">
        <f>HYPERLINK("https://klasma.github.io/Logging_2083/klagomål/A 39396-2025 FSC-klagomål.docx", "A 39396-2025")</f>
        <v/>
      </c>
      <c r="W57">
        <f>HYPERLINK("https://klasma.github.io/Logging_2083/klagomålsmail/A 39396-2025 FSC-klagomål mail.docx", "A 39396-2025")</f>
        <v/>
      </c>
      <c r="X57">
        <f>HYPERLINK("https://klasma.github.io/Logging_2083/tillsyn/A 39396-2025 tillsynsbegäran.docx", "A 39396-2025")</f>
        <v/>
      </c>
      <c r="Y57">
        <f>HYPERLINK("https://klasma.github.io/Logging_2083/tillsynsmail/A 39396-2025 tillsynsbegäran mail.docx", "A 39396-2025")</f>
        <v/>
      </c>
    </row>
    <row r="58" ht="15" customHeight="1">
      <c r="A58" t="inlineStr">
        <is>
          <t>A 28181-2025</t>
        </is>
      </c>
      <c r="B58" s="1" t="n">
        <v>45818.39921296296</v>
      </c>
      <c r="C58" s="1" t="n">
        <v>46061</v>
      </c>
      <c r="D58" t="inlineStr">
        <is>
          <t>DALARNAS LÄN</t>
        </is>
      </c>
      <c r="E58" t="inlineStr">
        <is>
          <t>HEDEMORA</t>
        </is>
      </c>
      <c r="F58" t="inlineStr">
        <is>
          <t>Sveaskog</t>
        </is>
      </c>
      <c r="G58" t="n">
        <v>2.4</v>
      </c>
      <c r="H58" t="n">
        <v>1</v>
      </c>
      <c r="I58" t="n">
        <v>1</v>
      </c>
      <c r="J58" t="n">
        <v>0</v>
      </c>
      <c r="K58" t="n">
        <v>0</v>
      </c>
      <c r="L58" t="n">
        <v>0</v>
      </c>
      <c r="M58" t="n">
        <v>0</v>
      </c>
      <c r="N58" t="n">
        <v>0</v>
      </c>
      <c r="O58" t="n">
        <v>0</v>
      </c>
      <c r="P58" t="n">
        <v>0</v>
      </c>
      <c r="Q58" t="n">
        <v>1</v>
      </c>
      <c r="R58" s="2" t="inlineStr">
        <is>
          <t>Plattlummer</t>
        </is>
      </c>
      <c r="S58">
        <f>HYPERLINK("https://klasma.github.io/Logging_2083/artfynd/A 28181-2025 artfynd.xlsx", "A 28181-2025")</f>
        <v/>
      </c>
      <c r="T58">
        <f>HYPERLINK("https://klasma.github.io/Logging_2083/kartor/A 28181-2025 karta.png", "A 28181-2025")</f>
        <v/>
      </c>
      <c r="V58">
        <f>HYPERLINK("https://klasma.github.io/Logging_2083/klagomål/A 28181-2025 FSC-klagomål.docx", "A 28181-2025")</f>
        <v/>
      </c>
      <c r="W58">
        <f>HYPERLINK("https://klasma.github.io/Logging_2083/klagomålsmail/A 28181-2025 FSC-klagomål mail.docx", "A 28181-2025")</f>
        <v/>
      </c>
      <c r="X58">
        <f>HYPERLINK("https://klasma.github.io/Logging_2083/tillsyn/A 28181-2025 tillsynsbegäran.docx", "A 28181-2025")</f>
        <v/>
      </c>
      <c r="Y58">
        <f>HYPERLINK("https://klasma.github.io/Logging_2083/tillsynsmail/A 28181-2025 tillsynsbegäran mail.docx", "A 28181-2025")</f>
        <v/>
      </c>
    </row>
    <row r="59" ht="15" customHeight="1">
      <c r="A59" t="inlineStr">
        <is>
          <t>A 60017-2024</t>
        </is>
      </c>
      <c r="B59" s="1" t="n">
        <v>45642</v>
      </c>
      <c r="C59" s="1" t="n">
        <v>46061</v>
      </c>
      <c r="D59" t="inlineStr">
        <is>
          <t>DALARNAS LÄN</t>
        </is>
      </c>
      <c r="E59" t="inlineStr">
        <is>
          <t>HEDEMORA</t>
        </is>
      </c>
      <c r="F59" t="inlineStr">
        <is>
          <t>Sveaskog</t>
        </is>
      </c>
      <c r="G59" t="n">
        <v>0.5</v>
      </c>
      <c r="H59" t="n">
        <v>1</v>
      </c>
      <c r="I59" t="n">
        <v>0</v>
      </c>
      <c r="J59" t="n">
        <v>0</v>
      </c>
      <c r="K59" t="n">
        <v>1</v>
      </c>
      <c r="L59" t="n">
        <v>0</v>
      </c>
      <c r="M59" t="n">
        <v>0</v>
      </c>
      <c r="N59" t="n">
        <v>0</v>
      </c>
      <c r="O59" t="n">
        <v>1</v>
      </c>
      <c r="P59" t="n">
        <v>1</v>
      </c>
      <c r="Q59" t="n">
        <v>1</v>
      </c>
      <c r="R59" s="2" t="inlineStr">
        <is>
          <t>Knärot</t>
        </is>
      </c>
      <c r="S59">
        <f>HYPERLINK("https://klasma.github.io/Logging_2083/artfynd/A 60017-2024 artfynd.xlsx", "A 60017-2024")</f>
        <v/>
      </c>
      <c r="T59">
        <f>HYPERLINK("https://klasma.github.io/Logging_2083/kartor/A 60017-2024 karta.png", "A 60017-2024")</f>
        <v/>
      </c>
      <c r="U59">
        <f>HYPERLINK("https://klasma.github.io/Logging_2083/knärot/A 60017-2024 karta knärot.png", "A 60017-2024")</f>
        <v/>
      </c>
      <c r="V59">
        <f>HYPERLINK("https://klasma.github.io/Logging_2083/klagomål/A 60017-2024 FSC-klagomål.docx", "A 60017-2024")</f>
        <v/>
      </c>
      <c r="W59">
        <f>HYPERLINK("https://klasma.github.io/Logging_2083/klagomålsmail/A 60017-2024 FSC-klagomål mail.docx", "A 60017-2024")</f>
        <v/>
      </c>
      <c r="X59">
        <f>HYPERLINK("https://klasma.github.io/Logging_2083/tillsyn/A 60017-2024 tillsynsbegäran.docx", "A 60017-2024")</f>
        <v/>
      </c>
      <c r="Y59">
        <f>HYPERLINK("https://klasma.github.io/Logging_2083/tillsynsmail/A 60017-2024 tillsynsbegäran mail.docx", "A 60017-2024")</f>
        <v/>
      </c>
    </row>
    <row r="60" ht="15" customHeight="1">
      <c r="A60" t="inlineStr">
        <is>
          <t>A 44598-2025</t>
        </is>
      </c>
      <c r="B60" s="1" t="n">
        <v>45917.43056712963</v>
      </c>
      <c r="C60" s="1" t="n">
        <v>46061</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46061</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48382-2025</t>
        </is>
      </c>
      <c r="B62" s="1" t="n">
        <v>45933.82043981482</v>
      </c>
      <c r="C62" s="1" t="n">
        <v>46061</v>
      </c>
      <c r="D62" t="inlineStr">
        <is>
          <t>DALARNAS LÄN</t>
        </is>
      </c>
      <c r="E62" t="inlineStr">
        <is>
          <t>HEDEMORA</t>
        </is>
      </c>
      <c r="F62" t="inlineStr">
        <is>
          <t>Sveaskog</t>
        </is>
      </c>
      <c r="G62" t="n">
        <v>1.9</v>
      </c>
      <c r="H62" t="n">
        <v>1</v>
      </c>
      <c r="I62" t="n">
        <v>0</v>
      </c>
      <c r="J62" t="n">
        <v>1</v>
      </c>
      <c r="K62" t="n">
        <v>0</v>
      </c>
      <c r="L62" t="n">
        <v>0</v>
      </c>
      <c r="M62" t="n">
        <v>0</v>
      </c>
      <c r="N62" t="n">
        <v>0</v>
      </c>
      <c r="O62" t="n">
        <v>1</v>
      </c>
      <c r="P62" t="n">
        <v>0</v>
      </c>
      <c r="Q62" t="n">
        <v>1</v>
      </c>
      <c r="R62" s="2" t="inlineStr">
        <is>
          <t>Svartvit flugsnappare</t>
        </is>
      </c>
      <c r="S62">
        <f>HYPERLINK("https://klasma.github.io/Logging_2083/artfynd/A 48382-2025 artfynd.xlsx", "A 48382-2025")</f>
        <v/>
      </c>
      <c r="T62">
        <f>HYPERLINK("https://klasma.github.io/Logging_2083/kartor/A 48382-2025 karta.png", "A 48382-2025")</f>
        <v/>
      </c>
      <c r="U62">
        <f>HYPERLINK("https://klasma.github.io/Logging_2083/knärot/A 48382-2025 karta knärot.png", "A 48382-2025")</f>
        <v/>
      </c>
      <c r="V62">
        <f>HYPERLINK("https://klasma.github.io/Logging_2083/klagomål/A 48382-2025 FSC-klagomål.docx", "A 48382-2025")</f>
        <v/>
      </c>
      <c r="W62">
        <f>HYPERLINK("https://klasma.github.io/Logging_2083/klagomålsmail/A 48382-2025 FSC-klagomål mail.docx", "A 48382-2025")</f>
        <v/>
      </c>
      <c r="X62">
        <f>HYPERLINK("https://klasma.github.io/Logging_2083/tillsyn/A 48382-2025 tillsynsbegäran.docx", "A 48382-2025")</f>
        <v/>
      </c>
      <c r="Y62">
        <f>HYPERLINK("https://klasma.github.io/Logging_2083/tillsynsmail/A 48382-2025 tillsynsbegäran mail.docx", "A 48382-2025")</f>
        <v/>
      </c>
      <c r="Z62">
        <f>HYPERLINK("https://klasma.github.io/Logging_2083/fåglar/A 48382-2025 prioriterade fågelarter.docx", "A 48382-2025")</f>
        <v/>
      </c>
    </row>
    <row r="63" ht="15" customHeight="1">
      <c r="A63" t="inlineStr">
        <is>
          <t>A 33968-2025</t>
        </is>
      </c>
      <c r="B63" s="1" t="n">
        <v>45842</v>
      </c>
      <c r="C63" s="1" t="n">
        <v>46061</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15058-2025</t>
        </is>
      </c>
      <c r="B64" s="1" t="n">
        <v>45743.70716435185</v>
      </c>
      <c r="C64" s="1" t="n">
        <v>46061</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19094-2025</t>
        </is>
      </c>
      <c r="B65" s="1" t="n">
        <v>45767.54942129629</v>
      </c>
      <c r="C65" s="1" t="n">
        <v>46061</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45291-2025</t>
        </is>
      </c>
      <c r="B66" s="1" t="n">
        <v>45920.3734837963</v>
      </c>
      <c r="C66" s="1" t="n">
        <v>46061</v>
      </c>
      <c r="D66" t="inlineStr">
        <is>
          <t>DALARNAS LÄN</t>
        </is>
      </c>
      <c r="E66" t="inlineStr">
        <is>
          <t>HEDEMORA</t>
        </is>
      </c>
      <c r="F66" t="inlineStr">
        <is>
          <t>Sveaskog</t>
        </is>
      </c>
      <c r="G66" t="n">
        <v>1.2</v>
      </c>
      <c r="H66" t="n">
        <v>1</v>
      </c>
      <c r="I66" t="n">
        <v>1</v>
      </c>
      <c r="J66" t="n">
        <v>0</v>
      </c>
      <c r="K66" t="n">
        <v>0</v>
      </c>
      <c r="L66" t="n">
        <v>0</v>
      </c>
      <c r="M66" t="n">
        <v>0</v>
      </c>
      <c r="N66" t="n">
        <v>0</v>
      </c>
      <c r="O66" t="n">
        <v>0</v>
      </c>
      <c r="P66" t="n">
        <v>0</v>
      </c>
      <c r="Q66" t="n">
        <v>1</v>
      </c>
      <c r="R66" s="2" t="inlineStr">
        <is>
          <t>Plattlummer</t>
        </is>
      </c>
      <c r="S66">
        <f>HYPERLINK("https://klasma.github.io/Logging_2083/artfynd/A 45291-2025 artfynd.xlsx", "A 45291-2025")</f>
        <v/>
      </c>
      <c r="T66">
        <f>HYPERLINK("https://klasma.github.io/Logging_2083/kartor/A 45291-2025 karta.png", "A 45291-2025")</f>
        <v/>
      </c>
      <c r="V66">
        <f>HYPERLINK("https://klasma.github.io/Logging_2083/klagomål/A 45291-2025 FSC-klagomål.docx", "A 45291-2025")</f>
        <v/>
      </c>
      <c r="W66">
        <f>HYPERLINK("https://klasma.github.io/Logging_2083/klagomålsmail/A 45291-2025 FSC-klagomål mail.docx", "A 45291-2025")</f>
        <v/>
      </c>
      <c r="X66">
        <f>HYPERLINK("https://klasma.github.io/Logging_2083/tillsyn/A 45291-2025 tillsynsbegäran.docx", "A 45291-2025")</f>
        <v/>
      </c>
      <c r="Y66">
        <f>HYPERLINK("https://klasma.github.io/Logging_2083/tillsynsmail/A 45291-2025 tillsynsbegäran mail.docx", "A 45291-2025")</f>
        <v/>
      </c>
    </row>
    <row r="67" ht="15" customHeight="1">
      <c r="A67" t="inlineStr">
        <is>
          <t>A 12905-2025</t>
        </is>
      </c>
      <c r="B67" s="1" t="n">
        <v>45733</v>
      </c>
      <c r="C67" s="1" t="n">
        <v>46061</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12905-2025 artfynd.xlsx", "A 12905-2025")</f>
        <v/>
      </c>
      <c r="T67">
        <f>HYPERLINK("https://klasma.github.io/Logging_2083/kartor/A 12905-2025 karta.png", "A 12905-2025")</f>
        <v/>
      </c>
      <c r="U67">
        <f>HYPERLINK("https://klasma.github.io/Logging_2083/knärot/A 12905-2025 karta knärot.png", "A 12905-2025")</f>
        <v/>
      </c>
      <c r="V67">
        <f>HYPERLINK("https://klasma.github.io/Logging_2083/klagomål/A 12905-2025 FSC-klagomål.docx", "A 12905-2025")</f>
        <v/>
      </c>
      <c r="W67">
        <f>HYPERLINK("https://klasma.github.io/Logging_2083/klagomålsmail/A 12905-2025 FSC-klagomål mail.docx", "A 12905-2025")</f>
        <v/>
      </c>
      <c r="X67">
        <f>HYPERLINK("https://klasma.github.io/Logging_2083/tillsyn/A 12905-2025 tillsynsbegäran.docx", "A 12905-2025")</f>
        <v/>
      </c>
      <c r="Y67">
        <f>HYPERLINK("https://klasma.github.io/Logging_2083/tillsynsmail/A 12905-2025 tillsynsbegäran mail.docx", "A 12905-2025")</f>
        <v/>
      </c>
    </row>
    <row r="68" ht="15" customHeight="1">
      <c r="A68" t="inlineStr">
        <is>
          <t>A 13986-2023</t>
        </is>
      </c>
      <c r="B68" s="1" t="n">
        <v>45008</v>
      </c>
      <c r="C68" s="1" t="n">
        <v>46061</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41333-2025</t>
        </is>
      </c>
      <c r="B69" s="1" t="n">
        <v>45899.35854166667</v>
      </c>
      <c r="C69" s="1" t="n">
        <v>46061</v>
      </c>
      <c r="D69" t="inlineStr">
        <is>
          <t>DALARNAS LÄN</t>
        </is>
      </c>
      <c r="E69" t="inlineStr">
        <is>
          <t>HEDEMORA</t>
        </is>
      </c>
      <c r="F69" t="inlineStr">
        <is>
          <t>Sveaskog</t>
        </is>
      </c>
      <c r="G69" t="n">
        <v>4.6</v>
      </c>
      <c r="H69" t="n">
        <v>1</v>
      </c>
      <c r="I69" t="n">
        <v>0</v>
      </c>
      <c r="J69" t="n">
        <v>0</v>
      </c>
      <c r="K69" t="n">
        <v>0</v>
      </c>
      <c r="L69" t="n">
        <v>0</v>
      </c>
      <c r="M69" t="n">
        <v>0</v>
      </c>
      <c r="N69" t="n">
        <v>0</v>
      </c>
      <c r="O69" t="n">
        <v>0</v>
      </c>
      <c r="P69" t="n">
        <v>0</v>
      </c>
      <c r="Q69" t="n">
        <v>1</v>
      </c>
      <c r="R69" s="2" t="inlineStr">
        <is>
          <t>Tjäder</t>
        </is>
      </c>
      <c r="S69">
        <f>HYPERLINK("https://klasma.github.io/Logging_2083/artfynd/A 41333-2025 artfynd.xlsx", "A 41333-2025")</f>
        <v/>
      </c>
      <c r="T69">
        <f>HYPERLINK("https://klasma.github.io/Logging_2083/kartor/A 41333-2025 karta.png", "A 41333-2025")</f>
        <v/>
      </c>
      <c r="V69">
        <f>HYPERLINK("https://klasma.github.io/Logging_2083/klagomål/A 41333-2025 FSC-klagomål.docx", "A 41333-2025")</f>
        <v/>
      </c>
      <c r="W69">
        <f>HYPERLINK("https://klasma.github.io/Logging_2083/klagomålsmail/A 41333-2025 FSC-klagomål mail.docx", "A 41333-2025")</f>
        <v/>
      </c>
      <c r="X69">
        <f>HYPERLINK("https://klasma.github.io/Logging_2083/tillsyn/A 41333-2025 tillsynsbegäran.docx", "A 41333-2025")</f>
        <v/>
      </c>
      <c r="Y69">
        <f>HYPERLINK("https://klasma.github.io/Logging_2083/tillsynsmail/A 41333-2025 tillsynsbegäran mail.docx", "A 41333-2025")</f>
        <v/>
      </c>
      <c r="Z69">
        <f>HYPERLINK("https://klasma.github.io/Logging_2083/fåglar/A 41333-2025 prioriterade fågelarter.docx", "A 41333-2025")</f>
        <v/>
      </c>
    </row>
    <row r="70" ht="15" customHeight="1">
      <c r="A70" t="inlineStr">
        <is>
          <t>A 41477-2023</t>
        </is>
      </c>
      <c r="B70" s="1" t="n">
        <v>45171</v>
      </c>
      <c r="C70" s="1" t="n">
        <v>46061</v>
      </c>
      <c r="D70" t="inlineStr">
        <is>
          <t>DALARNAS LÄN</t>
        </is>
      </c>
      <c r="E70" t="inlineStr">
        <is>
          <t>HEDEMORA</t>
        </is>
      </c>
      <c r="F70" t="inlineStr">
        <is>
          <t>Bergvik skog väst AB</t>
        </is>
      </c>
      <c r="G70" t="n">
        <v>9.1</v>
      </c>
      <c r="H70" t="n">
        <v>0</v>
      </c>
      <c r="I70" t="n">
        <v>1</v>
      </c>
      <c r="J70" t="n">
        <v>0</v>
      </c>
      <c r="K70" t="n">
        <v>0</v>
      </c>
      <c r="L70" t="n">
        <v>0</v>
      </c>
      <c r="M70" t="n">
        <v>0</v>
      </c>
      <c r="N70" t="n">
        <v>0</v>
      </c>
      <c r="O70" t="n">
        <v>0</v>
      </c>
      <c r="P70" t="n">
        <v>0</v>
      </c>
      <c r="Q70" t="n">
        <v>1</v>
      </c>
      <c r="R70" s="2" t="inlineStr">
        <is>
          <t>Ögonpyrola</t>
        </is>
      </c>
      <c r="S70">
        <f>HYPERLINK("https://klasma.github.io/Logging_2083/artfynd/A 41477-2023 artfynd.xlsx", "A 41477-2023")</f>
        <v/>
      </c>
      <c r="T70">
        <f>HYPERLINK("https://klasma.github.io/Logging_2083/kartor/A 41477-2023 karta.png", "A 41477-2023")</f>
        <v/>
      </c>
      <c r="V70">
        <f>HYPERLINK("https://klasma.github.io/Logging_2083/klagomål/A 41477-2023 FSC-klagomål.docx", "A 41477-2023")</f>
        <v/>
      </c>
      <c r="W70">
        <f>HYPERLINK("https://klasma.github.io/Logging_2083/klagomålsmail/A 41477-2023 FSC-klagomål mail.docx", "A 41477-2023")</f>
        <v/>
      </c>
      <c r="X70">
        <f>HYPERLINK("https://klasma.github.io/Logging_2083/tillsyn/A 41477-2023 tillsynsbegäran.docx", "A 41477-2023")</f>
        <v/>
      </c>
      <c r="Y70">
        <f>HYPERLINK("https://klasma.github.io/Logging_2083/tillsynsmail/A 41477-2023 tillsynsbegäran mail.docx", "A 41477-2023")</f>
        <v/>
      </c>
    </row>
    <row r="71" ht="15" customHeight="1">
      <c r="A71" t="inlineStr">
        <is>
          <t>A 51111-2021</t>
        </is>
      </c>
      <c r="B71" s="1" t="n">
        <v>44461</v>
      </c>
      <c r="C71" s="1" t="n">
        <v>46061</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2164-2026</t>
        </is>
      </c>
      <c r="B72" s="1" t="n">
        <v>46036.43939814815</v>
      </c>
      <c r="C72" s="1" t="n">
        <v>46061</v>
      </c>
      <c r="D72" t="inlineStr">
        <is>
          <t>DALARNAS LÄN</t>
        </is>
      </c>
      <c r="E72" t="inlineStr">
        <is>
          <t>HEDEMORA</t>
        </is>
      </c>
      <c r="F72" t="inlineStr">
        <is>
          <t>Kyrkan</t>
        </is>
      </c>
      <c r="G72" t="n">
        <v>4.9</v>
      </c>
      <c r="H72" t="n">
        <v>1</v>
      </c>
      <c r="I72" t="n">
        <v>0</v>
      </c>
      <c r="J72" t="n">
        <v>0</v>
      </c>
      <c r="K72" t="n">
        <v>1</v>
      </c>
      <c r="L72" t="n">
        <v>0</v>
      </c>
      <c r="M72" t="n">
        <v>0</v>
      </c>
      <c r="N72" t="n">
        <v>0</v>
      </c>
      <c r="O72" t="n">
        <v>1</v>
      </c>
      <c r="P72" t="n">
        <v>1</v>
      </c>
      <c r="Q72" t="n">
        <v>1</v>
      </c>
      <c r="R72" s="2" t="inlineStr">
        <is>
          <t>Knärot</t>
        </is>
      </c>
      <c r="S72">
        <f>HYPERLINK("https://klasma.github.io/Logging_2083/artfynd/A 2164-2026 artfynd.xlsx", "A 2164-2026")</f>
        <v/>
      </c>
      <c r="T72">
        <f>HYPERLINK("https://klasma.github.io/Logging_2083/kartor/A 2164-2026 karta.png", "A 2164-2026")</f>
        <v/>
      </c>
      <c r="U72">
        <f>HYPERLINK("https://klasma.github.io/Logging_2083/knärot/A 2164-2026 karta knärot.png", "A 2164-2026")</f>
        <v/>
      </c>
      <c r="V72">
        <f>HYPERLINK("https://klasma.github.io/Logging_2083/klagomål/A 2164-2026 FSC-klagomål.docx", "A 2164-2026")</f>
        <v/>
      </c>
      <c r="W72">
        <f>HYPERLINK("https://klasma.github.io/Logging_2083/klagomålsmail/A 2164-2026 FSC-klagomål mail.docx", "A 2164-2026")</f>
        <v/>
      </c>
      <c r="X72">
        <f>HYPERLINK("https://klasma.github.io/Logging_2083/tillsyn/A 2164-2026 tillsynsbegäran.docx", "A 2164-2026")</f>
        <v/>
      </c>
      <c r="Y72">
        <f>HYPERLINK("https://klasma.github.io/Logging_2083/tillsynsmail/A 2164-2026 tillsynsbegäran mail.docx", "A 2164-2026")</f>
        <v/>
      </c>
    </row>
    <row r="73" ht="15" customHeight="1">
      <c r="A73" t="inlineStr">
        <is>
          <t>A 1452-2026</t>
        </is>
      </c>
      <c r="B73" s="1" t="n">
        <v>46033</v>
      </c>
      <c r="C73" s="1" t="n">
        <v>46061</v>
      </c>
      <c r="D73" t="inlineStr">
        <is>
          <t>DALARNAS LÄN</t>
        </is>
      </c>
      <c r="E73" t="inlineStr">
        <is>
          <t>HEDEMORA</t>
        </is>
      </c>
      <c r="G73" t="n">
        <v>11.1</v>
      </c>
      <c r="H73" t="n">
        <v>1</v>
      </c>
      <c r="I73" t="n">
        <v>0</v>
      </c>
      <c r="J73" t="n">
        <v>1</v>
      </c>
      <c r="K73" t="n">
        <v>0</v>
      </c>
      <c r="L73" t="n">
        <v>0</v>
      </c>
      <c r="M73" t="n">
        <v>0</v>
      </c>
      <c r="N73" t="n">
        <v>0</v>
      </c>
      <c r="O73" t="n">
        <v>1</v>
      </c>
      <c r="P73" t="n">
        <v>0</v>
      </c>
      <c r="Q73" t="n">
        <v>1</v>
      </c>
      <c r="R73" s="2" t="inlineStr">
        <is>
          <t>Slaguggla</t>
        </is>
      </c>
      <c r="S73">
        <f>HYPERLINK("https://klasma.github.io/Logging_2083/artfynd/A 1452-2026 artfynd.xlsx", "A 1452-2026")</f>
        <v/>
      </c>
      <c r="T73">
        <f>HYPERLINK("https://klasma.github.io/Logging_2083/kartor/A 1452-2026 karta.png", "A 1452-2026")</f>
        <v/>
      </c>
      <c r="U73">
        <f>HYPERLINK("https://klasma.github.io/Logging_2083/knärot/A 1452-2026 karta knärot.png", "A 1452-2026")</f>
        <v/>
      </c>
      <c r="V73">
        <f>HYPERLINK("https://klasma.github.io/Logging_2083/klagomål/A 1452-2026 FSC-klagomål.docx", "A 1452-2026")</f>
        <v/>
      </c>
      <c r="W73">
        <f>HYPERLINK("https://klasma.github.io/Logging_2083/klagomålsmail/A 1452-2026 FSC-klagomål mail.docx", "A 1452-2026")</f>
        <v/>
      </c>
      <c r="X73">
        <f>HYPERLINK("https://klasma.github.io/Logging_2083/tillsyn/A 1452-2026 tillsynsbegäran.docx", "A 1452-2026")</f>
        <v/>
      </c>
      <c r="Y73">
        <f>HYPERLINK("https://klasma.github.io/Logging_2083/tillsynsmail/A 1452-2026 tillsynsbegäran mail.docx", "A 1452-2026")</f>
        <v/>
      </c>
      <c r="Z73">
        <f>HYPERLINK("https://klasma.github.io/Logging_2083/fåglar/A 1452-2026 prioriterade fågelarter.docx", "A 1452-2026")</f>
        <v/>
      </c>
    </row>
    <row r="74" ht="15" customHeight="1">
      <c r="A74" t="inlineStr">
        <is>
          <t>A 63542-2023</t>
        </is>
      </c>
      <c r="B74" s="1" t="n">
        <v>45275.32708333333</v>
      </c>
      <c r="C74" s="1" t="n">
        <v>46061</v>
      </c>
      <c r="D74" t="inlineStr">
        <is>
          <t>DALARNAS LÄN</t>
        </is>
      </c>
      <c r="E74" t="inlineStr">
        <is>
          <t>HEDEMORA</t>
        </is>
      </c>
      <c r="G74" t="n">
        <v>2.1</v>
      </c>
      <c r="H74" t="n">
        <v>1</v>
      </c>
      <c r="I74" t="n">
        <v>0</v>
      </c>
      <c r="J74" t="n">
        <v>1</v>
      </c>
      <c r="K74" t="n">
        <v>0</v>
      </c>
      <c r="L74" t="n">
        <v>0</v>
      </c>
      <c r="M74" t="n">
        <v>0</v>
      </c>
      <c r="N74" t="n">
        <v>0</v>
      </c>
      <c r="O74" t="n">
        <v>1</v>
      </c>
      <c r="P74" t="n">
        <v>0</v>
      </c>
      <c r="Q74" t="n">
        <v>1</v>
      </c>
      <c r="R74" s="2" t="inlineStr">
        <is>
          <t>Spillkråka</t>
        </is>
      </c>
      <c r="S74">
        <f>HYPERLINK("https://klasma.github.io/Logging_2083/artfynd/A 63542-2023 artfynd.xlsx", "A 63542-2023")</f>
        <v/>
      </c>
      <c r="T74">
        <f>HYPERLINK("https://klasma.github.io/Logging_2083/kartor/A 63542-2023 karta.png", "A 63542-2023")</f>
        <v/>
      </c>
      <c r="V74">
        <f>HYPERLINK("https://klasma.github.io/Logging_2083/klagomål/A 63542-2023 FSC-klagomål.docx", "A 63542-2023")</f>
        <v/>
      </c>
      <c r="W74">
        <f>HYPERLINK("https://klasma.github.io/Logging_2083/klagomålsmail/A 63542-2023 FSC-klagomål mail.docx", "A 63542-2023")</f>
        <v/>
      </c>
      <c r="X74">
        <f>HYPERLINK("https://klasma.github.io/Logging_2083/tillsyn/A 63542-2023 tillsynsbegäran.docx", "A 63542-2023")</f>
        <v/>
      </c>
      <c r="Y74">
        <f>HYPERLINK("https://klasma.github.io/Logging_2083/tillsynsmail/A 63542-2023 tillsynsbegäran mail.docx", "A 63542-2023")</f>
        <v/>
      </c>
      <c r="Z74">
        <f>HYPERLINK("https://klasma.github.io/Logging_2083/fåglar/A 63542-2023 prioriterade fågelarter.docx", "A 63542-2023")</f>
        <v/>
      </c>
    </row>
    <row r="75" ht="15" customHeight="1">
      <c r="A75" t="inlineStr">
        <is>
          <t>A 52941-2024</t>
        </is>
      </c>
      <c r="B75" s="1" t="n">
        <v>45610.80650462963</v>
      </c>
      <c r="C75" s="1" t="n">
        <v>46061</v>
      </c>
      <c r="D75" t="inlineStr">
        <is>
          <t>DALARNAS LÄN</t>
        </is>
      </c>
      <c r="E75" t="inlineStr">
        <is>
          <t>HEDEMORA</t>
        </is>
      </c>
      <c r="F75" t="inlineStr">
        <is>
          <t>Sveaskog</t>
        </is>
      </c>
      <c r="G75" t="n">
        <v>18.3</v>
      </c>
      <c r="H75" t="n">
        <v>1</v>
      </c>
      <c r="I75" t="n">
        <v>0</v>
      </c>
      <c r="J75" t="n">
        <v>0</v>
      </c>
      <c r="K75" t="n">
        <v>1</v>
      </c>
      <c r="L75" t="n">
        <v>0</v>
      </c>
      <c r="M75" t="n">
        <v>0</v>
      </c>
      <c r="N75" t="n">
        <v>0</v>
      </c>
      <c r="O75" t="n">
        <v>1</v>
      </c>
      <c r="P75" t="n">
        <v>1</v>
      </c>
      <c r="Q75" t="n">
        <v>1</v>
      </c>
      <c r="R75" s="2" t="inlineStr">
        <is>
          <t>Knärot</t>
        </is>
      </c>
      <c r="S75">
        <f>HYPERLINK("https://klasma.github.io/Logging_2083/artfynd/A 52941-2024 artfynd.xlsx", "A 52941-2024")</f>
        <v/>
      </c>
      <c r="T75">
        <f>HYPERLINK("https://klasma.github.io/Logging_2083/kartor/A 52941-2024 karta.png", "A 52941-2024")</f>
        <v/>
      </c>
      <c r="U75">
        <f>HYPERLINK("https://klasma.github.io/Logging_2083/knärot/A 52941-2024 karta knärot.png", "A 52941-2024")</f>
        <v/>
      </c>
      <c r="V75">
        <f>HYPERLINK("https://klasma.github.io/Logging_2083/klagomål/A 52941-2024 FSC-klagomål.docx", "A 52941-2024")</f>
        <v/>
      </c>
      <c r="W75">
        <f>HYPERLINK("https://klasma.github.io/Logging_2083/klagomålsmail/A 52941-2024 FSC-klagomål mail.docx", "A 52941-2024")</f>
        <v/>
      </c>
      <c r="X75">
        <f>HYPERLINK("https://klasma.github.io/Logging_2083/tillsyn/A 52941-2024 tillsynsbegäran.docx", "A 52941-2024")</f>
        <v/>
      </c>
      <c r="Y75">
        <f>HYPERLINK("https://klasma.github.io/Logging_2083/tillsynsmail/A 52941-2024 tillsynsbegäran mail.docx", "A 52941-2024")</f>
        <v/>
      </c>
    </row>
    <row r="76" ht="15" customHeight="1">
      <c r="A76" t="inlineStr">
        <is>
          <t>A 63851-2025</t>
        </is>
      </c>
      <c r="B76" s="1" t="n">
        <v>46020</v>
      </c>
      <c r="C76" s="1" t="n">
        <v>46061</v>
      </c>
      <c r="D76" t="inlineStr">
        <is>
          <t>DALARNAS LÄN</t>
        </is>
      </c>
      <c r="E76" t="inlineStr">
        <is>
          <t>HEDEMORA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HYPERLINK("https://klasma.github.io/Logging_2083/artfynd/A 63851-2025 artfynd.xlsx", "A 63851-2025")</f>
        <v/>
      </c>
      <c r="T76">
        <f>HYPERLINK("https://klasma.github.io/Logging_2083/kartor/A 63851-2025 karta.png", "A 63851-2025")</f>
        <v/>
      </c>
      <c r="U76">
        <f>HYPERLINK("https://klasma.github.io/Logging_2083/knärot/A 63851-2025 karta knärot.png", "A 63851-2025")</f>
        <v/>
      </c>
      <c r="V76">
        <f>HYPERLINK("https://klasma.github.io/Logging_2083/klagomål/A 63851-2025 FSC-klagomål.docx", "A 63851-2025")</f>
        <v/>
      </c>
      <c r="W76">
        <f>HYPERLINK("https://klasma.github.io/Logging_2083/klagomålsmail/A 63851-2025 FSC-klagomål mail.docx", "A 63851-2025")</f>
        <v/>
      </c>
      <c r="X76">
        <f>HYPERLINK("https://klasma.github.io/Logging_2083/tillsyn/A 63851-2025 tillsynsbegäran.docx", "A 63851-2025")</f>
        <v/>
      </c>
      <c r="Y76">
        <f>HYPERLINK("https://klasma.github.io/Logging_2083/tillsynsmail/A 63851-2025 tillsynsbegäran mail.docx", "A 63851-2025")</f>
        <v/>
      </c>
    </row>
    <row r="77" ht="15" customHeight="1">
      <c r="A77" t="inlineStr">
        <is>
          <t>A 63931-2025</t>
        </is>
      </c>
      <c r="B77" s="1" t="n">
        <v>46020</v>
      </c>
      <c r="C77" s="1" t="n">
        <v>46061</v>
      </c>
      <c r="D77" t="inlineStr">
        <is>
          <t>DALARNAS LÄN</t>
        </is>
      </c>
      <c r="E77" t="inlineStr">
        <is>
          <t>HEDEMORA</t>
        </is>
      </c>
      <c r="G77" t="n">
        <v>3.5</v>
      </c>
      <c r="H77" t="n">
        <v>1</v>
      </c>
      <c r="I77" t="n">
        <v>0</v>
      </c>
      <c r="J77" t="n">
        <v>0</v>
      </c>
      <c r="K77" t="n">
        <v>1</v>
      </c>
      <c r="L77" t="n">
        <v>0</v>
      </c>
      <c r="M77" t="n">
        <v>0</v>
      </c>
      <c r="N77" t="n">
        <v>0</v>
      </c>
      <c r="O77" t="n">
        <v>1</v>
      </c>
      <c r="P77" t="n">
        <v>1</v>
      </c>
      <c r="Q77" t="n">
        <v>1</v>
      </c>
      <c r="R77" s="2" t="inlineStr">
        <is>
          <t>Knärot</t>
        </is>
      </c>
      <c r="S77">
        <f>HYPERLINK("https://klasma.github.io/Logging_2083/artfynd/A 63931-2025 artfynd.xlsx", "A 63931-2025")</f>
        <v/>
      </c>
      <c r="T77">
        <f>HYPERLINK("https://klasma.github.io/Logging_2083/kartor/A 63931-2025 karta.png", "A 63931-2025")</f>
        <v/>
      </c>
      <c r="U77">
        <f>HYPERLINK("https://klasma.github.io/Logging_2083/knärot/A 63931-2025 karta knärot.png", "A 63931-2025")</f>
        <v/>
      </c>
      <c r="V77">
        <f>HYPERLINK("https://klasma.github.io/Logging_2083/klagomål/A 63931-2025 FSC-klagomål.docx", "A 63931-2025")</f>
        <v/>
      </c>
      <c r="W77">
        <f>HYPERLINK("https://klasma.github.io/Logging_2083/klagomålsmail/A 63931-2025 FSC-klagomål mail.docx", "A 63931-2025")</f>
        <v/>
      </c>
      <c r="X77">
        <f>HYPERLINK("https://klasma.github.io/Logging_2083/tillsyn/A 63931-2025 tillsynsbegäran.docx", "A 63931-2025")</f>
        <v/>
      </c>
      <c r="Y77">
        <f>HYPERLINK("https://klasma.github.io/Logging_2083/tillsynsmail/A 63931-2025 tillsynsbegäran mail.docx", "A 63931-2025")</f>
        <v/>
      </c>
    </row>
    <row r="78" ht="15" customHeight="1">
      <c r="A78" t="inlineStr">
        <is>
          <t>A 63899-2025</t>
        </is>
      </c>
      <c r="B78" s="1" t="n">
        <v>46020</v>
      </c>
      <c r="C78" s="1" t="n">
        <v>46061</v>
      </c>
      <c r="D78" t="inlineStr">
        <is>
          <t>DALARNAS LÄN</t>
        </is>
      </c>
      <c r="E78" t="inlineStr">
        <is>
          <t>HEDEMORA</t>
        </is>
      </c>
      <c r="G78" t="n">
        <v>6.5</v>
      </c>
      <c r="H78" t="n">
        <v>1</v>
      </c>
      <c r="I78" t="n">
        <v>0</v>
      </c>
      <c r="J78" t="n">
        <v>0</v>
      </c>
      <c r="K78" t="n">
        <v>1</v>
      </c>
      <c r="L78" t="n">
        <v>0</v>
      </c>
      <c r="M78" t="n">
        <v>0</v>
      </c>
      <c r="N78" t="n">
        <v>0</v>
      </c>
      <c r="O78" t="n">
        <v>1</v>
      </c>
      <c r="P78" t="n">
        <v>1</v>
      </c>
      <c r="Q78" t="n">
        <v>1</v>
      </c>
      <c r="R78" s="2" t="inlineStr">
        <is>
          <t>Knärot</t>
        </is>
      </c>
      <c r="S78">
        <f>HYPERLINK("https://klasma.github.io/Logging_2083/artfynd/A 63899-2025 artfynd.xlsx", "A 63899-2025")</f>
        <v/>
      </c>
      <c r="T78">
        <f>HYPERLINK("https://klasma.github.io/Logging_2083/kartor/A 63899-2025 karta.png", "A 63899-2025")</f>
        <v/>
      </c>
      <c r="U78">
        <f>HYPERLINK("https://klasma.github.io/Logging_2083/knärot/A 63899-2025 karta knärot.png", "A 63899-2025")</f>
        <v/>
      </c>
      <c r="V78">
        <f>HYPERLINK("https://klasma.github.io/Logging_2083/klagomål/A 63899-2025 FSC-klagomål.docx", "A 63899-2025")</f>
        <v/>
      </c>
      <c r="W78">
        <f>HYPERLINK("https://klasma.github.io/Logging_2083/klagomålsmail/A 63899-2025 FSC-klagomål mail.docx", "A 63899-2025")</f>
        <v/>
      </c>
      <c r="X78">
        <f>HYPERLINK("https://klasma.github.io/Logging_2083/tillsyn/A 63899-2025 tillsynsbegäran.docx", "A 63899-2025")</f>
        <v/>
      </c>
      <c r="Y78">
        <f>HYPERLINK("https://klasma.github.io/Logging_2083/tillsynsmail/A 63899-2025 tillsynsbegäran mail.docx", "A 63899-2025")</f>
        <v/>
      </c>
    </row>
    <row r="79" ht="15" customHeight="1">
      <c r="A79" t="inlineStr">
        <is>
          <t>A 53031-2023</t>
        </is>
      </c>
      <c r="B79" s="1" t="n">
        <v>45226</v>
      </c>
      <c r="C79" s="1" t="n">
        <v>46061</v>
      </c>
      <c r="D79" t="inlineStr">
        <is>
          <t>DALARNAS LÄN</t>
        </is>
      </c>
      <c r="E79" t="inlineStr">
        <is>
          <t>HEDEMORA</t>
        </is>
      </c>
      <c r="F79" t="inlineStr">
        <is>
          <t>Sveaskog</t>
        </is>
      </c>
      <c r="G79" t="n">
        <v>6.9</v>
      </c>
      <c r="H79" t="n">
        <v>1</v>
      </c>
      <c r="I79" t="n">
        <v>0</v>
      </c>
      <c r="J79" t="n">
        <v>1</v>
      </c>
      <c r="K79" t="n">
        <v>0</v>
      </c>
      <c r="L79" t="n">
        <v>0</v>
      </c>
      <c r="M79" t="n">
        <v>0</v>
      </c>
      <c r="N79" t="n">
        <v>0</v>
      </c>
      <c r="O79" t="n">
        <v>1</v>
      </c>
      <c r="P79" t="n">
        <v>0</v>
      </c>
      <c r="Q79" t="n">
        <v>1</v>
      </c>
      <c r="R79" s="2" t="inlineStr">
        <is>
          <t>Talltita</t>
        </is>
      </c>
      <c r="S79">
        <f>HYPERLINK("https://klasma.github.io/Logging_2083/artfynd/A 53031-2023 artfynd.xlsx", "A 53031-2023")</f>
        <v/>
      </c>
      <c r="T79">
        <f>HYPERLINK("https://klasma.github.io/Logging_2083/kartor/A 53031-2023 karta.png", "A 53031-2023")</f>
        <v/>
      </c>
      <c r="V79">
        <f>HYPERLINK("https://klasma.github.io/Logging_2083/klagomål/A 53031-2023 FSC-klagomål.docx", "A 53031-2023")</f>
        <v/>
      </c>
      <c r="W79">
        <f>HYPERLINK("https://klasma.github.io/Logging_2083/klagomålsmail/A 53031-2023 FSC-klagomål mail.docx", "A 53031-2023")</f>
        <v/>
      </c>
      <c r="X79">
        <f>HYPERLINK("https://klasma.github.io/Logging_2083/tillsyn/A 53031-2023 tillsynsbegäran.docx", "A 53031-2023")</f>
        <v/>
      </c>
      <c r="Y79">
        <f>HYPERLINK("https://klasma.github.io/Logging_2083/tillsynsmail/A 53031-2023 tillsynsbegäran mail.docx", "A 53031-2023")</f>
        <v/>
      </c>
      <c r="Z79">
        <f>HYPERLINK("https://klasma.github.io/Logging_2083/fåglar/A 53031-2023 prioriterade fågelarter.docx", "A 53031-2023")</f>
        <v/>
      </c>
    </row>
    <row r="80" ht="15" customHeight="1">
      <c r="A80" t="inlineStr">
        <is>
          <t>A 53924-2024</t>
        </is>
      </c>
      <c r="B80" s="1" t="n">
        <v>45615</v>
      </c>
      <c r="C80" s="1" t="n">
        <v>46061</v>
      </c>
      <c r="D80" t="inlineStr">
        <is>
          <t>DALARNAS LÄN</t>
        </is>
      </c>
      <c r="E80" t="inlineStr">
        <is>
          <t>HEDEMORA</t>
        </is>
      </c>
      <c r="F80" t="inlineStr">
        <is>
          <t>Sveaskog</t>
        </is>
      </c>
      <c r="G80" t="n">
        <v>3.8</v>
      </c>
      <c r="H80" t="n">
        <v>1</v>
      </c>
      <c r="I80" t="n">
        <v>1</v>
      </c>
      <c r="J80" t="n">
        <v>0</v>
      </c>
      <c r="K80" t="n">
        <v>0</v>
      </c>
      <c r="L80" t="n">
        <v>0</v>
      </c>
      <c r="M80" t="n">
        <v>0</v>
      </c>
      <c r="N80" t="n">
        <v>0</v>
      </c>
      <c r="O80" t="n">
        <v>0</v>
      </c>
      <c r="P80" t="n">
        <v>0</v>
      </c>
      <c r="Q80" t="n">
        <v>1</v>
      </c>
      <c r="R80" s="2" t="inlineStr">
        <is>
          <t>Plattlummer</t>
        </is>
      </c>
      <c r="S80">
        <f>HYPERLINK("https://klasma.github.io/Logging_2083/artfynd/A 53924-2024 artfynd.xlsx", "A 53924-2024")</f>
        <v/>
      </c>
      <c r="T80">
        <f>HYPERLINK("https://klasma.github.io/Logging_2083/kartor/A 53924-2024 karta.png", "A 53924-2024")</f>
        <v/>
      </c>
      <c r="V80">
        <f>HYPERLINK("https://klasma.github.io/Logging_2083/klagomål/A 53924-2024 FSC-klagomål.docx", "A 53924-2024")</f>
        <v/>
      </c>
      <c r="W80">
        <f>HYPERLINK("https://klasma.github.io/Logging_2083/klagomålsmail/A 53924-2024 FSC-klagomål mail.docx", "A 53924-2024")</f>
        <v/>
      </c>
      <c r="X80">
        <f>HYPERLINK("https://klasma.github.io/Logging_2083/tillsyn/A 53924-2024 tillsynsbegäran.docx", "A 53924-2024")</f>
        <v/>
      </c>
      <c r="Y80">
        <f>HYPERLINK("https://klasma.github.io/Logging_2083/tillsynsmail/A 53924-2024 tillsynsbegäran mail.docx", "A 53924-2024")</f>
        <v/>
      </c>
    </row>
    <row r="81" ht="15" customHeight="1">
      <c r="A81" t="inlineStr">
        <is>
          <t>A 17590-2025</t>
        </is>
      </c>
      <c r="B81" s="1" t="n">
        <v>45757.69396990741</v>
      </c>
      <c r="C81" s="1" t="n">
        <v>46061</v>
      </c>
      <c r="D81" t="inlineStr">
        <is>
          <t>DALARNAS LÄN</t>
        </is>
      </c>
      <c r="E81" t="inlineStr">
        <is>
          <t>HEDEMORA</t>
        </is>
      </c>
      <c r="G81" t="n">
        <v>0.6</v>
      </c>
      <c r="H81" t="n">
        <v>0</v>
      </c>
      <c r="I81" t="n">
        <v>0</v>
      </c>
      <c r="J81" t="n">
        <v>1</v>
      </c>
      <c r="K81" t="n">
        <v>0</v>
      </c>
      <c r="L81" t="n">
        <v>0</v>
      </c>
      <c r="M81" t="n">
        <v>0</v>
      </c>
      <c r="N81" t="n">
        <v>0</v>
      </c>
      <c r="O81" t="n">
        <v>1</v>
      </c>
      <c r="P81" t="n">
        <v>0</v>
      </c>
      <c r="Q81" t="n">
        <v>1</v>
      </c>
      <c r="R81" s="2" t="inlineStr">
        <is>
          <t>Garnlav</t>
        </is>
      </c>
      <c r="S81">
        <f>HYPERLINK("https://klasma.github.io/Logging_2083/artfynd/A 17590-2025 artfynd.xlsx", "A 17590-2025")</f>
        <v/>
      </c>
      <c r="T81">
        <f>HYPERLINK("https://klasma.github.io/Logging_2083/kartor/A 17590-2025 karta.png", "A 17590-2025")</f>
        <v/>
      </c>
      <c r="V81">
        <f>HYPERLINK("https://klasma.github.io/Logging_2083/klagomål/A 17590-2025 FSC-klagomål.docx", "A 17590-2025")</f>
        <v/>
      </c>
      <c r="W81">
        <f>HYPERLINK("https://klasma.github.io/Logging_2083/klagomålsmail/A 17590-2025 FSC-klagomål mail.docx", "A 17590-2025")</f>
        <v/>
      </c>
      <c r="X81">
        <f>HYPERLINK("https://klasma.github.io/Logging_2083/tillsyn/A 17590-2025 tillsynsbegäran.docx", "A 17590-2025")</f>
        <v/>
      </c>
      <c r="Y81">
        <f>HYPERLINK("https://klasma.github.io/Logging_2083/tillsynsmail/A 17590-2025 tillsynsbegäran mail.docx", "A 17590-2025")</f>
        <v/>
      </c>
    </row>
    <row r="82" ht="15" customHeight="1">
      <c r="A82" t="inlineStr">
        <is>
          <t>A 15125-2021</t>
        </is>
      </c>
      <c r="B82" s="1" t="n">
        <v>44283</v>
      </c>
      <c r="C82" s="1" t="n">
        <v>46061</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46061</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46061</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46061</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46061</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46061</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46061</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46061</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46061</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46061</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15290-2021</t>
        </is>
      </c>
      <c r="B92" s="1" t="n">
        <v>44284.59565972222</v>
      </c>
      <c r="C92" s="1" t="n">
        <v>46061</v>
      </c>
      <c r="D92" t="inlineStr">
        <is>
          <t>DALARNAS LÄN</t>
        </is>
      </c>
      <c r="E92" t="inlineStr">
        <is>
          <t>HEDEMORA</t>
        </is>
      </c>
      <c r="G92" t="n">
        <v>0.7</v>
      </c>
      <c r="H92" t="n">
        <v>0</v>
      </c>
      <c r="I92" t="n">
        <v>0</v>
      </c>
      <c r="J92" t="n">
        <v>0</v>
      </c>
      <c r="K92" t="n">
        <v>0</v>
      </c>
      <c r="L92" t="n">
        <v>0</v>
      </c>
      <c r="M92" t="n">
        <v>0</v>
      </c>
      <c r="N92" t="n">
        <v>0</v>
      </c>
      <c r="O92" t="n">
        <v>0</v>
      </c>
      <c r="P92" t="n">
        <v>0</v>
      </c>
      <c r="Q92" t="n">
        <v>0</v>
      </c>
      <c r="R92" s="2" t="inlineStr"/>
    </row>
    <row r="93" ht="15" customHeight="1">
      <c r="A93" t="inlineStr">
        <is>
          <t>A 35806-2022</t>
        </is>
      </c>
      <c r="B93" s="1" t="n">
        <v>44802</v>
      </c>
      <c r="C93" s="1" t="n">
        <v>46061</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51167-2022</t>
        </is>
      </c>
      <c r="B94" s="1" t="n">
        <v>44868.54824074074</v>
      </c>
      <c r="C94" s="1" t="n">
        <v>46061</v>
      </c>
      <c r="D94" t="inlineStr">
        <is>
          <t>DALARNAS LÄN</t>
        </is>
      </c>
      <c r="E94" t="inlineStr">
        <is>
          <t>HEDEMORA</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68457-2021</t>
        </is>
      </c>
      <c r="B95" s="1" t="n">
        <v>44529</v>
      </c>
      <c r="C95" s="1" t="n">
        <v>46061</v>
      </c>
      <c r="D95" t="inlineStr">
        <is>
          <t>DALARNAS LÄN</t>
        </is>
      </c>
      <c r="E95" t="inlineStr">
        <is>
          <t>HEDEMORA</t>
        </is>
      </c>
      <c r="G95" t="n">
        <v>1.9</v>
      </c>
      <c r="H95" t="n">
        <v>0</v>
      </c>
      <c r="I95" t="n">
        <v>0</v>
      </c>
      <c r="J95" t="n">
        <v>0</v>
      </c>
      <c r="K95" t="n">
        <v>0</v>
      </c>
      <c r="L95" t="n">
        <v>0</v>
      </c>
      <c r="M95" t="n">
        <v>0</v>
      </c>
      <c r="N95" t="n">
        <v>0</v>
      </c>
      <c r="O95" t="n">
        <v>0</v>
      </c>
      <c r="P95" t="n">
        <v>0</v>
      </c>
      <c r="Q95" t="n">
        <v>0</v>
      </c>
      <c r="R95" s="2" t="inlineStr"/>
    </row>
    <row r="96" ht="15" customHeight="1">
      <c r="A96" t="inlineStr">
        <is>
          <t>A 20177-2022</t>
        </is>
      </c>
      <c r="B96" s="1" t="n">
        <v>44698.52960648148</v>
      </c>
      <c r="C96" s="1" t="n">
        <v>46061</v>
      </c>
      <c r="D96" t="inlineStr">
        <is>
          <t>DALARNAS LÄN</t>
        </is>
      </c>
      <c r="E96" t="inlineStr">
        <is>
          <t>HEDEMORA</t>
        </is>
      </c>
      <c r="G96" t="n">
        <v>3.9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46061</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46061</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46061</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46061</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46061</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46061</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53443-2021</t>
        </is>
      </c>
      <c r="B103" s="1" t="n">
        <v>44468</v>
      </c>
      <c r="C103" s="1" t="n">
        <v>46061</v>
      </c>
      <c r="D103" t="inlineStr">
        <is>
          <t>DALARNAS LÄN</t>
        </is>
      </c>
      <c r="E103" t="inlineStr">
        <is>
          <t>HEDEMORA</t>
        </is>
      </c>
      <c r="F103" t="inlineStr">
        <is>
          <t>Övriga Aktiebolag</t>
        </is>
      </c>
      <c r="G103" t="n">
        <v>1.4</v>
      </c>
      <c r="H103" t="n">
        <v>0</v>
      </c>
      <c r="I103" t="n">
        <v>0</v>
      </c>
      <c r="J103" t="n">
        <v>0</v>
      </c>
      <c r="K103" t="n">
        <v>0</v>
      </c>
      <c r="L103" t="n">
        <v>0</v>
      </c>
      <c r="M103" t="n">
        <v>0</v>
      </c>
      <c r="N103" t="n">
        <v>0</v>
      </c>
      <c r="O103" t="n">
        <v>0</v>
      </c>
      <c r="P103" t="n">
        <v>0</v>
      </c>
      <c r="Q103" t="n">
        <v>0</v>
      </c>
      <c r="R103" s="2" t="inlineStr"/>
    </row>
    <row r="104" ht="15" customHeight="1">
      <c r="A104" t="inlineStr">
        <is>
          <t>A 52511-2021</t>
        </is>
      </c>
      <c r="B104" s="1" t="n">
        <v>44466.44400462963</v>
      </c>
      <c r="C104" s="1" t="n">
        <v>46061</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46061</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46061</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46061</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46061</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46061</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46061</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46061</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46061</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46061</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46061</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46061</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46061</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46061</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46061</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46061</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60418-2021</t>
        </is>
      </c>
      <c r="B120" s="1" t="n">
        <v>44495</v>
      </c>
      <c r="C120" s="1" t="n">
        <v>46061</v>
      </c>
      <c r="D120" t="inlineStr">
        <is>
          <t>DALARNAS LÄN</t>
        </is>
      </c>
      <c r="E120" t="inlineStr">
        <is>
          <t>HEDEMORA</t>
        </is>
      </c>
      <c r="G120" t="n">
        <v>0.7</v>
      </c>
      <c r="H120" t="n">
        <v>0</v>
      </c>
      <c r="I120" t="n">
        <v>0</v>
      </c>
      <c r="J120" t="n">
        <v>0</v>
      </c>
      <c r="K120" t="n">
        <v>0</v>
      </c>
      <c r="L120" t="n">
        <v>0</v>
      </c>
      <c r="M120" t="n">
        <v>0</v>
      </c>
      <c r="N120" t="n">
        <v>0</v>
      </c>
      <c r="O120" t="n">
        <v>0</v>
      </c>
      <c r="P120" t="n">
        <v>0</v>
      </c>
      <c r="Q120" t="n">
        <v>0</v>
      </c>
      <c r="R120" s="2" t="inlineStr"/>
    </row>
    <row r="121" ht="15" customHeight="1">
      <c r="A121" t="inlineStr">
        <is>
          <t>A 40938-2021</t>
        </is>
      </c>
      <c r="B121" s="1" t="n">
        <v>44421.53498842593</v>
      </c>
      <c r="C121" s="1" t="n">
        <v>46061</v>
      </c>
      <c r="D121" t="inlineStr">
        <is>
          <t>DALARNAS LÄN</t>
        </is>
      </c>
      <c r="E121" t="inlineStr">
        <is>
          <t>HEDEMORA</t>
        </is>
      </c>
      <c r="G121" t="n">
        <v>1</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46061</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2996-2023</t>
        </is>
      </c>
      <c r="B123" s="1" t="n">
        <v>44945</v>
      </c>
      <c r="C123" s="1" t="n">
        <v>46061</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41435-2023</t>
        </is>
      </c>
      <c r="B124" s="1" t="n">
        <v>45170</v>
      </c>
      <c r="C124" s="1" t="n">
        <v>46061</v>
      </c>
      <c r="D124" t="inlineStr">
        <is>
          <t>DALARNAS LÄN</t>
        </is>
      </c>
      <c r="E124" t="inlineStr">
        <is>
          <t>HEDEMORA</t>
        </is>
      </c>
      <c r="G124" t="n">
        <v>2.9</v>
      </c>
      <c r="H124" t="n">
        <v>0</v>
      </c>
      <c r="I124" t="n">
        <v>0</v>
      </c>
      <c r="J124" t="n">
        <v>0</v>
      </c>
      <c r="K124" t="n">
        <v>0</v>
      </c>
      <c r="L124" t="n">
        <v>0</v>
      </c>
      <c r="M124" t="n">
        <v>0</v>
      </c>
      <c r="N124" t="n">
        <v>0</v>
      </c>
      <c r="O124" t="n">
        <v>0</v>
      </c>
      <c r="P124" t="n">
        <v>0</v>
      </c>
      <c r="Q124" t="n">
        <v>0</v>
      </c>
      <c r="R124" s="2" t="inlineStr"/>
    </row>
    <row r="125" ht="15" customHeight="1">
      <c r="A125" t="inlineStr">
        <is>
          <t>A 49904-2021</t>
        </is>
      </c>
      <c r="B125" s="1" t="n">
        <v>44455.77041666667</v>
      </c>
      <c r="C125" s="1" t="n">
        <v>46061</v>
      </c>
      <c r="D125" t="inlineStr">
        <is>
          <t>DALARNAS LÄN</t>
        </is>
      </c>
      <c r="E125" t="inlineStr">
        <is>
          <t>HEDEMORA</t>
        </is>
      </c>
      <c r="F125" t="inlineStr">
        <is>
          <t>Sveaskog</t>
        </is>
      </c>
      <c r="G125" t="n">
        <v>7.1</v>
      </c>
      <c r="H125" t="n">
        <v>0</v>
      </c>
      <c r="I125" t="n">
        <v>0</v>
      </c>
      <c r="J125" t="n">
        <v>0</v>
      </c>
      <c r="K125" t="n">
        <v>0</v>
      </c>
      <c r="L125" t="n">
        <v>0</v>
      </c>
      <c r="M125" t="n">
        <v>0</v>
      </c>
      <c r="N125" t="n">
        <v>0</v>
      </c>
      <c r="O125" t="n">
        <v>0</v>
      </c>
      <c r="P125" t="n">
        <v>0</v>
      </c>
      <c r="Q125" t="n">
        <v>0</v>
      </c>
      <c r="R125" s="2" t="inlineStr"/>
    </row>
    <row r="126" ht="15" customHeight="1">
      <c r="A126" t="inlineStr">
        <is>
          <t>A 24486-2024</t>
        </is>
      </c>
      <c r="B126" s="1" t="n">
        <v>45459.62336805555</v>
      </c>
      <c r="C126" s="1" t="n">
        <v>46061</v>
      </c>
      <c r="D126" t="inlineStr">
        <is>
          <t>DALARNAS LÄN</t>
        </is>
      </c>
      <c r="E126" t="inlineStr">
        <is>
          <t>HEDEMORA</t>
        </is>
      </c>
      <c r="G126" t="n">
        <v>0.3</v>
      </c>
      <c r="H126" t="n">
        <v>0</v>
      </c>
      <c r="I126" t="n">
        <v>0</v>
      </c>
      <c r="J126" t="n">
        <v>0</v>
      </c>
      <c r="K126" t="n">
        <v>0</v>
      </c>
      <c r="L126" t="n">
        <v>0</v>
      </c>
      <c r="M126" t="n">
        <v>0</v>
      </c>
      <c r="N126" t="n">
        <v>0</v>
      </c>
      <c r="O126" t="n">
        <v>0</v>
      </c>
      <c r="P126" t="n">
        <v>0</v>
      </c>
      <c r="Q126" t="n">
        <v>0</v>
      </c>
      <c r="R126" s="2" t="inlineStr"/>
    </row>
    <row r="127" ht="15" customHeight="1">
      <c r="A127" t="inlineStr">
        <is>
          <t>A 11046-2022</t>
        </is>
      </c>
      <c r="B127" s="1" t="n">
        <v>44628</v>
      </c>
      <c r="C127" s="1" t="n">
        <v>46061</v>
      </c>
      <c r="D127" t="inlineStr">
        <is>
          <t>DALARNAS LÄN</t>
        </is>
      </c>
      <c r="E127" t="inlineStr">
        <is>
          <t>HEDEMORA</t>
        </is>
      </c>
      <c r="F127" t="inlineStr">
        <is>
          <t>Bergvik skog väst AB</t>
        </is>
      </c>
      <c r="G127" t="n">
        <v>1</v>
      </c>
      <c r="H127" t="n">
        <v>0</v>
      </c>
      <c r="I127" t="n">
        <v>0</v>
      </c>
      <c r="J127" t="n">
        <v>0</v>
      </c>
      <c r="K127" t="n">
        <v>0</v>
      </c>
      <c r="L127" t="n">
        <v>0</v>
      </c>
      <c r="M127" t="n">
        <v>0</v>
      </c>
      <c r="N127" t="n">
        <v>0</v>
      </c>
      <c r="O127" t="n">
        <v>0</v>
      </c>
      <c r="P127" t="n">
        <v>0</v>
      </c>
      <c r="Q127" t="n">
        <v>0</v>
      </c>
      <c r="R127" s="2" t="inlineStr"/>
    </row>
    <row r="128" ht="15" customHeight="1">
      <c r="A128" t="inlineStr">
        <is>
          <t>A 15863-2023</t>
        </is>
      </c>
      <c r="B128" s="1" t="n">
        <v>45022</v>
      </c>
      <c r="C128" s="1" t="n">
        <v>46061</v>
      </c>
      <c r="D128" t="inlineStr">
        <is>
          <t>DALARNAS LÄN</t>
        </is>
      </c>
      <c r="E128" t="inlineStr">
        <is>
          <t>HEDEMORA</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44438.71809027778</v>
      </c>
      <c r="C129" s="1" t="n">
        <v>46061</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44900.53383101852</v>
      </c>
      <c r="C130" s="1" t="n">
        <v>46061</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41642-2023</t>
        </is>
      </c>
      <c r="B131" s="1" t="n">
        <v>45175</v>
      </c>
      <c r="C131" s="1" t="n">
        <v>46061</v>
      </c>
      <c r="D131" t="inlineStr">
        <is>
          <t>DALARNAS LÄN</t>
        </is>
      </c>
      <c r="E131" t="inlineStr">
        <is>
          <t>HEDEMORA</t>
        </is>
      </c>
      <c r="G131" t="n">
        <v>2.8</v>
      </c>
      <c r="H131" t="n">
        <v>0</v>
      </c>
      <c r="I131" t="n">
        <v>0</v>
      </c>
      <c r="J131" t="n">
        <v>0</v>
      </c>
      <c r="K131" t="n">
        <v>0</v>
      </c>
      <c r="L131" t="n">
        <v>0</v>
      </c>
      <c r="M131" t="n">
        <v>0</v>
      </c>
      <c r="N131" t="n">
        <v>0</v>
      </c>
      <c r="O131" t="n">
        <v>0</v>
      </c>
      <c r="P131" t="n">
        <v>0</v>
      </c>
      <c r="Q131" t="n">
        <v>0</v>
      </c>
      <c r="R131" s="2" t="inlineStr"/>
    </row>
    <row r="132" ht="15" customHeight="1">
      <c r="A132" t="inlineStr">
        <is>
          <t>A 69624-2021</t>
        </is>
      </c>
      <c r="B132" s="1" t="n">
        <v>44532.41442129629</v>
      </c>
      <c r="C132" s="1" t="n">
        <v>46061</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30572-2021</t>
        </is>
      </c>
      <c r="B133" s="1" t="n">
        <v>44364.83369212963</v>
      </c>
      <c r="C133" s="1" t="n">
        <v>46061</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29591-2024</t>
        </is>
      </c>
      <c r="B134" s="1" t="n">
        <v>45484.58222222222</v>
      </c>
      <c r="C134" s="1" t="n">
        <v>46061</v>
      </c>
      <c r="D134" t="inlineStr">
        <is>
          <t>DALARNAS LÄN</t>
        </is>
      </c>
      <c r="E134" t="inlineStr">
        <is>
          <t>HEDEMORA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37761-2024</t>
        </is>
      </c>
      <c r="B135" s="1" t="n">
        <v>45541.78678240741</v>
      </c>
      <c r="C135" s="1" t="n">
        <v>46061</v>
      </c>
      <c r="D135" t="inlineStr">
        <is>
          <t>DALARNAS LÄN</t>
        </is>
      </c>
      <c r="E135" t="inlineStr">
        <is>
          <t>HEDEMORA</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23934-2023</t>
        </is>
      </c>
      <c r="B136" s="1" t="n">
        <v>45078.59590277778</v>
      </c>
      <c r="C136" s="1" t="n">
        <v>46061</v>
      </c>
      <c r="D136" t="inlineStr">
        <is>
          <t>DALARNAS LÄN</t>
        </is>
      </c>
      <c r="E136" t="inlineStr">
        <is>
          <t>HEDEMORA</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61883-2022</t>
        </is>
      </c>
      <c r="B137" s="1" t="n">
        <v>44917.67262731482</v>
      </c>
      <c r="C137" s="1" t="n">
        <v>46061</v>
      </c>
      <c r="D137" t="inlineStr">
        <is>
          <t>DALARNAS LÄN</t>
        </is>
      </c>
      <c r="E137" t="inlineStr">
        <is>
          <t>HEDEMORA</t>
        </is>
      </c>
      <c r="G137" t="n">
        <v>2.3</v>
      </c>
      <c r="H137" t="n">
        <v>0</v>
      </c>
      <c r="I137" t="n">
        <v>0</v>
      </c>
      <c r="J137" t="n">
        <v>0</v>
      </c>
      <c r="K137" t="n">
        <v>0</v>
      </c>
      <c r="L137" t="n">
        <v>0</v>
      </c>
      <c r="M137" t="n">
        <v>0</v>
      </c>
      <c r="N137" t="n">
        <v>0</v>
      </c>
      <c r="O137" t="n">
        <v>0</v>
      </c>
      <c r="P137" t="n">
        <v>0</v>
      </c>
      <c r="Q137" t="n">
        <v>0</v>
      </c>
      <c r="R137" s="2" t="inlineStr"/>
    </row>
    <row r="138" ht="15" customHeight="1">
      <c r="A138" t="inlineStr">
        <is>
          <t>A 6881-2024</t>
        </is>
      </c>
      <c r="B138" s="1" t="n">
        <v>45342.8779050926</v>
      </c>
      <c r="C138" s="1" t="n">
        <v>46061</v>
      </c>
      <c r="D138" t="inlineStr">
        <is>
          <t>DALARNAS LÄN</t>
        </is>
      </c>
      <c r="E138" t="inlineStr">
        <is>
          <t>HEDEMORA</t>
        </is>
      </c>
      <c r="G138" t="n">
        <v>2.5</v>
      </c>
      <c r="H138" t="n">
        <v>0</v>
      </c>
      <c r="I138" t="n">
        <v>0</v>
      </c>
      <c r="J138" t="n">
        <v>0</v>
      </c>
      <c r="K138" t="n">
        <v>0</v>
      </c>
      <c r="L138" t="n">
        <v>0</v>
      </c>
      <c r="M138" t="n">
        <v>0</v>
      </c>
      <c r="N138" t="n">
        <v>0</v>
      </c>
      <c r="O138" t="n">
        <v>0</v>
      </c>
      <c r="P138" t="n">
        <v>0</v>
      </c>
      <c r="Q138" t="n">
        <v>0</v>
      </c>
      <c r="R138" s="2" t="inlineStr"/>
    </row>
    <row r="139" ht="15" customHeight="1">
      <c r="A139" t="inlineStr">
        <is>
          <t>A 40801-2024</t>
        </is>
      </c>
      <c r="B139" s="1" t="n">
        <v>45558.52905092593</v>
      </c>
      <c r="C139" s="1" t="n">
        <v>46061</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5010-2023</t>
        </is>
      </c>
      <c r="B140" s="1" t="n">
        <v>44956</v>
      </c>
      <c r="C140" s="1" t="n">
        <v>46061</v>
      </c>
      <c r="D140" t="inlineStr">
        <is>
          <t>DALARNAS LÄN</t>
        </is>
      </c>
      <c r="E140" t="inlineStr">
        <is>
          <t>HEDEMORA</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36900-2022</t>
        </is>
      </c>
      <c r="B141" s="1" t="n">
        <v>44805.71435185185</v>
      </c>
      <c r="C141" s="1" t="n">
        <v>46061</v>
      </c>
      <c r="D141" t="inlineStr">
        <is>
          <t>DALARNAS LÄN</t>
        </is>
      </c>
      <c r="E141" t="inlineStr">
        <is>
          <t>HEDEMORA</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25021-2025</t>
        </is>
      </c>
      <c r="B142" s="1" t="n">
        <v>45799.64574074074</v>
      </c>
      <c r="C142" s="1" t="n">
        <v>46061</v>
      </c>
      <c r="D142" t="inlineStr">
        <is>
          <t>DALARNAS LÄN</t>
        </is>
      </c>
      <c r="E142" t="inlineStr">
        <is>
          <t>HEDEMORA</t>
        </is>
      </c>
      <c r="G142" t="n">
        <v>0.7</v>
      </c>
      <c r="H142" t="n">
        <v>0</v>
      </c>
      <c r="I142" t="n">
        <v>0</v>
      </c>
      <c r="J142" t="n">
        <v>0</v>
      </c>
      <c r="K142" t="n">
        <v>0</v>
      </c>
      <c r="L142" t="n">
        <v>0</v>
      </c>
      <c r="M142" t="n">
        <v>0</v>
      </c>
      <c r="N142" t="n">
        <v>0</v>
      </c>
      <c r="O142" t="n">
        <v>0</v>
      </c>
      <c r="P142" t="n">
        <v>0</v>
      </c>
      <c r="Q142" t="n">
        <v>0</v>
      </c>
      <c r="R142" s="2" t="inlineStr"/>
    </row>
    <row r="143" ht="15" customHeight="1">
      <c r="A143" t="inlineStr">
        <is>
          <t>A 19397-2024</t>
        </is>
      </c>
      <c r="B143" s="1" t="n">
        <v>45429.38474537037</v>
      </c>
      <c r="C143" s="1" t="n">
        <v>46061</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34185-2025</t>
        </is>
      </c>
      <c r="B144" s="1" t="n">
        <v>45845</v>
      </c>
      <c r="C144" s="1" t="n">
        <v>46061</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26204-2025</t>
        </is>
      </c>
      <c r="B145" s="1" t="n">
        <v>45805.51065972223</v>
      </c>
      <c r="C145" s="1" t="n">
        <v>46061</v>
      </c>
      <c r="D145" t="inlineStr">
        <is>
          <t>DALARNAS LÄN</t>
        </is>
      </c>
      <c r="E145" t="inlineStr">
        <is>
          <t>HEDEMORA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14968-2025</t>
        </is>
      </c>
      <c r="B146" s="1" t="n">
        <v>45743.59052083334</v>
      </c>
      <c r="C146" s="1" t="n">
        <v>46061</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22270-2023</t>
        </is>
      </c>
      <c r="B147" s="1" t="n">
        <v>45070.39284722223</v>
      </c>
      <c r="C147" s="1" t="n">
        <v>46061</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43621-2024</t>
        </is>
      </c>
      <c r="B148" s="1" t="n">
        <v>45569.48200231481</v>
      </c>
      <c r="C148" s="1" t="n">
        <v>46061</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39390-2025</t>
        </is>
      </c>
      <c r="B149" s="1" t="n">
        <v>45889.6240625</v>
      </c>
      <c r="C149" s="1" t="n">
        <v>46061</v>
      </c>
      <c r="D149" t="inlineStr">
        <is>
          <t>DALARNAS LÄN</t>
        </is>
      </c>
      <c r="E149" t="inlineStr">
        <is>
          <t>HEDEMORA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6972-2025</t>
        </is>
      </c>
      <c r="B150" s="1" t="n">
        <v>45701.53790509259</v>
      </c>
      <c r="C150" s="1" t="n">
        <v>46061</v>
      </c>
      <c r="D150" t="inlineStr">
        <is>
          <t>DALARNAS LÄN</t>
        </is>
      </c>
      <c r="E150" t="inlineStr">
        <is>
          <t>HEDEMORA</t>
        </is>
      </c>
      <c r="G150" t="n">
        <v>4.9</v>
      </c>
      <c r="H150" t="n">
        <v>0</v>
      </c>
      <c r="I150" t="n">
        <v>0</v>
      </c>
      <c r="J150" t="n">
        <v>0</v>
      </c>
      <c r="K150" t="n">
        <v>0</v>
      </c>
      <c r="L150" t="n">
        <v>0</v>
      </c>
      <c r="M150" t="n">
        <v>0</v>
      </c>
      <c r="N150" t="n">
        <v>0</v>
      </c>
      <c r="O150" t="n">
        <v>0</v>
      </c>
      <c r="P150" t="n">
        <v>0</v>
      </c>
      <c r="Q150" t="n">
        <v>0</v>
      </c>
      <c r="R150" s="2" t="inlineStr"/>
    </row>
    <row r="151" ht="15" customHeight="1">
      <c r="A151" t="inlineStr">
        <is>
          <t>A 16413-2024</t>
        </is>
      </c>
      <c r="B151" s="1" t="n">
        <v>45407.64223379629</v>
      </c>
      <c r="C151" s="1" t="n">
        <v>46061</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26705-2025</t>
        </is>
      </c>
      <c r="B152" s="1" t="n">
        <v>45810.45325231482</v>
      </c>
      <c r="C152" s="1" t="n">
        <v>46061</v>
      </c>
      <c r="D152" t="inlineStr">
        <is>
          <t>DALARNAS LÄN</t>
        </is>
      </c>
      <c r="E152" t="inlineStr">
        <is>
          <t>HEDEMORA</t>
        </is>
      </c>
      <c r="G152" t="n">
        <v>1.9</v>
      </c>
      <c r="H152" t="n">
        <v>0</v>
      </c>
      <c r="I152" t="n">
        <v>0</v>
      </c>
      <c r="J152" t="n">
        <v>0</v>
      </c>
      <c r="K152" t="n">
        <v>0</v>
      </c>
      <c r="L152" t="n">
        <v>0</v>
      </c>
      <c r="M152" t="n">
        <v>0</v>
      </c>
      <c r="N152" t="n">
        <v>0</v>
      </c>
      <c r="O152" t="n">
        <v>0</v>
      </c>
      <c r="P152" t="n">
        <v>0</v>
      </c>
      <c r="Q152" t="n">
        <v>0</v>
      </c>
      <c r="R152" s="2" t="inlineStr"/>
    </row>
    <row r="153" ht="15" customHeight="1">
      <c r="A153" t="inlineStr">
        <is>
          <t>A 39393-2025</t>
        </is>
      </c>
      <c r="B153" s="1" t="n">
        <v>45889.62287037037</v>
      </c>
      <c r="C153" s="1" t="n">
        <v>46061</v>
      </c>
      <c r="D153" t="inlineStr">
        <is>
          <t>DALARNAS LÄN</t>
        </is>
      </c>
      <c r="E153" t="inlineStr">
        <is>
          <t>HEDEMORA</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40419-2025</t>
        </is>
      </c>
      <c r="B154" s="1" t="n">
        <v>45895.57958333333</v>
      </c>
      <c r="C154" s="1" t="n">
        <v>46061</v>
      </c>
      <c r="D154" t="inlineStr">
        <is>
          <t>DALARNAS LÄN</t>
        </is>
      </c>
      <c r="E154" t="inlineStr">
        <is>
          <t>HEDEMORA</t>
        </is>
      </c>
      <c r="G154" t="n">
        <v>3.1</v>
      </c>
      <c r="H154" t="n">
        <v>0</v>
      </c>
      <c r="I154" t="n">
        <v>0</v>
      </c>
      <c r="J154" t="n">
        <v>0</v>
      </c>
      <c r="K154" t="n">
        <v>0</v>
      </c>
      <c r="L154" t="n">
        <v>0</v>
      </c>
      <c r="M154" t="n">
        <v>0</v>
      </c>
      <c r="N154" t="n">
        <v>0</v>
      </c>
      <c r="O154" t="n">
        <v>0</v>
      </c>
      <c r="P154" t="n">
        <v>0</v>
      </c>
      <c r="Q154" t="n">
        <v>0</v>
      </c>
      <c r="R154" s="2" t="inlineStr"/>
    </row>
    <row r="155" ht="15" customHeight="1">
      <c r="A155" t="inlineStr">
        <is>
          <t>A 40421-2025</t>
        </is>
      </c>
      <c r="B155" s="1" t="n">
        <v>45895.58449074074</v>
      </c>
      <c r="C155" s="1" t="n">
        <v>46061</v>
      </c>
      <c r="D155" t="inlineStr">
        <is>
          <t>DALARNAS LÄN</t>
        </is>
      </c>
      <c r="E155" t="inlineStr">
        <is>
          <t>HEDEMORA</t>
        </is>
      </c>
      <c r="G155" t="n">
        <v>1.7</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45895.64342592593</v>
      </c>
      <c r="C156" s="1" t="n">
        <v>46061</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52944-2024</t>
        </is>
      </c>
      <c r="B157" s="1" t="n">
        <v>45610.82546296297</v>
      </c>
      <c r="C157" s="1" t="n">
        <v>46061</v>
      </c>
      <c r="D157" t="inlineStr">
        <is>
          <t>DALARNAS LÄN</t>
        </is>
      </c>
      <c r="E157" t="inlineStr">
        <is>
          <t>HEDEMORA</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19688-2025</t>
        </is>
      </c>
      <c r="B158" s="1" t="n">
        <v>45770.88217592592</v>
      </c>
      <c r="C158" s="1" t="n">
        <v>46061</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19689-2025</t>
        </is>
      </c>
      <c r="B159" s="1" t="n">
        <v>45770.88462962963</v>
      </c>
      <c r="C159" s="1" t="n">
        <v>46061</v>
      </c>
      <c r="D159" t="inlineStr">
        <is>
          <t>DALARNAS LÄN</t>
        </is>
      </c>
      <c r="E159" t="inlineStr">
        <is>
          <t>HEDEMORA</t>
        </is>
      </c>
      <c r="G159" t="n">
        <v>1.1</v>
      </c>
      <c r="H159" t="n">
        <v>0</v>
      </c>
      <c r="I159" t="n">
        <v>0</v>
      </c>
      <c r="J159" t="n">
        <v>0</v>
      </c>
      <c r="K159" t="n">
        <v>0</v>
      </c>
      <c r="L159" t="n">
        <v>0</v>
      </c>
      <c r="M159" t="n">
        <v>0</v>
      </c>
      <c r="N159" t="n">
        <v>0</v>
      </c>
      <c r="O159" t="n">
        <v>0</v>
      </c>
      <c r="P159" t="n">
        <v>0</v>
      </c>
      <c r="Q159" t="n">
        <v>0</v>
      </c>
      <c r="R159" s="2" t="inlineStr"/>
    </row>
    <row r="160" ht="15" customHeight="1">
      <c r="A160" t="inlineStr">
        <is>
          <t>A 28183-2025</t>
        </is>
      </c>
      <c r="B160" s="1" t="n">
        <v>45818.4021875</v>
      </c>
      <c r="C160" s="1" t="n">
        <v>46061</v>
      </c>
      <c r="D160" t="inlineStr">
        <is>
          <t>DALARNAS LÄN</t>
        </is>
      </c>
      <c r="E160" t="inlineStr">
        <is>
          <t>HEDEMORA</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5766-2025</t>
        </is>
      </c>
      <c r="B161" s="1" t="n">
        <v>45694.57893518519</v>
      </c>
      <c r="C161" s="1" t="n">
        <v>46061</v>
      </c>
      <c r="D161" t="inlineStr">
        <is>
          <t>DALARNAS LÄN</t>
        </is>
      </c>
      <c r="E161" t="inlineStr">
        <is>
          <t>HEDEMORA</t>
        </is>
      </c>
      <c r="G161" t="n">
        <v>4.9</v>
      </c>
      <c r="H161" t="n">
        <v>0</v>
      </c>
      <c r="I161" t="n">
        <v>0</v>
      </c>
      <c r="J161" t="n">
        <v>0</v>
      </c>
      <c r="K161" t="n">
        <v>0</v>
      </c>
      <c r="L161" t="n">
        <v>0</v>
      </c>
      <c r="M161" t="n">
        <v>0</v>
      </c>
      <c r="N161" t="n">
        <v>0</v>
      </c>
      <c r="O161" t="n">
        <v>0</v>
      </c>
      <c r="P161" t="n">
        <v>0</v>
      </c>
      <c r="Q161" t="n">
        <v>0</v>
      </c>
      <c r="R161" s="2" t="inlineStr"/>
    </row>
    <row r="162" ht="15" customHeight="1">
      <c r="A162" t="inlineStr">
        <is>
          <t>A 19473-2024</t>
        </is>
      </c>
      <c r="B162" s="1" t="n">
        <v>45429</v>
      </c>
      <c r="C162" s="1" t="n">
        <v>46061</v>
      </c>
      <c r="D162" t="inlineStr">
        <is>
          <t>DALARNAS LÄN</t>
        </is>
      </c>
      <c r="E162" t="inlineStr">
        <is>
          <t>HEDEMORA</t>
        </is>
      </c>
      <c r="G162" t="n">
        <v>2.5</v>
      </c>
      <c r="H162" t="n">
        <v>0</v>
      </c>
      <c r="I162" t="n">
        <v>0</v>
      </c>
      <c r="J162" t="n">
        <v>0</v>
      </c>
      <c r="K162" t="n">
        <v>0</v>
      </c>
      <c r="L162" t="n">
        <v>0</v>
      </c>
      <c r="M162" t="n">
        <v>0</v>
      </c>
      <c r="N162" t="n">
        <v>0</v>
      </c>
      <c r="O162" t="n">
        <v>0</v>
      </c>
      <c r="P162" t="n">
        <v>0</v>
      </c>
      <c r="Q162" t="n">
        <v>0</v>
      </c>
      <c r="R162" s="2" t="inlineStr"/>
    </row>
    <row r="163" ht="15" customHeight="1">
      <c r="A163" t="inlineStr">
        <is>
          <t>A 28180-2025</t>
        </is>
      </c>
      <c r="B163" s="1" t="n">
        <v>45818.39755787037</v>
      </c>
      <c r="C163" s="1" t="n">
        <v>46061</v>
      </c>
      <c r="D163" t="inlineStr">
        <is>
          <t>DALARNAS LÄN</t>
        </is>
      </c>
      <c r="E163" t="inlineStr">
        <is>
          <t>HEDEMORA</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28182-2025</t>
        </is>
      </c>
      <c r="B164" s="1" t="n">
        <v>45818.40069444444</v>
      </c>
      <c r="C164" s="1" t="n">
        <v>46061</v>
      </c>
      <c r="D164" t="inlineStr">
        <is>
          <t>DALARNAS LÄN</t>
        </is>
      </c>
      <c r="E164" t="inlineStr">
        <is>
          <t>HEDEMORA</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23501-2023</t>
        </is>
      </c>
      <c r="B165" s="1" t="n">
        <v>45076.73979166667</v>
      </c>
      <c r="C165" s="1" t="n">
        <v>46061</v>
      </c>
      <c r="D165" t="inlineStr">
        <is>
          <t>DALARNAS LÄN</t>
        </is>
      </c>
      <c r="E165" t="inlineStr">
        <is>
          <t>HEDEMORA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50885-2023</t>
        </is>
      </c>
      <c r="B166" s="1" t="n">
        <v>45218.38459490741</v>
      </c>
      <c r="C166" s="1" t="n">
        <v>46061</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53576-2023</t>
        </is>
      </c>
      <c r="B167" s="1" t="n">
        <v>45230.50288194444</v>
      </c>
      <c r="C167" s="1" t="n">
        <v>46061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53588-2023</t>
        </is>
      </c>
      <c r="B168" s="1" t="n">
        <v>45230.53109953704</v>
      </c>
      <c r="C168" s="1" t="n">
        <v>46061</v>
      </c>
      <c r="D168" t="inlineStr">
        <is>
          <t>DALARNAS LÄN</t>
        </is>
      </c>
      <c r="E168" t="inlineStr">
        <is>
          <t>HEDEMORA</t>
        </is>
      </c>
      <c r="G168" t="n">
        <v>0.6</v>
      </c>
      <c r="H168" t="n">
        <v>0</v>
      </c>
      <c r="I168" t="n">
        <v>0</v>
      </c>
      <c r="J168" t="n">
        <v>0</v>
      </c>
      <c r="K168" t="n">
        <v>0</v>
      </c>
      <c r="L168" t="n">
        <v>0</v>
      </c>
      <c r="M168" t="n">
        <v>0</v>
      </c>
      <c r="N168" t="n">
        <v>0</v>
      </c>
      <c r="O168" t="n">
        <v>0</v>
      </c>
      <c r="P168" t="n">
        <v>0</v>
      </c>
      <c r="Q168" t="n">
        <v>0</v>
      </c>
      <c r="R168" s="2" t="inlineStr"/>
    </row>
    <row r="169" ht="15" customHeight="1">
      <c r="A169" t="inlineStr">
        <is>
          <t>A 8342-2025</t>
        </is>
      </c>
      <c r="B169" s="1" t="n">
        <v>45708.67251157408</v>
      </c>
      <c r="C169" s="1" t="n">
        <v>46061</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28029-2023</t>
        </is>
      </c>
      <c r="B170" s="1" t="n">
        <v>45099</v>
      </c>
      <c r="C170" s="1" t="n">
        <v>46061</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29690-2025</t>
        </is>
      </c>
      <c r="B171" s="1" t="n">
        <v>45825.53508101852</v>
      </c>
      <c r="C171" s="1" t="n">
        <v>46061</v>
      </c>
      <c r="D171" t="inlineStr">
        <is>
          <t>DALARNAS LÄN</t>
        </is>
      </c>
      <c r="E171" t="inlineStr">
        <is>
          <t>HEDEMORA</t>
        </is>
      </c>
      <c r="G171" t="n">
        <v>4.1</v>
      </c>
      <c r="H171" t="n">
        <v>0</v>
      </c>
      <c r="I171" t="n">
        <v>0</v>
      </c>
      <c r="J171" t="n">
        <v>0</v>
      </c>
      <c r="K171" t="n">
        <v>0</v>
      </c>
      <c r="L171" t="n">
        <v>0</v>
      </c>
      <c r="M171" t="n">
        <v>0</v>
      </c>
      <c r="N171" t="n">
        <v>0</v>
      </c>
      <c r="O171" t="n">
        <v>0</v>
      </c>
      <c r="P171" t="n">
        <v>0</v>
      </c>
      <c r="Q171" t="n">
        <v>0</v>
      </c>
      <c r="R171" s="2" t="inlineStr"/>
    </row>
    <row r="172" ht="15" customHeight="1">
      <c r="A172" t="inlineStr">
        <is>
          <t>A 42645-2025</t>
        </is>
      </c>
      <c r="B172" s="1" t="n">
        <v>45906.40199074074</v>
      </c>
      <c r="C172" s="1" t="n">
        <v>46061</v>
      </c>
      <c r="D172" t="inlineStr">
        <is>
          <t>DALARNAS LÄN</t>
        </is>
      </c>
      <c r="E172" t="inlineStr">
        <is>
          <t>HEDEMORA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32071-2021</t>
        </is>
      </c>
      <c r="B173" s="1" t="n">
        <v>44370.90546296296</v>
      </c>
      <c r="C173" s="1" t="n">
        <v>46061</v>
      </c>
      <c r="D173" t="inlineStr">
        <is>
          <t>DALARNAS LÄN</t>
        </is>
      </c>
      <c r="E173" t="inlineStr">
        <is>
          <t>HEDEMORA</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43193-2025</t>
        </is>
      </c>
      <c r="B174" s="1" t="n">
        <v>45910.42417824074</v>
      </c>
      <c r="C174" s="1" t="n">
        <v>46061</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29585-2024</t>
        </is>
      </c>
      <c r="B175" s="1" t="n">
        <v>45484.57728009259</v>
      </c>
      <c r="C175" s="1" t="n">
        <v>46061</v>
      </c>
      <c r="D175" t="inlineStr">
        <is>
          <t>DALARNAS LÄN</t>
        </is>
      </c>
      <c r="E175" t="inlineStr">
        <is>
          <t>HEDEMORA</t>
        </is>
      </c>
      <c r="F175" t="inlineStr">
        <is>
          <t>Bergvik skog väst AB</t>
        </is>
      </c>
      <c r="G175" t="n">
        <v>8.1</v>
      </c>
      <c r="H175" t="n">
        <v>0</v>
      </c>
      <c r="I175" t="n">
        <v>0</v>
      </c>
      <c r="J175" t="n">
        <v>0</v>
      </c>
      <c r="K175" t="n">
        <v>0</v>
      </c>
      <c r="L175" t="n">
        <v>0</v>
      </c>
      <c r="M175" t="n">
        <v>0</v>
      </c>
      <c r="N175" t="n">
        <v>0</v>
      </c>
      <c r="O175" t="n">
        <v>0</v>
      </c>
      <c r="P175" t="n">
        <v>0</v>
      </c>
      <c r="Q175" t="n">
        <v>0</v>
      </c>
      <c r="R175" s="2" t="inlineStr"/>
    </row>
    <row r="176" ht="15" customHeight="1">
      <c r="A176" t="inlineStr">
        <is>
          <t>A 30582-2025</t>
        </is>
      </c>
      <c r="B176" s="1" t="n">
        <v>45831.42349537037</v>
      </c>
      <c r="C176" s="1" t="n">
        <v>46061</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30472-2025</t>
        </is>
      </c>
      <c r="B177" s="1" t="n">
        <v>45827.94671296296</v>
      </c>
      <c r="C177" s="1" t="n">
        <v>46061</v>
      </c>
      <c r="D177" t="inlineStr">
        <is>
          <t>DALARNAS LÄN</t>
        </is>
      </c>
      <c r="E177" t="inlineStr">
        <is>
          <t>HEDEMORA</t>
        </is>
      </c>
      <c r="G177" t="n">
        <v>1.1</v>
      </c>
      <c r="H177" t="n">
        <v>0</v>
      </c>
      <c r="I177" t="n">
        <v>0</v>
      </c>
      <c r="J177" t="n">
        <v>0</v>
      </c>
      <c r="K177" t="n">
        <v>0</v>
      </c>
      <c r="L177" t="n">
        <v>0</v>
      </c>
      <c r="M177" t="n">
        <v>0</v>
      </c>
      <c r="N177" t="n">
        <v>0</v>
      </c>
      <c r="O177" t="n">
        <v>0</v>
      </c>
      <c r="P177" t="n">
        <v>0</v>
      </c>
      <c r="Q177" t="n">
        <v>0</v>
      </c>
      <c r="R177" s="2" t="inlineStr"/>
    </row>
    <row r="178" ht="15" customHeight="1">
      <c r="A178" t="inlineStr">
        <is>
          <t>A 30471-2025</t>
        </is>
      </c>
      <c r="B178" s="1" t="n">
        <v>45827.94552083333</v>
      </c>
      <c r="C178" s="1" t="n">
        <v>46061</v>
      </c>
      <c r="D178" t="inlineStr">
        <is>
          <t>DALARNAS LÄN</t>
        </is>
      </c>
      <c r="E178" t="inlineStr">
        <is>
          <t>HEDEMORA</t>
        </is>
      </c>
      <c r="G178" t="n">
        <v>0.3</v>
      </c>
      <c r="H178" t="n">
        <v>0</v>
      </c>
      <c r="I178" t="n">
        <v>0</v>
      </c>
      <c r="J178" t="n">
        <v>0</v>
      </c>
      <c r="K178" t="n">
        <v>0</v>
      </c>
      <c r="L178" t="n">
        <v>0</v>
      </c>
      <c r="M178" t="n">
        <v>0</v>
      </c>
      <c r="N178" t="n">
        <v>0</v>
      </c>
      <c r="O178" t="n">
        <v>0</v>
      </c>
      <c r="P178" t="n">
        <v>0</v>
      </c>
      <c r="Q178" t="n">
        <v>0</v>
      </c>
      <c r="R178" s="2" t="inlineStr"/>
    </row>
    <row r="179" ht="15" customHeight="1">
      <c r="A179" t="inlineStr">
        <is>
          <t>A 30205-2022</t>
        </is>
      </c>
      <c r="B179" s="1" t="n">
        <v>44757.74415509259</v>
      </c>
      <c r="C179" s="1" t="n">
        <v>46061</v>
      </c>
      <c r="D179" t="inlineStr">
        <is>
          <t>DALARNAS LÄN</t>
        </is>
      </c>
      <c r="E179" t="inlineStr">
        <is>
          <t>HEDEMORA</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44850-2025</t>
        </is>
      </c>
      <c r="B180" s="1" t="n">
        <v>45918.44587962963</v>
      </c>
      <c r="C180" s="1" t="n">
        <v>46061</v>
      </c>
      <c r="D180" t="inlineStr">
        <is>
          <t>DALARNAS LÄN</t>
        </is>
      </c>
      <c r="E180" t="inlineStr">
        <is>
          <t>HEDEMORA</t>
        </is>
      </c>
      <c r="G180" t="n">
        <v>3.9</v>
      </c>
      <c r="H180" t="n">
        <v>0</v>
      </c>
      <c r="I180" t="n">
        <v>0</v>
      </c>
      <c r="J180" t="n">
        <v>0</v>
      </c>
      <c r="K180" t="n">
        <v>0</v>
      </c>
      <c r="L180" t="n">
        <v>0</v>
      </c>
      <c r="M180" t="n">
        <v>0</v>
      </c>
      <c r="N180" t="n">
        <v>0</v>
      </c>
      <c r="O180" t="n">
        <v>0</v>
      </c>
      <c r="P180" t="n">
        <v>0</v>
      </c>
      <c r="Q180" t="n">
        <v>0</v>
      </c>
      <c r="R180" s="2" t="inlineStr"/>
    </row>
    <row r="181" ht="15" customHeight="1">
      <c r="A181" t="inlineStr">
        <is>
          <t>A 53586-2023</t>
        </is>
      </c>
      <c r="B181" s="1" t="n">
        <v>45230.52603009259</v>
      </c>
      <c r="C181" s="1" t="n">
        <v>46061</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61533-2021</t>
        </is>
      </c>
      <c r="B182" s="1" t="n">
        <v>44501</v>
      </c>
      <c r="C182" s="1" t="n">
        <v>46061</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50333-2023</t>
        </is>
      </c>
      <c r="B183" s="1" t="n">
        <v>45216</v>
      </c>
      <c r="C183" s="1" t="n">
        <v>46061</v>
      </c>
      <c r="D183" t="inlineStr">
        <is>
          <t>DALARNAS LÄN</t>
        </is>
      </c>
      <c r="E183" t="inlineStr">
        <is>
          <t>HEDEMORA</t>
        </is>
      </c>
      <c r="G183" t="n">
        <v>1.1</v>
      </c>
      <c r="H183" t="n">
        <v>0</v>
      </c>
      <c r="I183" t="n">
        <v>0</v>
      </c>
      <c r="J183" t="n">
        <v>0</v>
      </c>
      <c r="K183" t="n">
        <v>0</v>
      </c>
      <c r="L183" t="n">
        <v>0</v>
      </c>
      <c r="M183" t="n">
        <v>0</v>
      </c>
      <c r="N183" t="n">
        <v>0</v>
      </c>
      <c r="O183" t="n">
        <v>0</v>
      </c>
      <c r="P183" t="n">
        <v>0</v>
      </c>
      <c r="Q183" t="n">
        <v>0</v>
      </c>
      <c r="R183" s="2" t="inlineStr"/>
    </row>
    <row r="184" ht="15" customHeight="1">
      <c r="A184" t="inlineStr">
        <is>
          <t>A 45937-2025</t>
        </is>
      </c>
      <c r="B184" s="1" t="n">
        <v>45924.27231481481</v>
      </c>
      <c r="C184" s="1" t="n">
        <v>46061</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7916-2024</t>
        </is>
      </c>
      <c r="B185" s="1" t="n">
        <v>45350.46259259259</v>
      </c>
      <c r="C185" s="1" t="n">
        <v>46061</v>
      </c>
      <c r="D185" t="inlineStr">
        <is>
          <t>DALARNAS LÄN</t>
        </is>
      </c>
      <c r="E185" t="inlineStr">
        <is>
          <t>HEDEMORA</t>
        </is>
      </c>
      <c r="G185" t="n">
        <v>5.8</v>
      </c>
      <c r="H185" t="n">
        <v>0</v>
      </c>
      <c r="I185" t="n">
        <v>0</v>
      </c>
      <c r="J185" t="n">
        <v>0</v>
      </c>
      <c r="K185" t="n">
        <v>0</v>
      </c>
      <c r="L185" t="n">
        <v>0</v>
      </c>
      <c r="M185" t="n">
        <v>0</v>
      </c>
      <c r="N185" t="n">
        <v>0</v>
      </c>
      <c r="O185" t="n">
        <v>0</v>
      </c>
      <c r="P185" t="n">
        <v>0</v>
      </c>
      <c r="Q185" t="n">
        <v>0</v>
      </c>
      <c r="R185" s="2" t="inlineStr"/>
    </row>
    <row r="186" ht="15" customHeight="1">
      <c r="A186" t="inlineStr">
        <is>
          <t>A 45936-2025</t>
        </is>
      </c>
      <c r="B186" s="1" t="n">
        <v>45924.26582175926</v>
      </c>
      <c r="C186" s="1" t="n">
        <v>46061</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45938-2025</t>
        </is>
      </c>
      <c r="B187" s="1" t="n">
        <v>45924.27704861111</v>
      </c>
      <c r="C187" s="1" t="n">
        <v>46061</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46287-2025</t>
        </is>
      </c>
      <c r="B188" s="1" t="n">
        <v>45925.38450231482</v>
      </c>
      <c r="C188" s="1" t="n">
        <v>46061</v>
      </c>
      <c r="D188" t="inlineStr">
        <is>
          <t>DALARNAS LÄN</t>
        </is>
      </c>
      <c r="E188" t="inlineStr">
        <is>
          <t>HEDEMORA</t>
        </is>
      </c>
      <c r="G188" t="n">
        <v>7.3</v>
      </c>
      <c r="H188" t="n">
        <v>0</v>
      </c>
      <c r="I188" t="n">
        <v>0</v>
      </c>
      <c r="J188" t="n">
        <v>0</v>
      </c>
      <c r="K188" t="n">
        <v>0</v>
      </c>
      <c r="L188" t="n">
        <v>0</v>
      </c>
      <c r="M188" t="n">
        <v>0</v>
      </c>
      <c r="N188" t="n">
        <v>0</v>
      </c>
      <c r="O188" t="n">
        <v>0</v>
      </c>
      <c r="P188" t="n">
        <v>0</v>
      </c>
      <c r="Q188" t="n">
        <v>0</v>
      </c>
      <c r="R188" s="2" t="inlineStr"/>
    </row>
    <row r="189" ht="15" customHeight="1">
      <c r="A189" t="inlineStr">
        <is>
          <t>A 45983-2025</t>
        </is>
      </c>
      <c r="B189" s="1" t="n">
        <v>45924.37988425926</v>
      </c>
      <c r="C189" s="1" t="n">
        <v>46061</v>
      </c>
      <c r="D189" t="inlineStr">
        <is>
          <t>DALARNAS LÄN</t>
        </is>
      </c>
      <c r="E189" t="inlineStr">
        <is>
          <t>HEDEMORA</t>
        </is>
      </c>
      <c r="G189" t="n">
        <v>1.2</v>
      </c>
      <c r="H189" t="n">
        <v>0</v>
      </c>
      <c r="I189" t="n">
        <v>0</v>
      </c>
      <c r="J189" t="n">
        <v>0</v>
      </c>
      <c r="K189" t="n">
        <v>0</v>
      </c>
      <c r="L189" t="n">
        <v>0</v>
      </c>
      <c r="M189" t="n">
        <v>0</v>
      </c>
      <c r="N189" t="n">
        <v>0</v>
      </c>
      <c r="O189" t="n">
        <v>0</v>
      </c>
      <c r="P189" t="n">
        <v>0</v>
      </c>
      <c r="Q189" t="n">
        <v>0</v>
      </c>
      <c r="R189" s="2" t="inlineStr"/>
    </row>
    <row r="190" ht="15" customHeight="1">
      <c r="A190" t="inlineStr">
        <is>
          <t>A 32865-2025</t>
        </is>
      </c>
      <c r="B190" s="1" t="n">
        <v>45839.58767361111</v>
      </c>
      <c r="C190" s="1" t="n">
        <v>46061</v>
      </c>
      <c r="D190" t="inlineStr">
        <is>
          <t>DALARNAS LÄN</t>
        </is>
      </c>
      <c r="E190" t="inlineStr">
        <is>
          <t>HEDEMORA</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32869-2025</t>
        </is>
      </c>
      <c r="B191" s="1" t="n">
        <v>45839.58927083333</v>
      </c>
      <c r="C191" s="1" t="n">
        <v>46061</v>
      </c>
      <c r="D191" t="inlineStr">
        <is>
          <t>DALARNAS LÄN</t>
        </is>
      </c>
      <c r="E191" t="inlineStr">
        <is>
          <t>HEDEMORA</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34409-2022</t>
        </is>
      </c>
      <c r="B192" s="1" t="n">
        <v>44792</v>
      </c>
      <c r="C192" s="1" t="n">
        <v>46061</v>
      </c>
      <c r="D192" t="inlineStr">
        <is>
          <t>DALARNAS LÄN</t>
        </is>
      </c>
      <c r="E192" t="inlineStr">
        <is>
          <t>HEDEMORA</t>
        </is>
      </c>
      <c r="G192" t="n">
        <v>13.7</v>
      </c>
      <c r="H192" t="n">
        <v>0</v>
      </c>
      <c r="I192" t="n">
        <v>0</v>
      </c>
      <c r="J192" t="n">
        <v>0</v>
      </c>
      <c r="K192" t="n">
        <v>0</v>
      </c>
      <c r="L192" t="n">
        <v>0</v>
      </c>
      <c r="M192" t="n">
        <v>0</v>
      </c>
      <c r="N192" t="n">
        <v>0</v>
      </c>
      <c r="O192" t="n">
        <v>0</v>
      </c>
      <c r="P192" t="n">
        <v>0</v>
      </c>
      <c r="Q192" t="n">
        <v>0</v>
      </c>
      <c r="R192" s="2" t="inlineStr"/>
    </row>
    <row r="193" ht="15" customHeight="1">
      <c r="A193" t="inlineStr">
        <is>
          <t>A 48077-2025</t>
        </is>
      </c>
      <c r="B193" s="1" t="n">
        <v>45932.71114583333</v>
      </c>
      <c r="C193" s="1" t="n">
        <v>46061</v>
      </c>
      <c r="D193" t="inlineStr">
        <is>
          <t>DALARNAS LÄN</t>
        </is>
      </c>
      <c r="E193" t="inlineStr">
        <is>
          <t>HEDEMORA</t>
        </is>
      </c>
      <c r="G193" t="n">
        <v>1.8</v>
      </c>
      <c r="H193" t="n">
        <v>0</v>
      </c>
      <c r="I193" t="n">
        <v>0</v>
      </c>
      <c r="J193" t="n">
        <v>0</v>
      </c>
      <c r="K193" t="n">
        <v>0</v>
      </c>
      <c r="L193" t="n">
        <v>0</v>
      </c>
      <c r="M193" t="n">
        <v>0</v>
      </c>
      <c r="N193" t="n">
        <v>0</v>
      </c>
      <c r="O193" t="n">
        <v>0</v>
      </c>
      <c r="P193" t="n">
        <v>0</v>
      </c>
      <c r="Q193" t="n">
        <v>0</v>
      </c>
      <c r="R193" s="2" t="inlineStr"/>
    </row>
    <row r="194" ht="15" customHeight="1">
      <c r="A194" t="inlineStr">
        <is>
          <t>A 48238-2025</t>
        </is>
      </c>
      <c r="B194" s="1" t="n">
        <v>45933.53237268519</v>
      </c>
      <c r="C194" s="1" t="n">
        <v>46061</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44960-2021</t>
        </is>
      </c>
      <c r="B195" s="1" t="n">
        <v>44438.72253472222</v>
      </c>
      <c r="C195" s="1" t="n">
        <v>46061</v>
      </c>
      <c r="D195" t="inlineStr">
        <is>
          <t>DALARNAS LÄN</t>
        </is>
      </c>
      <c r="E195" t="inlineStr">
        <is>
          <t>HEDEMORA</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48076-2025</t>
        </is>
      </c>
      <c r="B196" s="1" t="n">
        <v>45932.7075</v>
      </c>
      <c r="C196" s="1" t="n">
        <v>46061</v>
      </c>
      <c r="D196" t="inlineStr">
        <is>
          <t>DALARNAS LÄN</t>
        </is>
      </c>
      <c r="E196" t="inlineStr">
        <is>
          <t>HEDEMORA</t>
        </is>
      </c>
      <c r="G196" t="n">
        <v>5.1</v>
      </c>
      <c r="H196" t="n">
        <v>0</v>
      </c>
      <c r="I196" t="n">
        <v>0</v>
      </c>
      <c r="J196" t="n">
        <v>0</v>
      </c>
      <c r="K196" t="n">
        <v>0</v>
      </c>
      <c r="L196" t="n">
        <v>0</v>
      </c>
      <c r="M196" t="n">
        <v>0</v>
      </c>
      <c r="N196" t="n">
        <v>0</v>
      </c>
      <c r="O196" t="n">
        <v>0</v>
      </c>
      <c r="P196" t="n">
        <v>0</v>
      </c>
      <c r="Q196" t="n">
        <v>0</v>
      </c>
      <c r="R196" s="2" t="inlineStr"/>
    </row>
    <row r="197" ht="15" customHeight="1">
      <c r="A197" t="inlineStr">
        <is>
          <t>A 34932-2024</t>
        </is>
      </c>
      <c r="B197" s="1" t="n">
        <v>45527.45431712963</v>
      </c>
      <c r="C197" s="1" t="n">
        <v>46061</v>
      </c>
      <c r="D197" t="inlineStr">
        <is>
          <t>DALARNAS LÄN</t>
        </is>
      </c>
      <c r="E197" t="inlineStr">
        <is>
          <t>HEDEMORA</t>
        </is>
      </c>
      <c r="F197" t="inlineStr">
        <is>
          <t>Sveaskog</t>
        </is>
      </c>
      <c r="G197" t="n">
        <v>2.4</v>
      </c>
      <c r="H197" t="n">
        <v>0</v>
      </c>
      <c r="I197" t="n">
        <v>0</v>
      </c>
      <c r="J197" t="n">
        <v>0</v>
      </c>
      <c r="K197" t="n">
        <v>0</v>
      </c>
      <c r="L197" t="n">
        <v>0</v>
      </c>
      <c r="M197" t="n">
        <v>0</v>
      </c>
      <c r="N197" t="n">
        <v>0</v>
      </c>
      <c r="O197" t="n">
        <v>0</v>
      </c>
      <c r="P197" t="n">
        <v>0</v>
      </c>
      <c r="Q197" t="n">
        <v>0</v>
      </c>
      <c r="R197" s="2" t="inlineStr"/>
    </row>
    <row r="198" ht="15" customHeight="1">
      <c r="A198" t="inlineStr">
        <is>
          <t>A 33009-2025</t>
        </is>
      </c>
      <c r="B198" s="1" t="n">
        <v>45840</v>
      </c>
      <c r="C198" s="1" t="n">
        <v>46061</v>
      </c>
      <c r="D198" t="inlineStr">
        <is>
          <t>DALARNAS LÄN</t>
        </is>
      </c>
      <c r="E198" t="inlineStr">
        <is>
          <t>HEDEMORA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33286-2025</t>
        </is>
      </c>
      <c r="B199" s="1" t="n">
        <v>45840.81065972222</v>
      </c>
      <c r="C199" s="1" t="n">
        <v>46061</v>
      </c>
      <c r="D199" t="inlineStr">
        <is>
          <t>DALARNAS LÄN</t>
        </is>
      </c>
      <c r="E199" t="inlineStr">
        <is>
          <t>HEDEMORA</t>
        </is>
      </c>
      <c r="F199" t="inlineStr">
        <is>
          <t>Sveaskog</t>
        </is>
      </c>
      <c r="G199" t="n">
        <v>7.1</v>
      </c>
      <c r="H199" t="n">
        <v>0</v>
      </c>
      <c r="I199" t="n">
        <v>0</v>
      </c>
      <c r="J199" t="n">
        <v>0</v>
      </c>
      <c r="K199" t="n">
        <v>0</v>
      </c>
      <c r="L199" t="n">
        <v>0</v>
      </c>
      <c r="M199" t="n">
        <v>0</v>
      </c>
      <c r="N199" t="n">
        <v>0</v>
      </c>
      <c r="O199" t="n">
        <v>0</v>
      </c>
      <c r="P199" t="n">
        <v>0</v>
      </c>
      <c r="Q199" t="n">
        <v>0</v>
      </c>
      <c r="R199" s="2" t="inlineStr"/>
    </row>
    <row r="200" ht="15" customHeight="1">
      <c r="A200" t="inlineStr">
        <is>
          <t>A 29303-2023</t>
        </is>
      </c>
      <c r="B200" s="1" t="n">
        <v>45105</v>
      </c>
      <c r="C200" s="1" t="n">
        <v>46061</v>
      </c>
      <c r="D200" t="inlineStr">
        <is>
          <t>DALARNAS LÄN</t>
        </is>
      </c>
      <c r="E200" t="inlineStr">
        <is>
          <t>HEDEMORA</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49942-2025</t>
        </is>
      </c>
      <c r="B201" s="1" t="n">
        <v>45940.69508101852</v>
      </c>
      <c r="C201" s="1" t="n">
        <v>46061</v>
      </c>
      <c r="D201" t="inlineStr">
        <is>
          <t>DALARNAS LÄN</t>
        </is>
      </c>
      <c r="E201" t="inlineStr">
        <is>
          <t>HEDEMORA</t>
        </is>
      </c>
      <c r="G201" t="n">
        <v>2</v>
      </c>
      <c r="H201" t="n">
        <v>0</v>
      </c>
      <c r="I201" t="n">
        <v>0</v>
      </c>
      <c r="J201" t="n">
        <v>0</v>
      </c>
      <c r="K201" t="n">
        <v>0</v>
      </c>
      <c r="L201" t="n">
        <v>0</v>
      </c>
      <c r="M201" t="n">
        <v>0</v>
      </c>
      <c r="N201" t="n">
        <v>0</v>
      </c>
      <c r="O201" t="n">
        <v>0</v>
      </c>
      <c r="P201" t="n">
        <v>0</v>
      </c>
      <c r="Q201" t="n">
        <v>0</v>
      </c>
      <c r="R201" s="2" t="inlineStr"/>
    </row>
    <row r="202" ht="15" customHeight="1">
      <c r="A202" t="inlineStr">
        <is>
          <t>A 50040-2025</t>
        </is>
      </c>
      <c r="B202" s="1" t="n">
        <v>45943.40377314815</v>
      </c>
      <c r="C202" s="1" t="n">
        <v>46061</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50043-2025</t>
        </is>
      </c>
      <c r="B203" s="1" t="n">
        <v>45943.40546296296</v>
      </c>
      <c r="C203" s="1" t="n">
        <v>46061</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50038-2025</t>
        </is>
      </c>
      <c r="B204" s="1" t="n">
        <v>45943.40084490741</v>
      </c>
      <c r="C204" s="1" t="n">
        <v>46061</v>
      </c>
      <c r="D204" t="inlineStr">
        <is>
          <t>DALARNAS LÄN</t>
        </is>
      </c>
      <c r="E204" t="inlineStr">
        <is>
          <t>HEDEMORA</t>
        </is>
      </c>
      <c r="G204" t="n">
        <v>2.9</v>
      </c>
      <c r="H204" t="n">
        <v>0</v>
      </c>
      <c r="I204" t="n">
        <v>0</v>
      </c>
      <c r="J204" t="n">
        <v>0</v>
      </c>
      <c r="K204" t="n">
        <v>0</v>
      </c>
      <c r="L204" t="n">
        <v>0</v>
      </c>
      <c r="M204" t="n">
        <v>0</v>
      </c>
      <c r="N204" t="n">
        <v>0</v>
      </c>
      <c r="O204" t="n">
        <v>0</v>
      </c>
      <c r="P204" t="n">
        <v>0</v>
      </c>
      <c r="Q204" t="n">
        <v>0</v>
      </c>
      <c r="R204" s="2" t="inlineStr"/>
    </row>
    <row r="205" ht="15" customHeight="1">
      <c r="A205" t="inlineStr">
        <is>
          <t>A 50101-2025</t>
        </is>
      </c>
      <c r="B205" s="1" t="n">
        <v>45943.53317129629</v>
      </c>
      <c r="C205" s="1" t="n">
        <v>46061</v>
      </c>
      <c r="D205" t="inlineStr">
        <is>
          <t>DALARNAS LÄN</t>
        </is>
      </c>
      <c r="E205" t="inlineStr">
        <is>
          <t>HEDEMORA</t>
        </is>
      </c>
      <c r="G205" t="n">
        <v>3.5</v>
      </c>
      <c r="H205" t="n">
        <v>0</v>
      </c>
      <c r="I205" t="n">
        <v>0</v>
      </c>
      <c r="J205" t="n">
        <v>0</v>
      </c>
      <c r="K205" t="n">
        <v>0</v>
      </c>
      <c r="L205" t="n">
        <v>0</v>
      </c>
      <c r="M205" t="n">
        <v>0</v>
      </c>
      <c r="N205" t="n">
        <v>0</v>
      </c>
      <c r="O205" t="n">
        <v>0</v>
      </c>
      <c r="P205" t="n">
        <v>0</v>
      </c>
      <c r="Q205" t="n">
        <v>0</v>
      </c>
      <c r="R205" s="2" t="inlineStr"/>
    </row>
    <row r="206" ht="15" customHeight="1">
      <c r="A206" t="inlineStr">
        <is>
          <t>A 49772-2025</t>
        </is>
      </c>
      <c r="B206" s="1" t="n">
        <v>45940.37288194444</v>
      </c>
      <c r="C206" s="1" t="n">
        <v>46061</v>
      </c>
      <c r="D206" t="inlineStr">
        <is>
          <t>DALARNAS LÄN</t>
        </is>
      </c>
      <c r="E206" t="inlineStr">
        <is>
          <t>HEDEMORA</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50115-2025</t>
        </is>
      </c>
      <c r="B207" s="1" t="n">
        <v>45943.54636574074</v>
      </c>
      <c r="C207" s="1" t="n">
        <v>46061</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50078-2025</t>
        </is>
      </c>
      <c r="B208" s="1" t="n">
        <v>45943</v>
      </c>
      <c r="C208" s="1" t="n">
        <v>46061</v>
      </c>
      <c r="D208" t="inlineStr">
        <is>
          <t>DALARNAS LÄN</t>
        </is>
      </c>
      <c r="E208" t="inlineStr">
        <is>
          <t>HEDEMORA</t>
        </is>
      </c>
      <c r="G208" t="n">
        <v>2.5</v>
      </c>
      <c r="H208" t="n">
        <v>0</v>
      </c>
      <c r="I208" t="n">
        <v>0</v>
      </c>
      <c r="J208" t="n">
        <v>0</v>
      </c>
      <c r="K208" t="n">
        <v>0</v>
      </c>
      <c r="L208" t="n">
        <v>0</v>
      </c>
      <c r="M208" t="n">
        <v>0</v>
      </c>
      <c r="N208" t="n">
        <v>0</v>
      </c>
      <c r="O208" t="n">
        <v>0</v>
      </c>
      <c r="P208" t="n">
        <v>0</v>
      </c>
      <c r="Q208" t="n">
        <v>0</v>
      </c>
      <c r="R208" s="2" t="inlineStr"/>
    </row>
    <row r="209" ht="15" customHeight="1">
      <c r="A209" t="inlineStr">
        <is>
          <t>A 49771-2025</t>
        </is>
      </c>
      <c r="B209" s="1" t="n">
        <v>45940.36981481482</v>
      </c>
      <c r="C209" s="1" t="n">
        <v>46061</v>
      </c>
      <c r="D209" t="inlineStr">
        <is>
          <t>DALARNAS LÄN</t>
        </is>
      </c>
      <c r="E209" t="inlineStr">
        <is>
          <t>HEDEMORA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59232-2023</t>
        </is>
      </c>
      <c r="B210" s="1" t="n">
        <v>45253.5053587963</v>
      </c>
      <c r="C210" s="1" t="n">
        <v>46061</v>
      </c>
      <c r="D210" t="inlineStr">
        <is>
          <t>DALARNAS LÄN</t>
        </is>
      </c>
      <c r="E210" t="inlineStr">
        <is>
          <t>HEDEMORA</t>
        </is>
      </c>
      <c r="G210" t="n">
        <v>3.7</v>
      </c>
      <c r="H210" t="n">
        <v>0</v>
      </c>
      <c r="I210" t="n">
        <v>0</v>
      </c>
      <c r="J210" t="n">
        <v>0</v>
      </c>
      <c r="K210" t="n">
        <v>0</v>
      </c>
      <c r="L210" t="n">
        <v>0</v>
      </c>
      <c r="M210" t="n">
        <v>0</v>
      </c>
      <c r="N210" t="n">
        <v>0</v>
      </c>
      <c r="O210" t="n">
        <v>0</v>
      </c>
      <c r="P210" t="n">
        <v>0</v>
      </c>
      <c r="Q210" t="n">
        <v>0</v>
      </c>
      <c r="R210" s="2" t="inlineStr"/>
    </row>
    <row r="211" ht="15" customHeight="1">
      <c r="A211" t="inlineStr">
        <is>
          <t>A 3089-2024</t>
        </is>
      </c>
      <c r="B211" s="1" t="n">
        <v>45316</v>
      </c>
      <c r="C211" s="1" t="n">
        <v>46061</v>
      </c>
      <c r="D211" t="inlineStr">
        <is>
          <t>DALARNAS LÄN</t>
        </is>
      </c>
      <c r="E211" t="inlineStr">
        <is>
          <t>HEDEMORA</t>
        </is>
      </c>
      <c r="G211" t="n">
        <v>5.5</v>
      </c>
      <c r="H211" t="n">
        <v>0</v>
      </c>
      <c r="I211" t="n">
        <v>0</v>
      </c>
      <c r="J211" t="n">
        <v>0</v>
      </c>
      <c r="K211" t="n">
        <v>0</v>
      </c>
      <c r="L211" t="n">
        <v>0</v>
      </c>
      <c r="M211" t="n">
        <v>0</v>
      </c>
      <c r="N211" t="n">
        <v>0</v>
      </c>
      <c r="O211" t="n">
        <v>0</v>
      </c>
      <c r="P211" t="n">
        <v>0</v>
      </c>
      <c r="Q211" t="n">
        <v>0</v>
      </c>
      <c r="R211" s="2" t="inlineStr"/>
    </row>
    <row r="212" ht="15" customHeight="1">
      <c r="A212" t="inlineStr">
        <is>
          <t>A 29587-2024</t>
        </is>
      </c>
      <c r="B212" s="1" t="n">
        <v>45484.5799537037</v>
      </c>
      <c r="C212" s="1" t="n">
        <v>46061</v>
      </c>
      <c r="D212" t="inlineStr">
        <is>
          <t>DALARNAS LÄN</t>
        </is>
      </c>
      <c r="E212" t="inlineStr">
        <is>
          <t>HEDEMORA</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34734-2025</t>
        </is>
      </c>
      <c r="B213" s="1" t="n">
        <v>45848</v>
      </c>
      <c r="C213" s="1" t="n">
        <v>46061</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51615-2025</t>
        </is>
      </c>
      <c r="B214" s="1" t="n">
        <v>45951.40246527778</v>
      </c>
      <c r="C214" s="1" t="n">
        <v>46061</v>
      </c>
      <c r="D214" t="inlineStr">
        <is>
          <t>DALARNAS LÄN</t>
        </is>
      </c>
      <c r="E214" t="inlineStr">
        <is>
          <t>HEDEMORA</t>
        </is>
      </c>
      <c r="G214" t="n">
        <v>1.8</v>
      </c>
      <c r="H214" t="n">
        <v>0</v>
      </c>
      <c r="I214" t="n">
        <v>0</v>
      </c>
      <c r="J214" t="n">
        <v>0</v>
      </c>
      <c r="K214" t="n">
        <v>0</v>
      </c>
      <c r="L214" t="n">
        <v>0</v>
      </c>
      <c r="M214" t="n">
        <v>0</v>
      </c>
      <c r="N214" t="n">
        <v>0</v>
      </c>
      <c r="O214" t="n">
        <v>0</v>
      </c>
      <c r="P214" t="n">
        <v>0</v>
      </c>
      <c r="Q214" t="n">
        <v>0</v>
      </c>
      <c r="R214" s="2" t="inlineStr"/>
    </row>
    <row r="215" ht="15" customHeight="1">
      <c r="A215" t="inlineStr">
        <is>
          <t>A 35103-2025</t>
        </is>
      </c>
      <c r="B215" s="1" t="n">
        <v>45852.56914351852</v>
      </c>
      <c r="C215" s="1" t="n">
        <v>46061</v>
      </c>
      <c r="D215" t="inlineStr">
        <is>
          <t>DALARNAS LÄN</t>
        </is>
      </c>
      <c r="E215" t="inlineStr">
        <is>
          <t>HEDEMORA</t>
        </is>
      </c>
      <c r="G215" t="n">
        <v>6.2</v>
      </c>
      <c r="H215" t="n">
        <v>0</v>
      </c>
      <c r="I215" t="n">
        <v>0</v>
      </c>
      <c r="J215" t="n">
        <v>0</v>
      </c>
      <c r="K215" t="n">
        <v>0</v>
      </c>
      <c r="L215" t="n">
        <v>0</v>
      </c>
      <c r="M215" t="n">
        <v>0</v>
      </c>
      <c r="N215" t="n">
        <v>0</v>
      </c>
      <c r="O215" t="n">
        <v>0</v>
      </c>
      <c r="P215" t="n">
        <v>0</v>
      </c>
      <c r="Q215" t="n">
        <v>0</v>
      </c>
      <c r="R215" s="2" t="inlineStr"/>
    </row>
    <row r="216" ht="15" customHeight="1">
      <c r="A216" t="inlineStr">
        <is>
          <t>A 51695-2025</t>
        </is>
      </c>
      <c r="B216" s="1" t="n">
        <v>45951.54824074074</v>
      </c>
      <c r="C216" s="1" t="n">
        <v>46061</v>
      </c>
      <c r="D216" t="inlineStr">
        <is>
          <t>DALARNAS LÄN</t>
        </is>
      </c>
      <c r="E216" t="inlineStr">
        <is>
          <t>HEDEMORA</t>
        </is>
      </c>
      <c r="G216" t="n">
        <v>2.1</v>
      </c>
      <c r="H216" t="n">
        <v>0</v>
      </c>
      <c r="I216" t="n">
        <v>0</v>
      </c>
      <c r="J216" t="n">
        <v>0</v>
      </c>
      <c r="K216" t="n">
        <v>0</v>
      </c>
      <c r="L216" t="n">
        <v>0</v>
      </c>
      <c r="M216" t="n">
        <v>0</v>
      </c>
      <c r="N216" t="n">
        <v>0</v>
      </c>
      <c r="O216" t="n">
        <v>0</v>
      </c>
      <c r="P216" t="n">
        <v>0</v>
      </c>
      <c r="Q216" t="n">
        <v>0</v>
      </c>
      <c r="R216" s="2" t="inlineStr"/>
    </row>
    <row r="217" ht="15" customHeight="1">
      <c r="A217" t="inlineStr">
        <is>
          <t>A 53584-2023</t>
        </is>
      </c>
      <c r="B217" s="1" t="n">
        <v>45230</v>
      </c>
      <c r="C217" s="1" t="n">
        <v>46061</v>
      </c>
      <c r="D217" t="inlineStr">
        <is>
          <t>DALARNAS LÄN</t>
        </is>
      </c>
      <c r="E217" t="inlineStr">
        <is>
          <t>HEDEMORA</t>
        </is>
      </c>
      <c r="G217" t="n">
        <v>6.6</v>
      </c>
      <c r="H217" t="n">
        <v>0</v>
      </c>
      <c r="I217" t="n">
        <v>0</v>
      </c>
      <c r="J217" t="n">
        <v>0</v>
      </c>
      <c r="K217" t="n">
        <v>0</v>
      </c>
      <c r="L217" t="n">
        <v>0</v>
      </c>
      <c r="M217" t="n">
        <v>0</v>
      </c>
      <c r="N217" t="n">
        <v>0</v>
      </c>
      <c r="O217" t="n">
        <v>0</v>
      </c>
      <c r="P217" t="n">
        <v>0</v>
      </c>
      <c r="Q217" t="n">
        <v>0</v>
      </c>
      <c r="R217" s="2" t="inlineStr"/>
    </row>
    <row r="218" ht="15" customHeight="1">
      <c r="A218" t="inlineStr">
        <is>
          <t>A 60786-2023</t>
        </is>
      </c>
      <c r="B218" s="1" t="n">
        <v>45260.64891203704</v>
      </c>
      <c r="C218" s="1" t="n">
        <v>46061</v>
      </c>
      <c r="D218" t="inlineStr">
        <is>
          <t>DALARNAS LÄN</t>
        </is>
      </c>
      <c r="E218" t="inlineStr">
        <is>
          <t>HEDEMORA</t>
        </is>
      </c>
      <c r="G218" t="n">
        <v>7.1</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44348.64942129629</v>
      </c>
      <c r="C219" s="1" t="n">
        <v>46061</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15048-2025</t>
        </is>
      </c>
      <c r="B220" s="1" t="n">
        <v>45743.69820601852</v>
      </c>
      <c r="C220" s="1" t="n">
        <v>46061</v>
      </c>
      <c r="D220" t="inlineStr">
        <is>
          <t>DALARNAS LÄN</t>
        </is>
      </c>
      <c r="E220" t="inlineStr">
        <is>
          <t>HEDEMORA</t>
        </is>
      </c>
      <c r="F220" t="inlineStr">
        <is>
          <t>Sveaskog</t>
        </is>
      </c>
      <c r="G220" t="n">
        <v>9.1</v>
      </c>
      <c r="H220" t="n">
        <v>0</v>
      </c>
      <c r="I220" t="n">
        <v>0</v>
      </c>
      <c r="J220" t="n">
        <v>0</v>
      </c>
      <c r="K220" t="n">
        <v>0</v>
      </c>
      <c r="L220" t="n">
        <v>0</v>
      </c>
      <c r="M220" t="n">
        <v>0</v>
      </c>
      <c r="N220" t="n">
        <v>0</v>
      </c>
      <c r="O220" t="n">
        <v>0</v>
      </c>
      <c r="P220" t="n">
        <v>0</v>
      </c>
      <c r="Q220" t="n">
        <v>0</v>
      </c>
      <c r="R220" s="2" t="inlineStr"/>
    </row>
    <row r="221" ht="15" customHeight="1">
      <c r="A221" t="inlineStr">
        <is>
          <t>A 15054-2025</t>
        </is>
      </c>
      <c r="B221" s="1" t="n">
        <v>45743.70199074074</v>
      </c>
      <c r="C221" s="1" t="n">
        <v>46061</v>
      </c>
      <c r="D221" t="inlineStr">
        <is>
          <t>DALARNAS LÄN</t>
        </is>
      </c>
      <c r="E221" t="inlineStr">
        <is>
          <t>HEDEMORA</t>
        </is>
      </c>
      <c r="F221" t="inlineStr">
        <is>
          <t>Sveaskog</t>
        </is>
      </c>
      <c r="G221" t="n">
        <v>5.2</v>
      </c>
      <c r="H221" t="n">
        <v>0</v>
      </c>
      <c r="I221" t="n">
        <v>0</v>
      </c>
      <c r="J221" t="n">
        <v>0</v>
      </c>
      <c r="K221" t="n">
        <v>0</v>
      </c>
      <c r="L221" t="n">
        <v>0</v>
      </c>
      <c r="M221" t="n">
        <v>0</v>
      </c>
      <c r="N221" t="n">
        <v>0</v>
      </c>
      <c r="O221" t="n">
        <v>0</v>
      </c>
      <c r="P221" t="n">
        <v>0</v>
      </c>
      <c r="Q221" t="n">
        <v>0</v>
      </c>
      <c r="R221" s="2" t="inlineStr"/>
    </row>
    <row r="222" ht="15" customHeight="1">
      <c r="A222" t="inlineStr">
        <is>
          <t>A 57745-2024</t>
        </is>
      </c>
      <c r="B222" s="1" t="n">
        <v>45630.77605324074</v>
      </c>
      <c r="C222" s="1" t="n">
        <v>46061</v>
      </c>
      <c r="D222" t="inlineStr">
        <is>
          <t>DALARNAS LÄN</t>
        </is>
      </c>
      <c r="E222" t="inlineStr">
        <is>
          <t>HEDEMORA</t>
        </is>
      </c>
      <c r="G222" t="n">
        <v>1.1</v>
      </c>
      <c r="H222" t="n">
        <v>0</v>
      </c>
      <c r="I222" t="n">
        <v>0</v>
      </c>
      <c r="J222" t="n">
        <v>0</v>
      </c>
      <c r="K222" t="n">
        <v>0</v>
      </c>
      <c r="L222" t="n">
        <v>0</v>
      </c>
      <c r="M222" t="n">
        <v>0</v>
      </c>
      <c r="N222" t="n">
        <v>0</v>
      </c>
      <c r="O222" t="n">
        <v>0</v>
      </c>
      <c r="P222" t="n">
        <v>0</v>
      </c>
      <c r="Q222" t="n">
        <v>0</v>
      </c>
      <c r="R222" s="2" t="inlineStr"/>
    </row>
    <row r="223" ht="15" customHeight="1">
      <c r="A223" t="inlineStr">
        <is>
          <t>A 36075-2025</t>
        </is>
      </c>
      <c r="B223" s="1" t="n">
        <v>45866.43974537037</v>
      </c>
      <c r="C223" s="1" t="n">
        <v>46061</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52328-2025</t>
        </is>
      </c>
      <c r="B224" s="1" t="n">
        <v>45953.67157407408</v>
      </c>
      <c r="C224" s="1" t="n">
        <v>46061</v>
      </c>
      <c r="D224" t="inlineStr">
        <is>
          <t>DALARNAS LÄN</t>
        </is>
      </c>
      <c r="E224" t="inlineStr">
        <is>
          <t>HEDEMORA</t>
        </is>
      </c>
      <c r="F224" t="inlineStr">
        <is>
          <t>Sveaskog</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36103-2025</t>
        </is>
      </c>
      <c r="B225" s="1" t="n">
        <v>45866.55335648148</v>
      </c>
      <c r="C225" s="1" t="n">
        <v>46061</v>
      </c>
      <c r="D225" t="inlineStr">
        <is>
          <t>DALARNAS LÄN</t>
        </is>
      </c>
      <c r="E225" t="inlineStr">
        <is>
          <t>HEDEMORA</t>
        </is>
      </c>
      <c r="G225" t="n">
        <v>2.3</v>
      </c>
      <c r="H225" t="n">
        <v>0</v>
      </c>
      <c r="I225" t="n">
        <v>0</v>
      </c>
      <c r="J225" t="n">
        <v>0</v>
      </c>
      <c r="K225" t="n">
        <v>0</v>
      </c>
      <c r="L225" t="n">
        <v>0</v>
      </c>
      <c r="M225" t="n">
        <v>0</v>
      </c>
      <c r="N225" t="n">
        <v>0</v>
      </c>
      <c r="O225" t="n">
        <v>0</v>
      </c>
      <c r="P225" t="n">
        <v>0</v>
      </c>
      <c r="Q225" t="n">
        <v>0</v>
      </c>
      <c r="R225" s="2" t="inlineStr"/>
    </row>
    <row r="226" ht="15" customHeight="1">
      <c r="A226" t="inlineStr">
        <is>
          <t>A 52714-2025</t>
        </is>
      </c>
      <c r="B226" s="1" t="n">
        <v>45953</v>
      </c>
      <c r="C226" s="1" t="n">
        <v>46061</v>
      </c>
      <c r="D226" t="inlineStr">
        <is>
          <t>DALARNAS LÄN</t>
        </is>
      </c>
      <c r="E226" t="inlineStr">
        <is>
          <t>HEDEMORA</t>
        </is>
      </c>
      <c r="F226" t="inlineStr">
        <is>
          <t>Bergvik skog väst AB</t>
        </is>
      </c>
      <c r="G226" t="n">
        <v>14.7</v>
      </c>
      <c r="H226" t="n">
        <v>0</v>
      </c>
      <c r="I226" t="n">
        <v>0</v>
      </c>
      <c r="J226" t="n">
        <v>0</v>
      </c>
      <c r="K226" t="n">
        <v>0</v>
      </c>
      <c r="L226" t="n">
        <v>0</v>
      </c>
      <c r="M226" t="n">
        <v>0</v>
      </c>
      <c r="N226" t="n">
        <v>0</v>
      </c>
      <c r="O226" t="n">
        <v>0</v>
      </c>
      <c r="P226" t="n">
        <v>0</v>
      </c>
      <c r="Q226" t="n">
        <v>0</v>
      </c>
      <c r="R226" s="2" t="inlineStr"/>
    </row>
    <row r="227" ht="15" customHeight="1">
      <c r="A227" t="inlineStr">
        <is>
          <t>A 36117-2025</t>
        </is>
      </c>
      <c r="B227" s="1" t="n">
        <v>45866.58664351852</v>
      </c>
      <c r="C227" s="1" t="n">
        <v>46061</v>
      </c>
      <c r="D227" t="inlineStr">
        <is>
          <t>DALARNAS LÄN</t>
        </is>
      </c>
      <c r="E227" t="inlineStr">
        <is>
          <t>HEDEMORA</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51943-2025</t>
        </is>
      </c>
      <c r="B228" s="1" t="n">
        <v>45952</v>
      </c>
      <c r="C228" s="1" t="n">
        <v>46061</v>
      </c>
      <c r="D228" t="inlineStr">
        <is>
          <t>DALARNAS LÄN</t>
        </is>
      </c>
      <c r="E228" t="inlineStr">
        <is>
          <t>HEDEMORA</t>
        </is>
      </c>
      <c r="G228" t="n">
        <v>4.5</v>
      </c>
      <c r="H228" t="n">
        <v>0</v>
      </c>
      <c r="I228" t="n">
        <v>0</v>
      </c>
      <c r="J228" t="n">
        <v>0</v>
      </c>
      <c r="K228" t="n">
        <v>0</v>
      </c>
      <c r="L228" t="n">
        <v>0</v>
      </c>
      <c r="M228" t="n">
        <v>0</v>
      </c>
      <c r="N228" t="n">
        <v>0</v>
      </c>
      <c r="O228" t="n">
        <v>0</v>
      </c>
      <c r="P228" t="n">
        <v>0</v>
      </c>
      <c r="Q228" t="n">
        <v>0</v>
      </c>
      <c r="R228" s="2" t="inlineStr"/>
    </row>
    <row r="229" ht="15" customHeight="1">
      <c r="A229" t="inlineStr">
        <is>
          <t>A 36206-2025</t>
        </is>
      </c>
      <c r="B229" s="1" t="n">
        <v>45867.45057870371</v>
      </c>
      <c r="C229" s="1" t="n">
        <v>46061</v>
      </c>
      <c r="D229" t="inlineStr">
        <is>
          <t>DALARNAS LÄN</t>
        </is>
      </c>
      <c r="E229" t="inlineStr">
        <is>
          <t>HEDEMORA</t>
        </is>
      </c>
      <c r="G229" t="n">
        <v>0.1</v>
      </c>
      <c r="H229" t="n">
        <v>0</v>
      </c>
      <c r="I229" t="n">
        <v>0</v>
      </c>
      <c r="J229" t="n">
        <v>0</v>
      </c>
      <c r="K229" t="n">
        <v>0</v>
      </c>
      <c r="L229" t="n">
        <v>0</v>
      </c>
      <c r="M229" t="n">
        <v>0</v>
      </c>
      <c r="N229" t="n">
        <v>0</v>
      </c>
      <c r="O229" t="n">
        <v>0</v>
      </c>
      <c r="P229" t="n">
        <v>0</v>
      </c>
      <c r="Q229" t="n">
        <v>0</v>
      </c>
      <c r="R229" s="2" t="inlineStr"/>
    </row>
    <row r="230" ht="15" customHeight="1">
      <c r="A230" t="inlineStr">
        <is>
          <t>A 52316-2025</t>
        </is>
      </c>
      <c r="B230" s="1" t="n">
        <v>45953.65537037037</v>
      </c>
      <c r="C230" s="1" t="n">
        <v>46061</v>
      </c>
      <c r="D230" t="inlineStr">
        <is>
          <t>DALARNAS LÄN</t>
        </is>
      </c>
      <c r="E230" t="inlineStr">
        <is>
          <t>HEDEMORA</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52325-2025</t>
        </is>
      </c>
      <c r="B231" s="1" t="n">
        <v>45953.67032407408</v>
      </c>
      <c r="C231" s="1" t="n">
        <v>46061</v>
      </c>
      <c r="D231" t="inlineStr">
        <is>
          <t>DALARNAS LÄN</t>
        </is>
      </c>
      <c r="E231" t="inlineStr">
        <is>
          <t>HEDEMORA</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52759-2025</t>
        </is>
      </c>
      <c r="B232" s="1" t="n">
        <v>45957.39364583333</v>
      </c>
      <c r="C232" s="1" t="n">
        <v>46061</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52853-2025</t>
        </is>
      </c>
      <c r="B233" s="1" t="n">
        <v>45957.49408564815</v>
      </c>
      <c r="C233" s="1" t="n">
        <v>46061</v>
      </c>
      <c r="D233" t="inlineStr">
        <is>
          <t>DALARNAS LÄN</t>
        </is>
      </c>
      <c r="E233" t="inlineStr">
        <is>
          <t>HEDEMORA</t>
        </is>
      </c>
      <c r="G233" t="n">
        <v>1.5</v>
      </c>
      <c r="H233" t="n">
        <v>0</v>
      </c>
      <c r="I233" t="n">
        <v>0</v>
      </c>
      <c r="J233" t="n">
        <v>0</v>
      </c>
      <c r="K233" t="n">
        <v>0</v>
      </c>
      <c r="L233" t="n">
        <v>0</v>
      </c>
      <c r="M233" t="n">
        <v>0</v>
      </c>
      <c r="N233" t="n">
        <v>0</v>
      </c>
      <c r="O233" t="n">
        <v>0</v>
      </c>
      <c r="P233" t="n">
        <v>0</v>
      </c>
      <c r="Q233" t="n">
        <v>0</v>
      </c>
      <c r="R233" s="2" t="inlineStr"/>
    </row>
    <row r="234" ht="15" customHeight="1">
      <c r="A234" t="inlineStr">
        <is>
          <t>A 36656-2025</t>
        </is>
      </c>
      <c r="B234" s="1" t="n">
        <v>45873.34642361111</v>
      </c>
      <c r="C234" s="1" t="n">
        <v>46061</v>
      </c>
      <c r="D234" t="inlineStr">
        <is>
          <t>DALARNAS LÄN</t>
        </is>
      </c>
      <c r="E234" t="inlineStr">
        <is>
          <t>HEDEMORA</t>
        </is>
      </c>
      <c r="G234" t="n">
        <v>1.7</v>
      </c>
      <c r="H234" t="n">
        <v>0</v>
      </c>
      <c r="I234" t="n">
        <v>0</v>
      </c>
      <c r="J234" t="n">
        <v>0</v>
      </c>
      <c r="K234" t="n">
        <v>0</v>
      </c>
      <c r="L234" t="n">
        <v>0</v>
      </c>
      <c r="M234" t="n">
        <v>0</v>
      </c>
      <c r="N234" t="n">
        <v>0</v>
      </c>
      <c r="O234" t="n">
        <v>0</v>
      </c>
      <c r="P234" t="n">
        <v>0</v>
      </c>
      <c r="Q234" t="n">
        <v>0</v>
      </c>
      <c r="R234" s="2" t="inlineStr"/>
    </row>
    <row r="235" ht="15" customHeight="1">
      <c r="A235" t="inlineStr">
        <is>
          <t>A 48254-2023</t>
        </is>
      </c>
      <c r="B235" s="1" t="n">
        <v>45205.53241898148</v>
      </c>
      <c r="C235" s="1" t="n">
        <v>46061</v>
      </c>
      <c r="D235" t="inlineStr">
        <is>
          <t>DALARNAS LÄN</t>
        </is>
      </c>
      <c r="E235" t="inlineStr">
        <is>
          <t>HEDEMORA</t>
        </is>
      </c>
      <c r="F235" t="inlineStr">
        <is>
          <t>Sveaskog</t>
        </is>
      </c>
      <c r="G235" t="n">
        <v>1.5</v>
      </c>
      <c r="H235" t="n">
        <v>0</v>
      </c>
      <c r="I235" t="n">
        <v>0</v>
      </c>
      <c r="J235" t="n">
        <v>0</v>
      </c>
      <c r="K235" t="n">
        <v>0</v>
      </c>
      <c r="L235" t="n">
        <v>0</v>
      </c>
      <c r="M235" t="n">
        <v>0</v>
      </c>
      <c r="N235" t="n">
        <v>0</v>
      </c>
      <c r="O235" t="n">
        <v>0</v>
      </c>
      <c r="P235" t="n">
        <v>0</v>
      </c>
      <c r="Q235" t="n">
        <v>0</v>
      </c>
      <c r="R235" s="2" t="inlineStr"/>
      <c r="U235">
        <f>HYPERLINK("https://klasma.github.io/Logging_2083/knärot/A 48254-2023 karta knärot.png", "A 48254-2023")</f>
        <v/>
      </c>
      <c r="V235">
        <f>HYPERLINK("https://klasma.github.io/Logging_2083/klagomål/A 48254-2023 FSC-klagomål.docx", "A 48254-2023")</f>
        <v/>
      </c>
      <c r="W235">
        <f>HYPERLINK("https://klasma.github.io/Logging_2083/klagomålsmail/A 48254-2023 FSC-klagomål mail.docx", "A 48254-2023")</f>
        <v/>
      </c>
      <c r="X235">
        <f>HYPERLINK("https://klasma.github.io/Logging_2083/tillsyn/A 48254-2023 tillsynsbegäran.docx", "A 48254-2023")</f>
        <v/>
      </c>
      <c r="Y235">
        <f>HYPERLINK("https://klasma.github.io/Logging_2083/tillsynsmail/A 48254-2023 tillsynsbegäran mail.docx", "A 48254-2023")</f>
        <v/>
      </c>
    </row>
    <row r="236" ht="15" customHeight="1">
      <c r="A236" t="inlineStr">
        <is>
          <t>A 20271-2025</t>
        </is>
      </c>
      <c r="B236" s="1" t="n">
        <v>45773.71568287037</v>
      </c>
      <c r="C236" s="1" t="n">
        <v>46061</v>
      </c>
      <c r="D236" t="inlineStr">
        <is>
          <t>DALARNAS LÄN</t>
        </is>
      </c>
      <c r="E236" t="inlineStr">
        <is>
          <t>HEDEMORA</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20273-2025</t>
        </is>
      </c>
      <c r="B237" s="1" t="n">
        <v>45773.71921296296</v>
      </c>
      <c r="C237" s="1" t="n">
        <v>46061</v>
      </c>
      <c r="D237" t="inlineStr">
        <is>
          <t>DALARNAS LÄN</t>
        </is>
      </c>
      <c r="E237" t="inlineStr">
        <is>
          <t>HEDEMORA</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29128-2025</t>
        </is>
      </c>
      <c r="B238" s="1" t="n">
        <v>45821.60116898148</v>
      </c>
      <c r="C238" s="1" t="n">
        <v>46061</v>
      </c>
      <c r="D238" t="inlineStr">
        <is>
          <t>DALARNAS LÄN</t>
        </is>
      </c>
      <c r="E238" t="inlineStr">
        <is>
          <t>HEDEMORA</t>
        </is>
      </c>
      <c r="F238" t="inlineStr">
        <is>
          <t>Sveaskog</t>
        </is>
      </c>
      <c r="G238" t="n">
        <v>15.5</v>
      </c>
      <c r="H238" t="n">
        <v>0</v>
      </c>
      <c r="I238" t="n">
        <v>0</v>
      </c>
      <c r="J238" t="n">
        <v>0</v>
      </c>
      <c r="K238" t="n">
        <v>0</v>
      </c>
      <c r="L238" t="n">
        <v>0</v>
      </c>
      <c r="M238" t="n">
        <v>0</v>
      </c>
      <c r="N238" t="n">
        <v>0</v>
      </c>
      <c r="O238" t="n">
        <v>0</v>
      </c>
      <c r="P238" t="n">
        <v>0</v>
      </c>
      <c r="Q238" t="n">
        <v>0</v>
      </c>
      <c r="R238" s="2" t="inlineStr"/>
    </row>
    <row r="239" ht="15" customHeight="1">
      <c r="A239" t="inlineStr">
        <is>
          <t>A 29792-2025</t>
        </is>
      </c>
      <c r="B239" s="1" t="n">
        <v>45825.66416666667</v>
      </c>
      <c r="C239" s="1" t="n">
        <v>46061</v>
      </c>
      <c r="D239" t="inlineStr">
        <is>
          <t>DALARNAS LÄN</t>
        </is>
      </c>
      <c r="E239" t="inlineStr">
        <is>
          <t>HEDEMORA</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65057-2023</t>
        </is>
      </c>
      <c r="B240" s="1" t="n">
        <v>45287</v>
      </c>
      <c r="C240" s="1" t="n">
        <v>46061</v>
      </c>
      <c r="D240" t="inlineStr">
        <is>
          <t>DALARNAS LÄN</t>
        </is>
      </c>
      <c r="E240" t="inlineStr">
        <is>
          <t>HEDEMORA</t>
        </is>
      </c>
      <c r="G240" t="n">
        <v>1.8</v>
      </c>
      <c r="H240" t="n">
        <v>0</v>
      </c>
      <c r="I240" t="n">
        <v>0</v>
      </c>
      <c r="J240" t="n">
        <v>0</v>
      </c>
      <c r="K240" t="n">
        <v>0</v>
      </c>
      <c r="L240" t="n">
        <v>0</v>
      </c>
      <c r="M240" t="n">
        <v>0</v>
      </c>
      <c r="N240" t="n">
        <v>0</v>
      </c>
      <c r="O240" t="n">
        <v>0</v>
      </c>
      <c r="P240" t="n">
        <v>0</v>
      </c>
      <c r="Q240" t="n">
        <v>0</v>
      </c>
      <c r="R240" s="2" t="inlineStr"/>
    </row>
    <row r="241" ht="15" customHeight="1">
      <c r="A241" t="inlineStr">
        <is>
          <t>A 53040-2025</t>
        </is>
      </c>
      <c r="B241" s="1" t="n">
        <v>45958.35328703704</v>
      </c>
      <c r="C241" s="1" t="n">
        <v>46061</v>
      </c>
      <c r="D241" t="inlineStr">
        <is>
          <t>DALARNAS LÄN</t>
        </is>
      </c>
      <c r="E241" t="inlineStr">
        <is>
          <t>HEDEMORA</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53042-2025</t>
        </is>
      </c>
      <c r="B242" s="1" t="n">
        <v>45958.35527777778</v>
      </c>
      <c r="C242" s="1" t="n">
        <v>46061</v>
      </c>
      <c r="D242" t="inlineStr">
        <is>
          <t>DALARNAS LÄN</t>
        </is>
      </c>
      <c r="E242" t="inlineStr">
        <is>
          <t>HEDEMORA</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53044-2025</t>
        </is>
      </c>
      <c r="B243" s="1" t="n">
        <v>45958.35663194444</v>
      </c>
      <c r="C243" s="1" t="n">
        <v>46061</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53551-2025</t>
        </is>
      </c>
      <c r="B244" s="1" t="n">
        <v>45960.3875</v>
      </c>
      <c r="C244" s="1" t="n">
        <v>46061</v>
      </c>
      <c r="D244" t="inlineStr">
        <is>
          <t>DALARNAS LÄN</t>
        </is>
      </c>
      <c r="E244" t="inlineStr">
        <is>
          <t>HEDEMORA</t>
        </is>
      </c>
      <c r="G244" t="n">
        <v>6.2</v>
      </c>
      <c r="H244" t="n">
        <v>0</v>
      </c>
      <c r="I244" t="n">
        <v>0</v>
      </c>
      <c r="J244" t="n">
        <v>0</v>
      </c>
      <c r="K244" t="n">
        <v>0</v>
      </c>
      <c r="L244" t="n">
        <v>0</v>
      </c>
      <c r="M244" t="n">
        <v>0</v>
      </c>
      <c r="N244" t="n">
        <v>0</v>
      </c>
      <c r="O244" t="n">
        <v>0</v>
      </c>
      <c r="P244" t="n">
        <v>0</v>
      </c>
      <c r="Q244" t="n">
        <v>0</v>
      </c>
      <c r="R244" s="2" t="inlineStr"/>
    </row>
    <row r="245" ht="15" customHeight="1">
      <c r="A245" t="inlineStr">
        <is>
          <t>A 21864-2025</t>
        </is>
      </c>
      <c r="B245" s="1" t="n">
        <v>45784</v>
      </c>
      <c r="C245" s="1" t="n">
        <v>46061</v>
      </c>
      <c r="D245" t="inlineStr">
        <is>
          <t>DALARNAS LÄN</t>
        </is>
      </c>
      <c r="E245" t="inlineStr">
        <is>
          <t>HEDEMORA</t>
        </is>
      </c>
      <c r="F245" t="inlineStr">
        <is>
          <t>Sveaskog</t>
        </is>
      </c>
      <c r="G245" t="n">
        <v>5.1</v>
      </c>
      <c r="H245" t="n">
        <v>0</v>
      </c>
      <c r="I245" t="n">
        <v>0</v>
      </c>
      <c r="J245" t="n">
        <v>0</v>
      </c>
      <c r="K245" t="n">
        <v>0</v>
      </c>
      <c r="L245" t="n">
        <v>0</v>
      </c>
      <c r="M245" t="n">
        <v>0</v>
      </c>
      <c r="N245" t="n">
        <v>0</v>
      </c>
      <c r="O245" t="n">
        <v>0</v>
      </c>
      <c r="P245" t="n">
        <v>0</v>
      </c>
      <c r="Q245" t="n">
        <v>0</v>
      </c>
      <c r="R245" s="2" t="inlineStr"/>
    </row>
    <row r="246" ht="15" customHeight="1">
      <c r="A246" t="inlineStr">
        <is>
          <t>A 54040-2025</t>
        </is>
      </c>
      <c r="B246" s="1" t="n">
        <v>45963.74130787037</v>
      </c>
      <c r="C246" s="1" t="n">
        <v>46061</v>
      </c>
      <c r="D246" t="inlineStr">
        <is>
          <t>DALARNAS LÄN</t>
        </is>
      </c>
      <c r="E246" t="inlineStr">
        <is>
          <t>HEDEMORA</t>
        </is>
      </c>
      <c r="G246" t="n">
        <v>0.5</v>
      </c>
      <c r="H246" t="n">
        <v>0</v>
      </c>
      <c r="I246" t="n">
        <v>0</v>
      </c>
      <c r="J246" t="n">
        <v>0</v>
      </c>
      <c r="K246" t="n">
        <v>0</v>
      </c>
      <c r="L246" t="n">
        <v>0</v>
      </c>
      <c r="M246" t="n">
        <v>0</v>
      </c>
      <c r="N246" t="n">
        <v>0</v>
      </c>
      <c r="O246" t="n">
        <v>0</v>
      </c>
      <c r="P246" t="n">
        <v>0</v>
      </c>
      <c r="Q246" t="n">
        <v>0</v>
      </c>
      <c r="R246" s="2" t="inlineStr"/>
    </row>
    <row r="247" ht="15" customHeight="1">
      <c r="A247" t="inlineStr">
        <is>
          <t>A 55832-2024</t>
        </is>
      </c>
      <c r="B247" s="1" t="n">
        <v>45623.48604166666</v>
      </c>
      <c r="C247" s="1" t="n">
        <v>46061</v>
      </c>
      <c r="D247" t="inlineStr">
        <is>
          <t>DALARNAS LÄN</t>
        </is>
      </c>
      <c r="E247" t="inlineStr">
        <is>
          <t>HEDEMORA</t>
        </is>
      </c>
      <c r="G247" t="n">
        <v>3</v>
      </c>
      <c r="H247" t="n">
        <v>0</v>
      </c>
      <c r="I247" t="n">
        <v>0</v>
      </c>
      <c r="J247" t="n">
        <v>0</v>
      </c>
      <c r="K247" t="n">
        <v>0</v>
      </c>
      <c r="L247" t="n">
        <v>0</v>
      </c>
      <c r="M247" t="n">
        <v>0</v>
      </c>
      <c r="N247" t="n">
        <v>0</v>
      </c>
      <c r="O247" t="n">
        <v>0</v>
      </c>
      <c r="P247" t="n">
        <v>0</v>
      </c>
      <c r="Q247" t="n">
        <v>0</v>
      </c>
      <c r="R247" s="2" t="inlineStr"/>
    </row>
    <row r="248" ht="15" customHeight="1">
      <c r="A248" t="inlineStr">
        <is>
          <t>A 19690-2025</t>
        </is>
      </c>
      <c r="B248" s="1" t="n">
        <v>45770</v>
      </c>
      <c r="C248" s="1" t="n">
        <v>46061</v>
      </c>
      <c r="D248" t="inlineStr">
        <is>
          <t>DALARNAS LÄN</t>
        </is>
      </c>
      <c r="E248" t="inlineStr">
        <is>
          <t>HEDEMORA</t>
        </is>
      </c>
      <c r="G248" t="n">
        <v>1.6</v>
      </c>
      <c r="H248" t="n">
        <v>0</v>
      </c>
      <c r="I248" t="n">
        <v>0</v>
      </c>
      <c r="J248" t="n">
        <v>0</v>
      </c>
      <c r="K248" t="n">
        <v>0</v>
      </c>
      <c r="L248" t="n">
        <v>0</v>
      </c>
      <c r="M248" t="n">
        <v>0</v>
      </c>
      <c r="N248" t="n">
        <v>0</v>
      </c>
      <c r="O248" t="n">
        <v>0</v>
      </c>
      <c r="P248" t="n">
        <v>0</v>
      </c>
      <c r="Q248" t="n">
        <v>0</v>
      </c>
      <c r="R248" s="2" t="inlineStr"/>
    </row>
    <row r="249" ht="15" customHeight="1">
      <c r="A249" t="inlineStr">
        <is>
          <t>A 32738-2022</t>
        </is>
      </c>
      <c r="B249" s="1" t="n">
        <v>44783.68931712963</v>
      </c>
      <c r="C249" s="1" t="n">
        <v>46061</v>
      </c>
      <c r="D249" t="inlineStr">
        <is>
          <t>DALARNAS LÄN</t>
        </is>
      </c>
      <c r="E249" t="inlineStr">
        <is>
          <t>HEDEMORA</t>
        </is>
      </c>
      <c r="G249" t="n">
        <v>2.6</v>
      </c>
      <c r="H249" t="n">
        <v>0</v>
      </c>
      <c r="I249" t="n">
        <v>0</v>
      </c>
      <c r="J249" t="n">
        <v>0</v>
      </c>
      <c r="K249" t="n">
        <v>0</v>
      </c>
      <c r="L249" t="n">
        <v>0</v>
      </c>
      <c r="M249" t="n">
        <v>0</v>
      </c>
      <c r="N249" t="n">
        <v>0</v>
      </c>
      <c r="O249" t="n">
        <v>0</v>
      </c>
      <c r="P249" t="n">
        <v>0</v>
      </c>
      <c r="Q249" t="n">
        <v>0</v>
      </c>
      <c r="R249" s="2" t="inlineStr"/>
    </row>
    <row r="250" ht="15" customHeight="1">
      <c r="A250" t="inlineStr">
        <is>
          <t>A 60774-2022</t>
        </is>
      </c>
      <c r="B250" s="1" t="n">
        <v>44914.37917824074</v>
      </c>
      <c r="C250" s="1" t="n">
        <v>46061</v>
      </c>
      <c r="D250" t="inlineStr">
        <is>
          <t>DALARNAS LÄN</t>
        </is>
      </c>
      <c r="E250" t="inlineStr">
        <is>
          <t>HEDEMORA</t>
        </is>
      </c>
      <c r="G250" t="n">
        <v>11.5</v>
      </c>
      <c r="H250" t="n">
        <v>0</v>
      </c>
      <c r="I250" t="n">
        <v>0</v>
      </c>
      <c r="J250" t="n">
        <v>0</v>
      </c>
      <c r="K250" t="n">
        <v>0</v>
      </c>
      <c r="L250" t="n">
        <v>0</v>
      </c>
      <c r="M250" t="n">
        <v>0</v>
      </c>
      <c r="N250" t="n">
        <v>0</v>
      </c>
      <c r="O250" t="n">
        <v>0</v>
      </c>
      <c r="P250" t="n">
        <v>0</v>
      </c>
      <c r="Q250" t="n">
        <v>0</v>
      </c>
      <c r="R250" s="2" t="inlineStr"/>
    </row>
    <row r="251" ht="15" customHeight="1">
      <c r="A251" t="inlineStr">
        <is>
          <t>A 33287-2025</t>
        </is>
      </c>
      <c r="B251" s="1" t="n">
        <v>45840.81216435185</v>
      </c>
      <c r="C251" s="1" t="n">
        <v>46061</v>
      </c>
      <c r="D251" t="inlineStr">
        <is>
          <t>DALARNAS LÄN</t>
        </is>
      </c>
      <c r="E251" t="inlineStr">
        <is>
          <t>HEDEMORA</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23435-2025</t>
        </is>
      </c>
      <c r="B252" s="1" t="n">
        <v>45792.37162037037</v>
      </c>
      <c r="C252" s="1" t="n">
        <v>46061</v>
      </c>
      <c r="D252" t="inlineStr">
        <is>
          <t>DALARNAS LÄN</t>
        </is>
      </c>
      <c r="E252" t="inlineStr">
        <is>
          <t>HEDEMORA</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21869-2025</t>
        </is>
      </c>
      <c r="B253" s="1" t="n">
        <v>45784.37449074074</v>
      </c>
      <c r="C253" s="1" t="n">
        <v>46061</v>
      </c>
      <c r="D253" t="inlineStr">
        <is>
          <t>DALARNAS LÄN</t>
        </is>
      </c>
      <c r="E253" t="inlineStr">
        <is>
          <t>HEDEMORA</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21868-2025</t>
        </is>
      </c>
      <c r="B254" s="1" t="n">
        <v>45784</v>
      </c>
      <c r="C254" s="1" t="n">
        <v>46061</v>
      </c>
      <c r="D254" t="inlineStr">
        <is>
          <t>DALARNAS LÄN</t>
        </is>
      </c>
      <c r="E254" t="inlineStr">
        <is>
          <t>HEDEMORA</t>
        </is>
      </c>
      <c r="F254" t="inlineStr">
        <is>
          <t>Sveaskog</t>
        </is>
      </c>
      <c r="G254" t="n">
        <v>10.1</v>
      </c>
      <c r="H254" t="n">
        <v>0</v>
      </c>
      <c r="I254" t="n">
        <v>0</v>
      </c>
      <c r="J254" t="n">
        <v>0</v>
      </c>
      <c r="K254" t="n">
        <v>0</v>
      </c>
      <c r="L254" t="n">
        <v>0</v>
      </c>
      <c r="M254" t="n">
        <v>0</v>
      </c>
      <c r="N254" t="n">
        <v>0</v>
      </c>
      <c r="O254" t="n">
        <v>0</v>
      </c>
      <c r="P254" t="n">
        <v>0</v>
      </c>
      <c r="Q254" t="n">
        <v>0</v>
      </c>
      <c r="R254" s="2" t="inlineStr"/>
    </row>
    <row r="255" ht="15" customHeight="1">
      <c r="A255" t="inlineStr">
        <is>
          <t>A 26449-2024</t>
        </is>
      </c>
      <c r="B255" s="1" t="n">
        <v>45469.50783564815</v>
      </c>
      <c r="C255" s="1" t="n">
        <v>46061</v>
      </c>
      <c r="D255" t="inlineStr">
        <is>
          <t>DALARNAS LÄN</t>
        </is>
      </c>
      <c r="E255" t="inlineStr">
        <is>
          <t>HEDEMORA</t>
        </is>
      </c>
      <c r="G255" t="n">
        <v>4.5</v>
      </c>
      <c r="H255" t="n">
        <v>0</v>
      </c>
      <c r="I255" t="n">
        <v>0</v>
      </c>
      <c r="J255" t="n">
        <v>0</v>
      </c>
      <c r="K255" t="n">
        <v>0</v>
      </c>
      <c r="L255" t="n">
        <v>0</v>
      </c>
      <c r="M255" t="n">
        <v>0</v>
      </c>
      <c r="N255" t="n">
        <v>0</v>
      </c>
      <c r="O255" t="n">
        <v>0</v>
      </c>
      <c r="P255" t="n">
        <v>0</v>
      </c>
      <c r="Q255" t="n">
        <v>0</v>
      </c>
      <c r="R255" s="2" t="inlineStr"/>
    </row>
    <row r="256" ht="15" customHeight="1">
      <c r="A256" t="inlineStr">
        <is>
          <t>A 54829-2025</t>
        </is>
      </c>
      <c r="B256" s="1" t="n">
        <v>45966.67506944444</v>
      </c>
      <c r="C256" s="1" t="n">
        <v>46061</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54830-2025</t>
        </is>
      </c>
      <c r="B257" s="1" t="n">
        <v>45966.67681712963</v>
      </c>
      <c r="C257" s="1" t="n">
        <v>46061</v>
      </c>
      <c r="D257" t="inlineStr">
        <is>
          <t>DALARNAS LÄN</t>
        </is>
      </c>
      <c r="E257" t="inlineStr">
        <is>
          <t>HEDEMORA</t>
        </is>
      </c>
      <c r="G257" t="n">
        <v>1.4</v>
      </c>
      <c r="H257" t="n">
        <v>0</v>
      </c>
      <c r="I257" t="n">
        <v>0</v>
      </c>
      <c r="J257" t="n">
        <v>0</v>
      </c>
      <c r="K257" t="n">
        <v>0</v>
      </c>
      <c r="L257" t="n">
        <v>0</v>
      </c>
      <c r="M257" t="n">
        <v>0</v>
      </c>
      <c r="N257" t="n">
        <v>0</v>
      </c>
      <c r="O257" t="n">
        <v>0</v>
      </c>
      <c r="P257" t="n">
        <v>0</v>
      </c>
      <c r="Q257" t="n">
        <v>0</v>
      </c>
      <c r="R257" s="2" t="inlineStr"/>
    </row>
    <row r="258" ht="15" customHeight="1">
      <c r="A258" t="inlineStr">
        <is>
          <t>A 48147-2025</t>
        </is>
      </c>
      <c r="B258" s="1" t="n">
        <v>45933</v>
      </c>
      <c r="C258" s="1" t="n">
        <v>46061</v>
      </c>
      <c r="D258" t="inlineStr">
        <is>
          <t>DALARNAS LÄN</t>
        </is>
      </c>
      <c r="E258" t="inlineStr">
        <is>
          <t>HEDEMORA</t>
        </is>
      </c>
      <c r="G258" t="n">
        <v>6.6</v>
      </c>
      <c r="H258" t="n">
        <v>0</v>
      </c>
      <c r="I258" t="n">
        <v>0</v>
      </c>
      <c r="J258" t="n">
        <v>0</v>
      </c>
      <c r="K258" t="n">
        <v>0</v>
      </c>
      <c r="L258" t="n">
        <v>0</v>
      </c>
      <c r="M258" t="n">
        <v>0</v>
      </c>
      <c r="N258" t="n">
        <v>0</v>
      </c>
      <c r="O258" t="n">
        <v>0</v>
      </c>
      <c r="P258" t="n">
        <v>0</v>
      </c>
      <c r="Q258" t="n">
        <v>0</v>
      </c>
      <c r="R258" s="2" t="inlineStr"/>
    </row>
    <row r="259" ht="15" customHeight="1">
      <c r="A259" t="inlineStr">
        <is>
          <t>A 55159-2025</t>
        </is>
      </c>
      <c r="B259" s="1" t="n">
        <v>45968.46832175926</v>
      </c>
      <c r="C259" s="1" t="n">
        <v>46061</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33288-2025</t>
        </is>
      </c>
      <c r="B260" s="1" t="n">
        <v>45840</v>
      </c>
      <c r="C260" s="1" t="n">
        <v>46061</v>
      </c>
      <c r="D260" t="inlineStr">
        <is>
          <t>DALARNAS LÄN</t>
        </is>
      </c>
      <c r="E260" t="inlineStr">
        <is>
          <t>HEDEMORA</t>
        </is>
      </c>
      <c r="F260" t="inlineStr">
        <is>
          <t>Sveaskog</t>
        </is>
      </c>
      <c r="G260" t="n">
        <v>3.5</v>
      </c>
      <c r="H260" t="n">
        <v>0</v>
      </c>
      <c r="I260" t="n">
        <v>0</v>
      </c>
      <c r="J260" t="n">
        <v>0</v>
      </c>
      <c r="K260" t="n">
        <v>0</v>
      </c>
      <c r="L260" t="n">
        <v>0</v>
      </c>
      <c r="M260" t="n">
        <v>0</v>
      </c>
      <c r="N260" t="n">
        <v>0</v>
      </c>
      <c r="O260" t="n">
        <v>0</v>
      </c>
      <c r="P260" t="n">
        <v>0</v>
      </c>
      <c r="Q260" t="n">
        <v>0</v>
      </c>
      <c r="R260" s="2" t="inlineStr"/>
    </row>
    <row r="261" ht="15" customHeight="1">
      <c r="A261" t="inlineStr">
        <is>
          <t>A 39389-2025</t>
        </is>
      </c>
      <c r="B261" s="1" t="n">
        <v>45889.62181712963</v>
      </c>
      <c r="C261" s="1" t="n">
        <v>46061</v>
      </c>
      <c r="D261" t="inlineStr">
        <is>
          <t>DALARNAS LÄN</t>
        </is>
      </c>
      <c r="E261" t="inlineStr">
        <is>
          <t>HEDEMORA</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42894-2024</t>
        </is>
      </c>
      <c r="B262" s="1" t="n">
        <v>45566.82304398148</v>
      </c>
      <c r="C262" s="1" t="n">
        <v>46061</v>
      </c>
      <c r="D262" t="inlineStr">
        <is>
          <t>DALARNAS LÄN</t>
        </is>
      </c>
      <c r="E262" t="inlineStr">
        <is>
          <t>HEDEMORA</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42895-2024</t>
        </is>
      </c>
      <c r="B263" s="1" t="n">
        <v>45566.82385416667</v>
      </c>
      <c r="C263" s="1" t="n">
        <v>46061</v>
      </c>
      <c r="D263" t="inlineStr">
        <is>
          <t>DALARNAS LÄN</t>
        </is>
      </c>
      <c r="E263" t="inlineStr">
        <is>
          <t>HEDEMORA</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31365-2024</t>
        </is>
      </c>
      <c r="B264" s="1" t="n">
        <v>45505.37086805556</v>
      </c>
      <c r="C264" s="1" t="n">
        <v>46061</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55917-2025</t>
        </is>
      </c>
      <c r="B265" s="1" t="n">
        <v>45973.41158564815</v>
      </c>
      <c r="C265" s="1" t="n">
        <v>46061</v>
      </c>
      <c r="D265" t="inlineStr">
        <is>
          <t>DALARNAS LÄN</t>
        </is>
      </c>
      <c r="E265" t="inlineStr">
        <is>
          <t>HEDEMORA</t>
        </is>
      </c>
      <c r="G265" t="n">
        <v>7.8</v>
      </c>
      <c r="H265" t="n">
        <v>0</v>
      </c>
      <c r="I265" t="n">
        <v>0</v>
      </c>
      <c r="J265" t="n">
        <v>0</v>
      </c>
      <c r="K265" t="n">
        <v>0</v>
      </c>
      <c r="L265" t="n">
        <v>0</v>
      </c>
      <c r="M265" t="n">
        <v>0</v>
      </c>
      <c r="N265" t="n">
        <v>0</v>
      </c>
      <c r="O265" t="n">
        <v>0</v>
      </c>
      <c r="P265" t="n">
        <v>0</v>
      </c>
      <c r="Q265" t="n">
        <v>0</v>
      </c>
      <c r="R265" s="2" t="inlineStr"/>
    </row>
    <row r="266" ht="15" customHeight="1">
      <c r="A266" t="inlineStr">
        <is>
          <t>A 55601-2025</t>
        </is>
      </c>
      <c r="B266" s="1" t="n">
        <v>45971.78122685185</v>
      </c>
      <c r="C266" s="1" t="n">
        <v>46061</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55606-2025</t>
        </is>
      </c>
      <c r="B267" s="1" t="n">
        <v>45971.79564814815</v>
      </c>
      <c r="C267" s="1" t="n">
        <v>46061</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36935-2024</t>
        </is>
      </c>
      <c r="B268" s="1" t="n">
        <v>45538.56925925926</v>
      </c>
      <c r="C268" s="1" t="n">
        <v>46061</v>
      </c>
      <c r="D268" t="inlineStr">
        <is>
          <t>DALARNAS LÄN</t>
        </is>
      </c>
      <c r="E268" t="inlineStr">
        <is>
          <t>HEDEMORA</t>
        </is>
      </c>
      <c r="G268" t="n">
        <v>1.4</v>
      </c>
      <c r="H268" t="n">
        <v>0</v>
      </c>
      <c r="I268" t="n">
        <v>0</v>
      </c>
      <c r="J268" t="n">
        <v>0</v>
      </c>
      <c r="K268" t="n">
        <v>0</v>
      </c>
      <c r="L268" t="n">
        <v>0</v>
      </c>
      <c r="M268" t="n">
        <v>0</v>
      </c>
      <c r="N268" t="n">
        <v>0</v>
      </c>
      <c r="O268" t="n">
        <v>0</v>
      </c>
      <c r="P268" t="n">
        <v>0</v>
      </c>
      <c r="Q268" t="n">
        <v>0</v>
      </c>
      <c r="R268" s="2" t="inlineStr"/>
    </row>
    <row r="269" ht="15" customHeight="1">
      <c r="A269" t="inlineStr">
        <is>
          <t>A 56070-2025</t>
        </is>
      </c>
      <c r="B269" s="1" t="n">
        <v>45973.65067129629</v>
      </c>
      <c r="C269" s="1" t="n">
        <v>46061</v>
      </c>
      <c r="D269" t="inlineStr">
        <is>
          <t>DALARNAS LÄN</t>
        </is>
      </c>
      <c r="E269" t="inlineStr">
        <is>
          <t>HEDEMORA</t>
        </is>
      </c>
      <c r="F269" t="inlineStr">
        <is>
          <t>Bergvik skog väst AB</t>
        </is>
      </c>
      <c r="G269" t="n">
        <v>5.4</v>
      </c>
      <c r="H269" t="n">
        <v>0</v>
      </c>
      <c r="I269" t="n">
        <v>0</v>
      </c>
      <c r="J269" t="n">
        <v>0</v>
      </c>
      <c r="K269" t="n">
        <v>0</v>
      </c>
      <c r="L269" t="n">
        <v>0</v>
      </c>
      <c r="M269" t="n">
        <v>0</v>
      </c>
      <c r="N269" t="n">
        <v>0</v>
      </c>
      <c r="O269" t="n">
        <v>0</v>
      </c>
      <c r="P269" t="n">
        <v>0</v>
      </c>
      <c r="Q269" t="n">
        <v>0</v>
      </c>
      <c r="R269" s="2" t="inlineStr"/>
    </row>
    <row r="270" ht="15" customHeight="1">
      <c r="A270" t="inlineStr">
        <is>
          <t>A 56378-2025</t>
        </is>
      </c>
      <c r="B270" s="1" t="n">
        <v>45974.70207175926</v>
      </c>
      <c r="C270" s="1" t="n">
        <v>46061</v>
      </c>
      <c r="D270" t="inlineStr">
        <is>
          <t>DALARNAS LÄN</t>
        </is>
      </c>
      <c r="E270" t="inlineStr">
        <is>
          <t>HEDEMORA</t>
        </is>
      </c>
      <c r="G270" t="n">
        <v>2.8</v>
      </c>
      <c r="H270" t="n">
        <v>0</v>
      </c>
      <c r="I270" t="n">
        <v>0</v>
      </c>
      <c r="J270" t="n">
        <v>0</v>
      </c>
      <c r="K270" t="n">
        <v>0</v>
      </c>
      <c r="L270" t="n">
        <v>0</v>
      </c>
      <c r="M270" t="n">
        <v>0</v>
      </c>
      <c r="N270" t="n">
        <v>0</v>
      </c>
      <c r="O270" t="n">
        <v>0</v>
      </c>
      <c r="P270" t="n">
        <v>0</v>
      </c>
      <c r="Q270" t="n">
        <v>0</v>
      </c>
      <c r="R270" s="2" t="inlineStr"/>
    </row>
    <row r="271" ht="15" customHeight="1">
      <c r="A271" t="inlineStr">
        <is>
          <t>A 56676-2025</t>
        </is>
      </c>
      <c r="B271" s="1" t="n">
        <v>45975.7162962963</v>
      </c>
      <c r="C271" s="1" t="n">
        <v>46061</v>
      </c>
      <c r="D271" t="inlineStr">
        <is>
          <t>DALARNAS LÄN</t>
        </is>
      </c>
      <c r="E271" t="inlineStr">
        <is>
          <t>HEDEMORA</t>
        </is>
      </c>
      <c r="G271" t="n">
        <v>0.8</v>
      </c>
      <c r="H271" t="n">
        <v>0</v>
      </c>
      <c r="I271" t="n">
        <v>0</v>
      </c>
      <c r="J271" t="n">
        <v>0</v>
      </c>
      <c r="K271" t="n">
        <v>0</v>
      </c>
      <c r="L271" t="n">
        <v>0</v>
      </c>
      <c r="M271" t="n">
        <v>0</v>
      </c>
      <c r="N271" t="n">
        <v>0</v>
      </c>
      <c r="O271" t="n">
        <v>0</v>
      </c>
      <c r="P271" t="n">
        <v>0</v>
      </c>
      <c r="Q271" t="n">
        <v>0</v>
      </c>
      <c r="R271" s="2" t="inlineStr"/>
    </row>
    <row r="272" ht="15" customHeight="1">
      <c r="A272" t="inlineStr">
        <is>
          <t>A 29640-2024</t>
        </is>
      </c>
      <c r="B272" s="1" t="n">
        <v>45484.69837962963</v>
      </c>
      <c r="C272" s="1" t="n">
        <v>46061</v>
      </c>
      <c r="D272" t="inlineStr">
        <is>
          <t>DALARNAS LÄN</t>
        </is>
      </c>
      <c r="E272" t="inlineStr">
        <is>
          <t>HEDEMORA</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36306-2024</t>
        </is>
      </c>
      <c r="B273" s="1" t="n">
        <v>45534.61327546297</v>
      </c>
      <c r="C273" s="1" t="n">
        <v>46061</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12136-2025</t>
        </is>
      </c>
      <c r="B274" s="1" t="n">
        <v>45729.39300925926</v>
      </c>
      <c r="C274" s="1" t="n">
        <v>46061</v>
      </c>
      <c r="D274" t="inlineStr">
        <is>
          <t>DALARNAS LÄN</t>
        </is>
      </c>
      <c r="E274" t="inlineStr">
        <is>
          <t>HEDEMORA</t>
        </is>
      </c>
      <c r="G274" t="n">
        <v>1.5</v>
      </c>
      <c r="H274" t="n">
        <v>0</v>
      </c>
      <c r="I274" t="n">
        <v>0</v>
      </c>
      <c r="J274" t="n">
        <v>0</v>
      </c>
      <c r="K274" t="n">
        <v>0</v>
      </c>
      <c r="L274" t="n">
        <v>0</v>
      </c>
      <c r="M274" t="n">
        <v>0</v>
      </c>
      <c r="N274" t="n">
        <v>0</v>
      </c>
      <c r="O274" t="n">
        <v>0</v>
      </c>
      <c r="P274" t="n">
        <v>0</v>
      </c>
      <c r="Q274" t="n">
        <v>0</v>
      </c>
      <c r="R274" s="2" t="inlineStr"/>
    </row>
    <row r="275" ht="15" customHeight="1">
      <c r="A275" t="inlineStr">
        <is>
          <t>A 56679-2025</t>
        </is>
      </c>
      <c r="B275" s="1" t="n">
        <v>45975.78238425926</v>
      </c>
      <c r="C275" s="1" t="n">
        <v>46061</v>
      </c>
      <c r="D275" t="inlineStr">
        <is>
          <t>DALARNAS LÄN</t>
        </is>
      </c>
      <c r="E275" t="inlineStr">
        <is>
          <t>HEDEMORA</t>
        </is>
      </c>
      <c r="G275" t="n">
        <v>0.8</v>
      </c>
      <c r="H275" t="n">
        <v>0</v>
      </c>
      <c r="I275" t="n">
        <v>0</v>
      </c>
      <c r="J275" t="n">
        <v>0</v>
      </c>
      <c r="K275" t="n">
        <v>0</v>
      </c>
      <c r="L275" t="n">
        <v>0</v>
      </c>
      <c r="M275" t="n">
        <v>0</v>
      </c>
      <c r="N275" t="n">
        <v>0</v>
      </c>
      <c r="O275" t="n">
        <v>0</v>
      </c>
      <c r="P275" t="n">
        <v>0</v>
      </c>
      <c r="Q275" t="n">
        <v>0</v>
      </c>
      <c r="R275" s="2" t="inlineStr"/>
    </row>
    <row r="276" ht="15" customHeight="1">
      <c r="A276" t="inlineStr">
        <is>
          <t>A 20666-2024</t>
        </is>
      </c>
      <c r="B276" s="1" t="n">
        <v>45436</v>
      </c>
      <c r="C276" s="1" t="n">
        <v>46061</v>
      </c>
      <c r="D276" t="inlineStr">
        <is>
          <t>DALARNAS LÄN</t>
        </is>
      </c>
      <c r="E276" t="inlineStr">
        <is>
          <t>HEDEMORA</t>
        </is>
      </c>
      <c r="G276" t="n">
        <v>5.1</v>
      </c>
      <c r="H276" t="n">
        <v>0</v>
      </c>
      <c r="I276" t="n">
        <v>0</v>
      </c>
      <c r="J276" t="n">
        <v>0</v>
      </c>
      <c r="K276" t="n">
        <v>0</v>
      </c>
      <c r="L276" t="n">
        <v>0</v>
      </c>
      <c r="M276" t="n">
        <v>0</v>
      </c>
      <c r="N276" t="n">
        <v>0</v>
      </c>
      <c r="O276" t="n">
        <v>0</v>
      </c>
      <c r="P276" t="n">
        <v>0</v>
      </c>
      <c r="Q276" t="n">
        <v>0</v>
      </c>
      <c r="R276" s="2" t="inlineStr"/>
    </row>
    <row r="277" ht="15" customHeight="1">
      <c r="A277" t="inlineStr">
        <is>
          <t>A 6441-2021</t>
        </is>
      </c>
      <c r="B277" s="1" t="n">
        <v>44235</v>
      </c>
      <c r="C277" s="1" t="n">
        <v>46061</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57563-2025</t>
        </is>
      </c>
      <c r="B278" s="1" t="n">
        <v>45980.70671296296</v>
      </c>
      <c r="C278" s="1" t="n">
        <v>46061</v>
      </c>
      <c r="D278" t="inlineStr">
        <is>
          <t>DALARNAS LÄN</t>
        </is>
      </c>
      <c r="E278" t="inlineStr">
        <is>
          <t>HEDEMORA</t>
        </is>
      </c>
      <c r="F278" t="inlineStr">
        <is>
          <t>Sveaskog</t>
        </is>
      </c>
      <c r="G278" t="n">
        <v>5.8</v>
      </c>
      <c r="H278" t="n">
        <v>0</v>
      </c>
      <c r="I278" t="n">
        <v>0</v>
      </c>
      <c r="J278" t="n">
        <v>0</v>
      </c>
      <c r="K278" t="n">
        <v>0</v>
      </c>
      <c r="L278" t="n">
        <v>0</v>
      </c>
      <c r="M278" t="n">
        <v>0</v>
      </c>
      <c r="N278" t="n">
        <v>0</v>
      </c>
      <c r="O278" t="n">
        <v>0</v>
      </c>
      <c r="P278" t="n">
        <v>0</v>
      </c>
      <c r="Q278" t="n">
        <v>0</v>
      </c>
      <c r="R278" s="2" t="inlineStr"/>
    </row>
    <row r="279" ht="15" customHeight="1">
      <c r="A279" t="inlineStr">
        <is>
          <t>A 56668-2024</t>
        </is>
      </c>
      <c r="B279" s="1" t="n">
        <v>45626.41185185185</v>
      </c>
      <c r="C279" s="1" t="n">
        <v>46061</v>
      </c>
      <c r="D279" t="inlineStr">
        <is>
          <t>DALARNAS LÄN</t>
        </is>
      </c>
      <c r="E279" t="inlineStr">
        <is>
          <t>HEDEMORA</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64045-2025</t>
        </is>
      </c>
      <c r="B280" s="1" t="n">
        <v>46021.56877314814</v>
      </c>
      <c r="C280" s="1" t="n">
        <v>46061</v>
      </c>
      <c r="D280" t="inlineStr">
        <is>
          <t>DALARNAS LÄN</t>
        </is>
      </c>
      <c r="E280" t="inlineStr">
        <is>
          <t>HEDEMORA</t>
        </is>
      </c>
      <c r="G280" t="n">
        <v>3.1</v>
      </c>
      <c r="H280" t="n">
        <v>0</v>
      </c>
      <c r="I280" t="n">
        <v>0</v>
      </c>
      <c r="J280" t="n">
        <v>0</v>
      </c>
      <c r="K280" t="n">
        <v>0</v>
      </c>
      <c r="L280" t="n">
        <v>0</v>
      </c>
      <c r="M280" t="n">
        <v>0</v>
      </c>
      <c r="N280" t="n">
        <v>0</v>
      </c>
      <c r="O280" t="n">
        <v>0</v>
      </c>
      <c r="P280" t="n">
        <v>0</v>
      </c>
      <c r="Q280" t="n">
        <v>0</v>
      </c>
      <c r="R280" s="2" t="inlineStr"/>
    </row>
    <row r="281" ht="15" customHeight="1">
      <c r="A281" t="inlineStr">
        <is>
          <t>A 25643-2024</t>
        </is>
      </c>
      <c r="B281" s="1" t="n">
        <v>45463.66436342592</v>
      </c>
      <c r="C281" s="1" t="n">
        <v>46061</v>
      </c>
      <c r="D281" t="inlineStr">
        <is>
          <t>DALARNAS LÄN</t>
        </is>
      </c>
      <c r="E281" t="inlineStr">
        <is>
          <t>HEDEMORA</t>
        </is>
      </c>
      <c r="F281" t="inlineStr">
        <is>
          <t>Sveaskog</t>
        </is>
      </c>
      <c r="G281" t="n">
        <v>8</v>
      </c>
      <c r="H281" t="n">
        <v>0</v>
      </c>
      <c r="I281" t="n">
        <v>0</v>
      </c>
      <c r="J281" t="n">
        <v>0</v>
      </c>
      <c r="K281" t="n">
        <v>0</v>
      </c>
      <c r="L281" t="n">
        <v>0</v>
      </c>
      <c r="M281" t="n">
        <v>0</v>
      </c>
      <c r="N281" t="n">
        <v>0</v>
      </c>
      <c r="O281" t="n">
        <v>0</v>
      </c>
      <c r="P281" t="n">
        <v>0</v>
      </c>
      <c r="Q281" t="n">
        <v>0</v>
      </c>
      <c r="R281" s="2" t="inlineStr"/>
    </row>
    <row r="282" ht="15" customHeight="1">
      <c r="A282" t="inlineStr">
        <is>
          <t>A 14949-2025</t>
        </is>
      </c>
      <c r="B282" s="1" t="n">
        <v>45743.5745949074</v>
      </c>
      <c r="C282" s="1" t="n">
        <v>46061</v>
      </c>
      <c r="D282" t="inlineStr">
        <is>
          <t>DALARNAS LÄN</t>
        </is>
      </c>
      <c r="E282" t="inlineStr">
        <is>
          <t>HEDEMORA</t>
        </is>
      </c>
      <c r="G282" t="n">
        <v>2.5</v>
      </c>
      <c r="H282" t="n">
        <v>0</v>
      </c>
      <c r="I282" t="n">
        <v>0</v>
      </c>
      <c r="J282" t="n">
        <v>0</v>
      </c>
      <c r="K282" t="n">
        <v>0</v>
      </c>
      <c r="L282" t="n">
        <v>0</v>
      </c>
      <c r="M282" t="n">
        <v>0</v>
      </c>
      <c r="N282" t="n">
        <v>0</v>
      </c>
      <c r="O282" t="n">
        <v>0</v>
      </c>
      <c r="P282" t="n">
        <v>0</v>
      </c>
      <c r="Q282" t="n">
        <v>0</v>
      </c>
      <c r="R282" s="2" t="inlineStr"/>
    </row>
    <row r="283" ht="15" customHeight="1">
      <c r="A283" t="inlineStr">
        <is>
          <t>A 58020-2025</t>
        </is>
      </c>
      <c r="B283" s="1" t="n">
        <v>45982.47819444445</v>
      </c>
      <c r="C283" s="1" t="n">
        <v>46061</v>
      </c>
      <c r="D283" t="inlineStr">
        <is>
          <t>DALARNAS LÄN</t>
        </is>
      </c>
      <c r="E283" t="inlineStr">
        <is>
          <t>HEDEMORA</t>
        </is>
      </c>
      <c r="G283" t="n">
        <v>0.6</v>
      </c>
      <c r="H283" t="n">
        <v>0</v>
      </c>
      <c r="I283" t="n">
        <v>0</v>
      </c>
      <c r="J283" t="n">
        <v>0</v>
      </c>
      <c r="K283" t="n">
        <v>0</v>
      </c>
      <c r="L283" t="n">
        <v>0</v>
      </c>
      <c r="M283" t="n">
        <v>0</v>
      </c>
      <c r="N283" t="n">
        <v>0</v>
      </c>
      <c r="O283" t="n">
        <v>0</v>
      </c>
      <c r="P283" t="n">
        <v>0</v>
      </c>
      <c r="Q283" t="n">
        <v>0</v>
      </c>
      <c r="R283" s="2" t="inlineStr"/>
    </row>
    <row r="284" ht="15" customHeight="1">
      <c r="A284" t="inlineStr">
        <is>
          <t>A 12133-2025</t>
        </is>
      </c>
      <c r="B284" s="1" t="n">
        <v>45729.38878472222</v>
      </c>
      <c r="C284" s="1" t="n">
        <v>46061</v>
      </c>
      <c r="D284" t="inlineStr">
        <is>
          <t>DALARNAS LÄN</t>
        </is>
      </c>
      <c r="E284" t="inlineStr">
        <is>
          <t>HEDEMORA</t>
        </is>
      </c>
      <c r="G284" t="n">
        <v>4.8</v>
      </c>
      <c r="H284" t="n">
        <v>0</v>
      </c>
      <c r="I284" t="n">
        <v>0</v>
      </c>
      <c r="J284" t="n">
        <v>0</v>
      </c>
      <c r="K284" t="n">
        <v>0</v>
      </c>
      <c r="L284" t="n">
        <v>0</v>
      </c>
      <c r="M284" t="n">
        <v>0</v>
      </c>
      <c r="N284" t="n">
        <v>0</v>
      </c>
      <c r="O284" t="n">
        <v>0</v>
      </c>
      <c r="P284" t="n">
        <v>0</v>
      </c>
      <c r="Q284" t="n">
        <v>0</v>
      </c>
      <c r="R284" s="2" t="inlineStr"/>
    </row>
    <row r="285" ht="15" customHeight="1">
      <c r="A285" t="inlineStr">
        <is>
          <t>A 64032-2025</t>
        </is>
      </c>
      <c r="B285" s="1" t="n">
        <v>46021.50405092593</v>
      </c>
      <c r="C285" s="1" t="n">
        <v>46061</v>
      </c>
      <c r="D285" t="inlineStr">
        <is>
          <t>DALARNAS LÄN</t>
        </is>
      </c>
      <c r="E285" t="inlineStr">
        <is>
          <t>HEDEMORA</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60808-2024</t>
        </is>
      </c>
      <c r="B286" s="1" t="n">
        <v>45644.61251157407</v>
      </c>
      <c r="C286" s="1" t="n">
        <v>46061</v>
      </c>
      <c r="D286" t="inlineStr">
        <is>
          <t>DALARNAS LÄN</t>
        </is>
      </c>
      <c r="E286" t="inlineStr">
        <is>
          <t>HEDEMORA</t>
        </is>
      </c>
      <c r="G286" t="n">
        <v>6</v>
      </c>
      <c r="H286" t="n">
        <v>0</v>
      </c>
      <c r="I286" t="n">
        <v>0</v>
      </c>
      <c r="J286" t="n">
        <v>0</v>
      </c>
      <c r="K286" t="n">
        <v>0</v>
      </c>
      <c r="L286" t="n">
        <v>0</v>
      </c>
      <c r="M286" t="n">
        <v>0</v>
      </c>
      <c r="N286" t="n">
        <v>0</v>
      </c>
      <c r="O286" t="n">
        <v>0</v>
      </c>
      <c r="P286" t="n">
        <v>0</v>
      </c>
      <c r="Q286" t="n">
        <v>0</v>
      </c>
      <c r="R286" s="2" t="inlineStr"/>
    </row>
    <row r="287" ht="15" customHeight="1">
      <c r="A287" t="inlineStr">
        <is>
          <t>A 58705-2025</t>
        </is>
      </c>
      <c r="B287" s="1" t="n">
        <v>45986.60056712963</v>
      </c>
      <c r="C287" s="1" t="n">
        <v>46061</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46825-2024</t>
        </is>
      </c>
      <c r="B288" s="1" t="n">
        <v>45583.58040509259</v>
      </c>
      <c r="C288" s="1" t="n">
        <v>46061</v>
      </c>
      <c r="D288" t="inlineStr">
        <is>
          <t>DALARNAS LÄN</t>
        </is>
      </c>
      <c r="E288" t="inlineStr">
        <is>
          <t>HEDEMORA</t>
        </is>
      </c>
      <c r="G288" t="n">
        <v>1.1</v>
      </c>
      <c r="H288" t="n">
        <v>0</v>
      </c>
      <c r="I288" t="n">
        <v>0</v>
      </c>
      <c r="J288" t="n">
        <v>0</v>
      </c>
      <c r="K288" t="n">
        <v>0</v>
      </c>
      <c r="L288" t="n">
        <v>0</v>
      </c>
      <c r="M288" t="n">
        <v>0</v>
      </c>
      <c r="N288" t="n">
        <v>0</v>
      </c>
      <c r="O288" t="n">
        <v>0</v>
      </c>
      <c r="P288" t="n">
        <v>0</v>
      </c>
      <c r="Q288" t="n">
        <v>0</v>
      </c>
      <c r="R288" s="2" t="inlineStr"/>
    </row>
    <row r="289" ht="15" customHeight="1">
      <c r="A289" t="inlineStr">
        <is>
          <t>A 45377-2024</t>
        </is>
      </c>
      <c r="B289" s="1" t="n">
        <v>45576.51962962963</v>
      </c>
      <c r="C289" s="1" t="n">
        <v>46061</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21514-2024</t>
        </is>
      </c>
      <c r="B290" s="1" t="n">
        <v>45441.57538194444</v>
      </c>
      <c r="C290" s="1" t="n">
        <v>46061</v>
      </c>
      <c r="D290" t="inlineStr">
        <is>
          <t>DALARNAS LÄN</t>
        </is>
      </c>
      <c r="E290" t="inlineStr">
        <is>
          <t>HEDEMORA</t>
        </is>
      </c>
      <c r="G290" t="n">
        <v>1.5</v>
      </c>
      <c r="H290" t="n">
        <v>0</v>
      </c>
      <c r="I290" t="n">
        <v>0</v>
      </c>
      <c r="J290" t="n">
        <v>0</v>
      </c>
      <c r="K290" t="n">
        <v>0</v>
      </c>
      <c r="L290" t="n">
        <v>0</v>
      </c>
      <c r="M290" t="n">
        <v>0</v>
      </c>
      <c r="N290" t="n">
        <v>0</v>
      </c>
      <c r="O290" t="n">
        <v>0</v>
      </c>
      <c r="P290" t="n">
        <v>0</v>
      </c>
      <c r="Q290" t="n">
        <v>0</v>
      </c>
      <c r="R290" s="2" t="inlineStr"/>
    </row>
    <row r="291" ht="15" customHeight="1">
      <c r="A291" t="inlineStr">
        <is>
          <t>A 37574-2025</t>
        </is>
      </c>
      <c r="B291" s="1" t="n">
        <v>45880.37949074074</v>
      </c>
      <c r="C291" s="1" t="n">
        <v>46061</v>
      </c>
      <c r="D291" t="inlineStr">
        <is>
          <t>DALARNAS LÄN</t>
        </is>
      </c>
      <c r="E291" t="inlineStr">
        <is>
          <t>HEDEMORA</t>
        </is>
      </c>
      <c r="F291" t="inlineStr">
        <is>
          <t>Sveaskog</t>
        </is>
      </c>
      <c r="G291" t="n">
        <v>5.7</v>
      </c>
      <c r="H291" t="n">
        <v>0</v>
      </c>
      <c r="I291" t="n">
        <v>0</v>
      </c>
      <c r="J291" t="n">
        <v>0</v>
      </c>
      <c r="K291" t="n">
        <v>0</v>
      </c>
      <c r="L291" t="n">
        <v>0</v>
      </c>
      <c r="M291" t="n">
        <v>0</v>
      </c>
      <c r="N291" t="n">
        <v>0</v>
      </c>
      <c r="O291" t="n">
        <v>0</v>
      </c>
      <c r="P291" t="n">
        <v>0</v>
      </c>
      <c r="Q291" t="n">
        <v>0</v>
      </c>
      <c r="R291" s="2" t="inlineStr"/>
    </row>
    <row r="292" ht="15" customHeight="1">
      <c r="A292" t="inlineStr">
        <is>
          <t>A 41523-2023</t>
        </is>
      </c>
      <c r="B292" s="1" t="n">
        <v>45172</v>
      </c>
      <c r="C292" s="1" t="n">
        <v>46061</v>
      </c>
      <c r="D292" t="inlineStr">
        <is>
          <t>DALARNAS LÄN</t>
        </is>
      </c>
      <c r="E292" t="inlineStr">
        <is>
          <t>HEDEMORA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37573-2025</t>
        </is>
      </c>
      <c r="B293" s="1" t="n">
        <v>45880.37711805556</v>
      </c>
      <c r="C293" s="1" t="n">
        <v>46061</v>
      </c>
      <c r="D293" t="inlineStr">
        <is>
          <t>DALARNAS LÄN</t>
        </is>
      </c>
      <c r="E293" t="inlineStr">
        <is>
          <t>HEDEMORA</t>
        </is>
      </c>
      <c r="F293" t="inlineStr">
        <is>
          <t>Sveaskog</t>
        </is>
      </c>
      <c r="G293" t="n">
        <v>7</v>
      </c>
      <c r="H293" t="n">
        <v>0</v>
      </c>
      <c r="I293" t="n">
        <v>0</v>
      </c>
      <c r="J293" t="n">
        <v>0</v>
      </c>
      <c r="K293" t="n">
        <v>0</v>
      </c>
      <c r="L293" t="n">
        <v>0</v>
      </c>
      <c r="M293" t="n">
        <v>0</v>
      </c>
      <c r="N293" t="n">
        <v>0</v>
      </c>
      <c r="O293" t="n">
        <v>0</v>
      </c>
      <c r="P293" t="n">
        <v>0</v>
      </c>
      <c r="Q293" t="n">
        <v>0</v>
      </c>
      <c r="R293" s="2" t="inlineStr"/>
    </row>
    <row r="294" ht="15" customHeight="1">
      <c r="A294" t="inlineStr">
        <is>
          <t>A 54310-2021</t>
        </is>
      </c>
      <c r="B294" s="1" t="n">
        <v>44472.54035879629</v>
      </c>
      <c r="C294" s="1" t="n">
        <v>46061</v>
      </c>
      <c r="D294" t="inlineStr">
        <is>
          <t>DALARNAS LÄN</t>
        </is>
      </c>
      <c r="E294" t="inlineStr">
        <is>
          <t>HEDEMORA</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886-2026</t>
        </is>
      </c>
      <c r="B295" s="1" t="n">
        <v>46030.44930555556</v>
      </c>
      <c r="C295" s="1" t="n">
        <v>46061</v>
      </c>
      <c r="D295" t="inlineStr">
        <is>
          <t>DALARNAS LÄN</t>
        </is>
      </c>
      <c r="E295" t="inlineStr">
        <is>
          <t>HEDEMORA</t>
        </is>
      </c>
      <c r="G295" t="n">
        <v>2.3</v>
      </c>
      <c r="H295" t="n">
        <v>0</v>
      </c>
      <c r="I295" t="n">
        <v>0</v>
      </c>
      <c r="J295" t="n">
        <v>0</v>
      </c>
      <c r="K295" t="n">
        <v>0</v>
      </c>
      <c r="L295" t="n">
        <v>0</v>
      </c>
      <c r="M295" t="n">
        <v>0</v>
      </c>
      <c r="N295" t="n">
        <v>0</v>
      </c>
      <c r="O295" t="n">
        <v>0</v>
      </c>
      <c r="P295" t="n">
        <v>0</v>
      </c>
      <c r="Q295" t="n">
        <v>0</v>
      </c>
      <c r="R295" s="2" t="inlineStr"/>
    </row>
    <row r="296" ht="15" customHeight="1">
      <c r="A296" t="inlineStr">
        <is>
          <t>A 59350-2025</t>
        </is>
      </c>
      <c r="B296" s="1" t="n">
        <v>45989.40451388889</v>
      </c>
      <c r="C296" s="1" t="n">
        <v>46061</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46217-2023</t>
        </is>
      </c>
      <c r="B297" s="1" t="n">
        <v>45190</v>
      </c>
      <c r="C297" s="1" t="n">
        <v>46061</v>
      </c>
      <c r="D297" t="inlineStr">
        <is>
          <t>DALARNAS LÄN</t>
        </is>
      </c>
      <c r="E297" t="inlineStr">
        <is>
          <t>HEDEMORA</t>
        </is>
      </c>
      <c r="F297" t="inlineStr">
        <is>
          <t>Bergvik skog väst AB</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59295-2025</t>
        </is>
      </c>
      <c r="B298" s="1" t="n">
        <v>45988.77284722222</v>
      </c>
      <c r="C298" s="1" t="n">
        <v>46061</v>
      </c>
      <c r="D298" t="inlineStr">
        <is>
          <t>DALARNAS LÄN</t>
        </is>
      </c>
      <c r="E298" t="inlineStr">
        <is>
          <t>HEDEMORA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63913-2025</t>
        </is>
      </c>
      <c r="B299" s="1" t="n">
        <v>46020</v>
      </c>
      <c r="C299" s="1" t="n">
        <v>46061</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1519-2026</t>
        </is>
      </c>
      <c r="B300" s="1" t="n">
        <v>46034</v>
      </c>
      <c r="C300" s="1" t="n">
        <v>46061</v>
      </c>
      <c r="D300" t="inlineStr">
        <is>
          <t>DALARNAS LÄN</t>
        </is>
      </c>
      <c r="E300" t="inlineStr">
        <is>
          <t>HEDEMORA</t>
        </is>
      </c>
      <c r="G300" t="n">
        <v>6.6</v>
      </c>
      <c r="H300" t="n">
        <v>0</v>
      </c>
      <c r="I300" t="n">
        <v>0</v>
      </c>
      <c r="J300" t="n">
        <v>0</v>
      </c>
      <c r="K300" t="n">
        <v>0</v>
      </c>
      <c r="L300" t="n">
        <v>0</v>
      </c>
      <c r="M300" t="n">
        <v>0</v>
      </c>
      <c r="N300" t="n">
        <v>0</v>
      </c>
      <c r="O300" t="n">
        <v>0</v>
      </c>
      <c r="P300" t="n">
        <v>0</v>
      </c>
      <c r="Q300" t="n">
        <v>0</v>
      </c>
      <c r="R300" s="2" t="inlineStr"/>
      <c r="U300">
        <f>HYPERLINK("https://klasma.github.io/Logging_2083/knärot/A 1519-2026 karta knärot.png", "A 1519-2026")</f>
        <v/>
      </c>
      <c r="V300">
        <f>HYPERLINK("https://klasma.github.io/Logging_2083/klagomål/A 1519-2026 FSC-klagomål.docx", "A 1519-2026")</f>
        <v/>
      </c>
      <c r="W300">
        <f>HYPERLINK("https://klasma.github.io/Logging_2083/klagomålsmail/A 1519-2026 FSC-klagomål mail.docx", "A 1519-2026")</f>
        <v/>
      </c>
      <c r="X300">
        <f>HYPERLINK("https://klasma.github.io/Logging_2083/tillsyn/A 1519-2026 tillsynsbegäran.docx", "A 1519-2026")</f>
        <v/>
      </c>
      <c r="Y300">
        <f>HYPERLINK("https://klasma.github.io/Logging_2083/tillsynsmail/A 1519-2026 tillsynsbegäran mail.docx", "A 1519-2026")</f>
        <v/>
      </c>
    </row>
    <row r="301" ht="15" customHeight="1">
      <c r="A301" t="inlineStr">
        <is>
          <t>A 1721-2026</t>
        </is>
      </c>
      <c r="B301" s="1" t="n">
        <v>46034.61717592592</v>
      </c>
      <c r="C301" s="1" t="n">
        <v>46061</v>
      </c>
      <c r="D301" t="inlineStr">
        <is>
          <t>DALARNAS LÄN</t>
        </is>
      </c>
      <c r="E301" t="inlineStr">
        <is>
          <t>HEDEMORA</t>
        </is>
      </c>
      <c r="G301" t="n">
        <v>4.4</v>
      </c>
      <c r="H301" t="n">
        <v>0</v>
      </c>
      <c r="I301" t="n">
        <v>0</v>
      </c>
      <c r="J301" t="n">
        <v>0</v>
      </c>
      <c r="K301" t="n">
        <v>0</v>
      </c>
      <c r="L301" t="n">
        <v>0</v>
      </c>
      <c r="M301" t="n">
        <v>0</v>
      </c>
      <c r="N301" t="n">
        <v>0</v>
      </c>
      <c r="O301" t="n">
        <v>0</v>
      </c>
      <c r="P301" t="n">
        <v>0</v>
      </c>
      <c r="Q301" t="n">
        <v>0</v>
      </c>
      <c r="R301" s="2" t="inlineStr"/>
    </row>
    <row r="302" ht="15" customHeight="1">
      <c r="A302" t="inlineStr">
        <is>
          <t>A 59582-2025</t>
        </is>
      </c>
      <c r="B302" s="1" t="n">
        <v>45992.31405092592</v>
      </c>
      <c r="C302" s="1" t="n">
        <v>46061</v>
      </c>
      <c r="D302" t="inlineStr">
        <is>
          <t>DALARNAS LÄN</t>
        </is>
      </c>
      <c r="E302" t="inlineStr">
        <is>
          <t>HEDEMORA</t>
        </is>
      </c>
      <c r="G302" t="n">
        <v>3.9</v>
      </c>
      <c r="H302" t="n">
        <v>0</v>
      </c>
      <c r="I302" t="n">
        <v>0</v>
      </c>
      <c r="J302" t="n">
        <v>0</v>
      </c>
      <c r="K302" t="n">
        <v>0</v>
      </c>
      <c r="L302" t="n">
        <v>0</v>
      </c>
      <c r="M302" t="n">
        <v>0</v>
      </c>
      <c r="N302" t="n">
        <v>0</v>
      </c>
      <c r="O302" t="n">
        <v>0</v>
      </c>
      <c r="P302" t="n">
        <v>0</v>
      </c>
      <c r="Q302" t="n">
        <v>0</v>
      </c>
      <c r="R302" s="2" t="inlineStr"/>
    </row>
    <row r="303" ht="15" customHeight="1">
      <c r="A303" t="inlineStr">
        <is>
          <t>A 63829-2025</t>
        </is>
      </c>
      <c r="B303" s="1" t="n">
        <v>46020</v>
      </c>
      <c r="C303" s="1" t="n">
        <v>46061</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44662.84958333334</v>
      </c>
      <c r="C304" s="1" t="n">
        <v>46061</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21092-2023</t>
        </is>
      </c>
      <c r="B305" s="1" t="n">
        <v>45061</v>
      </c>
      <c r="C305" s="1" t="n">
        <v>46061</v>
      </c>
      <c r="D305" t="inlineStr">
        <is>
          <t>DALARNAS LÄN</t>
        </is>
      </c>
      <c r="E305" t="inlineStr">
        <is>
          <t>HEDEMORA</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59581-2025</t>
        </is>
      </c>
      <c r="B306" s="1" t="n">
        <v>45992.31182870371</v>
      </c>
      <c r="C306" s="1" t="n">
        <v>46061</v>
      </c>
      <c r="D306" t="inlineStr">
        <is>
          <t>DALARNAS LÄN</t>
        </is>
      </c>
      <c r="E306" t="inlineStr">
        <is>
          <t>HEDEMORA</t>
        </is>
      </c>
      <c r="G306" t="n">
        <v>0.6</v>
      </c>
      <c r="H306" t="n">
        <v>0</v>
      </c>
      <c r="I306" t="n">
        <v>0</v>
      </c>
      <c r="J306" t="n">
        <v>0</v>
      </c>
      <c r="K306" t="n">
        <v>0</v>
      </c>
      <c r="L306" t="n">
        <v>0</v>
      </c>
      <c r="M306" t="n">
        <v>0</v>
      </c>
      <c r="N306" t="n">
        <v>0</v>
      </c>
      <c r="O306" t="n">
        <v>0</v>
      </c>
      <c r="P306" t="n">
        <v>0</v>
      </c>
      <c r="Q306" t="n">
        <v>0</v>
      </c>
      <c r="R306" s="2" t="inlineStr"/>
    </row>
    <row r="307" ht="15" customHeight="1">
      <c r="A307" t="inlineStr">
        <is>
          <t>A 2034-2026</t>
        </is>
      </c>
      <c r="B307" s="1" t="n">
        <v>46035.77204861111</v>
      </c>
      <c r="C307" s="1" t="n">
        <v>46061</v>
      </c>
      <c r="D307" t="inlineStr">
        <is>
          <t>DALARNAS LÄN</t>
        </is>
      </c>
      <c r="E307" t="inlineStr">
        <is>
          <t>HEDEMORA</t>
        </is>
      </c>
      <c r="G307" t="n">
        <v>1.5</v>
      </c>
      <c r="H307" t="n">
        <v>0</v>
      </c>
      <c r="I307" t="n">
        <v>0</v>
      </c>
      <c r="J307" t="n">
        <v>0</v>
      </c>
      <c r="K307" t="n">
        <v>0</v>
      </c>
      <c r="L307" t="n">
        <v>0</v>
      </c>
      <c r="M307" t="n">
        <v>0</v>
      </c>
      <c r="N307" t="n">
        <v>0</v>
      </c>
      <c r="O307" t="n">
        <v>0</v>
      </c>
      <c r="P307" t="n">
        <v>0</v>
      </c>
      <c r="Q307" t="n">
        <v>0</v>
      </c>
      <c r="R307" s="2" t="inlineStr"/>
    </row>
    <row r="308" ht="15" customHeight="1">
      <c r="A308" t="inlineStr">
        <is>
          <t>A 1573-2026</t>
        </is>
      </c>
      <c r="B308" s="1" t="n">
        <v>46034.41488425926</v>
      </c>
      <c r="C308" s="1" t="n">
        <v>46061</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63853-2025</t>
        </is>
      </c>
      <c r="B309" s="1" t="n">
        <v>46020</v>
      </c>
      <c r="C309" s="1" t="n">
        <v>46061</v>
      </c>
      <c r="D309" t="inlineStr">
        <is>
          <t>DALARNAS LÄN</t>
        </is>
      </c>
      <c r="E309" t="inlineStr">
        <is>
          <t>HEDEMORA</t>
        </is>
      </c>
      <c r="G309" t="n">
        <v>1.8</v>
      </c>
      <c r="H309" t="n">
        <v>0</v>
      </c>
      <c r="I309" t="n">
        <v>0</v>
      </c>
      <c r="J309" t="n">
        <v>0</v>
      </c>
      <c r="K309" t="n">
        <v>0</v>
      </c>
      <c r="L309" t="n">
        <v>0</v>
      </c>
      <c r="M309" t="n">
        <v>0</v>
      </c>
      <c r="N309" t="n">
        <v>0</v>
      </c>
      <c r="O309" t="n">
        <v>0</v>
      </c>
      <c r="P309" t="n">
        <v>0</v>
      </c>
      <c r="Q309" t="n">
        <v>0</v>
      </c>
      <c r="R309" s="2" t="inlineStr"/>
    </row>
    <row r="310" ht="15" customHeight="1">
      <c r="A310" t="inlineStr">
        <is>
          <t>A 7172-2025</t>
        </is>
      </c>
      <c r="B310" s="1" t="n">
        <v>45702.41383101852</v>
      </c>
      <c r="C310" s="1" t="n">
        <v>46061</v>
      </c>
      <c r="D310" t="inlineStr">
        <is>
          <t>DALARNAS LÄN</t>
        </is>
      </c>
      <c r="E310" t="inlineStr">
        <is>
          <t>HEDEMORA</t>
        </is>
      </c>
      <c r="G310" t="n">
        <v>0.8</v>
      </c>
      <c r="H310" t="n">
        <v>0</v>
      </c>
      <c r="I310" t="n">
        <v>0</v>
      </c>
      <c r="J310" t="n">
        <v>0</v>
      </c>
      <c r="K310" t="n">
        <v>0</v>
      </c>
      <c r="L310" t="n">
        <v>0</v>
      </c>
      <c r="M310" t="n">
        <v>0</v>
      </c>
      <c r="N310" t="n">
        <v>0</v>
      </c>
      <c r="O310" t="n">
        <v>0</v>
      </c>
      <c r="P310" t="n">
        <v>0</v>
      </c>
      <c r="Q310" t="n">
        <v>0</v>
      </c>
      <c r="R310" s="2" t="inlineStr"/>
    </row>
    <row r="311" ht="15" customHeight="1">
      <c r="A311" t="inlineStr">
        <is>
          <t>A 60445-2025</t>
        </is>
      </c>
      <c r="B311" s="1" t="n">
        <v>45995.4909837963</v>
      </c>
      <c r="C311" s="1" t="n">
        <v>46061</v>
      </c>
      <c r="D311" t="inlineStr">
        <is>
          <t>DALARNAS LÄN</t>
        </is>
      </c>
      <c r="E311" t="inlineStr">
        <is>
          <t>HEDEMORA</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53568-2023</t>
        </is>
      </c>
      <c r="B312" s="1" t="n">
        <v>45230.49392361111</v>
      </c>
      <c r="C312" s="1" t="n">
        <v>46061</v>
      </c>
      <c r="D312" t="inlineStr">
        <is>
          <t>DALARNAS LÄN</t>
        </is>
      </c>
      <c r="E312" t="inlineStr">
        <is>
          <t>HEDEMORA</t>
        </is>
      </c>
      <c r="G312" t="n">
        <v>1.2</v>
      </c>
      <c r="H312" t="n">
        <v>0</v>
      </c>
      <c r="I312" t="n">
        <v>0</v>
      </c>
      <c r="J312" t="n">
        <v>0</v>
      </c>
      <c r="K312" t="n">
        <v>0</v>
      </c>
      <c r="L312" t="n">
        <v>0</v>
      </c>
      <c r="M312" t="n">
        <v>0</v>
      </c>
      <c r="N312" t="n">
        <v>0</v>
      </c>
      <c r="O312" t="n">
        <v>0</v>
      </c>
      <c r="P312" t="n">
        <v>0</v>
      </c>
      <c r="Q312" t="n">
        <v>0</v>
      </c>
      <c r="R312" s="2" t="inlineStr"/>
    </row>
    <row r="313" ht="15" customHeight="1">
      <c r="A313" t="inlineStr">
        <is>
          <t>A 52942-2024</t>
        </is>
      </c>
      <c r="B313" s="1" t="n">
        <v>45610.8215625</v>
      </c>
      <c r="C313" s="1" t="n">
        <v>46061</v>
      </c>
      <c r="D313" t="inlineStr">
        <is>
          <t>DALARNAS LÄN</t>
        </is>
      </c>
      <c r="E313" t="inlineStr">
        <is>
          <t>HEDEMORA</t>
        </is>
      </c>
      <c r="F313" t="inlineStr">
        <is>
          <t>Sveaskog</t>
        </is>
      </c>
      <c r="G313" t="n">
        <v>14.5</v>
      </c>
      <c r="H313" t="n">
        <v>0</v>
      </c>
      <c r="I313" t="n">
        <v>0</v>
      </c>
      <c r="J313" t="n">
        <v>0</v>
      </c>
      <c r="K313" t="n">
        <v>0</v>
      </c>
      <c r="L313" t="n">
        <v>0</v>
      </c>
      <c r="M313" t="n">
        <v>0</v>
      </c>
      <c r="N313" t="n">
        <v>0</v>
      </c>
      <c r="O313" t="n">
        <v>0</v>
      </c>
      <c r="P313" t="n">
        <v>0</v>
      </c>
      <c r="Q313" t="n">
        <v>0</v>
      </c>
      <c r="R313" s="2" t="inlineStr"/>
    </row>
    <row r="314" ht="15" customHeight="1">
      <c r="A314" t="inlineStr">
        <is>
          <t>A 2159-2026</t>
        </is>
      </c>
      <c r="B314" s="1" t="n">
        <v>46036.43230324074</v>
      </c>
      <c r="C314" s="1" t="n">
        <v>46061</v>
      </c>
      <c r="D314" t="inlineStr">
        <is>
          <t>DALARNAS LÄN</t>
        </is>
      </c>
      <c r="E314" t="inlineStr">
        <is>
          <t>HEDEMORA</t>
        </is>
      </c>
      <c r="F314" t="inlineStr">
        <is>
          <t>Kyrkan</t>
        </is>
      </c>
      <c r="G314" t="n">
        <v>3.8</v>
      </c>
      <c r="H314" t="n">
        <v>0</v>
      </c>
      <c r="I314" t="n">
        <v>0</v>
      </c>
      <c r="J314" t="n">
        <v>0</v>
      </c>
      <c r="K314" t="n">
        <v>0</v>
      </c>
      <c r="L314" t="n">
        <v>0</v>
      </c>
      <c r="M314" t="n">
        <v>0</v>
      </c>
      <c r="N314" t="n">
        <v>0</v>
      </c>
      <c r="O314" t="n">
        <v>0</v>
      </c>
      <c r="P314" t="n">
        <v>0</v>
      </c>
      <c r="Q314" t="n">
        <v>0</v>
      </c>
      <c r="R314" s="2" t="inlineStr"/>
    </row>
    <row r="315" ht="15" customHeight="1">
      <c r="A315" t="inlineStr">
        <is>
          <t>A 17222-2025</t>
        </is>
      </c>
      <c r="B315" s="1" t="n">
        <v>45756.45504629629</v>
      </c>
      <c r="C315" s="1" t="n">
        <v>46061</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46061</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63929-2023</t>
        </is>
      </c>
      <c r="B317" s="1" t="n">
        <v>45278.60274305556</v>
      </c>
      <c r="C317" s="1" t="n">
        <v>46061</v>
      </c>
      <c r="D317" t="inlineStr">
        <is>
          <t>DALARNAS LÄN</t>
        </is>
      </c>
      <c r="E317" t="inlineStr">
        <is>
          <t>HEDEMORA</t>
        </is>
      </c>
      <c r="G317" t="n">
        <v>0.4</v>
      </c>
      <c r="H317" t="n">
        <v>0</v>
      </c>
      <c r="I317" t="n">
        <v>0</v>
      </c>
      <c r="J317" t="n">
        <v>0</v>
      </c>
      <c r="K317" t="n">
        <v>0</v>
      </c>
      <c r="L317" t="n">
        <v>0</v>
      </c>
      <c r="M317" t="n">
        <v>0</v>
      </c>
      <c r="N317" t="n">
        <v>0</v>
      </c>
      <c r="O317" t="n">
        <v>0</v>
      </c>
      <c r="P317" t="n">
        <v>0</v>
      </c>
      <c r="Q317" t="n">
        <v>0</v>
      </c>
      <c r="R317" s="2" t="inlineStr"/>
    </row>
    <row r="318" ht="15" customHeight="1">
      <c r="A318" t="inlineStr">
        <is>
          <t>A 157-2026</t>
        </is>
      </c>
      <c r="B318" s="1" t="n">
        <v>46024</v>
      </c>
      <c r="C318" s="1" t="n">
        <v>46061</v>
      </c>
      <c r="D318" t="inlineStr">
        <is>
          <t>DALARNAS LÄN</t>
        </is>
      </c>
      <c r="E318" t="inlineStr">
        <is>
          <t>HEDEMORA</t>
        </is>
      </c>
      <c r="G318" t="n">
        <v>21.2</v>
      </c>
      <c r="H318" t="n">
        <v>0</v>
      </c>
      <c r="I318" t="n">
        <v>0</v>
      </c>
      <c r="J318" t="n">
        <v>0</v>
      </c>
      <c r="K318" t="n">
        <v>0</v>
      </c>
      <c r="L318" t="n">
        <v>0</v>
      </c>
      <c r="M318" t="n">
        <v>0</v>
      </c>
      <c r="N318" t="n">
        <v>0</v>
      </c>
      <c r="O318" t="n">
        <v>0</v>
      </c>
      <c r="P318" t="n">
        <v>0</v>
      </c>
      <c r="Q318" t="n">
        <v>0</v>
      </c>
      <c r="R318" s="2" t="inlineStr"/>
    </row>
    <row r="319" ht="15" customHeight="1">
      <c r="A319" t="inlineStr">
        <is>
          <t>A 54423-2023</t>
        </is>
      </c>
      <c r="B319" s="1" t="n">
        <v>45233.41666666666</v>
      </c>
      <c r="C319" s="1" t="n">
        <v>46061</v>
      </c>
      <c r="D319" t="inlineStr">
        <is>
          <t>DALARNAS LÄN</t>
        </is>
      </c>
      <c r="E319" t="inlineStr">
        <is>
          <t>HEDEMORA</t>
        </is>
      </c>
      <c r="G319" t="n">
        <v>3.4</v>
      </c>
      <c r="H319" t="n">
        <v>0</v>
      </c>
      <c r="I319" t="n">
        <v>0</v>
      </c>
      <c r="J319" t="n">
        <v>0</v>
      </c>
      <c r="K319" t="n">
        <v>0</v>
      </c>
      <c r="L319" t="n">
        <v>0</v>
      </c>
      <c r="M319" t="n">
        <v>0</v>
      </c>
      <c r="N319" t="n">
        <v>0</v>
      </c>
      <c r="O319" t="n">
        <v>0</v>
      </c>
      <c r="P319" t="n">
        <v>0</v>
      </c>
      <c r="Q319" t="n">
        <v>0</v>
      </c>
      <c r="R319" s="2" t="inlineStr"/>
    </row>
    <row r="320" ht="15" customHeight="1">
      <c r="A320" t="inlineStr">
        <is>
          <t>A 62386-2023</t>
        </is>
      </c>
      <c r="B320" s="1" t="n">
        <v>45268</v>
      </c>
      <c r="C320" s="1" t="n">
        <v>46061</v>
      </c>
      <c r="D320" t="inlineStr">
        <is>
          <t>DALARNAS LÄN</t>
        </is>
      </c>
      <c r="E320" t="inlineStr">
        <is>
          <t>HEDEMORA</t>
        </is>
      </c>
      <c r="G320" t="n">
        <v>1.7</v>
      </c>
      <c r="H320" t="n">
        <v>0</v>
      </c>
      <c r="I320" t="n">
        <v>0</v>
      </c>
      <c r="J320" t="n">
        <v>0</v>
      </c>
      <c r="K320" t="n">
        <v>0</v>
      </c>
      <c r="L320" t="n">
        <v>0</v>
      </c>
      <c r="M320" t="n">
        <v>0</v>
      </c>
      <c r="N320" t="n">
        <v>0</v>
      </c>
      <c r="O320" t="n">
        <v>0</v>
      </c>
      <c r="P320" t="n">
        <v>0</v>
      </c>
      <c r="Q320" t="n">
        <v>0</v>
      </c>
      <c r="R320" s="2" t="inlineStr"/>
    </row>
    <row r="321" ht="15" customHeight="1">
      <c r="A321" t="inlineStr">
        <is>
          <t>A 62398-2023</t>
        </is>
      </c>
      <c r="B321" s="1" t="n">
        <v>45268</v>
      </c>
      <c r="C321" s="1" t="n">
        <v>46061</v>
      </c>
      <c r="D321" t="inlineStr">
        <is>
          <t>DALARNAS LÄN</t>
        </is>
      </c>
      <c r="E321" t="inlineStr">
        <is>
          <t>HEDEMORA</t>
        </is>
      </c>
      <c r="G321" t="n">
        <v>2.1</v>
      </c>
      <c r="H321" t="n">
        <v>0</v>
      </c>
      <c r="I321" t="n">
        <v>0</v>
      </c>
      <c r="J321" t="n">
        <v>0</v>
      </c>
      <c r="K321" t="n">
        <v>0</v>
      </c>
      <c r="L321" t="n">
        <v>0</v>
      </c>
      <c r="M321" t="n">
        <v>0</v>
      </c>
      <c r="N321" t="n">
        <v>0</v>
      </c>
      <c r="O321" t="n">
        <v>0</v>
      </c>
      <c r="P321" t="n">
        <v>0</v>
      </c>
      <c r="Q321" t="n">
        <v>0</v>
      </c>
      <c r="R321" s="2" t="inlineStr"/>
    </row>
    <row r="322" ht="15" customHeight="1">
      <c r="A322" t="inlineStr">
        <is>
          <t>A 22273-2023</t>
        </is>
      </c>
      <c r="B322" s="1" t="n">
        <v>45070</v>
      </c>
      <c r="C322" s="1" t="n">
        <v>46061</v>
      </c>
      <c r="D322" t="inlineStr">
        <is>
          <t>DALARNAS LÄN</t>
        </is>
      </c>
      <c r="E322" t="inlineStr">
        <is>
          <t>HEDEMORA</t>
        </is>
      </c>
      <c r="G322" t="n">
        <v>1.3</v>
      </c>
      <c r="H322" t="n">
        <v>0</v>
      </c>
      <c r="I322" t="n">
        <v>0</v>
      </c>
      <c r="J322" t="n">
        <v>0</v>
      </c>
      <c r="K322" t="n">
        <v>0</v>
      </c>
      <c r="L322" t="n">
        <v>0</v>
      </c>
      <c r="M322" t="n">
        <v>0</v>
      </c>
      <c r="N322" t="n">
        <v>0</v>
      </c>
      <c r="O322" t="n">
        <v>0</v>
      </c>
      <c r="P322" t="n">
        <v>0</v>
      </c>
      <c r="Q322" t="n">
        <v>0</v>
      </c>
      <c r="R322" s="2" t="inlineStr"/>
    </row>
    <row r="323" ht="15" customHeight="1">
      <c r="A323" t="inlineStr">
        <is>
          <t>A 61136-2025</t>
        </is>
      </c>
      <c r="B323" s="1" t="n">
        <v>46000.50141203704</v>
      </c>
      <c r="C323" s="1" t="n">
        <v>46061</v>
      </c>
      <c r="D323" t="inlineStr">
        <is>
          <t>DALARNAS LÄN</t>
        </is>
      </c>
      <c r="E323" t="inlineStr">
        <is>
          <t>HEDEMORA</t>
        </is>
      </c>
      <c r="F323" t="inlineStr">
        <is>
          <t>Bergvik skog väst AB</t>
        </is>
      </c>
      <c r="G323" t="n">
        <v>6.2</v>
      </c>
      <c r="H323" t="n">
        <v>0</v>
      </c>
      <c r="I323" t="n">
        <v>0</v>
      </c>
      <c r="J323" t="n">
        <v>0</v>
      </c>
      <c r="K323" t="n">
        <v>0</v>
      </c>
      <c r="L323" t="n">
        <v>0</v>
      </c>
      <c r="M323" t="n">
        <v>0</v>
      </c>
      <c r="N323" t="n">
        <v>0</v>
      </c>
      <c r="O323" t="n">
        <v>0</v>
      </c>
      <c r="P323" t="n">
        <v>0</v>
      </c>
      <c r="Q323" t="n">
        <v>0</v>
      </c>
      <c r="R323" s="2" t="inlineStr"/>
    </row>
    <row r="324" ht="15" customHeight="1">
      <c r="A324" t="inlineStr">
        <is>
          <t>A 3385-2026</t>
        </is>
      </c>
      <c r="B324" s="1" t="n">
        <v>46042.36462962963</v>
      </c>
      <c r="C324" s="1" t="n">
        <v>46061</v>
      </c>
      <c r="D324" t="inlineStr">
        <is>
          <t>DALARNAS LÄN</t>
        </is>
      </c>
      <c r="E324" t="inlineStr">
        <is>
          <t>HEDEMORA</t>
        </is>
      </c>
      <c r="G324" t="n">
        <v>6.6</v>
      </c>
      <c r="H324" t="n">
        <v>0</v>
      </c>
      <c r="I324" t="n">
        <v>0</v>
      </c>
      <c r="J324" t="n">
        <v>0</v>
      </c>
      <c r="K324" t="n">
        <v>0</v>
      </c>
      <c r="L324" t="n">
        <v>0</v>
      </c>
      <c r="M324" t="n">
        <v>0</v>
      </c>
      <c r="N324" t="n">
        <v>0</v>
      </c>
      <c r="O324" t="n">
        <v>0</v>
      </c>
      <c r="P324" t="n">
        <v>0</v>
      </c>
      <c r="Q324" t="n">
        <v>0</v>
      </c>
      <c r="R324" s="2" t="inlineStr"/>
    </row>
    <row r="325" ht="15" customHeight="1">
      <c r="A325" t="inlineStr">
        <is>
          <t>A 3396-2026</t>
        </is>
      </c>
      <c r="B325" s="1" t="n">
        <v>46042.37716435185</v>
      </c>
      <c r="C325" s="1" t="n">
        <v>46061</v>
      </c>
      <c r="D325" t="inlineStr">
        <is>
          <t>DALARNAS LÄN</t>
        </is>
      </c>
      <c r="E325" t="inlineStr">
        <is>
          <t>HEDEMORA</t>
        </is>
      </c>
      <c r="G325" t="n">
        <v>18.1</v>
      </c>
      <c r="H325" t="n">
        <v>0</v>
      </c>
      <c r="I325" t="n">
        <v>0</v>
      </c>
      <c r="J325" t="n">
        <v>0</v>
      </c>
      <c r="K325" t="n">
        <v>0</v>
      </c>
      <c r="L325" t="n">
        <v>0</v>
      </c>
      <c r="M325" t="n">
        <v>0</v>
      </c>
      <c r="N325" t="n">
        <v>0</v>
      </c>
      <c r="O325" t="n">
        <v>0</v>
      </c>
      <c r="P325" t="n">
        <v>0</v>
      </c>
      <c r="Q325" t="n">
        <v>0</v>
      </c>
      <c r="R325" s="2" t="inlineStr"/>
    </row>
    <row r="326" ht="15" customHeight="1">
      <c r="A326" t="inlineStr">
        <is>
          <t>A 3759-2026</t>
        </is>
      </c>
      <c r="B326" s="1" t="n">
        <v>46043.55357638889</v>
      </c>
      <c r="C326" s="1" t="n">
        <v>46061</v>
      </c>
      <c r="D326" t="inlineStr">
        <is>
          <t>DALARNAS LÄN</t>
        </is>
      </c>
      <c r="E326" t="inlineStr">
        <is>
          <t>HEDEMORA</t>
        </is>
      </c>
      <c r="G326" t="n">
        <v>6.6</v>
      </c>
      <c r="H326" t="n">
        <v>0</v>
      </c>
      <c r="I326" t="n">
        <v>0</v>
      </c>
      <c r="J326" t="n">
        <v>0</v>
      </c>
      <c r="K326" t="n">
        <v>0</v>
      </c>
      <c r="L326" t="n">
        <v>0</v>
      </c>
      <c r="M326" t="n">
        <v>0</v>
      </c>
      <c r="N326" t="n">
        <v>0</v>
      </c>
      <c r="O326" t="n">
        <v>0</v>
      </c>
      <c r="P326" t="n">
        <v>0</v>
      </c>
      <c r="Q326" t="n">
        <v>0</v>
      </c>
      <c r="R326" s="2" t="inlineStr"/>
    </row>
    <row r="327" ht="15" customHeight="1">
      <c r="A327" t="inlineStr">
        <is>
          <t>A 60858-2025</t>
        </is>
      </c>
      <c r="B327" s="1" t="n">
        <v>45999.52246527778</v>
      </c>
      <c r="C327" s="1" t="n">
        <v>46061</v>
      </c>
      <c r="D327" t="inlineStr">
        <is>
          <t>DALARNAS LÄN</t>
        </is>
      </c>
      <c r="E327" t="inlineStr">
        <is>
          <t>HEDEMORA</t>
        </is>
      </c>
      <c r="G327" t="n">
        <v>2.7</v>
      </c>
      <c r="H327" t="n">
        <v>0</v>
      </c>
      <c r="I327" t="n">
        <v>0</v>
      </c>
      <c r="J327" t="n">
        <v>0</v>
      </c>
      <c r="K327" t="n">
        <v>0</v>
      </c>
      <c r="L327" t="n">
        <v>0</v>
      </c>
      <c r="M327" t="n">
        <v>0</v>
      </c>
      <c r="N327" t="n">
        <v>0</v>
      </c>
      <c r="O327" t="n">
        <v>0</v>
      </c>
      <c r="P327" t="n">
        <v>0</v>
      </c>
      <c r="Q327" t="n">
        <v>0</v>
      </c>
      <c r="R327" s="2" t="inlineStr"/>
    </row>
    <row r="328" ht="15" customHeight="1">
      <c r="A328" t="inlineStr">
        <is>
          <t>A 49636-2021</t>
        </is>
      </c>
      <c r="B328" s="1" t="n">
        <v>44455</v>
      </c>
      <c r="C328" s="1" t="n">
        <v>46061</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25645-2024</t>
        </is>
      </c>
      <c r="B329" s="1" t="n">
        <v>45463.66520833333</v>
      </c>
      <c r="C329" s="1" t="n">
        <v>46061</v>
      </c>
      <c r="D329" t="inlineStr">
        <is>
          <t>DALARNAS LÄN</t>
        </is>
      </c>
      <c r="E329" t="inlineStr">
        <is>
          <t>HEDEMORA</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834-2026</t>
        </is>
      </c>
      <c r="B330" s="1" t="n">
        <v>46030</v>
      </c>
      <c r="C330" s="1" t="n">
        <v>46061</v>
      </c>
      <c r="D330" t="inlineStr">
        <is>
          <t>DALARNAS LÄN</t>
        </is>
      </c>
      <c r="E330" t="inlineStr">
        <is>
          <t>HEDEMORA</t>
        </is>
      </c>
      <c r="G330" t="n">
        <v>2.8</v>
      </c>
      <c r="H330" t="n">
        <v>0</v>
      </c>
      <c r="I330" t="n">
        <v>0</v>
      </c>
      <c r="J330" t="n">
        <v>0</v>
      </c>
      <c r="K330" t="n">
        <v>0</v>
      </c>
      <c r="L330" t="n">
        <v>0</v>
      </c>
      <c r="M330" t="n">
        <v>0</v>
      </c>
      <c r="N330" t="n">
        <v>0</v>
      </c>
      <c r="O330" t="n">
        <v>0</v>
      </c>
      <c r="P330" t="n">
        <v>0</v>
      </c>
      <c r="Q330" t="n">
        <v>0</v>
      </c>
      <c r="R330" s="2" t="inlineStr"/>
    </row>
    <row r="331" ht="15" customHeight="1">
      <c r="A331" t="inlineStr">
        <is>
          <t>A 3410-2026</t>
        </is>
      </c>
      <c r="B331" s="1" t="n">
        <v>46042.41484953704</v>
      </c>
      <c r="C331" s="1" t="n">
        <v>46061</v>
      </c>
      <c r="D331" t="inlineStr">
        <is>
          <t>DALARNAS LÄN</t>
        </is>
      </c>
      <c r="E331" t="inlineStr">
        <is>
          <t>HEDEMORA</t>
        </is>
      </c>
      <c r="G331" t="n">
        <v>3.8</v>
      </c>
      <c r="H331" t="n">
        <v>0</v>
      </c>
      <c r="I331" t="n">
        <v>0</v>
      </c>
      <c r="J331" t="n">
        <v>0</v>
      </c>
      <c r="K331" t="n">
        <v>0</v>
      </c>
      <c r="L331" t="n">
        <v>0</v>
      </c>
      <c r="M331" t="n">
        <v>0</v>
      </c>
      <c r="N331" t="n">
        <v>0</v>
      </c>
      <c r="O331" t="n">
        <v>0</v>
      </c>
      <c r="P331" t="n">
        <v>0</v>
      </c>
      <c r="Q331" t="n">
        <v>0</v>
      </c>
      <c r="R331" s="2" t="inlineStr"/>
    </row>
    <row r="332" ht="15" customHeight="1">
      <c r="A332" t="inlineStr">
        <is>
          <t>A 3415-2026</t>
        </is>
      </c>
      <c r="B332" s="1" t="n">
        <v>46042.41993055555</v>
      </c>
      <c r="C332" s="1" t="n">
        <v>46061</v>
      </c>
      <c r="D332" t="inlineStr">
        <is>
          <t>DALARNAS LÄN</t>
        </is>
      </c>
      <c r="E332" t="inlineStr">
        <is>
          <t>HEDEMORA</t>
        </is>
      </c>
      <c r="G332" t="n">
        <v>4.3</v>
      </c>
      <c r="H332" t="n">
        <v>0</v>
      </c>
      <c r="I332" t="n">
        <v>0</v>
      </c>
      <c r="J332" t="n">
        <v>0</v>
      </c>
      <c r="K332" t="n">
        <v>0</v>
      </c>
      <c r="L332" t="n">
        <v>0</v>
      </c>
      <c r="M332" t="n">
        <v>0</v>
      </c>
      <c r="N332" t="n">
        <v>0</v>
      </c>
      <c r="O332" t="n">
        <v>0</v>
      </c>
      <c r="P332" t="n">
        <v>0</v>
      </c>
      <c r="Q332" t="n">
        <v>0</v>
      </c>
      <c r="R332" s="2" t="inlineStr"/>
    </row>
    <row r="333" ht="15" customHeight="1">
      <c r="A333" t="inlineStr">
        <is>
          <t>A 1885-2026</t>
        </is>
      </c>
      <c r="B333" s="1" t="n">
        <v>46035</v>
      </c>
      <c r="C333" s="1" t="n">
        <v>46061</v>
      </c>
      <c r="D333" t="inlineStr">
        <is>
          <t>DALARNAS LÄN</t>
        </is>
      </c>
      <c r="E333" t="inlineStr">
        <is>
          <t>HEDEMORA</t>
        </is>
      </c>
      <c r="G333" t="n">
        <v>2.5</v>
      </c>
      <c r="H333" t="n">
        <v>0</v>
      </c>
      <c r="I333" t="n">
        <v>0</v>
      </c>
      <c r="J333" t="n">
        <v>0</v>
      </c>
      <c r="K333" t="n">
        <v>0</v>
      </c>
      <c r="L333" t="n">
        <v>0</v>
      </c>
      <c r="M333" t="n">
        <v>0</v>
      </c>
      <c r="N333" t="n">
        <v>0</v>
      </c>
      <c r="O333" t="n">
        <v>0</v>
      </c>
      <c r="P333" t="n">
        <v>0</v>
      </c>
      <c r="Q333" t="n">
        <v>0</v>
      </c>
      <c r="R333" s="2" t="inlineStr"/>
    </row>
    <row r="334" ht="15" customHeight="1">
      <c r="A334" t="inlineStr">
        <is>
          <t>A 1202-2026</t>
        </is>
      </c>
      <c r="B334" s="1" t="n">
        <v>46031</v>
      </c>
      <c r="C334" s="1" t="n">
        <v>46061</v>
      </c>
      <c r="D334" t="inlineStr">
        <is>
          <t>DALARNAS LÄN</t>
        </is>
      </c>
      <c r="E334" t="inlineStr">
        <is>
          <t>HEDEMORA</t>
        </is>
      </c>
      <c r="G334" t="n">
        <v>0.9</v>
      </c>
      <c r="H334" t="n">
        <v>0</v>
      </c>
      <c r="I334" t="n">
        <v>0</v>
      </c>
      <c r="J334" t="n">
        <v>0</v>
      </c>
      <c r="K334" t="n">
        <v>0</v>
      </c>
      <c r="L334" t="n">
        <v>0</v>
      </c>
      <c r="M334" t="n">
        <v>0</v>
      </c>
      <c r="N334" t="n">
        <v>0</v>
      </c>
      <c r="O334" t="n">
        <v>0</v>
      </c>
      <c r="P334" t="n">
        <v>0</v>
      </c>
      <c r="Q334" t="n">
        <v>0</v>
      </c>
      <c r="R334" s="2" t="inlineStr"/>
    </row>
    <row r="335" ht="15" customHeight="1">
      <c r="A335" t="inlineStr">
        <is>
          <t>A 3407-2026</t>
        </is>
      </c>
      <c r="B335" s="1" t="n">
        <v>46042.40212962963</v>
      </c>
      <c r="C335" s="1" t="n">
        <v>46061</v>
      </c>
      <c r="D335" t="inlineStr">
        <is>
          <t>DALARNAS LÄN</t>
        </is>
      </c>
      <c r="E335" t="inlineStr">
        <is>
          <t>HEDEMORA</t>
        </is>
      </c>
      <c r="G335" t="n">
        <v>6.5</v>
      </c>
      <c r="H335" t="n">
        <v>0</v>
      </c>
      <c r="I335" t="n">
        <v>0</v>
      </c>
      <c r="J335" t="n">
        <v>0</v>
      </c>
      <c r="K335" t="n">
        <v>0</v>
      </c>
      <c r="L335" t="n">
        <v>0</v>
      </c>
      <c r="M335" t="n">
        <v>0</v>
      </c>
      <c r="N335" t="n">
        <v>0</v>
      </c>
      <c r="O335" t="n">
        <v>0</v>
      </c>
      <c r="P335" t="n">
        <v>0</v>
      </c>
      <c r="Q335" t="n">
        <v>0</v>
      </c>
      <c r="R335" s="2" t="inlineStr"/>
    </row>
    <row r="336" ht="15" customHeight="1">
      <c r="A336" t="inlineStr">
        <is>
          <t>A 18579-2025</t>
        </is>
      </c>
      <c r="B336" s="1" t="n">
        <v>45763</v>
      </c>
      <c r="C336" s="1" t="n">
        <v>46061</v>
      </c>
      <c r="D336" t="inlineStr">
        <is>
          <t>DALARNAS LÄN</t>
        </is>
      </c>
      <c r="E336" t="inlineStr">
        <is>
          <t>HEDEMORA</t>
        </is>
      </c>
      <c r="G336" t="n">
        <v>0.5</v>
      </c>
      <c r="H336" t="n">
        <v>0</v>
      </c>
      <c r="I336" t="n">
        <v>0</v>
      </c>
      <c r="J336" t="n">
        <v>0</v>
      </c>
      <c r="K336" t="n">
        <v>0</v>
      </c>
      <c r="L336" t="n">
        <v>0</v>
      </c>
      <c r="M336" t="n">
        <v>0</v>
      </c>
      <c r="N336" t="n">
        <v>0</v>
      </c>
      <c r="O336" t="n">
        <v>0</v>
      </c>
      <c r="P336" t="n">
        <v>0</v>
      </c>
      <c r="Q336" t="n">
        <v>0</v>
      </c>
      <c r="R336" s="2" t="inlineStr"/>
    </row>
    <row r="337" ht="15" customHeight="1">
      <c r="A337" t="inlineStr">
        <is>
          <t>A 4070-2026</t>
        </is>
      </c>
      <c r="B337" s="1" t="n">
        <v>46044.5272800926</v>
      </c>
      <c r="C337" s="1" t="n">
        <v>46061</v>
      </c>
      <c r="D337" t="inlineStr">
        <is>
          <t>DALARNAS LÄN</t>
        </is>
      </c>
      <c r="E337" t="inlineStr">
        <is>
          <t>HEDEMORA</t>
        </is>
      </c>
      <c r="G337" t="n">
        <v>29.2</v>
      </c>
      <c r="H337" t="n">
        <v>0</v>
      </c>
      <c r="I337" t="n">
        <v>0</v>
      </c>
      <c r="J337" t="n">
        <v>0</v>
      </c>
      <c r="K337" t="n">
        <v>0</v>
      </c>
      <c r="L337" t="n">
        <v>0</v>
      </c>
      <c r="M337" t="n">
        <v>0</v>
      </c>
      <c r="N337" t="n">
        <v>0</v>
      </c>
      <c r="O337" t="n">
        <v>0</v>
      </c>
      <c r="P337" t="n">
        <v>0</v>
      </c>
      <c r="Q337" t="n">
        <v>0</v>
      </c>
      <c r="R337" s="2" t="inlineStr"/>
    </row>
    <row r="338" ht="15" customHeight="1">
      <c r="A338" t="inlineStr">
        <is>
          <t>A 1905-2026</t>
        </is>
      </c>
      <c r="B338" s="1" t="n">
        <v>46035.54915509259</v>
      </c>
      <c r="C338" s="1" t="n">
        <v>46061</v>
      </c>
      <c r="D338" t="inlineStr">
        <is>
          <t>DALARNAS LÄN</t>
        </is>
      </c>
      <c r="E338" t="inlineStr">
        <is>
          <t>HEDEMORA</t>
        </is>
      </c>
      <c r="G338" t="n">
        <v>7.1</v>
      </c>
      <c r="H338" t="n">
        <v>0</v>
      </c>
      <c r="I338" t="n">
        <v>0</v>
      </c>
      <c r="J338" t="n">
        <v>0</v>
      </c>
      <c r="K338" t="n">
        <v>0</v>
      </c>
      <c r="L338" t="n">
        <v>0</v>
      </c>
      <c r="M338" t="n">
        <v>0</v>
      </c>
      <c r="N338" t="n">
        <v>0</v>
      </c>
      <c r="O338" t="n">
        <v>0</v>
      </c>
      <c r="P338" t="n">
        <v>0</v>
      </c>
      <c r="Q338" t="n">
        <v>0</v>
      </c>
      <c r="R338" s="2" t="inlineStr"/>
    </row>
    <row r="339" ht="15" customHeight="1">
      <c r="A339" t="inlineStr">
        <is>
          <t>A 26431-2024</t>
        </is>
      </c>
      <c r="B339" s="1" t="n">
        <v>45469.48282407408</v>
      </c>
      <c r="C339" s="1" t="n">
        <v>46061</v>
      </c>
      <c r="D339" t="inlineStr">
        <is>
          <t>DALARNAS LÄN</t>
        </is>
      </c>
      <c r="E339" t="inlineStr">
        <is>
          <t>HEDEMORA</t>
        </is>
      </c>
      <c r="G339" t="n">
        <v>1.6</v>
      </c>
      <c r="H339" t="n">
        <v>0</v>
      </c>
      <c r="I339" t="n">
        <v>0</v>
      </c>
      <c r="J339" t="n">
        <v>0</v>
      </c>
      <c r="K339" t="n">
        <v>0</v>
      </c>
      <c r="L339" t="n">
        <v>0</v>
      </c>
      <c r="M339" t="n">
        <v>0</v>
      </c>
      <c r="N339" t="n">
        <v>0</v>
      </c>
      <c r="O339" t="n">
        <v>0</v>
      </c>
      <c r="P339" t="n">
        <v>0</v>
      </c>
      <c r="Q339" t="n">
        <v>0</v>
      </c>
      <c r="R339" s="2" t="inlineStr"/>
      <c r="U339">
        <f>HYPERLINK("https://klasma.github.io/Logging_2083/knärot/A 26431-2024 karta knärot.png", "A 26431-2024")</f>
        <v/>
      </c>
      <c r="V339">
        <f>HYPERLINK("https://klasma.github.io/Logging_2083/klagomål/A 26431-2024 FSC-klagomål.docx", "A 26431-2024")</f>
        <v/>
      </c>
      <c r="W339">
        <f>HYPERLINK("https://klasma.github.io/Logging_2083/klagomålsmail/A 26431-2024 FSC-klagomål mail.docx", "A 26431-2024")</f>
        <v/>
      </c>
      <c r="X339">
        <f>HYPERLINK("https://klasma.github.io/Logging_2083/tillsyn/A 26431-2024 tillsynsbegäran.docx", "A 26431-2024")</f>
        <v/>
      </c>
      <c r="Y339">
        <f>HYPERLINK("https://klasma.github.io/Logging_2083/tillsynsmail/A 26431-2024 tillsynsbegäran mail.docx", "A 26431-2024")</f>
        <v/>
      </c>
    </row>
    <row r="340" ht="15" customHeight="1">
      <c r="A340" t="inlineStr">
        <is>
          <t>A 4089-2026</t>
        </is>
      </c>
      <c r="B340" s="1" t="n">
        <v>46044.55276620371</v>
      </c>
      <c r="C340" s="1" t="n">
        <v>46061</v>
      </c>
      <c r="D340" t="inlineStr">
        <is>
          <t>DALARNAS LÄN</t>
        </is>
      </c>
      <c r="E340" t="inlineStr">
        <is>
          <t>HEDEMORA</t>
        </is>
      </c>
      <c r="G340" t="n">
        <v>1.6</v>
      </c>
      <c r="H340" t="n">
        <v>0</v>
      </c>
      <c r="I340" t="n">
        <v>0</v>
      </c>
      <c r="J340" t="n">
        <v>0</v>
      </c>
      <c r="K340" t="n">
        <v>0</v>
      </c>
      <c r="L340" t="n">
        <v>0</v>
      </c>
      <c r="M340" t="n">
        <v>0</v>
      </c>
      <c r="N340" t="n">
        <v>0</v>
      </c>
      <c r="O340" t="n">
        <v>0</v>
      </c>
      <c r="P340" t="n">
        <v>0</v>
      </c>
      <c r="Q340" t="n">
        <v>0</v>
      </c>
      <c r="R340" s="2" t="inlineStr"/>
    </row>
    <row r="341" ht="15" customHeight="1">
      <c r="A341" t="inlineStr">
        <is>
          <t>A 40707-2023</t>
        </is>
      </c>
      <c r="B341" s="1" t="n">
        <v>45170.62489583333</v>
      </c>
      <c r="C341" s="1" t="n">
        <v>46061</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62407-2025</t>
        </is>
      </c>
      <c r="B342" s="1" t="n">
        <v>46007.43217592593</v>
      </c>
      <c r="C342" s="1" t="n">
        <v>46061</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53922-2024</t>
        </is>
      </c>
      <c r="B343" s="1" t="n">
        <v>45615.78459490741</v>
      </c>
      <c r="C343" s="1" t="n">
        <v>46061</v>
      </c>
      <c r="D343" t="inlineStr">
        <is>
          <t>DALARNAS LÄN</t>
        </is>
      </c>
      <c r="E343" t="inlineStr">
        <is>
          <t>HEDEMORA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45097-2025</t>
        </is>
      </c>
      <c r="B344" s="1" t="n">
        <v>45919.38918981481</v>
      </c>
      <c r="C344" s="1" t="n">
        <v>46061</v>
      </c>
      <c r="D344" t="inlineStr">
        <is>
          <t>DALARNAS LÄN</t>
        </is>
      </c>
      <c r="E344" t="inlineStr">
        <is>
          <t>HEDEMORA</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5228-2026</t>
        </is>
      </c>
      <c r="B345" s="1" t="n">
        <v>46049.80768518519</v>
      </c>
      <c r="C345" s="1" t="n">
        <v>46061</v>
      </c>
      <c r="D345" t="inlineStr">
        <is>
          <t>DALARNAS LÄN</t>
        </is>
      </c>
      <c r="E345" t="inlineStr">
        <is>
          <t>HEDEMORA</t>
        </is>
      </c>
      <c r="G345" t="n">
        <v>1.5</v>
      </c>
      <c r="H345" t="n">
        <v>0</v>
      </c>
      <c r="I345" t="n">
        <v>0</v>
      </c>
      <c r="J345" t="n">
        <v>0</v>
      </c>
      <c r="K345" t="n">
        <v>0</v>
      </c>
      <c r="L345" t="n">
        <v>0</v>
      </c>
      <c r="M345" t="n">
        <v>0</v>
      </c>
      <c r="N345" t="n">
        <v>0</v>
      </c>
      <c r="O345" t="n">
        <v>0</v>
      </c>
      <c r="P345" t="n">
        <v>0</v>
      </c>
      <c r="Q345" t="n">
        <v>0</v>
      </c>
      <c r="R345" s="2" t="inlineStr"/>
    </row>
    <row r="346" ht="15" customHeight="1">
      <c r="A346" t="inlineStr">
        <is>
          <t>A 5230-2026</t>
        </is>
      </c>
      <c r="B346" s="1" t="n">
        <v>46049.81304398148</v>
      </c>
      <c r="C346" s="1" t="n">
        <v>46061</v>
      </c>
      <c r="D346" t="inlineStr">
        <is>
          <t>DALARNAS LÄN</t>
        </is>
      </c>
      <c r="E346" t="inlineStr">
        <is>
          <t>HEDEMORA</t>
        </is>
      </c>
      <c r="G346" t="n">
        <v>1.3</v>
      </c>
      <c r="H346" t="n">
        <v>0</v>
      </c>
      <c r="I346" t="n">
        <v>0</v>
      </c>
      <c r="J346" t="n">
        <v>0</v>
      </c>
      <c r="K346" t="n">
        <v>0</v>
      </c>
      <c r="L346" t="n">
        <v>0</v>
      </c>
      <c r="M346" t="n">
        <v>0</v>
      </c>
      <c r="N346" t="n">
        <v>0</v>
      </c>
      <c r="O346" t="n">
        <v>0</v>
      </c>
      <c r="P346" t="n">
        <v>0</v>
      </c>
      <c r="Q346" t="n">
        <v>0</v>
      </c>
      <c r="R346" s="2" t="inlineStr"/>
    </row>
    <row r="347" ht="15" customHeight="1">
      <c r="A347" t="inlineStr">
        <is>
          <t>A 4809-2026</t>
        </is>
      </c>
      <c r="B347" s="1" t="n">
        <v>46048.58114583333</v>
      </c>
      <c r="C347" s="1" t="n">
        <v>46061</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42510-2025</t>
        </is>
      </c>
      <c r="B348" s="1" t="n">
        <v>45905.54068287037</v>
      </c>
      <c r="C348" s="1" t="n">
        <v>46061</v>
      </c>
      <c r="D348" t="inlineStr">
        <is>
          <t>DALARNAS LÄN</t>
        </is>
      </c>
      <c r="E348" t="inlineStr">
        <is>
          <t>HEDEMORA</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5677-2026</t>
        </is>
      </c>
      <c r="B349" s="1" t="n">
        <v>46051.47321759259</v>
      </c>
      <c r="C349" s="1" t="n">
        <v>46061</v>
      </c>
      <c r="D349" t="inlineStr">
        <is>
          <t>DALARNAS LÄN</t>
        </is>
      </c>
      <c r="E349" t="inlineStr">
        <is>
          <t>HEDEMORA</t>
        </is>
      </c>
      <c r="G349" t="n">
        <v>2.4</v>
      </c>
      <c r="H349" t="n">
        <v>0</v>
      </c>
      <c r="I349" t="n">
        <v>0</v>
      </c>
      <c r="J349" t="n">
        <v>0</v>
      </c>
      <c r="K349" t="n">
        <v>0</v>
      </c>
      <c r="L349" t="n">
        <v>0</v>
      </c>
      <c r="M349" t="n">
        <v>0</v>
      </c>
      <c r="N349" t="n">
        <v>0</v>
      </c>
      <c r="O349" t="n">
        <v>0</v>
      </c>
      <c r="P349" t="n">
        <v>0</v>
      </c>
      <c r="Q349" t="n">
        <v>0</v>
      </c>
      <c r="R349" s="2" t="inlineStr"/>
    </row>
    <row r="350" ht="15" customHeight="1">
      <c r="A350" t="inlineStr">
        <is>
          <t>A 5617-2026</t>
        </is>
      </c>
      <c r="B350" s="1" t="n">
        <v>46051.37861111111</v>
      </c>
      <c r="C350" s="1" t="n">
        <v>46061</v>
      </c>
      <c r="D350" t="inlineStr">
        <is>
          <t>DALARNAS LÄN</t>
        </is>
      </c>
      <c r="E350" t="inlineStr">
        <is>
          <t>HEDEMORA</t>
        </is>
      </c>
      <c r="G350" t="n">
        <v>4.3</v>
      </c>
      <c r="H350" t="n">
        <v>0</v>
      </c>
      <c r="I350" t="n">
        <v>0</v>
      </c>
      <c r="J350" t="n">
        <v>0</v>
      </c>
      <c r="K350" t="n">
        <v>0</v>
      </c>
      <c r="L350" t="n">
        <v>0</v>
      </c>
      <c r="M350" t="n">
        <v>0</v>
      </c>
      <c r="N350" t="n">
        <v>0</v>
      </c>
      <c r="O350" t="n">
        <v>0</v>
      </c>
      <c r="P350" t="n">
        <v>0</v>
      </c>
      <c r="Q350" t="n">
        <v>0</v>
      </c>
      <c r="R350" s="2" t="inlineStr"/>
    </row>
    <row r="351" ht="15" customHeight="1">
      <c r="A351" t="inlineStr">
        <is>
          <t>A 5619-2026</t>
        </is>
      </c>
      <c r="B351" s="1" t="n">
        <v>46051.38310185185</v>
      </c>
      <c r="C351" s="1" t="n">
        <v>46061</v>
      </c>
      <c r="D351" t="inlineStr">
        <is>
          <t>DALARNAS LÄN</t>
        </is>
      </c>
      <c r="E351" t="inlineStr">
        <is>
          <t>HEDEMORA</t>
        </is>
      </c>
      <c r="G351" t="n">
        <v>8</v>
      </c>
      <c r="H351" t="n">
        <v>0</v>
      </c>
      <c r="I351" t="n">
        <v>0</v>
      </c>
      <c r="J351" t="n">
        <v>0</v>
      </c>
      <c r="K351" t="n">
        <v>0</v>
      </c>
      <c r="L351" t="n">
        <v>0</v>
      </c>
      <c r="M351" t="n">
        <v>0</v>
      </c>
      <c r="N351" t="n">
        <v>0</v>
      </c>
      <c r="O351" t="n">
        <v>0</v>
      </c>
      <c r="P351" t="n">
        <v>0</v>
      </c>
      <c r="Q351" t="n">
        <v>0</v>
      </c>
      <c r="R351" s="2" t="inlineStr"/>
    </row>
    <row r="352" ht="15" customHeight="1">
      <c r="A352" t="inlineStr">
        <is>
          <t>A 306-2026</t>
        </is>
      </c>
      <c r="B352" s="1" t="n">
        <v>46027</v>
      </c>
      <c r="C352" s="1" t="n">
        <v>46061</v>
      </c>
      <c r="D352" t="inlineStr">
        <is>
          <t>DALARNAS LÄN</t>
        </is>
      </c>
      <c r="E352" t="inlineStr">
        <is>
          <t>HEDEMORA</t>
        </is>
      </c>
      <c r="G352" t="n">
        <v>3.8</v>
      </c>
      <c r="H352" t="n">
        <v>0</v>
      </c>
      <c r="I352" t="n">
        <v>0</v>
      </c>
      <c r="J352" t="n">
        <v>0</v>
      </c>
      <c r="K352" t="n">
        <v>0</v>
      </c>
      <c r="L352" t="n">
        <v>0</v>
      </c>
      <c r="M352" t="n">
        <v>0</v>
      </c>
      <c r="N352" t="n">
        <v>0</v>
      </c>
      <c r="O352" t="n">
        <v>0</v>
      </c>
      <c r="P352" t="n">
        <v>0</v>
      </c>
      <c r="Q352" t="n">
        <v>0</v>
      </c>
      <c r="R352" s="2" t="inlineStr"/>
    </row>
    <row r="353" ht="15" customHeight="1">
      <c r="A353" t="inlineStr">
        <is>
          <t>A 5784-2026</t>
        </is>
      </c>
      <c r="B353" s="1" t="n">
        <v>46051.66436342592</v>
      </c>
      <c r="C353" s="1" t="n">
        <v>46061</v>
      </c>
      <c r="D353" t="inlineStr">
        <is>
          <t>DALARNAS LÄN</t>
        </is>
      </c>
      <c r="E353" t="inlineStr">
        <is>
          <t>HEDEMORA</t>
        </is>
      </c>
      <c r="G353" t="n">
        <v>3.6</v>
      </c>
      <c r="H353" t="n">
        <v>0</v>
      </c>
      <c r="I353" t="n">
        <v>0</v>
      </c>
      <c r="J353" t="n">
        <v>0</v>
      </c>
      <c r="K353" t="n">
        <v>0</v>
      </c>
      <c r="L353" t="n">
        <v>0</v>
      </c>
      <c r="M353" t="n">
        <v>0</v>
      </c>
      <c r="N353" t="n">
        <v>0</v>
      </c>
      <c r="O353" t="n">
        <v>0</v>
      </c>
      <c r="P353" t="n">
        <v>0</v>
      </c>
      <c r="Q353" t="n">
        <v>0</v>
      </c>
      <c r="R353" s="2" t="inlineStr"/>
    </row>
    <row r="354" ht="15" customHeight="1">
      <c r="A354" t="inlineStr">
        <is>
          <t>A 5326-2026</t>
        </is>
      </c>
      <c r="B354" s="1" t="n">
        <v>46048</v>
      </c>
      <c r="C354" s="1" t="n">
        <v>46061</v>
      </c>
      <c r="D354" t="inlineStr">
        <is>
          <t>DALARNAS LÄN</t>
        </is>
      </c>
      <c r="E354" t="inlineStr">
        <is>
          <t>HEDEMORA</t>
        </is>
      </c>
      <c r="G354" t="n">
        <v>3.5</v>
      </c>
      <c r="H354" t="n">
        <v>0</v>
      </c>
      <c r="I354" t="n">
        <v>0</v>
      </c>
      <c r="J354" t="n">
        <v>0</v>
      </c>
      <c r="K354" t="n">
        <v>0</v>
      </c>
      <c r="L354" t="n">
        <v>0</v>
      </c>
      <c r="M354" t="n">
        <v>0</v>
      </c>
      <c r="N354" t="n">
        <v>0</v>
      </c>
      <c r="O354" t="n">
        <v>0</v>
      </c>
      <c r="P354" t="n">
        <v>0</v>
      </c>
      <c r="Q354" t="n">
        <v>0</v>
      </c>
      <c r="R354" s="2" t="inlineStr"/>
    </row>
    <row r="355" ht="15" customHeight="1">
      <c r="A355" t="inlineStr">
        <is>
          <t>A 64008-2025</t>
        </is>
      </c>
      <c r="B355" s="1" t="n">
        <v>46021</v>
      </c>
      <c r="C355" s="1" t="n">
        <v>46061</v>
      </c>
      <c r="D355" t="inlineStr">
        <is>
          <t>DALARNAS LÄN</t>
        </is>
      </c>
      <c r="E355" t="inlineStr">
        <is>
          <t>HEDEMORA</t>
        </is>
      </c>
      <c r="G355" t="n">
        <v>7.1</v>
      </c>
      <c r="H355" t="n">
        <v>0</v>
      </c>
      <c r="I355" t="n">
        <v>0</v>
      </c>
      <c r="J355" t="n">
        <v>0</v>
      </c>
      <c r="K355" t="n">
        <v>0</v>
      </c>
      <c r="L355" t="n">
        <v>0</v>
      </c>
      <c r="M355" t="n">
        <v>0</v>
      </c>
      <c r="N355" t="n">
        <v>0</v>
      </c>
      <c r="O355" t="n">
        <v>0</v>
      </c>
      <c r="P355" t="n">
        <v>0</v>
      </c>
      <c r="Q355" t="n">
        <v>0</v>
      </c>
      <c r="R355" s="2" t="inlineStr"/>
    </row>
    <row r="356" ht="15" customHeight="1">
      <c r="A356" t="inlineStr">
        <is>
          <t>A 1451-2026</t>
        </is>
      </c>
      <c r="B356" s="1" t="n">
        <v>46033</v>
      </c>
      <c r="C356" s="1" t="n">
        <v>46061</v>
      </c>
      <c r="D356" t="inlineStr">
        <is>
          <t>DALARNAS LÄN</t>
        </is>
      </c>
      <c r="E356" t="inlineStr">
        <is>
          <t>HEDEMORA</t>
        </is>
      </c>
      <c r="G356" t="n">
        <v>7</v>
      </c>
      <c r="H356" t="n">
        <v>0</v>
      </c>
      <c r="I356" t="n">
        <v>0</v>
      </c>
      <c r="J356" t="n">
        <v>0</v>
      </c>
      <c r="K356" t="n">
        <v>0</v>
      </c>
      <c r="L356" t="n">
        <v>0</v>
      </c>
      <c r="M356" t="n">
        <v>0</v>
      </c>
      <c r="N356" t="n">
        <v>0</v>
      </c>
      <c r="O356" t="n">
        <v>0</v>
      </c>
      <c r="P356" t="n">
        <v>0</v>
      </c>
      <c r="Q356" t="n">
        <v>0</v>
      </c>
      <c r="R356" s="2" t="inlineStr"/>
    </row>
    <row r="357" ht="15" customHeight="1">
      <c r="A357" t="inlineStr">
        <is>
          <t>A 63916-2025</t>
        </is>
      </c>
      <c r="B357" s="1" t="n">
        <v>46020</v>
      </c>
      <c r="C357" s="1" t="n">
        <v>46061</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5620-2026</t>
        </is>
      </c>
      <c r="B358" s="1" t="n">
        <v>46051.38346064815</v>
      </c>
      <c r="C358" s="1" t="n">
        <v>46061</v>
      </c>
      <c r="D358" t="inlineStr">
        <is>
          <t>DALARNAS LÄN</t>
        </is>
      </c>
      <c r="E358" t="inlineStr">
        <is>
          <t>HEDEMORA</t>
        </is>
      </c>
      <c r="G358" t="n">
        <v>9.5</v>
      </c>
      <c r="H358" t="n">
        <v>0</v>
      </c>
      <c r="I358" t="n">
        <v>0</v>
      </c>
      <c r="J358" t="n">
        <v>0</v>
      </c>
      <c r="K358" t="n">
        <v>0</v>
      </c>
      <c r="L358" t="n">
        <v>0</v>
      </c>
      <c r="M358" t="n">
        <v>0</v>
      </c>
      <c r="N358" t="n">
        <v>0</v>
      </c>
      <c r="O358" t="n">
        <v>0</v>
      </c>
      <c r="P358" t="n">
        <v>0</v>
      </c>
      <c r="Q358" t="n">
        <v>0</v>
      </c>
      <c r="R358" s="2" t="inlineStr"/>
    </row>
    <row r="359" ht="15" customHeight="1">
      <c r="A359" t="inlineStr">
        <is>
          <t>A 19353-2024</t>
        </is>
      </c>
      <c r="B359" s="1" t="n">
        <v>45429.29666666667</v>
      </c>
      <c r="C359" s="1" t="n">
        <v>46061</v>
      </c>
      <c r="D359" t="inlineStr">
        <is>
          <t>DALARNAS LÄN</t>
        </is>
      </c>
      <c r="E359" t="inlineStr">
        <is>
          <t>HEDEMORA</t>
        </is>
      </c>
      <c r="F359" t="inlineStr">
        <is>
          <t>Sveaskog</t>
        </is>
      </c>
      <c r="G359" t="n">
        <v>16.3</v>
      </c>
      <c r="H359" t="n">
        <v>0</v>
      </c>
      <c r="I359" t="n">
        <v>0</v>
      </c>
      <c r="J359" t="n">
        <v>0</v>
      </c>
      <c r="K359" t="n">
        <v>0</v>
      </c>
      <c r="L359" t="n">
        <v>0</v>
      </c>
      <c r="M359" t="n">
        <v>0</v>
      </c>
      <c r="N359" t="n">
        <v>0</v>
      </c>
      <c r="O359" t="n">
        <v>0</v>
      </c>
      <c r="P359" t="n">
        <v>0</v>
      </c>
      <c r="Q359" t="n">
        <v>0</v>
      </c>
      <c r="R359" s="2" t="inlineStr"/>
    </row>
    <row r="360" ht="15" customHeight="1">
      <c r="A360" t="inlineStr">
        <is>
          <t>A 63900-2025</t>
        </is>
      </c>
      <c r="B360" s="1" t="n">
        <v>46020</v>
      </c>
      <c r="C360" s="1" t="n">
        <v>46061</v>
      </c>
      <c r="D360" t="inlineStr">
        <is>
          <t>DALARNAS LÄN</t>
        </is>
      </c>
      <c r="E360" t="inlineStr">
        <is>
          <t>HEDEMORA</t>
        </is>
      </c>
      <c r="G360" t="n">
        <v>3.4</v>
      </c>
      <c r="H360" t="n">
        <v>0</v>
      </c>
      <c r="I360" t="n">
        <v>0</v>
      </c>
      <c r="J360" t="n">
        <v>0</v>
      </c>
      <c r="K360" t="n">
        <v>0</v>
      </c>
      <c r="L360" t="n">
        <v>0</v>
      </c>
      <c r="M360" t="n">
        <v>0</v>
      </c>
      <c r="N360" t="n">
        <v>0</v>
      </c>
      <c r="O360" t="n">
        <v>0</v>
      </c>
      <c r="P360" t="n">
        <v>0</v>
      </c>
      <c r="Q360" t="n">
        <v>0</v>
      </c>
      <c r="R360" s="2" t="inlineStr"/>
    </row>
    <row r="361" ht="15" customHeight="1">
      <c r="A361" t="inlineStr">
        <is>
          <t>A 27610-2024</t>
        </is>
      </c>
      <c r="B361" s="1" t="n">
        <v>45474.73221064815</v>
      </c>
      <c r="C361" s="1" t="n">
        <v>46061</v>
      </c>
      <c r="D361" t="inlineStr">
        <is>
          <t>DALARNAS LÄN</t>
        </is>
      </c>
      <c r="E361" t="inlineStr">
        <is>
          <t>HEDEMORA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5316-2026</t>
        </is>
      </c>
      <c r="B362" s="1" t="n">
        <v>46050.37637731482</v>
      </c>
      <c r="C362" s="1" t="n">
        <v>46061</v>
      </c>
      <c r="D362" t="inlineStr">
        <is>
          <t>DALARNAS LÄN</t>
        </is>
      </c>
      <c r="E362" t="inlineStr">
        <is>
          <t>HEDEMORA</t>
        </is>
      </c>
      <c r="G362" t="n">
        <v>0.9</v>
      </c>
      <c r="H362" t="n">
        <v>0</v>
      </c>
      <c r="I362" t="n">
        <v>0</v>
      </c>
      <c r="J362" t="n">
        <v>0</v>
      </c>
      <c r="K362" t="n">
        <v>0</v>
      </c>
      <c r="L362" t="n">
        <v>0</v>
      </c>
      <c r="M362" t="n">
        <v>0</v>
      </c>
      <c r="N362" t="n">
        <v>0</v>
      </c>
      <c r="O362" t="n">
        <v>0</v>
      </c>
      <c r="P362" t="n">
        <v>0</v>
      </c>
      <c r="Q362" t="n">
        <v>0</v>
      </c>
      <c r="R362" s="2" t="inlineStr"/>
    </row>
    <row r="363" ht="15" customHeight="1">
      <c r="A363" t="inlineStr">
        <is>
          <t>A 27609-2024</t>
        </is>
      </c>
      <c r="B363" s="1" t="n">
        <v>45474.73076388889</v>
      </c>
      <c r="C363" s="1" t="n">
        <v>46061</v>
      </c>
      <c r="D363" t="inlineStr">
        <is>
          <t>DALARNAS LÄN</t>
        </is>
      </c>
      <c r="E363" t="inlineStr">
        <is>
          <t>HEDEMORA</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37449-2024</t>
        </is>
      </c>
      <c r="B364" s="1" t="n">
        <v>45540</v>
      </c>
      <c r="C364" s="1" t="n">
        <v>46061</v>
      </c>
      <c r="D364" t="inlineStr">
        <is>
          <t>DALARNAS LÄN</t>
        </is>
      </c>
      <c r="E364" t="inlineStr">
        <is>
          <t>HEDEMORA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1445-2026</t>
        </is>
      </c>
      <c r="B365" s="1" t="n">
        <v>46032.77636574074</v>
      </c>
      <c r="C365" s="1" t="n">
        <v>46061</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1449-2026</t>
        </is>
      </c>
      <c r="B366" s="1" t="n">
        <v>46033.23923611111</v>
      </c>
      <c r="C366" s="1" t="n">
        <v>46061</v>
      </c>
      <c r="D366" t="inlineStr">
        <is>
          <t>DALARNAS LÄN</t>
        </is>
      </c>
      <c r="E366" t="inlineStr">
        <is>
          <t>HEDEMORA</t>
        </is>
      </c>
      <c r="G366" t="n">
        <v>13.5</v>
      </c>
      <c r="H366" t="n">
        <v>0</v>
      </c>
      <c r="I366" t="n">
        <v>0</v>
      </c>
      <c r="J366" t="n">
        <v>0</v>
      </c>
      <c r="K366" t="n">
        <v>0</v>
      </c>
      <c r="L366" t="n">
        <v>0</v>
      </c>
      <c r="M366" t="n">
        <v>0</v>
      </c>
      <c r="N366" t="n">
        <v>0</v>
      </c>
      <c r="O366" t="n">
        <v>0</v>
      </c>
      <c r="P366" t="n">
        <v>0</v>
      </c>
      <c r="Q366" t="n">
        <v>0</v>
      </c>
      <c r="R366" s="2" t="inlineStr"/>
    </row>
    <row r="367" ht="15" customHeight="1">
      <c r="A367" t="inlineStr">
        <is>
          <t>A 6385-2026</t>
        </is>
      </c>
      <c r="B367" s="1" t="n">
        <v>46055.63866898148</v>
      </c>
      <c r="C367" s="1" t="n">
        <v>46061</v>
      </c>
      <c r="D367" t="inlineStr">
        <is>
          <t>DALARNAS LÄN</t>
        </is>
      </c>
      <c r="E367" t="inlineStr">
        <is>
          <t>HEDEMORA</t>
        </is>
      </c>
      <c r="F367" t="inlineStr">
        <is>
          <t>Sveaskog</t>
        </is>
      </c>
      <c r="G367" t="n">
        <v>15.9</v>
      </c>
      <c r="H367" t="n">
        <v>0</v>
      </c>
      <c r="I367" t="n">
        <v>0</v>
      </c>
      <c r="J367" t="n">
        <v>0</v>
      </c>
      <c r="K367" t="n">
        <v>0</v>
      </c>
      <c r="L367" t="n">
        <v>0</v>
      </c>
      <c r="M367" t="n">
        <v>0</v>
      </c>
      <c r="N367" t="n">
        <v>0</v>
      </c>
      <c r="O367" t="n">
        <v>0</v>
      </c>
      <c r="P367" t="n">
        <v>0</v>
      </c>
      <c r="Q367" t="n">
        <v>0</v>
      </c>
      <c r="R367" s="2" t="inlineStr"/>
    </row>
    <row r="368" ht="15" customHeight="1">
      <c r="A368" t="inlineStr">
        <is>
          <t>A 6378-2026</t>
        </is>
      </c>
      <c r="B368" s="1" t="n">
        <v>46055.63486111111</v>
      </c>
      <c r="C368" s="1" t="n">
        <v>46061</v>
      </c>
      <c r="D368" t="inlineStr">
        <is>
          <t>DALARNAS LÄN</t>
        </is>
      </c>
      <c r="E368" t="inlineStr">
        <is>
          <t>HEDEMORA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6383-2026</t>
        </is>
      </c>
      <c r="B369" s="1" t="n">
        <v>46055.63663194444</v>
      </c>
      <c r="C369" s="1" t="n">
        <v>46061</v>
      </c>
      <c r="D369" t="inlineStr">
        <is>
          <t>DALARNAS LÄN</t>
        </is>
      </c>
      <c r="E369" t="inlineStr">
        <is>
          <t>HEDEMORA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6339-2026</t>
        </is>
      </c>
      <c r="B370" s="1" t="n">
        <v>46055.59828703704</v>
      </c>
      <c r="C370" s="1" t="n">
        <v>46061</v>
      </c>
      <c r="D370" t="inlineStr">
        <is>
          <t>DALARNAS LÄN</t>
        </is>
      </c>
      <c r="E370" t="inlineStr">
        <is>
          <t>HEDEMORA</t>
        </is>
      </c>
      <c r="G370" t="n">
        <v>1.4</v>
      </c>
      <c r="H370" t="n">
        <v>0</v>
      </c>
      <c r="I370" t="n">
        <v>0</v>
      </c>
      <c r="J370" t="n">
        <v>0</v>
      </c>
      <c r="K370" t="n">
        <v>0</v>
      </c>
      <c r="L370" t="n">
        <v>0</v>
      </c>
      <c r="M370" t="n">
        <v>0</v>
      </c>
      <c r="N370" t="n">
        <v>0</v>
      </c>
      <c r="O370" t="n">
        <v>0</v>
      </c>
      <c r="P370" t="n">
        <v>0</v>
      </c>
      <c r="Q370" t="n">
        <v>0</v>
      </c>
      <c r="R370" s="2" t="inlineStr"/>
      <c r="U370">
        <f>HYPERLINK("https://klasma.github.io/Logging_2083/knärot/A 6339-2026 karta knärot.png", "A 6339-2026")</f>
        <v/>
      </c>
      <c r="V370">
        <f>HYPERLINK("https://klasma.github.io/Logging_2083/klagomål/A 6339-2026 FSC-klagomål.docx", "A 6339-2026")</f>
        <v/>
      </c>
      <c r="W370">
        <f>HYPERLINK("https://klasma.github.io/Logging_2083/klagomålsmail/A 6339-2026 FSC-klagomål mail.docx", "A 6339-2026")</f>
        <v/>
      </c>
      <c r="X370">
        <f>HYPERLINK("https://klasma.github.io/Logging_2083/tillsyn/A 6339-2026 tillsynsbegäran.docx", "A 6339-2026")</f>
        <v/>
      </c>
      <c r="Y370">
        <f>HYPERLINK("https://klasma.github.io/Logging_2083/tillsynsmail/A 6339-2026 tillsynsbegäran mail.docx", "A 6339-2026")</f>
        <v/>
      </c>
    </row>
    <row r="371" ht="15" customHeight="1">
      <c r="A371" t="inlineStr">
        <is>
          <t>A 6372-2026</t>
        </is>
      </c>
      <c r="B371" s="1" t="n">
        <v>46055.631875</v>
      </c>
      <c r="C371" s="1" t="n">
        <v>46061</v>
      </c>
      <c r="D371" t="inlineStr">
        <is>
          <t>DALARNAS LÄN</t>
        </is>
      </c>
      <c r="E371" t="inlineStr">
        <is>
          <t>HEDEMORA</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25155-2023</t>
        </is>
      </c>
      <c r="B372" s="1" t="n">
        <v>45086</v>
      </c>
      <c r="C372" s="1" t="n">
        <v>46061</v>
      </c>
      <c r="D372" t="inlineStr">
        <is>
          <t>DALARNAS LÄN</t>
        </is>
      </c>
      <c r="E372" t="inlineStr">
        <is>
          <t>HEDEMORA</t>
        </is>
      </c>
      <c r="F372" t="inlineStr">
        <is>
          <t>Sveaskog</t>
        </is>
      </c>
      <c r="G372" t="n">
        <v>3.8</v>
      </c>
      <c r="H372" t="n">
        <v>0</v>
      </c>
      <c r="I372" t="n">
        <v>0</v>
      </c>
      <c r="J372" t="n">
        <v>0</v>
      </c>
      <c r="K372" t="n">
        <v>0</v>
      </c>
      <c r="L372" t="n">
        <v>0</v>
      </c>
      <c r="M372" t="n">
        <v>0</v>
      </c>
      <c r="N372" t="n">
        <v>0</v>
      </c>
      <c r="O372" t="n">
        <v>0</v>
      </c>
      <c r="P372" t="n">
        <v>0</v>
      </c>
      <c r="Q372" t="n">
        <v>0</v>
      </c>
      <c r="R372" s="2" t="inlineStr"/>
    </row>
    <row r="373" ht="15" customHeight="1">
      <c r="A373" t="inlineStr">
        <is>
          <t>A 6672-2026</t>
        </is>
      </c>
      <c r="B373" s="1" t="n">
        <v>46056.59987268518</v>
      </c>
      <c r="C373" s="1" t="n">
        <v>46061</v>
      </c>
      <c r="D373" t="inlineStr">
        <is>
          <t>DALARNAS LÄN</t>
        </is>
      </c>
      <c r="E373" t="inlineStr">
        <is>
          <t>HEDEMORA</t>
        </is>
      </c>
      <c r="G373" t="n">
        <v>2.5</v>
      </c>
      <c r="H373" t="n">
        <v>0</v>
      </c>
      <c r="I373" t="n">
        <v>0</v>
      </c>
      <c r="J373" t="n">
        <v>0</v>
      </c>
      <c r="K373" t="n">
        <v>0</v>
      </c>
      <c r="L373" t="n">
        <v>0</v>
      </c>
      <c r="M373" t="n">
        <v>0</v>
      </c>
      <c r="N373" t="n">
        <v>0</v>
      </c>
      <c r="O373" t="n">
        <v>0</v>
      </c>
      <c r="P373" t="n">
        <v>0</v>
      </c>
      <c r="Q373" t="n">
        <v>0</v>
      </c>
      <c r="R373" s="2" t="inlineStr"/>
    </row>
    <row r="374" ht="15" customHeight="1">
      <c r="A374" t="inlineStr">
        <is>
          <t>A 5341-2026</t>
        </is>
      </c>
      <c r="B374" s="1" t="n">
        <v>46050</v>
      </c>
      <c r="C374" s="1" t="n">
        <v>46061</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6687-2026</t>
        </is>
      </c>
      <c r="B375" s="1" t="n">
        <v>46056.6309375</v>
      </c>
      <c r="C375" s="1" t="n">
        <v>46061</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54312-2024</t>
        </is>
      </c>
      <c r="B376" s="1" t="n">
        <v>45617.3434837963</v>
      </c>
      <c r="C376" s="1" t="n">
        <v>46061</v>
      </c>
      <c r="D376" t="inlineStr">
        <is>
          <t>DALARNAS LÄN</t>
        </is>
      </c>
      <c r="E376" t="inlineStr">
        <is>
          <t>HEDEMORA</t>
        </is>
      </c>
      <c r="F376" t="inlineStr">
        <is>
          <t>Bergvik skog väst AB</t>
        </is>
      </c>
      <c r="G376" t="n">
        <v>13.9</v>
      </c>
      <c r="H376" t="n">
        <v>0</v>
      </c>
      <c r="I376" t="n">
        <v>0</v>
      </c>
      <c r="J376" t="n">
        <v>0</v>
      </c>
      <c r="K376" t="n">
        <v>0</v>
      </c>
      <c r="L376" t="n">
        <v>0</v>
      </c>
      <c r="M376" t="n">
        <v>0</v>
      </c>
      <c r="N376" t="n">
        <v>0</v>
      </c>
      <c r="O376" t="n">
        <v>0</v>
      </c>
      <c r="P376" t="n">
        <v>0</v>
      </c>
      <c r="Q376" t="n">
        <v>0</v>
      </c>
      <c r="R376" s="2" t="inlineStr"/>
    </row>
    <row r="377" ht="15" customHeight="1">
      <c r="A377" t="inlineStr">
        <is>
          <t>A 47841-2025</t>
        </is>
      </c>
      <c r="B377" s="1" t="n">
        <v>45932.37429398148</v>
      </c>
      <c r="C377" s="1" t="n">
        <v>46061</v>
      </c>
      <c r="D377" t="inlineStr">
        <is>
          <t>DALARNAS LÄN</t>
        </is>
      </c>
      <c r="E377" t="inlineStr">
        <is>
          <t>HEDEMORA</t>
        </is>
      </c>
      <c r="G377" t="n">
        <v>3</v>
      </c>
      <c r="H377" t="n">
        <v>0</v>
      </c>
      <c r="I377" t="n">
        <v>0</v>
      </c>
      <c r="J377" t="n">
        <v>0</v>
      </c>
      <c r="K377" t="n">
        <v>0</v>
      </c>
      <c r="L377" t="n">
        <v>0</v>
      </c>
      <c r="M377" t="n">
        <v>0</v>
      </c>
      <c r="N377" t="n">
        <v>0</v>
      </c>
      <c r="O377" t="n">
        <v>0</v>
      </c>
      <c r="P377" t="n">
        <v>0</v>
      </c>
      <c r="Q377" t="n">
        <v>0</v>
      </c>
      <c r="R377" s="2" t="inlineStr"/>
    </row>
    <row r="378" ht="15" customHeight="1">
      <c r="A378" t="inlineStr">
        <is>
          <t>A 48381-2025</t>
        </is>
      </c>
      <c r="B378" s="1" t="n">
        <v>45933.81800925926</v>
      </c>
      <c r="C378" s="1" t="n">
        <v>46061</v>
      </c>
      <c r="D378" t="inlineStr">
        <is>
          <t>DALARNAS LÄN</t>
        </is>
      </c>
      <c r="E378" t="inlineStr">
        <is>
          <t>HEDEMORA</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45290-2025</t>
        </is>
      </c>
      <c r="B379" s="1" t="n">
        <v>45920.37158564815</v>
      </c>
      <c r="C379" s="1" t="n">
        <v>46061</v>
      </c>
      <c r="D379" t="inlineStr">
        <is>
          <t>DALARNAS LÄN</t>
        </is>
      </c>
      <c r="E379" t="inlineStr">
        <is>
          <t>HEDEMORA</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52945-2024</t>
        </is>
      </c>
      <c r="B380" s="1" t="n">
        <v>45610.82664351852</v>
      </c>
      <c r="C380" s="1" t="n">
        <v>46061</v>
      </c>
      <c r="D380" t="inlineStr">
        <is>
          <t>DALARNAS LÄN</t>
        </is>
      </c>
      <c r="E380" t="inlineStr">
        <is>
          <t>HEDEMORA</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59632-2023</t>
        </is>
      </c>
      <c r="B381" s="1" t="n">
        <v>45254</v>
      </c>
      <c r="C381" s="1" t="n">
        <v>46061</v>
      </c>
      <c r="D381" t="inlineStr">
        <is>
          <t>DALARNAS LÄN</t>
        </is>
      </c>
      <c r="E381" t="inlineStr">
        <is>
          <t>HEDEMORA</t>
        </is>
      </c>
      <c r="G381" t="n">
        <v>1.4</v>
      </c>
      <c r="H381" t="n">
        <v>0</v>
      </c>
      <c r="I381" t="n">
        <v>0</v>
      </c>
      <c r="J381" t="n">
        <v>0</v>
      </c>
      <c r="K381" t="n">
        <v>0</v>
      </c>
      <c r="L381" t="n">
        <v>0</v>
      </c>
      <c r="M381" t="n">
        <v>0</v>
      </c>
      <c r="N381" t="n">
        <v>0</v>
      </c>
      <c r="O381" t="n">
        <v>0</v>
      </c>
      <c r="P381" t="n">
        <v>0</v>
      </c>
      <c r="Q381" t="n">
        <v>0</v>
      </c>
      <c r="R381" s="2" t="inlineStr"/>
    </row>
    <row r="382" ht="15" customHeight="1">
      <c r="A382" t="inlineStr">
        <is>
          <t>A 37759-2024</t>
        </is>
      </c>
      <c r="B382" s="1" t="n">
        <v>45541</v>
      </c>
      <c r="C382" s="1" t="n">
        <v>46061</v>
      </c>
      <c r="D382" t="inlineStr">
        <is>
          <t>DALARNAS LÄN</t>
        </is>
      </c>
      <c r="E382" t="inlineStr">
        <is>
          <t>HEDEMORA</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4228-2026</t>
        </is>
      </c>
      <c r="B383" s="1" t="n">
        <v>46044</v>
      </c>
      <c r="C383" s="1" t="n">
        <v>46061</v>
      </c>
      <c r="D383" t="inlineStr">
        <is>
          <t>DALARNAS LÄN</t>
        </is>
      </c>
      <c r="E383" t="inlineStr">
        <is>
          <t>HEDEMORA</t>
        </is>
      </c>
      <c r="G383" t="n">
        <v>0.8</v>
      </c>
      <c r="H383" t="n">
        <v>0</v>
      </c>
      <c r="I383" t="n">
        <v>0</v>
      </c>
      <c r="J383" t="n">
        <v>0</v>
      </c>
      <c r="K383" t="n">
        <v>0</v>
      </c>
      <c r="L383" t="n">
        <v>0</v>
      </c>
      <c r="M383" t="n">
        <v>0</v>
      </c>
      <c r="N383" t="n">
        <v>0</v>
      </c>
      <c r="O383" t="n">
        <v>0</v>
      </c>
      <c r="P383" t="n">
        <v>0</v>
      </c>
      <c r="Q383" t="n">
        <v>0</v>
      </c>
      <c r="R383" s="2" t="inlineStr"/>
    </row>
    <row r="384" ht="15" customHeight="1">
      <c r="A384" t="inlineStr">
        <is>
          <t>A 7914-2024</t>
        </is>
      </c>
      <c r="B384" s="1" t="n">
        <v>45350.46003472222</v>
      </c>
      <c r="C384" s="1" t="n">
        <v>46061</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73099-2021</t>
        </is>
      </c>
      <c r="B385" s="1" t="n">
        <v>44546</v>
      </c>
      <c r="C385" s="1" t="n">
        <v>46061</v>
      </c>
      <c r="D385" t="inlineStr">
        <is>
          <t>DALARNAS LÄN</t>
        </is>
      </c>
      <c r="E385" t="inlineStr">
        <is>
          <t>HEDEMORA</t>
        </is>
      </c>
      <c r="G385" t="n">
        <v>4.5</v>
      </c>
      <c r="H385" t="n">
        <v>0</v>
      </c>
      <c r="I385" t="n">
        <v>0</v>
      </c>
      <c r="J385" t="n">
        <v>0</v>
      </c>
      <c r="K385" t="n">
        <v>0</v>
      </c>
      <c r="L385" t="n">
        <v>0</v>
      </c>
      <c r="M385" t="n">
        <v>0</v>
      </c>
      <c r="N385" t="n">
        <v>0</v>
      </c>
      <c r="O385" t="n">
        <v>0</v>
      </c>
      <c r="P385" t="n">
        <v>0</v>
      </c>
      <c r="Q385" t="n">
        <v>0</v>
      </c>
      <c r="R385" s="2" t="inlineStr"/>
    </row>
    <row r="386" ht="15" customHeight="1">
      <c r="A386" t="inlineStr">
        <is>
          <t>A 52199-2021</t>
        </is>
      </c>
      <c r="B386" s="1" t="n">
        <v>44462</v>
      </c>
      <c r="C386" s="1" t="n">
        <v>46061</v>
      </c>
      <c r="D386" t="inlineStr">
        <is>
          <t>DALARNAS LÄN</t>
        </is>
      </c>
      <c r="E386" t="inlineStr">
        <is>
          <t>HEDEMORA</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7165-2026</t>
        </is>
      </c>
      <c r="B387" s="1" t="n">
        <v>46058.45313657408</v>
      </c>
      <c r="C387" s="1" t="n">
        <v>46061</v>
      </c>
      <c r="D387" t="inlineStr">
        <is>
          <t>DALARNAS LÄN</t>
        </is>
      </c>
      <c r="E387" t="inlineStr">
        <is>
          <t>HEDEMORA</t>
        </is>
      </c>
      <c r="G387" t="n">
        <v>4.9</v>
      </c>
      <c r="H387" t="n">
        <v>0</v>
      </c>
      <c r="I387" t="n">
        <v>0</v>
      </c>
      <c r="J387" t="n">
        <v>0</v>
      </c>
      <c r="K387" t="n">
        <v>0</v>
      </c>
      <c r="L387" t="n">
        <v>0</v>
      </c>
      <c r="M387" t="n">
        <v>0</v>
      </c>
      <c r="N387" t="n">
        <v>0</v>
      </c>
      <c r="O387" t="n">
        <v>0</v>
      </c>
      <c r="P387" t="n">
        <v>0</v>
      </c>
      <c r="Q387" t="n">
        <v>0</v>
      </c>
      <c r="R387" s="2" t="inlineStr"/>
    </row>
    <row r="388" ht="15" customHeight="1">
      <c r="A388" t="inlineStr">
        <is>
          <t>A 7188-2026</t>
        </is>
      </c>
      <c r="B388" s="1" t="n">
        <v>46058.49344907407</v>
      </c>
      <c r="C388" s="1" t="n">
        <v>46061</v>
      </c>
      <c r="D388" t="inlineStr">
        <is>
          <t>DALARNAS LÄN</t>
        </is>
      </c>
      <c r="E388" t="inlineStr">
        <is>
          <t>HEDEMORA</t>
        </is>
      </c>
      <c r="G388" t="n">
        <v>1.4</v>
      </c>
      <c r="H388" t="n">
        <v>0</v>
      </c>
      <c r="I388" t="n">
        <v>0</v>
      </c>
      <c r="J388" t="n">
        <v>0</v>
      </c>
      <c r="K388" t="n">
        <v>0</v>
      </c>
      <c r="L388" t="n">
        <v>0</v>
      </c>
      <c r="M388" t="n">
        <v>0</v>
      </c>
      <c r="N388" t="n">
        <v>0</v>
      </c>
      <c r="O388" t="n">
        <v>0</v>
      </c>
      <c r="P388" t="n">
        <v>0</v>
      </c>
      <c r="Q388" t="n">
        <v>0</v>
      </c>
      <c r="R388" s="2" t="inlineStr"/>
    </row>
    <row r="389" ht="15" customHeight="1">
      <c r="A389" t="inlineStr">
        <is>
          <t>A 61849-2022</t>
        </is>
      </c>
      <c r="B389" s="1" t="n">
        <v>44917</v>
      </c>
      <c r="C389" s="1" t="n">
        <v>46061</v>
      </c>
      <c r="D389" t="inlineStr">
        <is>
          <t>DALARNAS LÄN</t>
        </is>
      </c>
      <c r="E389" t="inlineStr">
        <is>
          <t>HEDEMORA</t>
        </is>
      </c>
      <c r="G389" t="n">
        <v>1.9</v>
      </c>
      <c r="H389" t="n">
        <v>0</v>
      </c>
      <c r="I389" t="n">
        <v>0</v>
      </c>
      <c r="J389" t="n">
        <v>0</v>
      </c>
      <c r="K389" t="n">
        <v>0</v>
      </c>
      <c r="L389" t="n">
        <v>0</v>
      </c>
      <c r="M389" t="n">
        <v>0</v>
      </c>
      <c r="N389" t="n">
        <v>0</v>
      </c>
      <c r="O389" t="n">
        <v>0</v>
      </c>
      <c r="P389" t="n">
        <v>0</v>
      </c>
      <c r="Q389" t="n">
        <v>0</v>
      </c>
      <c r="R389" s="2" t="inlineStr"/>
    </row>
    <row r="390" ht="15" customHeight="1">
      <c r="A390" t="inlineStr">
        <is>
          <t>A 60780-2024</t>
        </is>
      </c>
      <c r="B390" s="1" t="n">
        <v>45644.59017361111</v>
      </c>
      <c r="C390" s="1" t="n">
        <v>46061</v>
      </c>
      <c r="D390" t="inlineStr">
        <is>
          <t>DALARNAS LÄN</t>
        </is>
      </c>
      <c r="E390" t="inlineStr">
        <is>
          <t>HEDEMORA</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29050-2023</t>
        </is>
      </c>
      <c r="B391" s="1" t="n">
        <v>45104</v>
      </c>
      <c r="C391" s="1" t="n">
        <v>46061</v>
      </c>
      <c r="D391" t="inlineStr">
        <is>
          <t>DALARNAS LÄN</t>
        </is>
      </c>
      <c r="E391" t="inlineStr">
        <is>
          <t>HEDEMORA</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25150-2023</t>
        </is>
      </c>
      <c r="B392" s="1" t="n">
        <v>45086</v>
      </c>
      <c r="C392" s="1" t="n">
        <v>46061</v>
      </c>
      <c r="D392" t="inlineStr">
        <is>
          <t>DALARNAS LÄN</t>
        </is>
      </c>
      <c r="E392" t="inlineStr">
        <is>
          <t>HEDEMORA</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61886-2022</t>
        </is>
      </c>
      <c r="B393" s="1" t="n">
        <v>44917.67582175926</v>
      </c>
      <c r="C393" s="1" t="n">
        <v>46061</v>
      </c>
      <c r="D393" t="inlineStr">
        <is>
          <t>DALARNAS LÄN</t>
        </is>
      </c>
      <c r="E393" t="inlineStr">
        <is>
          <t>HEDEMORA</t>
        </is>
      </c>
      <c r="G393" t="n">
        <v>1.9</v>
      </c>
      <c r="H393" t="n">
        <v>0</v>
      </c>
      <c r="I393" t="n">
        <v>0</v>
      </c>
      <c r="J393" t="n">
        <v>0</v>
      </c>
      <c r="K393" t="n">
        <v>0</v>
      </c>
      <c r="L393" t="n">
        <v>0</v>
      </c>
      <c r="M393" t="n">
        <v>0</v>
      </c>
      <c r="N393" t="n">
        <v>0</v>
      </c>
      <c r="O393" t="n">
        <v>0</v>
      </c>
      <c r="P393" t="n">
        <v>0</v>
      </c>
      <c r="Q393" t="n">
        <v>0</v>
      </c>
      <c r="R393" s="2" t="inlineStr"/>
    </row>
    <row r="394" ht="15" customHeight="1">
      <c r="A394" t="inlineStr">
        <is>
          <t>A 18572-2025</t>
        </is>
      </c>
      <c r="B394" s="1" t="n">
        <v>45763</v>
      </c>
      <c r="C394" s="1" t="n">
        <v>46061</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62188-2023</t>
        </is>
      </c>
      <c r="B395" s="1" t="n">
        <v>45267</v>
      </c>
      <c r="C395" s="1" t="n">
        <v>46061</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1917-2022</t>
        </is>
      </c>
      <c r="B396" s="1" t="n">
        <v>44574</v>
      </c>
      <c r="C396" s="1" t="n">
        <v>46061</v>
      </c>
      <c r="D396" t="inlineStr">
        <is>
          <t>DALARNAS LÄN</t>
        </is>
      </c>
      <c r="E396" t="inlineStr">
        <is>
          <t>HEDEMORA</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31825-2024</t>
        </is>
      </c>
      <c r="B397" s="1" t="n">
        <v>45509.60949074074</v>
      </c>
      <c r="C397" s="1" t="n">
        <v>46061</v>
      </c>
      <c r="D397" t="inlineStr">
        <is>
          <t>DALARNAS LÄN</t>
        </is>
      </c>
      <c r="E397" t="inlineStr">
        <is>
          <t>HEDEMORA</t>
        </is>
      </c>
      <c r="G397" t="n">
        <v>0.1</v>
      </c>
      <c r="H397" t="n">
        <v>0</v>
      </c>
      <c r="I397" t="n">
        <v>0</v>
      </c>
      <c r="J397" t="n">
        <v>0</v>
      </c>
      <c r="K397" t="n">
        <v>0</v>
      </c>
      <c r="L397" t="n">
        <v>0</v>
      </c>
      <c r="M397" t="n">
        <v>0</v>
      </c>
      <c r="N397" t="n">
        <v>0</v>
      </c>
      <c r="O397" t="n">
        <v>0</v>
      </c>
      <c r="P397" t="n">
        <v>0</v>
      </c>
      <c r="Q397" t="n">
        <v>0</v>
      </c>
      <c r="R397" s="2" t="inlineStr"/>
    </row>
    <row r="398" ht="15" customHeight="1">
      <c r="A398" t="inlineStr">
        <is>
          <t>A 26452-2024</t>
        </is>
      </c>
      <c r="B398" s="1" t="n">
        <v>45469.51145833333</v>
      </c>
      <c r="C398" s="1" t="n">
        <v>46061</v>
      </c>
      <c r="D398" t="inlineStr">
        <is>
          <t>DALARNAS LÄN</t>
        </is>
      </c>
      <c r="E398" t="inlineStr">
        <is>
          <t>HEDEMORA</t>
        </is>
      </c>
      <c r="G398" t="n">
        <v>2.3</v>
      </c>
      <c r="H398" t="n">
        <v>0</v>
      </c>
      <c r="I398" t="n">
        <v>0</v>
      </c>
      <c r="J398" t="n">
        <v>0</v>
      </c>
      <c r="K398" t="n">
        <v>0</v>
      </c>
      <c r="L398" t="n">
        <v>0</v>
      </c>
      <c r="M398" t="n">
        <v>0</v>
      </c>
      <c r="N398" t="n">
        <v>0</v>
      </c>
      <c r="O398" t="n">
        <v>0</v>
      </c>
      <c r="P398" t="n">
        <v>0</v>
      </c>
      <c r="Q398" t="n">
        <v>0</v>
      </c>
      <c r="R398" s="2" t="inlineStr"/>
    </row>
    <row r="399" ht="15" customHeight="1">
      <c r="A399" t="inlineStr">
        <is>
          <t>A 14951-2025</t>
        </is>
      </c>
      <c r="B399" s="1" t="n">
        <v>45743.57695601852</v>
      </c>
      <c r="C399" s="1" t="n">
        <v>46061</v>
      </c>
      <c r="D399" t="inlineStr">
        <is>
          <t>DALARNAS LÄN</t>
        </is>
      </c>
      <c r="E399" t="inlineStr">
        <is>
          <t>HEDEMORA</t>
        </is>
      </c>
      <c r="G399" t="n">
        <v>1.6</v>
      </c>
      <c r="H399" t="n">
        <v>0</v>
      </c>
      <c r="I399" t="n">
        <v>0</v>
      </c>
      <c r="J399" t="n">
        <v>0</v>
      </c>
      <c r="K399" t="n">
        <v>0</v>
      </c>
      <c r="L399" t="n">
        <v>0</v>
      </c>
      <c r="M399" t="n">
        <v>0</v>
      </c>
      <c r="N399" t="n">
        <v>0</v>
      </c>
      <c r="O399" t="n">
        <v>0</v>
      </c>
      <c r="P399" t="n">
        <v>0</v>
      </c>
      <c r="Q399" t="n">
        <v>0</v>
      </c>
      <c r="R399" s="2" t="inlineStr"/>
    </row>
    <row r="400" ht="15" customHeight="1">
      <c r="A400" t="inlineStr">
        <is>
          <t>A 385-2024</t>
        </is>
      </c>
      <c r="B400" s="1" t="n">
        <v>45296</v>
      </c>
      <c r="C400" s="1" t="n">
        <v>46061</v>
      </c>
      <c r="D400" t="inlineStr">
        <is>
          <t>DALARNAS LÄN</t>
        </is>
      </c>
      <c r="E400" t="inlineStr">
        <is>
          <t>HEDEMORA</t>
        </is>
      </c>
      <c r="G400" t="n">
        <v>1.7</v>
      </c>
      <c r="H400" t="n">
        <v>0</v>
      </c>
      <c r="I400" t="n">
        <v>0</v>
      </c>
      <c r="J400" t="n">
        <v>0</v>
      </c>
      <c r="K400" t="n">
        <v>0</v>
      </c>
      <c r="L400" t="n">
        <v>0</v>
      </c>
      <c r="M400" t="n">
        <v>0</v>
      </c>
      <c r="N400" t="n">
        <v>0</v>
      </c>
      <c r="O400" t="n">
        <v>0</v>
      </c>
      <c r="P400" t="n">
        <v>0</v>
      </c>
      <c r="Q400" t="n">
        <v>0</v>
      </c>
      <c r="R400" s="2" t="inlineStr"/>
    </row>
    <row r="401" ht="15" customHeight="1">
      <c r="A401" t="inlineStr">
        <is>
          <t>A 29123-2021</t>
        </is>
      </c>
      <c r="B401" s="1" t="n">
        <v>44358</v>
      </c>
      <c r="C401" s="1" t="n">
        <v>46061</v>
      </c>
      <c r="D401" t="inlineStr">
        <is>
          <t>DALARNAS LÄN</t>
        </is>
      </c>
      <c r="E401" t="inlineStr">
        <is>
          <t>HEDEMORA</t>
        </is>
      </c>
      <c r="G401" t="n">
        <v>5.6</v>
      </c>
      <c r="H401" t="n">
        <v>0</v>
      </c>
      <c r="I401" t="n">
        <v>0</v>
      </c>
      <c r="J401" t="n">
        <v>0</v>
      </c>
      <c r="K401" t="n">
        <v>0</v>
      </c>
      <c r="L401" t="n">
        <v>0</v>
      </c>
      <c r="M401" t="n">
        <v>0</v>
      </c>
      <c r="N401" t="n">
        <v>0</v>
      </c>
      <c r="O401" t="n">
        <v>0</v>
      </c>
      <c r="P401" t="n">
        <v>0</v>
      </c>
      <c r="Q401" t="n">
        <v>0</v>
      </c>
      <c r="R401" s="2" t="inlineStr"/>
    </row>
    <row r="402" ht="15" customHeight="1">
      <c r="A402" t="inlineStr">
        <is>
          <t>A 38947-2023</t>
        </is>
      </c>
      <c r="B402" s="1" t="n">
        <v>45163.61209490741</v>
      </c>
      <c r="C402" s="1" t="n">
        <v>46061</v>
      </c>
      <c r="D402" t="inlineStr">
        <is>
          <t>DALARNAS LÄN</t>
        </is>
      </c>
      <c r="E402" t="inlineStr">
        <is>
          <t>HEDEMORA</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38951-2023</t>
        </is>
      </c>
      <c r="B403" s="1" t="n">
        <v>45163.61413194444</v>
      </c>
      <c r="C403" s="1" t="n">
        <v>46061</v>
      </c>
      <c r="D403" t="inlineStr">
        <is>
          <t>DALARNAS LÄN</t>
        </is>
      </c>
      <c r="E403" t="inlineStr">
        <is>
          <t>HEDEMORA</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55881-2023</t>
        </is>
      </c>
      <c r="B404" s="1" t="n">
        <v>45239</v>
      </c>
      <c r="C404" s="1" t="n">
        <v>46061</v>
      </c>
      <c r="D404" t="inlineStr">
        <is>
          <t>DALARNAS LÄN</t>
        </is>
      </c>
      <c r="E404" t="inlineStr">
        <is>
          <t>HEDEMORA</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15833-2025</t>
        </is>
      </c>
      <c r="B405" s="1" t="n">
        <v>45748.85107638889</v>
      </c>
      <c r="C405" s="1" t="n">
        <v>46061</v>
      </c>
      <c r="D405" t="inlineStr">
        <is>
          <t>DALARNAS LÄN</t>
        </is>
      </c>
      <c r="E405" t="inlineStr">
        <is>
          <t>HEDEMORA</t>
        </is>
      </c>
      <c r="G405" t="n">
        <v>0.4</v>
      </c>
      <c r="H405" t="n">
        <v>0</v>
      </c>
      <c r="I405" t="n">
        <v>0</v>
      </c>
      <c r="J405" t="n">
        <v>0</v>
      </c>
      <c r="K405" t="n">
        <v>0</v>
      </c>
      <c r="L405" t="n">
        <v>0</v>
      </c>
      <c r="M405" t="n">
        <v>0</v>
      </c>
      <c r="N405" t="n">
        <v>0</v>
      </c>
      <c r="O405" t="n">
        <v>0</v>
      </c>
      <c r="P405" t="n">
        <v>0</v>
      </c>
      <c r="Q405" t="n">
        <v>0</v>
      </c>
      <c r="R405" s="2" t="inlineStr"/>
    </row>
    <row r="406" ht="15" customHeight="1">
      <c r="A406" t="inlineStr">
        <is>
          <t>A 62046-2022</t>
        </is>
      </c>
      <c r="B406" s="1" t="n">
        <v>44918.5633912037</v>
      </c>
      <c r="C406" s="1" t="n">
        <v>46061</v>
      </c>
      <c r="D406" t="inlineStr">
        <is>
          <t>DALARNAS LÄN</t>
        </is>
      </c>
      <c r="E406" t="inlineStr">
        <is>
          <t>HEDEMORA</t>
        </is>
      </c>
      <c r="G406" t="n">
        <v>1.2</v>
      </c>
      <c r="H406" t="n">
        <v>0</v>
      </c>
      <c r="I406" t="n">
        <v>0</v>
      </c>
      <c r="J406" t="n">
        <v>0</v>
      </c>
      <c r="K406" t="n">
        <v>0</v>
      </c>
      <c r="L406" t="n">
        <v>0</v>
      </c>
      <c r="M406" t="n">
        <v>0</v>
      </c>
      <c r="N406" t="n">
        <v>0</v>
      </c>
      <c r="O406" t="n">
        <v>0</v>
      </c>
      <c r="P406" t="n">
        <v>0</v>
      </c>
      <c r="Q406" t="n">
        <v>0</v>
      </c>
      <c r="R406" s="2" t="inlineStr"/>
    </row>
    <row r="407" ht="15" customHeight="1">
      <c r="A407" t="inlineStr">
        <is>
          <t>A 29301-2023</t>
        </is>
      </c>
      <c r="B407" s="1" t="n">
        <v>45105</v>
      </c>
      <c r="C407" s="1" t="n">
        <v>46061</v>
      </c>
      <c r="D407" t="inlineStr">
        <is>
          <t>DALARNAS LÄN</t>
        </is>
      </c>
      <c r="E407" t="inlineStr">
        <is>
          <t>HEDEMORA</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18522-2021</t>
        </is>
      </c>
      <c r="B408" s="1" t="n">
        <v>44306.4405787037</v>
      </c>
      <c r="C408" s="1" t="n">
        <v>46061</v>
      </c>
      <c r="D408" t="inlineStr">
        <is>
          <t>DALARNAS LÄN</t>
        </is>
      </c>
      <c r="E408" t="inlineStr">
        <is>
          <t>HEDEMORA</t>
        </is>
      </c>
      <c r="G408" t="n">
        <v>7</v>
      </c>
      <c r="H408" t="n">
        <v>0</v>
      </c>
      <c r="I408" t="n">
        <v>0</v>
      </c>
      <c r="J408" t="n">
        <v>0</v>
      </c>
      <c r="K408" t="n">
        <v>0</v>
      </c>
      <c r="L408" t="n">
        <v>0</v>
      </c>
      <c r="M408" t="n">
        <v>0</v>
      </c>
      <c r="N408" t="n">
        <v>0</v>
      </c>
      <c r="O408" t="n">
        <v>0</v>
      </c>
      <c r="P408" t="n">
        <v>0</v>
      </c>
      <c r="Q408" t="n">
        <v>0</v>
      </c>
      <c r="R408" s="2" t="inlineStr"/>
    </row>
    <row r="409" ht="15" customHeight="1">
      <c r="A409" t="inlineStr">
        <is>
          <t>A 53923-2024</t>
        </is>
      </c>
      <c r="B409" s="1" t="n">
        <v>45615.79806712963</v>
      </c>
      <c r="C409" s="1" t="n">
        <v>46061</v>
      </c>
      <c r="D409" t="inlineStr">
        <is>
          <t>DALARNAS LÄN</t>
        </is>
      </c>
      <c r="E409" t="inlineStr">
        <is>
          <t>HEDEMORA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17645-2022</t>
        </is>
      </c>
      <c r="B410" s="1" t="n">
        <v>44680.47903935185</v>
      </c>
      <c r="C410" s="1" t="n">
        <v>46061</v>
      </c>
      <c r="D410" t="inlineStr">
        <is>
          <t>DALARNAS LÄN</t>
        </is>
      </c>
      <c r="E410" t="inlineStr">
        <is>
          <t>HEDEMORA</t>
        </is>
      </c>
      <c r="G410" t="n">
        <v>1.3</v>
      </c>
      <c r="H410" t="n">
        <v>0</v>
      </c>
      <c r="I410" t="n">
        <v>0</v>
      </c>
      <c r="J410" t="n">
        <v>0</v>
      </c>
      <c r="K410" t="n">
        <v>0</v>
      </c>
      <c r="L410" t="n">
        <v>0</v>
      </c>
      <c r="M410" t="n">
        <v>0</v>
      </c>
      <c r="N410" t="n">
        <v>0</v>
      </c>
      <c r="O410" t="n">
        <v>0</v>
      </c>
      <c r="P410" t="n">
        <v>0</v>
      </c>
      <c r="Q410" t="n">
        <v>0</v>
      </c>
      <c r="R410" s="2" t="inlineStr"/>
    </row>
    <row r="411" ht="15" customHeight="1">
      <c r="A411" t="inlineStr">
        <is>
          <t>A 44384-2024</t>
        </is>
      </c>
      <c r="B411" s="1" t="n">
        <v>45573.67782407408</v>
      </c>
      <c r="C411" s="1" t="n">
        <v>46061</v>
      </c>
      <c r="D411" t="inlineStr">
        <is>
          <t>DALARNAS LÄN</t>
        </is>
      </c>
      <c r="E411" t="inlineStr">
        <is>
          <t>HEDEMORA</t>
        </is>
      </c>
      <c r="F411" t="inlineStr">
        <is>
          <t>Bergvik skog väst AB</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44388-2024</t>
        </is>
      </c>
      <c r="B412" s="1" t="n">
        <v>45573.68875</v>
      </c>
      <c r="C412" s="1" t="n">
        <v>46061</v>
      </c>
      <c r="D412" t="inlineStr">
        <is>
          <t>DALARNAS LÄN</t>
        </is>
      </c>
      <c r="E412" t="inlineStr">
        <is>
          <t>HEDEMORA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39530-2024</t>
        </is>
      </c>
      <c r="B413" s="1" t="n">
        <v>45551</v>
      </c>
      <c r="C413" s="1" t="n">
        <v>46061</v>
      </c>
      <c r="D413" t="inlineStr">
        <is>
          <t>DALARNAS LÄN</t>
        </is>
      </c>
      <c r="E413" t="inlineStr">
        <is>
          <t>HEDEMORA</t>
        </is>
      </c>
      <c r="F413" t="inlineStr">
        <is>
          <t>Bergvik skog väst AB</t>
        </is>
      </c>
      <c r="G413" t="n">
        <v>13.8</v>
      </c>
      <c r="H413" t="n">
        <v>0</v>
      </c>
      <c r="I413" t="n">
        <v>0</v>
      </c>
      <c r="J413" t="n">
        <v>0</v>
      </c>
      <c r="K413" t="n">
        <v>0</v>
      </c>
      <c r="L413" t="n">
        <v>0</v>
      </c>
      <c r="M413" t="n">
        <v>0</v>
      </c>
      <c r="N413" t="n">
        <v>0</v>
      </c>
      <c r="O413" t="n">
        <v>0</v>
      </c>
      <c r="P413" t="n">
        <v>0</v>
      </c>
      <c r="Q413" t="n">
        <v>0</v>
      </c>
      <c r="R413" s="2" t="inlineStr"/>
    </row>
    <row r="414" ht="15" customHeight="1">
      <c r="A414" t="inlineStr">
        <is>
          <t>A 39531-2024</t>
        </is>
      </c>
      <c r="B414" s="1" t="n">
        <v>45551</v>
      </c>
      <c r="C414" s="1" t="n">
        <v>46061</v>
      </c>
      <c r="D414" t="inlineStr">
        <is>
          <t>DALARNAS LÄN</t>
        </is>
      </c>
      <c r="E414" t="inlineStr">
        <is>
          <t>HEDEMORA</t>
        </is>
      </c>
      <c r="F414" t="inlineStr">
        <is>
          <t>Bergvik skog väst AB</t>
        </is>
      </c>
      <c r="G414" t="n">
        <v>1.9</v>
      </c>
      <c r="H414" t="n">
        <v>0</v>
      </c>
      <c r="I414" t="n">
        <v>0</v>
      </c>
      <c r="J414" t="n">
        <v>0</v>
      </c>
      <c r="K414" t="n">
        <v>0</v>
      </c>
      <c r="L414" t="n">
        <v>0</v>
      </c>
      <c r="M414" t="n">
        <v>0</v>
      </c>
      <c r="N414" t="n">
        <v>0</v>
      </c>
      <c r="O414" t="n">
        <v>0</v>
      </c>
      <c r="P414" t="n">
        <v>0</v>
      </c>
      <c r="Q414" t="n">
        <v>0</v>
      </c>
      <c r="R414" s="2" t="inlineStr"/>
    </row>
    <row r="415" ht="15" customHeight="1">
      <c r="A415" t="inlineStr">
        <is>
          <t>A 39552-2024</t>
        </is>
      </c>
      <c r="B415" s="1" t="n">
        <v>45551</v>
      </c>
      <c r="C415" s="1" t="n">
        <v>46061</v>
      </c>
      <c r="D415" t="inlineStr">
        <is>
          <t>DALARNAS LÄN</t>
        </is>
      </c>
      <c r="E415" t="inlineStr">
        <is>
          <t>HEDEMORA</t>
        </is>
      </c>
      <c r="F415" t="inlineStr">
        <is>
          <t>Bergvik skog väst AB</t>
        </is>
      </c>
      <c r="G415" t="n">
        <v>24.1</v>
      </c>
      <c r="H415" t="n">
        <v>0</v>
      </c>
      <c r="I415" t="n">
        <v>0</v>
      </c>
      <c r="J415" t="n">
        <v>0</v>
      </c>
      <c r="K415" t="n">
        <v>0</v>
      </c>
      <c r="L415" t="n">
        <v>0</v>
      </c>
      <c r="M415" t="n">
        <v>0</v>
      </c>
      <c r="N415" t="n">
        <v>0</v>
      </c>
      <c r="O415" t="n">
        <v>0</v>
      </c>
      <c r="P415" t="n">
        <v>0</v>
      </c>
      <c r="Q415" t="n">
        <v>0</v>
      </c>
      <c r="R415" s="2" t="inlineStr"/>
    </row>
    <row r="416" ht="15" customHeight="1">
      <c r="A416" t="inlineStr">
        <is>
          <t>A 1973-2022</t>
        </is>
      </c>
      <c r="B416" s="1" t="n">
        <v>44575</v>
      </c>
      <c r="C416" s="1" t="n">
        <v>46061</v>
      </c>
      <c r="D416" t="inlineStr">
        <is>
          <t>DALARNAS LÄN</t>
        </is>
      </c>
      <c r="E416" t="inlineStr">
        <is>
          <t>HEDEMORA</t>
        </is>
      </c>
      <c r="G416" t="n">
        <v>1.2</v>
      </c>
      <c r="H416" t="n">
        <v>0</v>
      </c>
      <c r="I416" t="n">
        <v>0</v>
      </c>
      <c r="J416" t="n">
        <v>0</v>
      </c>
      <c r="K416" t="n">
        <v>0</v>
      </c>
      <c r="L416" t="n">
        <v>0</v>
      </c>
      <c r="M416" t="n">
        <v>0</v>
      </c>
      <c r="N416" t="n">
        <v>0</v>
      </c>
      <c r="O416" t="n">
        <v>0</v>
      </c>
      <c r="P416" t="n">
        <v>0</v>
      </c>
      <c r="Q416" t="n">
        <v>0</v>
      </c>
      <c r="R416" s="2" t="inlineStr"/>
    </row>
    <row r="417" ht="15" customHeight="1">
      <c r="A417" t="inlineStr">
        <is>
          <t>A 17600-2025</t>
        </is>
      </c>
      <c r="B417" s="1" t="n">
        <v>45757.71063657408</v>
      </c>
      <c r="C417" s="1" t="n">
        <v>46061</v>
      </c>
      <c r="D417" t="inlineStr">
        <is>
          <t>DALARNAS LÄN</t>
        </is>
      </c>
      <c r="E417" t="inlineStr">
        <is>
          <t>HEDEMORA</t>
        </is>
      </c>
      <c r="G417" t="n">
        <v>1.4</v>
      </c>
      <c r="H417" t="n">
        <v>0</v>
      </c>
      <c r="I417" t="n">
        <v>0</v>
      </c>
      <c r="J417" t="n">
        <v>0</v>
      </c>
      <c r="K417" t="n">
        <v>0</v>
      </c>
      <c r="L417" t="n">
        <v>0</v>
      </c>
      <c r="M417" t="n">
        <v>0</v>
      </c>
      <c r="N417" t="n">
        <v>0</v>
      </c>
      <c r="O417" t="n">
        <v>0</v>
      </c>
      <c r="P417" t="n">
        <v>0</v>
      </c>
      <c r="Q417" t="n">
        <v>0</v>
      </c>
      <c r="R417" s="2" t="inlineStr"/>
    </row>
    <row r="418" ht="15" customHeight="1">
      <c r="A418" t="inlineStr">
        <is>
          <t>A 25691-2022</t>
        </is>
      </c>
      <c r="B418" s="1" t="n">
        <v>44733</v>
      </c>
      <c r="C418" s="1" t="n">
        <v>46061</v>
      </c>
      <c r="D418" t="inlineStr">
        <is>
          <t>DALARNAS LÄN</t>
        </is>
      </c>
      <c r="E418" t="inlineStr">
        <is>
          <t>HEDEMORA</t>
        </is>
      </c>
      <c r="G418" t="n">
        <v>0.7</v>
      </c>
      <c r="H418" t="n">
        <v>0</v>
      </c>
      <c r="I418" t="n">
        <v>0</v>
      </c>
      <c r="J418" t="n">
        <v>0</v>
      </c>
      <c r="K418" t="n">
        <v>0</v>
      </c>
      <c r="L418" t="n">
        <v>0</v>
      </c>
      <c r="M418" t="n">
        <v>0</v>
      </c>
      <c r="N418" t="n">
        <v>0</v>
      </c>
      <c r="O418" t="n">
        <v>0</v>
      </c>
      <c r="P418" t="n">
        <v>0</v>
      </c>
      <c r="Q418" t="n">
        <v>0</v>
      </c>
      <c r="R418" s="2" t="inlineStr"/>
    </row>
    <row r="419" ht="15" customHeight="1">
      <c r="A419" t="inlineStr">
        <is>
          <t>A 60475-2022</t>
        </is>
      </c>
      <c r="B419" s="1" t="n">
        <v>44911.41222222222</v>
      </c>
      <c r="C419" s="1" t="n">
        <v>46061</v>
      </c>
      <c r="D419" t="inlineStr">
        <is>
          <t>DALARNAS LÄN</t>
        </is>
      </c>
      <c r="E419" t="inlineStr">
        <is>
          <t>HEDEMORA</t>
        </is>
      </c>
      <c r="G419" t="n">
        <v>1</v>
      </c>
      <c r="H419" t="n">
        <v>0</v>
      </c>
      <c r="I419" t="n">
        <v>0</v>
      </c>
      <c r="J419" t="n">
        <v>0</v>
      </c>
      <c r="K419" t="n">
        <v>0</v>
      </c>
      <c r="L419" t="n">
        <v>0</v>
      </c>
      <c r="M419" t="n">
        <v>0</v>
      </c>
      <c r="N419" t="n">
        <v>0</v>
      </c>
      <c r="O419" t="n">
        <v>0</v>
      </c>
      <c r="P419" t="n">
        <v>0</v>
      </c>
      <c r="Q419" t="n">
        <v>0</v>
      </c>
      <c r="R419" s="2" t="inlineStr"/>
    </row>
    <row r="420" ht="15" customHeight="1">
      <c r="A420" t="inlineStr">
        <is>
          <t>A 63925-2023</t>
        </is>
      </c>
      <c r="B420" s="1" t="n">
        <v>45278</v>
      </c>
      <c r="C420" s="1" t="n">
        <v>46061</v>
      </c>
      <c r="D420" t="inlineStr">
        <is>
          <t>DALARNAS LÄN</t>
        </is>
      </c>
      <c r="E420" t="inlineStr">
        <is>
          <t>HEDEMORA</t>
        </is>
      </c>
      <c r="G420" t="n">
        <v>5.2</v>
      </c>
      <c r="H420" t="n">
        <v>0</v>
      </c>
      <c r="I420" t="n">
        <v>0</v>
      </c>
      <c r="J420" t="n">
        <v>0</v>
      </c>
      <c r="K420" t="n">
        <v>0</v>
      </c>
      <c r="L420" t="n">
        <v>0</v>
      </c>
      <c r="M420" t="n">
        <v>0</v>
      </c>
      <c r="N420" t="n">
        <v>0</v>
      </c>
      <c r="O420" t="n">
        <v>0</v>
      </c>
      <c r="P420" t="n">
        <v>0</v>
      </c>
      <c r="Q420" t="n">
        <v>0</v>
      </c>
      <c r="R420" s="2" t="inlineStr"/>
    </row>
    <row r="421" ht="15" customHeight="1">
      <c r="A421" t="inlineStr">
        <is>
          <t>A 60408-2021</t>
        </is>
      </c>
      <c r="B421" s="1" t="n">
        <v>44495</v>
      </c>
      <c r="C421" s="1" t="n">
        <v>46061</v>
      </c>
      <c r="D421" t="inlineStr">
        <is>
          <t>DALARNAS LÄN</t>
        </is>
      </c>
      <c r="E421" t="inlineStr">
        <is>
          <t>HEDEMORA</t>
        </is>
      </c>
      <c r="G421" t="n">
        <v>0.7</v>
      </c>
      <c r="H421" t="n">
        <v>0</v>
      </c>
      <c r="I421" t="n">
        <v>0</v>
      </c>
      <c r="J421" t="n">
        <v>0</v>
      </c>
      <c r="K421" t="n">
        <v>0</v>
      </c>
      <c r="L421" t="n">
        <v>0</v>
      </c>
      <c r="M421" t="n">
        <v>0</v>
      </c>
      <c r="N421" t="n">
        <v>0</v>
      </c>
      <c r="O421" t="n">
        <v>0</v>
      </c>
      <c r="P421" t="n">
        <v>0</v>
      </c>
      <c r="Q421" t="n">
        <v>0</v>
      </c>
      <c r="R421" s="2" t="inlineStr"/>
    </row>
    <row r="422" ht="15" customHeight="1">
      <c r="A422" t="inlineStr">
        <is>
          <t>A 6556-2023</t>
        </is>
      </c>
      <c r="B422" s="1" t="n">
        <v>44961</v>
      </c>
      <c r="C422" s="1" t="n">
        <v>46061</v>
      </c>
      <c r="D422" t="inlineStr">
        <is>
          <t>DALARNAS LÄN</t>
        </is>
      </c>
      <c r="E422" t="inlineStr">
        <is>
          <t>HEDEMORA</t>
        </is>
      </c>
      <c r="G422" t="n">
        <v>3.7</v>
      </c>
      <c r="H422" t="n">
        <v>0</v>
      </c>
      <c r="I422" t="n">
        <v>0</v>
      </c>
      <c r="J422" t="n">
        <v>0</v>
      </c>
      <c r="K422" t="n">
        <v>0</v>
      </c>
      <c r="L422" t="n">
        <v>0</v>
      </c>
      <c r="M422" t="n">
        <v>0</v>
      </c>
      <c r="N422" t="n">
        <v>0</v>
      </c>
      <c r="O422" t="n">
        <v>0</v>
      </c>
      <c r="P422" t="n">
        <v>0</v>
      </c>
      <c r="Q422" t="n">
        <v>0</v>
      </c>
      <c r="R422" s="2" t="inlineStr"/>
    </row>
    <row r="423" ht="15" customHeight="1">
      <c r="A423" t="inlineStr">
        <is>
          <t>A 62401-2023</t>
        </is>
      </c>
      <c r="B423" s="1" t="n">
        <v>45268</v>
      </c>
      <c r="C423" s="1" t="n">
        <v>46061</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48320-2024</t>
        </is>
      </c>
      <c r="B424" s="1" t="n">
        <v>45590.4999537037</v>
      </c>
      <c r="C424" s="1" t="n">
        <v>46061</v>
      </c>
      <c r="D424" t="inlineStr">
        <is>
          <t>DALARNAS LÄN</t>
        </is>
      </c>
      <c r="E424" t="inlineStr">
        <is>
          <t>HEDEMORA</t>
        </is>
      </c>
      <c r="F424" t="inlineStr">
        <is>
          <t>Sveaskog</t>
        </is>
      </c>
      <c r="G424" t="n">
        <v>4.9</v>
      </c>
      <c r="H424" t="n">
        <v>0</v>
      </c>
      <c r="I424" t="n">
        <v>0</v>
      </c>
      <c r="J424" t="n">
        <v>0</v>
      </c>
      <c r="K424" t="n">
        <v>0</v>
      </c>
      <c r="L424" t="n">
        <v>0</v>
      </c>
      <c r="M424" t="n">
        <v>0</v>
      </c>
      <c r="N424" t="n">
        <v>0</v>
      </c>
      <c r="O424" t="n">
        <v>0</v>
      </c>
      <c r="P424" t="n">
        <v>0</v>
      </c>
      <c r="Q424" t="n">
        <v>0</v>
      </c>
      <c r="R424" s="2" t="inlineStr"/>
    </row>
    <row r="425" ht="15" customHeight="1">
      <c r="A425" t="inlineStr">
        <is>
          <t>A 58841-2023</t>
        </is>
      </c>
      <c r="B425" s="1" t="n">
        <v>45252.42115740741</v>
      </c>
      <c r="C425" s="1" t="n">
        <v>46061</v>
      </c>
      <c r="D425" t="inlineStr">
        <is>
          <t>DALARNAS LÄN</t>
        </is>
      </c>
      <c r="E425" t="inlineStr">
        <is>
          <t>HEDEMORA</t>
        </is>
      </c>
      <c r="G425" t="n">
        <v>14.8</v>
      </c>
      <c r="H425" t="n">
        <v>0</v>
      </c>
      <c r="I425" t="n">
        <v>0</v>
      </c>
      <c r="J425" t="n">
        <v>0</v>
      </c>
      <c r="K425" t="n">
        <v>0</v>
      </c>
      <c r="L425" t="n">
        <v>0</v>
      </c>
      <c r="M425" t="n">
        <v>0</v>
      </c>
      <c r="N425" t="n">
        <v>0</v>
      </c>
      <c r="O425" t="n">
        <v>0</v>
      </c>
      <c r="P425" t="n">
        <v>0</v>
      </c>
      <c r="Q425" t="n">
        <v>0</v>
      </c>
      <c r="R425" s="2" t="inlineStr"/>
    </row>
    <row r="426" ht="15" customHeight="1">
      <c r="A426" t="inlineStr">
        <is>
          <t>A 19988-2025</t>
        </is>
      </c>
      <c r="B426" s="1" t="n">
        <v>45771.72665509259</v>
      </c>
      <c r="C426" s="1" t="n">
        <v>46061</v>
      </c>
      <c r="D426" t="inlineStr">
        <is>
          <t>DALARNAS LÄN</t>
        </is>
      </c>
      <c r="E426" t="inlineStr">
        <is>
          <t>HEDEMORA</t>
        </is>
      </c>
      <c r="G426" t="n">
        <v>0.7</v>
      </c>
      <c r="H426" t="n">
        <v>0</v>
      </c>
      <c r="I426" t="n">
        <v>0</v>
      </c>
      <c r="J426" t="n">
        <v>0</v>
      </c>
      <c r="K426" t="n">
        <v>0</v>
      </c>
      <c r="L426" t="n">
        <v>0</v>
      </c>
      <c r="M426" t="n">
        <v>0</v>
      </c>
      <c r="N426" t="n">
        <v>0</v>
      </c>
      <c r="O426" t="n">
        <v>0</v>
      </c>
      <c r="P426" t="n">
        <v>0</v>
      </c>
      <c r="Q426" t="n">
        <v>0</v>
      </c>
      <c r="R426" s="2" t="inlineStr"/>
    </row>
    <row r="427" ht="15" customHeight="1">
      <c r="A427" t="inlineStr">
        <is>
          <t>A 63908-2021</t>
        </is>
      </c>
      <c r="B427" s="1" t="n">
        <v>44509.6580787037</v>
      </c>
      <c r="C427" s="1" t="n">
        <v>46061</v>
      </c>
      <c r="D427" t="inlineStr">
        <is>
          <t>DALARNAS LÄN</t>
        </is>
      </c>
      <c r="E427" t="inlineStr">
        <is>
          <t>HEDEMORA</t>
        </is>
      </c>
      <c r="G427" t="n">
        <v>1.4</v>
      </c>
      <c r="H427" t="n">
        <v>0</v>
      </c>
      <c r="I427" t="n">
        <v>0</v>
      </c>
      <c r="J427" t="n">
        <v>0</v>
      </c>
      <c r="K427" t="n">
        <v>0</v>
      </c>
      <c r="L427" t="n">
        <v>0</v>
      </c>
      <c r="M427" t="n">
        <v>0</v>
      </c>
      <c r="N427" t="n">
        <v>0</v>
      </c>
      <c r="O427" t="n">
        <v>0</v>
      </c>
      <c r="P427" t="n">
        <v>0</v>
      </c>
      <c r="Q427" t="n">
        <v>0</v>
      </c>
      <c r="R427" s="2" t="inlineStr"/>
    </row>
    <row r="428" ht="15" customHeight="1">
      <c r="A428" t="inlineStr">
        <is>
          <t>A 20272-2025</t>
        </is>
      </c>
      <c r="B428" s="1" t="n">
        <v>45773.71663194444</v>
      </c>
      <c r="C428" s="1" t="n">
        <v>46061</v>
      </c>
      <c r="D428" t="inlineStr">
        <is>
          <t>DALARNAS LÄN</t>
        </is>
      </c>
      <c r="E428" t="inlineStr">
        <is>
          <t>HEDEMORA</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9314-2024</t>
        </is>
      </c>
      <c r="B429" s="1" t="n">
        <v>45358</v>
      </c>
      <c r="C429" s="1" t="n">
        <v>46061</v>
      </c>
      <c r="D429" t="inlineStr">
        <is>
          <t>DALARNAS LÄN</t>
        </is>
      </c>
      <c r="E429" t="inlineStr">
        <is>
          <t>HEDEMORA</t>
        </is>
      </c>
      <c r="G429" t="n">
        <v>1.4</v>
      </c>
      <c r="H429" t="n">
        <v>0</v>
      </c>
      <c r="I429" t="n">
        <v>0</v>
      </c>
      <c r="J429" t="n">
        <v>0</v>
      </c>
      <c r="K429" t="n">
        <v>0</v>
      </c>
      <c r="L429" t="n">
        <v>0</v>
      </c>
      <c r="M429" t="n">
        <v>0</v>
      </c>
      <c r="N429" t="n">
        <v>0</v>
      </c>
      <c r="O429" t="n">
        <v>0</v>
      </c>
      <c r="P429" t="n">
        <v>0</v>
      </c>
      <c r="Q429" t="n">
        <v>0</v>
      </c>
      <c r="R429" s="2" t="inlineStr"/>
    </row>
    <row r="430" ht="15" customHeight="1">
      <c r="A430" t="inlineStr">
        <is>
          <t>A 55882-2023</t>
        </is>
      </c>
      <c r="B430" s="1" t="n">
        <v>45239</v>
      </c>
      <c r="C430" s="1" t="n">
        <v>46061</v>
      </c>
      <c r="D430" t="inlineStr">
        <is>
          <t>DALARNAS LÄN</t>
        </is>
      </c>
      <c r="E430" t="inlineStr">
        <is>
          <t>HEDEMORA</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19990-2025</t>
        </is>
      </c>
      <c r="B431" s="1" t="n">
        <v>45771.73082175926</v>
      </c>
      <c r="C431" s="1" t="n">
        <v>46061</v>
      </c>
      <c r="D431" t="inlineStr">
        <is>
          <t>DALARNAS LÄN</t>
        </is>
      </c>
      <c r="E431" t="inlineStr">
        <is>
          <t>HEDEMORA</t>
        </is>
      </c>
      <c r="G431" t="n">
        <v>0.5</v>
      </c>
      <c r="H431" t="n">
        <v>0</v>
      </c>
      <c r="I431" t="n">
        <v>0</v>
      </c>
      <c r="J431" t="n">
        <v>0</v>
      </c>
      <c r="K431" t="n">
        <v>0</v>
      </c>
      <c r="L431" t="n">
        <v>0</v>
      </c>
      <c r="M431" t="n">
        <v>0</v>
      </c>
      <c r="N431" t="n">
        <v>0</v>
      </c>
      <c r="O431" t="n">
        <v>0</v>
      </c>
      <c r="P431" t="n">
        <v>0</v>
      </c>
      <c r="Q431" t="n">
        <v>0</v>
      </c>
      <c r="R431" s="2" t="inlineStr"/>
    </row>
    <row r="432" ht="15" customHeight="1">
      <c r="A432" t="inlineStr">
        <is>
          <t>A 21763-2024</t>
        </is>
      </c>
      <c r="B432" s="1" t="n">
        <v>45442.60204861111</v>
      </c>
      <c r="C432" s="1" t="n">
        <v>46061</v>
      </c>
      <c r="D432" t="inlineStr">
        <is>
          <t>DALARNAS LÄN</t>
        </is>
      </c>
      <c r="E432" t="inlineStr">
        <is>
          <t>HEDEMORA</t>
        </is>
      </c>
      <c r="G432" t="n">
        <v>1.6</v>
      </c>
      <c r="H432" t="n">
        <v>0</v>
      </c>
      <c r="I432" t="n">
        <v>0</v>
      </c>
      <c r="J432" t="n">
        <v>0</v>
      </c>
      <c r="K432" t="n">
        <v>0</v>
      </c>
      <c r="L432" t="n">
        <v>0</v>
      </c>
      <c r="M432" t="n">
        <v>0</v>
      </c>
      <c r="N432" t="n">
        <v>0</v>
      </c>
      <c r="O432" t="n">
        <v>0</v>
      </c>
      <c r="P432" t="n">
        <v>0</v>
      </c>
      <c r="Q432" t="n">
        <v>0</v>
      </c>
      <c r="R432" s="2" t="inlineStr"/>
    </row>
    <row r="433" ht="15" customHeight="1">
      <c r="A433" t="inlineStr">
        <is>
          <t>A 17594-2025</t>
        </is>
      </c>
      <c r="B433" s="1" t="n">
        <v>45757</v>
      </c>
      <c r="C433" s="1" t="n">
        <v>46061</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37762-2024</t>
        </is>
      </c>
      <c r="B434" s="1" t="n">
        <v>45541.79369212963</v>
      </c>
      <c r="C434" s="1" t="n">
        <v>46061</v>
      </c>
      <c r="D434" t="inlineStr">
        <is>
          <t>DALARNAS LÄN</t>
        </is>
      </c>
      <c r="E434" t="inlineStr">
        <is>
          <t>HEDEMORA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19987-2025</t>
        </is>
      </c>
      <c r="B435" s="1" t="n">
        <v>45771.72193287037</v>
      </c>
      <c r="C435" s="1" t="n">
        <v>46061</v>
      </c>
      <c r="D435" t="inlineStr">
        <is>
          <t>DALARNAS LÄN</t>
        </is>
      </c>
      <c r="E435" t="inlineStr">
        <is>
          <t>HEDEMORA</t>
        </is>
      </c>
      <c r="G435" t="n">
        <v>3</v>
      </c>
      <c r="H435" t="n">
        <v>0</v>
      </c>
      <c r="I435" t="n">
        <v>0</v>
      </c>
      <c r="J435" t="n">
        <v>0</v>
      </c>
      <c r="K435" t="n">
        <v>0</v>
      </c>
      <c r="L435" t="n">
        <v>0</v>
      </c>
      <c r="M435" t="n">
        <v>0</v>
      </c>
      <c r="N435" t="n">
        <v>0</v>
      </c>
      <c r="O435" t="n">
        <v>0</v>
      </c>
      <c r="P435" t="n">
        <v>0</v>
      </c>
      <c r="Q435" t="n">
        <v>0</v>
      </c>
      <c r="R435" s="2" t="inlineStr"/>
    </row>
    <row r="436" ht="15" customHeight="1">
      <c r="A436" t="inlineStr">
        <is>
          <t>A 28813-2024</t>
        </is>
      </c>
      <c r="B436" s="1" t="n">
        <v>45478.641875</v>
      </c>
      <c r="C436" s="1" t="n">
        <v>46061</v>
      </c>
      <c r="D436" t="inlineStr">
        <is>
          <t>DALARNAS LÄN</t>
        </is>
      </c>
      <c r="E436" t="inlineStr">
        <is>
          <t>HEDEMORA</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20670-2024</t>
        </is>
      </c>
      <c r="B437" s="1" t="n">
        <v>45436</v>
      </c>
      <c r="C437" s="1" t="n">
        <v>46061</v>
      </c>
      <c r="D437" t="inlineStr">
        <is>
          <t>DALARNAS LÄN</t>
        </is>
      </c>
      <c r="E437" t="inlineStr">
        <is>
          <t>HEDEMORA</t>
        </is>
      </c>
      <c r="G437" t="n">
        <v>2.7</v>
      </c>
      <c r="H437" t="n">
        <v>0</v>
      </c>
      <c r="I437" t="n">
        <v>0</v>
      </c>
      <c r="J437" t="n">
        <v>0</v>
      </c>
      <c r="K437" t="n">
        <v>0</v>
      </c>
      <c r="L437" t="n">
        <v>0</v>
      </c>
      <c r="M437" t="n">
        <v>0</v>
      </c>
      <c r="N437" t="n">
        <v>0</v>
      </c>
      <c r="O437" t="n">
        <v>0</v>
      </c>
      <c r="P437" t="n">
        <v>0</v>
      </c>
      <c r="Q437" t="n">
        <v>0</v>
      </c>
      <c r="R437" s="2" t="inlineStr"/>
    </row>
    <row r="438" ht="15" customHeight="1">
      <c r="A438" t="inlineStr">
        <is>
          <t>A 7052-2025</t>
        </is>
      </c>
      <c r="B438" s="1" t="n">
        <v>45701.64659722222</v>
      </c>
      <c r="C438" s="1" t="n">
        <v>46061</v>
      </c>
      <c r="D438" t="inlineStr">
        <is>
          <t>DALARNAS LÄN</t>
        </is>
      </c>
      <c r="E438" t="inlineStr">
        <is>
          <t>HEDEMORA</t>
        </is>
      </c>
      <c r="G438" t="n">
        <v>0.9</v>
      </c>
      <c r="H438" t="n">
        <v>0</v>
      </c>
      <c r="I438" t="n">
        <v>0</v>
      </c>
      <c r="J438" t="n">
        <v>0</v>
      </c>
      <c r="K438" t="n">
        <v>0</v>
      </c>
      <c r="L438" t="n">
        <v>0</v>
      </c>
      <c r="M438" t="n">
        <v>0</v>
      </c>
      <c r="N438" t="n">
        <v>0</v>
      </c>
      <c r="O438" t="n">
        <v>0</v>
      </c>
      <c r="P438" t="n">
        <v>0</v>
      </c>
      <c r="Q438" t="n">
        <v>0</v>
      </c>
      <c r="R438" s="2" t="inlineStr"/>
    </row>
    <row r="439" ht="15" customHeight="1">
      <c r="A439" t="inlineStr">
        <is>
          <t>A 48321-2024</t>
        </is>
      </c>
      <c r="B439" s="1" t="n">
        <v>45590.50111111111</v>
      </c>
      <c r="C439" s="1" t="n">
        <v>46061</v>
      </c>
      <c r="D439" t="inlineStr">
        <is>
          <t>DALARNAS LÄN</t>
        </is>
      </c>
      <c r="E439" t="inlineStr">
        <is>
          <t>HEDEMORA</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60078-2022</t>
        </is>
      </c>
      <c r="B440" s="1" t="n">
        <v>44909.58811342593</v>
      </c>
      <c r="C440" s="1" t="n">
        <v>46061</v>
      </c>
      <c r="D440" t="inlineStr">
        <is>
          <t>DALARNAS LÄN</t>
        </is>
      </c>
      <c r="E440" t="inlineStr">
        <is>
          <t>HEDEMORA</t>
        </is>
      </c>
      <c r="G440" t="n">
        <v>0.5</v>
      </c>
      <c r="H440" t="n">
        <v>0</v>
      </c>
      <c r="I440" t="n">
        <v>0</v>
      </c>
      <c r="J440" t="n">
        <v>0</v>
      </c>
      <c r="K440" t="n">
        <v>0</v>
      </c>
      <c r="L440" t="n">
        <v>0</v>
      </c>
      <c r="M440" t="n">
        <v>0</v>
      </c>
      <c r="N440" t="n">
        <v>0</v>
      </c>
      <c r="O440" t="n">
        <v>0</v>
      </c>
      <c r="P440" t="n">
        <v>0</v>
      </c>
      <c r="Q440" t="n">
        <v>0</v>
      </c>
      <c r="R440" s="2" t="inlineStr"/>
    </row>
    <row r="441" ht="15" customHeight="1">
      <c r="A441" t="inlineStr">
        <is>
          <t>A 14456-2021</t>
        </is>
      </c>
      <c r="B441" s="1" t="n">
        <v>44279.50208333333</v>
      </c>
      <c r="C441" s="1" t="n">
        <v>46061</v>
      </c>
      <c r="D441" t="inlineStr">
        <is>
          <t>DALARNAS LÄN</t>
        </is>
      </c>
      <c r="E441" t="inlineStr">
        <is>
          <t>HEDEMORA</t>
        </is>
      </c>
      <c r="G441" t="n">
        <v>1.2</v>
      </c>
      <c r="H441" t="n">
        <v>0</v>
      </c>
      <c r="I441" t="n">
        <v>0</v>
      </c>
      <c r="J441" t="n">
        <v>0</v>
      </c>
      <c r="K441" t="n">
        <v>0</v>
      </c>
      <c r="L441" t="n">
        <v>0</v>
      </c>
      <c r="M441" t="n">
        <v>0</v>
      </c>
      <c r="N441" t="n">
        <v>0</v>
      </c>
      <c r="O441" t="n">
        <v>0</v>
      </c>
      <c r="P441" t="n">
        <v>0</v>
      </c>
      <c r="Q441" t="n">
        <v>0</v>
      </c>
      <c r="R441" s="2" t="inlineStr"/>
    </row>
    <row r="442" ht="15" customHeight="1">
      <c r="A442" t="inlineStr">
        <is>
          <t>A 24427-2022</t>
        </is>
      </c>
      <c r="B442" s="1" t="n">
        <v>44726</v>
      </c>
      <c r="C442" s="1" t="n">
        <v>46061</v>
      </c>
      <c r="D442" t="inlineStr">
        <is>
          <t>DALARNAS LÄN</t>
        </is>
      </c>
      <c r="E442" t="inlineStr">
        <is>
          <t>HEDEMORA</t>
        </is>
      </c>
      <c r="G442" t="n">
        <v>1.7</v>
      </c>
      <c r="H442" t="n">
        <v>0</v>
      </c>
      <c r="I442" t="n">
        <v>0</v>
      </c>
      <c r="J442" t="n">
        <v>0</v>
      </c>
      <c r="K442" t="n">
        <v>0</v>
      </c>
      <c r="L442" t="n">
        <v>0</v>
      </c>
      <c r="M442" t="n">
        <v>0</v>
      </c>
      <c r="N442" t="n">
        <v>0</v>
      </c>
      <c r="O442" t="n">
        <v>0</v>
      </c>
      <c r="P442" t="n">
        <v>0</v>
      </c>
      <c r="Q442" t="n">
        <v>0</v>
      </c>
      <c r="R442" s="2" t="inlineStr"/>
    </row>
    <row r="443" ht="15" customHeight="1">
      <c r="A443" t="inlineStr">
        <is>
          <t>A 45589-2023</t>
        </is>
      </c>
      <c r="B443" s="1" t="n">
        <v>45194.63086805555</v>
      </c>
      <c r="C443" s="1" t="n">
        <v>46061</v>
      </c>
      <c r="D443" t="inlineStr">
        <is>
          <t>DALARNAS LÄN</t>
        </is>
      </c>
      <c r="E443" t="inlineStr">
        <is>
          <t>HEDEMORA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48323-2021</t>
        </is>
      </c>
      <c r="B444" s="1" t="n">
        <v>44450.84762731481</v>
      </c>
      <c r="C444" s="1" t="n">
        <v>46061</v>
      </c>
      <c r="D444" t="inlineStr">
        <is>
          <t>DALARNAS LÄN</t>
        </is>
      </c>
      <c r="E444" t="inlineStr">
        <is>
          <t>HEDEMORA</t>
        </is>
      </c>
      <c r="G444" t="n">
        <v>0.9</v>
      </c>
      <c r="H444" t="n">
        <v>0</v>
      </c>
      <c r="I444" t="n">
        <v>0</v>
      </c>
      <c r="J444" t="n">
        <v>0</v>
      </c>
      <c r="K444" t="n">
        <v>0</v>
      </c>
      <c r="L444" t="n">
        <v>0</v>
      </c>
      <c r="M444" t="n">
        <v>0</v>
      </c>
      <c r="N444" t="n">
        <v>0</v>
      </c>
      <c r="O444" t="n">
        <v>0</v>
      </c>
      <c r="P444" t="n">
        <v>0</v>
      </c>
      <c r="Q444" t="n">
        <v>0</v>
      </c>
      <c r="R444" s="2" t="inlineStr"/>
    </row>
    <row r="445" ht="15" customHeight="1">
      <c r="A445" t="inlineStr">
        <is>
          <t>A 40919-2023</t>
        </is>
      </c>
      <c r="B445" s="1" t="n">
        <v>45173.42707175926</v>
      </c>
      <c r="C445" s="1" t="n">
        <v>46061</v>
      </c>
      <c r="D445" t="inlineStr">
        <is>
          <t>DALARNAS LÄN</t>
        </is>
      </c>
      <c r="E445" t="inlineStr">
        <is>
          <t>HEDEMORA</t>
        </is>
      </c>
      <c r="F445" t="inlineStr">
        <is>
          <t>Bergvik skog väst AB</t>
        </is>
      </c>
      <c r="G445" t="n">
        <v>2.6</v>
      </c>
      <c r="H445" t="n">
        <v>0</v>
      </c>
      <c r="I445" t="n">
        <v>0</v>
      </c>
      <c r="J445" t="n">
        <v>0</v>
      </c>
      <c r="K445" t="n">
        <v>0</v>
      </c>
      <c r="L445" t="n">
        <v>0</v>
      </c>
      <c r="M445" t="n">
        <v>0</v>
      </c>
      <c r="N445" t="n">
        <v>0</v>
      </c>
      <c r="O445" t="n">
        <v>0</v>
      </c>
      <c r="P445" t="n">
        <v>0</v>
      </c>
      <c r="Q445" t="n">
        <v>0</v>
      </c>
      <c r="R445" s="2" t="inlineStr"/>
    </row>
    <row r="446" ht="15" customHeight="1">
      <c r="A446" t="inlineStr">
        <is>
          <t>A 20237-2023</t>
        </is>
      </c>
      <c r="B446" s="1" t="n">
        <v>45055</v>
      </c>
      <c r="C446" s="1" t="n">
        <v>46061</v>
      </c>
      <c r="D446" t="inlineStr">
        <is>
          <t>DALARNAS LÄN</t>
        </is>
      </c>
      <c r="E446" t="inlineStr">
        <is>
          <t>HEDEMORA</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68553-2021</t>
        </is>
      </c>
      <c r="B447" s="1" t="n">
        <v>44529</v>
      </c>
      <c r="C447" s="1" t="n">
        <v>46061</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30939-2023</t>
        </is>
      </c>
      <c r="B448" s="1" t="n">
        <v>45113.45597222223</v>
      </c>
      <c r="C448" s="1" t="n">
        <v>46061</v>
      </c>
      <c r="D448" t="inlineStr">
        <is>
          <t>DALARNAS LÄN</t>
        </is>
      </c>
      <c r="E448" t="inlineStr">
        <is>
          <t>HEDEMORA</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20965-2025</t>
        </is>
      </c>
      <c r="B449" s="1" t="n">
        <v>45777.45135416667</v>
      </c>
      <c r="C449" s="1" t="n">
        <v>46061</v>
      </c>
      <c r="D449" t="inlineStr">
        <is>
          <t>DALARNAS LÄN</t>
        </is>
      </c>
      <c r="E449" t="inlineStr">
        <is>
          <t>HEDEMORA</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30430-2023</t>
        </is>
      </c>
      <c r="B450" s="1" t="n">
        <v>45111.54344907407</v>
      </c>
      <c r="C450" s="1" t="n">
        <v>46061</v>
      </c>
      <c r="D450" t="inlineStr">
        <is>
          <t>DALARNAS LÄN</t>
        </is>
      </c>
      <c r="E450" t="inlineStr">
        <is>
          <t>HEDEMORA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63941-2023</t>
        </is>
      </c>
      <c r="B451" s="1" t="n">
        <v>45278.61277777778</v>
      </c>
      <c r="C451" s="1" t="n">
        <v>46061</v>
      </c>
      <c r="D451" t="inlineStr">
        <is>
          <t>DALARNAS LÄN</t>
        </is>
      </c>
      <c r="E451" t="inlineStr">
        <is>
          <t>HEDEMORA</t>
        </is>
      </c>
      <c r="G451" t="n">
        <v>1.1</v>
      </c>
      <c r="H451" t="n">
        <v>0</v>
      </c>
      <c r="I451" t="n">
        <v>0</v>
      </c>
      <c r="J451" t="n">
        <v>0</v>
      </c>
      <c r="K451" t="n">
        <v>0</v>
      </c>
      <c r="L451" t="n">
        <v>0</v>
      </c>
      <c r="M451" t="n">
        <v>0</v>
      </c>
      <c r="N451" t="n">
        <v>0</v>
      </c>
      <c r="O451" t="n">
        <v>0</v>
      </c>
      <c r="P451" t="n">
        <v>0</v>
      </c>
      <c r="Q451" t="n">
        <v>0</v>
      </c>
      <c r="R451" s="2" t="inlineStr"/>
    </row>
    <row r="452" ht="15" customHeight="1">
      <c r="A452" t="inlineStr">
        <is>
          <t>A 48380-2024</t>
        </is>
      </c>
      <c r="B452" s="1" t="n">
        <v>45590</v>
      </c>
      <c r="C452" s="1" t="n">
        <v>46061</v>
      </c>
      <c r="D452" t="inlineStr">
        <is>
          <t>DALARNAS LÄN</t>
        </is>
      </c>
      <c r="E452" t="inlineStr">
        <is>
          <t>HEDEMORA</t>
        </is>
      </c>
      <c r="G452" t="n">
        <v>1.5</v>
      </c>
      <c r="H452" t="n">
        <v>0</v>
      </c>
      <c r="I452" t="n">
        <v>0</v>
      </c>
      <c r="J452" t="n">
        <v>0</v>
      </c>
      <c r="K452" t="n">
        <v>0</v>
      </c>
      <c r="L452" t="n">
        <v>0</v>
      </c>
      <c r="M452" t="n">
        <v>0</v>
      </c>
      <c r="N452" t="n">
        <v>0</v>
      </c>
      <c r="O452" t="n">
        <v>0</v>
      </c>
      <c r="P452" t="n">
        <v>0</v>
      </c>
      <c r="Q452" t="n">
        <v>0</v>
      </c>
      <c r="R452" s="2" t="inlineStr"/>
    </row>
    <row r="453" ht="15" customHeight="1">
      <c r="A453" t="inlineStr">
        <is>
          <t>A 43785-2023</t>
        </is>
      </c>
      <c r="B453" s="1" t="n">
        <v>45187</v>
      </c>
      <c r="C453" s="1" t="n">
        <v>46061</v>
      </c>
      <c r="D453" t="inlineStr">
        <is>
          <t>DALARNAS LÄN</t>
        </is>
      </c>
      <c r="E453" t="inlineStr">
        <is>
          <t>HEDEMORA</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6210-2024</t>
        </is>
      </c>
      <c r="B454" s="1" t="n">
        <v>45337</v>
      </c>
      <c r="C454" s="1" t="n">
        <v>46061</v>
      </c>
      <c r="D454" t="inlineStr">
        <is>
          <t>DALARNAS LÄN</t>
        </is>
      </c>
      <c r="E454" t="inlineStr">
        <is>
          <t>HEDEMORA</t>
        </is>
      </c>
      <c r="G454" t="n">
        <v>2.6</v>
      </c>
      <c r="H454" t="n">
        <v>0</v>
      </c>
      <c r="I454" t="n">
        <v>0</v>
      </c>
      <c r="J454" t="n">
        <v>0</v>
      </c>
      <c r="K454" t="n">
        <v>0</v>
      </c>
      <c r="L454" t="n">
        <v>0</v>
      </c>
      <c r="M454" t="n">
        <v>0</v>
      </c>
      <c r="N454" t="n">
        <v>0</v>
      </c>
      <c r="O454" t="n">
        <v>0</v>
      </c>
      <c r="P454" t="n">
        <v>0</v>
      </c>
      <c r="Q454" t="n">
        <v>0</v>
      </c>
      <c r="R454" s="2" t="inlineStr"/>
    </row>
    <row r="455" ht="15" customHeight="1">
      <c r="A455" t="inlineStr">
        <is>
          <t>A 51256-2024</t>
        </is>
      </c>
      <c r="B455" s="1" t="n">
        <v>45603.68902777778</v>
      </c>
      <c r="C455" s="1" t="n">
        <v>46061</v>
      </c>
      <c r="D455" t="inlineStr">
        <is>
          <t>DALARNAS LÄN</t>
        </is>
      </c>
      <c r="E455" t="inlineStr">
        <is>
          <t>HEDEMORA</t>
        </is>
      </c>
      <c r="G455" t="n">
        <v>1.3</v>
      </c>
      <c r="H455" t="n">
        <v>0</v>
      </c>
      <c r="I455" t="n">
        <v>0</v>
      </c>
      <c r="J455" t="n">
        <v>0</v>
      </c>
      <c r="K455" t="n">
        <v>0</v>
      </c>
      <c r="L455" t="n">
        <v>0</v>
      </c>
      <c r="M455" t="n">
        <v>0</v>
      </c>
      <c r="N455" t="n">
        <v>0</v>
      </c>
      <c r="O455" t="n">
        <v>0</v>
      </c>
      <c r="P455" t="n">
        <v>0</v>
      </c>
      <c r="Q455" t="n">
        <v>0</v>
      </c>
      <c r="R455" s="2" t="inlineStr"/>
    </row>
    <row r="456" ht="15" customHeight="1">
      <c r="A456" t="inlineStr">
        <is>
          <t>A 19920-2025</t>
        </is>
      </c>
      <c r="B456" s="1" t="n">
        <v>45771</v>
      </c>
      <c r="C456" s="1" t="n">
        <v>46061</v>
      </c>
      <c r="D456" t="inlineStr">
        <is>
          <t>DALARNAS LÄN</t>
        </is>
      </c>
      <c r="E456" t="inlineStr">
        <is>
          <t>HEDEMORA</t>
        </is>
      </c>
      <c r="G456" t="n">
        <v>2.8</v>
      </c>
      <c r="H456" t="n">
        <v>0</v>
      </c>
      <c r="I456" t="n">
        <v>0</v>
      </c>
      <c r="J456" t="n">
        <v>0</v>
      </c>
      <c r="K456" t="n">
        <v>0</v>
      </c>
      <c r="L456" t="n">
        <v>0</v>
      </c>
      <c r="M456" t="n">
        <v>0</v>
      </c>
      <c r="N456" t="n">
        <v>0</v>
      </c>
      <c r="O456" t="n">
        <v>0</v>
      </c>
      <c r="P456" t="n">
        <v>0</v>
      </c>
      <c r="Q456" t="n">
        <v>0</v>
      </c>
      <c r="R456" s="2" t="inlineStr"/>
    </row>
    <row r="457">
      <c r="A457" t="inlineStr">
        <is>
          <t>A 25195-2024</t>
        </is>
      </c>
      <c r="B457" s="1" t="n">
        <v>45462</v>
      </c>
      <c r="C457" s="1" t="n">
        <v>46061</v>
      </c>
      <c r="D457" t="inlineStr">
        <is>
          <t>DALARNAS LÄN</t>
        </is>
      </c>
      <c r="E457" t="inlineStr">
        <is>
          <t>HEDEMORA</t>
        </is>
      </c>
      <c r="F457" t="inlineStr">
        <is>
          <t>Övriga statliga verk och myndigheter</t>
        </is>
      </c>
      <c r="G457" t="n">
        <v>3.3</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2026-02-08T10:59:16Z</dcterms:created>
  <dcterms:modified xmlns:dcterms="http://purl.org/dc/terms/" xmlns:xsi="http://www.w3.org/2001/XMLSchema-instance" xsi:type="dcterms:W3CDTF">2026-02-08T10:59:17Z</dcterms:modified>
</cp:coreProperties>
</file>