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45754</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45754</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45754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45754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45754</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45754</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45754</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45754</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45754</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45754</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45754</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45754</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45754</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45754</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45754</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45754</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45754</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45754</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45754</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45754</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45754</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45754</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45754</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45754</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45754</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45754</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45754</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45754</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45754</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45754</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45754</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45754</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45754</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45754</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45754</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45754</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45754</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45754</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45754</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45754</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45754</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45754</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45754</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45754</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45754</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45754</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45754</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45754</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45754</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45754</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45754</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45754</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45754</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45754</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45754</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45754</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45754</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45754</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45754</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45754</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45754</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45754</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45754</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45754</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45754</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45754</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45754</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45754</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45754</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45754</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45754</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45754</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45754</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45754</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45754</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45754</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45754</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45754</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45754</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45754</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45754</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45754</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45754</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45754</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45754</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45754</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45754</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45754</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45754</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45754</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45754</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45754</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45754</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45754</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45754</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45754</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45754</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45754</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45754</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45754</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45754</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45754</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45754</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45754</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45754</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45754</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45754</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45754</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15058-2025</t>
        </is>
      </c>
      <c r="B110" s="1" t="n">
        <v>45743</v>
      </c>
      <c r="C110" s="1" t="n">
        <v>45754</v>
      </c>
      <c r="D110" t="inlineStr">
        <is>
          <t>DALARNAS LÄN</t>
        </is>
      </c>
      <c r="E110" t="inlineStr">
        <is>
          <t>HEDEMORA</t>
        </is>
      </c>
      <c r="F110" t="inlineStr">
        <is>
          <t>Sveaskog</t>
        </is>
      </c>
      <c r="G110" t="n">
        <v>4.2</v>
      </c>
      <c r="H110" t="n">
        <v>0</v>
      </c>
      <c r="I110" t="n">
        <v>1</v>
      </c>
      <c r="J110" t="n">
        <v>0</v>
      </c>
      <c r="K110" t="n">
        <v>0</v>
      </c>
      <c r="L110" t="n">
        <v>0</v>
      </c>
      <c r="M110" t="n">
        <v>0</v>
      </c>
      <c r="N110" t="n">
        <v>0</v>
      </c>
      <c r="O110" t="n">
        <v>0</v>
      </c>
      <c r="P110" t="n">
        <v>0</v>
      </c>
      <c r="Q110" t="n">
        <v>1</v>
      </c>
      <c r="R110" s="2" t="inlineStr">
        <is>
          <t>Dropptaggsvamp</t>
        </is>
      </c>
      <c r="S110">
        <f>HYPERLINK("https://klasma.github.io/Logging_202083/artfynd/A 15058-2025 artfynd.xlsx", "A 15058-2025")</f>
        <v/>
      </c>
      <c r="T110">
        <f>HYPERLINK("https://klasma.github.io/Logging_202083/kartor/A 15058-2025 karta.png", "A 15058-2025")</f>
        <v/>
      </c>
      <c r="V110">
        <f>HYPERLINK("https://klasma.github.io/Logging_202083/klagomål/A 15058-2025 FSC-klagomål.docx", "A 15058-2025")</f>
        <v/>
      </c>
      <c r="W110">
        <f>HYPERLINK("https://klasma.github.io/Logging_202083/klagomålsmail/A 15058-2025 FSC-klagomål mail.docx", "A 15058-2025")</f>
        <v/>
      </c>
      <c r="X110">
        <f>HYPERLINK("https://klasma.github.io/Logging_202083/tillsyn/A 15058-2025 tillsynsbegäran.docx", "A 15058-2025")</f>
        <v/>
      </c>
      <c r="Y110">
        <f>HYPERLINK("https://klasma.github.io/Logging_202083/tillsynsmail/A 15058-2025 tillsynsbegäran mail.docx", "A 15058-2025")</f>
        <v/>
      </c>
    </row>
    <row r="111" ht="15" customHeight="1">
      <c r="A111" t="inlineStr">
        <is>
          <t>A 19016-2019</t>
        </is>
      </c>
      <c r="B111" s="1" t="n">
        <v>43563</v>
      </c>
      <c r="C111" s="1" t="n">
        <v>45754</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45754</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45754</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45754</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45754</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45754</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45754</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45754</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45754</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45754</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45754</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45754</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45754</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45754</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45754</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45754</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45754</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45754</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45754</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45754</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45754</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45754</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45754</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45754</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45754</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45754</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45754</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45754</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45754</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45754</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45754</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45754</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45754</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45754</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45754</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45754</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45754</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45754</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45754</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45754</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45754</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45754</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45754</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45754</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45754</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45754</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45754</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45754</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45754</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45754</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45754</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45754</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45754</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45754</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45754</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45754</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45754</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45754</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45754</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9042-2020</t>
        </is>
      </c>
      <c r="B170" s="1" t="n">
        <v>43879</v>
      </c>
      <c r="C170" s="1" t="n">
        <v>45754</v>
      </c>
      <c r="D170" t="inlineStr">
        <is>
          <t>DALARNAS LÄN</t>
        </is>
      </c>
      <c r="E170" t="inlineStr">
        <is>
          <t>HEDEMORA</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9054-2020</t>
        </is>
      </c>
      <c r="B171" s="1" t="n">
        <v>43879</v>
      </c>
      <c r="C171" s="1" t="n">
        <v>45754</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9491-2020</t>
        </is>
      </c>
      <c r="B172" s="1" t="n">
        <v>43880</v>
      </c>
      <c r="C172" s="1" t="n">
        <v>45754</v>
      </c>
      <c r="D172" t="inlineStr">
        <is>
          <t>DALARNAS LÄN</t>
        </is>
      </c>
      <c r="E172" t="inlineStr">
        <is>
          <t>HEDEMORA</t>
        </is>
      </c>
      <c r="G172" t="n">
        <v>1.9</v>
      </c>
      <c r="H172" t="n">
        <v>0</v>
      </c>
      <c r="I172" t="n">
        <v>0</v>
      </c>
      <c r="J172" t="n">
        <v>0</v>
      </c>
      <c r="K172" t="n">
        <v>0</v>
      </c>
      <c r="L172" t="n">
        <v>0</v>
      </c>
      <c r="M172" t="n">
        <v>0</v>
      </c>
      <c r="N172" t="n">
        <v>0</v>
      </c>
      <c r="O172" t="n">
        <v>0</v>
      </c>
      <c r="P172" t="n">
        <v>0</v>
      </c>
      <c r="Q172" t="n">
        <v>0</v>
      </c>
      <c r="R172" s="2" t="inlineStr"/>
    </row>
    <row r="173" ht="15" customHeight="1">
      <c r="A173" t="inlineStr">
        <is>
          <t>A 9714-2020</t>
        </is>
      </c>
      <c r="B173" s="1" t="n">
        <v>43881</v>
      </c>
      <c r="C173" s="1" t="n">
        <v>45754</v>
      </c>
      <c r="D173" t="inlineStr">
        <is>
          <t>DALARNAS LÄN</t>
        </is>
      </c>
      <c r="E173" t="inlineStr">
        <is>
          <t>HEDEMORA</t>
        </is>
      </c>
      <c r="G173" t="n">
        <v>0.6</v>
      </c>
      <c r="H173" t="n">
        <v>0</v>
      </c>
      <c r="I173" t="n">
        <v>0</v>
      </c>
      <c r="J173" t="n">
        <v>0</v>
      </c>
      <c r="K173" t="n">
        <v>0</v>
      </c>
      <c r="L173" t="n">
        <v>0</v>
      </c>
      <c r="M173" t="n">
        <v>0</v>
      </c>
      <c r="N173" t="n">
        <v>0</v>
      </c>
      <c r="O173" t="n">
        <v>0</v>
      </c>
      <c r="P173" t="n">
        <v>0</v>
      </c>
      <c r="Q173" t="n">
        <v>0</v>
      </c>
      <c r="R173" s="2" t="inlineStr"/>
    </row>
    <row r="174" ht="15" customHeight="1">
      <c r="A174" t="inlineStr">
        <is>
          <t>A 10507-2020</t>
        </is>
      </c>
      <c r="B174" s="1" t="n">
        <v>43886</v>
      </c>
      <c r="C174" s="1" t="n">
        <v>45754</v>
      </c>
      <c r="D174" t="inlineStr">
        <is>
          <t>DALARNAS LÄN</t>
        </is>
      </c>
      <c r="E174" t="inlineStr">
        <is>
          <t>HEDEMORA</t>
        </is>
      </c>
      <c r="G174" t="n">
        <v>1.7</v>
      </c>
      <c r="H174" t="n">
        <v>0</v>
      </c>
      <c r="I174" t="n">
        <v>0</v>
      </c>
      <c r="J174" t="n">
        <v>0</v>
      </c>
      <c r="K174" t="n">
        <v>0</v>
      </c>
      <c r="L174" t="n">
        <v>0</v>
      </c>
      <c r="M174" t="n">
        <v>0</v>
      </c>
      <c r="N174" t="n">
        <v>0</v>
      </c>
      <c r="O174" t="n">
        <v>0</v>
      </c>
      <c r="P174" t="n">
        <v>0</v>
      </c>
      <c r="Q174" t="n">
        <v>0</v>
      </c>
      <c r="R174" s="2" t="inlineStr"/>
    </row>
    <row r="175" ht="15" customHeight="1">
      <c r="A175" t="inlineStr">
        <is>
          <t>A 11894-2020</t>
        </is>
      </c>
      <c r="B175" s="1" t="n">
        <v>43894</v>
      </c>
      <c r="C175" s="1" t="n">
        <v>45754</v>
      </c>
      <c r="D175" t="inlineStr">
        <is>
          <t>DALARNAS LÄN</t>
        </is>
      </c>
      <c r="E175" t="inlineStr">
        <is>
          <t>HEDEMORA</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13872-2020</t>
        </is>
      </c>
      <c r="B176" s="1" t="n">
        <v>43906</v>
      </c>
      <c r="C176" s="1" t="n">
        <v>45754</v>
      </c>
      <c r="D176" t="inlineStr">
        <is>
          <t>DALARNAS LÄN</t>
        </is>
      </c>
      <c r="E176" t="inlineStr">
        <is>
          <t>HEDEMORA</t>
        </is>
      </c>
      <c r="F176" t="inlineStr">
        <is>
          <t>Övriga Aktiebolag</t>
        </is>
      </c>
      <c r="G176" t="n">
        <v>5.4</v>
      </c>
      <c r="H176" t="n">
        <v>0</v>
      </c>
      <c r="I176" t="n">
        <v>0</v>
      </c>
      <c r="J176" t="n">
        <v>0</v>
      </c>
      <c r="K176" t="n">
        <v>0</v>
      </c>
      <c r="L176" t="n">
        <v>0</v>
      </c>
      <c r="M176" t="n">
        <v>0</v>
      </c>
      <c r="N176" t="n">
        <v>0</v>
      </c>
      <c r="O176" t="n">
        <v>0</v>
      </c>
      <c r="P176" t="n">
        <v>0</v>
      </c>
      <c r="Q176" t="n">
        <v>0</v>
      </c>
      <c r="R176" s="2" t="inlineStr"/>
    </row>
    <row r="177" ht="15" customHeight="1">
      <c r="A177" t="inlineStr">
        <is>
          <t>A 14117-2020</t>
        </is>
      </c>
      <c r="B177" s="1" t="n">
        <v>43907</v>
      </c>
      <c r="C177" s="1" t="n">
        <v>45754</v>
      </c>
      <c r="D177" t="inlineStr">
        <is>
          <t>DALARNAS LÄN</t>
        </is>
      </c>
      <c r="E177" t="inlineStr">
        <is>
          <t>HEDEMORA</t>
        </is>
      </c>
      <c r="G177" t="n">
        <v>1.6</v>
      </c>
      <c r="H177" t="n">
        <v>0</v>
      </c>
      <c r="I177" t="n">
        <v>0</v>
      </c>
      <c r="J177" t="n">
        <v>0</v>
      </c>
      <c r="K177" t="n">
        <v>0</v>
      </c>
      <c r="L177" t="n">
        <v>0</v>
      </c>
      <c r="M177" t="n">
        <v>0</v>
      </c>
      <c r="N177" t="n">
        <v>0</v>
      </c>
      <c r="O177" t="n">
        <v>0</v>
      </c>
      <c r="P177" t="n">
        <v>0</v>
      </c>
      <c r="Q177" t="n">
        <v>0</v>
      </c>
      <c r="R177" s="2" t="inlineStr"/>
    </row>
    <row r="178" ht="15" customHeight="1">
      <c r="A178" t="inlineStr">
        <is>
          <t>A 14554-2020</t>
        </is>
      </c>
      <c r="B178" s="1" t="n">
        <v>43908</v>
      </c>
      <c r="C178" s="1" t="n">
        <v>45754</v>
      </c>
      <c r="D178" t="inlineStr">
        <is>
          <t>DALARNAS LÄN</t>
        </is>
      </c>
      <c r="E178" t="inlineStr">
        <is>
          <t>HEDEMORA</t>
        </is>
      </c>
      <c r="G178" t="n">
        <v>0.8</v>
      </c>
      <c r="H178" t="n">
        <v>0</v>
      </c>
      <c r="I178" t="n">
        <v>0</v>
      </c>
      <c r="J178" t="n">
        <v>0</v>
      </c>
      <c r="K178" t="n">
        <v>0</v>
      </c>
      <c r="L178" t="n">
        <v>0</v>
      </c>
      <c r="M178" t="n">
        <v>0</v>
      </c>
      <c r="N178" t="n">
        <v>0</v>
      </c>
      <c r="O178" t="n">
        <v>0</v>
      </c>
      <c r="P178" t="n">
        <v>0</v>
      </c>
      <c r="Q178" t="n">
        <v>0</v>
      </c>
      <c r="R178" s="2" t="inlineStr"/>
      <c r="U178">
        <f>HYPERLINK("https://klasma.github.io/Logging_2083/knärot/A 14554-2020 karta knärot.png", "A 14554-2020")</f>
        <v/>
      </c>
      <c r="V178">
        <f>HYPERLINK("https://klasma.github.io/Logging_2083/klagomål/A 14554-2020 FSC-klagomål.docx", "A 14554-2020")</f>
        <v/>
      </c>
      <c r="W178">
        <f>HYPERLINK("https://klasma.github.io/Logging_2083/klagomålsmail/A 14554-2020 FSC-klagomål mail.docx", "A 14554-2020")</f>
        <v/>
      </c>
      <c r="X178">
        <f>HYPERLINK("https://klasma.github.io/Logging_2083/tillsyn/A 14554-2020 tillsynsbegäran.docx", "A 14554-2020")</f>
        <v/>
      </c>
      <c r="Y178">
        <f>HYPERLINK("https://klasma.github.io/Logging_2083/tillsynsmail/A 14554-2020 tillsynsbegäran mail.docx", "A 14554-2020")</f>
        <v/>
      </c>
    </row>
    <row r="179" ht="15" customHeight="1">
      <c r="A179" t="inlineStr">
        <is>
          <t>A 16641-2020</t>
        </is>
      </c>
      <c r="B179" s="1" t="n">
        <v>43910</v>
      </c>
      <c r="C179" s="1" t="n">
        <v>45754</v>
      </c>
      <c r="D179" t="inlineStr">
        <is>
          <t>DALARNAS LÄN</t>
        </is>
      </c>
      <c r="E179" t="inlineStr">
        <is>
          <t>HEDEMORA</t>
        </is>
      </c>
      <c r="G179" t="n">
        <v>3.3</v>
      </c>
      <c r="H179" t="n">
        <v>0</v>
      </c>
      <c r="I179" t="n">
        <v>0</v>
      </c>
      <c r="J179" t="n">
        <v>0</v>
      </c>
      <c r="K179" t="n">
        <v>0</v>
      </c>
      <c r="L179" t="n">
        <v>0</v>
      </c>
      <c r="M179" t="n">
        <v>0</v>
      </c>
      <c r="N179" t="n">
        <v>0</v>
      </c>
      <c r="O179" t="n">
        <v>0</v>
      </c>
      <c r="P179" t="n">
        <v>0</v>
      </c>
      <c r="Q179" t="n">
        <v>0</v>
      </c>
      <c r="R179" s="2" t="inlineStr"/>
    </row>
    <row r="180" ht="15" customHeight="1">
      <c r="A180" t="inlineStr">
        <is>
          <t>A 17585-2020</t>
        </is>
      </c>
      <c r="B180" s="1" t="n">
        <v>43923</v>
      </c>
      <c r="C180" s="1" t="n">
        <v>45754</v>
      </c>
      <c r="D180" t="inlineStr">
        <is>
          <t>DALARNAS LÄN</t>
        </is>
      </c>
      <c r="E180" t="inlineStr">
        <is>
          <t>HEDEMORA</t>
        </is>
      </c>
      <c r="G180" t="n">
        <v>0.7</v>
      </c>
      <c r="H180" t="n">
        <v>0</v>
      </c>
      <c r="I180" t="n">
        <v>0</v>
      </c>
      <c r="J180" t="n">
        <v>0</v>
      </c>
      <c r="K180" t="n">
        <v>0</v>
      </c>
      <c r="L180" t="n">
        <v>0</v>
      </c>
      <c r="M180" t="n">
        <v>0</v>
      </c>
      <c r="N180" t="n">
        <v>0</v>
      </c>
      <c r="O180" t="n">
        <v>0</v>
      </c>
      <c r="P180" t="n">
        <v>0</v>
      </c>
      <c r="Q180" t="n">
        <v>0</v>
      </c>
      <c r="R180" s="2" t="inlineStr"/>
    </row>
    <row r="181" ht="15" customHeight="1">
      <c r="A181" t="inlineStr">
        <is>
          <t>A 18955-2020</t>
        </is>
      </c>
      <c r="B181" s="1" t="n">
        <v>43935</v>
      </c>
      <c r="C181" s="1" t="n">
        <v>45754</v>
      </c>
      <c r="D181" t="inlineStr">
        <is>
          <t>DALARNAS LÄN</t>
        </is>
      </c>
      <c r="E181" t="inlineStr">
        <is>
          <t>HEDEMORA</t>
        </is>
      </c>
      <c r="G181" t="n">
        <v>1.4</v>
      </c>
      <c r="H181" t="n">
        <v>0</v>
      </c>
      <c r="I181" t="n">
        <v>0</v>
      </c>
      <c r="J181" t="n">
        <v>0</v>
      </c>
      <c r="K181" t="n">
        <v>0</v>
      </c>
      <c r="L181" t="n">
        <v>0</v>
      </c>
      <c r="M181" t="n">
        <v>0</v>
      </c>
      <c r="N181" t="n">
        <v>0</v>
      </c>
      <c r="O181" t="n">
        <v>0</v>
      </c>
      <c r="P181" t="n">
        <v>0</v>
      </c>
      <c r="Q181" t="n">
        <v>0</v>
      </c>
      <c r="R181" s="2" t="inlineStr"/>
    </row>
    <row r="182" ht="15" customHeight="1">
      <c r="A182" t="inlineStr">
        <is>
          <t>A 18824-2020</t>
        </is>
      </c>
      <c r="B182" s="1" t="n">
        <v>43935</v>
      </c>
      <c r="C182" s="1" t="n">
        <v>45754</v>
      </c>
      <c r="D182" t="inlineStr">
        <is>
          <t>DALARNAS LÄN</t>
        </is>
      </c>
      <c r="E182" t="inlineStr">
        <is>
          <t>HEDEMORA</t>
        </is>
      </c>
      <c r="F182" t="inlineStr">
        <is>
          <t>Sveaskog</t>
        </is>
      </c>
      <c r="G182" t="n">
        <v>22.7</v>
      </c>
      <c r="H182" t="n">
        <v>0</v>
      </c>
      <c r="I182" t="n">
        <v>0</v>
      </c>
      <c r="J182" t="n">
        <v>0</v>
      </c>
      <c r="K182" t="n">
        <v>0</v>
      </c>
      <c r="L182" t="n">
        <v>0</v>
      </c>
      <c r="M182" t="n">
        <v>0</v>
      </c>
      <c r="N182" t="n">
        <v>0</v>
      </c>
      <c r="O182" t="n">
        <v>0</v>
      </c>
      <c r="P182" t="n">
        <v>0</v>
      </c>
      <c r="Q182" t="n">
        <v>0</v>
      </c>
      <c r="R182" s="2" t="inlineStr"/>
    </row>
    <row r="183" ht="15" customHeight="1">
      <c r="A183" t="inlineStr">
        <is>
          <t>A 20804-2020</t>
        </is>
      </c>
      <c r="B183" s="1" t="n">
        <v>43949</v>
      </c>
      <c r="C183" s="1" t="n">
        <v>45754</v>
      </c>
      <c r="D183" t="inlineStr">
        <is>
          <t>DALARNAS LÄN</t>
        </is>
      </c>
      <c r="E183" t="inlineStr">
        <is>
          <t>HEDEMORA</t>
        </is>
      </c>
      <c r="G183" t="n">
        <v>4.7</v>
      </c>
      <c r="H183" t="n">
        <v>0</v>
      </c>
      <c r="I183" t="n">
        <v>0</v>
      </c>
      <c r="J183" t="n">
        <v>0</v>
      </c>
      <c r="K183" t="n">
        <v>0</v>
      </c>
      <c r="L183" t="n">
        <v>0</v>
      </c>
      <c r="M183" t="n">
        <v>0</v>
      </c>
      <c r="N183" t="n">
        <v>0</v>
      </c>
      <c r="O183" t="n">
        <v>0</v>
      </c>
      <c r="P183" t="n">
        <v>0</v>
      </c>
      <c r="Q183" t="n">
        <v>0</v>
      </c>
      <c r="R183" s="2" t="inlineStr"/>
    </row>
    <row r="184" ht="15" customHeight="1">
      <c r="A184" t="inlineStr">
        <is>
          <t>A 21254-2020</t>
        </is>
      </c>
      <c r="B184" s="1" t="n">
        <v>43955</v>
      </c>
      <c r="C184" s="1" t="n">
        <v>45754</v>
      </c>
      <c r="D184" t="inlineStr">
        <is>
          <t>DALARNAS LÄN</t>
        </is>
      </c>
      <c r="E184" t="inlineStr">
        <is>
          <t>HEDEMORA</t>
        </is>
      </c>
      <c r="F184" t="inlineStr">
        <is>
          <t>Sveaskog</t>
        </is>
      </c>
      <c r="G184" t="n">
        <v>8.4</v>
      </c>
      <c r="H184" t="n">
        <v>0</v>
      </c>
      <c r="I184" t="n">
        <v>0</v>
      </c>
      <c r="J184" t="n">
        <v>0</v>
      </c>
      <c r="K184" t="n">
        <v>0</v>
      </c>
      <c r="L184" t="n">
        <v>0</v>
      </c>
      <c r="M184" t="n">
        <v>0</v>
      </c>
      <c r="N184" t="n">
        <v>0</v>
      </c>
      <c r="O184" t="n">
        <v>0</v>
      </c>
      <c r="P184" t="n">
        <v>0</v>
      </c>
      <c r="Q184" t="n">
        <v>0</v>
      </c>
      <c r="R184" s="2" t="inlineStr"/>
    </row>
    <row r="185" ht="15" customHeight="1">
      <c r="A185" t="inlineStr">
        <is>
          <t>A 21252-2020</t>
        </is>
      </c>
      <c r="B185" s="1" t="n">
        <v>43955</v>
      </c>
      <c r="C185" s="1" t="n">
        <v>45754</v>
      </c>
      <c r="D185" t="inlineStr">
        <is>
          <t>DALARNAS LÄN</t>
        </is>
      </c>
      <c r="E185" t="inlineStr">
        <is>
          <t>HEDEMORA</t>
        </is>
      </c>
      <c r="F185" t="inlineStr">
        <is>
          <t>Sveaskog</t>
        </is>
      </c>
      <c r="G185" t="n">
        <v>4.8</v>
      </c>
      <c r="H185" t="n">
        <v>0</v>
      </c>
      <c r="I185" t="n">
        <v>0</v>
      </c>
      <c r="J185" t="n">
        <v>0</v>
      </c>
      <c r="K185" t="n">
        <v>0</v>
      </c>
      <c r="L185" t="n">
        <v>0</v>
      </c>
      <c r="M185" t="n">
        <v>0</v>
      </c>
      <c r="N185" t="n">
        <v>0</v>
      </c>
      <c r="O185" t="n">
        <v>0</v>
      </c>
      <c r="P185" t="n">
        <v>0</v>
      </c>
      <c r="Q185" t="n">
        <v>0</v>
      </c>
      <c r="R185" s="2" t="inlineStr"/>
    </row>
    <row r="186" ht="15" customHeight="1">
      <c r="A186" t="inlineStr">
        <is>
          <t>A 21458-2020</t>
        </is>
      </c>
      <c r="B186" s="1" t="n">
        <v>43956</v>
      </c>
      <c r="C186" s="1" t="n">
        <v>45754</v>
      </c>
      <c r="D186" t="inlineStr">
        <is>
          <t>DALARNAS LÄN</t>
        </is>
      </c>
      <c r="E186" t="inlineStr">
        <is>
          <t>HEDEMORA</t>
        </is>
      </c>
      <c r="G186" t="n">
        <v>3.4</v>
      </c>
      <c r="H186" t="n">
        <v>0</v>
      </c>
      <c r="I186" t="n">
        <v>0</v>
      </c>
      <c r="J186" t="n">
        <v>0</v>
      </c>
      <c r="K186" t="n">
        <v>0</v>
      </c>
      <c r="L186" t="n">
        <v>0</v>
      </c>
      <c r="M186" t="n">
        <v>0</v>
      </c>
      <c r="N186" t="n">
        <v>0</v>
      </c>
      <c r="O186" t="n">
        <v>0</v>
      </c>
      <c r="P186" t="n">
        <v>0</v>
      </c>
      <c r="Q186" t="n">
        <v>0</v>
      </c>
      <c r="R186" s="2" t="inlineStr"/>
    </row>
    <row r="187" ht="15" customHeight="1">
      <c r="A187" t="inlineStr">
        <is>
          <t>A 22374-2020</t>
        </is>
      </c>
      <c r="B187" s="1" t="n">
        <v>43962</v>
      </c>
      <c r="C187" s="1" t="n">
        <v>45754</v>
      </c>
      <c r="D187" t="inlineStr">
        <is>
          <t>DALARNAS LÄN</t>
        </is>
      </c>
      <c r="E187" t="inlineStr">
        <is>
          <t>HEDEMORA</t>
        </is>
      </c>
      <c r="F187" t="inlineStr">
        <is>
          <t>Kommuner</t>
        </is>
      </c>
      <c r="G187" t="n">
        <v>9.1</v>
      </c>
      <c r="H187" t="n">
        <v>0</v>
      </c>
      <c r="I187" t="n">
        <v>0</v>
      </c>
      <c r="J187" t="n">
        <v>0</v>
      </c>
      <c r="K187" t="n">
        <v>0</v>
      </c>
      <c r="L187" t="n">
        <v>0</v>
      </c>
      <c r="M187" t="n">
        <v>0</v>
      </c>
      <c r="N187" t="n">
        <v>0</v>
      </c>
      <c r="O187" t="n">
        <v>0</v>
      </c>
      <c r="P187" t="n">
        <v>0</v>
      </c>
      <c r="Q187" t="n">
        <v>0</v>
      </c>
      <c r="R187" s="2" t="inlineStr"/>
    </row>
    <row r="188" ht="15" customHeight="1">
      <c r="A188" t="inlineStr">
        <is>
          <t>A 23402-2020</t>
        </is>
      </c>
      <c r="B188" s="1" t="n">
        <v>43968</v>
      </c>
      <c r="C188" s="1" t="n">
        <v>45754</v>
      </c>
      <c r="D188" t="inlineStr">
        <is>
          <t>DALARNAS LÄN</t>
        </is>
      </c>
      <c r="E188" t="inlineStr">
        <is>
          <t>HEDEMORA</t>
        </is>
      </c>
      <c r="G188" t="n">
        <v>2.9</v>
      </c>
      <c r="H188" t="n">
        <v>0</v>
      </c>
      <c r="I188" t="n">
        <v>0</v>
      </c>
      <c r="J188" t="n">
        <v>0</v>
      </c>
      <c r="K188" t="n">
        <v>0</v>
      </c>
      <c r="L188" t="n">
        <v>0</v>
      </c>
      <c r="M188" t="n">
        <v>0</v>
      </c>
      <c r="N188" t="n">
        <v>0</v>
      </c>
      <c r="O188" t="n">
        <v>0</v>
      </c>
      <c r="P188" t="n">
        <v>0</v>
      </c>
      <c r="Q188" t="n">
        <v>0</v>
      </c>
      <c r="R188" s="2" t="inlineStr"/>
    </row>
    <row r="189" ht="15" customHeight="1">
      <c r="A189" t="inlineStr">
        <is>
          <t>A 23401-2020</t>
        </is>
      </c>
      <c r="B189" s="1" t="n">
        <v>43968</v>
      </c>
      <c r="C189" s="1" t="n">
        <v>45754</v>
      </c>
      <c r="D189" t="inlineStr">
        <is>
          <t>DALARNAS LÄN</t>
        </is>
      </c>
      <c r="E189" t="inlineStr">
        <is>
          <t>HEDEMORA</t>
        </is>
      </c>
      <c r="G189" t="n">
        <v>2.5</v>
      </c>
      <c r="H189" t="n">
        <v>0</v>
      </c>
      <c r="I189" t="n">
        <v>0</v>
      </c>
      <c r="J189" t="n">
        <v>0</v>
      </c>
      <c r="K189" t="n">
        <v>0</v>
      </c>
      <c r="L189" t="n">
        <v>0</v>
      </c>
      <c r="M189" t="n">
        <v>0</v>
      </c>
      <c r="N189" t="n">
        <v>0</v>
      </c>
      <c r="O189" t="n">
        <v>0</v>
      </c>
      <c r="P189" t="n">
        <v>0</v>
      </c>
      <c r="Q189" t="n">
        <v>0</v>
      </c>
      <c r="R189" s="2" t="inlineStr"/>
    </row>
    <row r="190" ht="15" customHeight="1">
      <c r="A190" t="inlineStr">
        <is>
          <t>A 23872-2020</t>
        </is>
      </c>
      <c r="B190" s="1" t="n">
        <v>43971</v>
      </c>
      <c r="C190" s="1" t="n">
        <v>45754</v>
      </c>
      <c r="D190" t="inlineStr">
        <is>
          <t>DALARNAS LÄN</t>
        </is>
      </c>
      <c r="E190" t="inlineStr">
        <is>
          <t>HEDEMORA</t>
        </is>
      </c>
      <c r="G190" t="n">
        <v>3.5</v>
      </c>
      <c r="H190" t="n">
        <v>0</v>
      </c>
      <c r="I190" t="n">
        <v>0</v>
      </c>
      <c r="J190" t="n">
        <v>0</v>
      </c>
      <c r="K190" t="n">
        <v>0</v>
      </c>
      <c r="L190" t="n">
        <v>0</v>
      </c>
      <c r="M190" t="n">
        <v>0</v>
      </c>
      <c r="N190" t="n">
        <v>0</v>
      </c>
      <c r="O190" t="n">
        <v>0</v>
      </c>
      <c r="P190" t="n">
        <v>0</v>
      </c>
      <c r="Q190" t="n">
        <v>0</v>
      </c>
      <c r="R190" s="2" t="inlineStr"/>
    </row>
    <row r="191" ht="15" customHeight="1">
      <c r="A191" t="inlineStr">
        <is>
          <t>A 25623-2020</t>
        </is>
      </c>
      <c r="B191" s="1" t="n">
        <v>43983</v>
      </c>
      <c r="C191" s="1" t="n">
        <v>45754</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25657-2020</t>
        </is>
      </c>
      <c r="B192" s="1" t="n">
        <v>43983</v>
      </c>
      <c r="C192" s="1" t="n">
        <v>45754</v>
      </c>
      <c r="D192" t="inlineStr">
        <is>
          <t>DALARNAS LÄN</t>
        </is>
      </c>
      <c r="E192" t="inlineStr">
        <is>
          <t>HEDEMORA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27050-2020</t>
        </is>
      </c>
      <c r="B193" s="1" t="n">
        <v>43991</v>
      </c>
      <c r="C193" s="1" t="n">
        <v>45754</v>
      </c>
      <c r="D193" t="inlineStr">
        <is>
          <t>DALARNAS LÄN</t>
        </is>
      </c>
      <c r="E193" t="inlineStr">
        <is>
          <t>HEDEMORA</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27076-2020</t>
        </is>
      </c>
      <c r="B194" s="1" t="n">
        <v>43991</v>
      </c>
      <c r="C194" s="1" t="n">
        <v>45754</v>
      </c>
      <c r="D194" t="inlineStr">
        <is>
          <t>DALARNAS LÄN</t>
        </is>
      </c>
      <c r="E194" t="inlineStr">
        <is>
          <t>HEDEMORA</t>
        </is>
      </c>
      <c r="F194" t="inlineStr">
        <is>
          <t>Övriga Aktiebolag</t>
        </is>
      </c>
      <c r="G194" t="n">
        <v>10.4</v>
      </c>
      <c r="H194" t="n">
        <v>0</v>
      </c>
      <c r="I194" t="n">
        <v>0</v>
      </c>
      <c r="J194" t="n">
        <v>0</v>
      </c>
      <c r="K194" t="n">
        <v>0</v>
      </c>
      <c r="L194" t="n">
        <v>0</v>
      </c>
      <c r="M194" t="n">
        <v>0</v>
      </c>
      <c r="N194" t="n">
        <v>0</v>
      </c>
      <c r="O194" t="n">
        <v>0</v>
      </c>
      <c r="P194" t="n">
        <v>0</v>
      </c>
      <c r="Q194" t="n">
        <v>0</v>
      </c>
      <c r="R194" s="2" t="inlineStr"/>
    </row>
    <row r="195" ht="15" customHeight="1">
      <c r="A195" t="inlineStr">
        <is>
          <t>A 31502-2020</t>
        </is>
      </c>
      <c r="B195" s="1" t="n">
        <v>44013</v>
      </c>
      <c r="C195" s="1" t="n">
        <v>45754</v>
      </c>
      <c r="D195" t="inlineStr">
        <is>
          <t>DALARNAS LÄN</t>
        </is>
      </c>
      <c r="E195" t="inlineStr">
        <is>
          <t>HEDEMORA</t>
        </is>
      </c>
      <c r="F195" t="inlineStr">
        <is>
          <t>Bergvik skog väst AB</t>
        </is>
      </c>
      <c r="G195" t="n">
        <v>10.2</v>
      </c>
      <c r="H195" t="n">
        <v>0</v>
      </c>
      <c r="I195" t="n">
        <v>0</v>
      </c>
      <c r="J195" t="n">
        <v>0</v>
      </c>
      <c r="K195" t="n">
        <v>0</v>
      </c>
      <c r="L195" t="n">
        <v>0</v>
      </c>
      <c r="M195" t="n">
        <v>0</v>
      </c>
      <c r="N195" t="n">
        <v>0</v>
      </c>
      <c r="O195" t="n">
        <v>0</v>
      </c>
      <c r="P195" t="n">
        <v>0</v>
      </c>
      <c r="Q195" t="n">
        <v>0</v>
      </c>
      <c r="R195" s="2" t="inlineStr"/>
    </row>
    <row r="196" ht="15" customHeight="1">
      <c r="A196" t="inlineStr">
        <is>
          <t>A 31579-2020</t>
        </is>
      </c>
      <c r="B196" s="1" t="n">
        <v>44013</v>
      </c>
      <c r="C196" s="1" t="n">
        <v>45754</v>
      </c>
      <c r="D196" t="inlineStr">
        <is>
          <t>DALARNAS LÄN</t>
        </is>
      </c>
      <c r="E196" t="inlineStr">
        <is>
          <t>HEDEMORA</t>
        </is>
      </c>
      <c r="G196" t="n">
        <v>1.4</v>
      </c>
      <c r="H196" t="n">
        <v>0</v>
      </c>
      <c r="I196" t="n">
        <v>0</v>
      </c>
      <c r="J196" t="n">
        <v>0</v>
      </c>
      <c r="K196" t="n">
        <v>0</v>
      </c>
      <c r="L196" t="n">
        <v>0</v>
      </c>
      <c r="M196" t="n">
        <v>0</v>
      </c>
      <c r="N196" t="n">
        <v>0</v>
      </c>
      <c r="O196" t="n">
        <v>0</v>
      </c>
      <c r="P196" t="n">
        <v>0</v>
      </c>
      <c r="Q196" t="n">
        <v>0</v>
      </c>
      <c r="R196" s="2" t="inlineStr"/>
    </row>
    <row r="197" ht="15" customHeight="1">
      <c r="A197" t="inlineStr">
        <is>
          <t>A 32508-2020</t>
        </is>
      </c>
      <c r="B197" s="1" t="n">
        <v>44018</v>
      </c>
      <c r="C197" s="1" t="n">
        <v>45754</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35786-2020</t>
        </is>
      </c>
      <c r="B198" s="1" t="n">
        <v>44046</v>
      </c>
      <c r="C198" s="1" t="n">
        <v>45754</v>
      </c>
      <c r="D198" t="inlineStr">
        <is>
          <t>DALARNAS LÄN</t>
        </is>
      </c>
      <c r="E198" t="inlineStr">
        <is>
          <t>HEDEMORA</t>
        </is>
      </c>
      <c r="G198" t="n">
        <v>1.9</v>
      </c>
      <c r="H198" t="n">
        <v>0</v>
      </c>
      <c r="I198" t="n">
        <v>0</v>
      </c>
      <c r="J198" t="n">
        <v>0</v>
      </c>
      <c r="K198" t="n">
        <v>0</v>
      </c>
      <c r="L198" t="n">
        <v>0</v>
      </c>
      <c r="M198" t="n">
        <v>0</v>
      </c>
      <c r="N198" t="n">
        <v>0</v>
      </c>
      <c r="O198" t="n">
        <v>0</v>
      </c>
      <c r="P198" t="n">
        <v>0</v>
      </c>
      <c r="Q198" t="n">
        <v>0</v>
      </c>
      <c r="R198" s="2" t="inlineStr"/>
    </row>
    <row r="199" ht="15" customHeight="1">
      <c r="A199" t="inlineStr">
        <is>
          <t>A 40865-2020</t>
        </is>
      </c>
      <c r="B199" s="1" t="n">
        <v>44070</v>
      </c>
      <c r="C199" s="1" t="n">
        <v>45754</v>
      </c>
      <c r="D199" t="inlineStr">
        <is>
          <t>DALARNAS LÄN</t>
        </is>
      </c>
      <c r="E199" t="inlineStr">
        <is>
          <t>HEDEMORA</t>
        </is>
      </c>
      <c r="G199" t="n">
        <v>6.1</v>
      </c>
      <c r="H199" t="n">
        <v>0</v>
      </c>
      <c r="I199" t="n">
        <v>0</v>
      </c>
      <c r="J199" t="n">
        <v>0</v>
      </c>
      <c r="K199" t="n">
        <v>0</v>
      </c>
      <c r="L199" t="n">
        <v>0</v>
      </c>
      <c r="M199" t="n">
        <v>0</v>
      </c>
      <c r="N199" t="n">
        <v>0</v>
      </c>
      <c r="O199" t="n">
        <v>0</v>
      </c>
      <c r="P199" t="n">
        <v>0</v>
      </c>
      <c r="Q199" t="n">
        <v>0</v>
      </c>
      <c r="R199" s="2" t="inlineStr"/>
    </row>
    <row r="200" ht="15" customHeight="1">
      <c r="A200" t="inlineStr">
        <is>
          <t>A 40868-2020</t>
        </is>
      </c>
      <c r="B200" s="1" t="n">
        <v>44070</v>
      </c>
      <c r="C200" s="1" t="n">
        <v>45754</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42929-2020</t>
        </is>
      </c>
      <c r="B201" s="1" t="n">
        <v>44078</v>
      </c>
      <c r="C201" s="1" t="n">
        <v>45754</v>
      </c>
      <c r="D201" t="inlineStr">
        <is>
          <t>DALARNAS LÄN</t>
        </is>
      </c>
      <c r="E201" t="inlineStr">
        <is>
          <t>HEDEMORA</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44110-2020</t>
        </is>
      </c>
      <c r="B202" s="1" t="n">
        <v>44083</v>
      </c>
      <c r="C202" s="1" t="n">
        <v>45754</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44098-2020</t>
        </is>
      </c>
      <c r="B203" s="1" t="n">
        <v>44083</v>
      </c>
      <c r="C203" s="1" t="n">
        <v>45754</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45616-2020</t>
        </is>
      </c>
      <c r="B204" s="1" t="n">
        <v>44084</v>
      </c>
      <c r="C204" s="1" t="n">
        <v>45754</v>
      </c>
      <c r="D204" t="inlineStr">
        <is>
          <t>DALARNAS LÄN</t>
        </is>
      </c>
      <c r="E204" t="inlineStr">
        <is>
          <t>HEDEMORA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45392-2020</t>
        </is>
      </c>
      <c r="B205" s="1" t="n">
        <v>44085</v>
      </c>
      <c r="C205" s="1" t="n">
        <v>45754</v>
      </c>
      <c r="D205" t="inlineStr">
        <is>
          <t>DALARNAS LÄN</t>
        </is>
      </c>
      <c r="E205" t="inlineStr">
        <is>
          <t>HEDEMORA</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46393-2020</t>
        </is>
      </c>
      <c r="B206" s="1" t="n">
        <v>44093</v>
      </c>
      <c r="C206" s="1" t="n">
        <v>45754</v>
      </c>
      <c r="D206" t="inlineStr">
        <is>
          <t>DALARNAS LÄN</t>
        </is>
      </c>
      <c r="E206" t="inlineStr">
        <is>
          <t>HEDEMORA</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46391-2020</t>
        </is>
      </c>
      <c r="B207" s="1" t="n">
        <v>44093</v>
      </c>
      <c r="C207" s="1" t="n">
        <v>45754</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46392-2020</t>
        </is>
      </c>
      <c r="B208" s="1" t="n">
        <v>44093</v>
      </c>
      <c r="C208" s="1" t="n">
        <v>45754</v>
      </c>
      <c r="D208" t="inlineStr">
        <is>
          <t>DALARNAS LÄN</t>
        </is>
      </c>
      <c r="E208" t="inlineStr">
        <is>
          <t>HEDEMORA</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49271-2020</t>
        </is>
      </c>
      <c r="B209" s="1" t="n">
        <v>44105</v>
      </c>
      <c r="C209" s="1" t="n">
        <v>45754</v>
      </c>
      <c r="D209" t="inlineStr">
        <is>
          <t>DALARNAS LÄN</t>
        </is>
      </c>
      <c r="E209" t="inlineStr">
        <is>
          <t>HEDEMORA</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49760-2020</t>
        </is>
      </c>
      <c r="B210" s="1" t="n">
        <v>44106</v>
      </c>
      <c r="C210" s="1" t="n">
        <v>45754</v>
      </c>
      <c r="D210" t="inlineStr">
        <is>
          <t>DALARNAS LÄN</t>
        </is>
      </c>
      <c r="E210" t="inlineStr">
        <is>
          <t>HEDEMORA</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49758-2020</t>
        </is>
      </c>
      <c r="B211" s="1" t="n">
        <v>44106</v>
      </c>
      <c r="C211" s="1" t="n">
        <v>45754</v>
      </c>
      <c r="D211" t="inlineStr">
        <is>
          <t>DALARNAS LÄN</t>
        </is>
      </c>
      <c r="E211" t="inlineStr">
        <is>
          <t>HEDEMORA</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51495-2020</t>
        </is>
      </c>
      <c r="B212" s="1" t="n">
        <v>44113</v>
      </c>
      <c r="C212" s="1" t="n">
        <v>45754</v>
      </c>
      <c r="D212" t="inlineStr">
        <is>
          <t>DALARNAS LÄN</t>
        </is>
      </c>
      <c r="E212" t="inlineStr">
        <is>
          <t>HEDEMORA</t>
        </is>
      </c>
      <c r="F212" t="inlineStr">
        <is>
          <t>Sveaskog</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54347-2020</t>
        </is>
      </c>
      <c r="B213" s="1" t="n">
        <v>44126</v>
      </c>
      <c r="C213" s="1" t="n">
        <v>45754</v>
      </c>
      <c r="D213" t="inlineStr">
        <is>
          <t>DALARNAS LÄN</t>
        </is>
      </c>
      <c r="E213" t="inlineStr">
        <is>
          <t>HEDEMORA</t>
        </is>
      </c>
      <c r="G213" t="n">
        <v>4.1</v>
      </c>
      <c r="H213" t="n">
        <v>0</v>
      </c>
      <c r="I213" t="n">
        <v>0</v>
      </c>
      <c r="J213" t="n">
        <v>0</v>
      </c>
      <c r="K213" t="n">
        <v>0</v>
      </c>
      <c r="L213" t="n">
        <v>0</v>
      </c>
      <c r="M213" t="n">
        <v>0</v>
      </c>
      <c r="N213" t="n">
        <v>0</v>
      </c>
      <c r="O213" t="n">
        <v>0</v>
      </c>
      <c r="P213" t="n">
        <v>0</v>
      </c>
      <c r="Q213" t="n">
        <v>0</v>
      </c>
      <c r="R213" s="2" t="inlineStr"/>
    </row>
    <row r="214" ht="15" customHeight="1">
      <c r="A214" t="inlineStr">
        <is>
          <t>A 57071-2020</t>
        </is>
      </c>
      <c r="B214" s="1" t="n">
        <v>44138</v>
      </c>
      <c r="C214" s="1" t="n">
        <v>45754</v>
      </c>
      <c r="D214" t="inlineStr">
        <is>
          <t>DALARNAS LÄN</t>
        </is>
      </c>
      <c r="E214" t="inlineStr">
        <is>
          <t>HEDEMORA</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57781-2020</t>
        </is>
      </c>
      <c r="B215" s="1" t="n">
        <v>44141</v>
      </c>
      <c r="C215" s="1" t="n">
        <v>45754</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57936-2020</t>
        </is>
      </c>
      <c r="B216" s="1" t="n">
        <v>44141</v>
      </c>
      <c r="C216" s="1" t="n">
        <v>45754</v>
      </c>
      <c r="D216" t="inlineStr">
        <is>
          <t>DALARNAS LÄN</t>
        </is>
      </c>
      <c r="E216" t="inlineStr">
        <is>
          <t>HEDEMORA</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57779-2020</t>
        </is>
      </c>
      <c r="B217" s="1" t="n">
        <v>44141</v>
      </c>
      <c r="C217" s="1" t="n">
        <v>45754</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58111-2020</t>
        </is>
      </c>
      <c r="B218" s="1" t="n">
        <v>44144</v>
      </c>
      <c r="C218" s="1" t="n">
        <v>45754</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59471-2020</t>
        </is>
      </c>
      <c r="B219" s="1" t="n">
        <v>44148</v>
      </c>
      <c r="C219" s="1" t="n">
        <v>45754</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62373-2020</t>
        </is>
      </c>
      <c r="B220" s="1" t="n">
        <v>44160</v>
      </c>
      <c r="C220" s="1" t="n">
        <v>45754</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c r="U220">
        <f>HYPERLINK("https://klasma.github.io/Logging_2083/knärot/A 62373-2020 karta knärot.png", "A 62373-2020")</f>
        <v/>
      </c>
      <c r="V220">
        <f>HYPERLINK("https://klasma.github.io/Logging_2083/klagomål/A 62373-2020 FSC-klagomål.docx", "A 62373-2020")</f>
        <v/>
      </c>
      <c r="W220">
        <f>HYPERLINK("https://klasma.github.io/Logging_2083/klagomålsmail/A 62373-2020 FSC-klagomål mail.docx", "A 62373-2020")</f>
        <v/>
      </c>
      <c r="X220">
        <f>HYPERLINK("https://klasma.github.io/Logging_2083/tillsyn/A 62373-2020 tillsynsbegäran.docx", "A 62373-2020")</f>
        <v/>
      </c>
      <c r="Y220">
        <f>HYPERLINK("https://klasma.github.io/Logging_2083/tillsynsmail/A 62373-2020 tillsynsbegäran mail.docx", "A 62373-2020")</f>
        <v/>
      </c>
    </row>
    <row r="221" ht="15" customHeight="1">
      <c r="A221" t="inlineStr">
        <is>
          <t>A 62412-2020</t>
        </is>
      </c>
      <c r="B221" s="1" t="n">
        <v>44160</v>
      </c>
      <c r="C221" s="1" t="n">
        <v>45754</v>
      </c>
      <c r="D221" t="inlineStr">
        <is>
          <t>DALARNAS LÄN</t>
        </is>
      </c>
      <c r="E221" t="inlineStr">
        <is>
          <t>HEDEMORA</t>
        </is>
      </c>
      <c r="G221" t="n">
        <v>2.4</v>
      </c>
      <c r="H221" t="n">
        <v>0</v>
      </c>
      <c r="I221" t="n">
        <v>0</v>
      </c>
      <c r="J221" t="n">
        <v>0</v>
      </c>
      <c r="K221" t="n">
        <v>0</v>
      </c>
      <c r="L221" t="n">
        <v>0</v>
      </c>
      <c r="M221" t="n">
        <v>0</v>
      </c>
      <c r="N221" t="n">
        <v>0</v>
      </c>
      <c r="O221" t="n">
        <v>0</v>
      </c>
      <c r="P221" t="n">
        <v>0</v>
      </c>
      <c r="Q221" t="n">
        <v>0</v>
      </c>
      <c r="R221" s="2" t="inlineStr"/>
    </row>
    <row r="222" ht="15" customHeight="1">
      <c r="A222" t="inlineStr">
        <is>
          <t>A 66064-2020</t>
        </is>
      </c>
      <c r="B222" s="1" t="n">
        <v>44175</v>
      </c>
      <c r="C222" s="1" t="n">
        <v>45754</v>
      </c>
      <c r="D222" t="inlineStr">
        <is>
          <t>DALARNAS LÄN</t>
        </is>
      </c>
      <c r="E222" t="inlineStr">
        <is>
          <t>HEDEMORA</t>
        </is>
      </c>
      <c r="G222" t="n">
        <v>1.7</v>
      </c>
      <c r="H222" t="n">
        <v>0</v>
      </c>
      <c r="I222" t="n">
        <v>0</v>
      </c>
      <c r="J222" t="n">
        <v>0</v>
      </c>
      <c r="K222" t="n">
        <v>0</v>
      </c>
      <c r="L222" t="n">
        <v>0</v>
      </c>
      <c r="M222" t="n">
        <v>0</v>
      </c>
      <c r="N222" t="n">
        <v>0</v>
      </c>
      <c r="O222" t="n">
        <v>0</v>
      </c>
      <c r="P222" t="n">
        <v>0</v>
      </c>
      <c r="Q222" t="n">
        <v>0</v>
      </c>
      <c r="R222" s="2" t="inlineStr"/>
    </row>
    <row r="223" ht="15" customHeight="1">
      <c r="A223" t="inlineStr">
        <is>
          <t>A 67062-2020</t>
        </is>
      </c>
      <c r="B223" s="1" t="n">
        <v>44180</v>
      </c>
      <c r="C223" s="1" t="n">
        <v>45754</v>
      </c>
      <c r="D223" t="inlineStr">
        <is>
          <t>DALARNAS LÄN</t>
        </is>
      </c>
      <c r="E223" t="inlineStr">
        <is>
          <t>HEDEMORA</t>
        </is>
      </c>
      <c r="G223" t="n">
        <v>2.9</v>
      </c>
      <c r="H223" t="n">
        <v>0</v>
      </c>
      <c r="I223" t="n">
        <v>0</v>
      </c>
      <c r="J223" t="n">
        <v>0</v>
      </c>
      <c r="K223" t="n">
        <v>0</v>
      </c>
      <c r="L223" t="n">
        <v>0</v>
      </c>
      <c r="M223" t="n">
        <v>0</v>
      </c>
      <c r="N223" t="n">
        <v>0</v>
      </c>
      <c r="O223" t="n">
        <v>0</v>
      </c>
      <c r="P223" t="n">
        <v>0</v>
      </c>
      <c r="Q223" t="n">
        <v>0</v>
      </c>
      <c r="R223" s="2" t="inlineStr"/>
    </row>
    <row r="224" ht="15" customHeight="1">
      <c r="A224" t="inlineStr">
        <is>
          <t>A 653-2021</t>
        </is>
      </c>
      <c r="B224" s="1" t="n">
        <v>44203</v>
      </c>
      <c r="C224" s="1" t="n">
        <v>45754</v>
      </c>
      <c r="D224" t="inlineStr">
        <is>
          <t>DALARNAS LÄN</t>
        </is>
      </c>
      <c r="E224" t="inlineStr">
        <is>
          <t>HEDEMORA</t>
        </is>
      </c>
      <c r="G224" t="n">
        <v>3.8</v>
      </c>
      <c r="H224" t="n">
        <v>0</v>
      </c>
      <c r="I224" t="n">
        <v>0</v>
      </c>
      <c r="J224" t="n">
        <v>0</v>
      </c>
      <c r="K224" t="n">
        <v>0</v>
      </c>
      <c r="L224" t="n">
        <v>0</v>
      </c>
      <c r="M224" t="n">
        <v>0</v>
      </c>
      <c r="N224" t="n">
        <v>0</v>
      </c>
      <c r="O224" t="n">
        <v>0</v>
      </c>
      <c r="P224" t="n">
        <v>0</v>
      </c>
      <c r="Q224" t="n">
        <v>0</v>
      </c>
      <c r="R224" s="2" t="inlineStr"/>
    </row>
    <row r="225" ht="15" customHeight="1">
      <c r="A225" t="inlineStr">
        <is>
          <t>A 1916-2021</t>
        </is>
      </c>
      <c r="B225" s="1" t="n">
        <v>44210</v>
      </c>
      <c r="C225" s="1" t="n">
        <v>45754</v>
      </c>
      <c r="D225" t="inlineStr">
        <is>
          <t>DALARNAS LÄN</t>
        </is>
      </c>
      <c r="E225" t="inlineStr">
        <is>
          <t>HEDEMORA</t>
        </is>
      </c>
      <c r="G225" t="n">
        <v>0.7</v>
      </c>
      <c r="H225" t="n">
        <v>0</v>
      </c>
      <c r="I225" t="n">
        <v>0</v>
      </c>
      <c r="J225" t="n">
        <v>0</v>
      </c>
      <c r="K225" t="n">
        <v>0</v>
      </c>
      <c r="L225" t="n">
        <v>0</v>
      </c>
      <c r="M225" t="n">
        <v>0</v>
      </c>
      <c r="N225" t="n">
        <v>0</v>
      </c>
      <c r="O225" t="n">
        <v>0</v>
      </c>
      <c r="P225" t="n">
        <v>0</v>
      </c>
      <c r="Q225" t="n">
        <v>0</v>
      </c>
      <c r="R225" s="2" t="inlineStr"/>
    </row>
    <row r="226" ht="15" customHeight="1">
      <c r="A226" t="inlineStr">
        <is>
          <t>A 1973-2021</t>
        </is>
      </c>
      <c r="B226" s="1" t="n">
        <v>44210</v>
      </c>
      <c r="C226" s="1" t="n">
        <v>45754</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1978-2021</t>
        </is>
      </c>
      <c r="B227" s="1" t="n">
        <v>44210</v>
      </c>
      <c r="C227" s="1" t="n">
        <v>45754</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3314-2021</t>
        </is>
      </c>
      <c r="B228" s="1" t="n">
        <v>44217</v>
      </c>
      <c r="C228" s="1" t="n">
        <v>45754</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6185-2021</t>
        </is>
      </c>
      <c r="B229" s="1" t="n">
        <v>44233</v>
      </c>
      <c r="C229" s="1" t="n">
        <v>45754</v>
      </c>
      <c r="D229" t="inlineStr">
        <is>
          <t>DALARNAS LÄN</t>
        </is>
      </c>
      <c r="E229" t="inlineStr">
        <is>
          <t>HEDEMORA</t>
        </is>
      </c>
      <c r="G229" t="n">
        <v>3.3</v>
      </c>
      <c r="H229" t="n">
        <v>0</v>
      </c>
      <c r="I229" t="n">
        <v>0</v>
      </c>
      <c r="J229" t="n">
        <v>0</v>
      </c>
      <c r="K229" t="n">
        <v>0</v>
      </c>
      <c r="L229" t="n">
        <v>0</v>
      </c>
      <c r="M229" t="n">
        <v>0</v>
      </c>
      <c r="N229" t="n">
        <v>0</v>
      </c>
      <c r="O229" t="n">
        <v>0</v>
      </c>
      <c r="P229" t="n">
        <v>0</v>
      </c>
      <c r="Q229" t="n">
        <v>0</v>
      </c>
      <c r="R229" s="2" t="inlineStr"/>
    </row>
    <row r="230" ht="15" customHeight="1">
      <c r="A230" t="inlineStr">
        <is>
          <t>A 6441-2021</t>
        </is>
      </c>
      <c r="B230" s="1" t="n">
        <v>44235</v>
      </c>
      <c r="C230" s="1" t="n">
        <v>45754</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14456-2021</t>
        </is>
      </c>
      <c r="B231" s="1" t="n">
        <v>44279</v>
      </c>
      <c r="C231" s="1" t="n">
        <v>45754</v>
      </c>
      <c r="D231" t="inlineStr">
        <is>
          <t>DALARNAS LÄN</t>
        </is>
      </c>
      <c r="E231" t="inlineStr">
        <is>
          <t>HEDEMORA</t>
        </is>
      </c>
      <c r="G231" t="n">
        <v>1.2</v>
      </c>
      <c r="H231" t="n">
        <v>0</v>
      </c>
      <c r="I231" t="n">
        <v>0</v>
      </c>
      <c r="J231" t="n">
        <v>0</v>
      </c>
      <c r="K231" t="n">
        <v>0</v>
      </c>
      <c r="L231" t="n">
        <v>0</v>
      </c>
      <c r="M231" t="n">
        <v>0</v>
      </c>
      <c r="N231" t="n">
        <v>0</v>
      </c>
      <c r="O231" t="n">
        <v>0</v>
      </c>
      <c r="P231" t="n">
        <v>0</v>
      </c>
      <c r="Q231" t="n">
        <v>0</v>
      </c>
      <c r="R231" s="2" t="inlineStr"/>
    </row>
    <row r="232" ht="15" customHeight="1">
      <c r="A232" t="inlineStr">
        <is>
          <t>A 15125-2021</t>
        </is>
      </c>
      <c r="B232" s="1" t="n">
        <v>44283</v>
      </c>
      <c r="C232" s="1" t="n">
        <v>45754</v>
      </c>
      <c r="D232" t="inlineStr">
        <is>
          <t>DALARNAS LÄN</t>
        </is>
      </c>
      <c r="E232" t="inlineStr">
        <is>
          <t>HEDEMORA</t>
        </is>
      </c>
      <c r="G232" t="n">
        <v>0.9</v>
      </c>
      <c r="H232" t="n">
        <v>0</v>
      </c>
      <c r="I232" t="n">
        <v>0</v>
      </c>
      <c r="J232" t="n">
        <v>0</v>
      </c>
      <c r="K232" t="n">
        <v>0</v>
      </c>
      <c r="L232" t="n">
        <v>0</v>
      </c>
      <c r="M232" t="n">
        <v>0</v>
      </c>
      <c r="N232" t="n">
        <v>0</v>
      </c>
      <c r="O232" t="n">
        <v>0</v>
      </c>
      <c r="P232" t="n">
        <v>0</v>
      </c>
      <c r="Q232" t="n">
        <v>0</v>
      </c>
      <c r="R232" s="2" t="inlineStr"/>
    </row>
    <row r="233" ht="15" customHeight="1">
      <c r="A233" t="inlineStr">
        <is>
          <t>A 15290-2021</t>
        </is>
      </c>
      <c r="B233" s="1" t="n">
        <v>44284</v>
      </c>
      <c r="C233" s="1" t="n">
        <v>45754</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17464-2021</t>
        </is>
      </c>
      <c r="B234" s="1" t="n">
        <v>44299</v>
      </c>
      <c r="C234" s="1" t="n">
        <v>45754</v>
      </c>
      <c r="D234" t="inlineStr">
        <is>
          <t>DALARNAS LÄN</t>
        </is>
      </c>
      <c r="E234" t="inlineStr">
        <is>
          <t>HEDEMORA</t>
        </is>
      </c>
      <c r="G234" t="n">
        <v>0.8</v>
      </c>
      <c r="H234" t="n">
        <v>0</v>
      </c>
      <c r="I234" t="n">
        <v>0</v>
      </c>
      <c r="J234" t="n">
        <v>0</v>
      </c>
      <c r="K234" t="n">
        <v>0</v>
      </c>
      <c r="L234" t="n">
        <v>0</v>
      </c>
      <c r="M234" t="n">
        <v>0</v>
      </c>
      <c r="N234" t="n">
        <v>0</v>
      </c>
      <c r="O234" t="n">
        <v>0</v>
      </c>
      <c r="P234" t="n">
        <v>0</v>
      </c>
      <c r="Q234" t="n">
        <v>0</v>
      </c>
      <c r="R234" s="2" t="inlineStr"/>
    </row>
    <row r="235" ht="15" customHeight="1">
      <c r="A235" t="inlineStr">
        <is>
          <t>A 18522-2021</t>
        </is>
      </c>
      <c r="B235" s="1" t="n">
        <v>44306</v>
      </c>
      <c r="C235" s="1" t="n">
        <v>45754</v>
      </c>
      <c r="D235" t="inlineStr">
        <is>
          <t>DALARNAS LÄN</t>
        </is>
      </c>
      <c r="E235" t="inlineStr">
        <is>
          <t>HEDEMORA</t>
        </is>
      </c>
      <c r="G235" t="n">
        <v>7</v>
      </c>
      <c r="H235" t="n">
        <v>0</v>
      </c>
      <c r="I235" t="n">
        <v>0</v>
      </c>
      <c r="J235" t="n">
        <v>0</v>
      </c>
      <c r="K235" t="n">
        <v>0</v>
      </c>
      <c r="L235" t="n">
        <v>0</v>
      </c>
      <c r="M235" t="n">
        <v>0</v>
      </c>
      <c r="N235" t="n">
        <v>0</v>
      </c>
      <c r="O235" t="n">
        <v>0</v>
      </c>
      <c r="P235" t="n">
        <v>0</v>
      </c>
      <c r="Q235" t="n">
        <v>0</v>
      </c>
      <c r="R235" s="2" t="inlineStr"/>
    </row>
    <row r="236" ht="15" customHeight="1">
      <c r="A236" t="inlineStr">
        <is>
          <t>A 20330-2021</t>
        </is>
      </c>
      <c r="B236" s="1" t="n">
        <v>44315</v>
      </c>
      <c r="C236" s="1" t="n">
        <v>45754</v>
      </c>
      <c r="D236" t="inlineStr">
        <is>
          <t>DALARNAS LÄN</t>
        </is>
      </c>
      <c r="E236" t="inlineStr">
        <is>
          <t>HEDEMORA</t>
        </is>
      </c>
      <c r="G236" t="n">
        <v>1</v>
      </c>
      <c r="H236" t="n">
        <v>0</v>
      </c>
      <c r="I236" t="n">
        <v>0</v>
      </c>
      <c r="J236" t="n">
        <v>0</v>
      </c>
      <c r="K236" t="n">
        <v>0</v>
      </c>
      <c r="L236" t="n">
        <v>0</v>
      </c>
      <c r="M236" t="n">
        <v>0</v>
      </c>
      <c r="N236" t="n">
        <v>0</v>
      </c>
      <c r="O236" t="n">
        <v>0</v>
      </c>
      <c r="P236" t="n">
        <v>0</v>
      </c>
      <c r="Q236" t="n">
        <v>0</v>
      </c>
      <c r="R236" s="2" t="inlineStr"/>
    </row>
    <row r="237" ht="15" customHeight="1">
      <c r="A237" t="inlineStr">
        <is>
          <t>A 20353-2021</t>
        </is>
      </c>
      <c r="B237" s="1" t="n">
        <v>44315</v>
      </c>
      <c r="C237" s="1" t="n">
        <v>45754</v>
      </c>
      <c r="D237" t="inlineStr">
        <is>
          <t>DALARNAS LÄN</t>
        </is>
      </c>
      <c r="E237" t="inlineStr">
        <is>
          <t>HEDEMORA</t>
        </is>
      </c>
      <c r="G237" t="n">
        <v>0.5</v>
      </c>
      <c r="H237" t="n">
        <v>0</v>
      </c>
      <c r="I237" t="n">
        <v>0</v>
      </c>
      <c r="J237" t="n">
        <v>0</v>
      </c>
      <c r="K237" t="n">
        <v>0</v>
      </c>
      <c r="L237" t="n">
        <v>0</v>
      </c>
      <c r="M237" t="n">
        <v>0</v>
      </c>
      <c r="N237" t="n">
        <v>0</v>
      </c>
      <c r="O237" t="n">
        <v>0</v>
      </c>
      <c r="P237" t="n">
        <v>0</v>
      </c>
      <c r="Q237" t="n">
        <v>0</v>
      </c>
      <c r="R237" s="2" t="inlineStr"/>
    </row>
    <row r="238" ht="15" customHeight="1">
      <c r="A238" t="inlineStr">
        <is>
          <t>A 21171-2021</t>
        </is>
      </c>
      <c r="B238" s="1" t="n">
        <v>44320</v>
      </c>
      <c r="C238" s="1" t="n">
        <v>45754</v>
      </c>
      <c r="D238" t="inlineStr">
        <is>
          <t>DALARNAS LÄN</t>
        </is>
      </c>
      <c r="E238" t="inlineStr">
        <is>
          <t>HEDEMORA</t>
        </is>
      </c>
      <c r="G238" t="n">
        <v>2.8</v>
      </c>
      <c r="H238" t="n">
        <v>0</v>
      </c>
      <c r="I238" t="n">
        <v>0</v>
      </c>
      <c r="J238" t="n">
        <v>0</v>
      </c>
      <c r="K238" t="n">
        <v>0</v>
      </c>
      <c r="L238" t="n">
        <v>0</v>
      </c>
      <c r="M238" t="n">
        <v>0</v>
      </c>
      <c r="N238" t="n">
        <v>0</v>
      </c>
      <c r="O238" t="n">
        <v>0</v>
      </c>
      <c r="P238" t="n">
        <v>0</v>
      </c>
      <c r="Q238" t="n">
        <v>0</v>
      </c>
      <c r="R238" s="2" t="inlineStr"/>
    </row>
    <row r="239" ht="15" customHeight="1">
      <c r="A239" t="inlineStr">
        <is>
          <t>A 21408-2021</t>
        </is>
      </c>
      <c r="B239" s="1" t="n">
        <v>44321</v>
      </c>
      <c r="C239" s="1" t="n">
        <v>45754</v>
      </c>
      <c r="D239" t="inlineStr">
        <is>
          <t>DALARNAS LÄN</t>
        </is>
      </c>
      <c r="E239" t="inlineStr">
        <is>
          <t>HEDEMORA</t>
        </is>
      </c>
      <c r="G239" t="n">
        <v>1.1</v>
      </c>
      <c r="H239" t="n">
        <v>0</v>
      </c>
      <c r="I239" t="n">
        <v>0</v>
      </c>
      <c r="J239" t="n">
        <v>0</v>
      </c>
      <c r="K239" t="n">
        <v>0</v>
      </c>
      <c r="L239" t="n">
        <v>0</v>
      </c>
      <c r="M239" t="n">
        <v>0</v>
      </c>
      <c r="N239" t="n">
        <v>0</v>
      </c>
      <c r="O239" t="n">
        <v>0</v>
      </c>
      <c r="P239" t="n">
        <v>0</v>
      </c>
      <c r="Q239" t="n">
        <v>0</v>
      </c>
      <c r="R239" s="2" t="inlineStr"/>
    </row>
    <row r="240" ht="15" customHeight="1">
      <c r="A240" t="inlineStr">
        <is>
          <t>A 25641-2021</t>
        </is>
      </c>
      <c r="B240" s="1" t="n">
        <v>44343</v>
      </c>
      <c r="C240" s="1" t="n">
        <v>45754</v>
      </c>
      <c r="D240" t="inlineStr">
        <is>
          <t>DALARNAS LÄN</t>
        </is>
      </c>
      <c r="E240" t="inlineStr">
        <is>
          <t>HEDEMORA</t>
        </is>
      </c>
      <c r="G240" t="n">
        <v>11.2</v>
      </c>
      <c r="H240" t="n">
        <v>0</v>
      </c>
      <c r="I240" t="n">
        <v>0</v>
      </c>
      <c r="J240" t="n">
        <v>0</v>
      </c>
      <c r="K240" t="n">
        <v>0</v>
      </c>
      <c r="L240" t="n">
        <v>0</v>
      </c>
      <c r="M240" t="n">
        <v>0</v>
      </c>
      <c r="N240" t="n">
        <v>0</v>
      </c>
      <c r="O240" t="n">
        <v>0</v>
      </c>
      <c r="P240" t="n">
        <v>0</v>
      </c>
      <c r="Q240" t="n">
        <v>0</v>
      </c>
      <c r="R240" s="2" t="inlineStr"/>
    </row>
    <row r="241" ht="15" customHeight="1">
      <c r="A241" t="inlineStr">
        <is>
          <t>A 26612-2021</t>
        </is>
      </c>
      <c r="B241" s="1" t="n">
        <v>44348</v>
      </c>
      <c r="C241" s="1" t="n">
        <v>45754</v>
      </c>
      <c r="D241" t="inlineStr">
        <is>
          <t>DALARNAS LÄN</t>
        </is>
      </c>
      <c r="E241" t="inlineStr">
        <is>
          <t>HEDEMORA</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28067-2021</t>
        </is>
      </c>
      <c r="B242" s="1" t="n">
        <v>44355</v>
      </c>
      <c r="C242" s="1" t="n">
        <v>45754</v>
      </c>
      <c r="D242" t="inlineStr">
        <is>
          <t>DALARNAS LÄN</t>
        </is>
      </c>
      <c r="E242" t="inlineStr">
        <is>
          <t>HEDEMORA</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29123-2021</t>
        </is>
      </c>
      <c r="B243" s="1" t="n">
        <v>44358</v>
      </c>
      <c r="C243" s="1" t="n">
        <v>45754</v>
      </c>
      <c r="D243" t="inlineStr">
        <is>
          <t>DALARNAS LÄN</t>
        </is>
      </c>
      <c r="E243" t="inlineStr">
        <is>
          <t>HEDEMORA</t>
        </is>
      </c>
      <c r="G243" t="n">
        <v>5.6</v>
      </c>
      <c r="H243" t="n">
        <v>0</v>
      </c>
      <c r="I243" t="n">
        <v>0</v>
      </c>
      <c r="J243" t="n">
        <v>0</v>
      </c>
      <c r="K243" t="n">
        <v>0</v>
      </c>
      <c r="L243" t="n">
        <v>0</v>
      </c>
      <c r="M243" t="n">
        <v>0</v>
      </c>
      <c r="N243" t="n">
        <v>0</v>
      </c>
      <c r="O243" t="n">
        <v>0</v>
      </c>
      <c r="P243" t="n">
        <v>0</v>
      </c>
      <c r="Q243" t="n">
        <v>0</v>
      </c>
      <c r="R243" s="2" t="inlineStr"/>
    </row>
    <row r="244" ht="15" customHeight="1">
      <c r="A244" t="inlineStr">
        <is>
          <t>A 29208-2021</t>
        </is>
      </c>
      <c r="B244" s="1" t="n">
        <v>44359</v>
      </c>
      <c r="C244" s="1" t="n">
        <v>45754</v>
      </c>
      <c r="D244" t="inlineStr">
        <is>
          <t>DALARNAS LÄN</t>
        </is>
      </c>
      <c r="E244" t="inlineStr">
        <is>
          <t>HEDEMORA</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30571-2021</t>
        </is>
      </c>
      <c r="B245" s="1" t="n">
        <v>44364</v>
      </c>
      <c r="C245" s="1" t="n">
        <v>45754</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30572-2021</t>
        </is>
      </c>
      <c r="B246" s="1" t="n">
        <v>44364</v>
      </c>
      <c r="C246" s="1" t="n">
        <v>45754</v>
      </c>
      <c r="D246" t="inlineStr">
        <is>
          <t>DALARNAS LÄN</t>
        </is>
      </c>
      <c r="E246" t="inlineStr">
        <is>
          <t>HEDEMORA</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30573-2021</t>
        </is>
      </c>
      <c r="B247" s="1" t="n">
        <v>44364</v>
      </c>
      <c r="C247" s="1" t="n">
        <v>45754</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30574-2021</t>
        </is>
      </c>
      <c r="B248" s="1" t="n">
        <v>44364</v>
      </c>
      <c r="C248" s="1" t="n">
        <v>45754</v>
      </c>
      <c r="D248" t="inlineStr">
        <is>
          <t>DALARNAS LÄN</t>
        </is>
      </c>
      <c r="E248" t="inlineStr">
        <is>
          <t>HEDEMORA</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32071-2021</t>
        </is>
      </c>
      <c r="B249" s="1" t="n">
        <v>44370</v>
      </c>
      <c r="C249" s="1" t="n">
        <v>45754</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32073-2021</t>
        </is>
      </c>
      <c r="B250" s="1" t="n">
        <v>44370</v>
      </c>
      <c r="C250" s="1" t="n">
        <v>45754</v>
      </c>
      <c r="D250" t="inlineStr">
        <is>
          <t>DALARNAS LÄN</t>
        </is>
      </c>
      <c r="E250" t="inlineStr">
        <is>
          <t>HEDEMORA</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35792-2021</t>
        </is>
      </c>
      <c r="B251" s="1" t="n">
        <v>44386</v>
      </c>
      <c r="C251" s="1" t="n">
        <v>45754</v>
      </c>
      <c r="D251" t="inlineStr">
        <is>
          <t>DALARNAS LÄN</t>
        </is>
      </c>
      <c r="E251" t="inlineStr">
        <is>
          <t>HEDEMORA</t>
        </is>
      </c>
      <c r="F251" t="inlineStr">
        <is>
          <t>Bergvik skog väst AB</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36943-2021</t>
        </is>
      </c>
      <c r="B252" s="1" t="n">
        <v>44393</v>
      </c>
      <c r="C252" s="1" t="n">
        <v>45754</v>
      </c>
      <c r="D252" t="inlineStr">
        <is>
          <t>DALARNAS LÄN</t>
        </is>
      </c>
      <c r="E252" t="inlineStr">
        <is>
          <t>HEDEMORA</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39411-2021</t>
        </is>
      </c>
      <c r="B253" s="1" t="n">
        <v>44414</v>
      </c>
      <c r="C253" s="1" t="n">
        <v>45754</v>
      </c>
      <c r="D253" t="inlineStr">
        <is>
          <t>DALARNAS LÄN</t>
        </is>
      </c>
      <c r="E253" t="inlineStr">
        <is>
          <t>HEDEMORA</t>
        </is>
      </c>
      <c r="F253" t="inlineStr">
        <is>
          <t>Bergvik skog väst AB</t>
        </is>
      </c>
      <c r="G253" t="n">
        <v>3.3</v>
      </c>
      <c r="H253" t="n">
        <v>0</v>
      </c>
      <c r="I253" t="n">
        <v>0</v>
      </c>
      <c r="J253" t="n">
        <v>0</v>
      </c>
      <c r="K253" t="n">
        <v>0</v>
      </c>
      <c r="L253" t="n">
        <v>0</v>
      </c>
      <c r="M253" t="n">
        <v>0</v>
      </c>
      <c r="N253" t="n">
        <v>0</v>
      </c>
      <c r="O253" t="n">
        <v>0</v>
      </c>
      <c r="P253" t="n">
        <v>0</v>
      </c>
      <c r="Q253" t="n">
        <v>0</v>
      </c>
      <c r="R253" s="2" t="inlineStr"/>
    </row>
    <row r="254" ht="15" customHeight="1">
      <c r="A254" t="inlineStr">
        <is>
          <t>A 40930-2021</t>
        </is>
      </c>
      <c r="B254" s="1" t="n">
        <v>44421</v>
      </c>
      <c r="C254" s="1" t="n">
        <v>45754</v>
      </c>
      <c r="D254" t="inlineStr">
        <is>
          <t>DALARNAS LÄN</t>
        </is>
      </c>
      <c r="E254" t="inlineStr">
        <is>
          <t>HEDEMORA</t>
        </is>
      </c>
      <c r="G254" t="n">
        <v>6.5</v>
      </c>
      <c r="H254" t="n">
        <v>0</v>
      </c>
      <c r="I254" t="n">
        <v>0</v>
      </c>
      <c r="J254" t="n">
        <v>0</v>
      </c>
      <c r="K254" t="n">
        <v>0</v>
      </c>
      <c r="L254" t="n">
        <v>0</v>
      </c>
      <c r="M254" t="n">
        <v>0</v>
      </c>
      <c r="N254" t="n">
        <v>0</v>
      </c>
      <c r="O254" t="n">
        <v>0</v>
      </c>
      <c r="P254" t="n">
        <v>0</v>
      </c>
      <c r="Q254" t="n">
        <v>0</v>
      </c>
      <c r="R254" s="2" t="inlineStr"/>
    </row>
    <row r="255" ht="15" customHeight="1">
      <c r="A255" t="inlineStr">
        <is>
          <t>A 40938-2021</t>
        </is>
      </c>
      <c r="B255" s="1" t="n">
        <v>44421</v>
      </c>
      <c r="C255" s="1" t="n">
        <v>45754</v>
      </c>
      <c r="D255" t="inlineStr">
        <is>
          <t>DALARNAS LÄN</t>
        </is>
      </c>
      <c r="E255" t="inlineStr">
        <is>
          <t>HEDEMORA</t>
        </is>
      </c>
      <c r="G255" t="n">
        <v>1</v>
      </c>
      <c r="H255" t="n">
        <v>0</v>
      </c>
      <c r="I255" t="n">
        <v>0</v>
      </c>
      <c r="J255" t="n">
        <v>0</v>
      </c>
      <c r="K255" t="n">
        <v>0</v>
      </c>
      <c r="L255" t="n">
        <v>0</v>
      </c>
      <c r="M255" t="n">
        <v>0</v>
      </c>
      <c r="N255" t="n">
        <v>0</v>
      </c>
      <c r="O255" t="n">
        <v>0</v>
      </c>
      <c r="P255" t="n">
        <v>0</v>
      </c>
      <c r="Q255" t="n">
        <v>0</v>
      </c>
      <c r="R255" s="2" t="inlineStr"/>
    </row>
    <row r="256" ht="15" customHeight="1">
      <c r="A256" t="inlineStr">
        <is>
          <t>A 41047-2021</t>
        </is>
      </c>
      <c r="B256" s="1" t="n">
        <v>44421</v>
      </c>
      <c r="C256" s="1" t="n">
        <v>45754</v>
      </c>
      <c r="D256" t="inlineStr">
        <is>
          <t>DALARNAS LÄN</t>
        </is>
      </c>
      <c r="E256" t="inlineStr">
        <is>
          <t>HEDEMORA</t>
        </is>
      </c>
      <c r="F256" t="inlineStr">
        <is>
          <t>Sveaskog</t>
        </is>
      </c>
      <c r="G256" t="n">
        <v>3.2</v>
      </c>
      <c r="H256" t="n">
        <v>0</v>
      </c>
      <c r="I256" t="n">
        <v>0</v>
      </c>
      <c r="J256" t="n">
        <v>0</v>
      </c>
      <c r="K256" t="n">
        <v>0</v>
      </c>
      <c r="L256" t="n">
        <v>0</v>
      </c>
      <c r="M256" t="n">
        <v>0</v>
      </c>
      <c r="N256" t="n">
        <v>0</v>
      </c>
      <c r="O256" t="n">
        <v>0</v>
      </c>
      <c r="P256" t="n">
        <v>0</v>
      </c>
      <c r="Q256" t="n">
        <v>0</v>
      </c>
      <c r="R256" s="2" t="inlineStr"/>
      <c r="U256">
        <f>HYPERLINK("https://klasma.github.io/Logging_2083/knärot/A 41047-2021 karta knärot.png", "A 41047-2021")</f>
        <v/>
      </c>
      <c r="V256">
        <f>HYPERLINK("https://klasma.github.io/Logging_2083/klagomål/A 41047-2021 FSC-klagomål.docx", "A 41047-2021")</f>
        <v/>
      </c>
      <c r="W256">
        <f>HYPERLINK("https://klasma.github.io/Logging_2083/klagomålsmail/A 41047-2021 FSC-klagomål mail.docx", "A 41047-2021")</f>
        <v/>
      </c>
      <c r="X256">
        <f>HYPERLINK("https://klasma.github.io/Logging_2083/tillsyn/A 41047-2021 tillsynsbegäran.docx", "A 41047-2021")</f>
        <v/>
      </c>
      <c r="Y256">
        <f>HYPERLINK("https://klasma.github.io/Logging_2083/tillsynsmail/A 41047-2021 tillsynsbegäran mail.docx", "A 41047-2021")</f>
        <v/>
      </c>
    </row>
    <row r="257" ht="15" customHeight="1">
      <c r="A257" t="inlineStr">
        <is>
          <t>A 44065-2021</t>
        </is>
      </c>
      <c r="B257" s="1" t="n">
        <v>44434</v>
      </c>
      <c r="C257" s="1" t="n">
        <v>45754</v>
      </c>
      <c r="D257" t="inlineStr">
        <is>
          <t>DALARNAS LÄN</t>
        </is>
      </c>
      <c r="E257" t="inlineStr">
        <is>
          <t>HEDEMORA</t>
        </is>
      </c>
      <c r="F257" t="inlineStr">
        <is>
          <t>Bergvik skog väst AB</t>
        </is>
      </c>
      <c r="G257" t="n">
        <v>9.1</v>
      </c>
      <c r="H257" t="n">
        <v>0</v>
      </c>
      <c r="I257" t="n">
        <v>0</v>
      </c>
      <c r="J257" t="n">
        <v>0</v>
      </c>
      <c r="K257" t="n">
        <v>0</v>
      </c>
      <c r="L257" t="n">
        <v>0</v>
      </c>
      <c r="M257" t="n">
        <v>0</v>
      </c>
      <c r="N257" t="n">
        <v>0</v>
      </c>
      <c r="O257" t="n">
        <v>0</v>
      </c>
      <c r="P257" t="n">
        <v>0</v>
      </c>
      <c r="Q257" t="n">
        <v>0</v>
      </c>
      <c r="R257" s="2" t="inlineStr"/>
    </row>
    <row r="258" ht="15" customHeight="1">
      <c r="A258" t="inlineStr">
        <is>
          <t>A 44960-2021</t>
        </is>
      </c>
      <c r="B258" s="1" t="n">
        <v>44438</v>
      </c>
      <c r="C258" s="1" t="n">
        <v>45754</v>
      </c>
      <c r="D258" t="inlineStr">
        <is>
          <t>DALARNAS LÄN</t>
        </is>
      </c>
      <c r="E258" t="inlineStr">
        <is>
          <t>HEDEMORA</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44957-2021</t>
        </is>
      </c>
      <c r="B259" s="1" t="n">
        <v>44438</v>
      </c>
      <c r="C259" s="1" t="n">
        <v>45754</v>
      </c>
      <c r="D259" t="inlineStr">
        <is>
          <t>DALARNAS LÄN</t>
        </is>
      </c>
      <c r="E259" t="inlineStr">
        <is>
          <t>HEDEMORA</t>
        </is>
      </c>
      <c r="F259" t="inlineStr">
        <is>
          <t>Sveaskog</t>
        </is>
      </c>
      <c r="G259" t="n">
        <v>4.5</v>
      </c>
      <c r="H259" t="n">
        <v>0</v>
      </c>
      <c r="I259" t="n">
        <v>0</v>
      </c>
      <c r="J259" t="n">
        <v>0</v>
      </c>
      <c r="K259" t="n">
        <v>0</v>
      </c>
      <c r="L259" t="n">
        <v>0</v>
      </c>
      <c r="M259" t="n">
        <v>0</v>
      </c>
      <c r="N259" t="n">
        <v>0</v>
      </c>
      <c r="O259" t="n">
        <v>0</v>
      </c>
      <c r="P259" t="n">
        <v>0</v>
      </c>
      <c r="Q259" t="n">
        <v>0</v>
      </c>
      <c r="R259" s="2" t="inlineStr"/>
    </row>
    <row r="260" ht="15" customHeight="1">
      <c r="A260" t="inlineStr">
        <is>
          <t>A 44966-2021</t>
        </is>
      </c>
      <c r="B260" s="1" t="n">
        <v>44438</v>
      </c>
      <c r="C260" s="1" t="n">
        <v>45754</v>
      </c>
      <c r="D260" t="inlineStr">
        <is>
          <t>DALARNAS LÄN</t>
        </is>
      </c>
      <c r="E260" t="inlineStr">
        <is>
          <t>HEDEMORA</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46235-2021</t>
        </is>
      </c>
      <c r="B261" s="1" t="n">
        <v>44442</v>
      </c>
      <c r="C261" s="1" t="n">
        <v>45754</v>
      </c>
      <c r="D261" t="inlineStr">
        <is>
          <t>DALARNAS LÄN</t>
        </is>
      </c>
      <c r="E261" t="inlineStr">
        <is>
          <t>HEDEMORA</t>
        </is>
      </c>
      <c r="G261" t="n">
        <v>2.5</v>
      </c>
      <c r="H261" t="n">
        <v>0</v>
      </c>
      <c r="I261" t="n">
        <v>0</v>
      </c>
      <c r="J261" t="n">
        <v>0</v>
      </c>
      <c r="K261" t="n">
        <v>0</v>
      </c>
      <c r="L261" t="n">
        <v>0</v>
      </c>
      <c r="M261" t="n">
        <v>0</v>
      </c>
      <c r="N261" t="n">
        <v>0</v>
      </c>
      <c r="O261" t="n">
        <v>0</v>
      </c>
      <c r="P261" t="n">
        <v>0</v>
      </c>
      <c r="Q261" t="n">
        <v>0</v>
      </c>
      <c r="R261" s="2" t="inlineStr"/>
    </row>
    <row r="262" ht="15" customHeight="1">
      <c r="A262" t="inlineStr">
        <is>
          <t>A 48323-2021</t>
        </is>
      </c>
      <c r="B262" s="1" t="n">
        <v>44450</v>
      </c>
      <c r="C262" s="1" t="n">
        <v>45754</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49636-2021</t>
        </is>
      </c>
      <c r="B263" s="1" t="n">
        <v>44455</v>
      </c>
      <c r="C263" s="1" t="n">
        <v>45754</v>
      </c>
      <c r="D263" t="inlineStr">
        <is>
          <t>DALARNAS LÄN</t>
        </is>
      </c>
      <c r="E263" t="inlineStr">
        <is>
          <t>HEDEMORA</t>
        </is>
      </c>
      <c r="G263" t="n">
        <v>1.3</v>
      </c>
      <c r="H263" t="n">
        <v>0</v>
      </c>
      <c r="I263" t="n">
        <v>0</v>
      </c>
      <c r="J263" t="n">
        <v>0</v>
      </c>
      <c r="K263" t="n">
        <v>0</v>
      </c>
      <c r="L263" t="n">
        <v>0</v>
      </c>
      <c r="M263" t="n">
        <v>0</v>
      </c>
      <c r="N263" t="n">
        <v>0</v>
      </c>
      <c r="O263" t="n">
        <v>0</v>
      </c>
      <c r="P263" t="n">
        <v>0</v>
      </c>
      <c r="Q263" t="n">
        <v>0</v>
      </c>
      <c r="R263" s="2" t="inlineStr"/>
    </row>
    <row r="264" ht="15" customHeight="1">
      <c r="A264" t="inlineStr">
        <is>
          <t>A 50441-2021</t>
        </is>
      </c>
      <c r="B264" s="1" t="n">
        <v>44456</v>
      </c>
      <c r="C264" s="1" t="n">
        <v>45754</v>
      </c>
      <c r="D264" t="inlineStr">
        <is>
          <t>DALARNAS LÄN</t>
        </is>
      </c>
      <c r="E264" t="inlineStr">
        <is>
          <t>HEDEMORA</t>
        </is>
      </c>
      <c r="F264" t="inlineStr">
        <is>
          <t>Bergvik skog väst AB</t>
        </is>
      </c>
      <c r="G264" t="n">
        <v>6.4</v>
      </c>
      <c r="H264" t="n">
        <v>0</v>
      </c>
      <c r="I264" t="n">
        <v>0</v>
      </c>
      <c r="J264" t="n">
        <v>0</v>
      </c>
      <c r="K264" t="n">
        <v>0</v>
      </c>
      <c r="L264" t="n">
        <v>0</v>
      </c>
      <c r="M264" t="n">
        <v>0</v>
      </c>
      <c r="N264" t="n">
        <v>0</v>
      </c>
      <c r="O264" t="n">
        <v>0</v>
      </c>
      <c r="P264" t="n">
        <v>0</v>
      </c>
      <c r="Q264" t="n">
        <v>0</v>
      </c>
      <c r="R264" s="2" t="inlineStr"/>
    </row>
    <row r="265" ht="15" customHeight="1">
      <c r="A265" t="inlineStr">
        <is>
          <t>A 51106-2021</t>
        </is>
      </c>
      <c r="B265" s="1" t="n">
        <v>44461</v>
      </c>
      <c r="C265" s="1" t="n">
        <v>45754</v>
      </c>
      <c r="D265" t="inlineStr">
        <is>
          <t>DALARNAS LÄN</t>
        </is>
      </c>
      <c r="E265" t="inlineStr">
        <is>
          <t>HEDEMORA</t>
        </is>
      </c>
      <c r="G265" t="n">
        <v>2.2</v>
      </c>
      <c r="H265" t="n">
        <v>0</v>
      </c>
      <c r="I265" t="n">
        <v>0</v>
      </c>
      <c r="J265" t="n">
        <v>0</v>
      </c>
      <c r="K265" t="n">
        <v>0</v>
      </c>
      <c r="L265" t="n">
        <v>0</v>
      </c>
      <c r="M265" t="n">
        <v>0</v>
      </c>
      <c r="N265" t="n">
        <v>0</v>
      </c>
      <c r="O265" t="n">
        <v>0</v>
      </c>
      <c r="P265" t="n">
        <v>0</v>
      </c>
      <c r="Q265" t="n">
        <v>0</v>
      </c>
      <c r="R265" s="2" t="inlineStr"/>
    </row>
    <row r="266" ht="15" customHeight="1">
      <c r="A266" t="inlineStr">
        <is>
          <t>A 52199-2021</t>
        </is>
      </c>
      <c r="B266" s="1" t="n">
        <v>44462</v>
      </c>
      <c r="C266" s="1" t="n">
        <v>45754</v>
      </c>
      <c r="D266" t="inlineStr">
        <is>
          <t>DALARNAS LÄN</t>
        </is>
      </c>
      <c r="E266" t="inlineStr">
        <is>
          <t>HEDEMORA</t>
        </is>
      </c>
      <c r="F266" t="inlineStr">
        <is>
          <t>Bergvik skog väst AB</t>
        </is>
      </c>
      <c r="G266" t="n">
        <v>4.4</v>
      </c>
      <c r="H266" t="n">
        <v>0</v>
      </c>
      <c r="I266" t="n">
        <v>0</v>
      </c>
      <c r="J266" t="n">
        <v>0</v>
      </c>
      <c r="K266" t="n">
        <v>0</v>
      </c>
      <c r="L266" t="n">
        <v>0</v>
      </c>
      <c r="M266" t="n">
        <v>0</v>
      </c>
      <c r="N266" t="n">
        <v>0</v>
      </c>
      <c r="O266" t="n">
        <v>0</v>
      </c>
      <c r="P266" t="n">
        <v>0</v>
      </c>
      <c r="Q266" t="n">
        <v>0</v>
      </c>
      <c r="R266" s="2" t="inlineStr"/>
    </row>
    <row r="267" ht="15" customHeight="1">
      <c r="A267" t="inlineStr">
        <is>
          <t>A 52215-2021</t>
        </is>
      </c>
      <c r="B267" s="1" t="n">
        <v>44462</v>
      </c>
      <c r="C267" s="1" t="n">
        <v>45754</v>
      </c>
      <c r="D267" t="inlineStr">
        <is>
          <t>DALARNAS LÄN</t>
        </is>
      </c>
      <c r="E267" t="inlineStr">
        <is>
          <t>HEDEMORA</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52221-2021</t>
        </is>
      </c>
      <c r="B268" s="1" t="n">
        <v>44462</v>
      </c>
      <c r="C268" s="1" t="n">
        <v>45754</v>
      </c>
      <c r="D268" t="inlineStr">
        <is>
          <t>DALARNAS LÄN</t>
        </is>
      </c>
      <c r="E268" t="inlineStr">
        <is>
          <t>HEDEMORA</t>
        </is>
      </c>
      <c r="F268" t="inlineStr">
        <is>
          <t>Bergvik skog väst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52425-2021</t>
        </is>
      </c>
      <c r="B269" s="1" t="n">
        <v>44466</v>
      </c>
      <c r="C269" s="1" t="n">
        <v>45754</v>
      </c>
      <c r="D269" t="inlineStr">
        <is>
          <t>DALARNAS LÄN</t>
        </is>
      </c>
      <c r="E269" t="inlineStr">
        <is>
          <t>HEDEMORA</t>
        </is>
      </c>
      <c r="G269" t="n">
        <v>2.3</v>
      </c>
      <c r="H269" t="n">
        <v>0</v>
      </c>
      <c r="I269" t="n">
        <v>0</v>
      </c>
      <c r="J269" t="n">
        <v>0</v>
      </c>
      <c r="K269" t="n">
        <v>0</v>
      </c>
      <c r="L269" t="n">
        <v>0</v>
      </c>
      <c r="M269" t="n">
        <v>0</v>
      </c>
      <c r="N269" t="n">
        <v>0</v>
      </c>
      <c r="O269" t="n">
        <v>0</v>
      </c>
      <c r="P269" t="n">
        <v>0</v>
      </c>
      <c r="Q269" t="n">
        <v>0</v>
      </c>
      <c r="R269" s="2" t="inlineStr"/>
    </row>
    <row r="270" ht="15" customHeight="1">
      <c r="A270" t="inlineStr">
        <is>
          <t>A 52511-2021</t>
        </is>
      </c>
      <c r="B270" s="1" t="n">
        <v>44466</v>
      </c>
      <c r="C270" s="1" t="n">
        <v>45754</v>
      </c>
      <c r="D270" t="inlineStr">
        <is>
          <t>DALARNAS LÄN</t>
        </is>
      </c>
      <c r="E270" t="inlineStr">
        <is>
          <t>HEDEMORA</t>
        </is>
      </c>
      <c r="G270" t="n">
        <v>0.6</v>
      </c>
      <c r="H270" t="n">
        <v>0</v>
      </c>
      <c r="I270" t="n">
        <v>0</v>
      </c>
      <c r="J270" t="n">
        <v>0</v>
      </c>
      <c r="K270" t="n">
        <v>0</v>
      </c>
      <c r="L270" t="n">
        <v>0</v>
      </c>
      <c r="M270" t="n">
        <v>0</v>
      </c>
      <c r="N270" t="n">
        <v>0</v>
      </c>
      <c r="O270" t="n">
        <v>0</v>
      </c>
      <c r="P270" t="n">
        <v>0</v>
      </c>
      <c r="Q270" t="n">
        <v>0</v>
      </c>
      <c r="R270" s="2" t="inlineStr"/>
    </row>
    <row r="271" ht="15" customHeight="1">
      <c r="A271" t="inlineStr">
        <is>
          <t>A 53443-2021</t>
        </is>
      </c>
      <c r="B271" s="1" t="n">
        <v>44468</v>
      </c>
      <c r="C271" s="1" t="n">
        <v>45754</v>
      </c>
      <c r="D271" t="inlineStr">
        <is>
          <t>DALARNAS LÄN</t>
        </is>
      </c>
      <c r="E271" t="inlineStr">
        <is>
          <t>HEDEMORA</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54310-2021</t>
        </is>
      </c>
      <c r="B272" s="1" t="n">
        <v>44472</v>
      </c>
      <c r="C272" s="1" t="n">
        <v>45754</v>
      </c>
      <c r="D272" t="inlineStr">
        <is>
          <t>DALARNAS LÄN</t>
        </is>
      </c>
      <c r="E272" t="inlineStr">
        <is>
          <t>HEDEMORA</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55195-2021</t>
        </is>
      </c>
      <c r="B273" s="1" t="n">
        <v>44475</v>
      </c>
      <c r="C273" s="1" t="n">
        <v>45754</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57117-2021</t>
        </is>
      </c>
      <c r="B274" s="1" t="n">
        <v>44482</v>
      </c>
      <c r="C274" s="1" t="n">
        <v>45754</v>
      </c>
      <c r="D274" t="inlineStr">
        <is>
          <t>DALARNAS LÄN</t>
        </is>
      </c>
      <c r="E274" t="inlineStr">
        <is>
          <t>HEDEMORA</t>
        </is>
      </c>
      <c r="F274" t="inlineStr">
        <is>
          <t>Bergvik skog väst AB</t>
        </is>
      </c>
      <c r="G274" t="n">
        <v>14.3</v>
      </c>
      <c r="H274" t="n">
        <v>0</v>
      </c>
      <c r="I274" t="n">
        <v>0</v>
      </c>
      <c r="J274" t="n">
        <v>0</v>
      </c>
      <c r="K274" t="n">
        <v>0</v>
      </c>
      <c r="L274" t="n">
        <v>0</v>
      </c>
      <c r="M274" t="n">
        <v>0</v>
      </c>
      <c r="N274" t="n">
        <v>0</v>
      </c>
      <c r="O274" t="n">
        <v>0</v>
      </c>
      <c r="P274" t="n">
        <v>0</v>
      </c>
      <c r="Q274" t="n">
        <v>0</v>
      </c>
      <c r="R274" s="2" t="inlineStr"/>
    </row>
    <row r="275" ht="15" customHeight="1">
      <c r="A275" t="inlineStr">
        <is>
          <t>A 59491-2021</t>
        </is>
      </c>
      <c r="B275" s="1" t="n">
        <v>44491</v>
      </c>
      <c r="C275" s="1" t="n">
        <v>45754</v>
      </c>
      <c r="D275" t="inlineStr">
        <is>
          <t>DALARNAS LÄN</t>
        </is>
      </c>
      <c r="E275" t="inlineStr">
        <is>
          <t>HEDEMORA</t>
        </is>
      </c>
      <c r="G275" t="n">
        <v>2.2</v>
      </c>
      <c r="H275" t="n">
        <v>0</v>
      </c>
      <c r="I275" t="n">
        <v>0</v>
      </c>
      <c r="J275" t="n">
        <v>0</v>
      </c>
      <c r="K275" t="n">
        <v>0</v>
      </c>
      <c r="L275" t="n">
        <v>0</v>
      </c>
      <c r="M275" t="n">
        <v>0</v>
      </c>
      <c r="N275" t="n">
        <v>0</v>
      </c>
      <c r="O275" t="n">
        <v>0</v>
      </c>
      <c r="P275" t="n">
        <v>0</v>
      </c>
      <c r="Q275" t="n">
        <v>0</v>
      </c>
      <c r="R275" s="2" t="inlineStr"/>
    </row>
    <row r="276" ht="15" customHeight="1">
      <c r="A276" t="inlineStr">
        <is>
          <t>A 59495-2021</t>
        </is>
      </c>
      <c r="B276" s="1" t="n">
        <v>44491</v>
      </c>
      <c r="C276" s="1" t="n">
        <v>45754</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60418-2021</t>
        </is>
      </c>
      <c r="B277" s="1" t="n">
        <v>44495</v>
      </c>
      <c r="C277" s="1" t="n">
        <v>45754</v>
      </c>
      <c r="D277" t="inlineStr">
        <is>
          <t>DALARNAS LÄN</t>
        </is>
      </c>
      <c r="E277" t="inlineStr">
        <is>
          <t>HEDEMORA</t>
        </is>
      </c>
      <c r="G277" t="n">
        <v>0.7</v>
      </c>
      <c r="H277" t="n">
        <v>0</v>
      </c>
      <c r="I277" t="n">
        <v>0</v>
      </c>
      <c r="J277" t="n">
        <v>0</v>
      </c>
      <c r="K277" t="n">
        <v>0</v>
      </c>
      <c r="L277" t="n">
        <v>0</v>
      </c>
      <c r="M277" t="n">
        <v>0</v>
      </c>
      <c r="N277" t="n">
        <v>0</v>
      </c>
      <c r="O277" t="n">
        <v>0</v>
      </c>
      <c r="P277" t="n">
        <v>0</v>
      </c>
      <c r="Q277" t="n">
        <v>0</v>
      </c>
      <c r="R277" s="2" t="inlineStr"/>
    </row>
    <row r="278" ht="15" customHeight="1">
      <c r="A278" t="inlineStr">
        <is>
          <t>A 61533-2021</t>
        </is>
      </c>
      <c r="B278" s="1" t="n">
        <v>44501</v>
      </c>
      <c r="C278" s="1" t="n">
        <v>45754</v>
      </c>
      <c r="D278" t="inlineStr">
        <is>
          <t>DALARNAS LÄN</t>
        </is>
      </c>
      <c r="E278" t="inlineStr">
        <is>
          <t>HEDEMORA</t>
        </is>
      </c>
      <c r="G278" t="n">
        <v>1.6</v>
      </c>
      <c r="H278" t="n">
        <v>0</v>
      </c>
      <c r="I278" t="n">
        <v>0</v>
      </c>
      <c r="J278" t="n">
        <v>0</v>
      </c>
      <c r="K278" t="n">
        <v>0</v>
      </c>
      <c r="L278" t="n">
        <v>0</v>
      </c>
      <c r="M278" t="n">
        <v>0</v>
      </c>
      <c r="N278" t="n">
        <v>0</v>
      </c>
      <c r="O278" t="n">
        <v>0</v>
      </c>
      <c r="P278" t="n">
        <v>0</v>
      </c>
      <c r="Q278" t="n">
        <v>0</v>
      </c>
      <c r="R278" s="2" t="inlineStr"/>
    </row>
    <row r="279" ht="15" customHeight="1">
      <c r="A279" t="inlineStr">
        <is>
          <t>A 62305-2021</t>
        </is>
      </c>
      <c r="B279" s="1" t="n">
        <v>44502</v>
      </c>
      <c r="C279" s="1" t="n">
        <v>45754</v>
      </c>
      <c r="D279" t="inlineStr">
        <is>
          <t>DALARNAS LÄN</t>
        </is>
      </c>
      <c r="E279" t="inlineStr">
        <is>
          <t>HEDEMORA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63908-2021</t>
        </is>
      </c>
      <c r="B280" s="1" t="n">
        <v>44509</v>
      </c>
      <c r="C280" s="1" t="n">
        <v>45754</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64473-2021</t>
        </is>
      </c>
      <c r="B281" s="1" t="n">
        <v>44511</v>
      </c>
      <c r="C281" s="1" t="n">
        <v>45754</v>
      </c>
      <c r="D281" t="inlineStr">
        <is>
          <t>DALARNAS LÄN</t>
        </is>
      </c>
      <c r="E281" t="inlineStr">
        <is>
          <t>HEDEMORA</t>
        </is>
      </c>
      <c r="G281" t="n">
        <v>1</v>
      </c>
      <c r="H281" t="n">
        <v>0</v>
      </c>
      <c r="I281" t="n">
        <v>0</v>
      </c>
      <c r="J281" t="n">
        <v>0</v>
      </c>
      <c r="K281" t="n">
        <v>0</v>
      </c>
      <c r="L281" t="n">
        <v>0</v>
      </c>
      <c r="M281" t="n">
        <v>0</v>
      </c>
      <c r="N281" t="n">
        <v>0</v>
      </c>
      <c r="O281" t="n">
        <v>0</v>
      </c>
      <c r="P281" t="n">
        <v>0</v>
      </c>
      <c r="Q281" t="n">
        <v>0</v>
      </c>
      <c r="R281" s="2" t="inlineStr"/>
    </row>
    <row r="282" ht="15" customHeight="1">
      <c r="A282" t="inlineStr">
        <is>
          <t>A 67282-2021</t>
        </is>
      </c>
      <c r="B282" s="1" t="n">
        <v>44523</v>
      </c>
      <c r="C282" s="1" t="n">
        <v>45754</v>
      </c>
      <c r="D282" t="inlineStr">
        <is>
          <t>DALARNAS LÄN</t>
        </is>
      </c>
      <c r="E282" t="inlineStr">
        <is>
          <t>HEDEMORA</t>
        </is>
      </c>
      <c r="F282" t="inlineStr">
        <is>
          <t>Övriga Aktiebolag</t>
        </is>
      </c>
      <c r="G282" t="n">
        <v>3.2</v>
      </c>
      <c r="H282" t="n">
        <v>0</v>
      </c>
      <c r="I282" t="n">
        <v>0</v>
      </c>
      <c r="J282" t="n">
        <v>0</v>
      </c>
      <c r="K282" t="n">
        <v>0</v>
      </c>
      <c r="L282" t="n">
        <v>0</v>
      </c>
      <c r="M282" t="n">
        <v>0</v>
      </c>
      <c r="N282" t="n">
        <v>0</v>
      </c>
      <c r="O282" t="n">
        <v>0</v>
      </c>
      <c r="P282" t="n">
        <v>0</v>
      </c>
      <c r="Q282" t="n">
        <v>0</v>
      </c>
      <c r="R282" s="2" t="inlineStr"/>
    </row>
    <row r="283" ht="15" customHeight="1">
      <c r="A283" t="inlineStr">
        <is>
          <t>A 67288-2021</t>
        </is>
      </c>
      <c r="B283" s="1" t="n">
        <v>44523</v>
      </c>
      <c r="C283" s="1" t="n">
        <v>45754</v>
      </c>
      <c r="D283" t="inlineStr">
        <is>
          <t>DALARNAS LÄN</t>
        </is>
      </c>
      <c r="E283" t="inlineStr">
        <is>
          <t>HEDEMORA</t>
        </is>
      </c>
      <c r="F283" t="inlineStr">
        <is>
          <t>Övriga Aktiebolag</t>
        </is>
      </c>
      <c r="G283" t="n">
        <v>1.6</v>
      </c>
      <c r="H283" t="n">
        <v>0</v>
      </c>
      <c r="I283" t="n">
        <v>0</v>
      </c>
      <c r="J283" t="n">
        <v>0</v>
      </c>
      <c r="K283" t="n">
        <v>0</v>
      </c>
      <c r="L283" t="n">
        <v>0</v>
      </c>
      <c r="M283" t="n">
        <v>0</v>
      </c>
      <c r="N283" t="n">
        <v>0</v>
      </c>
      <c r="O283" t="n">
        <v>0</v>
      </c>
      <c r="P283" t="n">
        <v>0</v>
      </c>
      <c r="Q283" t="n">
        <v>0</v>
      </c>
      <c r="R283" s="2" t="inlineStr"/>
    </row>
    <row r="284" ht="15" customHeight="1">
      <c r="A284" t="inlineStr">
        <is>
          <t>A 68553-2021</t>
        </is>
      </c>
      <c r="B284" s="1" t="n">
        <v>44529</v>
      </c>
      <c r="C284" s="1" t="n">
        <v>45754</v>
      </c>
      <c r="D284" t="inlineStr">
        <is>
          <t>DALARNAS LÄN</t>
        </is>
      </c>
      <c r="E284" t="inlineStr">
        <is>
          <t>HEDEMORA</t>
        </is>
      </c>
      <c r="G284" t="n">
        <v>3</v>
      </c>
      <c r="H284" t="n">
        <v>0</v>
      </c>
      <c r="I284" t="n">
        <v>0</v>
      </c>
      <c r="J284" t="n">
        <v>0</v>
      </c>
      <c r="K284" t="n">
        <v>0</v>
      </c>
      <c r="L284" t="n">
        <v>0</v>
      </c>
      <c r="M284" t="n">
        <v>0</v>
      </c>
      <c r="N284" t="n">
        <v>0</v>
      </c>
      <c r="O284" t="n">
        <v>0</v>
      </c>
      <c r="P284" t="n">
        <v>0</v>
      </c>
      <c r="Q284" t="n">
        <v>0</v>
      </c>
      <c r="R284" s="2" t="inlineStr"/>
    </row>
    <row r="285" ht="15" customHeight="1">
      <c r="A285" t="inlineStr">
        <is>
          <t>A 68457-2021</t>
        </is>
      </c>
      <c r="B285" s="1" t="n">
        <v>44529</v>
      </c>
      <c r="C285" s="1" t="n">
        <v>45754</v>
      </c>
      <c r="D285" t="inlineStr">
        <is>
          <t>DALARNAS LÄN</t>
        </is>
      </c>
      <c r="E285" t="inlineStr">
        <is>
          <t>HEDEMORA</t>
        </is>
      </c>
      <c r="G285" t="n">
        <v>1.9</v>
      </c>
      <c r="H285" t="n">
        <v>0</v>
      </c>
      <c r="I285" t="n">
        <v>0</v>
      </c>
      <c r="J285" t="n">
        <v>0</v>
      </c>
      <c r="K285" t="n">
        <v>0</v>
      </c>
      <c r="L285" t="n">
        <v>0</v>
      </c>
      <c r="M285" t="n">
        <v>0</v>
      </c>
      <c r="N285" t="n">
        <v>0</v>
      </c>
      <c r="O285" t="n">
        <v>0</v>
      </c>
      <c r="P285" t="n">
        <v>0</v>
      </c>
      <c r="Q285" t="n">
        <v>0</v>
      </c>
      <c r="R285" s="2" t="inlineStr"/>
    </row>
    <row r="286" ht="15" customHeight="1">
      <c r="A286" t="inlineStr">
        <is>
          <t>A 69624-2021</t>
        </is>
      </c>
      <c r="B286" s="1" t="n">
        <v>44532</v>
      </c>
      <c r="C286" s="1" t="n">
        <v>45754</v>
      </c>
      <c r="D286" t="inlineStr">
        <is>
          <t>DALARNAS LÄN</t>
        </is>
      </c>
      <c r="E286" t="inlineStr">
        <is>
          <t>HEDEMORA</t>
        </is>
      </c>
      <c r="G286" t="n">
        <v>0.4</v>
      </c>
      <c r="H286" t="n">
        <v>0</v>
      </c>
      <c r="I286" t="n">
        <v>0</v>
      </c>
      <c r="J286" t="n">
        <v>0</v>
      </c>
      <c r="K286" t="n">
        <v>0</v>
      </c>
      <c r="L286" t="n">
        <v>0</v>
      </c>
      <c r="M286" t="n">
        <v>0</v>
      </c>
      <c r="N286" t="n">
        <v>0</v>
      </c>
      <c r="O286" t="n">
        <v>0</v>
      </c>
      <c r="P286" t="n">
        <v>0</v>
      </c>
      <c r="Q286" t="n">
        <v>0</v>
      </c>
      <c r="R286" s="2" t="inlineStr"/>
    </row>
    <row r="287" ht="15" customHeight="1">
      <c r="A287" t="inlineStr">
        <is>
          <t>A 73099-2021</t>
        </is>
      </c>
      <c r="B287" s="1" t="n">
        <v>44546</v>
      </c>
      <c r="C287" s="1" t="n">
        <v>45754</v>
      </c>
      <c r="D287" t="inlineStr">
        <is>
          <t>DALARNAS LÄN</t>
        </is>
      </c>
      <c r="E287" t="inlineStr">
        <is>
          <t>HEDEMORA</t>
        </is>
      </c>
      <c r="G287" t="n">
        <v>4.5</v>
      </c>
      <c r="H287" t="n">
        <v>0</v>
      </c>
      <c r="I287" t="n">
        <v>0</v>
      </c>
      <c r="J287" t="n">
        <v>0</v>
      </c>
      <c r="K287" t="n">
        <v>0</v>
      </c>
      <c r="L287" t="n">
        <v>0</v>
      </c>
      <c r="M287" t="n">
        <v>0</v>
      </c>
      <c r="N287" t="n">
        <v>0</v>
      </c>
      <c r="O287" t="n">
        <v>0</v>
      </c>
      <c r="P287" t="n">
        <v>0</v>
      </c>
      <c r="Q287" t="n">
        <v>0</v>
      </c>
      <c r="R287" s="2" t="inlineStr"/>
    </row>
    <row r="288" ht="15" customHeight="1">
      <c r="A288" t="inlineStr">
        <is>
          <t>A 73464-2021</t>
        </is>
      </c>
      <c r="B288" s="1" t="n">
        <v>44551</v>
      </c>
      <c r="C288" s="1" t="n">
        <v>45754</v>
      </c>
      <c r="D288" t="inlineStr">
        <is>
          <t>DALARNAS LÄN</t>
        </is>
      </c>
      <c r="E288" t="inlineStr">
        <is>
          <t>HEDEMORA</t>
        </is>
      </c>
      <c r="G288" t="n">
        <v>2.3</v>
      </c>
      <c r="H288" t="n">
        <v>0</v>
      </c>
      <c r="I288" t="n">
        <v>0</v>
      </c>
      <c r="J288" t="n">
        <v>0</v>
      </c>
      <c r="K288" t="n">
        <v>0</v>
      </c>
      <c r="L288" t="n">
        <v>0</v>
      </c>
      <c r="M288" t="n">
        <v>0</v>
      </c>
      <c r="N288" t="n">
        <v>0</v>
      </c>
      <c r="O288" t="n">
        <v>0</v>
      </c>
      <c r="P288" t="n">
        <v>0</v>
      </c>
      <c r="Q288" t="n">
        <v>0</v>
      </c>
      <c r="R288" s="2" t="inlineStr"/>
    </row>
    <row r="289" ht="15" customHeight="1">
      <c r="A289" t="inlineStr">
        <is>
          <t>A 295-2022</t>
        </is>
      </c>
      <c r="B289" s="1" t="n">
        <v>44565</v>
      </c>
      <c r="C289" s="1" t="n">
        <v>45754</v>
      </c>
      <c r="D289" t="inlineStr">
        <is>
          <t>DALARNAS LÄN</t>
        </is>
      </c>
      <c r="E289" t="inlineStr">
        <is>
          <t>HEDEMORA</t>
        </is>
      </c>
      <c r="G289" t="n">
        <v>0.5</v>
      </c>
      <c r="H289" t="n">
        <v>0</v>
      </c>
      <c r="I289" t="n">
        <v>0</v>
      </c>
      <c r="J289" t="n">
        <v>0</v>
      </c>
      <c r="K289" t="n">
        <v>0</v>
      </c>
      <c r="L289" t="n">
        <v>0</v>
      </c>
      <c r="M289" t="n">
        <v>0</v>
      </c>
      <c r="N289" t="n">
        <v>0</v>
      </c>
      <c r="O289" t="n">
        <v>0</v>
      </c>
      <c r="P289" t="n">
        <v>0</v>
      </c>
      <c r="Q289" t="n">
        <v>0</v>
      </c>
      <c r="R289" s="2" t="inlineStr"/>
    </row>
    <row r="290" ht="15" customHeight="1">
      <c r="A290" t="inlineStr">
        <is>
          <t>A 769-2022</t>
        </is>
      </c>
      <c r="B290" s="1" t="n">
        <v>44570</v>
      </c>
      <c r="C290" s="1" t="n">
        <v>45754</v>
      </c>
      <c r="D290" t="inlineStr">
        <is>
          <t>DALARNAS LÄN</t>
        </is>
      </c>
      <c r="E290" t="inlineStr">
        <is>
          <t>HEDEMORA</t>
        </is>
      </c>
      <c r="G290" t="n">
        <v>5.9</v>
      </c>
      <c r="H290" t="n">
        <v>0</v>
      </c>
      <c r="I290" t="n">
        <v>0</v>
      </c>
      <c r="J290" t="n">
        <v>0</v>
      </c>
      <c r="K290" t="n">
        <v>0</v>
      </c>
      <c r="L290" t="n">
        <v>0</v>
      </c>
      <c r="M290" t="n">
        <v>0</v>
      </c>
      <c r="N290" t="n">
        <v>0</v>
      </c>
      <c r="O290" t="n">
        <v>0</v>
      </c>
      <c r="P290" t="n">
        <v>0</v>
      </c>
      <c r="Q290" t="n">
        <v>0</v>
      </c>
      <c r="R290" s="2" t="inlineStr"/>
    </row>
    <row r="291" ht="15" customHeight="1">
      <c r="A291" t="inlineStr">
        <is>
          <t>A 1666-2022</t>
        </is>
      </c>
      <c r="B291" s="1" t="n">
        <v>44574</v>
      </c>
      <c r="C291" s="1" t="n">
        <v>45754</v>
      </c>
      <c r="D291" t="inlineStr">
        <is>
          <t>DALARNAS LÄN</t>
        </is>
      </c>
      <c r="E291" t="inlineStr">
        <is>
          <t>HEDEMORA</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1917-2022</t>
        </is>
      </c>
      <c r="B292" s="1" t="n">
        <v>44574</v>
      </c>
      <c r="C292" s="1" t="n">
        <v>45754</v>
      </c>
      <c r="D292" t="inlineStr">
        <is>
          <t>DALARNAS LÄN</t>
        </is>
      </c>
      <c r="E292" t="inlineStr">
        <is>
          <t>HEDEMORA</t>
        </is>
      </c>
      <c r="F292" t="inlineStr">
        <is>
          <t>Övriga Aktiebolag</t>
        </is>
      </c>
      <c r="G292" t="n">
        <v>1.4</v>
      </c>
      <c r="H292" t="n">
        <v>0</v>
      </c>
      <c r="I292" t="n">
        <v>0</v>
      </c>
      <c r="J292" t="n">
        <v>0</v>
      </c>
      <c r="K292" t="n">
        <v>0</v>
      </c>
      <c r="L292" t="n">
        <v>0</v>
      </c>
      <c r="M292" t="n">
        <v>0</v>
      </c>
      <c r="N292" t="n">
        <v>0</v>
      </c>
      <c r="O292" t="n">
        <v>0</v>
      </c>
      <c r="P292" t="n">
        <v>0</v>
      </c>
      <c r="Q292" t="n">
        <v>0</v>
      </c>
      <c r="R292" s="2" t="inlineStr"/>
    </row>
    <row r="293" ht="15" customHeight="1">
      <c r="A293" t="inlineStr">
        <is>
          <t>A 1973-2022</t>
        </is>
      </c>
      <c r="B293" s="1" t="n">
        <v>44575</v>
      </c>
      <c r="C293" s="1" t="n">
        <v>45754</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1976-2022</t>
        </is>
      </c>
      <c r="B294" s="1" t="n">
        <v>44575</v>
      </c>
      <c r="C294" s="1" t="n">
        <v>45754</v>
      </c>
      <c r="D294" t="inlineStr">
        <is>
          <t>DALARNAS LÄN</t>
        </is>
      </c>
      <c r="E294" t="inlineStr">
        <is>
          <t>HEDEMORA</t>
        </is>
      </c>
      <c r="G294" t="n">
        <v>3.2</v>
      </c>
      <c r="H294" t="n">
        <v>0</v>
      </c>
      <c r="I294" t="n">
        <v>0</v>
      </c>
      <c r="J294" t="n">
        <v>0</v>
      </c>
      <c r="K294" t="n">
        <v>0</v>
      </c>
      <c r="L294" t="n">
        <v>0</v>
      </c>
      <c r="M294" t="n">
        <v>0</v>
      </c>
      <c r="N294" t="n">
        <v>0</v>
      </c>
      <c r="O294" t="n">
        <v>0</v>
      </c>
      <c r="P294" t="n">
        <v>0</v>
      </c>
      <c r="Q294" t="n">
        <v>0</v>
      </c>
      <c r="R294" s="2" t="inlineStr"/>
    </row>
    <row r="295" ht="15" customHeight="1">
      <c r="A295" t="inlineStr">
        <is>
          <t>A 4030-2022</t>
        </is>
      </c>
      <c r="B295" s="1" t="n">
        <v>44588</v>
      </c>
      <c r="C295" s="1" t="n">
        <v>45754</v>
      </c>
      <c r="D295" t="inlineStr">
        <is>
          <t>DALARNAS LÄN</t>
        </is>
      </c>
      <c r="E295" t="inlineStr">
        <is>
          <t>HEDEMORA</t>
        </is>
      </c>
      <c r="F295" t="inlineStr">
        <is>
          <t>Kyrkan</t>
        </is>
      </c>
      <c r="G295" t="n">
        <v>2.1</v>
      </c>
      <c r="H295" t="n">
        <v>0</v>
      </c>
      <c r="I295" t="n">
        <v>0</v>
      </c>
      <c r="J295" t="n">
        <v>0</v>
      </c>
      <c r="K295" t="n">
        <v>0</v>
      </c>
      <c r="L295" t="n">
        <v>0</v>
      </c>
      <c r="M295" t="n">
        <v>0</v>
      </c>
      <c r="N295" t="n">
        <v>0</v>
      </c>
      <c r="O295" t="n">
        <v>0</v>
      </c>
      <c r="P295" t="n">
        <v>0</v>
      </c>
      <c r="Q295" t="n">
        <v>0</v>
      </c>
      <c r="R295" s="2" t="inlineStr"/>
    </row>
    <row r="296" ht="15" customHeight="1">
      <c r="A296" t="inlineStr">
        <is>
          <t>A 7515-2022</t>
        </is>
      </c>
      <c r="B296" s="1" t="n">
        <v>44607</v>
      </c>
      <c r="C296" s="1" t="n">
        <v>45754</v>
      </c>
      <c r="D296" t="inlineStr">
        <is>
          <t>DALARNAS LÄN</t>
        </is>
      </c>
      <c r="E296" t="inlineStr">
        <is>
          <t>HEDEMORA</t>
        </is>
      </c>
      <c r="G296" t="n">
        <v>3.8</v>
      </c>
      <c r="H296" t="n">
        <v>0</v>
      </c>
      <c r="I296" t="n">
        <v>0</v>
      </c>
      <c r="J296" t="n">
        <v>0</v>
      </c>
      <c r="K296" t="n">
        <v>0</v>
      </c>
      <c r="L296" t="n">
        <v>0</v>
      </c>
      <c r="M296" t="n">
        <v>0</v>
      </c>
      <c r="N296" t="n">
        <v>0</v>
      </c>
      <c r="O296" t="n">
        <v>0</v>
      </c>
      <c r="P296" t="n">
        <v>0</v>
      </c>
      <c r="Q296" t="n">
        <v>0</v>
      </c>
      <c r="R296" s="2" t="inlineStr"/>
    </row>
    <row r="297" ht="15" customHeight="1">
      <c r="A297" t="inlineStr">
        <is>
          <t>A 10408-2022</t>
        </is>
      </c>
      <c r="B297" s="1" t="n">
        <v>44623</v>
      </c>
      <c r="C297" s="1" t="n">
        <v>45754</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11046-2022</t>
        </is>
      </c>
      <c r="B298" s="1" t="n">
        <v>44628</v>
      </c>
      <c r="C298" s="1" t="n">
        <v>45754</v>
      </c>
      <c r="D298" t="inlineStr">
        <is>
          <t>DALARNAS LÄN</t>
        </is>
      </c>
      <c r="E298" t="inlineStr">
        <is>
          <t>HEDEMORA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15635-2022</t>
        </is>
      </c>
      <c r="B299" s="1" t="n">
        <v>44662</v>
      </c>
      <c r="C299" s="1" t="n">
        <v>45754</v>
      </c>
      <c r="D299" t="inlineStr">
        <is>
          <t>DALARNAS LÄN</t>
        </is>
      </c>
      <c r="E299" t="inlineStr">
        <is>
          <t>HEDEMORA</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16122-2022</t>
        </is>
      </c>
      <c r="B300" s="1" t="n">
        <v>44665</v>
      </c>
      <c r="C300" s="1" t="n">
        <v>45754</v>
      </c>
      <c r="D300" t="inlineStr">
        <is>
          <t>DALARNAS LÄN</t>
        </is>
      </c>
      <c r="E300" t="inlineStr">
        <is>
          <t>HEDEMORA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16779-2022</t>
        </is>
      </c>
      <c r="B301" s="1" t="n">
        <v>44673</v>
      </c>
      <c r="C301" s="1" t="n">
        <v>45754</v>
      </c>
      <c r="D301" t="inlineStr">
        <is>
          <t>DALARNAS LÄN</t>
        </is>
      </c>
      <c r="E301" t="inlineStr">
        <is>
          <t>HEDEMORA</t>
        </is>
      </c>
      <c r="G301" t="n">
        <v>1.8</v>
      </c>
      <c r="H301" t="n">
        <v>0</v>
      </c>
      <c r="I301" t="n">
        <v>0</v>
      </c>
      <c r="J301" t="n">
        <v>0</v>
      </c>
      <c r="K301" t="n">
        <v>0</v>
      </c>
      <c r="L301" t="n">
        <v>0</v>
      </c>
      <c r="M301" t="n">
        <v>0</v>
      </c>
      <c r="N301" t="n">
        <v>0</v>
      </c>
      <c r="O301" t="n">
        <v>0</v>
      </c>
      <c r="P301" t="n">
        <v>0</v>
      </c>
      <c r="Q301" t="n">
        <v>0</v>
      </c>
      <c r="R301" s="2" t="inlineStr"/>
    </row>
    <row r="302" ht="15" customHeight="1">
      <c r="A302" t="inlineStr">
        <is>
          <t>A 17645-2022</t>
        </is>
      </c>
      <c r="B302" s="1" t="n">
        <v>44680</v>
      </c>
      <c r="C302" s="1" t="n">
        <v>45754</v>
      </c>
      <c r="D302" t="inlineStr">
        <is>
          <t>DALARNAS LÄN</t>
        </is>
      </c>
      <c r="E302" t="inlineStr">
        <is>
          <t>HEDEMORA</t>
        </is>
      </c>
      <c r="G302" t="n">
        <v>1.3</v>
      </c>
      <c r="H302" t="n">
        <v>0</v>
      </c>
      <c r="I302" t="n">
        <v>0</v>
      </c>
      <c r="J302" t="n">
        <v>0</v>
      </c>
      <c r="K302" t="n">
        <v>0</v>
      </c>
      <c r="L302" t="n">
        <v>0</v>
      </c>
      <c r="M302" t="n">
        <v>0</v>
      </c>
      <c r="N302" t="n">
        <v>0</v>
      </c>
      <c r="O302" t="n">
        <v>0</v>
      </c>
      <c r="P302" t="n">
        <v>0</v>
      </c>
      <c r="Q302" t="n">
        <v>0</v>
      </c>
      <c r="R302" s="2" t="inlineStr"/>
    </row>
    <row r="303" ht="15" customHeight="1">
      <c r="A303" t="inlineStr">
        <is>
          <t>A 18098-2022</t>
        </is>
      </c>
      <c r="B303" s="1" t="n">
        <v>44684</v>
      </c>
      <c r="C303" s="1" t="n">
        <v>45754</v>
      </c>
      <c r="D303" t="inlineStr">
        <is>
          <t>DALARNAS LÄN</t>
        </is>
      </c>
      <c r="E303" t="inlineStr">
        <is>
          <t>HEDEMORA</t>
        </is>
      </c>
      <c r="G303" t="n">
        <v>4.9</v>
      </c>
      <c r="H303" t="n">
        <v>0</v>
      </c>
      <c r="I303" t="n">
        <v>0</v>
      </c>
      <c r="J303" t="n">
        <v>0</v>
      </c>
      <c r="K303" t="n">
        <v>0</v>
      </c>
      <c r="L303" t="n">
        <v>0</v>
      </c>
      <c r="M303" t="n">
        <v>0</v>
      </c>
      <c r="N303" t="n">
        <v>0</v>
      </c>
      <c r="O303" t="n">
        <v>0</v>
      </c>
      <c r="P303" t="n">
        <v>0</v>
      </c>
      <c r="Q303" t="n">
        <v>0</v>
      </c>
      <c r="R303" s="2" t="inlineStr"/>
    </row>
    <row r="304" ht="15" customHeight="1">
      <c r="A304" t="inlineStr">
        <is>
          <t>A 20177-2022</t>
        </is>
      </c>
      <c r="B304" s="1" t="n">
        <v>44698</v>
      </c>
      <c r="C304" s="1" t="n">
        <v>45754</v>
      </c>
      <c r="D304" t="inlineStr">
        <is>
          <t>DALARNAS LÄN</t>
        </is>
      </c>
      <c r="E304" t="inlineStr">
        <is>
          <t>HEDEMORA</t>
        </is>
      </c>
      <c r="G304" t="n">
        <v>3.9</v>
      </c>
      <c r="H304" t="n">
        <v>0</v>
      </c>
      <c r="I304" t="n">
        <v>0</v>
      </c>
      <c r="J304" t="n">
        <v>0</v>
      </c>
      <c r="K304" t="n">
        <v>0</v>
      </c>
      <c r="L304" t="n">
        <v>0</v>
      </c>
      <c r="M304" t="n">
        <v>0</v>
      </c>
      <c r="N304" t="n">
        <v>0</v>
      </c>
      <c r="O304" t="n">
        <v>0</v>
      </c>
      <c r="P304" t="n">
        <v>0</v>
      </c>
      <c r="Q304" t="n">
        <v>0</v>
      </c>
      <c r="R304" s="2" t="inlineStr"/>
    </row>
    <row r="305" ht="15" customHeight="1">
      <c r="A305" t="inlineStr">
        <is>
          <t>A 21520-2022</t>
        </is>
      </c>
      <c r="B305" s="1" t="n">
        <v>44706</v>
      </c>
      <c r="C305" s="1" t="n">
        <v>45754</v>
      </c>
      <c r="D305" t="inlineStr">
        <is>
          <t>DALARNAS LÄN</t>
        </is>
      </c>
      <c r="E305" t="inlineStr">
        <is>
          <t>HEDEMORA</t>
        </is>
      </c>
      <c r="F305" t="inlineStr">
        <is>
          <t>Bergvik skog väst AB</t>
        </is>
      </c>
      <c r="G305" t="n">
        <v>4.8</v>
      </c>
      <c r="H305" t="n">
        <v>0</v>
      </c>
      <c r="I305" t="n">
        <v>0</v>
      </c>
      <c r="J305" t="n">
        <v>0</v>
      </c>
      <c r="K305" t="n">
        <v>0</v>
      </c>
      <c r="L305" t="n">
        <v>0</v>
      </c>
      <c r="M305" t="n">
        <v>0</v>
      </c>
      <c r="N305" t="n">
        <v>0</v>
      </c>
      <c r="O305" t="n">
        <v>0</v>
      </c>
      <c r="P305" t="n">
        <v>0</v>
      </c>
      <c r="Q305" t="n">
        <v>0</v>
      </c>
      <c r="R305" s="2" t="inlineStr"/>
    </row>
    <row r="306" ht="15" customHeight="1">
      <c r="A306" t="inlineStr">
        <is>
          <t>A 22968-2022</t>
        </is>
      </c>
      <c r="B306" s="1" t="n">
        <v>44716</v>
      </c>
      <c r="C306" s="1" t="n">
        <v>45754</v>
      </c>
      <c r="D306" t="inlineStr">
        <is>
          <t>DALARNAS LÄN</t>
        </is>
      </c>
      <c r="E306" t="inlineStr">
        <is>
          <t>HEDEMORA</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22970-2022</t>
        </is>
      </c>
      <c r="B307" s="1" t="n">
        <v>44716</v>
      </c>
      <c r="C307" s="1" t="n">
        <v>45754</v>
      </c>
      <c r="D307" t="inlineStr">
        <is>
          <t>DALARNAS LÄN</t>
        </is>
      </c>
      <c r="E307" t="inlineStr">
        <is>
          <t>HEDEMORA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22969-2022</t>
        </is>
      </c>
      <c r="B308" s="1" t="n">
        <v>44716</v>
      </c>
      <c r="C308" s="1" t="n">
        <v>45754</v>
      </c>
      <c r="D308" t="inlineStr">
        <is>
          <t>DALARNAS LÄN</t>
        </is>
      </c>
      <c r="E308" t="inlineStr">
        <is>
          <t>HEDEMORA</t>
        </is>
      </c>
      <c r="F308" t="inlineStr">
        <is>
          <t>Sveaskog</t>
        </is>
      </c>
      <c r="G308" t="n">
        <v>9</v>
      </c>
      <c r="H308" t="n">
        <v>0</v>
      </c>
      <c r="I308" t="n">
        <v>0</v>
      </c>
      <c r="J308" t="n">
        <v>0</v>
      </c>
      <c r="K308" t="n">
        <v>0</v>
      </c>
      <c r="L308" t="n">
        <v>0</v>
      </c>
      <c r="M308" t="n">
        <v>0</v>
      </c>
      <c r="N308" t="n">
        <v>0</v>
      </c>
      <c r="O308" t="n">
        <v>0</v>
      </c>
      <c r="P308" t="n">
        <v>0</v>
      </c>
      <c r="Q308" t="n">
        <v>0</v>
      </c>
      <c r="R308" s="2" t="inlineStr"/>
    </row>
    <row r="309" ht="15" customHeight="1">
      <c r="A309" t="inlineStr">
        <is>
          <t>A 23329-2022</t>
        </is>
      </c>
      <c r="B309" s="1" t="n">
        <v>44720</v>
      </c>
      <c r="C309" s="1" t="n">
        <v>45754</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23843-2022</t>
        </is>
      </c>
      <c r="B310" s="1" t="n">
        <v>44722</v>
      </c>
      <c r="C310" s="1" t="n">
        <v>45754</v>
      </c>
      <c r="D310" t="inlineStr">
        <is>
          <t>DALARNAS LÄN</t>
        </is>
      </c>
      <c r="E310" t="inlineStr">
        <is>
          <t>HEDEMORA</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23839-2022</t>
        </is>
      </c>
      <c r="B311" s="1" t="n">
        <v>44722</v>
      </c>
      <c r="C311" s="1" t="n">
        <v>45754</v>
      </c>
      <c r="D311" t="inlineStr">
        <is>
          <t>DALARNAS LÄN</t>
        </is>
      </c>
      <c r="E311" t="inlineStr">
        <is>
          <t>HEDEMORA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24427-2022</t>
        </is>
      </c>
      <c r="B312" s="1" t="n">
        <v>44726</v>
      </c>
      <c r="C312" s="1" t="n">
        <v>45754</v>
      </c>
      <c r="D312" t="inlineStr">
        <is>
          <t>DALARNAS LÄN</t>
        </is>
      </c>
      <c r="E312" t="inlineStr">
        <is>
          <t>HEDEMORA</t>
        </is>
      </c>
      <c r="G312" t="n">
        <v>1.7</v>
      </c>
      <c r="H312" t="n">
        <v>0</v>
      </c>
      <c r="I312" t="n">
        <v>0</v>
      </c>
      <c r="J312" t="n">
        <v>0</v>
      </c>
      <c r="K312" t="n">
        <v>0</v>
      </c>
      <c r="L312" t="n">
        <v>0</v>
      </c>
      <c r="M312" t="n">
        <v>0</v>
      </c>
      <c r="N312" t="n">
        <v>0</v>
      </c>
      <c r="O312" t="n">
        <v>0</v>
      </c>
      <c r="P312" t="n">
        <v>0</v>
      </c>
      <c r="Q312" t="n">
        <v>0</v>
      </c>
      <c r="R312" s="2" t="inlineStr"/>
    </row>
    <row r="313" ht="15" customHeight="1">
      <c r="A313" t="inlineStr">
        <is>
          <t>A 24446-2022</t>
        </is>
      </c>
      <c r="B313" s="1" t="n">
        <v>44726</v>
      </c>
      <c r="C313" s="1" t="n">
        <v>45754</v>
      </c>
      <c r="D313" t="inlineStr">
        <is>
          <t>DALARNAS LÄN</t>
        </is>
      </c>
      <c r="E313" t="inlineStr">
        <is>
          <t>HEDEMORA</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24706-2022</t>
        </is>
      </c>
      <c r="B314" s="1" t="n">
        <v>44727</v>
      </c>
      <c r="C314" s="1" t="n">
        <v>45754</v>
      </c>
      <c r="D314" t="inlineStr">
        <is>
          <t>DALARNAS LÄN</t>
        </is>
      </c>
      <c r="E314" t="inlineStr">
        <is>
          <t>HEDEMORA</t>
        </is>
      </c>
      <c r="G314" t="n">
        <v>25.4</v>
      </c>
      <c r="H314" t="n">
        <v>0</v>
      </c>
      <c r="I314" t="n">
        <v>0</v>
      </c>
      <c r="J314" t="n">
        <v>0</v>
      </c>
      <c r="K314" t="n">
        <v>0</v>
      </c>
      <c r="L314" t="n">
        <v>0</v>
      </c>
      <c r="M314" t="n">
        <v>0</v>
      </c>
      <c r="N314" t="n">
        <v>0</v>
      </c>
      <c r="O314" t="n">
        <v>0</v>
      </c>
      <c r="P314" t="n">
        <v>0</v>
      </c>
      <c r="Q314" t="n">
        <v>0</v>
      </c>
      <c r="R314" s="2" t="inlineStr"/>
    </row>
    <row r="315" ht="15" customHeight="1">
      <c r="A315" t="inlineStr">
        <is>
          <t>A 25754-2022</t>
        </is>
      </c>
      <c r="B315" s="1" t="n">
        <v>44732</v>
      </c>
      <c r="C315" s="1" t="n">
        <v>45754</v>
      </c>
      <c r="D315" t="inlineStr">
        <is>
          <t>DALARNAS LÄN</t>
        </is>
      </c>
      <c r="E315" t="inlineStr">
        <is>
          <t>HEDEMORA</t>
        </is>
      </c>
      <c r="F315" t="inlineStr">
        <is>
          <t>Bergvik skog väst AB</t>
        </is>
      </c>
      <c r="G315" t="n">
        <v>4.7</v>
      </c>
      <c r="H315" t="n">
        <v>0</v>
      </c>
      <c r="I315" t="n">
        <v>0</v>
      </c>
      <c r="J315" t="n">
        <v>0</v>
      </c>
      <c r="K315" t="n">
        <v>0</v>
      </c>
      <c r="L315" t="n">
        <v>0</v>
      </c>
      <c r="M315" t="n">
        <v>0</v>
      </c>
      <c r="N315" t="n">
        <v>0</v>
      </c>
      <c r="O315" t="n">
        <v>0</v>
      </c>
      <c r="P315" t="n">
        <v>0</v>
      </c>
      <c r="Q315" t="n">
        <v>0</v>
      </c>
      <c r="R315" s="2" t="inlineStr"/>
    </row>
    <row r="316" ht="15" customHeight="1">
      <c r="A316" t="inlineStr">
        <is>
          <t>A 25567-2022</t>
        </is>
      </c>
      <c r="B316" s="1" t="n">
        <v>44732</v>
      </c>
      <c r="C316" s="1" t="n">
        <v>45754</v>
      </c>
      <c r="D316" t="inlineStr">
        <is>
          <t>DALARNAS LÄN</t>
        </is>
      </c>
      <c r="E316" t="inlineStr">
        <is>
          <t>HEDEMORA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25577-2022</t>
        </is>
      </c>
      <c r="B317" s="1" t="n">
        <v>44732</v>
      </c>
      <c r="C317" s="1" t="n">
        <v>45754</v>
      </c>
      <c r="D317" t="inlineStr">
        <is>
          <t>DALARNAS LÄN</t>
        </is>
      </c>
      <c r="E317" t="inlineStr">
        <is>
          <t>HEDEMORA</t>
        </is>
      </c>
      <c r="F317" t="inlineStr">
        <is>
          <t>Bergvik skog väst AB</t>
        </is>
      </c>
      <c r="G317" t="n">
        <v>4.7</v>
      </c>
      <c r="H317" t="n">
        <v>0</v>
      </c>
      <c r="I317" t="n">
        <v>0</v>
      </c>
      <c r="J317" t="n">
        <v>0</v>
      </c>
      <c r="K317" t="n">
        <v>0</v>
      </c>
      <c r="L317" t="n">
        <v>0</v>
      </c>
      <c r="M317" t="n">
        <v>0</v>
      </c>
      <c r="N317" t="n">
        <v>0</v>
      </c>
      <c r="O317" t="n">
        <v>0</v>
      </c>
      <c r="P317" t="n">
        <v>0</v>
      </c>
      <c r="Q317" t="n">
        <v>0</v>
      </c>
      <c r="R317" s="2" t="inlineStr"/>
    </row>
    <row r="318" ht="15" customHeight="1">
      <c r="A318" t="inlineStr">
        <is>
          <t>A 25692-2022</t>
        </is>
      </c>
      <c r="B318" s="1" t="n">
        <v>44732</v>
      </c>
      <c r="C318" s="1" t="n">
        <v>45754</v>
      </c>
      <c r="D318" t="inlineStr">
        <is>
          <t>DALARNAS LÄN</t>
        </is>
      </c>
      <c r="E318" t="inlineStr">
        <is>
          <t>HEDEMORA</t>
        </is>
      </c>
      <c r="F318" t="inlineStr">
        <is>
          <t>Bergvik skog väst AB</t>
        </is>
      </c>
      <c r="G318" t="n">
        <v>22.3</v>
      </c>
      <c r="H318" t="n">
        <v>0</v>
      </c>
      <c r="I318" t="n">
        <v>0</v>
      </c>
      <c r="J318" t="n">
        <v>0</v>
      </c>
      <c r="K318" t="n">
        <v>0</v>
      </c>
      <c r="L318" t="n">
        <v>0</v>
      </c>
      <c r="M318" t="n">
        <v>0</v>
      </c>
      <c r="N318" t="n">
        <v>0</v>
      </c>
      <c r="O318" t="n">
        <v>0</v>
      </c>
      <c r="P318" t="n">
        <v>0</v>
      </c>
      <c r="Q318" t="n">
        <v>0</v>
      </c>
      <c r="R318" s="2" t="inlineStr"/>
    </row>
    <row r="319" ht="15" customHeight="1">
      <c r="A319" t="inlineStr">
        <is>
          <t>A 25691-2022</t>
        </is>
      </c>
      <c r="B319" s="1" t="n">
        <v>44733</v>
      </c>
      <c r="C319" s="1" t="n">
        <v>45754</v>
      </c>
      <c r="D319" t="inlineStr">
        <is>
          <t>DALARNAS LÄN</t>
        </is>
      </c>
      <c r="E319" t="inlineStr">
        <is>
          <t>HEDEMORA</t>
        </is>
      </c>
      <c r="G319" t="n">
        <v>0.7</v>
      </c>
      <c r="H319" t="n">
        <v>0</v>
      </c>
      <c r="I319" t="n">
        <v>0</v>
      </c>
      <c r="J319" t="n">
        <v>0</v>
      </c>
      <c r="K319" t="n">
        <v>0</v>
      </c>
      <c r="L319" t="n">
        <v>0</v>
      </c>
      <c r="M319" t="n">
        <v>0</v>
      </c>
      <c r="N319" t="n">
        <v>0</v>
      </c>
      <c r="O319" t="n">
        <v>0</v>
      </c>
      <c r="P319" t="n">
        <v>0</v>
      </c>
      <c r="Q319" t="n">
        <v>0</v>
      </c>
      <c r="R319" s="2" t="inlineStr"/>
    </row>
    <row r="320" ht="15" customHeight="1">
      <c r="A320" t="inlineStr">
        <is>
          <t>A 27238-2022</t>
        </is>
      </c>
      <c r="B320" s="1" t="n">
        <v>44741</v>
      </c>
      <c r="C320" s="1" t="n">
        <v>45754</v>
      </c>
      <c r="D320" t="inlineStr">
        <is>
          <t>DALARNAS LÄN</t>
        </is>
      </c>
      <c r="E320" t="inlineStr">
        <is>
          <t>HEDEMORA</t>
        </is>
      </c>
      <c r="G320" t="n">
        <v>1.5</v>
      </c>
      <c r="H320" t="n">
        <v>0</v>
      </c>
      <c r="I320" t="n">
        <v>0</v>
      </c>
      <c r="J320" t="n">
        <v>0</v>
      </c>
      <c r="K320" t="n">
        <v>0</v>
      </c>
      <c r="L320" t="n">
        <v>0</v>
      </c>
      <c r="M320" t="n">
        <v>0</v>
      </c>
      <c r="N320" t="n">
        <v>0</v>
      </c>
      <c r="O320" t="n">
        <v>0</v>
      </c>
      <c r="P320" t="n">
        <v>0</v>
      </c>
      <c r="Q320" t="n">
        <v>0</v>
      </c>
      <c r="R320" s="2" t="inlineStr"/>
    </row>
    <row r="321" ht="15" customHeight="1">
      <c r="A321" t="inlineStr">
        <is>
          <t>A 28173-2022</t>
        </is>
      </c>
      <c r="B321" s="1" t="n">
        <v>44746</v>
      </c>
      <c r="C321" s="1" t="n">
        <v>45754</v>
      </c>
      <c r="D321" t="inlineStr">
        <is>
          <t>DALARNAS LÄN</t>
        </is>
      </c>
      <c r="E321" t="inlineStr">
        <is>
          <t>HEDEMORA</t>
        </is>
      </c>
      <c r="G321" t="n">
        <v>1.3</v>
      </c>
      <c r="H321" t="n">
        <v>0</v>
      </c>
      <c r="I321" t="n">
        <v>0</v>
      </c>
      <c r="J321" t="n">
        <v>0</v>
      </c>
      <c r="K321" t="n">
        <v>0</v>
      </c>
      <c r="L321" t="n">
        <v>0</v>
      </c>
      <c r="M321" t="n">
        <v>0</v>
      </c>
      <c r="N321" t="n">
        <v>0</v>
      </c>
      <c r="O321" t="n">
        <v>0</v>
      </c>
      <c r="P321" t="n">
        <v>0</v>
      </c>
      <c r="Q321" t="n">
        <v>0</v>
      </c>
      <c r="R321" s="2" t="inlineStr"/>
    </row>
    <row r="322" ht="15" customHeight="1">
      <c r="A322" t="inlineStr">
        <is>
          <t>A 28105-2022</t>
        </is>
      </c>
      <c r="B322" s="1" t="n">
        <v>44746</v>
      </c>
      <c r="C322" s="1" t="n">
        <v>45754</v>
      </c>
      <c r="D322" t="inlineStr">
        <is>
          <t>DALARNAS LÄN</t>
        </is>
      </c>
      <c r="E322" t="inlineStr">
        <is>
          <t>HEDEMORA</t>
        </is>
      </c>
      <c r="G322" t="n">
        <v>0.8</v>
      </c>
      <c r="H322" t="n">
        <v>0</v>
      </c>
      <c r="I322" t="n">
        <v>0</v>
      </c>
      <c r="J322" t="n">
        <v>0</v>
      </c>
      <c r="K322" t="n">
        <v>0</v>
      </c>
      <c r="L322" t="n">
        <v>0</v>
      </c>
      <c r="M322" t="n">
        <v>0</v>
      </c>
      <c r="N322" t="n">
        <v>0</v>
      </c>
      <c r="O322" t="n">
        <v>0</v>
      </c>
      <c r="P322" t="n">
        <v>0</v>
      </c>
      <c r="Q322" t="n">
        <v>0</v>
      </c>
      <c r="R322" s="2" t="inlineStr"/>
    </row>
    <row r="323" ht="15" customHeight="1">
      <c r="A323" t="inlineStr">
        <is>
          <t>A 29284-2022</t>
        </is>
      </c>
      <c r="B323" s="1" t="n">
        <v>44750</v>
      </c>
      <c r="C323" s="1" t="n">
        <v>45754</v>
      </c>
      <c r="D323" t="inlineStr">
        <is>
          <t>DALARNAS LÄN</t>
        </is>
      </c>
      <c r="E323" t="inlineStr">
        <is>
          <t>HEDEMORA</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29283-2022</t>
        </is>
      </c>
      <c r="B324" s="1" t="n">
        <v>44750</v>
      </c>
      <c r="C324" s="1" t="n">
        <v>45754</v>
      </c>
      <c r="D324" t="inlineStr">
        <is>
          <t>DALARNAS LÄN</t>
        </is>
      </c>
      <c r="E324" t="inlineStr">
        <is>
          <t>HEDEMORA</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30163-2022</t>
        </is>
      </c>
      <c r="B325" s="1" t="n">
        <v>44757</v>
      </c>
      <c r="C325" s="1" t="n">
        <v>45754</v>
      </c>
      <c r="D325" t="inlineStr">
        <is>
          <t>DALARNAS LÄN</t>
        </is>
      </c>
      <c r="E325" t="inlineStr">
        <is>
          <t>HEDEMORA</t>
        </is>
      </c>
      <c r="F325" t="inlineStr">
        <is>
          <t>Sveaskog</t>
        </is>
      </c>
      <c r="G325" t="n">
        <v>9.4</v>
      </c>
      <c r="H325" t="n">
        <v>0</v>
      </c>
      <c r="I325" t="n">
        <v>0</v>
      </c>
      <c r="J325" t="n">
        <v>0</v>
      </c>
      <c r="K325" t="n">
        <v>0</v>
      </c>
      <c r="L325" t="n">
        <v>0</v>
      </c>
      <c r="M325" t="n">
        <v>0</v>
      </c>
      <c r="N325" t="n">
        <v>0</v>
      </c>
      <c r="O325" t="n">
        <v>0</v>
      </c>
      <c r="P325" t="n">
        <v>0</v>
      </c>
      <c r="Q325" t="n">
        <v>0</v>
      </c>
      <c r="R325" s="2" t="inlineStr"/>
    </row>
    <row r="326" ht="15" customHeight="1">
      <c r="A326" t="inlineStr">
        <is>
          <t>A 30162-2022</t>
        </is>
      </c>
      <c r="B326" s="1" t="n">
        <v>44757</v>
      </c>
      <c r="C326" s="1" t="n">
        <v>45754</v>
      </c>
      <c r="D326" t="inlineStr">
        <is>
          <t>DALARNAS LÄN</t>
        </is>
      </c>
      <c r="E326" t="inlineStr">
        <is>
          <t>HEDEMORA</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30205-2022</t>
        </is>
      </c>
      <c r="B327" s="1" t="n">
        <v>44757</v>
      </c>
      <c r="C327" s="1" t="n">
        <v>45754</v>
      </c>
      <c r="D327" t="inlineStr">
        <is>
          <t>DALARNAS LÄN</t>
        </is>
      </c>
      <c r="E327" t="inlineStr">
        <is>
          <t>HEDEMORA</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32731-2022</t>
        </is>
      </c>
      <c r="B328" s="1" t="n">
        <v>44783</v>
      </c>
      <c r="C328" s="1" t="n">
        <v>45754</v>
      </c>
      <c r="D328" t="inlineStr">
        <is>
          <t>DALARNAS LÄN</t>
        </is>
      </c>
      <c r="E328" t="inlineStr">
        <is>
          <t>HEDEMORA</t>
        </is>
      </c>
      <c r="F328" t="inlineStr">
        <is>
          <t>Sveaskog</t>
        </is>
      </c>
      <c r="G328" t="n">
        <v>4.9</v>
      </c>
      <c r="H328" t="n">
        <v>0</v>
      </c>
      <c r="I328" t="n">
        <v>0</v>
      </c>
      <c r="J328" t="n">
        <v>0</v>
      </c>
      <c r="K328" t="n">
        <v>0</v>
      </c>
      <c r="L328" t="n">
        <v>0</v>
      </c>
      <c r="M328" t="n">
        <v>0</v>
      </c>
      <c r="N328" t="n">
        <v>0</v>
      </c>
      <c r="O328" t="n">
        <v>0</v>
      </c>
      <c r="P328" t="n">
        <v>0</v>
      </c>
      <c r="Q328" t="n">
        <v>0</v>
      </c>
      <c r="R328" s="2" t="inlineStr"/>
    </row>
    <row r="329" ht="15" customHeight="1">
      <c r="A329" t="inlineStr">
        <is>
          <t>A 32738-2022</t>
        </is>
      </c>
      <c r="B329" s="1" t="n">
        <v>44783</v>
      </c>
      <c r="C329" s="1" t="n">
        <v>45754</v>
      </c>
      <c r="D329" t="inlineStr">
        <is>
          <t>DALARNAS LÄN</t>
        </is>
      </c>
      <c r="E329" t="inlineStr">
        <is>
          <t>HEDEMORA</t>
        </is>
      </c>
      <c r="G329" t="n">
        <v>2.6</v>
      </c>
      <c r="H329" t="n">
        <v>0</v>
      </c>
      <c r="I329" t="n">
        <v>0</v>
      </c>
      <c r="J329" t="n">
        <v>0</v>
      </c>
      <c r="K329" t="n">
        <v>0</v>
      </c>
      <c r="L329" t="n">
        <v>0</v>
      </c>
      <c r="M329" t="n">
        <v>0</v>
      </c>
      <c r="N329" t="n">
        <v>0</v>
      </c>
      <c r="O329" t="n">
        <v>0</v>
      </c>
      <c r="P329" t="n">
        <v>0</v>
      </c>
      <c r="Q329" t="n">
        <v>0</v>
      </c>
      <c r="R329" s="2" t="inlineStr"/>
    </row>
    <row r="330" ht="15" customHeight="1">
      <c r="A330" t="inlineStr">
        <is>
          <t>A 32748-2022</t>
        </is>
      </c>
      <c r="B330" s="1" t="n">
        <v>44783</v>
      </c>
      <c r="C330" s="1" t="n">
        <v>45754</v>
      </c>
      <c r="D330" t="inlineStr">
        <is>
          <t>DALARNAS LÄN</t>
        </is>
      </c>
      <c r="E330" t="inlineStr">
        <is>
          <t>HEDEMORA</t>
        </is>
      </c>
      <c r="G330" t="n">
        <v>1</v>
      </c>
      <c r="H330" t="n">
        <v>0</v>
      </c>
      <c r="I330" t="n">
        <v>0</v>
      </c>
      <c r="J330" t="n">
        <v>0</v>
      </c>
      <c r="K330" t="n">
        <v>0</v>
      </c>
      <c r="L330" t="n">
        <v>0</v>
      </c>
      <c r="M330" t="n">
        <v>0</v>
      </c>
      <c r="N330" t="n">
        <v>0</v>
      </c>
      <c r="O330" t="n">
        <v>0</v>
      </c>
      <c r="P330" t="n">
        <v>0</v>
      </c>
      <c r="Q330" t="n">
        <v>0</v>
      </c>
      <c r="R330" s="2" t="inlineStr"/>
    </row>
    <row r="331" ht="15" customHeight="1">
      <c r="A331" t="inlineStr">
        <is>
          <t>A 33071-2022</t>
        </is>
      </c>
      <c r="B331" s="1" t="n">
        <v>44785</v>
      </c>
      <c r="C331" s="1" t="n">
        <v>45754</v>
      </c>
      <c r="D331" t="inlineStr">
        <is>
          <t>DALARNAS LÄN</t>
        </is>
      </c>
      <c r="E331" t="inlineStr">
        <is>
          <t>HEDEMORA</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34237-2022</t>
        </is>
      </c>
      <c r="B332" s="1" t="n">
        <v>44791</v>
      </c>
      <c r="C332" s="1" t="n">
        <v>45754</v>
      </c>
      <c r="D332" t="inlineStr">
        <is>
          <t>DALARNAS LÄN</t>
        </is>
      </c>
      <c r="E332" t="inlineStr">
        <is>
          <t>HEDEMORA</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34409-2022</t>
        </is>
      </c>
      <c r="B333" s="1" t="n">
        <v>44792</v>
      </c>
      <c r="C333" s="1" t="n">
        <v>45754</v>
      </c>
      <c r="D333" t="inlineStr">
        <is>
          <t>DALARNAS LÄN</t>
        </is>
      </c>
      <c r="E333" t="inlineStr">
        <is>
          <t>HEDEMORA</t>
        </is>
      </c>
      <c r="G333" t="n">
        <v>13.7</v>
      </c>
      <c r="H333" t="n">
        <v>0</v>
      </c>
      <c r="I333" t="n">
        <v>0</v>
      </c>
      <c r="J333" t="n">
        <v>0</v>
      </c>
      <c r="K333" t="n">
        <v>0</v>
      </c>
      <c r="L333" t="n">
        <v>0</v>
      </c>
      <c r="M333" t="n">
        <v>0</v>
      </c>
      <c r="N333" t="n">
        <v>0</v>
      </c>
      <c r="O333" t="n">
        <v>0</v>
      </c>
      <c r="P333" t="n">
        <v>0</v>
      </c>
      <c r="Q333" t="n">
        <v>0</v>
      </c>
      <c r="R333" s="2" t="inlineStr"/>
    </row>
    <row r="334" ht="15" customHeight="1">
      <c r="A334" t="inlineStr">
        <is>
          <t>A 35806-2022</t>
        </is>
      </c>
      <c r="B334" s="1" t="n">
        <v>44802</v>
      </c>
      <c r="C334" s="1" t="n">
        <v>45754</v>
      </c>
      <c r="D334" t="inlineStr">
        <is>
          <t>DALARNAS LÄN</t>
        </is>
      </c>
      <c r="E334" t="inlineStr">
        <is>
          <t>HEDEMORA</t>
        </is>
      </c>
      <c r="G334" t="n">
        <v>1.3</v>
      </c>
      <c r="H334" t="n">
        <v>0</v>
      </c>
      <c r="I334" t="n">
        <v>0</v>
      </c>
      <c r="J334" t="n">
        <v>0</v>
      </c>
      <c r="K334" t="n">
        <v>0</v>
      </c>
      <c r="L334" t="n">
        <v>0</v>
      </c>
      <c r="M334" t="n">
        <v>0</v>
      </c>
      <c r="N334" t="n">
        <v>0</v>
      </c>
      <c r="O334" t="n">
        <v>0</v>
      </c>
      <c r="P334" t="n">
        <v>0</v>
      </c>
      <c r="Q334" t="n">
        <v>0</v>
      </c>
      <c r="R334" s="2" t="inlineStr"/>
    </row>
    <row r="335" ht="15" customHeight="1">
      <c r="A335" t="inlineStr">
        <is>
          <t>A 36865-2022</t>
        </is>
      </c>
      <c r="B335" s="1" t="n">
        <v>44805</v>
      </c>
      <c r="C335" s="1" t="n">
        <v>45754</v>
      </c>
      <c r="D335" t="inlineStr">
        <is>
          <t>DALARNAS LÄN</t>
        </is>
      </c>
      <c r="E335" t="inlineStr">
        <is>
          <t>HEDEMORA</t>
        </is>
      </c>
      <c r="G335" t="n">
        <v>2.1</v>
      </c>
      <c r="H335" t="n">
        <v>0</v>
      </c>
      <c r="I335" t="n">
        <v>0</v>
      </c>
      <c r="J335" t="n">
        <v>0</v>
      </c>
      <c r="K335" t="n">
        <v>0</v>
      </c>
      <c r="L335" t="n">
        <v>0</v>
      </c>
      <c r="M335" t="n">
        <v>0</v>
      </c>
      <c r="N335" t="n">
        <v>0</v>
      </c>
      <c r="O335" t="n">
        <v>0</v>
      </c>
      <c r="P335" t="n">
        <v>0</v>
      </c>
      <c r="Q335" t="n">
        <v>0</v>
      </c>
      <c r="R335" s="2" t="inlineStr"/>
    </row>
    <row r="336" ht="15" customHeight="1">
      <c r="A336" t="inlineStr">
        <is>
          <t>A 36900-2022</t>
        </is>
      </c>
      <c r="B336" s="1" t="n">
        <v>44805</v>
      </c>
      <c r="C336" s="1" t="n">
        <v>45754</v>
      </c>
      <c r="D336" t="inlineStr">
        <is>
          <t>DALARNAS LÄN</t>
        </is>
      </c>
      <c r="E336" t="inlineStr">
        <is>
          <t>HEDEMORA</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39046-2022</t>
        </is>
      </c>
      <c r="B337" s="1" t="n">
        <v>44817</v>
      </c>
      <c r="C337" s="1" t="n">
        <v>45754</v>
      </c>
      <c r="D337" t="inlineStr">
        <is>
          <t>DALARNAS LÄN</t>
        </is>
      </c>
      <c r="E337" t="inlineStr">
        <is>
          <t>HEDEMORA</t>
        </is>
      </c>
      <c r="F337" t="inlineStr">
        <is>
          <t>Sveaskog</t>
        </is>
      </c>
      <c r="G337" t="n">
        <v>14.8</v>
      </c>
      <c r="H337" t="n">
        <v>0</v>
      </c>
      <c r="I337" t="n">
        <v>0</v>
      </c>
      <c r="J337" t="n">
        <v>0</v>
      </c>
      <c r="K337" t="n">
        <v>0</v>
      </c>
      <c r="L337" t="n">
        <v>0</v>
      </c>
      <c r="M337" t="n">
        <v>0</v>
      </c>
      <c r="N337" t="n">
        <v>0</v>
      </c>
      <c r="O337" t="n">
        <v>0</v>
      </c>
      <c r="P337" t="n">
        <v>0</v>
      </c>
      <c r="Q337" t="n">
        <v>0</v>
      </c>
      <c r="R337" s="2" t="inlineStr"/>
    </row>
    <row r="338" ht="15" customHeight="1">
      <c r="A338" t="inlineStr">
        <is>
          <t>A 39497-2022</t>
        </is>
      </c>
      <c r="B338" s="1" t="n">
        <v>44817</v>
      </c>
      <c r="C338" s="1" t="n">
        <v>45754</v>
      </c>
      <c r="D338" t="inlineStr">
        <is>
          <t>DALARNAS LÄN</t>
        </is>
      </c>
      <c r="E338" t="inlineStr">
        <is>
          <t>HEDEMORA</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39511-2022</t>
        </is>
      </c>
      <c r="B339" s="1" t="n">
        <v>44817</v>
      </c>
      <c r="C339" s="1" t="n">
        <v>45754</v>
      </c>
      <c r="D339" t="inlineStr">
        <is>
          <t>DALARNAS LÄN</t>
        </is>
      </c>
      <c r="E339" t="inlineStr">
        <is>
          <t>HEDEMORA</t>
        </is>
      </c>
      <c r="F339" t="inlineStr">
        <is>
          <t>Bergvik skog väst AB</t>
        </is>
      </c>
      <c r="G339" t="n">
        <v>3</v>
      </c>
      <c r="H339" t="n">
        <v>0</v>
      </c>
      <c r="I339" t="n">
        <v>0</v>
      </c>
      <c r="J339" t="n">
        <v>0</v>
      </c>
      <c r="K339" t="n">
        <v>0</v>
      </c>
      <c r="L339" t="n">
        <v>0</v>
      </c>
      <c r="M339" t="n">
        <v>0</v>
      </c>
      <c r="N339" t="n">
        <v>0</v>
      </c>
      <c r="O339" t="n">
        <v>0</v>
      </c>
      <c r="P339" t="n">
        <v>0</v>
      </c>
      <c r="Q339" t="n">
        <v>0</v>
      </c>
      <c r="R339" s="2" t="inlineStr"/>
    </row>
    <row r="340" ht="15" customHeight="1">
      <c r="A340" t="inlineStr">
        <is>
          <t>A 39506-2022</t>
        </is>
      </c>
      <c r="B340" s="1" t="n">
        <v>44817</v>
      </c>
      <c r="C340" s="1" t="n">
        <v>45754</v>
      </c>
      <c r="D340" t="inlineStr">
        <is>
          <t>DALARNAS LÄN</t>
        </is>
      </c>
      <c r="E340" t="inlineStr">
        <is>
          <t>HEDEMORA</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39667-2022</t>
        </is>
      </c>
      <c r="B341" s="1" t="n">
        <v>44818</v>
      </c>
      <c r="C341" s="1" t="n">
        <v>45754</v>
      </c>
      <c r="D341" t="inlineStr">
        <is>
          <t>DALARNAS LÄN</t>
        </is>
      </c>
      <c r="E341" t="inlineStr">
        <is>
          <t>HEDEMORA</t>
        </is>
      </c>
      <c r="F341" t="inlineStr">
        <is>
          <t>Sveaskog</t>
        </is>
      </c>
      <c r="G341" t="n">
        <v>20.4</v>
      </c>
      <c r="H341" t="n">
        <v>0</v>
      </c>
      <c r="I341" t="n">
        <v>0</v>
      </c>
      <c r="J341" t="n">
        <v>0</v>
      </c>
      <c r="K341" t="n">
        <v>0</v>
      </c>
      <c r="L341" t="n">
        <v>0</v>
      </c>
      <c r="M341" t="n">
        <v>0</v>
      </c>
      <c r="N341" t="n">
        <v>0</v>
      </c>
      <c r="O341" t="n">
        <v>0</v>
      </c>
      <c r="P341" t="n">
        <v>0</v>
      </c>
      <c r="Q341" t="n">
        <v>0</v>
      </c>
      <c r="R341" s="2" t="inlineStr"/>
    </row>
    <row r="342" ht="15" customHeight="1">
      <c r="A342" t="inlineStr">
        <is>
          <t>A 40030-2022</t>
        </is>
      </c>
      <c r="B342" s="1" t="n">
        <v>44820</v>
      </c>
      <c r="C342" s="1" t="n">
        <v>45754</v>
      </c>
      <c r="D342" t="inlineStr">
        <is>
          <t>DALARNAS LÄN</t>
        </is>
      </c>
      <c r="E342" t="inlineStr">
        <is>
          <t>HEDEMORA</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40025-2022</t>
        </is>
      </c>
      <c r="B343" s="1" t="n">
        <v>44820</v>
      </c>
      <c r="C343" s="1" t="n">
        <v>45754</v>
      </c>
      <c r="D343" t="inlineStr">
        <is>
          <t>DALARNAS LÄN</t>
        </is>
      </c>
      <c r="E343" t="inlineStr">
        <is>
          <t>HEDEMORA</t>
        </is>
      </c>
      <c r="F343" t="inlineStr">
        <is>
          <t>Sveaskog</t>
        </is>
      </c>
      <c r="G343" t="n">
        <v>8.4</v>
      </c>
      <c r="H343" t="n">
        <v>0</v>
      </c>
      <c r="I343" t="n">
        <v>0</v>
      </c>
      <c r="J343" t="n">
        <v>0</v>
      </c>
      <c r="K343" t="n">
        <v>0</v>
      </c>
      <c r="L343" t="n">
        <v>0</v>
      </c>
      <c r="M343" t="n">
        <v>0</v>
      </c>
      <c r="N343" t="n">
        <v>0</v>
      </c>
      <c r="O343" t="n">
        <v>0</v>
      </c>
      <c r="P343" t="n">
        <v>0</v>
      </c>
      <c r="Q343" t="n">
        <v>0</v>
      </c>
      <c r="R343" s="2" t="inlineStr"/>
    </row>
    <row r="344" ht="15" customHeight="1">
      <c r="A344" t="inlineStr">
        <is>
          <t>A 41845-2022</t>
        </is>
      </c>
      <c r="B344" s="1" t="n">
        <v>44828</v>
      </c>
      <c r="C344" s="1" t="n">
        <v>45754</v>
      </c>
      <c r="D344" t="inlineStr">
        <is>
          <t>DALARNAS LÄN</t>
        </is>
      </c>
      <c r="E344" t="inlineStr">
        <is>
          <t>HEDEMORA</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45276-2022</t>
        </is>
      </c>
      <c r="B345" s="1" t="n">
        <v>44844</v>
      </c>
      <c r="C345" s="1" t="n">
        <v>45754</v>
      </c>
      <c r="D345" t="inlineStr">
        <is>
          <t>DALARNAS LÄN</t>
        </is>
      </c>
      <c r="E345" t="inlineStr">
        <is>
          <t>HEDEMORA</t>
        </is>
      </c>
      <c r="F345" t="inlineStr">
        <is>
          <t>Sveaskog</t>
        </is>
      </c>
      <c r="G345" t="n">
        <v>13.7</v>
      </c>
      <c r="H345" t="n">
        <v>0</v>
      </c>
      <c r="I345" t="n">
        <v>0</v>
      </c>
      <c r="J345" t="n">
        <v>0</v>
      </c>
      <c r="K345" t="n">
        <v>0</v>
      </c>
      <c r="L345" t="n">
        <v>0</v>
      </c>
      <c r="M345" t="n">
        <v>0</v>
      </c>
      <c r="N345" t="n">
        <v>0</v>
      </c>
      <c r="O345" t="n">
        <v>0</v>
      </c>
      <c r="P345" t="n">
        <v>0</v>
      </c>
      <c r="Q345" t="n">
        <v>0</v>
      </c>
      <c r="R345" s="2" t="inlineStr"/>
    </row>
    <row r="346" ht="15" customHeight="1">
      <c r="A346" t="inlineStr">
        <is>
          <t>A 45741-2022</t>
        </is>
      </c>
      <c r="B346" s="1" t="n">
        <v>44846</v>
      </c>
      <c r="C346" s="1" t="n">
        <v>45754</v>
      </c>
      <c r="D346" t="inlineStr">
        <is>
          <t>DALARNAS LÄN</t>
        </is>
      </c>
      <c r="E346" t="inlineStr">
        <is>
          <t>HEDEMORA</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48639-2022</t>
        </is>
      </c>
      <c r="B347" s="1" t="n">
        <v>44859</v>
      </c>
      <c r="C347" s="1" t="n">
        <v>45754</v>
      </c>
      <c r="D347" t="inlineStr">
        <is>
          <t>DALARNAS LÄN</t>
        </is>
      </c>
      <c r="E347" t="inlineStr">
        <is>
          <t>HEDEMORA</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49160-2022</t>
        </is>
      </c>
      <c r="B348" s="1" t="n">
        <v>44860</v>
      </c>
      <c r="C348" s="1" t="n">
        <v>45754</v>
      </c>
      <c r="D348" t="inlineStr">
        <is>
          <t>DALARNAS LÄN</t>
        </is>
      </c>
      <c r="E348" t="inlineStr">
        <is>
          <t>HEDEMORA</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49768-2022</t>
        </is>
      </c>
      <c r="B349" s="1" t="n">
        <v>44862</v>
      </c>
      <c r="C349" s="1" t="n">
        <v>45754</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49890-2022</t>
        </is>
      </c>
      <c r="B350" s="1" t="n">
        <v>44864</v>
      </c>
      <c r="C350" s="1" t="n">
        <v>45754</v>
      </c>
      <c r="D350" t="inlineStr">
        <is>
          <t>DALARNAS LÄN</t>
        </is>
      </c>
      <c r="E350" t="inlineStr">
        <is>
          <t>HEDEMORA</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51181-2022</t>
        </is>
      </c>
      <c r="B351" s="1" t="n">
        <v>44868</v>
      </c>
      <c r="C351" s="1" t="n">
        <v>45754</v>
      </c>
      <c r="D351" t="inlineStr">
        <is>
          <t>DALARNAS LÄN</t>
        </is>
      </c>
      <c r="E351" t="inlineStr">
        <is>
          <t>HEDEMORA</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51167-2022</t>
        </is>
      </c>
      <c r="B352" s="1" t="n">
        <v>44868</v>
      </c>
      <c r="C352" s="1" t="n">
        <v>45754</v>
      </c>
      <c r="D352" t="inlineStr">
        <is>
          <t>DALARNAS LÄN</t>
        </is>
      </c>
      <c r="E352" t="inlineStr">
        <is>
          <t>HEDEMORA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51520-2022</t>
        </is>
      </c>
      <c r="B353" s="1" t="n">
        <v>44869</v>
      </c>
      <c r="C353" s="1" t="n">
        <v>45754</v>
      </c>
      <c r="D353" t="inlineStr">
        <is>
          <t>DALARNAS LÄN</t>
        </is>
      </c>
      <c r="E353" t="inlineStr">
        <is>
          <t>HEDEMORA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52822-2022</t>
        </is>
      </c>
      <c r="B354" s="1" t="n">
        <v>44875</v>
      </c>
      <c r="C354" s="1" t="n">
        <v>45754</v>
      </c>
      <c r="D354" t="inlineStr">
        <is>
          <t>DALARNAS LÄN</t>
        </is>
      </c>
      <c r="E354" t="inlineStr">
        <is>
          <t>HEDEMORA</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53875-2022</t>
        </is>
      </c>
      <c r="B355" s="1" t="n">
        <v>44880</v>
      </c>
      <c r="C355" s="1" t="n">
        <v>45754</v>
      </c>
      <c r="D355" t="inlineStr">
        <is>
          <t>DALARNAS LÄN</t>
        </is>
      </c>
      <c r="E355" t="inlineStr">
        <is>
          <t>HEDEMORA</t>
        </is>
      </c>
      <c r="F355" t="inlineStr">
        <is>
          <t>Bergvik skog väst AB</t>
        </is>
      </c>
      <c r="G355" t="n">
        <v>6.8</v>
      </c>
      <c r="H355" t="n">
        <v>0</v>
      </c>
      <c r="I355" t="n">
        <v>0</v>
      </c>
      <c r="J355" t="n">
        <v>0</v>
      </c>
      <c r="K355" t="n">
        <v>0</v>
      </c>
      <c r="L355" t="n">
        <v>0</v>
      </c>
      <c r="M355" t="n">
        <v>0</v>
      </c>
      <c r="N355" t="n">
        <v>0</v>
      </c>
      <c r="O355" t="n">
        <v>0</v>
      </c>
      <c r="P355" t="n">
        <v>0</v>
      </c>
      <c r="Q355" t="n">
        <v>0</v>
      </c>
      <c r="R355" s="2" t="inlineStr"/>
    </row>
    <row r="356" ht="15" customHeight="1">
      <c r="A356" t="inlineStr">
        <is>
          <t>A 53894-2022</t>
        </is>
      </c>
      <c r="B356" s="1" t="n">
        <v>44880</v>
      </c>
      <c r="C356" s="1" t="n">
        <v>45754</v>
      </c>
      <c r="D356" t="inlineStr">
        <is>
          <t>DALARNAS LÄN</t>
        </is>
      </c>
      <c r="E356" t="inlineStr">
        <is>
          <t>HEDEMORA</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53896-2022</t>
        </is>
      </c>
      <c r="B357" s="1" t="n">
        <v>44880</v>
      </c>
      <c r="C357" s="1" t="n">
        <v>45754</v>
      </c>
      <c r="D357" t="inlineStr">
        <is>
          <t>DALARNAS LÄN</t>
        </is>
      </c>
      <c r="E357" t="inlineStr">
        <is>
          <t>HEDEMORA</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53895-2022</t>
        </is>
      </c>
      <c r="B358" s="1" t="n">
        <v>44880</v>
      </c>
      <c r="C358" s="1" t="n">
        <v>45754</v>
      </c>
      <c r="D358" t="inlineStr">
        <is>
          <t>DALARNAS LÄN</t>
        </is>
      </c>
      <c r="E358" t="inlineStr">
        <is>
          <t>HEDEMORA</t>
        </is>
      </c>
      <c r="F358" t="inlineStr">
        <is>
          <t>Sveaskog</t>
        </is>
      </c>
      <c r="G358" t="n">
        <v>4.6</v>
      </c>
      <c r="H358" t="n">
        <v>0</v>
      </c>
      <c r="I358" t="n">
        <v>0</v>
      </c>
      <c r="J358" t="n">
        <v>0</v>
      </c>
      <c r="K358" t="n">
        <v>0</v>
      </c>
      <c r="L358" t="n">
        <v>0</v>
      </c>
      <c r="M358" t="n">
        <v>0</v>
      </c>
      <c r="N358" t="n">
        <v>0</v>
      </c>
      <c r="O358" t="n">
        <v>0</v>
      </c>
      <c r="P358" t="n">
        <v>0</v>
      </c>
      <c r="Q358" t="n">
        <v>0</v>
      </c>
      <c r="R358" s="2" t="inlineStr"/>
    </row>
    <row r="359" ht="15" customHeight="1">
      <c r="A359" t="inlineStr">
        <is>
          <t>A 54198-2022</t>
        </is>
      </c>
      <c r="B359" s="1" t="n">
        <v>44881</v>
      </c>
      <c r="C359" s="1" t="n">
        <v>45754</v>
      </c>
      <c r="D359" t="inlineStr">
        <is>
          <t>DALARNAS LÄN</t>
        </is>
      </c>
      <c r="E359" t="inlineStr">
        <is>
          <t>HEDEMORA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55143-2022</t>
        </is>
      </c>
      <c r="B360" s="1" t="n">
        <v>44886</v>
      </c>
      <c r="C360" s="1" t="n">
        <v>45754</v>
      </c>
      <c r="D360" t="inlineStr">
        <is>
          <t>DALARNAS LÄN</t>
        </is>
      </c>
      <c r="E360" t="inlineStr">
        <is>
          <t>HEDEMORA</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55145-2022</t>
        </is>
      </c>
      <c r="B361" s="1" t="n">
        <v>44886</v>
      </c>
      <c r="C361" s="1" t="n">
        <v>45754</v>
      </c>
      <c r="D361" t="inlineStr">
        <is>
          <t>DALARNAS LÄN</t>
        </is>
      </c>
      <c r="E361" t="inlineStr">
        <is>
          <t>HEDEMORA</t>
        </is>
      </c>
      <c r="F361" t="inlineStr">
        <is>
          <t>Sveaskog</t>
        </is>
      </c>
      <c r="G361" t="n">
        <v>6.5</v>
      </c>
      <c r="H361" t="n">
        <v>0</v>
      </c>
      <c r="I361" t="n">
        <v>0</v>
      </c>
      <c r="J361" t="n">
        <v>0</v>
      </c>
      <c r="K361" t="n">
        <v>0</v>
      </c>
      <c r="L361" t="n">
        <v>0</v>
      </c>
      <c r="M361" t="n">
        <v>0</v>
      </c>
      <c r="N361" t="n">
        <v>0</v>
      </c>
      <c r="O361" t="n">
        <v>0</v>
      </c>
      <c r="P361" t="n">
        <v>0</v>
      </c>
      <c r="Q361" t="n">
        <v>0</v>
      </c>
      <c r="R361" s="2" t="inlineStr"/>
    </row>
    <row r="362" ht="15" customHeight="1">
      <c r="A362" t="inlineStr">
        <is>
          <t>A 55142-2022</t>
        </is>
      </c>
      <c r="B362" s="1" t="n">
        <v>44886</v>
      </c>
      <c r="C362" s="1" t="n">
        <v>45754</v>
      </c>
      <c r="D362" t="inlineStr">
        <is>
          <t>DALARNAS LÄN</t>
        </is>
      </c>
      <c r="E362" t="inlineStr">
        <is>
          <t>HEDEMORA</t>
        </is>
      </c>
      <c r="F362" t="inlineStr">
        <is>
          <t>Sveaskog</t>
        </is>
      </c>
      <c r="G362" t="n">
        <v>6.4</v>
      </c>
      <c r="H362" t="n">
        <v>0</v>
      </c>
      <c r="I362" t="n">
        <v>0</v>
      </c>
      <c r="J362" t="n">
        <v>0</v>
      </c>
      <c r="K362" t="n">
        <v>0</v>
      </c>
      <c r="L362" t="n">
        <v>0</v>
      </c>
      <c r="M362" t="n">
        <v>0</v>
      </c>
      <c r="N362" t="n">
        <v>0</v>
      </c>
      <c r="O362" t="n">
        <v>0</v>
      </c>
      <c r="P362" t="n">
        <v>0</v>
      </c>
      <c r="Q362" t="n">
        <v>0</v>
      </c>
      <c r="R362" s="2" t="inlineStr"/>
    </row>
    <row r="363" ht="15" customHeight="1">
      <c r="A363" t="inlineStr">
        <is>
          <t>A 57143-2022</t>
        </is>
      </c>
      <c r="B363" s="1" t="n">
        <v>44895</v>
      </c>
      <c r="C363" s="1" t="n">
        <v>45754</v>
      </c>
      <c r="D363" t="inlineStr">
        <is>
          <t>DALARNAS LÄN</t>
        </is>
      </c>
      <c r="E363" t="inlineStr">
        <is>
          <t>HEDEMORA</t>
        </is>
      </c>
      <c r="F363" t="inlineStr">
        <is>
          <t>Bergvik skog väst AB</t>
        </is>
      </c>
      <c r="G363" t="n">
        <v>9.9</v>
      </c>
      <c r="H363" t="n">
        <v>0</v>
      </c>
      <c r="I363" t="n">
        <v>0</v>
      </c>
      <c r="J363" t="n">
        <v>0</v>
      </c>
      <c r="K363" t="n">
        <v>0</v>
      </c>
      <c r="L363" t="n">
        <v>0</v>
      </c>
      <c r="M363" t="n">
        <v>0</v>
      </c>
      <c r="N363" t="n">
        <v>0</v>
      </c>
      <c r="O363" t="n">
        <v>0</v>
      </c>
      <c r="P363" t="n">
        <v>0</v>
      </c>
      <c r="Q363" t="n">
        <v>0</v>
      </c>
      <c r="R363" s="2" t="inlineStr"/>
    </row>
    <row r="364" ht="15" customHeight="1">
      <c r="A364" t="inlineStr">
        <is>
          <t>A 58005-2022</t>
        </is>
      </c>
      <c r="B364" s="1" t="n">
        <v>44900</v>
      </c>
      <c r="C364" s="1" t="n">
        <v>45754</v>
      </c>
      <c r="D364" t="inlineStr">
        <is>
          <t>DALARNAS LÄN</t>
        </is>
      </c>
      <c r="E364" t="inlineStr">
        <is>
          <t>HEDEMORA</t>
        </is>
      </c>
      <c r="G364" t="n">
        <v>2.2</v>
      </c>
      <c r="H364" t="n">
        <v>0</v>
      </c>
      <c r="I364" t="n">
        <v>0</v>
      </c>
      <c r="J364" t="n">
        <v>0</v>
      </c>
      <c r="K364" t="n">
        <v>0</v>
      </c>
      <c r="L364" t="n">
        <v>0</v>
      </c>
      <c r="M364" t="n">
        <v>0</v>
      </c>
      <c r="N364" t="n">
        <v>0</v>
      </c>
      <c r="O364" t="n">
        <v>0</v>
      </c>
      <c r="P364" t="n">
        <v>0</v>
      </c>
      <c r="Q364" t="n">
        <v>0</v>
      </c>
      <c r="R364" s="2" t="inlineStr"/>
    </row>
    <row r="365" ht="15" customHeight="1">
      <c r="A365" t="inlineStr">
        <is>
          <t>A 58018-2022</t>
        </is>
      </c>
      <c r="B365" s="1" t="n">
        <v>44900</v>
      </c>
      <c r="C365" s="1" t="n">
        <v>45754</v>
      </c>
      <c r="D365" t="inlineStr">
        <is>
          <t>DALARNAS LÄN</t>
        </is>
      </c>
      <c r="E365" t="inlineStr">
        <is>
          <t>HEDEMORA</t>
        </is>
      </c>
      <c r="G365" t="n">
        <v>3.6</v>
      </c>
      <c r="H365" t="n">
        <v>0</v>
      </c>
      <c r="I365" t="n">
        <v>0</v>
      </c>
      <c r="J365" t="n">
        <v>0</v>
      </c>
      <c r="K365" t="n">
        <v>0</v>
      </c>
      <c r="L365" t="n">
        <v>0</v>
      </c>
      <c r="M365" t="n">
        <v>0</v>
      </c>
      <c r="N365" t="n">
        <v>0</v>
      </c>
      <c r="O365" t="n">
        <v>0</v>
      </c>
      <c r="P365" t="n">
        <v>0</v>
      </c>
      <c r="Q365" t="n">
        <v>0</v>
      </c>
      <c r="R365" s="2" t="inlineStr"/>
    </row>
    <row r="366" ht="15" customHeight="1">
      <c r="A366" t="inlineStr">
        <is>
          <t>A 59088-2022</t>
        </is>
      </c>
      <c r="B366" s="1" t="n">
        <v>44904</v>
      </c>
      <c r="C366" s="1" t="n">
        <v>45754</v>
      </c>
      <c r="D366" t="inlineStr">
        <is>
          <t>DALARNAS LÄN</t>
        </is>
      </c>
      <c r="E366" t="inlineStr">
        <is>
          <t>HEDEMORA</t>
        </is>
      </c>
      <c r="G366" t="n">
        <v>2.2</v>
      </c>
      <c r="H366" t="n">
        <v>0</v>
      </c>
      <c r="I366" t="n">
        <v>0</v>
      </c>
      <c r="J366" t="n">
        <v>0</v>
      </c>
      <c r="K366" t="n">
        <v>0</v>
      </c>
      <c r="L366" t="n">
        <v>0</v>
      </c>
      <c r="M366" t="n">
        <v>0</v>
      </c>
      <c r="N366" t="n">
        <v>0</v>
      </c>
      <c r="O366" t="n">
        <v>0</v>
      </c>
      <c r="P366" t="n">
        <v>0</v>
      </c>
      <c r="Q366" t="n">
        <v>0</v>
      </c>
      <c r="R366" s="2" t="inlineStr"/>
    </row>
    <row r="367" ht="15" customHeight="1">
      <c r="A367" t="inlineStr">
        <is>
          <t>A 59280-2022</t>
        </is>
      </c>
      <c r="B367" s="1" t="n">
        <v>44904</v>
      </c>
      <c r="C367" s="1" t="n">
        <v>45754</v>
      </c>
      <c r="D367" t="inlineStr">
        <is>
          <t>DALARNAS LÄN</t>
        </is>
      </c>
      <c r="E367" t="inlineStr">
        <is>
          <t>HEDEMORA</t>
        </is>
      </c>
      <c r="G367" t="n">
        <v>1.3</v>
      </c>
      <c r="H367" t="n">
        <v>0</v>
      </c>
      <c r="I367" t="n">
        <v>0</v>
      </c>
      <c r="J367" t="n">
        <v>0</v>
      </c>
      <c r="K367" t="n">
        <v>0</v>
      </c>
      <c r="L367" t="n">
        <v>0</v>
      </c>
      <c r="M367" t="n">
        <v>0</v>
      </c>
      <c r="N367" t="n">
        <v>0</v>
      </c>
      <c r="O367" t="n">
        <v>0</v>
      </c>
      <c r="P367" t="n">
        <v>0</v>
      </c>
      <c r="Q367" t="n">
        <v>0</v>
      </c>
      <c r="R367" s="2" t="inlineStr"/>
    </row>
    <row r="368" ht="15" customHeight="1">
      <c r="A368" t="inlineStr">
        <is>
          <t>A 60077-2022</t>
        </is>
      </c>
      <c r="B368" s="1" t="n">
        <v>44909</v>
      </c>
      <c r="C368" s="1" t="n">
        <v>45754</v>
      </c>
      <c r="D368" t="inlineStr">
        <is>
          <t>DALARNAS LÄN</t>
        </is>
      </c>
      <c r="E368" t="inlineStr">
        <is>
          <t>HEDEMORA</t>
        </is>
      </c>
      <c r="G368" t="n">
        <v>1.8</v>
      </c>
      <c r="H368" t="n">
        <v>0</v>
      </c>
      <c r="I368" t="n">
        <v>0</v>
      </c>
      <c r="J368" t="n">
        <v>0</v>
      </c>
      <c r="K368" t="n">
        <v>0</v>
      </c>
      <c r="L368" t="n">
        <v>0</v>
      </c>
      <c r="M368" t="n">
        <v>0</v>
      </c>
      <c r="N368" t="n">
        <v>0</v>
      </c>
      <c r="O368" t="n">
        <v>0</v>
      </c>
      <c r="P368" t="n">
        <v>0</v>
      </c>
      <c r="Q368" t="n">
        <v>0</v>
      </c>
      <c r="R368" s="2" t="inlineStr"/>
    </row>
    <row r="369" ht="15" customHeight="1">
      <c r="A369" t="inlineStr">
        <is>
          <t>A 60078-2022</t>
        </is>
      </c>
      <c r="B369" s="1" t="n">
        <v>44909</v>
      </c>
      <c r="C369" s="1" t="n">
        <v>45754</v>
      </c>
      <c r="D369" t="inlineStr">
        <is>
          <t>DALARNAS LÄN</t>
        </is>
      </c>
      <c r="E369" t="inlineStr">
        <is>
          <t>HEDEMORA</t>
        </is>
      </c>
      <c r="G369" t="n">
        <v>0.5</v>
      </c>
      <c r="H369" t="n">
        <v>0</v>
      </c>
      <c r="I369" t="n">
        <v>0</v>
      </c>
      <c r="J369" t="n">
        <v>0</v>
      </c>
      <c r="K369" t="n">
        <v>0</v>
      </c>
      <c r="L369" t="n">
        <v>0</v>
      </c>
      <c r="M369" t="n">
        <v>0</v>
      </c>
      <c r="N369" t="n">
        <v>0</v>
      </c>
      <c r="O369" t="n">
        <v>0</v>
      </c>
      <c r="P369" t="n">
        <v>0</v>
      </c>
      <c r="Q369" t="n">
        <v>0</v>
      </c>
      <c r="R369" s="2" t="inlineStr"/>
    </row>
    <row r="370" ht="15" customHeight="1">
      <c r="A370" t="inlineStr">
        <is>
          <t>A 60475-2022</t>
        </is>
      </c>
      <c r="B370" s="1" t="n">
        <v>44911</v>
      </c>
      <c r="C370" s="1" t="n">
        <v>45754</v>
      </c>
      <c r="D370" t="inlineStr">
        <is>
          <t>DALARNAS LÄN</t>
        </is>
      </c>
      <c r="E370" t="inlineStr">
        <is>
          <t>HEDEMORA</t>
        </is>
      </c>
      <c r="G370" t="n">
        <v>1</v>
      </c>
      <c r="H370" t="n">
        <v>0</v>
      </c>
      <c r="I370" t="n">
        <v>0</v>
      </c>
      <c r="J370" t="n">
        <v>0</v>
      </c>
      <c r="K370" t="n">
        <v>0</v>
      </c>
      <c r="L370" t="n">
        <v>0</v>
      </c>
      <c r="M370" t="n">
        <v>0</v>
      </c>
      <c r="N370" t="n">
        <v>0</v>
      </c>
      <c r="O370" t="n">
        <v>0</v>
      </c>
      <c r="P370" t="n">
        <v>0</v>
      </c>
      <c r="Q370" t="n">
        <v>0</v>
      </c>
      <c r="R370" s="2" t="inlineStr"/>
    </row>
    <row r="371" ht="15" customHeight="1">
      <c r="A371" t="inlineStr">
        <is>
          <t>A 60774-2022</t>
        </is>
      </c>
      <c r="B371" s="1" t="n">
        <v>44914</v>
      </c>
      <c r="C371" s="1" t="n">
        <v>45754</v>
      </c>
      <c r="D371" t="inlineStr">
        <is>
          <t>DALARNAS LÄN</t>
        </is>
      </c>
      <c r="E371" t="inlineStr">
        <is>
          <t>HEDEMORA</t>
        </is>
      </c>
      <c r="G371" t="n">
        <v>11.5</v>
      </c>
      <c r="H371" t="n">
        <v>0</v>
      </c>
      <c r="I371" t="n">
        <v>0</v>
      </c>
      <c r="J371" t="n">
        <v>0</v>
      </c>
      <c r="K371" t="n">
        <v>0</v>
      </c>
      <c r="L371" t="n">
        <v>0</v>
      </c>
      <c r="M371" t="n">
        <v>0</v>
      </c>
      <c r="N371" t="n">
        <v>0</v>
      </c>
      <c r="O371" t="n">
        <v>0</v>
      </c>
      <c r="P371" t="n">
        <v>0</v>
      </c>
      <c r="Q371" t="n">
        <v>0</v>
      </c>
      <c r="R371" s="2" t="inlineStr"/>
    </row>
    <row r="372" ht="15" customHeight="1">
      <c r="A372" t="inlineStr">
        <is>
          <t>A 61849-2022</t>
        </is>
      </c>
      <c r="B372" s="1" t="n">
        <v>44917</v>
      </c>
      <c r="C372" s="1" t="n">
        <v>45754</v>
      </c>
      <c r="D372" t="inlineStr">
        <is>
          <t>DALARNAS LÄN</t>
        </is>
      </c>
      <c r="E372" t="inlineStr">
        <is>
          <t>HEDEMORA</t>
        </is>
      </c>
      <c r="G372" t="n">
        <v>1.9</v>
      </c>
      <c r="H372" t="n">
        <v>0</v>
      </c>
      <c r="I372" t="n">
        <v>0</v>
      </c>
      <c r="J372" t="n">
        <v>0</v>
      </c>
      <c r="K372" t="n">
        <v>0</v>
      </c>
      <c r="L372" t="n">
        <v>0</v>
      </c>
      <c r="M372" t="n">
        <v>0</v>
      </c>
      <c r="N372" t="n">
        <v>0</v>
      </c>
      <c r="O372" t="n">
        <v>0</v>
      </c>
      <c r="P372" t="n">
        <v>0</v>
      </c>
      <c r="Q372" t="n">
        <v>0</v>
      </c>
      <c r="R372" s="2" t="inlineStr"/>
    </row>
    <row r="373" ht="15" customHeight="1">
      <c r="A373" t="inlineStr">
        <is>
          <t>A 61883-2022</t>
        </is>
      </c>
      <c r="B373" s="1" t="n">
        <v>44917</v>
      </c>
      <c r="C373" s="1" t="n">
        <v>45754</v>
      </c>
      <c r="D373" t="inlineStr">
        <is>
          <t>DALARNAS LÄN</t>
        </is>
      </c>
      <c r="E373" t="inlineStr">
        <is>
          <t>HEDEMORA</t>
        </is>
      </c>
      <c r="G373" t="n">
        <v>2.3</v>
      </c>
      <c r="H373" t="n">
        <v>0</v>
      </c>
      <c r="I373" t="n">
        <v>0</v>
      </c>
      <c r="J373" t="n">
        <v>0</v>
      </c>
      <c r="K373" t="n">
        <v>0</v>
      </c>
      <c r="L373" t="n">
        <v>0</v>
      </c>
      <c r="M373" t="n">
        <v>0</v>
      </c>
      <c r="N373" t="n">
        <v>0</v>
      </c>
      <c r="O373" t="n">
        <v>0</v>
      </c>
      <c r="P373" t="n">
        <v>0</v>
      </c>
      <c r="Q373" t="n">
        <v>0</v>
      </c>
      <c r="R373" s="2" t="inlineStr"/>
    </row>
    <row r="374" ht="15" customHeight="1">
      <c r="A374" t="inlineStr">
        <is>
          <t>A 61886-2022</t>
        </is>
      </c>
      <c r="B374" s="1" t="n">
        <v>44917</v>
      </c>
      <c r="C374" s="1" t="n">
        <v>45754</v>
      </c>
      <c r="D374" t="inlineStr">
        <is>
          <t>DALARNAS LÄN</t>
        </is>
      </c>
      <c r="E374" t="inlineStr">
        <is>
          <t>HEDEMORA</t>
        </is>
      </c>
      <c r="G374" t="n">
        <v>1.9</v>
      </c>
      <c r="H374" t="n">
        <v>0</v>
      </c>
      <c r="I374" t="n">
        <v>0</v>
      </c>
      <c r="J374" t="n">
        <v>0</v>
      </c>
      <c r="K374" t="n">
        <v>0</v>
      </c>
      <c r="L374" t="n">
        <v>0</v>
      </c>
      <c r="M374" t="n">
        <v>0</v>
      </c>
      <c r="N374" t="n">
        <v>0</v>
      </c>
      <c r="O374" t="n">
        <v>0</v>
      </c>
      <c r="P374" t="n">
        <v>0</v>
      </c>
      <c r="Q374" t="n">
        <v>0</v>
      </c>
      <c r="R374" s="2" t="inlineStr"/>
    </row>
    <row r="375" ht="15" customHeight="1">
      <c r="A375" t="inlineStr">
        <is>
          <t>A 62051-2022</t>
        </is>
      </c>
      <c r="B375" s="1" t="n">
        <v>44918</v>
      </c>
      <c r="C375" s="1" t="n">
        <v>45754</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62046-2022</t>
        </is>
      </c>
      <c r="B376" s="1" t="n">
        <v>44918</v>
      </c>
      <c r="C376" s="1" t="n">
        <v>45754</v>
      </c>
      <c r="D376" t="inlineStr">
        <is>
          <t>DALARNAS LÄN</t>
        </is>
      </c>
      <c r="E376" t="inlineStr">
        <is>
          <t>HEDEMORA</t>
        </is>
      </c>
      <c r="G376" t="n">
        <v>1.2</v>
      </c>
      <c r="H376" t="n">
        <v>0</v>
      </c>
      <c r="I376" t="n">
        <v>0</v>
      </c>
      <c r="J376" t="n">
        <v>0</v>
      </c>
      <c r="K376" t="n">
        <v>0</v>
      </c>
      <c r="L376" t="n">
        <v>0</v>
      </c>
      <c r="M376" t="n">
        <v>0</v>
      </c>
      <c r="N376" t="n">
        <v>0</v>
      </c>
      <c r="O376" t="n">
        <v>0</v>
      </c>
      <c r="P376" t="n">
        <v>0</v>
      </c>
      <c r="Q376" t="n">
        <v>0</v>
      </c>
      <c r="R376" s="2" t="inlineStr"/>
    </row>
    <row r="377" ht="15" customHeight="1">
      <c r="A377" t="inlineStr">
        <is>
          <t>A 566-2023</t>
        </is>
      </c>
      <c r="B377" s="1" t="n">
        <v>44925</v>
      </c>
      <c r="C377" s="1" t="n">
        <v>45754</v>
      </c>
      <c r="D377" t="inlineStr">
        <is>
          <t>DALARNAS LÄN</t>
        </is>
      </c>
      <c r="E377" t="inlineStr">
        <is>
          <t>HEDEMORA</t>
        </is>
      </c>
      <c r="G377" t="n">
        <v>13.7</v>
      </c>
      <c r="H377" t="n">
        <v>0</v>
      </c>
      <c r="I377" t="n">
        <v>0</v>
      </c>
      <c r="J377" t="n">
        <v>0</v>
      </c>
      <c r="K377" t="n">
        <v>0</v>
      </c>
      <c r="L377" t="n">
        <v>0</v>
      </c>
      <c r="M377" t="n">
        <v>0</v>
      </c>
      <c r="N377" t="n">
        <v>0</v>
      </c>
      <c r="O377" t="n">
        <v>0</v>
      </c>
      <c r="P377" t="n">
        <v>0</v>
      </c>
      <c r="Q377" t="n">
        <v>0</v>
      </c>
      <c r="R377" s="2" t="inlineStr"/>
    </row>
    <row r="378" ht="15" customHeight="1">
      <c r="A378" t="inlineStr">
        <is>
          <t>A 1140-2023</t>
        </is>
      </c>
      <c r="B378" s="1" t="n">
        <v>44935</v>
      </c>
      <c r="C378" s="1" t="n">
        <v>45754</v>
      </c>
      <c r="D378" t="inlineStr">
        <is>
          <t>DALARNAS LÄN</t>
        </is>
      </c>
      <c r="E378" t="inlineStr">
        <is>
          <t>HEDEMORA</t>
        </is>
      </c>
      <c r="G378" t="n">
        <v>3.5</v>
      </c>
      <c r="H378" t="n">
        <v>0</v>
      </c>
      <c r="I378" t="n">
        <v>0</v>
      </c>
      <c r="J378" t="n">
        <v>0</v>
      </c>
      <c r="K378" t="n">
        <v>0</v>
      </c>
      <c r="L378" t="n">
        <v>0</v>
      </c>
      <c r="M378" t="n">
        <v>0</v>
      </c>
      <c r="N378" t="n">
        <v>0</v>
      </c>
      <c r="O378" t="n">
        <v>0</v>
      </c>
      <c r="P378" t="n">
        <v>0</v>
      </c>
      <c r="Q378" t="n">
        <v>0</v>
      </c>
      <c r="R378" s="2" t="inlineStr"/>
    </row>
    <row r="379" ht="15" customHeight="1">
      <c r="A379" t="inlineStr">
        <is>
          <t>A 2996-2023</t>
        </is>
      </c>
      <c r="B379" s="1" t="n">
        <v>44945</v>
      </c>
      <c r="C379" s="1" t="n">
        <v>45754</v>
      </c>
      <c r="D379" t="inlineStr">
        <is>
          <t>DALARNAS LÄN</t>
        </is>
      </c>
      <c r="E379" t="inlineStr">
        <is>
          <t>HEDEMORA</t>
        </is>
      </c>
      <c r="G379" t="n">
        <v>2.1</v>
      </c>
      <c r="H379" t="n">
        <v>0</v>
      </c>
      <c r="I379" t="n">
        <v>0</v>
      </c>
      <c r="J379" t="n">
        <v>0</v>
      </c>
      <c r="K379" t="n">
        <v>0</v>
      </c>
      <c r="L379" t="n">
        <v>0</v>
      </c>
      <c r="M379" t="n">
        <v>0</v>
      </c>
      <c r="N379" t="n">
        <v>0</v>
      </c>
      <c r="O379" t="n">
        <v>0</v>
      </c>
      <c r="P379" t="n">
        <v>0</v>
      </c>
      <c r="Q379" t="n">
        <v>0</v>
      </c>
      <c r="R379" s="2" t="inlineStr"/>
    </row>
    <row r="380" ht="15" customHeight="1">
      <c r="A380" t="inlineStr">
        <is>
          <t>A 5010-2023</t>
        </is>
      </c>
      <c r="B380" s="1" t="n">
        <v>44956</v>
      </c>
      <c r="C380" s="1" t="n">
        <v>45754</v>
      </c>
      <c r="D380" t="inlineStr">
        <is>
          <t>DALARNAS LÄN</t>
        </is>
      </c>
      <c r="E380" t="inlineStr">
        <is>
          <t>HEDEMORA</t>
        </is>
      </c>
      <c r="F380" t="inlineStr">
        <is>
          <t>Bergvik skog väst AB</t>
        </is>
      </c>
      <c r="G380" t="n">
        <v>5</v>
      </c>
      <c r="H380" t="n">
        <v>0</v>
      </c>
      <c r="I380" t="n">
        <v>0</v>
      </c>
      <c r="J380" t="n">
        <v>0</v>
      </c>
      <c r="K380" t="n">
        <v>0</v>
      </c>
      <c r="L380" t="n">
        <v>0</v>
      </c>
      <c r="M380" t="n">
        <v>0</v>
      </c>
      <c r="N380" t="n">
        <v>0</v>
      </c>
      <c r="O380" t="n">
        <v>0</v>
      </c>
      <c r="P380" t="n">
        <v>0</v>
      </c>
      <c r="Q380" t="n">
        <v>0</v>
      </c>
      <c r="R380" s="2" t="inlineStr"/>
    </row>
    <row r="381" ht="15" customHeight="1">
      <c r="A381" t="inlineStr">
        <is>
          <t>A 6556-2023</t>
        </is>
      </c>
      <c r="B381" s="1" t="n">
        <v>44961</v>
      </c>
      <c r="C381" s="1" t="n">
        <v>45754</v>
      </c>
      <c r="D381" t="inlineStr">
        <is>
          <t>DALARNAS LÄN</t>
        </is>
      </c>
      <c r="E381" t="inlineStr">
        <is>
          <t>HEDEMORA</t>
        </is>
      </c>
      <c r="G381" t="n">
        <v>3.7</v>
      </c>
      <c r="H381" t="n">
        <v>0</v>
      </c>
      <c r="I381" t="n">
        <v>0</v>
      </c>
      <c r="J381" t="n">
        <v>0</v>
      </c>
      <c r="K381" t="n">
        <v>0</v>
      </c>
      <c r="L381" t="n">
        <v>0</v>
      </c>
      <c r="M381" t="n">
        <v>0</v>
      </c>
      <c r="N381" t="n">
        <v>0</v>
      </c>
      <c r="O381" t="n">
        <v>0</v>
      </c>
      <c r="P381" t="n">
        <v>0</v>
      </c>
      <c r="Q381" t="n">
        <v>0</v>
      </c>
      <c r="R381" s="2" t="inlineStr"/>
    </row>
    <row r="382" ht="15" customHeight="1">
      <c r="A382" t="inlineStr">
        <is>
          <t>A 6806-2023</t>
        </is>
      </c>
      <c r="B382" s="1" t="n">
        <v>44967</v>
      </c>
      <c r="C382" s="1" t="n">
        <v>45754</v>
      </c>
      <c r="D382" t="inlineStr">
        <is>
          <t>DALARNAS LÄN</t>
        </is>
      </c>
      <c r="E382" t="inlineStr">
        <is>
          <t>HEDEMORA</t>
        </is>
      </c>
      <c r="G382" t="n">
        <v>0.8</v>
      </c>
      <c r="H382" t="n">
        <v>0</v>
      </c>
      <c r="I382" t="n">
        <v>0</v>
      </c>
      <c r="J382" t="n">
        <v>0</v>
      </c>
      <c r="K382" t="n">
        <v>0</v>
      </c>
      <c r="L382" t="n">
        <v>0</v>
      </c>
      <c r="M382" t="n">
        <v>0</v>
      </c>
      <c r="N382" t="n">
        <v>0</v>
      </c>
      <c r="O382" t="n">
        <v>0</v>
      </c>
      <c r="P382" t="n">
        <v>0</v>
      </c>
      <c r="Q382" t="n">
        <v>0</v>
      </c>
      <c r="R382" s="2" t="inlineStr"/>
    </row>
    <row r="383" ht="15" customHeight="1">
      <c r="A383" t="inlineStr">
        <is>
          <t>A 8715-2023</t>
        </is>
      </c>
      <c r="B383" s="1" t="n">
        <v>44978</v>
      </c>
      <c r="C383" s="1" t="n">
        <v>45754</v>
      </c>
      <c r="D383" t="inlineStr">
        <is>
          <t>DALARNAS LÄN</t>
        </is>
      </c>
      <c r="E383" t="inlineStr">
        <is>
          <t>HEDEMORA</t>
        </is>
      </c>
      <c r="G383" t="n">
        <v>4.4</v>
      </c>
      <c r="H383" t="n">
        <v>0</v>
      </c>
      <c r="I383" t="n">
        <v>0</v>
      </c>
      <c r="J383" t="n">
        <v>0</v>
      </c>
      <c r="K383" t="n">
        <v>0</v>
      </c>
      <c r="L383" t="n">
        <v>0</v>
      </c>
      <c r="M383" t="n">
        <v>0</v>
      </c>
      <c r="N383" t="n">
        <v>0</v>
      </c>
      <c r="O383" t="n">
        <v>0</v>
      </c>
      <c r="P383" t="n">
        <v>0</v>
      </c>
      <c r="Q383" t="n">
        <v>0</v>
      </c>
      <c r="R383" s="2" t="inlineStr"/>
    </row>
    <row r="384" ht="15" customHeight="1">
      <c r="A384" t="inlineStr">
        <is>
          <t>A 9635-2023</t>
        </is>
      </c>
      <c r="B384" s="1" t="n">
        <v>44984</v>
      </c>
      <c r="C384" s="1" t="n">
        <v>45754</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9920-2023</t>
        </is>
      </c>
      <c r="B385" s="1" t="n">
        <v>44985</v>
      </c>
      <c r="C385" s="1" t="n">
        <v>45754</v>
      </c>
      <c r="D385" t="inlineStr">
        <is>
          <t>DALARNAS LÄN</t>
        </is>
      </c>
      <c r="E385" t="inlineStr">
        <is>
          <t>HEDEMORA</t>
        </is>
      </c>
      <c r="G385" t="n">
        <v>0.7</v>
      </c>
      <c r="H385" t="n">
        <v>0</v>
      </c>
      <c r="I385" t="n">
        <v>0</v>
      </c>
      <c r="J385" t="n">
        <v>0</v>
      </c>
      <c r="K385" t="n">
        <v>0</v>
      </c>
      <c r="L385" t="n">
        <v>0</v>
      </c>
      <c r="M385" t="n">
        <v>0</v>
      </c>
      <c r="N385" t="n">
        <v>0</v>
      </c>
      <c r="O385" t="n">
        <v>0</v>
      </c>
      <c r="P385" t="n">
        <v>0</v>
      </c>
      <c r="Q385" t="n">
        <v>0</v>
      </c>
      <c r="R385" s="2" t="inlineStr"/>
    </row>
    <row r="386" ht="15" customHeight="1">
      <c r="A386" t="inlineStr">
        <is>
          <t>A 9918-2023</t>
        </is>
      </c>
      <c r="B386" s="1" t="n">
        <v>44985</v>
      </c>
      <c r="C386" s="1" t="n">
        <v>45754</v>
      </c>
      <c r="D386" t="inlineStr">
        <is>
          <t>DALARNAS LÄN</t>
        </is>
      </c>
      <c r="E386" t="inlineStr">
        <is>
          <t>HEDEMORA</t>
        </is>
      </c>
      <c r="G386" t="n">
        <v>1.7</v>
      </c>
      <c r="H386" t="n">
        <v>0</v>
      </c>
      <c r="I386" t="n">
        <v>0</v>
      </c>
      <c r="J386" t="n">
        <v>0</v>
      </c>
      <c r="K386" t="n">
        <v>0</v>
      </c>
      <c r="L386" t="n">
        <v>0</v>
      </c>
      <c r="M386" t="n">
        <v>0</v>
      </c>
      <c r="N386" t="n">
        <v>0</v>
      </c>
      <c r="O386" t="n">
        <v>0</v>
      </c>
      <c r="P386" t="n">
        <v>0</v>
      </c>
      <c r="Q386" t="n">
        <v>0</v>
      </c>
      <c r="R386" s="2" t="inlineStr"/>
    </row>
    <row r="387" ht="15" customHeight="1">
      <c r="A387" t="inlineStr">
        <is>
          <t>A 9922-2023</t>
        </is>
      </c>
      <c r="B387" s="1" t="n">
        <v>44985</v>
      </c>
      <c r="C387" s="1" t="n">
        <v>45754</v>
      </c>
      <c r="D387" t="inlineStr">
        <is>
          <t>DALARNAS LÄN</t>
        </is>
      </c>
      <c r="E387" t="inlineStr">
        <is>
          <t>HEDEMORA</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9972-2023</t>
        </is>
      </c>
      <c r="B388" s="1" t="n">
        <v>44985</v>
      </c>
      <c r="C388" s="1" t="n">
        <v>45754</v>
      </c>
      <c r="D388" t="inlineStr">
        <is>
          <t>DALARNAS LÄN</t>
        </is>
      </c>
      <c r="E388" t="inlineStr">
        <is>
          <t>HEDEMORA</t>
        </is>
      </c>
      <c r="G388" t="n">
        <v>4.1</v>
      </c>
      <c r="H388" t="n">
        <v>0</v>
      </c>
      <c r="I388" t="n">
        <v>0</v>
      </c>
      <c r="J388" t="n">
        <v>0</v>
      </c>
      <c r="K388" t="n">
        <v>0</v>
      </c>
      <c r="L388" t="n">
        <v>0</v>
      </c>
      <c r="M388" t="n">
        <v>0</v>
      </c>
      <c r="N388" t="n">
        <v>0</v>
      </c>
      <c r="O388" t="n">
        <v>0</v>
      </c>
      <c r="P388" t="n">
        <v>0</v>
      </c>
      <c r="Q388" t="n">
        <v>0</v>
      </c>
      <c r="R388" s="2" t="inlineStr"/>
    </row>
    <row r="389" ht="15" customHeight="1">
      <c r="A389" t="inlineStr">
        <is>
          <t>A 11920-2023</t>
        </is>
      </c>
      <c r="B389" s="1" t="n">
        <v>44995</v>
      </c>
      <c r="C389" s="1" t="n">
        <v>45754</v>
      </c>
      <c r="D389" t="inlineStr">
        <is>
          <t>DALARNAS LÄN</t>
        </is>
      </c>
      <c r="E389" t="inlineStr">
        <is>
          <t>HEDEMORA</t>
        </is>
      </c>
      <c r="G389" t="n">
        <v>10.6</v>
      </c>
      <c r="H389" t="n">
        <v>0</v>
      </c>
      <c r="I389" t="n">
        <v>0</v>
      </c>
      <c r="J389" t="n">
        <v>0</v>
      </c>
      <c r="K389" t="n">
        <v>0</v>
      </c>
      <c r="L389" t="n">
        <v>0</v>
      </c>
      <c r="M389" t="n">
        <v>0</v>
      </c>
      <c r="N389" t="n">
        <v>0</v>
      </c>
      <c r="O389" t="n">
        <v>0</v>
      </c>
      <c r="P389" t="n">
        <v>0</v>
      </c>
      <c r="Q389" t="n">
        <v>0</v>
      </c>
      <c r="R389" s="2" t="inlineStr"/>
    </row>
    <row r="390" ht="15" customHeight="1">
      <c r="A390" t="inlineStr">
        <is>
          <t>A 12259-2023</t>
        </is>
      </c>
      <c r="B390" s="1" t="n">
        <v>44998</v>
      </c>
      <c r="C390" s="1" t="n">
        <v>45754</v>
      </c>
      <c r="D390" t="inlineStr">
        <is>
          <t>DALARNAS LÄN</t>
        </is>
      </c>
      <c r="E390" t="inlineStr">
        <is>
          <t>HEDEMORA</t>
        </is>
      </c>
      <c r="F390" t="inlineStr">
        <is>
          <t>Bergvik skog väst AB</t>
        </is>
      </c>
      <c r="G390" t="n">
        <v>1.3</v>
      </c>
      <c r="H390" t="n">
        <v>0</v>
      </c>
      <c r="I390" t="n">
        <v>0</v>
      </c>
      <c r="J390" t="n">
        <v>0</v>
      </c>
      <c r="K390" t="n">
        <v>0</v>
      </c>
      <c r="L390" t="n">
        <v>0</v>
      </c>
      <c r="M390" t="n">
        <v>0</v>
      </c>
      <c r="N390" t="n">
        <v>0</v>
      </c>
      <c r="O390" t="n">
        <v>0</v>
      </c>
      <c r="P390" t="n">
        <v>0</v>
      </c>
      <c r="Q390" t="n">
        <v>0</v>
      </c>
      <c r="R390" s="2" t="inlineStr"/>
    </row>
    <row r="391" ht="15" customHeight="1">
      <c r="A391" t="inlineStr">
        <is>
          <t>A 13457-2023</t>
        </is>
      </c>
      <c r="B391" s="1" t="n">
        <v>45005</v>
      </c>
      <c r="C391" s="1" t="n">
        <v>45754</v>
      </c>
      <c r="D391" t="inlineStr">
        <is>
          <t>DALARNAS LÄN</t>
        </is>
      </c>
      <c r="E391" t="inlineStr">
        <is>
          <t>HEDEMORA</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13596-2023</t>
        </is>
      </c>
      <c r="B392" s="1" t="n">
        <v>45005</v>
      </c>
      <c r="C392" s="1" t="n">
        <v>45754</v>
      </c>
      <c r="D392" t="inlineStr">
        <is>
          <t>DALARNAS LÄN</t>
        </is>
      </c>
      <c r="E392" t="inlineStr">
        <is>
          <t>HEDEMORA</t>
        </is>
      </c>
      <c r="G392" t="n">
        <v>3.7</v>
      </c>
      <c r="H392" t="n">
        <v>0</v>
      </c>
      <c r="I392" t="n">
        <v>0</v>
      </c>
      <c r="J392" t="n">
        <v>0</v>
      </c>
      <c r="K392" t="n">
        <v>0</v>
      </c>
      <c r="L392" t="n">
        <v>0</v>
      </c>
      <c r="M392" t="n">
        <v>0</v>
      </c>
      <c r="N392" t="n">
        <v>0</v>
      </c>
      <c r="O392" t="n">
        <v>0</v>
      </c>
      <c r="P392" t="n">
        <v>0</v>
      </c>
      <c r="Q392" t="n">
        <v>0</v>
      </c>
      <c r="R392" s="2" t="inlineStr"/>
    </row>
    <row r="393" ht="15" customHeight="1">
      <c r="A393" t="inlineStr">
        <is>
          <t>A 14787-2023</t>
        </is>
      </c>
      <c r="B393" s="1" t="n">
        <v>45014</v>
      </c>
      <c r="C393" s="1" t="n">
        <v>45754</v>
      </c>
      <c r="D393" t="inlineStr">
        <is>
          <t>DALARNAS LÄN</t>
        </is>
      </c>
      <c r="E393" t="inlineStr">
        <is>
          <t>HEDEMORA</t>
        </is>
      </c>
      <c r="G393" t="n">
        <v>3.5</v>
      </c>
      <c r="H393" t="n">
        <v>0</v>
      </c>
      <c r="I393" t="n">
        <v>0</v>
      </c>
      <c r="J393" t="n">
        <v>0</v>
      </c>
      <c r="K393" t="n">
        <v>0</v>
      </c>
      <c r="L393" t="n">
        <v>0</v>
      </c>
      <c r="M393" t="n">
        <v>0</v>
      </c>
      <c r="N393" t="n">
        <v>0</v>
      </c>
      <c r="O393" t="n">
        <v>0</v>
      </c>
      <c r="P393" t="n">
        <v>0</v>
      </c>
      <c r="Q393" t="n">
        <v>0</v>
      </c>
      <c r="R393" s="2" t="inlineStr"/>
    </row>
    <row r="394" ht="15" customHeight="1">
      <c r="A394" t="inlineStr">
        <is>
          <t>A 14954-2023</t>
        </is>
      </c>
      <c r="B394" s="1" t="n">
        <v>45015</v>
      </c>
      <c r="C394" s="1" t="n">
        <v>45754</v>
      </c>
      <c r="D394" t="inlineStr">
        <is>
          <t>DALARNAS LÄN</t>
        </is>
      </c>
      <c r="E394" t="inlineStr">
        <is>
          <t>HEDEMORA</t>
        </is>
      </c>
      <c r="G394" t="n">
        <v>5.3</v>
      </c>
      <c r="H394" t="n">
        <v>0</v>
      </c>
      <c r="I394" t="n">
        <v>0</v>
      </c>
      <c r="J394" t="n">
        <v>0</v>
      </c>
      <c r="K394" t="n">
        <v>0</v>
      </c>
      <c r="L394" t="n">
        <v>0</v>
      </c>
      <c r="M394" t="n">
        <v>0</v>
      </c>
      <c r="N394" t="n">
        <v>0</v>
      </c>
      <c r="O394" t="n">
        <v>0</v>
      </c>
      <c r="P394" t="n">
        <v>0</v>
      </c>
      <c r="Q394" t="n">
        <v>0</v>
      </c>
      <c r="R394" s="2" t="inlineStr"/>
    </row>
    <row r="395" ht="15" customHeight="1">
      <c r="A395" t="inlineStr">
        <is>
          <t>A 15858-2023</t>
        </is>
      </c>
      <c r="B395" s="1" t="n">
        <v>45022</v>
      </c>
      <c r="C395" s="1" t="n">
        <v>45754</v>
      </c>
      <c r="D395" t="inlineStr">
        <is>
          <t>DALARNAS LÄN</t>
        </is>
      </c>
      <c r="E395" t="inlineStr">
        <is>
          <t>HEDEMORA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15863-2023</t>
        </is>
      </c>
      <c r="B396" s="1" t="n">
        <v>45022</v>
      </c>
      <c r="C396" s="1" t="n">
        <v>45754</v>
      </c>
      <c r="D396" t="inlineStr">
        <is>
          <t>DALARNAS LÄN</t>
        </is>
      </c>
      <c r="E396" t="inlineStr">
        <is>
          <t>HEDEMORA</t>
        </is>
      </c>
      <c r="F396" t="inlineStr">
        <is>
          <t>Bergvik skog väst AB</t>
        </is>
      </c>
      <c r="G396" t="n">
        <v>4.7</v>
      </c>
      <c r="H396" t="n">
        <v>0</v>
      </c>
      <c r="I396" t="n">
        <v>0</v>
      </c>
      <c r="J396" t="n">
        <v>0</v>
      </c>
      <c r="K396" t="n">
        <v>0</v>
      </c>
      <c r="L396" t="n">
        <v>0</v>
      </c>
      <c r="M396" t="n">
        <v>0</v>
      </c>
      <c r="N396" t="n">
        <v>0</v>
      </c>
      <c r="O396" t="n">
        <v>0</v>
      </c>
      <c r="P396" t="n">
        <v>0</v>
      </c>
      <c r="Q396" t="n">
        <v>0</v>
      </c>
      <c r="R396" s="2" t="inlineStr"/>
    </row>
    <row r="397" ht="15" customHeight="1">
      <c r="A397" t="inlineStr">
        <is>
          <t>A 16046-2023</t>
        </is>
      </c>
      <c r="B397" s="1" t="n">
        <v>45027</v>
      </c>
      <c r="C397" s="1" t="n">
        <v>45754</v>
      </c>
      <c r="D397" t="inlineStr">
        <is>
          <t>DALARNAS LÄN</t>
        </is>
      </c>
      <c r="E397" t="inlineStr">
        <is>
          <t>HEDEMORA</t>
        </is>
      </c>
      <c r="G397" t="n">
        <v>2.8</v>
      </c>
      <c r="H397" t="n">
        <v>0</v>
      </c>
      <c r="I397" t="n">
        <v>0</v>
      </c>
      <c r="J397" t="n">
        <v>0</v>
      </c>
      <c r="K397" t="n">
        <v>0</v>
      </c>
      <c r="L397" t="n">
        <v>0</v>
      </c>
      <c r="M397" t="n">
        <v>0</v>
      </c>
      <c r="N397" t="n">
        <v>0</v>
      </c>
      <c r="O397" t="n">
        <v>0</v>
      </c>
      <c r="P397" t="n">
        <v>0</v>
      </c>
      <c r="Q397" t="n">
        <v>0</v>
      </c>
      <c r="R397" s="2" t="inlineStr"/>
    </row>
    <row r="398" ht="15" customHeight="1">
      <c r="A398" t="inlineStr">
        <is>
          <t>A 16589-2023</t>
        </is>
      </c>
      <c r="B398" s="1" t="n">
        <v>45030</v>
      </c>
      <c r="C398" s="1" t="n">
        <v>45754</v>
      </c>
      <c r="D398" t="inlineStr">
        <is>
          <t>DALARNAS LÄN</t>
        </is>
      </c>
      <c r="E398" t="inlineStr">
        <is>
          <t>HEDEMORA</t>
        </is>
      </c>
      <c r="G398" t="n">
        <v>0.9</v>
      </c>
      <c r="H398" t="n">
        <v>0</v>
      </c>
      <c r="I398" t="n">
        <v>0</v>
      </c>
      <c r="J398" t="n">
        <v>0</v>
      </c>
      <c r="K398" t="n">
        <v>0</v>
      </c>
      <c r="L398" t="n">
        <v>0</v>
      </c>
      <c r="M398" t="n">
        <v>0</v>
      </c>
      <c r="N398" t="n">
        <v>0</v>
      </c>
      <c r="O398" t="n">
        <v>0</v>
      </c>
      <c r="P398" t="n">
        <v>0</v>
      </c>
      <c r="Q398" t="n">
        <v>0</v>
      </c>
      <c r="R398" s="2" t="inlineStr"/>
    </row>
    <row r="399" ht="15" customHeight="1">
      <c r="A399" t="inlineStr">
        <is>
          <t>A 16821-2023</t>
        </is>
      </c>
      <c r="B399" s="1" t="n">
        <v>45033</v>
      </c>
      <c r="C399" s="1" t="n">
        <v>45754</v>
      </c>
      <c r="D399" t="inlineStr">
        <is>
          <t>DALARNAS LÄN</t>
        </is>
      </c>
      <c r="E399" t="inlineStr">
        <is>
          <t>HEDEMORA</t>
        </is>
      </c>
      <c r="G399" t="n">
        <v>2.1</v>
      </c>
      <c r="H399" t="n">
        <v>0</v>
      </c>
      <c r="I399" t="n">
        <v>0</v>
      </c>
      <c r="J399" t="n">
        <v>0</v>
      </c>
      <c r="K399" t="n">
        <v>0</v>
      </c>
      <c r="L399" t="n">
        <v>0</v>
      </c>
      <c r="M399" t="n">
        <v>0</v>
      </c>
      <c r="N399" t="n">
        <v>0</v>
      </c>
      <c r="O399" t="n">
        <v>0</v>
      </c>
      <c r="P399" t="n">
        <v>0</v>
      </c>
      <c r="Q399" t="n">
        <v>0</v>
      </c>
      <c r="R399" s="2" t="inlineStr"/>
    </row>
    <row r="400" ht="15" customHeight="1">
      <c r="A400" t="inlineStr">
        <is>
          <t>A 17247-2023</t>
        </is>
      </c>
      <c r="B400" s="1" t="n">
        <v>45035</v>
      </c>
      <c r="C400" s="1" t="n">
        <v>45754</v>
      </c>
      <c r="D400" t="inlineStr">
        <is>
          <t>DALARNAS LÄN</t>
        </is>
      </c>
      <c r="E400" t="inlineStr">
        <is>
          <t>HEDEMORA</t>
        </is>
      </c>
      <c r="G400" t="n">
        <v>2.2</v>
      </c>
      <c r="H400" t="n">
        <v>0</v>
      </c>
      <c r="I400" t="n">
        <v>0</v>
      </c>
      <c r="J400" t="n">
        <v>0</v>
      </c>
      <c r="K400" t="n">
        <v>0</v>
      </c>
      <c r="L400" t="n">
        <v>0</v>
      </c>
      <c r="M400" t="n">
        <v>0</v>
      </c>
      <c r="N400" t="n">
        <v>0</v>
      </c>
      <c r="O400" t="n">
        <v>0</v>
      </c>
      <c r="P400" t="n">
        <v>0</v>
      </c>
      <c r="Q400" t="n">
        <v>0</v>
      </c>
      <c r="R400" s="2" t="inlineStr"/>
    </row>
    <row r="401" ht="15" customHeight="1">
      <c r="A401" t="inlineStr">
        <is>
          <t>A 18470-2023</t>
        </is>
      </c>
      <c r="B401" s="1" t="n">
        <v>45042</v>
      </c>
      <c r="C401" s="1" t="n">
        <v>45754</v>
      </c>
      <c r="D401" t="inlineStr">
        <is>
          <t>DALARNAS LÄN</t>
        </is>
      </c>
      <c r="E401" t="inlineStr">
        <is>
          <t>HEDEMORA</t>
        </is>
      </c>
      <c r="G401" t="n">
        <v>2.5</v>
      </c>
      <c r="H401" t="n">
        <v>0</v>
      </c>
      <c r="I401" t="n">
        <v>0</v>
      </c>
      <c r="J401" t="n">
        <v>0</v>
      </c>
      <c r="K401" t="n">
        <v>0</v>
      </c>
      <c r="L401" t="n">
        <v>0</v>
      </c>
      <c r="M401" t="n">
        <v>0</v>
      </c>
      <c r="N401" t="n">
        <v>0</v>
      </c>
      <c r="O401" t="n">
        <v>0</v>
      </c>
      <c r="P401" t="n">
        <v>0</v>
      </c>
      <c r="Q401" t="n">
        <v>0</v>
      </c>
      <c r="R401" s="2" t="inlineStr"/>
    </row>
    <row r="402" ht="15" customHeight="1">
      <c r="A402" t="inlineStr">
        <is>
          <t>A 20153-2023</t>
        </is>
      </c>
      <c r="B402" s="1" t="n">
        <v>45055</v>
      </c>
      <c r="C402" s="1" t="n">
        <v>45754</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20224-2023</t>
        </is>
      </c>
      <c r="B403" s="1" t="n">
        <v>45055</v>
      </c>
      <c r="C403" s="1" t="n">
        <v>45754</v>
      </c>
      <c r="D403" t="inlineStr">
        <is>
          <t>DALARNAS LÄN</t>
        </is>
      </c>
      <c r="E403" t="inlineStr">
        <is>
          <t>HEDEMORA</t>
        </is>
      </c>
      <c r="F403" t="inlineStr">
        <is>
          <t>Bergvik skog väst AB</t>
        </is>
      </c>
      <c r="G403" t="n">
        <v>5.2</v>
      </c>
      <c r="H403" t="n">
        <v>0</v>
      </c>
      <c r="I403" t="n">
        <v>0</v>
      </c>
      <c r="J403" t="n">
        <v>0</v>
      </c>
      <c r="K403" t="n">
        <v>0</v>
      </c>
      <c r="L403" t="n">
        <v>0</v>
      </c>
      <c r="M403" t="n">
        <v>0</v>
      </c>
      <c r="N403" t="n">
        <v>0</v>
      </c>
      <c r="O403" t="n">
        <v>0</v>
      </c>
      <c r="P403" t="n">
        <v>0</v>
      </c>
      <c r="Q403" t="n">
        <v>0</v>
      </c>
      <c r="R403" s="2" t="inlineStr"/>
    </row>
    <row r="404" ht="15" customHeight="1">
      <c r="A404" t="inlineStr">
        <is>
          <t>A 20226-2023</t>
        </is>
      </c>
      <c r="B404" s="1" t="n">
        <v>45055</v>
      </c>
      <c r="C404" s="1" t="n">
        <v>45754</v>
      </c>
      <c r="D404" t="inlineStr">
        <is>
          <t>DALARNAS LÄN</t>
        </is>
      </c>
      <c r="E404" t="inlineStr">
        <is>
          <t>HEDEMORA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20237-2023</t>
        </is>
      </c>
      <c r="B405" s="1" t="n">
        <v>45055</v>
      </c>
      <c r="C405" s="1" t="n">
        <v>45754</v>
      </c>
      <c r="D405" t="inlineStr">
        <is>
          <t>DALARNAS LÄN</t>
        </is>
      </c>
      <c r="E405" t="inlineStr">
        <is>
          <t>HEDEMORA</t>
        </is>
      </c>
      <c r="F405" t="inlineStr">
        <is>
          <t>Bergvik skog väst AB</t>
        </is>
      </c>
      <c r="G405" t="n">
        <v>2.4</v>
      </c>
      <c r="H405" t="n">
        <v>0</v>
      </c>
      <c r="I405" t="n">
        <v>0</v>
      </c>
      <c r="J405" t="n">
        <v>0</v>
      </c>
      <c r="K405" t="n">
        <v>0</v>
      </c>
      <c r="L405" t="n">
        <v>0</v>
      </c>
      <c r="M405" t="n">
        <v>0</v>
      </c>
      <c r="N405" t="n">
        <v>0</v>
      </c>
      <c r="O405" t="n">
        <v>0</v>
      </c>
      <c r="P405" t="n">
        <v>0</v>
      </c>
      <c r="Q405" t="n">
        <v>0</v>
      </c>
      <c r="R405" s="2" t="inlineStr"/>
    </row>
    <row r="406" ht="15" customHeight="1">
      <c r="A406" t="inlineStr">
        <is>
          <t>A 20229-2023</t>
        </is>
      </c>
      <c r="B406" s="1" t="n">
        <v>45055</v>
      </c>
      <c r="C406" s="1" t="n">
        <v>45754</v>
      </c>
      <c r="D406" t="inlineStr">
        <is>
          <t>DALARNAS LÄN</t>
        </is>
      </c>
      <c r="E406" t="inlineStr">
        <is>
          <t>HEDEMORA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20233-2023</t>
        </is>
      </c>
      <c r="B407" s="1" t="n">
        <v>45055</v>
      </c>
      <c r="C407" s="1" t="n">
        <v>45754</v>
      </c>
      <c r="D407" t="inlineStr">
        <is>
          <t>DALARNAS LÄN</t>
        </is>
      </c>
      <c r="E407" t="inlineStr">
        <is>
          <t>HEDEMORA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20239-2023</t>
        </is>
      </c>
      <c r="B408" s="1" t="n">
        <v>45055</v>
      </c>
      <c r="C408" s="1" t="n">
        <v>45754</v>
      </c>
      <c r="D408" t="inlineStr">
        <is>
          <t>DALARNAS LÄN</t>
        </is>
      </c>
      <c r="E408" t="inlineStr">
        <is>
          <t>HEDEMORA</t>
        </is>
      </c>
      <c r="F408" t="inlineStr">
        <is>
          <t>Bergvik skog väst AB</t>
        </is>
      </c>
      <c r="G408" t="n">
        <v>5</v>
      </c>
      <c r="H408" t="n">
        <v>0</v>
      </c>
      <c r="I408" t="n">
        <v>0</v>
      </c>
      <c r="J408" t="n">
        <v>0</v>
      </c>
      <c r="K408" t="n">
        <v>0</v>
      </c>
      <c r="L408" t="n">
        <v>0</v>
      </c>
      <c r="M408" t="n">
        <v>0</v>
      </c>
      <c r="N408" t="n">
        <v>0</v>
      </c>
      <c r="O408" t="n">
        <v>0</v>
      </c>
      <c r="P408" t="n">
        <v>0</v>
      </c>
      <c r="Q408" t="n">
        <v>0</v>
      </c>
      <c r="R408" s="2" t="inlineStr"/>
    </row>
    <row r="409" ht="15" customHeight="1">
      <c r="A409" t="inlineStr">
        <is>
          <t>A 21093-2023</t>
        </is>
      </c>
      <c r="B409" s="1" t="n">
        <v>45061</v>
      </c>
      <c r="C409" s="1" t="n">
        <v>45754</v>
      </c>
      <c r="D409" t="inlineStr">
        <is>
          <t>DALARNAS LÄN</t>
        </is>
      </c>
      <c r="E409" t="inlineStr">
        <is>
          <t>HEDEMORA</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21096-2023</t>
        </is>
      </c>
      <c r="B410" s="1" t="n">
        <v>45061</v>
      </c>
      <c r="C410" s="1" t="n">
        <v>45754</v>
      </c>
      <c r="D410" t="inlineStr">
        <is>
          <t>DALARNAS LÄN</t>
        </is>
      </c>
      <c r="E410" t="inlineStr">
        <is>
          <t>HEDEMORA</t>
        </is>
      </c>
      <c r="F410" t="inlineStr">
        <is>
          <t>Sveaskog</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21092-2023</t>
        </is>
      </c>
      <c r="B411" s="1" t="n">
        <v>45061</v>
      </c>
      <c r="C411" s="1" t="n">
        <v>45754</v>
      </c>
      <c r="D411" t="inlineStr">
        <is>
          <t>DALARNAS LÄN</t>
        </is>
      </c>
      <c r="E411" t="inlineStr">
        <is>
          <t>HEDEMORA</t>
        </is>
      </c>
      <c r="F411" t="inlineStr">
        <is>
          <t>Sveaskog</t>
        </is>
      </c>
      <c r="G411" t="n">
        <v>0.1</v>
      </c>
      <c r="H411" t="n">
        <v>0</v>
      </c>
      <c r="I411" t="n">
        <v>0</v>
      </c>
      <c r="J411" t="n">
        <v>0</v>
      </c>
      <c r="K411" t="n">
        <v>0</v>
      </c>
      <c r="L411" t="n">
        <v>0</v>
      </c>
      <c r="M411" t="n">
        <v>0</v>
      </c>
      <c r="N411" t="n">
        <v>0</v>
      </c>
      <c r="O411" t="n">
        <v>0</v>
      </c>
      <c r="P411" t="n">
        <v>0</v>
      </c>
      <c r="Q411" t="n">
        <v>0</v>
      </c>
      <c r="R411" s="2" t="inlineStr"/>
    </row>
    <row r="412" ht="15" customHeight="1">
      <c r="A412" t="inlineStr">
        <is>
          <t>A 21657-2023</t>
        </is>
      </c>
      <c r="B412" s="1" t="n">
        <v>45063</v>
      </c>
      <c r="C412" s="1" t="n">
        <v>45754</v>
      </c>
      <c r="D412" t="inlineStr">
        <is>
          <t>DALARNAS LÄN</t>
        </is>
      </c>
      <c r="E412" t="inlineStr">
        <is>
          <t>HEDEMORA</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21763-2023</t>
        </is>
      </c>
      <c r="B413" s="1" t="n">
        <v>45065</v>
      </c>
      <c r="C413" s="1" t="n">
        <v>45754</v>
      </c>
      <c r="D413" t="inlineStr">
        <is>
          <t>DALARNAS LÄN</t>
        </is>
      </c>
      <c r="E413" t="inlineStr">
        <is>
          <t>HEDEMORA</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21762-2023</t>
        </is>
      </c>
      <c r="B414" s="1" t="n">
        <v>45065</v>
      </c>
      <c r="C414" s="1" t="n">
        <v>45754</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22222-2023</t>
        </is>
      </c>
      <c r="B415" s="1" t="n">
        <v>45070</v>
      </c>
      <c r="C415" s="1" t="n">
        <v>45754</v>
      </c>
      <c r="D415" t="inlineStr">
        <is>
          <t>DALARNAS LÄN</t>
        </is>
      </c>
      <c r="E415" t="inlineStr">
        <is>
          <t>HEDEMORA</t>
        </is>
      </c>
      <c r="F415" t="inlineStr">
        <is>
          <t>Sveaskog</t>
        </is>
      </c>
      <c r="G415" t="n">
        <v>3</v>
      </c>
      <c r="H415" t="n">
        <v>0</v>
      </c>
      <c r="I415" t="n">
        <v>0</v>
      </c>
      <c r="J415" t="n">
        <v>0</v>
      </c>
      <c r="K415" t="n">
        <v>0</v>
      </c>
      <c r="L415" t="n">
        <v>0</v>
      </c>
      <c r="M415" t="n">
        <v>0</v>
      </c>
      <c r="N415" t="n">
        <v>0</v>
      </c>
      <c r="O415" t="n">
        <v>0</v>
      </c>
      <c r="P415" t="n">
        <v>0</v>
      </c>
      <c r="Q415" t="n">
        <v>0</v>
      </c>
      <c r="R415" s="2" t="inlineStr"/>
    </row>
    <row r="416" ht="15" customHeight="1">
      <c r="A416" t="inlineStr">
        <is>
          <t>A 22273-2023</t>
        </is>
      </c>
      <c r="B416" s="1" t="n">
        <v>45070</v>
      </c>
      <c r="C416" s="1" t="n">
        <v>45754</v>
      </c>
      <c r="D416" t="inlineStr">
        <is>
          <t>DALARNAS LÄN</t>
        </is>
      </c>
      <c r="E416" t="inlineStr">
        <is>
          <t>HEDEMORA</t>
        </is>
      </c>
      <c r="G416" t="n">
        <v>1.3</v>
      </c>
      <c r="H416" t="n">
        <v>0</v>
      </c>
      <c r="I416" t="n">
        <v>0</v>
      </c>
      <c r="J416" t="n">
        <v>0</v>
      </c>
      <c r="K416" t="n">
        <v>0</v>
      </c>
      <c r="L416" t="n">
        <v>0</v>
      </c>
      <c r="M416" t="n">
        <v>0</v>
      </c>
      <c r="N416" t="n">
        <v>0</v>
      </c>
      <c r="O416" t="n">
        <v>0</v>
      </c>
      <c r="P416" t="n">
        <v>0</v>
      </c>
      <c r="Q416" t="n">
        <v>0</v>
      </c>
      <c r="R416" s="2" t="inlineStr"/>
    </row>
    <row r="417" ht="15" customHeight="1">
      <c r="A417" t="inlineStr">
        <is>
          <t>A 22270-2023</t>
        </is>
      </c>
      <c r="B417" s="1" t="n">
        <v>45070</v>
      </c>
      <c r="C417" s="1" t="n">
        <v>45754</v>
      </c>
      <c r="D417" t="inlineStr">
        <is>
          <t>DALARNAS LÄN</t>
        </is>
      </c>
      <c r="E417" t="inlineStr">
        <is>
          <t>HEDEMORA</t>
        </is>
      </c>
      <c r="G417" t="n">
        <v>1.8</v>
      </c>
      <c r="H417" t="n">
        <v>0</v>
      </c>
      <c r="I417" t="n">
        <v>0</v>
      </c>
      <c r="J417" t="n">
        <v>0</v>
      </c>
      <c r="K417" t="n">
        <v>0</v>
      </c>
      <c r="L417" t="n">
        <v>0</v>
      </c>
      <c r="M417" t="n">
        <v>0</v>
      </c>
      <c r="N417" t="n">
        <v>0</v>
      </c>
      <c r="O417" t="n">
        <v>0</v>
      </c>
      <c r="P417" t="n">
        <v>0</v>
      </c>
      <c r="Q417" t="n">
        <v>0</v>
      </c>
      <c r="R417" s="2" t="inlineStr"/>
    </row>
    <row r="418" ht="15" customHeight="1">
      <c r="A418" t="inlineStr">
        <is>
          <t>A 22726-2023</t>
        </is>
      </c>
      <c r="B418" s="1" t="n">
        <v>45071</v>
      </c>
      <c r="C418" s="1" t="n">
        <v>45754</v>
      </c>
      <c r="D418" t="inlineStr">
        <is>
          <t>DALARNAS LÄN</t>
        </is>
      </c>
      <c r="E418" t="inlineStr">
        <is>
          <t>HEDEMORA</t>
        </is>
      </c>
      <c r="G418" t="n">
        <v>0.8</v>
      </c>
      <c r="H418" t="n">
        <v>0</v>
      </c>
      <c r="I418" t="n">
        <v>0</v>
      </c>
      <c r="J418" t="n">
        <v>0</v>
      </c>
      <c r="K418" t="n">
        <v>0</v>
      </c>
      <c r="L418" t="n">
        <v>0</v>
      </c>
      <c r="M418" t="n">
        <v>0</v>
      </c>
      <c r="N418" t="n">
        <v>0</v>
      </c>
      <c r="O418" t="n">
        <v>0</v>
      </c>
      <c r="P418" t="n">
        <v>0</v>
      </c>
      <c r="Q418" t="n">
        <v>0</v>
      </c>
      <c r="R418" s="2" t="inlineStr"/>
    </row>
    <row r="419" ht="15" customHeight="1">
      <c r="A419" t="inlineStr">
        <is>
          <t>A 23501-2023</t>
        </is>
      </c>
      <c r="B419" s="1" t="n">
        <v>45076</v>
      </c>
      <c r="C419" s="1" t="n">
        <v>45754</v>
      </c>
      <c r="D419" t="inlineStr">
        <is>
          <t>DALARNAS LÄN</t>
        </is>
      </c>
      <c r="E419" t="inlineStr">
        <is>
          <t>HEDEMORA</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23934-2023</t>
        </is>
      </c>
      <c r="B420" s="1" t="n">
        <v>45078</v>
      </c>
      <c r="C420" s="1" t="n">
        <v>45754</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23968-2023</t>
        </is>
      </c>
      <c r="B421" s="1" t="n">
        <v>45078</v>
      </c>
      <c r="C421" s="1" t="n">
        <v>45754</v>
      </c>
      <c r="D421" t="inlineStr">
        <is>
          <t>DALARNAS LÄN</t>
        </is>
      </c>
      <c r="E421" t="inlineStr">
        <is>
          <t>HEDEMORA</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24569-2023</t>
        </is>
      </c>
      <c r="B422" s="1" t="n">
        <v>45083</v>
      </c>
      <c r="C422" s="1" t="n">
        <v>45754</v>
      </c>
      <c r="D422" t="inlineStr">
        <is>
          <t>DALARNAS LÄN</t>
        </is>
      </c>
      <c r="E422" t="inlineStr">
        <is>
          <t>HEDEMORA</t>
        </is>
      </c>
      <c r="F422" t="inlineStr">
        <is>
          <t>Sveaskog</t>
        </is>
      </c>
      <c r="G422" t="n">
        <v>34.6</v>
      </c>
      <c r="H422" t="n">
        <v>0</v>
      </c>
      <c r="I422" t="n">
        <v>0</v>
      </c>
      <c r="J422" t="n">
        <v>0</v>
      </c>
      <c r="K422" t="n">
        <v>0</v>
      </c>
      <c r="L422" t="n">
        <v>0</v>
      </c>
      <c r="M422" t="n">
        <v>0</v>
      </c>
      <c r="N422" t="n">
        <v>0</v>
      </c>
      <c r="O422" t="n">
        <v>0</v>
      </c>
      <c r="P422" t="n">
        <v>0</v>
      </c>
      <c r="Q422" t="n">
        <v>0</v>
      </c>
      <c r="R422" s="2" t="inlineStr"/>
    </row>
    <row r="423" ht="15" customHeight="1">
      <c r="A423" t="inlineStr">
        <is>
          <t>A 24780-2023</t>
        </is>
      </c>
      <c r="B423" s="1" t="n">
        <v>45084</v>
      </c>
      <c r="C423" s="1" t="n">
        <v>45754</v>
      </c>
      <c r="D423" t="inlineStr">
        <is>
          <t>DALARNAS LÄN</t>
        </is>
      </c>
      <c r="E423" t="inlineStr">
        <is>
          <t>HEDEMORA</t>
        </is>
      </c>
      <c r="F423" t="inlineStr">
        <is>
          <t>Sveaskog</t>
        </is>
      </c>
      <c r="G423" t="n">
        <v>3.5</v>
      </c>
      <c r="H423" t="n">
        <v>0</v>
      </c>
      <c r="I423" t="n">
        <v>0</v>
      </c>
      <c r="J423" t="n">
        <v>0</v>
      </c>
      <c r="K423" t="n">
        <v>0</v>
      </c>
      <c r="L423" t="n">
        <v>0</v>
      </c>
      <c r="M423" t="n">
        <v>0</v>
      </c>
      <c r="N423" t="n">
        <v>0</v>
      </c>
      <c r="O423" t="n">
        <v>0</v>
      </c>
      <c r="P423" t="n">
        <v>0</v>
      </c>
      <c r="Q423" t="n">
        <v>0</v>
      </c>
      <c r="R423" s="2" t="inlineStr"/>
    </row>
    <row r="424" ht="15" customHeight="1">
      <c r="A424" t="inlineStr">
        <is>
          <t>A 24660-2023</t>
        </is>
      </c>
      <c r="B424" s="1" t="n">
        <v>45084</v>
      </c>
      <c r="C424" s="1" t="n">
        <v>45754</v>
      </c>
      <c r="D424" t="inlineStr">
        <is>
          <t>DALARNAS LÄN</t>
        </is>
      </c>
      <c r="E424" t="inlineStr">
        <is>
          <t>HEDEMORA</t>
        </is>
      </c>
      <c r="G424" t="n">
        <v>1.7</v>
      </c>
      <c r="H424" t="n">
        <v>0</v>
      </c>
      <c r="I424" t="n">
        <v>0</v>
      </c>
      <c r="J424" t="n">
        <v>0</v>
      </c>
      <c r="K424" t="n">
        <v>0</v>
      </c>
      <c r="L424" t="n">
        <v>0</v>
      </c>
      <c r="M424" t="n">
        <v>0</v>
      </c>
      <c r="N424" t="n">
        <v>0</v>
      </c>
      <c r="O424" t="n">
        <v>0</v>
      </c>
      <c r="P424" t="n">
        <v>0</v>
      </c>
      <c r="Q424" t="n">
        <v>0</v>
      </c>
      <c r="R424" s="2" t="inlineStr"/>
    </row>
    <row r="425" ht="15" customHeight="1">
      <c r="A425" t="inlineStr">
        <is>
          <t>A 24792-2023</t>
        </is>
      </c>
      <c r="B425" s="1" t="n">
        <v>45084</v>
      </c>
      <c r="C425" s="1" t="n">
        <v>45754</v>
      </c>
      <c r="D425" t="inlineStr">
        <is>
          <t>DALARNAS LÄN</t>
        </is>
      </c>
      <c r="E425" t="inlineStr">
        <is>
          <t>HEDEMORA</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24864-2023</t>
        </is>
      </c>
      <c r="B426" s="1" t="n">
        <v>45085</v>
      </c>
      <c r="C426" s="1" t="n">
        <v>45754</v>
      </c>
      <c r="D426" t="inlineStr">
        <is>
          <t>DALARNAS LÄN</t>
        </is>
      </c>
      <c r="E426" t="inlineStr">
        <is>
          <t>HEDEMORA</t>
        </is>
      </c>
      <c r="G426" t="n">
        <v>13.2</v>
      </c>
      <c r="H426" t="n">
        <v>0</v>
      </c>
      <c r="I426" t="n">
        <v>0</v>
      </c>
      <c r="J426" t="n">
        <v>0</v>
      </c>
      <c r="K426" t="n">
        <v>0</v>
      </c>
      <c r="L426" t="n">
        <v>0</v>
      </c>
      <c r="M426" t="n">
        <v>0</v>
      </c>
      <c r="N426" t="n">
        <v>0</v>
      </c>
      <c r="O426" t="n">
        <v>0</v>
      </c>
      <c r="P426" t="n">
        <v>0</v>
      </c>
      <c r="Q426" t="n">
        <v>0</v>
      </c>
      <c r="R426" s="2" t="inlineStr"/>
    </row>
    <row r="427" ht="15" customHeight="1">
      <c r="A427" t="inlineStr">
        <is>
          <t>A 25150-2023</t>
        </is>
      </c>
      <c r="B427" s="1" t="n">
        <v>45086</v>
      </c>
      <c r="C427" s="1" t="n">
        <v>45754</v>
      </c>
      <c r="D427" t="inlineStr">
        <is>
          <t>DALARNAS LÄN</t>
        </is>
      </c>
      <c r="E427" t="inlineStr">
        <is>
          <t>HEDEMORA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25155-2023</t>
        </is>
      </c>
      <c r="B428" s="1" t="n">
        <v>45086</v>
      </c>
      <c r="C428" s="1" t="n">
        <v>45754</v>
      </c>
      <c r="D428" t="inlineStr">
        <is>
          <t>DALARNAS LÄN</t>
        </is>
      </c>
      <c r="E428" t="inlineStr">
        <is>
          <t>HEDEMORA</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26232-2023</t>
        </is>
      </c>
      <c r="B429" s="1" t="n">
        <v>45091</v>
      </c>
      <c r="C429" s="1" t="n">
        <v>45754</v>
      </c>
      <c r="D429" t="inlineStr">
        <is>
          <t>DALARNAS LÄN</t>
        </is>
      </c>
      <c r="E429" t="inlineStr">
        <is>
          <t>HEDEMORA</t>
        </is>
      </c>
      <c r="G429" t="n">
        <v>3.1</v>
      </c>
      <c r="H429" t="n">
        <v>0</v>
      </c>
      <c r="I429" t="n">
        <v>0</v>
      </c>
      <c r="J429" t="n">
        <v>0</v>
      </c>
      <c r="K429" t="n">
        <v>0</v>
      </c>
      <c r="L429" t="n">
        <v>0</v>
      </c>
      <c r="M429" t="n">
        <v>0</v>
      </c>
      <c r="N429" t="n">
        <v>0</v>
      </c>
      <c r="O429" t="n">
        <v>0</v>
      </c>
      <c r="P429" t="n">
        <v>0</v>
      </c>
      <c r="Q429" t="n">
        <v>0</v>
      </c>
      <c r="R429" s="2" t="inlineStr"/>
    </row>
    <row r="430" ht="15" customHeight="1">
      <c r="A430" t="inlineStr">
        <is>
          <t>A 27695-2023</t>
        </is>
      </c>
      <c r="B430" s="1" t="n">
        <v>45097</v>
      </c>
      <c r="C430" s="1" t="n">
        <v>45754</v>
      </c>
      <c r="D430" t="inlineStr">
        <is>
          <t>DALARNAS LÄN</t>
        </is>
      </c>
      <c r="E430" t="inlineStr">
        <is>
          <t>HEDEMORA</t>
        </is>
      </c>
      <c r="F430" t="inlineStr">
        <is>
          <t>Sveaskog</t>
        </is>
      </c>
      <c r="G430" t="n">
        <v>6.5</v>
      </c>
      <c r="H430" t="n">
        <v>0</v>
      </c>
      <c r="I430" t="n">
        <v>0</v>
      </c>
      <c r="J430" t="n">
        <v>0</v>
      </c>
      <c r="K430" t="n">
        <v>0</v>
      </c>
      <c r="L430" t="n">
        <v>0</v>
      </c>
      <c r="M430" t="n">
        <v>0</v>
      </c>
      <c r="N430" t="n">
        <v>0</v>
      </c>
      <c r="O430" t="n">
        <v>0</v>
      </c>
      <c r="P430" t="n">
        <v>0</v>
      </c>
      <c r="Q430" t="n">
        <v>0</v>
      </c>
      <c r="R430" s="2" t="inlineStr"/>
    </row>
    <row r="431" ht="15" customHeight="1">
      <c r="A431" t="inlineStr">
        <is>
          <t>A 27696-2023</t>
        </is>
      </c>
      <c r="B431" s="1" t="n">
        <v>45097</v>
      </c>
      <c r="C431" s="1" t="n">
        <v>45754</v>
      </c>
      <c r="D431" t="inlineStr">
        <is>
          <t>DALARNAS LÄN</t>
        </is>
      </c>
      <c r="E431" t="inlineStr">
        <is>
          <t>HEDEMORA</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27965-2023</t>
        </is>
      </c>
      <c r="B432" s="1" t="n">
        <v>45098</v>
      </c>
      <c r="C432" s="1" t="n">
        <v>45754</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27963-2023</t>
        </is>
      </c>
      <c r="B433" s="1" t="n">
        <v>45098</v>
      </c>
      <c r="C433" s="1" t="n">
        <v>45754</v>
      </c>
      <c r="D433" t="inlineStr">
        <is>
          <t>DALARNAS LÄN</t>
        </is>
      </c>
      <c r="E433" t="inlineStr">
        <is>
          <t>HEDEMORA</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28029-2023</t>
        </is>
      </c>
      <c r="B434" s="1" t="n">
        <v>45099</v>
      </c>
      <c r="C434" s="1" t="n">
        <v>45754</v>
      </c>
      <c r="D434" t="inlineStr">
        <is>
          <t>DALARNAS LÄN</t>
        </is>
      </c>
      <c r="E434" t="inlineStr">
        <is>
          <t>HEDEMORA</t>
        </is>
      </c>
      <c r="G434" t="n">
        <v>0.6</v>
      </c>
      <c r="H434" t="n">
        <v>0</v>
      </c>
      <c r="I434" t="n">
        <v>0</v>
      </c>
      <c r="J434" t="n">
        <v>0</v>
      </c>
      <c r="K434" t="n">
        <v>0</v>
      </c>
      <c r="L434" t="n">
        <v>0</v>
      </c>
      <c r="M434" t="n">
        <v>0</v>
      </c>
      <c r="N434" t="n">
        <v>0</v>
      </c>
      <c r="O434" t="n">
        <v>0</v>
      </c>
      <c r="P434" t="n">
        <v>0</v>
      </c>
      <c r="Q434" t="n">
        <v>0</v>
      </c>
      <c r="R434" s="2" t="inlineStr"/>
    </row>
    <row r="435" ht="15" customHeight="1">
      <c r="A435" t="inlineStr">
        <is>
          <t>A 28398-2023</t>
        </is>
      </c>
      <c r="B435" s="1" t="n">
        <v>45100</v>
      </c>
      <c r="C435" s="1" t="n">
        <v>45754</v>
      </c>
      <c r="D435" t="inlineStr">
        <is>
          <t>DALARNAS LÄN</t>
        </is>
      </c>
      <c r="E435" t="inlineStr">
        <is>
          <t>HEDEMORA</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29050-2023</t>
        </is>
      </c>
      <c r="B436" s="1" t="n">
        <v>45104</v>
      </c>
      <c r="C436" s="1" t="n">
        <v>45754</v>
      </c>
      <c r="D436" t="inlineStr">
        <is>
          <t>DALARNAS LÄN</t>
        </is>
      </c>
      <c r="E436" t="inlineStr">
        <is>
          <t>HEDEMORA</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29301-2023</t>
        </is>
      </c>
      <c r="B437" s="1" t="n">
        <v>45105</v>
      </c>
      <c r="C437" s="1" t="n">
        <v>45754</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29303-2023</t>
        </is>
      </c>
      <c r="B438" s="1" t="n">
        <v>45105</v>
      </c>
      <c r="C438" s="1" t="n">
        <v>45754</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30013-2023</t>
        </is>
      </c>
      <c r="B439" s="1" t="n">
        <v>45109</v>
      </c>
      <c r="C439" s="1" t="n">
        <v>45754</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30430-2023</t>
        </is>
      </c>
      <c r="B440" s="1" t="n">
        <v>45111</v>
      </c>
      <c r="C440" s="1" t="n">
        <v>45754</v>
      </c>
      <c r="D440" t="inlineStr">
        <is>
          <t>DALARNAS LÄN</t>
        </is>
      </c>
      <c r="E440" t="inlineStr">
        <is>
          <t>HEDEMORA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30428-2023</t>
        </is>
      </c>
      <c r="B441" s="1" t="n">
        <v>45111</v>
      </c>
      <c r="C441" s="1" t="n">
        <v>45754</v>
      </c>
      <c r="D441" t="inlineStr">
        <is>
          <t>DALARNAS LÄN</t>
        </is>
      </c>
      <c r="E441" t="inlineStr">
        <is>
          <t>HEDEMORA</t>
        </is>
      </c>
      <c r="F441" t="inlineStr">
        <is>
          <t>Sveaskog</t>
        </is>
      </c>
      <c r="G441" t="n">
        <v>4.4</v>
      </c>
      <c r="H441" t="n">
        <v>0</v>
      </c>
      <c r="I441" t="n">
        <v>0</v>
      </c>
      <c r="J441" t="n">
        <v>0</v>
      </c>
      <c r="K441" t="n">
        <v>0</v>
      </c>
      <c r="L441" t="n">
        <v>0</v>
      </c>
      <c r="M441" t="n">
        <v>0</v>
      </c>
      <c r="N441" t="n">
        <v>0</v>
      </c>
      <c r="O441" t="n">
        <v>0</v>
      </c>
      <c r="P441" t="n">
        <v>0</v>
      </c>
      <c r="Q441" t="n">
        <v>0</v>
      </c>
      <c r="R441" s="2" t="inlineStr"/>
    </row>
    <row r="442" ht="15" customHeight="1">
      <c r="A442" t="inlineStr">
        <is>
          <t>A 30939-2023</t>
        </is>
      </c>
      <c r="B442" s="1" t="n">
        <v>45113</v>
      </c>
      <c r="C442" s="1" t="n">
        <v>45754</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31103-2023</t>
        </is>
      </c>
      <c r="B443" s="1" t="n">
        <v>45113</v>
      </c>
      <c r="C443" s="1" t="n">
        <v>45754</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31253-2023</t>
        </is>
      </c>
      <c r="B444" s="1" t="n">
        <v>45114</v>
      </c>
      <c r="C444" s="1" t="n">
        <v>45754</v>
      </c>
      <c r="D444" t="inlineStr">
        <is>
          <t>DALARNAS LÄN</t>
        </is>
      </c>
      <c r="E444" t="inlineStr">
        <is>
          <t>HEDEMORA</t>
        </is>
      </c>
      <c r="G444" t="n">
        <v>1.6</v>
      </c>
      <c r="H444" t="n">
        <v>0</v>
      </c>
      <c r="I444" t="n">
        <v>0</v>
      </c>
      <c r="J444" t="n">
        <v>0</v>
      </c>
      <c r="K444" t="n">
        <v>0</v>
      </c>
      <c r="L444" t="n">
        <v>0</v>
      </c>
      <c r="M444" t="n">
        <v>0</v>
      </c>
      <c r="N444" t="n">
        <v>0</v>
      </c>
      <c r="O444" t="n">
        <v>0</v>
      </c>
      <c r="P444" t="n">
        <v>0</v>
      </c>
      <c r="Q444" t="n">
        <v>0</v>
      </c>
      <c r="R444" s="2" t="inlineStr"/>
    </row>
    <row r="445" ht="15" customHeight="1">
      <c r="A445" t="inlineStr">
        <is>
          <t>A 33469-2023</t>
        </is>
      </c>
      <c r="B445" s="1" t="n">
        <v>45118</v>
      </c>
      <c r="C445" s="1" t="n">
        <v>45754</v>
      </c>
      <c r="D445" t="inlineStr">
        <is>
          <t>DALARNAS LÄN</t>
        </is>
      </c>
      <c r="E445" t="inlineStr">
        <is>
          <t>HEDEMORA</t>
        </is>
      </c>
      <c r="F445" t="inlineStr">
        <is>
          <t>Bergvik skog väst AB</t>
        </is>
      </c>
      <c r="G445" t="n">
        <v>4.5</v>
      </c>
      <c r="H445" t="n">
        <v>0</v>
      </c>
      <c r="I445" t="n">
        <v>0</v>
      </c>
      <c r="J445" t="n">
        <v>0</v>
      </c>
      <c r="K445" t="n">
        <v>0</v>
      </c>
      <c r="L445" t="n">
        <v>0</v>
      </c>
      <c r="M445" t="n">
        <v>0</v>
      </c>
      <c r="N445" t="n">
        <v>0</v>
      </c>
      <c r="O445" t="n">
        <v>0</v>
      </c>
      <c r="P445" t="n">
        <v>0</v>
      </c>
      <c r="Q445" t="n">
        <v>0</v>
      </c>
      <c r="R445" s="2" t="inlineStr"/>
    </row>
    <row r="446" ht="15" customHeight="1">
      <c r="A446" t="inlineStr">
        <is>
          <t>A 33475-2023</t>
        </is>
      </c>
      <c r="B446" s="1" t="n">
        <v>45118</v>
      </c>
      <c r="C446" s="1" t="n">
        <v>45754</v>
      </c>
      <c r="D446" t="inlineStr">
        <is>
          <t>DALARNAS LÄN</t>
        </is>
      </c>
      <c r="E446" t="inlineStr">
        <is>
          <t>HEDEMORA</t>
        </is>
      </c>
      <c r="F446" t="inlineStr">
        <is>
          <t>Bergvik skog väst AB</t>
        </is>
      </c>
      <c r="G446" t="n">
        <v>7.8</v>
      </c>
      <c r="H446" t="n">
        <v>0</v>
      </c>
      <c r="I446" t="n">
        <v>0</v>
      </c>
      <c r="J446" t="n">
        <v>0</v>
      </c>
      <c r="K446" t="n">
        <v>0</v>
      </c>
      <c r="L446" t="n">
        <v>0</v>
      </c>
      <c r="M446" t="n">
        <v>0</v>
      </c>
      <c r="N446" t="n">
        <v>0</v>
      </c>
      <c r="O446" t="n">
        <v>0</v>
      </c>
      <c r="P446" t="n">
        <v>0</v>
      </c>
      <c r="Q446" t="n">
        <v>0</v>
      </c>
      <c r="R446" s="2" t="inlineStr"/>
    </row>
    <row r="447" ht="15" customHeight="1">
      <c r="A447" t="inlineStr">
        <is>
          <t>A 33775-2023</t>
        </is>
      </c>
      <c r="B447" s="1" t="n">
        <v>45120</v>
      </c>
      <c r="C447" s="1" t="n">
        <v>45754</v>
      </c>
      <c r="D447" t="inlineStr">
        <is>
          <t>DALARNAS LÄN</t>
        </is>
      </c>
      <c r="E447" t="inlineStr">
        <is>
          <t>HEDEMORA</t>
        </is>
      </c>
      <c r="G447" t="n">
        <v>3</v>
      </c>
      <c r="H447" t="n">
        <v>0</v>
      </c>
      <c r="I447" t="n">
        <v>0</v>
      </c>
      <c r="J447" t="n">
        <v>0</v>
      </c>
      <c r="K447" t="n">
        <v>0</v>
      </c>
      <c r="L447" t="n">
        <v>0</v>
      </c>
      <c r="M447" t="n">
        <v>0</v>
      </c>
      <c r="N447" t="n">
        <v>0</v>
      </c>
      <c r="O447" t="n">
        <v>0</v>
      </c>
      <c r="P447" t="n">
        <v>0</v>
      </c>
      <c r="Q447" t="n">
        <v>0</v>
      </c>
      <c r="R447" s="2" t="inlineStr"/>
    </row>
    <row r="448" ht="15" customHeight="1">
      <c r="A448" t="inlineStr">
        <is>
          <t>A 32598-2023</t>
        </is>
      </c>
      <c r="B448" s="1" t="n">
        <v>45121</v>
      </c>
      <c r="C448" s="1" t="n">
        <v>45754</v>
      </c>
      <c r="D448" t="inlineStr">
        <is>
          <t>DALARNAS LÄN</t>
        </is>
      </c>
      <c r="E448" t="inlineStr">
        <is>
          <t>HEDEMORA</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32607-2023</t>
        </is>
      </c>
      <c r="B449" s="1" t="n">
        <v>45121</v>
      </c>
      <c r="C449" s="1" t="n">
        <v>45754</v>
      </c>
      <c r="D449" t="inlineStr">
        <is>
          <t>DALARNAS LÄN</t>
        </is>
      </c>
      <c r="E449" t="inlineStr">
        <is>
          <t>HEDEMORA</t>
        </is>
      </c>
      <c r="F449" t="inlineStr">
        <is>
          <t>Sveaskog</t>
        </is>
      </c>
      <c r="G449" t="n">
        <v>5.3</v>
      </c>
      <c r="H449" t="n">
        <v>0</v>
      </c>
      <c r="I449" t="n">
        <v>0</v>
      </c>
      <c r="J449" t="n">
        <v>0</v>
      </c>
      <c r="K449" t="n">
        <v>0</v>
      </c>
      <c r="L449" t="n">
        <v>0</v>
      </c>
      <c r="M449" t="n">
        <v>0</v>
      </c>
      <c r="N449" t="n">
        <v>0</v>
      </c>
      <c r="O449" t="n">
        <v>0</v>
      </c>
      <c r="P449" t="n">
        <v>0</v>
      </c>
      <c r="Q449" t="n">
        <v>0</v>
      </c>
      <c r="R449" s="2" t="inlineStr"/>
    </row>
    <row r="450" ht="15" customHeight="1">
      <c r="A450" t="inlineStr">
        <is>
          <t>A 32720-2023</t>
        </is>
      </c>
      <c r="B450" s="1" t="n">
        <v>45121</v>
      </c>
      <c r="C450" s="1" t="n">
        <v>45754</v>
      </c>
      <c r="D450" t="inlineStr">
        <is>
          <t>DALARNAS LÄN</t>
        </is>
      </c>
      <c r="E450" t="inlineStr">
        <is>
          <t>HEDEMORA</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32721-2023</t>
        </is>
      </c>
      <c r="B451" s="1" t="n">
        <v>45121</v>
      </c>
      <c r="C451" s="1" t="n">
        <v>45754</v>
      </c>
      <c r="D451" t="inlineStr">
        <is>
          <t>DALARNAS LÄN</t>
        </is>
      </c>
      <c r="E451" t="inlineStr">
        <is>
          <t>HEDEMORA</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32719-2023</t>
        </is>
      </c>
      <c r="B452" s="1" t="n">
        <v>45121</v>
      </c>
      <c r="C452" s="1" t="n">
        <v>45754</v>
      </c>
      <c r="D452" t="inlineStr">
        <is>
          <t>DALARNAS LÄN</t>
        </is>
      </c>
      <c r="E452" t="inlineStr">
        <is>
          <t>HEDEMORA</t>
        </is>
      </c>
      <c r="F452" t="inlineStr">
        <is>
          <t>Sveaskog</t>
        </is>
      </c>
      <c r="G452" t="n">
        <v>10.2</v>
      </c>
      <c r="H452" t="n">
        <v>0</v>
      </c>
      <c r="I452" t="n">
        <v>0</v>
      </c>
      <c r="J452" t="n">
        <v>0</v>
      </c>
      <c r="K452" t="n">
        <v>0</v>
      </c>
      <c r="L452" t="n">
        <v>0</v>
      </c>
      <c r="M452" t="n">
        <v>0</v>
      </c>
      <c r="N452" t="n">
        <v>0</v>
      </c>
      <c r="O452" t="n">
        <v>0</v>
      </c>
      <c r="P452" t="n">
        <v>0</v>
      </c>
      <c r="Q452" t="n">
        <v>0</v>
      </c>
      <c r="R452" s="2" t="inlineStr"/>
    </row>
    <row r="453" ht="15" customHeight="1">
      <c r="A453" t="inlineStr">
        <is>
          <t>A 33314-2023</t>
        </is>
      </c>
      <c r="B453" s="1" t="n">
        <v>45127</v>
      </c>
      <c r="C453" s="1" t="n">
        <v>45754</v>
      </c>
      <c r="D453" t="inlineStr">
        <is>
          <t>DALARNAS LÄN</t>
        </is>
      </c>
      <c r="E453" t="inlineStr">
        <is>
          <t>HEDEMORA</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33313-2023</t>
        </is>
      </c>
      <c r="B454" s="1" t="n">
        <v>45127</v>
      </c>
      <c r="C454" s="1" t="n">
        <v>45754</v>
      </c>
      <c r="D454" t="inlineStr">
        <is>
          <t>DALARNAS LÄN</t>
        </is>
      </c>
      <c r="E454" t="inlineStr">
        <is>
          <t>HEDEMORA</t>
        </is>
      </c>
      <c r="F454" t="inlineStr">
        <is>
          <t>Bergvik skog väst AB</t>
        </is>
      </c>
      <c r="G454" t="n">
        <v>8.6</v>
      </c>
      <c r="H454" t="n">
        <v>0</v>
      </c>
      <c r="I454" t="n">
        <v>0</v>
      </c>
      <c r="J454" t="n">
        <v>0</v>
      </c>
      <c r="K454" t="n">
        <v>0</v>
      </c>
      <c r="L454" t="n">
        <v>0</v>
      </c>
      <c r="M454" t="n">
        <v>0</v>
      </c>
      <c r="N454" t="n">
        <v>0</v>
      </c>
      <c r="O454" t="n">
        <v>0</v>
      </c>
      <c r="P454" t="n">
        <v>0</v>
      </c>
      <c r="Q454" t="n">
        <v>0</v>
      </c>
      <c r="R454" s="2" t="inlineStr"/>
    </row>
    <row r="455" ht="15" customHeight="1">
      <c r="A455" t="inlineStr">
        <is>
          <t>A 33315-2023</t>
        </is>
      </c>
      <c r="B455" s="1" t="n">
        <v>45127</v>
      </c>
      <c r="C455" s="1" t="n">
        <v>45754</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35240-2023</t>
        </is>
      </c>
      <c r="B456" s="1" t="n">
        <v>45145</v>
      </c>
      <c r="C456" s="1" t="n">
        <v>45754</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36049-2023</t>
        </is>
      </c>
      <c r="B457" s="1" t="n">
        <v>45149</v>
      </c>
      <c r="C457" s="1" t="n">
        <v>45754</v>
      </c>
      <c r="D457" t="inlineStr">
        <is>
          <t>DALARNAS LÄN</t>
        </is>
      </c>
      <c r="E457" t="inlineStr">
        <is>
          <t>HEDEMORA</t>
        </is>
      </c>
      <c r="G457" t="n">
        <v>3.6</v>
      </c>
      <c r="H457" t="n">
        <v>0</v>
      </c>
      <c r="I457" t="n">
        <v>0</v>
      </c>
      <c r="J457" t="n">
        <v>0</v>
      </c>
      <c r="K457" t="n">
        <v>0</v>
      </c>
      <c r="L457" t="n">
        <v>0</v>
      </c>
      <c r="M457" t="n">
        <v>0</v>
      </c>
      <c r="N457" t="n">
        <v>0</v>
      </c>
      <c r="O457" t="n">
        <v>0</v>
      </c>
      <c r="P457" t="n">
        <v>0</v>
      </c>
      <c r="Q457" t="n">
        <v>0</v>
      </c>
      <c r="R457" s="2" t="inlineStr"/>
    </row>
    <row r="458" ht="15" customHeight="1">
      <c r="A458" t="inlineStr">
        <is>
          <t>A 38032-2023</t>
        </is>
      </c>
      <c r="B458" s="1" t="n">
        <v>45160</v>
      </c>
      <c r="C458" s="1" t="n">
        <v>45754</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38957-2023</t>
        </is>
      </c>
      <c r="B459" s="1" t="n">
        <v>45163</v>
      </c>
      <c r="C459" s="1" t="n">
        <v>45754</v>
      </c>
      <c r="D459" t="inlineStr">
        <is>
          <t>DALARNAS LÄN</t>
        </is>
      </c>
      <c r="E459" t="inlineStr">
        <is>
          <t>HEDEMORA</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38947-2023</t>
        </is>
      </c>
      <c r="B460" s="1" t="n">
        <v>45163</v>
      </c>
      <c r="C460" s="1" t="n">
        <v>45754</v>
      </c>
      <c r="D460" t="inlineStr">
        <is>
          <t>DALARNAS LÄN</t>
        </is>
      </c>
      <c r="E460" t="inlineStr">
        <is>
          <t>HEDEMORA</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38951-2023</t>
        </is>
      </c>
      <c r="B461" s="1" t="n">
        <v>45163</v>
      </c>
      <c r="C461" s="1" t="n">
        <v>45754</v>
      </c>
      <c r="D461" t="inlineStr">
        <is>
          <t>DALARNAS LÄN</t>
        </is>
      </c>
      <c r="E461" t="inlineStr">
        <is>
          <t>HEDEMORA</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41445-2023</t>
        </is>
      </c>
      <c r="B462" s="1" t="n">
        <v>45170</v>
      </c>
      <c r="C462" s="1" t="n">
        <v>45754</v>
      </c>
      <c r="D462" t="inlineStr">
        <is>
          <t>DALARNAS LÄN</t>
        </is>
      </c>
      <c r="E462" t="inlineStr">
        <is>
          <t>HEDEMORA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40707-2023</t>
        </is>
      </c>
      <c r="B463" s="1" t="n">
        <v>45170</v>
      </c>
      <c r="C463" s="1" t="n">
        <v>45754</v>
      </c>
      <c r="D463" t="inlineStr">
        <is>
          <t>DALARNAS LÄN</t>
        </is>
      </c>
      <c r="E463" t="inlineStr">
        <is>
          <t>HEDEMORA</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41458-2023</t>
        </is>
      </c>
      <c r="B464" s="1" t="n">
        <v>45170</v>
      </c>
      <c r="C464" s="1" t="n">
        <v>45754</v>
      </c>
      <c r="D464" t="inlineStr">
        <is>
          <t>DALARNAS LÄN</t>
        </is>
      </c>
      <c r="E464" t="inlineStr">
        <is>
          <t>HEDEMORA</t>
        </is>
      </c>
      <c r="F464" t="inlineStr">
        <is>
          <t>Bergvik skog väst AB</t>
        </is>
      </c>
      <c r="G464" t="n">
        <v>5.8</v>
      </c>
      <c r="H464" t="n">
        <v>0</v>
      </c>
      <c r="I464" t="n">
        <v>0</v>
      </c>
      <c r="J464" t="n">
        <v>0</v>
      </c>
      <c r="K464" t="n">
        <v>0</v>
      </c>
      <c r="L464" t="n">
        <v>0</v>
      </c>
      <c r="M464" t="n">
        <v>0</v>
      </c>
      <c r="N464" t="n">
        <v>0</v>
      </c>
      <c r="O464" t="n">
        <v>0</v>
      </c>
      <c r="P464" t="n">
        <v>0</v>
      </c>
      <c r="Q464" t="n">
        <v>0</v>
      </c>
      <c r="R464" s="2" t="inlineStr"/>
    </row>
    <row r="465" ht="15" customHeight="1">
      <c r="A465" t="inlineStr">
        <is>
          <t>A 41294-2023</t>
        </is>
      </c>
      <c r="B465" s="1" t="n">
        <v>45170</v>
      </c>
      <c r="C465" s="1" t="n">
        <v>45754</v>
      </c>
      <c r="D465" t="inlineStr">
        <is>
          <t>DALARNAS LÄN</t>
        </is>
      </c>
      <c r="E465" t="inlineStr">
        <is>
          <t>HEDEMORA</t>
        </is>
      </c>
      <c r="F465" t="inlineStr">
        <is>
          <t>Bergvik skog väst AB</t>
        </is>
      </c>
      <c r="G465" t="n">
        <v>16.2</v>
      </c>
      <c r="H465" t="n">
        <v>0</v>
      </c>
      <c r="I465" t="n">
        <v>0</v>
      </c>
      <c r="J465" t="n">
        <v>0</v>
      </c>
      <c r="K465" t="n">
        <v>0</v>
      </c>
      <c r="L465" t="n">
        <v>0</v>
      </c>
      <c r="M465" t="n">
        <v>0</v>
      </c>
      <c r="N465" t="n">
        <v>0</v>
      </c>
      <c r="O465" t="n">
        <v>0</v>
      </c>
      <c r="P465" t="n">
        <v>0</v>
      </c>
      <c r="Q465" t="n">
        <v>0</v>
      </c>
      <c r="R465" s="2" t="inlineStr"/>
    </row>
    <row r="466" ht="15" customHeight="1">
      <c r="A466" t="inlineStr">
        <is>
          <t>A 41435-2023</t>
        </is>
      </c>
      <c r="B466" s="1" t="n">
        <v>45170</v>
      </c>
      <c r="C466" s="1" t="n">
        <v>45754</v>
      </c>
      <c r="D466" t="inlineStr">
        <is>
          <t>DALARNAS LÄN</t>
        </is>
      </c>
      <c r="E466" t="inlineStr">
        <is>
          <t>HEDEMORA</t>
        </is>
      </c>
      <c r="G466" t="n">
        <v>2.9</v>
      </c>
      <c r="H466" t="n">
        <v>0</v>
      </c>
      <c r="I466" t="n">
        <v>0</v>
      </c>
      <c r="J466" t="n">
        <v>0</v>
      </c>
      <c r="K466" t="n">
        <v>0</v>
      </c>
      <c r="L466" t="n">
        <v>0</v>
      </c>
      <c r="M466" t="n">
        <v>0</v>
      </c>
      <c r="N466" t="n">
        <v>0</v>
      </c>
      <c r="O466" t="n">
        <v>0</v>
      </c>
      <c r="P466" t="n">
        <v>0</v>
      </c>
      <c r="Q466" t="n">
        <v>0</v>
      </c>
      <c r="R466" s="2" t="inlineStr"/>
    </row>
    <row r="467" ht="15" customHeight="1">
      <c r="A467" t="inlineStr">
        <is>
          <t>A 41462-2023</t>
        </is>
      </c>
      <c r="B467" s="1" t="n">
        <v>45170</v>
      </c>
      <c r="C467" s="1" t="n">
        <v>45754</v>
      </c>
      <c r="D467" t="inlineStr">
        <is>
          <t>DALARNAS LÄN</t>
        </is>
      </c>
      <c r="E467" t="inlineStr">
        <is>
          <t>HEDEMORA</t>
        </is>
      </c>
      <c r="F467" t="inlineStr">
        <is>
          <t>Bergvik skog väst AB</t>
        </is>
      </c>
      <c r="G467" t="n">
        <v>5.4</v>
      </c>
      <c r="H467" t="n">
        <v>0</v>
      </c>
      <c r="I467" t="n">
        <v>0</v>
      </c>
      <c r="J467" t="n">
        <v>0</v>
      </c>
      <c r="K467" t="n">
        <v>0</v>
      </c>
      <c r="L467" t="n">
        <v>0</v>
      </c>
      <c r="M467" t="n">
        <v>0</v>
      </c>
      <c r="N467" t="n">
        <v>0</v>
      </c>
      <c r="O467" t="n">
        <v>0</v>
      </c>
      <c r="P467" t="n">
        <v>0</v>
      </c>
      <c r="Q467" t="n">
        <v>0</v>
      </c>
      <c r="R467" s="2" t="inlineStr"/>
    </row>
    <row r="468" ht="15" customHeight="1">
      <c r="A468" t="inlineStr">
        <is>
          <t>A 41523-2023</t>
        </is>
      </c>
      <c r="B468" s="1" t="n">
        <v>45172</v>
      </c>
      <c r="C468" s="1" t="n">
        <v>45754</v>
      </c>
      <c r="D468" t="inlineStr">
        <is>
          <t>DALARNAS LÄN</t>
        </is>
      </c>
      <c r="E468" t="inlineStr">
        <is>
          <t>HEDEMORA</t>
        </is>
      </c>
      <c r="F468" t="inlineStr">
        <is>
          <t>Bergvik skog väst AB</t>
        </is>
      </c>
      <c r="G468" t="n">
        <v>3.7</v>
      </c>
      <c r="H468" t="n">
        <v>0</v>
      </c>
      <c r="I468" t="n">
        <v>0</v>
      </c>
      <c r="J468" t="n">
        <v>0</v>
      </c>
      <c r="K468" t="n">
        <v>0</v>
      </c>
      <c r="L468" t="n">
        <v>0</v>
      </c>
      <c r="M468" t="n">
        <v>0</v>
      </c>
      <c r="N468" t="n">
        <v>0</v>
      </c>
      <c r="O468" t="n">
        <v>0</v>
      </c>
      <c r="P468" t="n">
        <v>0</v>
      </c>
      <c r="Q468" t="n">
        <v>0</v>
      </c>
      <c r="R468" s="2" t="inlineStr"/>
    </row>
    <row r="469" ht="15" customHeight="1">
      <c r="A469" t="inlineStr">
        <is>
          <t>A 40919-2023</t>
        </is>
      </c>
      <c r="B469" s="1" t="n">
        <v>45173</v>
      </c>
      <c r="C469" s="1" t="n">
        <v>45754</v>
      </c>
      <c r="D469" t="inlineStr">
        <is>
          <t>DALARNAS LÄN</t>
        </is>
      </c>
      <c r="E469" t="inlineStr">
        <is>
          <t>HEDEMORA</t>
        </is>
      </c>
      <c r="F469" t="inlineStr">
        <is>
          <t>Bergvik skog väst AB</t>
        </is>
      </c>
      <c r="G469" t="n">
        <v>2.6</v>
      </c>
      <c r="H469" t="n">
        <v>0</v>
      </c>
      <c r="I469" t="n">
        <v>0</v>
      </c>
      <c r="J469" t="n">
        <v>0</v>
      </c>
      <c r="K469" t="n">
        <v>0</v>
      </c>
      <c r="L469" t="n">
        <v>0</v>
      </c>
      <c r="M469" t="n">
        <v>0</v>
      </c>
      <c r="N469" t="n">
        <v>0</v>
      </c>
      <c r="O469" t="n">
        <v>0</v>
      </c>
      <c r="P469" t="n">
        <v>0</v>
      </c>
      <c r="Q469" t="n">
        <v>0</v>
      </c>
      <c r="R469" s="2" t="inlineStr"/>
    </row>
    <row r="470" ht="15" customHeight="1">
      <c r="A470" t="inlineStr">
        <is>
          <t>A 40923-2023</t>
        </is>
      </c>
      <c r="B470" s="1" t="n">
        <v>45173</v>
      </c>
      <c r="C470" s="1" t="n">
        <v>45754</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40918-2023</t>
        </is>
      </c>
      <c r="B471" s="1" t="n">
        <v>45173</v>
      </c>
      <c r="C471" s="1" t="n">
        <v>45754</v>
      </c>
      <c r="D471" t="inlineStr">
        <is>
          <t>DALARNAS LÄN</t>
        </is>
      </c>
      <c r="E471" t="inlineStr">
        <is>
          <t>HEDEMORA</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40922-2023</t>
        </is>
      </c>
      <c r="B472" s="1" t="n">
        <v>45173</v>
      </c>
      <c r="C472" s="1" t="n">
        <v>45754</v>
      </c>
      <c r="D472" t="inlineStr">
        <is>
          <t>DALARNAS LÄN</t>
        </is>
      </c>
      <c r="E472" t="inlineStr">
        <is>
          <t>HEDEMORA</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40921-2023</t>
        </is>
      </c>
      <c r="B473" s="1" t="n">
        <v>45173</v>
      </c>
      <c r="C473" s="1" t="n">
        <v>45754</v>
      </c>
      <c r="D473" t="inlineStr">
        <is>
          <t>DALARNAS LÄN</t>
        </is>
      </c>
      <c r="E473" t="inlineStr">
        <is>
          <t>HEDEMORA</t>
        </is>
      </c>
      <c r="F473" t="inlineStr">
        <is>
          <t>Bergvik skog väst AB</t>
        </is>
      </c>
      <c r="G473" t="n">
        <v>1.8</v>
      </c>
      <c r="H473" t="n">
        <v>0</v>
      </c>
      <c r="I473" t="n">
        <v>0</v>
      </c>
      <c r="J473" t="n">
        <v>0</v>
      </c>
      <c r="K473" t="n">
        <v>0</v>
      </c>
      <c r="L473" t="n">
        <v>0</v>
      </c>
      <c r="M473" t="n">
        <v>0</v>
      </c>
      <c r="N473" t="n">
        <v>0</v>
      </c>
      <c r="O473" t="n">
        <v>0</v>
      </c>
      <c r="P473" t="n">
        <v>0</v>
      </c>
      <c r="Q473" t="n">
        <v>0</v>
      </c>
      <c r="R473" s="2" t="inlineStr"/>
    </row>
    <row r="474" ht="15" customHeight="1">
      <c r="A474" t="inlineStr">
        <is>
          <t>A 41324-2023</t>
        </is>
      </c>
      <c r="B474" s="1" t="n">
        <v>45174</v>
      </c>
      <c r="C474" s="1" t="n">
        <v>45754</v>
      </c>
      <c r="D474" t="inlineStr">
        <is>
          <t>DALARNAS LÄN</t>
        </is>
      </c>
      <c r="E474" t="inlineStr">
        <is>
          <t>HEDEMORA</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41642-2023</t>
        </is>
      </c>
      <c r="B475" s="1" t="n">
        <v>45175</v>
      </c>
      <c r="C475" s="1" t="n">
        <v>45754</v>
      </c>
      <c r="D475" t="inlineStr">
        <is>
          <t>DALARNAS LÄN</t>
        </is>
      </c>
      <c r="E475" t="inlineStr">
        <is>
          <t>HEDEMORA</t>
        </is>
      </c>
      <c r="G475" t="n">
        <v>2.8</v>
      </c>
      <c r="H475" t="n">
        <v>0</v>
      </c>
      <c r="I475" t="n">
        <v>0</v>
      </c>
      <c r="J475" t="n">
        <v>0</v>
      </c>
      <c r="K475" t="n">
        <v>0</v>
      </c>
      <c r="L475" t="n">
        <v>0</v>
      </c>
      <c r="M475" t="n">
        <v>0</v>
      </c>
      <c r="N475" t="n">
        <v>0</v>
      </c>
      <c r="O475" t="n">
        <v>0</v>
      </c>
      <c r="P475" t="n">
        <v>0</v>
      </c>
      <c r="Q475" t="n">
        <v>0</v>
      </c>
      <c r="R475" s="2" t="inlineStr"/>
    </row>
    <row r="476" ht="15" customHeight="1">
      <c r="A476" t="inlineStr">
        <is>
          <t>A 42387-2023</t>
        </is>
      </c>
      <c r="B476" s="1" t="n">
        <v>45180</v>
      </c>
      <c r="C476" s="1" t="n">
        <v>45754</v>
      </c>
      <c r="D476" t="inlineStr">
        <is>
          <t>DALARNAS LÄN</t>
        </is>
      </c>
      <c r="E476" t="inlineStr">
        <is>
          <t>HEDEMORA</t>
        </is>
      </c>
      <c r="G476" t="n">
        <v>0.6</v>
      </c>
      <c r="H476" t="n">
        <v>0</v>
      </c>
      <c r="I476" t="n">
        <v>0</v>
      </c>
      <c r="J476" t="n">
        <v>0</v>
      </c>
      <c r="K476" t="n">
        <v>0</v>
      </c>
      <c r="L476" t="n">
        <v>0</v>
      </c>
      <c r="M476" t="n">
        <v>0</v>
      </c>
      <c r="N476" t="n">
        <v>0</v>
      </c>
      <c r="O476" t="n">
        <v>0</v>
      </c>
      <c r="P476" t="n">
        <v>0</v>
      </c>
      <c r="Q476" t="n">
        <v>0</v>
      </c>
      <c r="R476" s="2" t="inlineStr"/>
    </row>
    <row r="477" ht="15" customHeight="1">
      <c r="A477" t="inlineStr">
        <is>
          <t>A 42618-2023</t>
        </is>
      </c>
      <c r="B477" s="1" t="n">
        <v>45181</v>
      </c>
      <c r="C477" s="1" t="n">
        <v>45754</v>
      </c>
      <c r="D477" t="inlineStr">
        <is>
          <t>DALARNAS LÄN</t>
        </is>
      </c>
      <c r="E477" t="inlineStr">
        <is>
          <t>HEDEMORA</t>
        </is>
      </c>
      <c r="G477" t="n">
        <v>3.8</v>
      </c>
      <c r="H477" t="n">
        <v>0</v>
      </c>
      <c r="I477" t="n">
        <v>0</v>
      </c>
      <c r="J477" t="n">
        <v>0</v>
      </c>
      <c r="K477" t="n">
        <v>0</v>
      </c>
      <c r="L477" t="n">
        <v>0</v>
      </c>
      <c r="M477" t="n">
        <v>0</v>
      </c>
      <c r="N477" t="n">
        <v>0</v>
      </c>
      <c r="O477" t="n">
        <v>0</v>
      </c>
      <c r="P477" t="n">
        <v>0</v>
      </c>
      <c r="Q477" t="n">
        <v>0</v>
      </c>
      <c r="R477" s="2" t="inlineStr"/>
    </row>
    <row r="478" ht="15" customHeight="1">
      <c r="A478" t="inlineStr">
        <is>
          <t>A 43621-2023</t>
        </is>
      </c>
      <c r="B478" s="1" t="n">
        <v>45184</v>
      </c>
      <c r="C478" s="1" t="n">
        <v>45754</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43785-2023</t>
        </is>
      </c>
      <c r="B479" s="1" t="n">
        <v>45187</v>
      </c>
      <c r="C479" s="1" t="n">
        <v>45754</v>
      </c>
      <c r="D479" t="inlineStr">
        <is>
          <t>DALARNAS LÄN</t>
        </is>
      </c>
      <c r="E479" t="inlineStr">
        <is>
          <t>HEDEMORA</t>
        </is>
      </c>
      <c r="F479" t="inlineStr">
        <is>
          <t>Sveaskog</t>
        </is>
      </c>
      <c r="G479" t="n">
        <v>5.7</v>
      </c>
      <c r="H479" t="n">
        <v>0</v>
      </c>
      <c r="I479" t="n">
        <v>0</v>
      </c>
      <c r="J479" t="n">
        <v>0</v>
      </c>
      <c r="K479" t="n">
        <v>0</v>
      </c>
      <c r="L479" t="n">
        <v>0</v>
      </c>
      <c r="M479" t="n">
        <v>0</v>
      </c>
      <c r="N479" t="n">
        <v>0</v>
      </c>
      <c r="O479" t="n">
        <v>0</v>
      </c>
      <c r="P479" t="n">
        <v>0</v>
      </c>
      <c r="Q479" t="n">
        <v>0</v>
      </c>
      <c r="R479" s="2" t="inlineStr"/>
    </row>
    <row r="480" ht="15" customHeight="1">
      <c r="A480" t="inlineStr">
        <is>
          <t>A 43675-2023</t>
        </is>
      </c>
      <c r="B480" s="1" t="n">
        <v>45187</v>
      </c>
      <c r="C480" s="1" t="n">
        <v>45754</v>
      </c>
      <c r="D480" t="inlineStr">
        <is>
          <t>DALARNAS LÄN</t>
        </is>
      </c>
      <c r="E480" t="inlineStr">
        <is>
          <t>HEDEMORA</t>
        </is>
      </c>
      <c r="G480" t="n">
        <v>1.5</v>
      </c>
      <c r="H480" t="n">
        <v>0</v>
      </c>
      <c r="I480" t="n">
        <v>0</v>
      </c>
      <c r="J480" t="n">
        <v>0</v>
      </c>
      <c r="K480" t="n">
        <v>0</v>
      </c>
      <c r="L480" t="n">
        <v>0</v>
      </c>
      <c r="M480" t="n">
        <v>0</v>
      </c>
      <c r="N480" t="n">
        <v>0</v>
      </c>
      <c r="O480" t="n">
        <v>0</v>
      </c>
      <c r="P480" t="n">
        <v>0</v>
      </c>
      <c r="Q480" t="n">
        <v>0</v>
      </c>
      <c r="R480" s="2" t="inlineStr"/>
      <c r="U480">
        <f>HYPERLINK("https://klasma.github.io/Logging_2083/knärot/A 43675-2023 karta knärot.png", "A 43675-2023")</f>
        <v/>
      </c>
      <c r="V480">
        <f>HYPERLINK("https://klasma.github.io/Logging_2083/klagomål/A 43675-2023 FSC-klagomål.docx", "A 43675-2023")</f>
        <v/>
      </c>
      <c r="W480">
        <f>HYPERLINK("https://klasma.github.io/Logging_2083/klagomålsmail/A 43675-2023 FSC-klagomål mail.docx", "A 43675-2023")</f>
        <v/>
      </c>
      <c r="X480">
        <f>HYPERLINK("https://klasma.github.io/Logging_2083/tillsyn/A 43675-2023 tillsynsbegäran.docx", "A 43675-2023")</f>
        <v/>
      </c>
      <c r="Y480">
        <f>HYPERLINK("https://klasma.github.io/Logging_2083/tillsynsmail/A 43675-2023 tillsynsbegäran mail.docx", "A 43675-2023")</f>
        <v/>
      </c>
    </row>
    <row r="481" ht="15" customHeight="1">
      <c r="A481" t="inlineStr">
        <is>
          <t>A 44587-2023</t>
        </is>
      </c>
      <c r="B481" s="1" t="n">
        <v>45189</v>
      </c>
      <c r="C481" s="1" t="n">
        <v>45754</v>
      </c>
      <c r="D481" t="inlineStr">
        <is>
          <t>DALARNAS LÄN</t>
        </is>
      </c>
      <c r="E481" t="inlineStr">
        <is>
          <t>HEDEMORA</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44750-2023</t>
        </is>
      </c>
      <c r="B482" s="1" t="n">
        <v>45190</v>
      </c>
      <c r="C482" s="1" t="n">
        <v>45754</v>
      </c>
      <c r="D482" t="inlineStr">
        <is>
          <t>DALARNAS LÄN</t>
        </is>
      </c>
      <c r="E482" t="inlineStr">
        <is>
          <t>HEDEMORA</t>
        </is>
      </c>
      <c r="G482" t="n">
        <v>5.4</v>
      </c>
      <c r="H482" t="n">
        <v>0</v>
      </c>
      <c r="I482" t="n">
        <v>0</v>
      </c>
      <c r="J482" t="n">
        <v>0</v>
      </c>
      <c r="K482" t="n">
        <v>0</v>
      </c>
      <c r="L482" t="n">
        <v>0</v>
      </c>
      <c r="M482" t="n">
        <v>0</v>
      </c>
      <c r="N482" t="n">
        <v>0</v>
      </c>
      <c r="O482" t="n">
        <v>0</v>
      </c>
      <c r="P482" t="n">
        <v>0</v>
      </c>
      <c r="Q482" t="n">
        <v>0</v>
      </c>
      <c r="R482" s="2" t="inlineStr"/>
    </row>
    <row r="483" ht="15" customHeight="1">
      <c r="A483" t="inlineStr">
        <is>
          <t>A 46217-2023</t>
        </is>
      </c>
      <c r="B483" s="1" t="n">
        <v>45190</v>
      </c>
      <c r="C483" s="1" t="n">
        <v>45754</v>
      </c>
      <c r="D483" t="inlineStr">
        <is>
          <t>DALARNAS LÄN</t>
        </is>
      </c>
      <c r="E483" t="inlineStr">
        <is>
          <t>HEDEMORA</t>
        </is>
      </c>
      <c r="F483" t="inlineStr">
        <is>
          <t>Bergvik skog väst AB</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45186-2023</t>
        </is>
      </c>
      <c r="B484" s="1" t="n">
        <v>45191</v>
      </c>
      <c r="C484" s="1" t="n">
        <v>45754</v>
      </c>
      <c r="D484" t="inlineStr">
        <is>
          <t>DALARNAS LÄN</t>
        </is>
      </c>
      <c r="E484" t="inlineStr">
        <is>
          <t>HEDEMORA</t>
        </is>
      </c>
      <c r="F484" t="inlineStr">
        <is>
          <t>Sveaskog</t>
        </is>
      </c>
      <c r="G484" t="n">
        <v>18.9</v>
      </c>
      <c r="H484" t="n">
        <v>0</v>
      </c>
      <c r="I484" t="n">
        <v>0</v>
      </c>
      <c r="J484" t="n">
        <v>0</v>
      </c>
      <c r="K484" t="n">
        <v>0</v>
      </c>
      <c r="L484" t="n">
        <v>0</v>
      </c>
      <c r="M484" t="n">
        <v>0</v>
      </c>
      <c r="N484" t="n">
        <v>0</v>
      </c>
      <c r="O484" t="n">
        <v>0</v>
      </c>
      <c r="P484" t="n">
        <v>0</v>
      </c>
      <c r="Q484" t="n">
        <v>0</v>
      </c>
      <c r="R484" s="2" t="inlineStr"/>
    </row>
    <row r="485" ht="15" customHeight="1">
      <c r="A485" t="inlineStr">
        <is>
          <t>A 45589-2023</t>
        </is>
      </c>
      <c r="B485" s="1" t="n">
        <v>45194</v>
      </c>
      <c r="C485" s="1" t="n">
        <v>45754</v>
      </c>
      <c r="D485" t="inlineStr">
        <is>
          <t>DALARNAS LÄN</t>
        </is>
      </c>
      <c r="E485" t="inlineStr">
        <is>
          <t>HEDEMORA</t>
        </is>
      </c>
      <c r="G485" t="n">
        <v>0.7</v>
      </c>
      <c r="H485" t="n">
        <v>0</v>
      </c>
      <c r="I485" t="n">
        <v>0</v>
      </c>
      <c r="J485" t="n">
        <v>0</v>
      </c>
      <c r="K485" t="n">
        <v>0</v>
      </c>
      <c r="L485" t="n">
        <v>0</v>
      </c>
      <c r="M485" t="n">
        <v>0</v>
      </c>
      <c r="N485" t="n">
        <v>0</v>
      </c>
      <c r="O485" t="n">
        <v>0</v>
      </c>
      <c r="P485" t="n">
        <v>0</v>
      </c>
      <c r="Q485" t="n">
        <v>0</v>
      </c>
      <c r="R485" s="2" t="inlineStr"/>
    </row>
    <row r="486" ht="15" customHeight="1">
      <c r="A486" t="inlineStr">
        <is>
          <t>A 48204-2023</t>
        </is>
      </c>
      <c r="B486" s="1" t="n">
        <v>45205</v>
      </c>
      <c r="C486" s="1" t="n">
        <v>45754</v>
      </c>
      <c r="D486" t="inlineStr">
        <is>
          <t>DALARNAS LÄN</t>
        </is>
      </c>
      <c r="E486" t="inlineStr">
        <is>
          <t>HEDEMORA</t>
        </is>
      </c>
      <c r="F486" t="inlineStr">
        <is>
          <t>Kyrkan</t>
        </is>
      </c>
      <c r="G486" t="n">
        <v>21.8</v>
      </c>
      <c r="H486" t="n">
        <v>0</v>
      </c>
      <c r="I486" t="n">
        <v>0</v>
      </c>
      <c r="J486" t="n">
        <v>0</v>
      </c>
      <c r="K486" t="n">
        <v>0</v>
      </c>
      <c r="L486" t="n">
        <v>0</v>
      </c>
      <c r="M486" t="n">
        <v>0</v>
      </c>
      <c r="N486" t="n">
        <v>0</v>
      </c>
      <c r="O486" t="n">
        <v>0</v>
      </c>
      <c r="P486" t="n">
        <v>0</v>
      </c>
      <c r="Q486" t="n">
        <v>0</v>
      </c>
      <c r="R486" s="2" t="inlineStr"/>
      <c r="U486">
        <f>HYPERLINK("https://klasma.github.io/Logging_2083/knärot/A 48204-2023 karta knärot.png", "A 48204-2023")</f>
        <v/>
      </c>
      <c r="V486">
        <f>HYPERLINK("https://klasma.github.io/Logging_2083/klagomål/A 48204-2023 FSC-klagomål.docx", "A 48204-2023")</f>
        <v/>
      </c>
      <c r="W486">
        <f>HYPERLINK("https://klasma.github.io/Logging_2083/klagomålsmail/A 48204-2023 FSC-klagomål mail.docx", "A 48204-2023")</f>
        <v/>
      </c>
      <c r="X486">
        <f>HYPERLINK("https://klasma.github.io/Logging_2083/tillsyn/A 48204-2023 tillsynsbegäran.docx", "A 48204-2023")</f>
        <v/>
      </c>
      <c r="Y486">
        <f>HYPERLINK("https://klasma.github.io/Logging_2083/tillsynsmail/A 48204-2023 tillsynsbegäran mail.docx", "A 48204-2023")</f>
        <v/>
      </c>
    </row>
    <row r="487" ht="15" customHeight="1">
      <c r="A487" t="inlineStr">
        <is>
          <t>A 48254-2023</t>
        </is>
      </c>
      <c r="B487" s="1" t="n">
        <v>45205</v>
      </c>
      <c r="C487" s="1" t="n">
        <v>45754</v>
      </c>
      <c r="D487" t="inlineStr">
        <is>
          <t>DALARNAS LÄN</t>
        </is>
      </c>
      <c r="E487" t="inlineStr">
        <is>
          <t>HEDEMORA</t>
        </is>
      </c>
      <c r="F487" t="inlineStr">
        <is>
          <t>Sveaskog</t>
        </is>
      </c>
      <c r="G487" t="n">
        <v>1.5</v>
      </c>
      <c r="H487" t="n">
        <v>0</v>
      </c>
      <c r="I487" t="n">
        <v>0</v>
      </c>
      <c r="J487" t="n">
        <v>0</v>
      </c>
      <c r="K487" t="n">
        <v>0</v>
      </c>
      <c r="L487" t="n">
        <v>0</v>
      </c>
      <c r="M487" t="n">
        <v>0</v>
      </c>
      <c r="N487" t="n">
        <v>0</v>
      </c>
      <c r="O487" t="n">
        <v>0</v>
      </c>
      <c r="P487" t="n">
        <v>0</v>
      </c>
      <c r="Q487" t="n">
        <v>0</v>
      </c>
      <c r="R487" s="2" t="inlineStr"/>
      <c r="U487">
        <f>HYPERLINK("https://klasma.github.io/Logging_2083/knärot/A 48254-2023 karta knärot.png", "A 48254-2023")</f>
        <v/>
      </c>
      <c r="V487">
        <f>HYPERLINK("https://klasma.github.io/Logging_2083/klagomål/A 48254-2023 FSC-klagomål.docx", "A 48254-2023")</f>
        <v/>
      </c>
      <c r="W487">
        <f>HYPERLINK("https://klasma.github.io/Logging_2083/klagomålsmail/A 48254-2023 FSC-klagomål mail.docx", "A 48254-2023")</f>
        <v/>
      </c>
      <c r="X487">
        <f>HYPERLINK("https://klasma.github.io/Logging_2083/tillsyn/A 48254-2023 tillsynsbegäran.docx", "A 48254-2023")</f>
        <v/>
      </c>
      <c r="Y487">
        <f>HYPERLINK("https://klasma.github.io/Logging_2083/tillsynsmail/A 48254-2023 tillsynsbegäran mail.docx", "A 48254-2023")</f>
        <v/>
      </c>
    </row>
    <row r="488" ht="15" customHeight="1">
      <c r="A488" t="inlineStr">
        <is>
          <t>A 48834-2023</t>
        </is>
      </c>
      <c r="B488" s="1" t="n">
        <v>45209</v>
      </c>
      <c r="C488" s="1" t="n">
        <v>45754</v>
      </c>
      <c r="D488" t="inlineStr">
        <is>
          <t>DALARNAS LÄN</t>
        </is>
      </c>
      <c r="E488" t="inlineStr">
        <is>
          <t>HEDEMORA</t>
        </is>
      </c>
      <c r="G488" t="n">
        <v>1.9</v>
      </c>
      <c r="H488" t="n">
        <v>0</v>
      </c>
      <c r="I488" t="n">
        <v>0</v>
      </c>
      <c r="J488" t="n">
        <v>0</v>
      </c>
      <c r="K488" t="n">
        <v>0</v>
      </c>
      <c r="L488" t="n">
        <v>0</v>
      </c>
      <c r="M488" t="n">
        <v>0</v>
      </c>
      <c r="N488" t="n">
        <v>0</v>
      </c>
      <c r="O488" t="n">
        <v>0</v>
      </c>
      <c r="P488" t="n">
        <v>0</v>
      </c>
      <c r="Q488" t="n">
        <v>0</v>
      </c>
      <c r="R488" s="2" t="inlineStr"/>
    </row>
    <row r="489" ht="15" customHeight="1">
      <c r="A489" t="inlineStr">
        <is>
          <t>A 48826-2023</t>
        </is>
      </c>
      <c r="B489" s="1" t="n">
        <v>45209</v>
      </c>
      <c r="C489" s="1" t="n">
        <v>45754</v>
      </c>
      <c r="D489" t="inlineStr">
        <is>
          <t>DALARNAS LÄN</t>
        </is>
      </c>
      <c r="E489" t="inlineStr">
        <is>
          <t>HEDEMORA</t>
        </is>
      </c>
      <c r="G489" t="n">
        <v>1</v>
      </c>
      <c r="H489" t="n">
        <v>0</v>
      </c>
      <c r="I489" t="n">
        <v>0</v>
      </c>
      <c r="J489" t="n">
        <v>0</v>
      </c>
      <c r="K489" t="n">
        <v>0</v>
      </c>
      <c r="L489" t="n">
        <v>0</v>
      </c>
      <c r="M489" t="n">
        <v>0</v>
      </c>
      <c r="N489" t="n">
        <v>0</v>
      </c>
      <c r="O489" t="n">
        <v>0</v>
      </c>
      <c r="P489" t="n">
        <v>0</v>
      </c>
      <c r="Q489" t="n">
        <v>0</v>
      </c>
      <c r="R489" s="2" t="inlineStr"/>
    </row>
    <row r="490" ht="15" customHeight="1">
      <c r="A490" t="inlineStr">
        <is>
          <t>A 50333-2023</t>
        </is>
      </c>
      <c r="B490" s="1" t="n">
        <v>45216</v>
      </c>
      <c r="C490" s="1" t="n">
        <v>45754</v>
      </c>
      <c r="D490" t="inlineStr">
        <is>
          <t>DALARNAS LÄN</t>
        </is>
      </c>
      <c r="E490" t="inlineStr">
        <is>
          <t>HEDEMORA</t>
        </is>
      </c>
      <c r="G490" t="n">
        <v>1.1</v>
      </c>
      <c r="H490" t="n">
        <v>0</v>
      </c>
      <c r="I490" t="n">
        <v>0</v>
      </c>
      <c r="J490" t="n">
        <v>0</v>
      </c>
      <c r="K490" t="n">
        <v>0</v>
      </c>
      <c r="L490" t="n">
        <v>0</v>
      </c>
      <c r="M490" t="n">
        <v>0</v>
      </c>
      <c r="N490" t="n">
        <v>0</v>
      </c>
      <c r="O490" t="n">
        <v>0</v>
      </c>
      <c r="P490" t="n">
        <v>0</v>
      </c>
      <c r="Q490" t="n">
        <v>0</v>
      </c>
      <c r="R490" s="2" t="inlineStr"/>
    </row>
    <row r="491" ht="15" customHeight="1">
      <c r="A491" t="inlineStr">
        <is>
          <t>A 50885-2023</t>
        </is>
      </c>
      <c r="B491" s="1" t="n">
        <v>45218</v>
      </c>
      <c r="C491" s="1" t="n">
        <v>45754</v>
      </c>
      <c r="D491" t="inlineStr">
        <is>
          <t>DALARNAS LÄN</t>
        </is>
      </c>
      <c r="E491" t="inlineStr">
        <is>
          <t>HEDEMORA</t>
        </is>
      </c>
      <c r="G491" t="n">
        <v>0.7</v>
      </c>
      <c r="H491" t="n">
        <v>0</v>
      </c>
      <c r="I491" t="n">
        <v>0</v>
      </c>
      <c r="J491" t="n">
        <v>0</v>
      </c>
      <c r="K491" t="n">
        <v>0</v>
      </c>
      <c r="L491" t="n">
        <v>0</v>
      </c>
      <c r="M491" t="n">
        <v>0</v>
      </c>
      <c r="N491" t="n">
        <v>0</v>
      </c>
      <c r="O491" t="n">
        <v>0</v>
      </c>
      <c r="P491" t="n">
        <v>0</v>
      </c>
      <c r="Q491" t="n">
        <v>0</v>
      </c>
      <c r="R491" s="2" t="inlineStr"/>
    </row>
    <row r="492" ht="15" customHeight="1">
      <c r="A492" t="inlineStr">
        <is>
          <t>A 51879-2023</t>
        </is>
      </c>
      <c r="B492" s="1" t="n">
        <v>45223</v>
      </c>
      <c r="C492" s="1" t="n">
        <v>45754</v>
      </c>
      <c r="D492" t="inlineStr">
        <is>
          <t>DALARNAS LÄN</t>
        </is>
      </c>
      <c r="E492" t="inlineStr">
        <is>
          <t>HEDEMORA</t>
        </is>
      </c>
      <c r="G492" t="n">
        <v>2.1</v>
      </c>
      <c r="H492" t="n">
        <v>0</v>
      </c>
      <c r="I492" t="n">
        <v>0</v>
      </c>
      <c r="J492" t="n">
        <v>0</v>
      </c>
      <c r="K492" t="n">
        <v>0</v>
      </c>
      <c r="L492" t="n">
        <v>0</v>
      </c>
      <c r="M492" t="n">
        <v>0</v>
      </c>
      <c r="N492" t="n">
        <v>0</v>
      </c>
      <c r="O492" t="n">
        <v>0</v>
      </c>
      <c r="P492" t="n">
        <v>0</v>
      </c>
      <c r="Q492" t="n">
        <v>0</v>
      </c>
      <c r="R492" s="2" t="inlineStr"/>
    </row>
    <row r="493" ht="15" customHeight="1">
      <c r="A493" t="inlineStr">
        <is>
          <t>A 52967-2023</t>
        </is>
      </c>
      <c r="B493" s="1" t="n">
        <v>45226</v>
      </c>
      <c r="C493" s="1" t="n">
        <v>45754</v>
      </c>
      <c r="D493" t="inlineStr">
        <is>
          <t>DALARNAS LÄN</t>
        </is>
      </c>
      <c r="E493" t="inlineStr">
        <is>
          <t>HEDEMORA</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53743-2023</t>
        </is>
      </c>
      <c r="B494" s="1" t="n">
        <v>45230</v>
      </c>
      <c r="C494" s="1" t="n">
        <v>45754</v>
      </c>
      <c r="D494" t="inlineStr">
        <is>
          <t>DALARNAS LÄN</t>
        </is>
      </c>
      <c r="E494" t="inlineStr">
        <is>
          <t>HEDEMORA</t>
        </is>
      </c>
      <c r="G494" t="n">
        <v>3.8</v>
      </c>
      <c r="H494" t="n">
        <v>0</v>
      </c>
      <c r="I494" t="n">
        <v>0</v>
      </c>
      <c r="J494" t="n">
        <v>0</v>
      </c>
      <c r="K494" t="n">
        <v>0</v>
      </c>
      <c r="L494" t="n">
        <v>0</v>
      </c>
      <c r="M494" t="n">
        <v>0</v>
      </c>
      <c r="N494" t="n">
        <v>0</v>
      </c>
      <c r="O494" t="n">
        <v>0</v>
      </c>
      <c r="P494" t="n">
        <v>0</v>
      </c>
      <c r="Q494" t="n">
        <v>0</v>
      </c>
      <c r="R494" s="2" t="inlineStr"/>
    </row>
    <row r="495" ht="15" customHeight="1">
      <c r="A495" t="inlineStr">
        <is>
          <t>A 53588-2023</t>
        </is>
      </c>
      <c r="B495" s="1" t="n">
        <v>45230</v>
      </c>
      <c r="C495" s="1" t="n">
        <v>45754</v>
      </c>
      <c r="D495" t="inlineStr">
        <is>
          <t>DALARNAS LÄN</t>
        </is>
      </c>
      <c r="E495" t="inlineStr">
        <is>
          <t>HEDEMORA</t>
        </is>
      </c>
      <c r="G495" t="n">
        <v>0.6</v>
      </c>
      <c r="H495" t="n">
        <v>0</v>
      </c>
      <c r="I495" t="n">
        <v>0</v>
      </c>
      <c r="J495" t="n">
        <v>0</v>
      </c>
      <c r="K495" t="n">
        <v>0</v>
      </c>
      <c r="L495" t="n">
        <v>0</v>
      </c>
      <c r="M495" t="n">
        <v>0</v>
      </c>
      <c r="N495" t="n">
        <v>0</v>
      </c>
      <c r="O495" t="n">
        <v>0</v>
      </c>
      <c r="P495" t="n">
        <v>0</v>
      </c>
      <c r="Q495" t="n">
        <v>0</v>
      </c>
      <c r="R495" s="2" t="inlineStr"/>
    </row>
    <row r="496" ht="15" customHeight="1">
      <c r="A496" t="inlineStr">
        <is>
          <t>A 53584-2023</t>
        </is>
      </c>
      <c r="B496" s="1" t="n">
        <v>45230</v>
      </c>
      <c r="C496" s="1" t="n">
        <v>45754</v>
      </c>
      <c r="D496" t="inlineStr">
        <is>
          <t>DALARNAS LÄN</t>
        </is>
      </c>
      <c r="E496" t="inlineStr">
        <is>
          <t>HEDEMORA</t>
        </is>
      </c>
      <c r="G496" t="n">
        <v>6.6</v>
      </c>
      <c r="H496" t="n">
        <v>0</v>
      </c>
      <c r="I496" t="n">
        <v>0</v>
      </c>
      <c r="J496" t="n">
        <v>0</v>
      </c>
      <c r="K496" t="n">
        <v>0</v>
      </c>
      <c r="L496" t="n">
        <v>0</v>
      </c>
      <c r="M496" t="n">
        <v>0</v>
      </c>
      <c r="N496" t="n">
        <v>0</v>
      </c>
      <c r="O496" t="n">
        <v>0</v>
      </c>
      <c r="P496" t="n">
        <v>0</v>
      </c>
      <c r="Q496" t="n">
        <v>0</v>
      </c>
      <c r="R496" s="2" t="inlineStr"/>
    </row>
    <row r="497" ht="15" customHeight="1">
      <c r="A497" t="inlineStr">
        <is>
          <t>A 53576-2023</t>
        </is>
      </c>
      <c r="B497" s="1" t="n">
        <v>45230</v>
      </c>
      <c r="C497" s="1" t="n">
        <v>45754</v>
      </c>
      <c r="D497" t="inlineStr">
        <is>
          <t>DALARNAS LÄN</t>
        </is>
      </c>
      <c r="E497" t="inlineStr">
        <is>
          <t>HEDEMORA</t>
        </is>
      </c>
      <c r="G497" t="n">
        <v>0.9</v>
      </c>
      <c r="H497" t="n">
        <v>0</v>
      </c>
      <c r="I497" t="n">
        <v>0</v>
      </c>
      <c r="J497" t="n">
        <v>0</v>
      </c>
      <c r="K497" t="n">
        <v>0</v>
      </c>
      <c r="L497" t="n">
        <v>0</v>
      </c>
      <c r="M497" t="n">
        <v>0</v>
      </c>
      <c r="N497" t="n">
        <v>0</v>
      </c>
      <c r="O497" t="n">
        <v>0</v>
      </c>
      <c r="P497" t="n">
        <v>0</v>
      </c>
      <c r="Q497" t="n">
        <v>0</v>
      </c>
      <c r="R497" s="2" t="inlineStr"/>
    </row>
    <row r="498" ht="15" customHeight="1">
      <c r="A498" t="inlineStr">
        <is>
          <t>A 53568-2023</t>
        </is>
      </c>
      <c r="B498" s="1" t="n">
        <v>45230</v>
      </c>
      <c r="C498" s="1" t="n">
        <v>45754</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53586-2023</t>
        </is>
      </c>
      <c r="B499" s="1" t="n">
        <v>45230</v>
      </c>
      <c r="C499" s="1" t="n">
        <v>45754</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54423-2023</t>
        </is>
      </c>
      <c r="B500" s="1" t="n">
        <v>45233</v>
      </c>
      <c r="C500" s="1" t="n">
        <v>45754</v>
      </c>
      <c r="D500" t="inlineStr">
        <is>
          <t>DALARNAS LÄN</t>
        </is>
      </c>
      <c r="E500" t="inlineStr">
        <is>
          <t>HEDEMORA</t>
        </is>
      </c>
      <c r="G500" t="n">
        <v>3.4</v>
      </c>
      <c r="H500" t="n">
        <v>0</v>
      </c>
      <c r="I500" t="n">
        <v>0</v>
      </c>
      <c r="J500" t="n">
        <v>0</v>
      </c>
      <c r="K500" t="n">
        <v>0</v>
      </c>
      <c r="L500" t="n">
        <v>0</v>
      </c>
      <c r="M500" t="n">
        <v>0</v>
      </c>
      <c r="N500" t="n">
        <v>0</v>
      </c>
      <c r="O500" t="n">
        <v>0</v>
      </c>
      <c r="P500" t="n">
        <v>0</v>
      </c>
      <c r="Q500" t="n">
        <v>0</v>
      </c>
      <c r="R500" s="2" t="inlineStr"/>
    </row>
    <row r="501" ht="15" customHeight="1">
      <c r="A501" t="inlineStr">
        <is>
          <t>A 54440-2023</t>
        </is>
      </c>
      <c r="B501" s="1" t="n">
        <v>45233</v>
      </c>
      <c r="C501" s="1" t="n">
        <v>45754</v>
      </c>
      <c r="D501" t="inlineStr">
        <is>
          <t>DALARNAS LÄN</t>
        </is>
      </c>
      <c r="E501" t="inlineStr">
        <is>
          <t>HEDEMORA</t>
        </is>
      </c>
      <c r="G501" t="n">
        <v>1.1</v>
      </c>
      <c r="H501" t="n">
        <v>0</v>
      </c>
      <c r="I501" t="n">
        <v>0</v>
      </c>
      <c r="J501" t="n">
        <v>0</v>
      </c>
      <c r="K501" t="n">
        <v>0</v>
      </c>
      <c r="L501" t="n">
        <v>0</v>
      </c>
      <c r="M501" t="n">
        <v>0</v>
      </c>
      <c r="N501" t="n">
        <v>0</v>
      </c>
      <c r="O501" t="n">
        <v>0</v>
      </c>
      <c r="P501" t="n">
        <v>0</v>
      </c>
      <c r="Q501" t="n">
        <v>0</v>
      </c>
      <c r="R501" s="2" t="inlineStr"/>
    </row>
    <row r="502" ht="15" customHeight="1">
      <c r="A502" t="inlineStr">
        <is>
          <t>A 55881-2023</t>
        </is>
      </c>
      <c r="B502" s="1" t="n">
        <v>45239</v>
      </c>
      <c r="C502" s="1" t="n">
        <v>45754</v>
      </c>
      <c r="D502" t="inlineStr">
        <is>
          <t>DALARNAS LÄN</t>
        </is>
      </c>
      <c r="E502" t="inlineStr">
        <is>
          <t>HEDEMORA</t>
        </is>
      </c>
      <c r="F502" t="inlineStr">
        <is>
          <t>Sveaskog</t>
        </is>
      </c>
      <c r="G502" t="n">
        <v>3.9</v>
      </c>
      <c r="H502" t="n">
        <v>0</v>
      </c>
      <c r="I502" t="n">
        <v>0</v>
      </c>
      <c r="J502" t="n">
        <v>0</v>
      </c>
      <c r="K502" t="n">
        <v>0</v>
      </c>
      <c r="L502" t="n">
        <v>0</v>
      </c>
      <c r="M502" t="n">
        <v>0</v>
      </c>
      <c r="N502" t="n">
        <v>0</v>
      </c>
      <c r="O502" t="n">
        <v>0</v>
      </c>
      <c r="P502" t="n">
        <v>0</v>
      </c>
      <c r="Q502" t="n">
        <v>0</v>
      </c>
      <c r="R502" s="2" t="inlineStr"/>
    </row>
    <row r="503" ht="15" customHeight="1">
      <c r="A503" t="inlineStr">
        <is>
          <t>A 55882-2023</t>
        </is>
      </c>
      <c r="B503" s="1" t="n">
        <v>45239</v>
      </c>
      <c r="C503" s="1" t="n">
        <v>45754</v>
      </c>
      <c r="D503" t="inlineStr">
        <is>
          <t>DALARNAS LÄN</t>
        </is>
      </c>
      <c r="E503" t="inlineStr">
        <is>
          <t>HEDEMORA</t>
        </is>
      </c>
      <c r="F503" t="inlineStr">
        <is>
          <t>Sveaskog</t>
        </is>
      </c>
      <c r="G503" t="n">
        <v>5.2</v>
      </c>
      <c r="H503" t="n">
        <v>0</v>
      </c>
      <c r="I503" t="n">
        <v>0</v>
      </c>
      <c r="J503" t="n">
        <v>0</v>
      </c>
      <c r="K503" t="n">
        <v>0</v>
      </c>
      <c r="L503" t="n">
        <v>0</v>
      </c>
      <c r="M503" t="n">
        <v>0</v>
      </c>
      <c r="N503" t="n">
        <v>0</v>
      </c>
      <c r="O503" t="n">
        <v>0</v>
      </c>
      <c r="P503" t="n">
        <v>0</v>
      </c>
      <c r="Q503" t="n">
        <v>0</v>
      </c>
      <c r="R503" s="2" t="inlineStr"/>
    </row>
    <row r="504" ht="15" customHeight="1">
      <c r="A504" t="inlineStr">
        <is>
          <t>A 55981-2023</t>
        </is>
      </c>
      <c r="B504" s="1" t="n">
        <v>45240</v>
      </c>
      <c r="C504" s="1" t="n">
        <v>45754</v>
      </c>
      <c r="D504" t="inlineStr">
        <is>
          <t>DALARNAS LÄN</t>
        </is>
      </c>
      <c r="E504" t="inlineStr">
        <is>
          <t>HEDEMORA</t>
        </is>
      </c>
      <c r="G504" t="n">
        <v>3.2</v>
      </c>
      <c r="H504" t="n">
        <v>0</v>
      </c>
      <c r="I504" t="n">
        <v>0</v>
      </c>
      <c r="J504" t="n">
        <v>0</v>
      </c>
      <c r="K504" t="n">
        <v>0</v>
      </c>
      <c r="L504" t="n">
        <v>0</v>
      </c>
      <c r="M504" t="n">
        <v>0</v>
      </c>
      <c r="N504" t="n">
        <v>0</v>
      </c>
      <c r="O504" t="n">
        <v>0</v>
      </c>
      <c r="P504" t="n">
        <v>0</v>
      </c>
      <c r="Q504" t="n">
        <v>0</v>
      </c>
      <c r="R504" s="2" t="inlineStr"/>
    </row>
    <row r="505" ht="15" customHeight="1">
      <c r="A505" t="inlineStr">
        <is>
          <t>A 57486-2023</t>
        </is>
      </c>
      <c r="B505" s="1" t="n">
        <v>45246</v>
      </c>
      <c r="C505" s="1" t="n">
        <v>45754</v>
      </c>
      <c r="D505" t="inlineStr">
        <is>
          <t>DALARNAS LÄN</t>
        </is>
      </c>
      <c r="E505" t="inlineStr">
        <is>
          <t>HEDEMORA</t>
        </is>
      </c>
      <c r="F505" t="inlineStr">
        <is>
          <t>Bergvik skog väst AB</t>
        </is>
      </c>
      <c r="G505" t="n">
        <v>4.2</v>
      </c>
      <c r="H505" t="n">
        <v>0</v>
      </c>
      <c r="I505" t="n">
        <v>0</v>
      </c>
      <c r="J505" t="n">
        <v>0</v>
      </c>
      <c r="K505" t="n">
        <v>0</v>
      </c>
      <c r="L505" t="n">
        <v>0</v>
      </c>
      <c r="M505" t="n">
        <v>0</v>
      </c>
      <c r="N505" t="n">
        <v>0</v>
      </c>
      <c r="O505" t="n">
        <v>0</v>
      </c>
      <c r="P505" t="n">
        <v>0</v>
      </c>
      <c r="Q505" t="n">
        <v>0</v>
      </c>
      <c r="R505" s="2" t="inlineStr"/>
    </row>
    <row r="506" ht="15" customHeight="1">
      <c r="A506" t="inlineStr">
        <is>
          <t>A 58841-2023</t>
        </is>
      </c>
      <c r="B506" s="1" t="n">
        <v>45252</v>
      </c>
      <c r="C506" s="1" t="n">
        <v>45754</v>
      </c>
      <c r="D506" t="inlineStr">
        <is>
          <t>DALARNAS LÄN</t>
        </is>
      </c>
      <c r="E506" t="inlineStr">
        <is>
          <t>HEDEMORA</t>
        </is>
      </c>
      <c r="G506" t="n">
        <v>14.8</v>
      </c>
      <c r="H506" t="n">
        <v>0</v>
      </c>
      <c r="I506" t="n">
        <v>0</v>
      </c>
      <c r="J506" t="n">
        <v>0</v>
      </c>
      <c r="K506" t="n">
        <v>0</v>
      </c>
      <c r="L506" t="n">
        <v>0</v>
      </c>
      <c r="M506" t="n">
        <v>0</v>
      </c>
      <c r="N506" t="n">
        <v>0</v>
      </c>
      <c r="O506" t="n">
        <v>0</v>
      </c>
      <c r="P506" t="n">
        <v>0</v>
      </c>
      <c r="Q506" t="n">
        <v>0</v>
      </c>
      <c r="R506" s="2" t="inlineStr"/>
    </row>
    <row r="507" ht="15" customHeight="1">
      <c r="A507" t="inlineStr">
        <is>
          <t>A 59249-2023</t>
        </is>
      </c>
      <c r="B507" s="1" t="n">
        <v>45253</v>
      </c>
      <c r="C507" s="1" t="n">
        <v>45754</v>
      </c>
      <c r="D507" t="inlineStr">
        <is>
          <t>DALARNAS LÄN</t>
        </is>
      </c>
      <c r="E507" t="inlineStr">
        <is>
          <t>HEDEMORA</t>
        </is>
      </c>
      <c r="G507" t="n">
        <v>1.2</v>
      </c>
      <c r="H507" t="n">
        <v>0</v>
      </c>
      <c r="I507" t="n">
        <v>0</v>
      </c>
      <c r="J507" t="n">
        <v>0</v>
      </c>
      <c r="K507" t="n">
        <v>0</v>
      </c>
      <c r="L507" t="n">
        <v>0</v>
      </c>
      <c r="M507" t="n">
        <v>0</v>
      </c>
      <c r="N507" t="n">
        <v>0</v>
      </c>
      <c r="O507" t="n">
        <v>0</v>
      </c>
      <c r="P507" t="n">
        <v>0</v>
      </c>
      <c r="Q507" t="n">
        <v>0</v>
      </c>
      <c r="R507" s="2" t="inlineStr"/>
    </row>
    <row r="508" ht="15" customHeight="1">
      <c r="A508" t="inlineStr">
        <is>
          <t>A 59235-2023</t>
        </is>
      </c>
      <c r="B508" s="1" t="n">
        <v>45253</v>
      </c>
      <c r="C508" s="1" t="n">
        <v>45754</v>
      </c>
      <c r="D508" t="inlineStr">
        <is>
          <t>DALARNAS LÄN</t>
        </is>
      </c>
      <c r="E508" t="inlineStr">
        <is>
          <t>HEDEMORA</t>
        </is>
      </c>
      <c r="G508" t="n">
        <v>2.4</v>
      </c>
      <c r="H508" t="n">
        <v>0</v>
      </c>
      <c r="I508" t="n">
        <v>0</v>
      </c>
      <c r="J508" t="n">
        <v>0</v>
      </c>
      <c r="K508" t="n">
        <v>0</v>
      </c>
      <c r="L508" t="n">
        <v>0</v>
      </c>
      <c r="M508" t="n">
        <v>0</v>
      </c>
      <c r="N508" t="n">
        <v>0</v>
      </c>
      <c r="O508" t="n">
        <v>0</v>
      </c>
      <c r="P508" t="n">
        <v>0</v>
      </c>
      <c r="Q508" t="n">
        <v>0</v>
      </c>
      <c r="R508" s="2" t="inlineStr"/>
    </row>
    <row r="509" ht="15" customHeight="1">
      <c r="A509" t="inlineStr">
        <is>
          <t>A 59140-2023</t>
        </is>
      </c>
      <c r="B509" s="1" t="n">
        <v>45253</v>
      </c>
      <c r="C509" s="1" t="n">
        <v>45754</v>
      </c>
      <c r="D509" t="inlineStr">
        <is>
          <t>DALARNAS LÄN</t>
        </is>
      </c>
      <c r="E509" t="inlineStr">
        <is>
          <t>HEDEMORA</t>
        </is>
      </c>
      <c r="F509" t="inlineStr">
        <is>
          <t>Sveaskog</t>
        </is>
      </c>
      <c r="G509" t="n">
        <v>6.7</v>
      </c>
      <c r="H509" t="n">
        <v>0</v>
      </c>
      <c r="I509" t="n">
        <v>0</v>
      </c>
      <c r="J509" t="n">
        <v>0</v>
      </c>
      <c r="K509" t="n">
        <v>0</v>
      </c>
      <c r="L509" t="n">
        <v>0</v>
      </c>
      <c r="M509" t="n">
        <v>0</v>
      </c>
      <c r="N509" t="n">
        <v>0</v>
      </c>
      <c r="O509" t="n">
        <v>0</v>
      </c>
      <c r="P509" t="n">
        <v>0</v>
      </c>
      <c r="Q509" t="n">
        <v>0</v>
      </c>
      <c r="R509" s="2" t="inlineStr"/>
    </row>
    <row r="510" ht="15" customHeight="1">
      <c r="A510" t="inlineStr">
        <is>
          <t>A 59232-2023</t>
        </is>
      </c>
      <c r="B510" s="1" t="n">
        <v>45253</v>
      </c>
      <c r="C510" s="1" t="n">
        <v>45754</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59515-2023</t>
        </is>
      </c>
      <c r="B511" s="1" t="n">
        <v>45253</v>
      </c>
      <c r="C511" s="1" t="n">
        <v>45754</v>
      </c>
      <c r="D511" t="inlineStr">
        <is>
          <t>DALARNAS LÄN</t>
        </is>
      </c>
      <c r="E511" t="inlineStr">
        <is>
          <t>HEDEMORA</t>
        </is>
      </c>
      <c r="G511" t="n">
        <v>5.1</v>
      </c>
      <c r="H511" t="n">
        <v>0</v>
      </c>
      <c r="I511" t="n">
        <v>0</v>
      </c>
      <c r="J511" t="n">
        <v>0</v>
      </c>
      <c r="K511" t="n">
        <v>0</v>
      </c>
      <c r="L511" t="n">
        <v>0</v>
      </c>
      <c r="M511" t="n">
        <v>0</v>
      </c>
      <c r="N511" t="n">
        <v>0</v>
      </c>
      <c r="O511" t="n">
        <v>0</v>
      </c>
      <c r="P511" t="n">
        <v>0</v>
      </c>
      <c r="Q511" t="n">
        <v>0</v>
      </c>
      <c r="R511" s="2" t="inlineStr"/>
    </row>
    <row r="512" ht="15" customHeight="1">
      <c r="A512" t="inlineStr">
        <is>
          <t>A 59519-2023</t>
        </is>
      </c>
      <c r="B512" s="1" t="n">
        <v>45253</v>
      </c>
      <c r="C512" s="1" t="n">
        <v>45754</v>
      </c>
      <c r="D512" t="inlineStr">
        <is>
          <t>DALARNAS LÄN</t>
        </is>
      </c>
      <c r="E512" t="inlineStr">
        <is>
          <t>HEDEMORA</t>
        </is>
      </c>
      <c r="G512" t="n">
        <v>1.9</v>
      </c>
      <c r="H512" t="n">
        <v>0</v>
      </c>
      <c r="I512" t="n">
        <v>0</v>
      </c>
      <c r="J512" t="n">
        <v>0</v>
      </c>
      <c r="K512" t="n">
        <v>0</v>
      </c>
      <c r="L512" t="n">
        <v>0</v>
      </c>
      <c r="M512" t="n">
        <v>0</v>
      </c>
      <c r="N512" t="n">
        <v>0</v>
      </c>
      <c r="O512" t="n">
        <v>0</v>
      </c>
      <c r="P512" t="n">
        <v>0</v>
      </c>
      <c r="Q512" t="n">
        <v>0</v>
      </c>
      <c r="R512" s="2" t="inlineStr"/>
    </row>
    <row r="513" ht="15" customHeight="1">
      <c r="A513" t="inlineStr">
        <is>
          <t>A 59632-2023</t>
        </is>
      </c>
      <c r="B513" s="1" t="n">
        <v>45254</v>
      </c>
      <c r="C513" s="1" t="n">
        <v>45754</v>
      </c>
      <c r="D513" t="inlineStr">
        <is>
          <t>DALARNAS LÄN</t>
        </is>
      </c>
      <c r="E513" t="inlineStr">
        <is>
          <t>HEDEMORA</t>
        </is>
      </c>
      <c r="G513" t="n">
        <v>1.4</v>
      </c>
      <c r="H513" t="n">
        <v>0</v>
      </c>
      <c r="I513" t="n">
        <v>0</v>
      </c>
      <c r="J513" t="n">
        <v>0</v>
      </c>
      <c r="K513" t="n">
        <v>0</v>
      </c>
      <c r="L513" t="n">
        <v>0</v>
      </c>
      <c r="M513" t="n">
        <v>0</v>
      </c>
      <c r="N513" t="n">
        <v>0</v>
      </c>
      <c r="O513" t="n">
        <v>0</v>
      </c>
      <c r="P513" t="n">
        <v>0</v>
      </c>
      <c r="Q513" t="n">
        <v>0</v>
      </c>
      <c r="R513" s="2" t="inlineStr"/>
    </row>
    <row r="514" ht="15" customHeight="1">
      <c r="A514" t="inlineStr">
        <is>
          <t>A 59728-2023</t>
        </is>
      </c>
      <c r="B514" s="1" t="n">
        <v>45257</v>
      </c>
      <c r="C514" s="1" t="n">
        <v>45754</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60496-2023</t>
        </is>
      </c>
      <c r="B515" s="1" t="n">
        <v>45259</v>
      </c>
      <c r="C515" s="1" t="n">
        <v>45754</v>
      </c>
      <c r="D515" t="inlineStr">
        <is>
          <t>DALARNAS LÄN</t>
        </is>
      </c>
      <c r="E515" t="inlineStr">
        <is>
          <t>HEDEMORA</t>
        </is>
      </c>
      <c r="G515" t="n">
        <v>0.8</v>
      </c>
      <c r="H515" t="n">
        <v>0</v>
      </c>
      <c r="I515" t="n">
        <v>0</v>
      </c>
      <c r="J515" t="n">
        <v>0</v>
      </c>
      <c r="K515" t="n">
        <v>0</v>
      </c>
      <c r="L515" t="n">
        <v>0</v>
      </c>
      <c r="M515" t="n">
        <v>0</v>
      </c>
      <c r="N515" t="n">
        <v>0</v>
      </c>
      <c r="O515" t="n">
        <v>0</v>
      </c>
      <c r="P515" t="n">
        <v>0</v>
      </c>
      <c r="Q515" t="n">
        <v>0</v>
      </c>
      <c r="R515" s="2" t="inlineStr"/>
      <c r="U515">
        <f>HYPERLINK("https://klasma.github.io/Logging_2083/knärot/A 60496-2023 karta knärot.png", "A 60496-2023")</f>
        <v/>
      </c>
      <c r="V515">
        <f>HYPERLINK("https://klasma.github.io/Logging_2083/klagomål/A 60496-2023 FSC-klagomål.docx", "A 60496-2023")</f>
        <v/>
      </c>
      <c r="W515">
        <f>HYPERLINK("https://klasma.github.io/Logging_2083/klagomålsmail/A 60496-2023 FSC-klagomål mail.docx", "A 60496-2023")</f>
        <v/>
      </c>
      <c r="X515">
        <f>HYPERLINK("https://klasma.github.io/Logging_2083/tillsyn/A 60496-2023 tillsynsbegäran.docx", "A 60496-2023")</f>
        <v/>
      </c>
      <c r="Y515">
        <f>HYPERLINK("https://klasma.github.io/Logging_2083/tillsynsmail/A 60496-2023 tillsynsbegäran mail.docx", "A 60496-2023")</f>
        <v/>
      </c>
    </row>
    <row r="516" ht="15" customHeight="1">
      <c r="A516" t="inlineStr">
        <is>
          <t>A 60767-2023</t>
        </is>
      </c>
      <c r="B516" s="1" t="n">
        <v>45260</v>
      </c>
      <c r="C516" s="1" t="n">
        <v>45754</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60806-2023</t>
        </is>
      </c>
      <c r="B517" s="1" t="n">
        <v>45260</v>
      </c>
      <c r="C517" s="1" t="n">
        <v>45754</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60786-2023</t>
        </is>
      </c>
      <c r="B518" s="1" t="n">
        <v>45260</v>
      </c>
      <c r="C518" s="1" t="n">
        <v>45754</v>
      </c>
      <c r="D518" t="inlineStr">
        <is>
          <t>DALARNAS LÄN</t>
        </is>
      </c>
      <c r="E518" t="inlineStr">
        <is>
          <t>HEDEMORA</t>
        </is>
      </c>
      <c r="G518" t="n">
        <v>7.1</v>
      </c>
      <c r="H518" t="n">
        <v>0</v>
      </c>
      <c r="I518" t="n">
        <v>0</v>
      </c>
      <c r="J518" t="n">
        <v>0</v>
      </c>
      <c r="K518" t="n">
        <v>0</v>
      </c>
      <c r="L518" t="n">
        <v>0</v>
      </c>
      <c r="M518" t="n">
        <v>0</v>
      </c>
      <c r="N518" t="n">
        <v>0</v>
      </c>
      <c r="O518" t="n">
        <v>0</v>
      </c>
      <c r="P518" t="n">
        <v>0</v>
      </c>
      <c r="Q518" t="n">
        <v>0</v>
      </c>
      <c r="R518" s="2" t="inlineStr"/>
    </row>
    <row r="519" ht="15" customHeight="1">
      <c r="A519" t="inlineStr">
        <is>
          <t>A 60811-2023</t>
        </is>
      </c>
      <c r="B519" s="1" t="n">
        <v>45260</v>
      </c>
      <c r="C519" s="1" t="n">
        <v>45754</v>
      </c>
      <c r="D519" t="inlineStr">
        <is>
          <t>DALARNAS LÄN</t>
        </is>
      </c>
      <c r="E519" t="inlineStr">
        <is>
          <t>HEDEMORA</t>
        </is>
      </c>
      <c r="G519" t="n">
        <v>3.9</v>
      </c>
      <c r="H519" t="n">
        <v>0</v>
      </c>
      <c r="I519" t="n">
        <v>0</v>
      </c>
      <c r="J519" t="n">
        <v>0</v>
      </c>
      <c r="K519" t="n">
        <v>0</v>
      </c>
      <c r="L519" t="n">
        <v>0</v>
      </c>
      <c r="M519" t="n">
        <v>0</v>
      </c>
      <c r="N519" t="n">
        <v>0</v>
      </c>
      <c r="O519" t="n">
        <v>0</v>
      </c>
      <c r="P519" t="n">
        <v>0</v>
      </c>
      <c r="Q519" t="n">
        <v>0</v>
      </c>
      <c r="R519" s="2" t="inlineStr"/>
    </row>
    <row r="520" ht="15" customHeight="1">
      <c r="A520" t="inlineStr">
        <is>
          <t>A 61671-2023</t>
        </is>
      </c>
      <c r="B520" s="1" t="n">
        <v>45265</v>
      </c>
      <c r="C520" s="1" t="n">
        <v>45754</v>
      </c>
      <c r="D520" t="inlineStr">
        <is>
          <t>DALARNAS LÄN</t>
        </is>
      </c>
      <c r="E520" t="inlineStr">
        <is>
          <t>HEDEMORA</t>
        </is>
      </c>
      <c r="F520" t="inlineStr">
        <is>
          <t>Bergvik skog väst AB</t>
        </is>
      </c>
      <c r="G520" t="n">
        <v>6.5</v>
      </c>
      <c r="H520" t="n">
        <v>0</v>
      </c>
      <c r="I520" t="n">
        <v>0</v>
      </c>
      <c r="J520" t="n">
        <v>0</v>
      </c>
      <c r="K520" t="n">
        <v>0</v>
      </c>
      <c r="L520" t="n">
        <v>0</v>
      </c>
      <c r="M520" t="n">
        <v>0</v>
      </c>
      <c r="N520" t="n">
        <v>0</v>
      </c>
      <c r="O520" t="n">
        <v>0</v>
      </c>
      <c r="P520" t="n">
        <v>0</v>
      </c>
      <c r="Q520" t="n">
        <v>0</v>
      </c>
      <c r="R520" s="2" t="inlineStr"/>
    </row>
    <row r="521" ht="15" customHeight="1">
      <c r="A521" t="inlineStr">
        <is>
          <t>A 62054-2023</t>
        </is>
      </c>
      <c r="B521" s="1" t="n">
        <v>45265</v>
      </c>
      <c r="C521" s="1" t="n">
        <v>45754</v>
      </c>
      <c r="D521" t="inlineStr">
        <is>
          <t>DALARNAS LÄN</t>
        </is>
      </c>
      <c r="E521" t="inlineStr">
        <is>
          <t>HEDEMORA</t>
        </is>
      </c>
      <c r="G521" t="n">
        <v>2.3</v>
      </c>
      <c r="H521" t="n">
        <v>0</v>
      </c>
      <c r="I521" t="n">
        <v>0</v>
      </c>
      <c r="J521" t="n">
        <v>0</v>
      </c>
      <c r="K521" t="n">
        <v>0</v>
      </c>
      <c r="L521" t="n">
        <v>0</v>
      </c>
      <c r="M521" t="n">
        <v>0</v>
      </c>
      <c r="N521" t="n">
        <v>0</v>
      </c>
      <c r="O521" t="n">
        <v>0</v>
      </c>
      <c r="P521" t="n">
        <v>0</v>
      </c>
      <c r="Q521" t="n">
        <v>0</v>
      </c>
      <c r="R521" s="2" t="inlineStr"/>
    </row>
    <row r="522" ht="15" customHeight="1">
      <c r="A522" t="inlineStr">
        <is>
          <t>A 62188-2023</t>
        </is>
      </c>
      <c r="B522" s="1" t="n">
        <v>45267</v>
      </c>
      <c r="C522" s="1" t="n">
        <v>45754</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62386-2023</t>
        </is>
      </c>
      <c r="B523" s="1" t="n">
        <v>45268</v>
      </c>
      <c r="C523" s="1" t="n">
        <v>45754</v>
      </c>
      <c r="D523" t="inlineStr">
        <is>
          <t>DALARNAS LÄN</t>
        </is>
      </c>
      <c r="E523" t="inlineStr">
        <is>
          <t>HEDEMORA</t>
        </is>
      </c>
      <c r="G523" t="n">
        <v>1.7</v>
      </c>
      <c r="H523" t="n">
        <v>0</v>
      </c>
      <c r="I523" t="n">
        <v>0</v>
      </c>
      <c r="J523" t="n">
        <v>0</v>
      </c>
      <c r="K523" t="n">
        <v>0</v>
      </c>
      <c r="L523" t="n">
        <v>0</v>
      </c>
      <c r="M523" t="n">
        <v>0</v>
      </c>
      <c r="N523" t="n">
        <v>0</v>
      </c>
      <c r="O523" t="n">
        <v>0</v>
      </c>
      <c r="P523" t="n">
        <v>0</v>
      </c>
      <c r="Q523" t="n">
        <v>0</v>
      </c>
      <c r="R523" s="2" t="inlineStr"/>
    </row>
    <row r="524" ht="15" customHeight="1">
      <c r="A524" t="inlineStr">
        <is>
          <t>A 62401-2023</t>
        </is>
      </c>
      <c r="B524" s="1" t="n">
        <v>45268</v>
      </c>
      <c r="C524" s="1" t="n">
        <v>45754</v>
      </c>
      <c r="D524" t="inlineStr">
        <is>
          <t>DALARNAS LÄN</t>
        </is>
      </c>
      <c r="E524" t="inlineStr">
        <is>
          <t>HEDEMORA</t>
        </is>
      </c>
      <c r="G524" t="n">
        <v>1.6</v>
      </c>
      <c r="H524" t="n">
        <v>0</v>
      </c>
      <c r="I524" t="n">
        <v>0</v>
      </c>
      <c r="J524" t="n">
        <v>0</v>
      </c>
      <c r="K524" t="n">
        <v>0</v>
      </c>
      <c r="L524" t="n">
        <v>0</v>
      </c>
      <c r="M524" t="n">
        <v>0</v>
      </c>
      <c r="N524" t="n">
        <v>0</v>
      </c>
      <c r="O524" t="n">
        <v>0</v>
      </c>
      <c r="P524" t="n">
        <v>0</v>
      </c>
      <c r="Q524" t="n">
        <v>0</v>
      </c>
      <c r="R524" s="2" t="inlineStr"/>
    </row>
    <row r="525" ht="15" customHeight="1">
      <c r="A525" t="inlineStr">
        <is>
          <t>A 62398-2023</t>
        </is>
      </c>
      <c r="B525" s="1" t="n">
        <v>45268</v>
      </c>
      <c r="C525" s="1" t="n">
        <v>45754</v>
      </c>
      <c r="D525" t="inlineStr">
        <is>
          <t>DALARNAS LÄN</t>
        </is>
      </c>
      <c r="E525" t="inlineStr">
        <is>
          <t>HEDEMORA</t>
        </is>
      </c>
      <c r="G525" t="n">
        <v>2.1</v>
      </c>
      <c r="H525" t="n">
        <v>0</v>
      </c>
      <c r="I525" t="n">
        <v>0</v>
      </c>
      <c r="J525" t="n">
        <v>0</v>
      </c>
      <c r="K525" t="n">
        <v>0</v>
      </c>
      <c r="L525" t="n">
        <v>0</v>
      </c>
      <c r="M525" t="n">
        <v>0</v>
      </c>
      <c r="N525" t="n">
        <v>0</v>
      </c>
      <c r="O525" t="n">
        <v>0</v>
      </c>
      <c r="P525" t="n">
        <v>0</v>
      </c>
      <c r="Q525" t="n">
        <v>0</v>
      </c>
      <c r="R525" s="2" t="inlineStr"/>
    </row>
    <row r="526" ht="15" customHeight="1">
      <c r="A526" t="inlineStr">
        <is>
          <t>A 62374-2023</t>
        </is>
      </c>
      <c r="B526" s="1" t="n">
        <v>45268</v>
      </c>
      <c r="C526" s="1" t="n">
        <v>45754</v>
      </c>
      <c r="D526" t="inlineStr">
        <is>
          <t>DALARNAS LÄN</t>
        </is>
      </c>
      <c r="E526" t="inlineStr">
        <is>
          <t>HEDEMORA</t>
        </is>
      </c>
      <c r="G526" t="n">
        <v>2.5</v>
      </c>
      <c r="H526" t="n">
        <v>0</v>
      </c>
      <c r="I526" t="n">
        <v>0</v>
      </c>
      <c r="J526" t="n">
        <v>0</v>
      </c>
      <c r="K526" t="n">
        <v>0</v>
      </c>
      <c r="L526" t="n">
        <v>0</v>
      </c>
      <c r="M526" t="n">
        <v>0</v>
      </c>
      <c r="N526" t="n">
        <v>0</v>
      </c>
      <c r="O526" t="n">
        <v>0</v>
      </c>
      <c r="P526" t="n">
        <v>0</v>
      </c>
      <c r="Q526" t="n">
        <v>0</v>
      </c>
      <c r="R526" s="2" t="inlineStr"/>
    </row>
    <row r="527" ht="15" customHeight="1">
      <c r="A527" t="inlineStr">
        <is>
          <t>A 63543-2023</t>
        </is>
      </c>
      <c r="B527" s="1" t="n">
        <v>45275</v>
      </c>
      <c r="C527" s="1" t="n">
        <v>45754</v>
      </c>
      <c r="D527" t="inlineStr">
        <is>
          <t>DALARNAS LÄN</t>
        </is>
      </c>
      <c r="E527" t="inlineStr">
        <is>
          <t>HEDEMORA</t>
        </is>
      </c>
      <c r="G527" t="n">
        <v>1.3</v>
      </c>
      <c r="H527" t="n">
        <v>0</v>
      </c>
      <c r="I527" t="n">
        <v>0</v>
      </c>
      <c r="J527" t="n">
        <v>0</v>
      </c>
      <c r="K527" t="n">
        <v>0</v>
      </c>
      <c r="L527" t="n">
        <v>0</v>
      </c>
      <c r="M527" t="n">
        <v>0</v>
      </c>
      <c r="N527" t="n">
        <v>0</v>
      </c>
      <c r="O527" t="n">
        <v>0</v>
      </c>
      <c r="P527" t="n">
        <v>0</v>
      </c>
      <c r="Q527" t="n">
        <v>0</v>
      </c>
      <c r="R527" s="2" t="inlineStr"/>
    </row>
    <row r="528" ht="15" customHeight="1">
      <c r="A528" t="inlineStr">
        <is>
          <t>A 63925-2023</t>
        </is>
      </c>
      <c r="B528" s="1" t="n">
        <v>45278</v>
      </c>
      <c r="C528" s="1" t="n">
        <v>45754</v>
      </c>
      <c r="D528" t="inlineStr">
        <is>
          <t>DALARNAS LÄN</t>
        </is>
      </c>
      <c r="E528" t="inlineStr">
        <is>
          <t>HEDEMORA</t>
        </is>
      </c>
      <c r="G528" t="n">
        <v>5.2</v>
      </c>
      <c r="H528" t="n">
        <v>0</v>
      </c>
      <c r="I528" t="n">
        <v>0</v>
      </c>
      <c r="J528" t="n">
        <v>0</v>
      </c>
      <c r="K528" t="n">
        <v>0</v>
      </c>
      <c r="L528" t="n">
        <v>0</v>
      </c>
      <c r="M528" t="n">
        <v>0</v>
      </c>
      <c r="N528" t="n">
        <v>0</v>
      </c>
      <c r="O528" t="n">
        <v>0</v>
      </c>
      <c r="P528" t="n">
        <v>0</v>
      </c>
      <c r="Q528" t="n">
        <v>0</v>
      </c>
      <c r="R528" s="2" t="inlineStr"/>
    </row>
    <row r="529" ht="15" customHeight="1">
      <c r="A529" t="inlineStr">
        <is>
          <t>A 63929-2023</t>
        </is>
      </c>
      <c r="B529" s="1" t="n">
        <v>45278</v>
      </c>
      <c r="C529" s="1" t="n">
        <v>45754</v>
      </c>
      <c r="D529" t="inlineStr">
        <is>
          <t>DALARNAS LÄN</t>
        </is>
      </c>
      <c r="E529" t="inlineStr">
        <is>
          <t>HEDEMORA</t>
        </is>
      </c>
      <c r="G529" t="n">
        <v>0.4</v>
      </c>
      <c r="H529" t="n">
        <v>0</v>
      </c>
      <c r="I529" t="n">
        <v>0</v>
      </c>
      <c r="J529" t="n">
        <v>0</v>
      </c>
      <c r="K529" t="n">
        <v>0</v>
      </c>
      <c r="L529" t="n">
        <v>0</v>
      </c>
      <c r="M529" t="n">
        <v>0</v>
      </c>
      <c r="N529" t="n">
        <v>0</v>
      </c>
      <c r="O529" t="n">
        <v>0</v>
      </c>
      <c r="P529" t="n">
        <v>0</v>
      </c>
      <c r="Q529" t="n">
        <v>0</v>
      </c>
      <c r="R529" s="2" t="inlineStr"/>
    </row>
    <row r="530" ht="15" customHeight="1">
      <c r="A530" t="inlineStr">
        <is>
          <t>A 63941-2023</t>
        </is>
      </c>
      <c r="B530" s="1" t="n">
        <v>45278</v>
      </c>
      <c r="C530" s="1" t="n">
        <v>45754</v>
      </c>
      <c r="D530" t="inlineStr">
        <is>
          <t>DALARNAS LÄN</t>
        </is>
      </c>
      <c r="E530" t="inlineStr">
        <is>
          <t>HEDEMORA</t>
        </is>
      </c>
      <c r="G530" t="n">
        <v>1.1</v>
      </c>
      <c r="H530" t="n">
        <v>0</v>
      </c>
      <c r="I530" t="n">
        <v>0</v>
      </c>
      <c r="J530" t="n">
        <v>0</v>
      </c>
      <c r="K530" t="n">
        <v>0</v>
      </c>
      <c r="L530" t="n">
        <v>0</v>
      </c>
      <c r="M530" t="n">
        <v>0</v>
      </c>
      <c r="N530" t="n">
        <v>0</v>
      </c>
      <c r="O530" t="n">
        <v>0</v>
      </c>
      <c r="P530" t="n">
        <v>0</v>
      </c>
      <c r="Q530" t="n">
        <v>0</v>
      </c>
      <c r="R530" s="2" t="inlineStr"/>
    </row>
    <row r="531" ht="15" customHeight="1">
      <c r="A531" t="inlineStr">
        <is>
          <t>A 63926-2023</t>
        </is>
      </c>
      <c r="B531" s="1" t="n">
        <v>45278</v>
      </c>
      <c r="C531" s="1" t="n">
        <v>45754</v>
      </c>
      <c r="D531" t="inlineStr">
        <is>
          <t>DALARNAS LÄN</t>
        </is>
      </c>
      <c r="E531" t="inlineStr">
        <is>
          <t>HEDEMORA</t>
        </is>
      </c>
      <c r="G531" t="n">
        <v>5</v>
      </c>
      <c r="H531" t="n">
        <v>0</v>
      </c>
      <c r="I531" t="n">
        <v>0</v>
      </c>
      <c r="J531" t="n">
        <v>0</v>
      </c>
      <c r="K531" t="n">
        <v>0</v>
      </c>
      <c r="L531" t="n">
        <v>0</v>
      </c>
      <c r="M531" t="n">
        <v>0</v>
      </c>
      <c r="N531" t="n">
        <v>0</v>
      </c>
      <c r="O531" t="n">
        <v>0</v>
      </c>
      <c r="P531" t="n">
        <v>0</v>
      </c>
      <c r="Q531" t="n">
        <v>0</v>
      </c>
      <c r="R531" s="2" t="inlineStr"/>
    </row>
    <row r="532" ht="15" customHeight="1">
      <c r="A532" t="inlineStr">
        <is>
          <t>A 63911-2023</t>
        </is>
      </c>
      <c r="B532" s="1" t="n">
        <v>45278</v>
      </c>
      <c r="C532" s="1" t="n">
        <v>45754</v>
      </c>
      <c r="D532" t="inlineStr">
        <is>
          <t>DALARNAS LÄN</t>
        </is>
      </c>
      <c r="E532" t="inlineStr">
        <is>
          <t>HEDEMORA</t>
        </is>
      </c>
      <c r="G532" t="n">
        <v>8.9</v>
      </c>
      <c r="H532" t="n">
        <v>0</v>
      </c>
      <c r="I532" t="n">
        <v>0</v>
      </c>
      <c r="J532" t="n">
        <v>0</v>
      </c>
      <c r="K532" t="n">
        <v>0</v>
      </c>
      <c r="L532" t="n">
        <v>0</v>
      </c>
      <c r="M532" t="n">
        <v>0</v>
      </c>
      <c r="N532" t="n">
        <v>0</v>
      </c>
      <c r="O532" t="n">
        <v>0</v>
      </c>
      <c r="P532" t="n">
        <v>0</v>
      </c>
      <c r="Q532" t="n">
        <v>0</v>
      </c>
      <c r="R532" s="2" t="inlineStr"/>
    </row>
    <row r="533" ht="15" customHeight="1">
      <c r="A533" t="inlineStr">
        <is>
          <t>A 64276-2023</t>
        </is>
      </c>
      <c r="B533" s="1" t="n">
        <v>45280</v>
      </c>
      <c r="C533" s="1" t="n">
        <v>45754</v>
      </c>
      <c r="D533" t="inlineStr">
        <is>
          <t>DALARNAS LÄN</t>
        </is>
      </c>
      <c r="E533" t="inlineStr">
        <is>
          <t>HEDEMORA</t>
        </is>
      </c>
      <c r="G533" t="n">
        <v>3.5</v>
      </c>
      <c r="H533" t="n">
        <v>0</v>
      </c>
      <c r="I533" t="n">
        <v>0</v>
      </c>
      <c r="J533" t="n">
        <v>0</v>
      </c>
      <c r="K533" t="n">
        <v>0</v>
      </c>
      <c r="L533" t="n">
        <v>0</v>
      </c>
      <c r="M533" t="n">
        <v>0</v>
      </c>
      <c r="N533" t="n">
        <v>0</v>
      </c>
      <c r="O533" t="n">
        <v>0</v>
      </c>
      <c r="P533" t="n">
        <v>0</v>
      </c>
      <c r="Q533" t="n">
        <v>0</v>
      </c>
      <c r="R533" s="2" t="inlineStr"/>
    </row>
    <row r="534" ht="15" customHeight="1">
      <c r="A534" t="inlineStr">
        <is>
          <t>A 64965-2023</t>
        </is>
      </c>
      <c r="B534" s="1" t="n">
        <v>45283</v>
      </c>
      <c r="C534" s="1" t="n">
        <v>45754</v>
      </c>
      <c r="D534" t="inlineStr">
        <is>
          <t>DALARNAS LÄN</t>
        </is>
      </c>
      <c r="E534" t="inlineStr">
        <is>
          <t>HEDEMORA</t>
        </is>
      </c>
      <c r="G534" t="n">
        <v>6</v>
      </c>
      <c r="H534" t="n">
        <v>0</v>
      </c>
      <c r="I534" t="n">
        <v>0</v>
      </c>
      <c r="J534" t="n">
        <v>0</v>
      </c>
      <c r="K534" t="n">
        <v>0</v>
      </c>
      <c r="L534" t="n">
        <v>0</v>
      </c>
      <c r="M534" t="n">
        <v>0</v>
      </c>
      <c r="N534" t="n">
        <v>0</v>
      </c>
      <c r="O534" t="n">
        <v>0</v>
      </c>
      <c r="P534" t="n">
        <v>0</v>
      </c>
      <c r="Q534" t="n">
        <v>0</v>
      </c>
      <c r="R534" s="2" t="inlineStr"/>
    </row>
    <row r="535" ht="15" customHeight="1">
      <c r="A535" t="inlineStr">
        <is>
          <t>A 64964-2023</t>
        </is>
      </c>
      <c r="B535" s="1" t="n">
        <v>45283</v>
      </c>
      <c r="C535" s="1" t="n">
        <v>45754</v>
      </c>
      <c r="D535" t="inlineStr">
        <is>
          <t>DALARNAS LÄN</t>
        </is>
      </c>
      <c r="E535" t="inlineStr">
        <is>
          <t>HEDEMORA</t>
        </is>
      </c>
      <c r="G535" t="n">
        <v>0.9</v>
      </c>
      <c r="H535" t="n">
        <v>0</v>
      </c>
      <c r="I535" t="n">
        <v>0</v>
      </c>
      <c r="J535" t="n">
        <v>0</v>
      </c>
      <c r="K535" t="n">
        <v>0</v>
      </c>
      <c r="L535" t="n">
        <v>0</v>
      </c>
      <c r="M535" t="n">
        <v>0</v>
      </c>
      <c r="N535" t="n">
        <v>0</v>
      </c>
      <c r="O535" t="n">
        <v>0</v>
      </c>
      <c r="P535" t="n">
        <v>0</v>
      </c>
      <c r="Q535" t="n">
        <v>0</v>
      </c>
      <c r="R535" s="2" t="inlineStr"/>
    </row>
    <row r="536" ht="15" customHeight="1">
      <c r="A536" t="inlineStr">
        <is>
          <t>A 65057-2023</t>
        </is>
      </c>
      <c r="B536" s="1" t="n">
        <v>45287</v>
      </c>
      <c r="C536" s="1" t="n">
        <v>45754</v>
      </c>
      <c r="D536" t="inlineStr">
        <is>
          <t>DALARNAS LÄN</t>
        </is>
      </c>
      <c r="E536" t="inlineStr">
        <is>
          <t>HEDEMORA</t>
        </is>
      </c>
      <c r="G536" t="n">
        <v>1.8</v>
      </c>
      <c r="H536" t="n">
        <v>0</v>
      </c>
      <c r="I536" t="n">
        <v>0</v>
      </c>
      <c r="J536" t="n">
        <v>0</v>
      </c>
      <c r="K536" t="n">
        <v>0</v>
      </c>
      <c r="L536" t="n">
        <v>0</v>
      </c>
      <c r="M536" t="n">
        <v>0</v>
      </c>
      <c r="N536" t="n">
        <v>0</v>
      </c>
      <c r="O536" t="n">
        <v>0</v>
      </c>
      <c r="P536" t="n">
        <v>0</v>
      </c>
      <c r="Q536" t="n">
        <v>0</v>
      </c>
      <c r="R536" s="2" t="inlineStr"/>
    </row>
    <row r="537" ht="15" customHeight="1">
      <c r="A537" t="inlineStr">
        <is>
          <t>A 385-2024</t>
        </is>
      </c>
      <c r="B537" s="1" t="n">
        <v>45296</v>
      </c>
      <c r="C537" s="1" t="n">
        <v>45754</v>
      </c>
      <c r="D537" t="inlineStr">
        <is>
          <t>DALARNAS LÄN</t>
        </is>
      </c>
      <c r="E537" t="inlineStr">
        <is>
          <t>HEDEMORA</t>
        </is>
      </c>
      <c r="G537" t="n">
        <v>1.7</v>
      </c>
      <c r="H537" t="n">
        <v>0</v>
      </c>
      <c r="I537" t="n">
        <v>0</v>
      </c>
      <c r="J537" t="n">
        <v>0</v>
      </c>
      <c r="K537" t="n">
        <v>0</v>
      </c>
      <c r="L537" t="n">
        <v>0</v>
      </c>
      <c r="M537" t="n">
        <v>0</v>
      </c>
      <c r="N537" t="n">
        <v>0</v>
      </c>
      <c r="O537" t="n">
        <v>0</v>
      </c>
      <c r="P537" t="n">
        <v>0</v>
      </c>
      <c r="Q537" t="n">
        <v>0</v>
      </c>
      <c r="R537" s="2" t="inlineStr"/>
    </row>
    <row r="538" ht="15" customHeight="1">
      <c r="A538" t="inlineStr">
        <is>
          <t>A 1072-2024</t>
        </is>
      </c>
      <c r="B538" s="1" t="n">
        <v>45302</v>
      </c>
      <c r="C538" s="1" t="n">
        <v>45754</v>
      </c>
      <c r="D538" t="inlineStr">
        <is>
          <t>DALARNAS LÄN</t>
        </is>
      </c>
      <c r="E538" t="inlineStr">
        <is>
          <t>HEDEMORA</t>
        </is>
      </c>
      <c r="G538" t="n">
        <v>1.8</v>
      </c>
      <c r="H538" t="n">
        <v>0</v>
      </c>
      <c r="I538" t="n">
        <v>0</v>
      </c>
      <c r="J538" t="n">
        <v>0</v>
      </c>
      <c r="K538" t="n">
        <v>0</v>
      </c>
      <c r="L538" t="n">
        <v>0</v>
      </c>
      <c r="M538" t="n">
        <v>0</v>
      </c>
      <c r="N538" t="n">
        <v>0</v>
      </c>
      <c r="O538" t="n">
        <v>0</v>
      </c>
      <c r="P538" t="n">
        <v>0</v>
      </c>
      <c r="Q538" t="n">
        <v>0</v>
      </c>
      <c r="R538" s="2" t="inlineStr"/>
    </row>
    <row r="539" ht="15" customHeight="1">
      <c r="A539" t="inlineStr">
        <is>
          <t>A 1168-2024</t>
        </is>
      </c>
      <c r="B539" s="1" t="n">
        <v>45302</v>
      </c>
      <c r="C539" s="1" t="n">
        <v>45754</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2915-2024</t>
        </is>
      </c>
      <c r="B540" s="1" t="n">
        <v>45315</v>
      </c>
      <c r="C540" s="1" t="n">
        <v>45754</v>
      </c>
      <c r="D540" t="inlineStr">
        <is>
          <t>DALARNAS LÄN</t>
        </is>
      </c>
      <c r="E540" t="inlineStr">
        <is>
          <t>HEDEMORA</t>
        </is>
      </c>
      <c r="G540" t="n">
        <v>2</v>
      </c>
      <c r="H540" t="n">
        <v>0</v>
      </c>
      <c r="I540" t="n">
        <v>0</v>
      </c>
      <c r="J540" t="n">
        <v>0</v>
      </c>
      <c r="K540" t="n">
        <v>0</v>
      </c>
      <c r="L540" t="n">
        <v>0</v>
      </c>
      <c r="M540" t="n">
        <v>0</v>
      </c>
      <c r="N540" t="n">
        <v>0</v>
      </c>
      <c r="O540" t="n">
        <v>0</v>
      </c>
      <c r="P540" t="n">
        <v>0</v>
      </c>
      <c r="Q540" t="n">
        <v>0</v>
      </c>
      <c r="R540" s="2" t="inlineStr"/>
    </row>
    <row r="541" ht="15" customHeight="1">
      <c r="A541" t="inlineStr">
        <is>
          <t>A 3089-2024</t>
        </is>
      </c>
      <c r="B541" s="1" t="n">
        <v>45316</v>
      </c>
      <c r="C541" s="1" t="n">
        <v>45754</v>
      </c>
      <c r="D541" t="inlineStr">
        <is>
          <t>DALARNAS LÄN</t>
        </is>
      </c>
      <c r="E541" t="inlineStr">
        <is>
          <t>HEDEMORA</t>
        </is>
      </c>
      <c r="G541" t="n">
        <v>5.5</v>
      </c>
      <c r="H541" t="n">
        <v>0</v>
      </c>
      <c r="I541" t="n">
        <v>0</v>
      </c>
      <c r="J541" t="n">
        <v>0</v>
      </c>
      <c r="K541" t="n">
        <v>0</v>
      </c>
      <c r="L541" t="n">
        <v>0</v>
      </c>
      <c r="M541" t="n">
        <v>0</v>
      </c>
      <c r="N541" t="n">
        <v>0</v>
      </c>
      <c r="O541" t="n">
        <v>0</v>
      </c>
      <c r="P541" t="n">
        <v>0</v>
      </c>
      <c r="Q541" t="n">
        <v>0</v>
      </c>
      <c r="R541" s="2" t="inlineStr"/>
    </row>
    <row r="542" ht="15" customHeight="1">
      <c r="A542" t="inlineStr">
        <is>
          <t>A 4391-2024</t>
        </is>
      </c>
      <c r="B542" s="1" t="n">
        <v>45327</v>
      </c>
      <c r="C542" s="1" t="n">
        <v>45754</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6210-2024</t>
        </is>
      </c>
      <c r="B543" s="1" t="n">
        <v>45337</v>
      </c>
      <c r="C543" s="1" t="n">
        <v>45754</v>
      </c>
      <c r="D543" t="inlineStr">
        <is>
          <t>DALARNAS LÄN</t>
        </is>
      </c>
      <c r="E543" t="inlineStr">
        <is>
          <t>HEDEMORA</t>
        </is>
      </c>
      <c r="G543" t="n">
        <v>2.6</v>
      </c>
      <c r="H543" t="n">
        <v>0</v>
      </c>
      <c r="I543" t="n">
        <v>0</v>
      </c>
      <c r="J543" t="n">
        <v>0</v>
      </c>
      <c r="K543" t="n">
        <v>0</v>
      </c>
      <c r="L543" t="n">
        <v>0</v>
      </c>
      <c r="M543" t="n">
        <v>0</v>
      </c>
      <c r="N543" t="n">
        <v>0</v>
      </c>
      <c r="O543" t="n">
        <v>0</v>
      </c>
      <c r="P543" t="n">
        <v>0</v>
      </c>
      <c r="Q543" t="n">
        <v>0</v>
      </c>
      <c r="R543" s="2" t="inlineStr"/>
    </row>
    <row r="544" ht="15" customHeight="1">
      <c r="A544" t="inlineStr">
        <is>
          <t>A 6880-2024</t>
        </is>
      </c>
      <c r="B544" s="1" t="n">
        <v>45342</v>
      </c>
      <c r="C544" s="1" t="n">
        <v>45754</v>
      </c>
      <c r="D544" t="inlineStr">
        <is>
          <t>DALARNAS LÄN</t>
        </is>
      </c>
      <c r="E544" t="inlineStr">
        <is>
          <t>HEDEMORA</t>
        </is>
      </c>
      <c r="G544" t="n">
        <v>4.1</v>
      </c>
      <c r="H544" t="n">
        <v>0</v>
      </c>
      <c r="I544" t="n">
        <v>0</v>
      </c>
      <c r="J544" t="n">
        <v>0</v>
      </c>
      <c r="K544" t="n">
        <v>0</v>
      </c>
      <c r="L544" t="n">
        <v>0</v>
      </c>
      <c r="M544" t="n">
        <v>0</v>
      </c>
      <c r="N544" t="n">
        <v>0</v>
      </c>
      <c r="O544" t="n">
        <v>0</v>
      </c>
      <c r="P544" t="n">
        <v>0</v>
      </c>
      <c r="Q544" t="n">
        <v>0</v>
      </c>
      <c r="R544" s="2" t="inlineStr"/>
    </row>
    <row r="545" ht="15" customHeight="1">
      <c r="A545" t="inlineStr">
        <is>
          <t>A 6881-2024</t>
        </is>
      </c>
      <c r="B545" s="1" t="n">
        <v>45342</v>
      </c>
      <c r="C545" s="1" t="n">
        <v>45754</v>
      </c>
      <c r="D545" t="inlineStr">
        <is>
          <t>DALARNAS LÄN</t>
        </is>
      </c>
      <c r="E545" t="inlineStr">
        <is>
          <t>HEDEMORA</t>
        </is>
      </c>
      <c r="G545" t="n">
        <v>2.5</v>
      </c>
      <c r="H545" t="n">
        <v>0</v>
      </c>
      <c r="I545" t="n">
        <v>0</v>
      </c>
      <c r="J545" t="n">
        <v>0</v>
      </c>
      <c r="K545" t="n">
        <v>0</v>
      </c>
      <c r="L545" t="n">
        <v>0</v>
      </c>
      <c r="M545" t="n">
        <v>0</v>
      </c>
      <c r="N545" t="n">
        <v>0</v>
      </c>
      <c r="O545" t="n">
        <v>0</v>
      </c>
      <c r="P545" t="n">
        <v>0</v>
      </c>
      <c r="Q545" t="n">
        <v>0</v>
      </c>
      <c r="R545" s="2" t="inlineStr"/>
    </row>
    <row r="546" ht="15" customHeight="1">
      <c r="A546" t="inlineStr">
        <is>
          <t>A 7914-2024</t>
        </is>
      </c>
      <c r="B546" s="1" t="n">
        <v>45350</v>
      </c>
      <c r="C546" s="1" t="n">
        <v>45754</v>
      </c>
      <c r="D546" t="inlineStr">
        <is>
          <t>DALARNAS LÄN</t>
        </is>
      </c>
      <c r="E546" t="inlineStr">
        <is>
          <t>HEDEMORA</t>
        </is>
      </c>
      <c r="G546" t="n">
        <v>4.1</v>
      </c>
      <c r="H546" t="n">
        <v>0</v>
      </c>
      <c r="I546" t="n">
        <v>0</v>
      </c>
      <c r="J546" t="n">
        <v>0</v>
      </c>
      <c r="K546" t="n">
        <v>0</v>
      </c>
      <c r="L546" t="n">
        <v>0</v>
      </c>
      <c r="M546" t="n">
        <v>0</v>
      </c>
      <c r="N546" t="n">
        <v>0</v>
      </c>
      <c r="O546" t="n">
        <v>0</v>
      </c>
      <c r="P546" t="n">
        <v>0</v>
      </c>
      <c r="Q546" t="n">
        <v>0</v>
      </c>
      <c r="R546" s="2" t="inlineStr"/>
    </row>
    <row r="547" ht="15" customHeight="1">
      <c r="A547" t="inlineStr">
        <is>
          <t>A 7916-2024</t>
        </is>
      </c>
      <c r="B547" s="1" t="n">
        <v>45350</v>
      </c>
      <c r="C547" s="1" t="n">
        <v>45754</v>
      </c>
      <c r="D547" t="inlineStr">
        <is>
          <t>DALARNAS LÄN</t>
        </is>
      </c>
      <c r="E547" t="inlineStr">
        <is>
          <t>HEDEMORA</t>
        </is>
      </c>
      <c r="G547" t="n">
        <v>5.8</v>
      </c>
      <c r="H547" t="n">
        <v>0</v>
      </c>
      <c r="I547" t="n">
        <v>0</v>
      </c>
      <c r="J547" t="n">
        <v>0</v>
      </c>
      <c r="K547" t="n">
        <v>0</v>
      </c>
      <c r="L547" t="n">
        <v>0</v>
      </c>
      <c r="M547" t="n">
        <v>0</v>
      </c>
      <c r="N547" t="n">
        <v>0</v>
      </c>
      <c r="O547" t="n">
        <v>0</v>
      </c>
      <c r="P547" t="n">
        <v>0</v>
      </c>
      <c r="Q547" t="n">
        <v>0</v>
      </c>
      <c r="R547" s="2" t="inlineStr"/>
    </row>
    <row r="548" ht="15" customHeight="1">
      <c r="A548" t="inlineStr">
        <is>
          <t>A 9314-2024</t>
        </is>
      </c>
      <c r="B548" s="1" t="n">
        <v>45358</v>
      </c>
      <c r="C548" s="1" t="n">
        <v>45754</v>
      </c>
      <c r="D548" t="inlineStr">
        <is>
          <t>DALARNAS LÄN</t>
        </is>
      </c>
      <c r="E548" t="inlineStr">
        <is>
          <t>HEDEMORA</t>
        </is>
      </c>
      <c r="G548" t="n">
        <v>1.4</v>
      </c>
      <c r="H548" t="n">
        <v>0</v>
      </c>
      <c r="I548" t="n">
        <v>0</v>
      </c>
      <c r="J548" t="n">
        <v>0</v>
      </c>
      <c r="K548" t="n">
        <v>0</v>
      </c>
      <c r="L548" t="n">
        <v>0</v>
      </c>
      <c r="M548" t="n">
        <v>0</v>
      </c>
      <c r="N548" t="n">
        <v>0</v>
      </c>
      <c r="O548" t="n">
        <v>0</v>
      </c>
      <c r="P548" t="n">
        <v>0</v>
      </c>
      <c r="Q548" t="n">
        <v>0</v>
      </c>
      <c r="R548" s="2" t="inlineStr"/>
    </row>
    <row r="549" ht="15" customHeight="1">
      <c r="A549" t="inlineStr">
        <is>
          <t>A 9313-2024</t>
        </is>
      </c>
      <c r="B549" s="1" t="n">
        <v>45358</v>
      </c>
      <c r="C549" s="1" t="n">
        <v>45754</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12126-2024</t>
        </is>
      </c>
      <c r="B550" s="1" t="n">
        <v>45377</v>
      </c>
      <c r="C550" s="1" t="n">
        <v>45754</v>
      </c>
      <c r="D550" t="inlineStr">
        <is>
          <t>DALARNAS LÄN</t>
        </is>
      </c>
      <c r="E550" t="inlineStr">
        <is>
          <t>HEDEMORA</t>
        </is>
      </c>
      <c r="G550" t="n">
        <v>1.5</v>
      </c>
      <c r="H550" t="n">
        <v>0</v>
      </c>
      <c r="I550" t="n">
        <v>0</v>
      </c>
      <c r="J550" t="n">
        <v>0</v>
      </c>
      <c r="K550" t="n">
        <v>0</v>
      </c>
      <c r="L550" t="n">
        <v>0</v>
      </c>
      <c r="M550" t="n">
        <v>0</v>
      </c>
      <c r="N550" t="n">
        <v>0</v>
      </c>
      <c r="O550" t="n">
        <v>0</v>
      </c>
      <c r="P550" t="n">
        <v>0</v>
      </c>
      <c r="Q550" t="n">
        <v>0</v>
      </c>
      <c r="R550" s="2" t="inlineStr"/>
    </row>
    <row r="551" ht="15" customHeight="1">
      <c r="A551" t="inlineStr">
        <is>
          <t>A 12030-2024</t>
        </is>
      </c>
      <c r="B551" s="1" t="n">
        <v>45377</v>
      </c>
      <c r="C551" s="1" t="n">
        <v>45754</v>
      </c>
      <c r="D551" t="inlineStr">
        <is>
          <t>DALARNAS LÄN</t>
        </is>
      </c>
      <c r="E551" t="inlineStr">
        <is>
          <t>HEDEMORA</t>
        </is>
      </c>
      <c r="G551" t="n">
        <v>0.7</v>
      </c>
      <c r="H551" t="n">
        <v>0</v>
      </c>
      <c r="I551" t="n">
        <v>0</v>
      </c>
      <c r="J551" t="n">
        <v>0</v>
      </c>
      <c r="K551" t="n">
        <v>0</v>
      </c>
      <c r="L551" t="n">
        <v>0</v>
      </c>
      <c r="M551" t="n">
        <v>0</v>
      </c>
      <c r="N551" t="n">
        <v>0</v>
      </c>
      <c r="O551" t="n">
        <v>0</v>
      </c>
      <c r="P551" t="n">
        <v>0</v>
      </c>
      <c r="Q551" t="n">
        <v>0</v>
      </c>
      <c r="R551" s="2" t="inlineStr"/>
    </row>
    <row r="552" ht="15" customHeight="1">
      <c r="A552" t="inlineStr">
        <is>
          <t>A 13657-2024</t>
        </is>
      </c>
      <c r="B552" s="1" t="n">
        <v>45390</v>
      </c>
      <c r="C552" s="1" t="n">
        <v>45754</v>
      </c>
      <c r="D552" t="inlineStr">
        <is>
          <t>DALARNAS LÄN</t>
        </is>
      </c>
      <c r="E552" t="inlineStr">
        <is>
          <t>HEDEMORA</t>
        </is>
      </c>
      <c r="G552" t="n">
        <v>3.1</v>
      </c>
      <c r="H552" t="n">
        <v>0</v>
      </c>
      <c r="I552" t="n">
        <v>0</v>
      </c>
      <c r="J552" t="n">
        <v>0</v>
      </c>
      <c r="K552" t="n">
        <v>0</v>
      </c>
      <c r="L552" t="n">
        <v>0</v>
      </c>
      <c r="M552" t="n">
        <v>0</v>
      </c>
      <c r="N552" t="n">
        <v>0</v>
      </c>
      <c r="O552" t="n">
        <v>0</v>
      </c>
      <c r="P552" t="n">
        <v>0</v>
      </c>
      <c r="Q552" t="n">
        <v>0</v>
      </c>
      <c r="R552" s="2" t="inlineStr"/>
    </row>
    <row r="553" ht="15" customHeight="1">
      <c r="A553" t="inlineStr">
        <is>
          <t>A 14120-2024</t>
        </is>
      </c>
      <c r="B553" s="1" t="n">
        <v>45392</v>
      </c>
      <c r="C553" s="1" t="n">
        <v>45754</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15345-2024</t>
        </is>
      </c>
      <c r="B554" s="1" t="n">
        <v>45400</v>
      </c>
      <c r="C554" s="1" t="n">
        <v>45754</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16413-2024</t>
        </is>
      </c>
      <c r="B555" s="1" t="n">
        <v>45407</v>
      </c>
      <c r="C555" s="1" t="n">
        <v>45754</v>
      </c>
      <c r="D555" t="inlineStr">
        <is>
          <t>DALARNAS LÄN</t>
        </is>
      </c>
      <c r="E555" t="inlineStr">
        <is>
          <t>HEDEMORA</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16410-2024</t>
        </is>
      </c>
      <c r="B556" s="1" t="n">
        <v>45407</v>
      </c>
      <c r="C556" s="1" t="n">
        <v>45754</v>
      </c>
      <c r="D556" t="inlineStr">
        <is>
          <t>DALARNAS LÄN</t>
        </is>
      </c>
      <c r="E556" t="inlineStr">
        <is>
          <t>HEDEMORA</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16408-2024</t>
        </is>
      </c>
      <c r="B557" s="1" t="n">
        <v>45407</v>
      </c>
      <c r="C557" s="1" t="n">
        <v>45754</v>
      </c>
      <c r="D557" t="inlineStr">
        <is>
          <t>DALARNAS LÄN</t>
        </is>
      </c>
      <c r="E557" t="inlineStr">
        <is>
          <t>HEDEMORA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18223-2024</t>
        </is>
      </c>
      <c r="B558" s="1" t="n">
        <v>45421</v>
      </c>
      <c r="C558" s="1" t="n">
        <v>45754</v>
      </c>
      <c r="D558" t="inlineStr">
        <is>
          <t>DALARNAS LÄN</t>
        </is>
      </c>
      <c r="E558" t="inlineStr">
        <is>
          <t>HEDEMORA</t>
        </is>
      </c>
      <c r="F558" t="inlineStr">
        <is>
          <t>Sveaskog</t>
        </is>
      </c>
      <c r="G558" t="n">
        <v>29.8</v>
      </c>
      <c r="H558" t="n">
        <v>0</v>
      </c>
      <c r="I558" t="n">
        <v>0</v>
      </c>
      <c r="J558" t="n">
        <v>0</v>
      </c>
      <c r="K558" t="n">
        <v>0</v>
      </c>
      <c r="L558" t="n">
        <v>0</v>
      </c>
      <c r="M558" t="n">
        <v>0</v>
      </c>
      <c r="N558" t="n">
        <v>0</v>
      </c>
      <c r="O558" t="n">
        <v>0</v>
      </c>
      <c r="P558" t="n">
        <v>0</v>
      </c>
      <c r="Q558" t="n">
        <v>0</v>
      </c>
      <c r="R558" s="2" t="inlineStr"/>
    </row>
    <row r="559" ht="15" customHeight="1">
      <c r="A559" t="inlineStr">
        <is>
          <t>A 18699-2024</t>
        </is>
      </c>
      <c r="B559" s="1" t="n">
        <v>45426</v>
      </c>
      <c r="C559" s="1" t="n">
        <v>45754</v>
      </c>
      <c r="D559" t="inlineStr">
        <is>
          <t>DALARNAS LÄN</t>
        </is>
      </c>
      <c r="E559" t="inlineStr">
        <is>
          <t>HEDEMORA</t>
        </is>
      </c>
      <c r="G559" t="n">
        <v>6.6</v>
      </c>
      <c r="H559" t="n">
        <v>0</v>
      </c>
      <c r="I559" t="n">
        <v>0</v>
      </c>
      <c r="J559" t="n">
        <v>0</v>
      </c>
      <c r="K559" t="n">
        <v>0</v>
      </c>
      <c r="L559" t="n">
        <v>0</v>
      </c>
      <c r="M559" t="n">
        <v>0</v>
      </c>
      <c r="N559" t="n">
        <v>0</v>
      </c>
      <c r="O559" t="n">
        <v>0</v>
      </c>
      <c r="P559" t="n">
        <v>0</v>
      </c>
      <c r="Q559" t="n">
        <v>0</v>
      </c>
      <c r="R559" s="2" t="inlineStr"/>
    </row>
    <row r="560" ht="15" customHeight="1">
      <c r="A560" t="inlineStr">
        <is>
          <t>A 19353-2024</t>
        </is>
      </c>
      <c r="B560" s="1" t="n">
        <v>45429</v>
      </c>
      <c r="C560" s="1" t="n">
        <v>45754</v>
      </c>
      <c r="D560" t="inlineStr">
        <is>
          <t>DALARNAS LÄN</t>
        </is>
      </c>
      <c r="E560" t="inlineStr">
        <is>
          <t>HEDEMORA</t>
        </is>
      </c>
      <c r="F560" t="inlineStr">
        <is>
          <t>Sveaskog</t>
        </is>
      </c>
      <c r="G560" t="n">
        <v>16.3</v>
      </c>
      <c r="H560" t="n">
        <v>0</v>
      </c>
      <c r="I560" t="n">
        <v>0</v>
      </c>
      <c r="J560" t="n">
        <v>0</v>
      </c>
      <c r="K560" t="n">
        <v>0</v>
      </c>
      <c r="L560" t="n">
        <v>0</v>
      </c>
      <c r="M560" t="n">
        <v>0</v>
      </c>
      <c r="N560" t="n">
        <v>0</v>
      </c>
      <c r="O560" t="n">
        <v>0</v>
      </c>
      <c r="P560" t="n">
        <v>0</v>
      </c>
      <c r="Q560" t="n">
        <v>0</v>
      </c>
      <c r="R560" s="2" t="inlineStr"/>
    </row>
    <row r="561" ht="15" customHeight="1">
      <c r="A561" t="inlineStr">
        <is>
          <t>A 19397-2024</t>
        </is>
      </c>
      <c r="B561" s="1" t="n">
        <v>45429</v>
      </c>
      <c r="C561" s="1" t="n">
        <v>45754</v>
      </c>
      <c r="D561" t="inlineStr">
        <is>
          <t>DALARNAS LÄN</t>
        </is>
      </c>
      <c r="E561" t="inlineStr">
        <is>
          <t>HEDEMORA</t>
        </is>
      </c>
      <c r="G561" t="n">
        <v>1.8</v>
      </c>
      <c r="H561" t="n">
        <v>0</v>
      </c>
      <c r="I561" t="n">
        <v>0</v>
      </c>
      <c r="J561" t="n">
        <v>0</v>
      </c>
      <c r="K561" t="n">
        <v>0</v>
      </c>
      <c r="L561" t="n">
        <v>0</v>
      </c>
      <c r="M561" t="n">
        <v>0</v>
      </c>
      <c r="N561" t="n">
        <v>0</v>
      </c>
      <c r="O561" t="n">
        <v>0</v>
      </c>
      <c r="P561" t="n">
        <v>0</v>
      </c>
      <c r="Q561" t="n">
        <v>0</v>
      </c>
      <c r="R561" s="2" t="inlineStr"/>
    </row>
    <row r="562" ht="15" customHeight="1">
      <c r="A562" t="inlineStr">
        <is>
          <t>A 19473-2024</t>
        </is>
      </c>
      <c r="B562" s="1" t="n">
        <v>45429</v>
      </c>
      <c r="C562" s="1" t="n">
        <v>45754</v>
      </c>
      <c r="D562" t="inlineStr">
        <is>
          <t>DALARNAS LÄN</t>
        </is>
      </c>
      <c r="E562" t="inlineStr">
        <is>
          <t>HEDEMORA</t>
        </is>
      </c>
      <c r="G562" t="n">
        <v>2.5</v>
      </c>
      <c r="H562" t="n">
        <v>0</v>
      </c>
      <c r="I562" t="n">
        <v>0</v>
      </c>
      <c r="J562" t="n">
        <v>0</v>
      </c>
      <c r="K562" t="n">
        <v>0</v>
      </c>
      <c r="L562" t="n">
        <v>0</v>
      </c>
      <c r="M562" t="n">
        <v>0</v>
      </c>
      <c r="N562" t="n">
        <v>0</v>
      </c>
      <c r="O562" t="n">
        <v>0</v>
      </c>
      <c r="P562" t="n">
        <v>0</v>
      </c>
      <c r="Q562" t="n">
        <v>0</v>
      </c>
      <c r="R562" s="2" t="inlineStr"/>
    </row>
    <row r="563" ht="15" customHeight="1">
      <c r="A563" t="inlineStr">
        <is>
          <t>A 19604-2024</t>
        </is>
      </c>
      <c r="B563" s="1" t="n">
        <v>45431</v>
      </c>
      <c r="C563" s="1" t="n">
        <v>45754</v>
      </c>
      <c r="D563" t="inlineStr">
        <is>
          <t>DALARNAS LÄN</t>
        </is>
      </c>
      <c r="E563" t="inlineStr">
        <is>
          <t>HEDEMORA</t>
        </is>
      </c>
      <c r="F563" t="inlineStr">
        <is>
          <t>Bergvik skog väst AB</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20078-2024</t>
        </is>
      </c>
      <c r="B564" s="1" t="n">
        <v>45434</v>
      </c>
      <c r="C564" s="1" t="n">
        <v>45754</v>
      </c>
      <c r="D564" t="inlineStr">
        <is>
          <t>DALARNAS LÄN</t>
        </is>
      </c>
      <c r="E564" t="inlineStr">
        <is>
          <t>HEDEMORA</t>
        </is>
      </c>
      <c r="G564" t="n">
        <v>6.5</v>
      </c>
      <c r="H564" t="n">
        <v>0</v>
      </c>
      <c r="I564" t="n">
        <v>0</v>
      </c>
      <c r="J564" t="n">
        <v>0</v>
      </c>
      <c r="K564" t="n">
        <v>0</v>
      </c>
      <c r="L564" t="n">
        <v>0</v>
      </c>
      <c r="M564" t="n">
        <v>0</v>
      </c>
      <c r="N564" t="n">
        <v>0</v>
      </c>
      <c r="O564" t="n">
        <v>0</v>
      </c>
      <c r="P564" t="n">
        <v>0</v>
      </c>
      <c r="Q564" t="n">
        <v>0</v>
      </c>
      <c r="R564" s="2" t="inlineStr"/>
    </row>
    <row r="565" ht="15" customHeight="1">
      <c r="A565" t="inlineStr">
        <is>
          <t>A 20235-2024</t>
        </is>
      </c>
      <c r="B565" s="1" t="n">
        <v>45434</v>
      </c>
      <c r="C565" s="1" t="n">
        <v>45754</v>
      </c>
      <c r="D565" t="inlineStr">
        <is>
          <t>DALARNAS LÄN</t>
        </is>
      </c>
      <c r="E565" t="inlineStr">
        <is>
          <t>HEDEMORA</t>
        </is>
      </c>
      <c r="G565" t="n">
        <v>1.3</v>
      </c>
      <c r="H565" t="n">
        <v>0</v>
      </c>
      <c r="I565" t="n">
        <v>0</v>
      </c>
      <c r="J565" t="n">
        <v>0</v>
      </c>
      <c r="K565" t="n">
        <v>0</v>
      </c>
      <c r="L565" t="n">
        <v>0</v>
      </c>
      <c r="M565" t="n">
        <v>0</v>
      </c>
      <c r="N565" t="n">
        <v>0</v>
      </c>
      <c r="O565" t="n">
        <v>0</v>
      </c>
      <c r="P565" t="n">
        <v>0</v>
      </c>
      <c r="Q565" t="n">
        <v>0</v>
      </c>
      <c r="R565" s="2" t="inlineStr"/>
    </row>
    <row r="566" ht="15" customHeight="1">
      <c r="A566" t="inlineStr">
        <is>
          <t>A 20504-2024</t>
        </is>
      </c>
      <c r="B566" s="1" t="n">
        <v>45436</v>
      </c>
      <c r="C566" s="1" t="n">
        <v>45754</v>
      </c>
      <c r="D566" t="inlineStr">
        <is>
          <t>DALARNAS LÄN</t>
        </is>
      </c>
      <c r="E566" t="inlineStr">
        <is>
          <t>HEDEMORA</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20503-2024</t>
        </is>
      </c>
      <c r="B567" s="1" t="n">
        <v>45436</v>
      </c>
      <c r="C567" s="1" t="n">
        <v>45754</v>
      </c>
      <c r="D567" t="inlineStr">
        <is>
          <t>DALARNAS LÄN</t>
        </is>
      </c>
      <c r="E567" t="inlineStr">
        <is>
          <t>HEDEMORA</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20666-2024</t>
        </is>
      </c>
      <c r="B568" s="1" t="n">
        <v>45436</v>
      </c>
      <c r="C568" s="1" t="n">
        <v>45754</v>
      </c>
      <c r="D568" t="inlineStr">
        <is>
          <t>DALARNAS LÄN</t>
        </is>
      </c>
      <c r="E568" t="inlineStr">
        <is>
          <t>HEDEMORA</t>
        </is>
      </c>
      <c r="G568" t="n">
        <v>5.1</v>
      </c>
      <c r="H568" t="n">
        <v>0</v>
      </c>
      <c r="I568" t="n">
        <v>0</v>
      </c>
      <c r="J568" t="n">
        <v>0</v>
      </c>
      <c r="K568" t="n">
        <v>0</v>
      </c>
      <c r="L568" t="n">
        <v>0</v>
      </c>
      <c r="M568" t="n">
        <v>0</v>
      </c>
      <c r="N568" t="n">
        <v>0</v>
      </c>
      <c r="O568" t="n">
        <v>0</v>
      </c>
      <c r="P568" t="n">
        <v>0</v>
      </c>
      <c r="Q568" t="n">
        <v>0</v>
      </c>
      <c r="R568" s="2" t="inlineStr"/>
    </row>
    <row r="569" ht="15" customHeight="1">
      <c r="A569" t="inlineStr">
        <is>
          <t>A 20670-2024</t>
        </is>
      </c>
      <c r="B569" s="1" t="n">
        <v>45436</v>
      </c>
      <c r="C569" s="1" t="n">
        <v>45754</v>
      </c>
      <c r="D569" t="inlineStr">
        <is>
          <t>DALARNAS LÄN</t>
        </is>
      </c>
      <c r="E569" t="inlineStr">
        <is>
          <t>HEDEMORA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21270-2024</t>
        </is>
      </c>
      <c r="B570" s="1" t="n">
        <v>45440</v>
      </c>
      <c r="C570" s="1" t="n">
        <v>45754</v>
      </c>
      <c r="D570" t="inlineStr">
        <is>
          <t>DALARNAS LÄN</t>
        </is>
      </c>
      <c r="E570" t="inlineStr">
        <is>
          <t>HEDEMORA</t>
        </is>
      </c>
      <c r="G570" t="n">
        <v>4.7</v>
      </c>
      <c r="H570" t="n">
        <v>0</v>
      </c>
      <c r="I570" t="n">
        <v>0</v>
      </c>
      <c r="J570" t="n">
        <v>0</v>
      </c>
      <c r="K570" t="n">
        <v>0</v>
      </c>
      <c r="L570" t="n">
        <v>0</v>
      </c>
      <c r="M570" t="n">
        <v>0</v>
      </c>
      <c r="N570" t="n">
        <v>0</v>
      </c>
      <c r="O570" t="n">
        <v>0</v>
      </c>
      <c r="P570" t="n">
        <v>0</v>
      </c>
      <c r="Q570" t="n">
        <v>0</v>
      </c>
      <c r="R570" s="2" t="inlineStr"/>
    </row>
    <row r="571" ht="15" customHeight="1">
      <c r="A571" t="inlineStr">
        <is>
          <t>A 21514-2024</t>
        </is>
      </c>
      <c r="B571" s="1" t="n">
        <v>45441</v>
      </c>
      <c r="C571" s="1" t="n">
        <v>45754</v>
      </c>
      <c r="D571" t="inlineStr">
        <is>
          <t>DALARNAS LÄN</t>
        </is>
      </c>
      <c r="E571" t="inlineStr">
        <is>
          <t>HEDEMORA</t>
        </is>
      </c>
      <c r="G571" t="n">
        <v>1.5</v>
      </c>
      <c r="H571" t="n">
        <v>0</v>
      </c>
      <c r="I571" t="n">
        <v>0</v>
      </c>
      <c r="J571" t="n">
        <v>0</v>
      </c>
      <c r="K571" t="n">
        <v>0</v>
      </c>
      <c r="L571" t="n">
        <v>0</v>
      </c>
      <c r="M571" t="n">
        <v>0</v>
      </c>
      <c r="N571" t="n">
        <v>0</v>
      </c>
      <c r="O571" t="n">
        <v>0</v>
      </c>
      <c r="P571" t="n">
        <v>0</v>
      </c>
      <c r="Q571" t="n">
        <v>0</v>
      </c>
      <c r="R571" s="2" t="inlineStr"/>
    </row>
    <row r="572" ht="15" customHeight="1">
      <c r="A572" t="inlineStr">
        <is>
          <t>A 21539-2024</t>
        </is>
      </c>
      <c r="B572" s="1" t="n">
        <v>45441</v>
      </c>
      <c r="C572" s="1" t="n">
        <v>45754</v>
      </c>
      <c r="D572" t="inlineStr">
        <is>
          <t>DALARNAS LÄN</t>
        </is>
      </c>
      <c r="E572" t="inlineStr">
        <is>
          <t>HEDEMORA</t>
        </is>
      </c>
      <c r="F572" t="inlineStr">
        <is>
          <t>Sveaskog</t>
        </is>
      </c>
      <c r="G572" t="n">
        <v>11.9</v>
      </c>
      <c r="H572" t="n">
        <v>0</v>
      </c>
      <c r="I572" t="n">
        <v>0</v>
      </c>
      <c r="J572" t="n">
        <v>0</v>
      </c>
      <c r="K572" t="n">
        <v>0</v>
      </c>
      <c r="L572" t="n">
        <v>0</v>
      </c>
      <c r="M572" t="n">
        <v>0</v>
      </c>
      <c r="N572" t="n">
        <v>0</v>
      </c>
      <c r="O572" t="n">
        <v>0</v>
      </c>
      <c r="P572" t="n">
        <v>0</v>
      </c>
      <c r="Q572" t="n">
        <v>0</v>
      </c>
      <c r="R572" s="2" t="inlineStr"/>
    </row>
    <row r="573" ht="15" customHeight="1">
      <c r="A573" t="inlineStr">
        <is>
          <t>A 21595-2024</t>
        </is>
      </c>
      <c r="B573" s="1" t="n">
        <v>45441</v>
      </c>
      <c r="C573" s="1" t="n">
        <v>45754</v>
      </c>
      <c r="D573" t="inlineStr">
        <is>
          <t>DALARNAS LÄN</t>
        </is>
      </c>
      <c r="E573" t="inlineStr">
        <is>
          <t>HEDEMORA</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21538-2024</t>
        </is>
      </c>
      <c r="B574" s="1" t="n">
        <v>45441</v>
      </c>
      <c r="C574" s="1" t="n">
        <v>45754</v>
      </c>
      <c r="D574" t="inlineStr">
        <is>
          <t>DALARNAS LÄN</t>
        </is>
      </c>
      <c r="E574" t="inlineStr">
        <is>
          <t>HEDEMORA</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21763-2024</t>
        </is>
      </c>
      <c r="B575" s="1" t="n">
        <v>45442</v>
      </c>
      <c r="C575" s="1" t="n">
        <v>45754</v>
      </c>
      <c r="D575" t="inlineStr">
        <is>
          <t>DALARNAS LÄN</t>
        </is>
      </c>
      <c r="E575" t="inlineStr">
        <is>
          <t>HEDEMORA</t>
        </is>
      </c>
      <c r="G575" t="n">
        <v>1.6</v>
      </c>
      <c r="H575" t="n">
        <v>0</v>
      </c>
      <c r="I575" t="n">
        <v>0</v>
      </c>
      <c r="J575" t="n">
        <v>0</v>
      </c>
      <c r="K575" t="n">
        <v>0</v>
      </c>
      <c r="L575" t="n">
        <v>0</v>
      </c>
      <c r="M575" t="n">
        <v>0</v>
      </c>
      <c r="N575" t="n">
        <v>0</v>
      </c>
      <c r="O575" t="n">
        <v>0</v>
      </c>
      <c r="P575" t="n">
        <v>0</v>
      </c>
      <c r="Q575" t="n">
        <v>0</v>
      </c>
      <c r="R575" s="2" t="inlineStr"/>
    </row>
    <row r="576" ht="15" customHeight="1">
      <c r="A576" t="inlineStr">
        <is>
          <t>A 21823-2024</t>
        </is>
      </c>
      <c r="B576" s="1" t="n">
        <v>45442</v>
      </c>
      <c r="C576" s="1" t="n">
        <v>45754</v>
      </c>
      <c r="D576" t="inlineStr">
        <is>
          <t>DALARNAS LÄN</t>
        </is>
      </c>
      <c r="E576" t="inlineStr">
        <is>
          <t>HEDEMORA</t>
        </is>
      </c>
      <c r="F576" t="inlineStr">
        <is>
          <t>Sveaskog</t>
        </is>
      </c>
      <c r="G576" t="n">
        <v>5.3</v>
      </c>
      <c r="H576" t="n">
        <v>0</v>
      </c>
      <c r="I576" t="n">
        <v>0</v>
      </c>
      <c r="J576" t="n">
        <v>0</v>
      </c>
      <c r="K576" t="n">
        <v>0</v>
      </c>
      <c r="L576" t="n">
        <v>0</v>
      </c>
      <c r="M576" t="n">
        <v>0</v>
      </c>
      <c r="N576" t="n">
        <v>0</v>
      </c>
      <c r="O576" t="n">
        <v>0</v>
      </c>
      <c r="P576" t="n">
        <v>0</v>
      </c>
      <c r="Q576" t="n">
        <v>0</v>
      </c>
      <c r="R576" s="2" t="inlineStr"/>
    </row>
    <row r="577" ht="15" customHeight="1">
      <c r="A577" t="inlineStr">
        <is>
          <t>A 22588-2024</t>
        </is>
      </c>
      <c r="B577" s="1" t="n">
        <v>45447</v>
      </c>
      <c r="C577" s="1" t="n">
        <v>45754</v>
      </c>
      <c r="D577" t="inlineStr">
        <is>
          <t>DALARNAS LÄN</t>
        </is>
      </c>
      <c r="E577" t="inlineStr">
        <is>
          <t>HEDEMORA</t>
        </is>
      </c>
      <c r="G577" t="n">
        <v>8.4</v>
      </c>
      <c r="H577" t="n">
        <v>0</v>
      </c>
      <c r="I577" t="n">
        <v>0</v>
      </c>
      <c r="J577" t="n">
        <v>0</v>
      </c>
      <c r="K577" t="n">
        <v>0</v>
      </c>
      <c r="L577" t="n">
        <v>0</v>
      </c>
      <c r="M577" t="n">
        <v>0</v>
      </c>
      <c r="N577" t="n">
        <v>0</v>
      </c>
      <c r="O577" t="n">
        <v>0</v>
      </c>
      <c r="P577" t="n">
        <v>0</v>
      </c>
      <c r="Q577" t="n">
        <v>0</v>
      </c>
      <c r="R577" s="2" t="inlineStr"/>
    </row>
    <row r="578" ht="15" customHeight="1">
      <c r="A578" t="inlineStr">
        <is>
          <t>A 22914-2024</t>
        </is>
      </c>
      <c r="B578" s="1" t="n">
        <v>45448</v>
      </c>
      <c r="C578" s="1" t="n">
        <v>45754</v>
      </c>
      <c r="D578" t="inlineStr">
        <is>
          <t>DALARNAS LÄN</t>
        </is>
      </c>
      <c r="E578" t="inlineStr">
        <is>
          <t>HEDEMORA</t>
        </is>
      </c>
      <c r="G578" t="n">
        <v>2</v>
      </c>
      <c r="H578" t="n">
        <v>0</v>
      </c>
      <c r="I578" t="n">
        <v>0</v>
      </c>
      <c r="J578" t="n">
        <v>0</v>
      </c>
      <c r="K578" t="n">
        <v>0</v>
      </c>
      <c r="L578" t="n">
        <v>0</v>
      </c>
      <c r="M578" t="n">
        <v>0</v>
      </c>
      <c r="N578" t="n">
        <v>0</v>
      </c>
      <c r="O578" t="n">
        <v>0</v>
      </c>
      <c r="P578" t="n">
        <v>0</v>
      </c>
      <c r="Q578" t="n">
        <v>0</v>
      </c>
      <c r="R578" s="2" t="inlineStr"/>
    </row>
    <row r="579" ht="15" customHeight="1">
      <c r="A579" t="inlineStr">
        <is>
          <t>A 23826-2024</t>
        </is>
      </c>
      <c r="B579" s="1" t="n">
        <v>45455</v>
      </c>
      <c r="C579" s="1" t="n">
        <v>45754</v>
      </c>
      <c r="D579" t="inlineStr">
        <is>
          <t>DALARNAS LÄN</t>
        </is>
      </c>
      <c r="E579" t="inlineStr">
        <is>
          <t>HEDEMORA</t>
        </is>
      </c>
      <c r="G579" t="n">
        <v>1.2</v>
      </c>
      <c r="H579" t="n">
        <v>0</v>
      </c>
      <c r="I579" t="n">
        <v>0</v>
      </c>
      <c r="J579" t="n">
        <v>0</v>
      </c>
      <c r="K579" t="n">
        <v>0</v>
      </c>
      <c r="L579" t="n">
        <v>0</v>
      </c>
      <c r="M579" t="n">
        <v>0</v>
      </c>
      <c r="N579" t="n">
        <v>0</v>
      </c>
      <c r="O579" t="n">
        <v>0</v>
      </c>
      <c r="P579" t="n">
        <v>0</v>
      </c>
      <c r="Q579" t="n">
        <v>0</v>
      </c>
      <c r="R579" s="2" t="inlineStr"/>
    </row>
    <row r="580" ht="15" customHeight="1">
      <c r="A580" t="inlineStr">
        <is>
          <t>A 24382-2024</t>
        </is>
      </c>
      <c r="B580" s="1" t="n">
        <v>45457</v>
      </c>
      <c r="C580" s="1" t="n">
        <v>45754</v>
      </c>
      <c r="D580" t="inlineStr">
        <is>
          <t>DALARNAS LÄN</t>
        </is>
      </c>
      <c r="E580" t="inlineStr">
        <is>
          <t>HEDEMORA</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24486-2024</t>
        </is>
      </c>
      <c r="B581" s="1" t="n">
        <v>45459</v>
      </c>
      <c r="C581" s="1" t="n">
        <v>45754</v>
      </c>
      <c r="D581" t="inlineStr">
        <is>
          <t>DALARNAS LÄN</t>
        </is>
      </c>
      <c r="E581" t="inlineStr">
        <is>
          <t>HEDEMORA</t>
        </is>
      </c>
      <c r="G581" t="n">
        <v>0.3</v>
      </c>
      <c r="H581" t="n">
        <v>0</v>
      </c>
      <c r="I581" t="n">
        <v>0</v>
      </c>
      <c r="J581" t="n">
        <v>0</v>
      </c>
      <c r="K581" t="n">
        <v>0</v>
      </c>
      <c r="L581" t="n">
        <v>0</v>
      </c>
      <c r="M581" t="n">
        <v>0</v>
      </c>
      <c r="N581" t="n">
        <v>0</v>
      </c>
      <c r="O581" t="n">
        <v>0</v>
      </c>
      <c r="P581" t="n">
        <v>0</v>
      </c>
      <c r="Q581" t="n">
        <v>0</v>
      </c>
      <c r="R581" s="2" t="inlineStr"/>
    </row>
    <row r="582" ht="15" customHeight="1">
      <c r="A582" t="inlineStr">
        <is>
          <t>A 25206-2024</t>
        </is>
      </c>
      <c r="B582" s="1" t="n">
        <v>45462</v>
      </c>
      <c r="C582" s="1" t="n">
        <v>45754</v>
      </c>
      <c r="D582" t="inlineStr">
        <is>
          <t>DALARNAS LÄN</t>
        </is>
      </c>
      <c r="E582" t="inlineStr">
        <is>
          <t>HEDEMORA</t>
        </is>
      </c>
      <c r="G582" t="n">
        <v>2.1</v>
      </c>
      <c r="H582" t="n">
        <v>0</v>
      </c>
      <c r="I582" t="n">
        <v>0</v>
      </c>
      <c r="J582" t="n">
        <v>0</v>
      </c>
      <c r="K582" t="n">
        <v>0</v>
      </c>
      <c r="L582" t="n">
        <v>0</v>
      </c>
      <c r="M582" t="n">
        <v>0</v>
      </c>
      <c r="N582" t="n">
        <v>0</v>
      </c>
      <c r="O582" t="n">
        <v>0</v>
      </c>
      <c r="P582" t="n">
        <v>0</v>
      </c>
      <c r="Q582" t="n">
        <v>0</v>
      </c>
      <c r="R582" s="2" t="inlineStr"/>
    </row>
    <row r="583" ht="15" customHeight="1">
      <c r="A583" t="inlineStr">
        <is>
          <t>A 25195-2024</t>
        </is>
      </c>
      <c r="B583" s="1" t="n">
        <v>45462</v>
      </c>
      <c r="C583" s="1" t="n">
        <v>45754</v>
      </c>
      <c r="D583" t="inlineStr">
        <is>
          <t>DALARNAS LÄN</t>
        </is>
      </c>
      <c r="E583" t="inlineStr">
        <is>
          <t>HEDEMORA</t>
        </is>
      </c>
      <c r="F583" t="inlineStr">
        <is>
          <t>Övriga statliga verk och myndigheter</t>
        </is>
      </c>
      <c r="G583" t="n">
        <v>3.3</v>
      </c>
      <c r="H583" t="n">
        <v>0</v>
      </c>
      <c r="I583" t="n">
        <v>0</v>
      </c>
      <c r="J583" t="n">
        <v>0</v>
      </c>
      <c r="K583" t="n">
        <v>0</v>
      </c>
      <c r="L583" t="n">
        <v>0</v>
      </c>
      <c r="M583" t="n">
        <v>0</v>
      </c>
      <c r="N583" t="n">
        <v>0</v>
      </c>
      <c r="O583" t="n">
        <v>0</v>
      </c>
      <c r="P583" t="n">
        <v>0</v>
      </c>
      <c r="Q583" t="n">
        <v>0</v>
      </c>
      <c r="R583" s="2" t="inlineStr"/>
    </row>
    <row r="584" ht="15" customHeight="1">
      <c r="A584" t="inlineStr">
        <is>
          <t>A 25643-2024</t>
        </is>
      </c>
      <c r="B584" s="1" t="n">
        <v>45463</v>
      </c>
      <c r="C584" s="1" t="n">
        <v>45754</v>
      </c>
      <c r="D584" t="inlineStr">
        <is>
          <t>DALARNAS LÄN</t>
        </is>
      </c>
      <c r="E584" t="inlineStr">
        <is>
          <t>HEDEMORA</t>
        </is>
      </c>
      <c r="F584" t="inlineStr">
        <is>
          <t>Sveaskog</t>
        </is>
      </c>
      <c r="G584" t="n">
        <v>8</v>
      </c>
      <c r="H584" t="n">
        <v>0</v>
      </c>
      <c r="I584" t="n">
        <v>0</v>
      </c>
      <c r="J584" t="n">
        <v>0</v>
      </c>
      <c r="K584" t="n">
        <v>0</v>
      </c>
      <c r="L584" t="n">
        <v>0</v>
      </c>
      <c r="M584" t="n">
        <v>0</v>
      </c>
      <c r="N584" t="n">
        <v>0</v>
      </c>
      <c r="O584" t="n">
        <v>0</v>
      </c>
      <c r="P584" t="n">
        <v>0</v>
      </c>
      <c r="Q584" t="n">
        <v>0</v>
      </c>
      <c r="R584" s="2" t="inlineStr"/>
    </row>
    <row r="585" ht="15" customHeight="1">
      <c r="A585" t="inlineStr">
        <is>
          <t>A 25645-2024</t>
        </is>
      </c>
      <c r="B585" s="1" t="n">
        <v>45463</v>
      </c>
      <c r="C585" s="1" t="n">
        <v>45754</v>
      </c>
      <c r="D585" t="inlineStr">
        <is>
          <t>DALARNAS LÄN</t>
        </is>
      </c>
      <c r="E585" t="inlineStr">
        <is>
          <t>HEDEMORA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26452-2024</t>
        </is>
      </c>
      <c r="B586" s="1" t="n">
        <v>45469</v>
      </c>
      <c r="C586" s="1" t="n">
        <v>45754</v>
      </c>
      <c r="D586" t="inlineStr">
        <is>
          <t>DALARNAS LÄN</t>
        </is>
      </c>
      <c r="E586" t="inlineStr">
        <is>
          <t>HEDEMORA</t>
        </is>
      </c>
      <c r="G586" t="n">
        <v>2.3</v>
      </c>
      <c r="H586" t="n">
        <v>0</v>
      </c>
      <c r="I586" t="n">
        <v>0</v>
      </c>
      <c r="J586" t="n">
        <v>0</v>
      </c>
      <c r="K586" t="n">
        <v>0</v>
      </c>
      <c r="L586" t="n">
        <v>0</v>
      </c>
      <c r="M586" t="n">
        <v>0</v>
      </c>
      <c r="N586" t="n">
        <v>0</v>
      </c>
      <c r="O586" t="n">
        <v>0</v>
      </c>
      <c r="P586" t="n">
        <v>0</v>
      </c>
      <c r="Q586" t="n">
        <v>0</v>
      </c>
      <c r="R586" s="2" t="inlineStr"/>
    </row>
    <row r="587" ht="15" customHeight="1">
      <c r="A587" t="inlineStr">
        <is>
          <t>A 26449-2024</t>
        </is>
      </c>
      <c r="B587" s="1" t="n">
        <v>45469</v>
      </c>
      <c r="C587" s="1" t="n">
        <v>45754</v>
      </c>
      <c r="D587" t="inlineStr">
        <is>
          <t>DALARNAS LÄN</t>
        </is>
      </c>
      <c r="E587" t="inlineStr">
        <is>
          <t>HEDEMORA</t>
        </is>
      </c>
      <c r="G587" t="n">
        <v>4.5</v>
      </c>
      <c r="H587" t="n">
        <v>0</v>
      </c>
      <c r="I587" t="n">
        <v>0</v>
      </c>
      <c r="J587" t="n">
        <v>0</v>
      </c>
      <c r="K587" t="n">
        <v>0</v>
      </c>
      <c r="L587" t="n">
        <v>0</v>
      </c>
      <c r="M587" t="n">
        <v>0</v>
      </c>
      <c r="N587" t="n">
        <v>0</v>
      </c>
      <c r="O587" t="n">
        <v>0</v>
      </c>
      <c r="P587" t="n">
        <v>0</v>
      </c>
      <c r="Q587" t="n">
        <v>0</v>
      </c>
      <c r="R587" s="2" t="inlineStr"/>
    </row>
    <row r="588" ht="15" customHeight="1">
      <c r="A588" t="inlineStr">
        <is>
          <t>A 26431-2024</t>
        </is>
      </c>
      <c r="B588" s="1" t="n">
        <v>45469</v>
      </c>
      <c r="C588" s="1" t="n">
        <v>45754</v>
      </c>
      <c r="D588" t="inlineStr">
        <is>
          <t>DALARNAS LÄN</t>
        </is>
      </c>
      <c r="E588" t="inlineStr">
        <is>
          <t>HEDEMORA</t>
        </is>
      </c>
      <c r="G588" t="n">
        <v>1.6</v>
      </c>
      <c r="H588" t="n">
        <v>0</v>
      </c>
      <c r="I588" t="n">
        <v>0</v>
      </c>
      <c r="J588" t="n">
        <v>0</v>
      </c>
      <c r="K588" t="n">
        <v>0</v>
      </c>
      <c r="L588" t="n">
        <v>0</v>
      </c>
      <c r="M588" t="n">
        <v>0</v>
      </c>
      <c r="N588" t="n">
        <v>0</v>
      </c>
      <c r="O588" t="n">
        <v>0</v>
      </c>
      <c r="P588" t="n">
        <v>0</v>
      </c>
      <c r="Q588" t="n">
        <v>0</v>
      </c>
      <c r="R588" s="2" t="inlineStr"/>
      <c r="U588">
        <f>HYPERLINK("https://klasma.github.io/Logging_2083/knärot/A 26431-2024 karta knärot.png", "A 26431-2024")</f>
        <v/>
      </c>
      <c r="V588">
        <f>HYPERLINK("https://klasma.github.io/Logging_2083/klagomål/A 26431-2024 FSC-klagomål.docx", "A 26431-2024")</f>
        <v/>
      </c>
      <c r="W588">
        <f>HYPERLINK("https://klasma.github.io/Logging_2083/klagomålsmail/A 26431-2024 FSC-klagomål mail.docx", "A 26431-2024")</f>
        <v/>
      </c>
      <c r="X588">
        <f>HYPERLINK("https://klasma.github.io/Logging_2083/tillsyn/A 26431-2024 tillsynsbegäran.docx", "A 26431-2024")</f>
        <v/>
      </c>
      <c r="Y588">
        <f>HYPERLINK("https://klasma.github.io/Logging_2083/tillsynsmail/A 26431-2024 tillsynsbegäran mail.docx", "A 26431-2024")</f>
        <v/>
      </c>
    </row>
    <row r="589" ht="15" customHeight="1">
      <c r="A589" t="inlineStr">
        <is>
          <t>A 27610-2024</t>
        </is>
      </c>
      <c r="B589" s="1" t="n">
        <v>45474</v>
      </c>
      <c r="C589" s="1" t="n">
        <v>45754</v>
      </c>
      <c r="D589" t="inlineStr">
        <is>
          <t>DALARNAS LÄN</t>
        </is>
      </c>
      <c r="E589" t="inlineStr">
        <is>
          <t>HEDEMORA</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27609-2024</t>
        </is>
      </c>
      <c r="B590" s="1" t="n">
        <v>45474</v>
      </c>
      <c r="C590" s="1" t="n">
        <v>45754</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28148-2024</t>
        </is>
      </c>
      <c r="B591" s="1" t="n">
        <v>45476</v>
      </c>
      <c r="C591" s="1" t="n">
        <v>45754</v>
      </c>
      <c r="D591" t="inlineStr">
        <is>
          <t>DALARNAS LÄN</t>
        </is>
      </c>
      <c r="E591" t="inlineStr">
        <is>
          <t>HEDEMORA</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28149-2024</t>
        </is>
      </c>
      <c r="B592" s="1" t="n">
        <v>45476</v>
      </c>
      <c r="C592" s="1" t="n">
        <v>45754</v>
      </c>
      <c r="D592" t="inlineStr">
        <is>
          <t>DALARNAS LÄN</t>
        </is>
      </c>
      <c r="E592" t="inlineStr">
        <is>
          <t>HEDEMORA</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28813-2024</t>
        </is>
      </c>
      <c r="B593" s="1" t="n">
        <v>45478</v>
      </c>
      <c r="C593" s="1" t="n">
        <v>45754</v>
      </c>
      <c r="D593" t="inlineStr">
        <is>
          <t>DALARNAS LÄN</t>
        </is>
      </c>
      <c r="E593" t="inlineStr">
        <is>
          <t>HEDEMORA</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29225-2024</t>
        </is>
      </c>
      <c r="B594" s="1" t="n">
        <v>45482</v>
      </c>
      <c r="C594" s="1" t="n">
        <v>45754</v>
      </c>
      <c r="D594" t="inlineStr">
        <is>
          <t>DALARNAS LÄN</t>
        </is>
      </c>
      <c r="E594" t="inlineStr">
        <is>
          <t>HEDEMORA</t>
        </is>
      </c>
      <c r="F594" t="inlineStr">
        <is>
          <t>Sveaskog</t>
        </is>
      </c>
      <c r="G594" t="n">
        <v>4.9</v>
      </c>
      <c r="H594" t="n">
        <v>0</v>
      </c>
      <c r="I594" t="n">
        <v>0</v>
      </c>
      <c r="J594" t="n">
        <v>0</v>
      </c>
      <c r="K594" t="n">
        <v>0</v>
      </c>
      <c r="L594" t="n">
        <v>0</v>
      </c>
      <c r="M594" t="n">
        <v>0</v>
      </c>
      <c r="N594" t="n">
        <v>0</v>
      </c>
      <c r="O594" t="n">
        <v>0</v>
      </c>
      <c r="P594" t="n">
        <v>0</v>
      </c>
      <c r="Q594" t="n">
        <v>0</v>
      </c>
      <c r="R594" s="2" t="inlineStr"/>
    </row>
    <row r="595" ht="15" customHeight="1">
      <c r="A595" t="inlineStr">
        <is>
          <t>A 29585-2024</t>
        </is>
      </c>
      <c r="B595" s="1" t="n">
        <v>45484</v>
      </c>
      <c r="C595" s="1" t="n">
        <v>45754</v>
      </c>
      <c r="D595" t="inlineStr">
        <is>
          <t>DALARNAS LÄN</t>
        </is>
      </c>
      <c r="E595" t="inlineStr">
        <is>
          <t>HEDEMORA</t>
        </is>
      </c>
      <c r="F595" t="inlineStr">
        <is>
          <t>Bergvik skog väst AB</t>
        </is>
      </c>
      <c r="G595" t="n">
        <v>8.1</v>
      </c>
      <c r="H595" t="n">
        <v>0</v>
      </c>
      <c r="I595" t="n">
        <v>0</v>
      </c>
      <c r="J595" t="n">
        <v>0</v>
      </c>
      <c r="K595" t="n">
        <v>0</v>
      </c>
      <c r="L595" t="n">
        <v>0</v>
      </c>
      <c r="M595" t="n">
        <v>0</v>
      </c>
      <c r="N595" t="n">
        <v>0</v>
      </c>
      <c r="O595" t="n">
        <v>0</v>
      </c>
      <c r="P595" t="n">
        <v>0</v>
      </c>
      <c r="Q595" t="n">
        <v>0</v>
      </c>
      <c r="R595" s="2" t="inlineStr"/>
    </row>
    <row r="596" ht="15" customHeight="1">
      <c r="A596" t="inlineStr">
        <is>
          <t>A 29640-2024</t>
        </is>
      </c>
      <c r="B596" s="1" t="n">
        <v>45484</v>
      </c>
      <c r="C596" s="1" t="n">
        <v>45754</v>
      </c>
      <c r="D596" t="inlineStr">
        <is>
          <t>DALARNAS LÄN</t>
        </is>
      </c>
      <c r="E596" t="inlineStr">
        <is>
          <t>HEDEMORA</t>
        </is>
      </c>
      <c r="F596" t="inlineStr">
        <is>
          <t>Bergvik skog väst AB</t>
        </is>
      </c>
      <c r="G596" t="n">
        <v>8.6</v>
      </c>
      <c r="H596" t="n">
        <v>0</v>
      </c>
      <c r="I596" t="n">
        <v>0</v>
      </c>
      <c r="J596" t="n">
        <v>0</v>
      </c>
      <c r="K596" t="n">
        <v>0</v>
      </c>
      <c r="L596" t="n">
        <v>0</v>
      </c>
      <c r="M596" t="n">
        <v>0</v>
      </c>
      <c r="N596" t="n">
        <v>0</v>
      </c>
      <c r="O596" t="n">
        <v>0</v>
      </c>
      <c r="P596" t="n">
        <v>0</v>
      </c>
      <c r="Q596" t="n">
        <v>0</v>
      </c>
      <c r="R596" s="2" t="inlineStr"/>
    </row>
    <row r="597" ht="15" customHeight="1">
      <c r="A597" t="inlineStr">
        <is>
          <t>A 29591-2024</t>
        </is>
      </c>
      <c r="B597" s="1" t="n">
        <v>45484</v>
      </c>
      <c r="C597" s="1" t="n">
        <v>45754</v>
      </c>
      <c r="D597" t="inlineStr">
        <is>
          <t>DALARNAS LÄN</t>
        </is>
      </c>
      <c r="E597" t="inlineStr">
        <is>
          <t>HEDEMORA</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29587-2024</t>
        </is>
      </c>
      <c r="B598" s="1" t="n">
        <v>45484</v>
      </c>
      <c r="C598" s="1" t="n">
        <v>45754</v>
      </c>
      <c r="D598" t="inlineStr">
        <is>
          <t>DALARNAS LÄN</t>
        </is>
      </c>
      <c r="E598" t="inlineStr">
        <is>
          <t>HEDEMORA</t>
        </is>
      </c>
      <c r="F598" t="inlineStr">
        <is>
          <t>Bergvik skog väst AB</t>
        </is>
      </c>
      <c r="G598" t="n">
        <v>3.4</v>
      </c>
      <c r="H598" t="n">
        <v>0</v>
      </c>
      <c r="I598" t="n">
        <v>0</v>
      </c>
      <c r="J598" t="n">
        <v>0</v>
      </c>
      <c r="K598" t="n">
        <v>0</v>
      </c>
      <c r="L598" t="n">
        <v>0</v>
      </c>
      <c r="M598" t="n">
        <v>0</v>
      </c>
      <c r="N598" t="n">
        <v>0</v>
      </c>
      <c r="O598" t="n">
        <v>0</v>
      </c>
      <c r="P598" t="n">
        <v>0</v>
      </c>
      <c r="Q598" t="n">
        <v>0</v>
      </c>
      <c r="R598" s="2" t="inlineStr"/>
    </row>
    <row r="599" ht="15" customHeight="1">
      <c r="A599" t="inlineStr">
        <is>
          <t>A 29833-2024</t>
        </is>
      </c>
      <c r="B599" s="1" t="n">
        <v>45485</v>
      </c>
      <c r="C599" s="1" t="n">
        <v>45754</v>
      </c>
      <c r="D599" t="inlineStr">
        <is>
          <t>DALARNAS LÄN</t>
        </is>
      </c>
      <c r="E599" t="inlineStr">
        <is>
          <t>HEDEMORA</t>
        </is>
      </c>
      <c r="G599" t="n">
        <v>0.9</v>
      </c>
      <c r="H599" t="n">
        <v>0</v>
      </c>
      <c r="I599" t="n">
        <v>0</v>
      </c>
      <c r="J599" t="n">
        <v>0</v>
      </c>
      <c r="K599" t="n">
        <v>0</v>
      </c>
      <c r="L599" t="n">
        <v>0</v>
      </c>
      <c r="M599" t="n">
        <v>0</v>
      </c>
      <c r="N599" t="n">
        <v>0</v>
      </c>
      <c r="O599" t="n">
        <v>0</v>
      </c>
      <c r="P599" t="n">
        <v>0</v>
      </c>
      <c r="Q599" t="n">
        <v>0</v>
      </c>
      <c r="R599" s="2" t="inlineStr"/>
    </row>
    <row r="600" ht="15" customHeight="1">
      <c r="A600" t="inlineStr">
        <is>
          <t>A 29932-2024</t>
        </is>
      </c>
      <c r="B600" s="1" t="n">
        <v>45488</v>
      </c>
      <c r="C600" s="1" t="n">
        <v>45754</v>
      </c>
      <c r="D600" t="inlineStr">
        <is>
          <t>DALARNAS LÄN</t>
        </is>
      </c>
      <c r="E600" t="inlineStr">
        <is>
          <t>HEDEMORA</t>
        </is>
      </c>
      <c r="G600" t="n">
        <v>11.4</v>
      </c>
      <c r="H600" t="n">
        <v>0</v>
      </c>
      <c r="I600" t="n">
        <v>0</v>
      </c>
      <c r="J600" t="n">
        <v>0</v>
      </c>
      <c r="K600" t="n">
        <v>0</v>
      </c>
      <c r="L600" t="n">
        <v>0</v>
      </c>
      <c r="M600" t="n">
        <v>0</v>
      </c>
      <c r="N600" t="n">
        <v>0</v>
      </c>
      <c r="O600" t="n">
        <v>0</v>
      </c>
      <c r="P600" t="n">
        <v>0</v>
      </c>
      <c r="Q600" t="n">
        <v>0</v>
      </c>
      <c r="R600" s="2" t="inlineStr"/>
    </row>
    <row r="601" ht="15" customHeight="1">
      <c r="A601" t="inlineStr">
        <is>
          <t>A 30252-2024</t>
        </is>
      </c>
      <c r="B601" s="1" t="n">
        <v>45490</v>
      </c>
      <c r="C601" s="1" t="n">
        <v>45754</v>
      </c>
      <c r="D601" t="inlineStr">
        <is>
          <t>DALARNAS LÄN</t>
        </is>
      </c>
      <c r="E601" t="inlineStr">
        <is>
          <t>HEDEMORA</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30265-2024</t>
        </is>
      </c>
      <c r="B602" s="1" t="n">
        <v>45490</v>
      </c>
      <c r="C602" s="1" t="n">
        <v>45754</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30905-2024</t>
        </is>
      </c>
      <c r="B603" s="1" t="n">
        <v>45498</v>
      </c>
      <c r="C603" s="1" t="n">
        <v>45754</v>
      </c>
      <c r="D603" t="inlineStr">
        <is>
          <t>DALARNAS LÄN</t>
        </is>
      </c>
      <c r="E603" t="inlineStr">
        <is>
          <t>HEDEMORA</t>
        </is>
      </c>
      <c r="F603" t="inlineStr">
        <is>
          <t>Bergvik skog väst AB</t>
        </is>
      </c>
      <c r="G603" t="n">
        <v>1.8</v>
      </c>
      <c r="H603" t="n">
        <v>0</v>
      </c>
      <c r="I603" t="n">
        <v>0</v>
      </c>
      <c r="J603" t="n">
        <v>0</v>
      </c>
      <c r="K603" t="n">
        <v>0</v>
      </c>
      <c r="L603" t="n">
        <v>0</v>
      </c>
      <c r="M603" t="n">
        <v>0</v>
      </c>
      <c r="N603" t="n">
        <v>0</v>
      </c>
      <c r="O603" t="n">
        <v>0</v>
      </c>
      <c r="P603" t="n">
        <v>0</v>
      </c>
      <c r="Q603" t="n">
        <v>0</v>
      </c>
      <c r="R603" s="2" t="inlineStr"/>
    </row>
    <row r="604" ht="15" customHeight="1">
      <c r="A604" t="inlineStr">
        <is>
          <t>A 30908-2024</t>
        </is>
      </c>
      <c r="B604" s="1" t="n">
        <v>45498</v>
      </c>
      <c r="C604" s="1" t="n">
        <v>45754</v>
      </c>
      <c r="D604" t="inlineStr">
        <is>
          <t>DALARNAS LÄN</t>
        </is>
      </c>
      <c r="E604" t="inlineStr">
        <is>
          <t>HEDEMORA</t>
        </is>
      </c>
      <c r="F604" t="inlineStr">
        <is>
          <t>Bergvik skog väst AB</t>
        </is>
      </c>
      <c r="G604" t="n">
        <v>2.8</v>
      </c>
      <c r="H604" t="n">
        <v>0</v>
      </c>
      <c r="I604" t="n">
        <v>0</v>
      </c>
      <c r="J604" t="n">
        <v>0</v>
      </c>
      <c r="K604" t="n">
        <v>0</v>
      </c>
      <c r="L604" t="n">
        <v>0</v>
      </c>
      <c r="M604" t="n">
        <v>0</v>
      </c>
      <c r="N604" t="n">
        <v>0</v>
      </c>
      <c r="O604" t="n">
        <v>0</v>
      </c>
      <c r="P604" t="n">
        <v>0</v>
      </c>
      <c r="Q604" t="n">
        <v>0</v>
      </c>
      <c r="R604" s="2" t="inlineStr"/>
    </row>
    <row r="605" ht="15" customHeight="1">
      <c r="A605" t="inlineStr">
        <is>
          <t>A 31229-2024</t>
        </is>
      </c>
      <c r="B605" s="1" t="n">
        <v>45503</v>
      </c>
      <c r="C605" s="1" t="n">
        <v>45754</v>
      </c>
      <c r="D605" t="inlineStr">
        <is>
          <t>DALARNAS LÄN</t>
        </is>
      </c>
      <c r="E605" t="inlineStr">
        <is>
          <t>HEDEMORA</t>
        </is>
      </c>
      <c r="G605" t="n">
        <v>3.4</v>
      </c>
      <c r="H605" t="n">
        <v>0</v>
      </c>
      <c r="I605" t="n">
        <v>0</v>
      </c>
      <c r="J605" t="n">
        <v>0</v>
      </c>
      <c r="K605" t="n">
        <v>0</v>
      </c>
      <c r="L605" t="n">
        <v>0</v>
      </c>
      <c r="M605" t="n">
        <v>0</v>
      </c>
      <c r="N605" t="n">
        <v>0</v>
      </c>
      <c r="O605" t="n">
        <v>0</v>
      </c>
      <c r="P605" t="n">
        <v>0</v>
      </c>
      <c r="Q605" t="n">
        <v>0</v>
      </c>
      <c r="R605" s="2" t="inlineStr"/>
    </row>
    <row r="606" ht="15" customHeight="1">
      <c r="A606" t="inlineStr">
        <is>
          <t>A 31365-2024</t>
        </is>
      </c>
      <c r="B606" s="1" t="n">
        <v>45505</v>
      </c>
      <c r="C606" s="1" t="n">
        <v>45754</v>
      </c>
      <c r="D606" t="inlineStr">
        <is>
          <t>DALARNAS LÄN</t>
        </is>
      </c>
      <c r="E606" t="inlineStr">
        <is>
          <t>HEDEMORA</t>
        </is>
      </c>
      <c r="G606" t="n">
        <v>0.4</v>
      </c>
      <c r="H606" t="n">
        <v>0</v>
      </c>
      <c r="I606" t="n">
        <v>0</v>
      </c>
      <c r="J606" t="n">
        <v>0</v>
      </c>
      <c r="K606" t="n">
        <v>0</v>
      </c>
      <c r="L606" t="n">
        <v>0</v>
      </c>
      <c r="M606" t="n">
        <v>0</v>
      </c>
      <c r="N606" t="n">
        <v>0</v>
      </c>
      <c r="O606" t="n">
        <v>0</v>
      </c>
      <c r="P606" t="n">
        <v>0</v>
      </c>
      <c r="Q606" t="n">
        <v>0</v>
      </c>
      <c r="R606" s="2" t="inlineStr"/>
    </row>
    <row r="607" ht="15" customHeight="1">
      <c r="A607" t="inlineStr">
        <is>
          <t>A 31364-2024</t>
        </is>
      </c>
      <c r="B607" s="1" t="n">
        <v>45505</v>
      </c>
      <c r="C607" s="1" t="n">
        <v>45754</v>
      </c>
      <c r="D607" t="inlineStr">
        <is>
          <t>DALARNAS LÄN</t>
        </is>
      </c>
      <c r="E607" t="inlineStr">
        <is>
          <t>HEDEMORA</t>
        </is>
      </c>
      <c r="G607" t="n">
        <v>2</v>
      </c>
      <c r="H607" t="n">
        <v>0</v>
      </c>
      <c r="I607" t="n">
        <v>0</v>
      </c>
      <c r="J607" t="n">
        <v>0</v>
      </c>
      <c r="K607" t="n">
        <v>0</v>
      </c>
      <c r="L607" t="n">
        <v>0</v>
      </c>
      <c r="M607" t="n">
        <v>0</v>
      </c>
      <c r="N607" t="n">
        <v>0</v>
      </c>
      <c r="O607" t="n">
        <v>0</v>
      </c>
      <c r="P607" t="n">
        <v>0</v>
      </c>
      <c r="Q607" t="n">
        <v>0</v>
      </c>
      <c r="R607" s="2" t="inlineStr"/>
    </row>
    <row r="608" ht="15" customHeight="1">
      <c r="A608" t="inlineStr">
        <is>
          <t>A 31825-2024</t>
        </is>
      </c>
      <c r="B608" s="1" t="n">
        <v>45509</v>
      </c>
      <c r="C608" s="1" t="n">
        <v>45754</v>
      </c>
      <c r="D608" t="inlineStr">
        <is>
          <t>DALARNAS LÄN</t>
        </is>
      </c>
      <c r="E608" t="inlineStr">
        <is>
          <t>HEDEMORA</t>
        </is>
      </c>
      <c r="G608" t="n">
        <v>0.1</v>
      </c>
      <c r="H608" t="n">
        <v>0</v>
      </c>
      <c r="I608" t="n">
        <v>0</v>
      </c>
      <c r="J608" t="n">
        <v>0</v>
      </c>
      <c r="K608" t="n">
        <v>0</v>
      </c>
      <c r="L608" t="n">
        <v>0</v>
      </c>
      <c r="M608" t="n">
        <v>0</v>
      </c>
      <c r="N608" t="n">
        <v>0</v>
      </c>
      <c r="O608" t="n">
        <v>0</v>
      </c>
      <c r="P608" t="n">
        <v>0</v>
      </c>
      <c r="Q608" t="n">
        <v>0</v>
      </c>
      <c r="R608" s="2" t="inlineStr"/>
    </row>
    <row r="609" ht="15" customHeight="1">
      <c r="A609" t="inlineStr">
        <is>
          <t>A 31968-2024</t>
        </is>
      </c>
      <c r="B609" s="1" t="n">
        <v>45510</v>
      </c>
      <c r="C609" s="1" t="n">
        <v>45754</v>
      </c>
      <c r="D609" t="inlineStr">
        <is>
          <t>DALARNAS LÄN</t>
        </is>
      </c>
      <c r="E609" t="inlineStr">
        <is>
          <t>HEDEMORA</t>
        </is>
      </c>
      <c r="G609" t="n">
        <v>1.2</v>
      </c>
      <c r="H609" t="n">
        <v>0</v>
      </c>
      <c r="I609" t="n">
        <v>0</v>
      </c>
      <c r="J609" t="n">
        <v>0</v>
      </c>
      <c r="K609" t="n">
        <v>0</v>
      </c>
      <c r="L609" t="n">
        <v>0</v>
      </c>
      <c r="M609" t="n">
        <v>0</v>
      </c>
      <c r="N609" t="n">
        <v>0</v>
      </c>
      <c r="O609" t="n">
        <v>0</v>
      </c>
      <c r="P609" t="n">
        <v>0</v>
      </c>
      <c r="Q609" t="n">
        <v>0</v>
      </c>
      <c r="R609" s="2" t="inlineStr"/>
    </row>
    <row r="610" ht="15" customHeight="1">
      <c r="A610" t="inlineStr">
        <is>
          <t>A 32625-2024</t>
        </is>
      </c>
      <c r="B610" s="1" t="n">
        <v>45513</v>
      </c>
      <c r="C610" s="1" t="n">
        <v>45754</v>
      </c>
      <c r="D610" t="inlineStr">
        <is>
          <t>DALARNAS LÄN</t>
        </is>
      </c>
      <c r="E610" t="inlineStr">
        <is>
          <t>HEDEMORA</t>
        </is>
      </c>
      <c r="F610" t="inlineStr">
        <is>
          <t>Sveaskog</t>
        </is>
      </c>
      <c r="G610" t="n">
        <v>5.5</v>
      </c>
      <c r="H610" t="n">
        <v>0</v>
      </c>
      <c r="I610" t="n">
        <v>0</v>
      </c>
      <c r="J610" t="n">
        <v>0</v>
      </c>
      <c r="K610" t="n">
        <v>0</v>
      </c>
      <c r="L610" t="n">
        <v>0</v>
      </c>
      <c r="M610" t="n">
        <v>0</v>
      </c>
      <c r="N610" t="n">
        <v>0</v>
      </c>
      <c r="O610" t="n">
        <v>0</v>
      </c>
      <c r="P610" t="n">
        <v>0</v>
      </c>
      <c r="Q610" t="n">
        <v>0</v>
      </c>
      <c r="R610" s="2" t="inlineStr"/>
    </row>
    <row r="611" ht="15" customHeight="1">
      <c r="A611" t="inlineStr">
        <is>
          <t>A 33020-2024</t>
        </is>
      </c>
      <c r="B611" s="1" t="n">
        <v>45517</v>
      </c>
      <c r="C611" s="1" t="n">
        <v>45754</v>
      </c>
      <c r="D611" t="inlineStr">
        <is>
          <t>DALARNAS LÄN</t>
        </is>
      </c>
      <c r="E611" t="inlineStr">
        <is>
          <t>HEDEMORA</t>
        </is>
      </c>
      <c r="G611" t="n">
        <v>4.6</v>
      </c>
      <c r="H611" t="n">
        <v>0</v>
      </c>
      <c r="I611" t="n">
        <v>0</v>
      </c>
      <c r="J611" t="n">
        <v>0</v>
      </c>
      <c r="K611" t="n">
        <v>0</v>
      </c>
      <c r="L611" t="n">
        <v>0</v>
      </c>
      <c r="M611" t="n">
        <v>0</v>
      </c>
      <c r="N611" t="n">
        <v>0</v>
      </c>
      <c r="O611" t="n">
        <v>0</v>
      </c>
      <c r="P611" t="n">
        <v>0</v>
      </c>
      <c r="Q611" t="n">
        <v>0</v>
      </c>
      <c r="R611" s="2" t="inlineStr"/>
    </row>
    <row r="612" ht="15" customHeight="1">
      <c r="A612" t="inlineStr">
        <is>
          <t>A 33244-2024</t>
        </is>
      </c>
      <c r="B612" s="1" t="n">
        <v>45518</v>
      </c>
      <c r="C612" s="1" t="n">
        <v>45754</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33192-2024</t>
        </is>
      </c>
      <c r="B613" s="1" t="n">
        <v>45518</v>
      </c>
      <c r="C613" s="1" t="n">
        <v>45754</v>
      </c>
      <c r="D613" t="inlineStr">
        <is>
          <t>DALARNAS LÄN</t>
        </is>
      </c>
      <c r="E613" t="inlineStr">
        <is>
          <t>HEDEMORA</t>
        </is>
      </c>
      <c r="G613" t="n">
        <v>1.5</v>
      </c>
      <c r="H613" t="n">
        <v>0</v>
      </c>
      <c r="I613" t="n">
        <v>0</v>
      </c>
      <c r="J613" t="n">
        <v>0</v>
      </c>
      <c r="K613" t="n">
        <v>0</v>
      </c>
      <c r="L613" t="n">
        <v>0</v>
      </c>
      <c r="M613" t="n">
        <v>0</v>
      </c>
      <c r="N613" t="n">
        <v>0</v>
      </c>
      <c r="O613" t="n">
        <v>0</v>
      </c>
      <c r="P613" t="n">
        <v>0</v>
      </c>
      <c r="Q613" t="n">
        <v>0</v>
      </c>
      <c r="R613" s="2" t="inlineStr"/>
    </row>
    <row r="614" ht="15" customHeight="1">
      <c r="A614" t="inlineStr">
        <is>
          <t>A 34537-2024</t>
        </is>
      </c>
      <c r="B614" s="1" t="n">
        <v>45525</v>
      </c>
      <c r="C614" s="1" t="n">
        <v>45754</v>
      </c>
      <c r="D614" t="inlineStr">
        <is>
          <t>DALARNAS LÄN</t>
        </is>
      </c>
      <c r="E614" t="inlineStr">
        <is>
          <t>HEDEMORA</t>
        </is>
      </c>
      <c r="G614" t="n">
        <v>8.4</v>
      </c>
      <c r="H614" t="n">
        <v>0</v>
      </c>
      <c r="I614" t="n">
        <v>0</v>
      </c>
      <c r="J614" t="n">
        <v>0</v>
      </c>
      <c r="K614" t="n">
        <v>0</v>
      </c>
      <c r="L614" t="n">
        <v>0</v>
      </c>
      <c r="M614" t="n">
        <v>0</v>
      </c>
      <c r="N614" t="n">
        <v>0</v>
      </c>
      <c r="O614" t="n">
        <v>0</v>
      </c>
      <c r="P614" t="n">
        <v>0</v>
      </c>
      <c r="Q614" t="n">
        <v>0</v>
      </c>
      <c r="R614" s="2" t="inlineStr"/>
    </row>
    <row r="615" ht="15" customHeight="1">
      <c r="A615" t="inlineStr">
        <is>
          <t>A 34930-2024</t>
        </is>
      </c>
      <c r="B615" s="1" t="n">
        <v>45527</v>
      </c>
      <c r="C615" s="1" t="n">
        <v>45754</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34929-2024</t>
        </is>
      </c>
      <c r="B616" s="1" t="n">
        <v>45527</v>
      </c>
      <c r="C616" s="1" t="n">
        <v>45754</v>
      </c>
      <c r="D616" t="inlineStr">
        <is>
          <t>DALARNAS LÄN</t>
        </is>
      </c>
      <c r="E616" t="inlineStr">
        <is>
          <t>HEDEMORA</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34928-2024</t>
        </is>
      </c>
      <c r="B617" s="1" t="n">
        <v>45527</v>
      </c>
      <c r="C617" s="1" t="n">
        <v>45754</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34932-2024</t>
        </is>
      </c>
      <c r="B618" s="1" t="n">
        <v>45527</v>
      </c>
      <c r="C618" s="1" t="n">
        <v>45754</v>
      </c>
      <c r="D618" t="inlineStr">
        <is>
          <t>DALARNAS LÄN</t>
        </is>
      </c>
      <c r="E618" t="inlineStr">
        <is>
          <t>HEDEMORA</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34931-2024</t>
        </is>
      </c>
      <c r="B619" s="1" t="n">
        <v>45527</v>
      </c>
      <c r="C619" s="1" t="n">
        <v>45754</v>
      </c>
      <c r="D619" t="inlineStr">
        <is>
          <t>DALARNAS LÄN</t>
        </is>
      </c>
      <c r="E619" t="inlineStr">
        <is>
          <t>HEDEMORA</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35847-2024</t>
        </is>
      </c>
      <c r="B620" s="1" t="n">
        <v>45532</v>
      </c>
      <c r="C620" s="1" t="n">
        <v>45754</v>
      </c>
      <c r="D620" t="inlineStr">
        <is>
          <t>DALARNAS LÄN</t>
        </is>
      </c>
      <c r="E620" t="inlineStr">
        <is>
          <t>HEDEMORA</t>
        </is>
      </c>
      <c r="G620" t="n">
        <v>4.4</v>
      </c>
      <c r="H620" t="n">
        <v>0</v>
      </c>
      <c r="I620" t="n">
        <v>0</v>
      </c>
      <c r="J620" t="n">
        <v>0</v>
      </c>
      <c r="K620" t="n">
        <v>0</v>
      </c>
      <c r="L620" t="n">
        <v>0</v>
      </c>
      <c r="M620" t="n">
        <v>0</v>
      </c>
      <c r="N620" t="n">
        <v>0</v>
      </c>
      <c r="O620" t="n">
        <v>0</v>
      </c>
      <c r="P620" t="n">
        <v>0</v>
      </c>
      <c r="Q620" t="n">
        <v>0</v>
      </c>
      <c r="R620" s="2" t="inlineStr"/>
    </row>
    <row r="621" ht="15" customHeight="1">
      <c r="A621" t="inlineStr">
        <is>
          <t>A 36298-2024</t>
        </is>
      </c>
      <c r="B621" s="1" t="n">
        <v>45534</v>
      </c>
      <c r="C621" s="1" t="n">
        <v>45754</v>
      </c>
      <c r="D621" t="inlineStr">
        <is>
          <t>DALARNAS LÄN</t>
        </is>
      </c>
      <c r="E621" t="inlineStr">
        <is>
          <t>HEDEMORA</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36306-2024</t>
        </is>
      </c>
      <c r="B622" s="1" t="n">
        <v>45534</v>
      </c>
      <c r="C622" s="1" t="n">
        <v>45754</v>
      </c>
      <c r="D622" t="inlineStr">
        <is>
          <t>DALARNAS LÄN</t>
        </is>
      </c>
      <c r="E622" t="inlineStr">
        <is>
          <t>HEDEMORA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36299-2024</t>
        </is>
      </c>
      <c r="B623" s="1" t="n">
        <v>45534</v>
      </c>
      <c r="C623" s="1" t="n">
        <v>45754</v>
      </c>
      <c r="D623" t="inlineStr">
        <is>
          <t>DALARNAS LÄN</t>
        </is>
      </c>
      <c r="E623" t="inlineStr">
        <is>
          <t>HEDEMORA</t>
        </is>
      </c>
      <c r="F623" t="inlineStr">
        <is>
          <t>Sveaskog</t>
        </is>
      </c>
      <c r="G623" t="n">
        <v>5.3</v>
      </c>
      <c r="H623" t="n">
        <v>0</v>
      </c>
      <c r="I623" t="n">
        <v>0</v>
      </c>
      <c r="J623" t="n">
        <v>0</v>
      </c>
      <c r="K623" t="n">
        <v>0</v>
      </c>
      <c r="L623" t="n">
        <v>0</v>
      </c>
      <c r="M623" t="n">
        <v>0</v>
      </c>
      <c r="N623" t="n">
        <v>0</v>
      </c>
      <c r="O623" t="n">
        <v>0</v>
      </c>
      <c r="P623" t="n">
        <v>0</v>
      </c>
      <c r="Q623" t="n">
        <v>0</v>
      </c>
      <c r="R623" s="2" t="inlineStr"/>
    </row>
    <row r="624" ht="15" customHeight="1">
      <c r="A624" t="inlineStr">
        <is>
          <t>A 36304-2024</t>
        </is>
      </c>
      <c r="B624" s="1" t="n">
        <v>45534</v>
      </c>
      <c r="C624" s="1" t="n">
        <v>45754</v>
      </c>
      <c r="D624" t="inlineStr">
        <is>
          <t>DALARNAS LÄN</t>
        </is>
      </c>
      <c r="E624" t="inlineStr">
        <is>
          <t>HEDEMORA</t>
        </is>
      </c>
      <c r="F624" t="inlineStr">
        <is>
          <t>Sveaskog</t>
        </is>
      </c>
      <c r="G624" t="n">
        <v>6.1</v>
      </c>
      <c r="H624" t="n">
        <v>0</v>
      </c>
      <c r="I624" t="n">
        <v>0</v>
      </c>
      <c r="J624" t="n">
        <v>0</v>
      </c>
      <c r="K624" t="n">
        <v>0</v>
      </c>
      <c r="L624" t="n">
        <v>0</v>
      </c>
      <c r="M624" t="n">
        <v>0</v>
      </c>
      <c r="N624" t="n">
        <v>0</v>
      </c>
      <c r="O624" t="n">
        <v>0</v>
      </c>
      <c r="P624" t="n">
        <v>0</v>
      </c>
      <c r="Q624" t="n">
        <v>0</v>
      </c>
      <c r="R624" s="2" t="inlineStr"/>
    </row>
    <row r="625" ht="15" customHeight="1">
      <c r="A625" t="inlineStr">
        <is>
          <t>A 36560-2024</t>
        </is>
      </c>
      <c r="B625" s="1" t="n">
        <v>45537</v>
      </c>
      <c r="C625" s="1" t="n">
        <v>45754</v>
      </c>
      <c r="D625" t="inlineStr">
        <is>
          <t>DALARNAS LÄN</t>
        </is>
      </c>
      <c r="E625" t="inlineStr">
        <is>
          <t>HEDEMORA</t>
        </is>
      </c>
      <c r="F625" t="inlineStr">
        <is>
          <t>Sveaskog</t>
        </is>
      </c>
      <c r="G625" t="n">
        <v>5.6</v>
      </c>
      <c r="H625" t="n">
        <v>0</v>
      </c>
      <c r="I625" t="n">
        <v>0</v>
      </c>
      <c r="J625" t="n">
        <v>0</v>
      </c>
      <c r="K625" t="n">
        <v>0</v>
      </c>
      <c r="L625" t="n">
        <v>0</v>
      </c>
      <c r="M625" t="n">
        <v>0</v>
      </c>
      <c r="N625" t="n">
        <v>0</v>
      </c>
      <c r="O625" t="n">
        <v>0</v>
      </c>
      <c r="P625" t="n">
        <v>0</v>
      </c>
      <c r="Q625" t="n">
        <v>0</v>
      </c>
      <c r="R625" s="2" t="inlineStr"/>
    </row>
    <row r="626" ht="15" customHeight="1">
      <c r="A626" t="inlineStr">
        <is>
          <t>A 36507-2024</t>
        </is>
      </c>
      <c r="B626" s="1" t="n">
        <v>45537</v>
      </c>
      <c r="C626" s="1" t="n">
        <v>45754</v>
      </c>
      <c r="D626" t="inlineStr">
        <is>
          <t>DALARNAS LÄN</t>
        </is>
      </c>
      <c r="E626" t="inlineStr">
        <is>
          <t>HEDEMORA</t>
        </is>
      </c>
      <c r="G626" t="n">
        <v>1.7</v>
      </c>
      <c r="H626" t="n">
        <v>0</v>
      </c>
      <c r="I626" t="n">
        <v>0</v>
      </c>
      <c r="J626" t="n">
        <v>0</v>
      </c>
      <c r="K626" t="n">
        <v>0</v>
      </c>
      <c r="L626" t="n">
        <v>0</v>
      </c>
      <c r="M626" t="n">
        <v>0</v>
      </c>
      <c r="N626" t="n">
        <v>0</v>
      </c>
      <c r="O626" t="n">
        <v>0</v>
      </c>
      <c r="P626" t="n">
        <v>0</v>
      </c>
      <c r="Q626" t="n">
        <v>0</v>
      </c>
      <c r="R626" s="2" t="inlineStr"/>
    </row>
    <row r="627" ht="15" customHeight="1">
      <c r="A627" t="inlineStr">
        <is>
          <t>A 36935-2024</t>
        </is>
      </c>
      <c r="B627" s="1" t="n">
        <v>45538</v>
      </c>
      <c r="C627" s="1" t="n">
        <v>45754</v>
      </c>
      <c r="D627" t="inlineStr">
        <is>
          <t>DALARNAS LÄN</t>
        </is>
      </c>
      <c r="E627" t="inlineStr">
        <is>
          <t>HEDEMORA</t>
        </is>
      </c>
      <c r="G627" t="n">
        <v>1.4</v>
      </c>
      <c r="H627" t="n">
        <v>0</v>
      </c>
      <c r="I627" t="n">
        <v>0</v>
      </c>
      <c r="J627" t="n">
        <v>0</v>
      </c>
      <c r="K627" t="n">
        <v>0</v>
      </c>
      <c r="L627" t="n">
        <v>0</v>
      </c>
      <c r="M627" t="n">
        <v>0</v>
      </c>
      <c r="N627" t="n">
        <v>0</v>
      </c>
      <c r="O627" t="n">
        <v>0</v>
      </c>
      <c r="P627" t="n">
        <v>0</v>
      </c>
      <c r="Q627" t="n">
        <v>0</v>
      </c>
      <c r="R627" s="2" t="inlineStr"/>
    </row>
    <row r="628" ht="15" customHeight="1">
      <c r="A628" t="inlineStr">
        <is>
          <t>A 36938-2024</t>
        </is>
      </c>
      <c r="B628" s="1" t="n">
        <v>45538</v>
      </c>
      <c r="C628" s="1" t="n">
        <v>45754</v>
      </c>
      <c r="D628" t="inlineStr">
        <is>
          <t>DALARNAS LÄN</t>
        </is>
      </c>
      <c r="E628" t="inlineStr">
        <is>
          <t>HEDEMORA</t>
        </is>
      </c>
      <c r="G628" t="n">
        <v>0.6</v>
      </c>
      <c r="H628" t="n">
        <v>0</v>
      </c>
      <c r="I628" t="n">
        <v>0</v>
      </c>
      <c r="J628" t="n">
        <v>0</v>
      </c>
      <c r="K628" t="n">
        <v>0</v>
      </c>
      <c r="L628" t="n">
        <v>0</v>
      </c>
      <c r="M628" t="n">
        <v>0</v>
      </c>
      <c r="N628" t="n">
        <v>0</v>
      </c>
      <c r="O628" t="n">
        <v>0</v>
      </c>
      <c r="P628" t="n">
        <v>0</v>
      </c>
      <c r="Q628" t="n">
        <v>0</v>
      </c>
      <c r="R628" s="2" t="inlineStr"/>
    </row>
    <row r="629" ht="15" customHeight="1">
      <c r="A629" t="inlineStr">
        <is>
          <t>A 37449-2024</t>
        </is>
      </c>
      <c r="B629" s="1" t="n">
        <v>45540</v>
      </c>
      <c r="C629" s="1" t="n">
        <v>45754</v>
      </c>
      <c r="D629" t="inlineStr">
        <is>
          <t>DALARNAS LÄN</t>
        </is>
      </c>
      <c r="E629" t="inlineStr">
        <is>
          <t>HEDEMORA</t>
        </is>
      </c>
      <c r="F629" t="inlineStr">
        <is>
          <t>Bergvik skog väst AB</t>
        </is>
      </c>
      <c r="G629" t="n">
        <v>10.1</v>
      </c>
      <c r="H629" t="n">
        <v>0</v>
      </c>
      <c r="I629" t="n">
        <v>0</v>
      </c>
      <c r="J629" t="n">
        <v>0</v>
      </c>
      <c r="K629" t="n">
        <v>0</v>
      </c>
      <c r="L629" t="n">
        <v>0</v>
      </c>
      <c r="M629" t="n">
        <v>0</v>
      </c>
      <c r="N629" t="n">
        <v>0</v>
      </c>
      <c r="O629" t="n">
        <v>0</v>
      </c>
      <c r="P629" t="n">
        <v>0</v>
      </c>
      <c r="Q629" t="n">
        <v>0</v>
      </c>
      <c r="R629" s="2" t="inlineStr"/>
    </row>
    <row r="630" ht="15" customHeight="1">
      <c r="A630" t="inlineStr">
        <is>
          <t>A 37759-2024</t>
        </is>
      </c>
      <c r="B630" s="1" t="n">
        <v>45541</v>
      </c>
      <c r="C630" s="1" t="n">
        <v>45754</v>
      </c>
      <c r="D630" t="inlineStr">
        <is>
          <t>DALARNAS LÄN</t>
        </is>
      </c>
      <c r="E630" t="inlineStr">
        <is>
          <t>HEDEMORA</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37761-2024</t>
        </is>
      </c>
      <c r="B631" s="1" t="n">
        <v>45541</v>
      </c>
      <c r="C631" s="1" t="n">
        <v>45754</v>
      </c>
      <c r="D631" t="inlineStr">
        <is>
          <t>DALARNAS LÄN</t>
        </is>
      </c>
      <c r="E631" t="inlineStr">
        <is>
          <t>HEDEMORA</t>
        </is>
      </c>
      <c r="F631" t="inlineStr">
        <is>
          <t>Sveaskog</t>
        </is>
      </c>
      <c r="G631" t="n">
        <v>4.4</v>
      </c>
      <c r="H631" t="n">
        <v>0</v>
      </c>
      <c r="I631" t="n">
        <v>0</v>
      </c>
      <c r="J631" t="n">
        <v>0</v>
      </c>
      <c r="K631" t="n">
        <v>0</v>
      </c>
      <c r="L631" t="n">
        <v>0</v>
      </c>
      <c r="M631" t="n">
        <v>0</v>
      </c>
      <c r="N631" t="n">
        <v>0</v>
      </c>
      <c r="O631" t="n">
        <v>0</v>
      </c>
      <c r="P631" t="n">
        <v>0</v>
      </c>
      <c r="Q631" t="n">
        <v>0</v>
      </c>
      <c r="R631" s="2" t="inlineStr"/>
    </row>
    <row r="632" ht="15" customHeight="1">
      <c r="A632" t="inlineStr">
        <is>
          <t>A 37762-2024</t>
        </is>
      </c>
      <c r="B632" s="1" t="n">
        <v>45541</v>
      </c>
      <c r="C632" s="1" t="n">
        <v>45754</v>
      </c>
      <c r="D632" t="inlineStr">
        <is>
          <t>DALARNAS LÄN</t>
        </is>
      </c>
      <c r="E632" t="inlineStr">
        <is>
          <t>HEDEMORA</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37766-2024</t>
        </is>
      </c>
      <c r="B633" s="1" t="n">
        <v>45541</v>
      </c>
      <c r="C633" s="1" t="n">
        <v>45754</v>
      </c>
      <c r="D633" t="inlineStr">
        <is>
          <t>DALARNAS LÄN</t>
        </is>
      </c>
      <c r="E633" t="inlineStr">
        <is>
          <t>HEDEMORA</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37805-2024</t>
        </is>
      </c>
      <c r="B634" s="1" t="n">
        <v>45543</v>
      </c>
      <c r="C634" s="1" t="n">
        <v>45754</v>
      </c>
      <c r="D634" t="inlineStr">
        <is>
          <t>DALARNAS LÄN</t>
        </is>
      </c>
      <c r="E634" t="inlineStr">
        <is>
          <t>HEDEMORA</t>
        </is>
      </c>
      <c r="F634" t="inlineStr">
        <is>
          <t>Bergvik skog väst AB</t>
        </is>
      </c>
      <c r="G634" t="n">
        <v>9</v>
      </c>
      <c r="H634" t="n">
        <v>0</v>
      </c>
      <c r="I634" t="n">
        <v>0</v>
      </c>
      <c r="J634" t="n">
        <v>0</v>
      </c>
      <c r="K634" t="n">
        <v>0</v>
      </c>
      <c r="L634" t="n">
        <v>0</v>
      </c>
      <c r="M634" t="n">
        <v>0</v>
      </c>
      <c r="N634" t="n">
        <v>0</v>
      </c>
      <c r="O634" t="n">
        <v>0</v>
      </c>
      <c r="P634" t="n">
        <v>0</v>
      </c>
      <c r="Q634" t="n">
        <v>0</v>
      </c>
      <c r="R634" s="2" t="inlineStr"/>
    </row>
    <row r="635" ht="15" customHeight="1">
      <c r="A635" t="inlineStr">
        <is>
          <t>A 37804-2024</t>
        </is>
      </c>
      <c r="B635" s="1" t="n">
        <v>45543</v>
      </c>
      <c r="C635" s="1" t="n">
        <v>45754</v>
      </c>
      <c r="D635" t="inlineStr">
        <is>
          <t>DALARNAS LÄN</t>
        </is>
      </c>
      <c r="E635" t="inlineStr">
        <is>
          <t>HEDEMORA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37806-2024</t>
        </is>
      </c>
      <c r="B636" s="1" t="n">
        <v>45543</v>
      </c>
      <c r="C636" s="1" t="n">
        <v>45754</v>
      </c>
      <c r="D636" t="inlineStr">
        <is>
          <t>DALARNAS LÄN</t>
        </is>
      </c>
      <c r="E636" t="inlineStr">
        <is>
          <t>HEDEMORA</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39209-2024</t>
        </is>
      </c>
      <c r="B637" s="1" t="n">
        <v>45548</v>
      </c>
      <c r="C637" s="1" t="n">
        <v>45754</v>
      </c>
      <c r="D637" t="inlineStr">
        <is>
          <t>DALARNAS LÄN</t>
        </is>
      </c>
      <c r="E637" t="inlineStr">
        <is>
          <t>HEDEMORA</t>
        </is>
      </c>
      <c r="G637" t="n">
        <v>2.6</v>
      </c>
      <c r="H637" t="n">
        <v>0</v>
      </c>
      <c r="I637" t="n">
        <v>0</v>
      </c>
      <c r="J637" t="n">
        <v>0</v>
      </c>
      <c r="K637" t="n">
        <v>0</v>
      </c>
      <c r="L637" t="n">
        <v>0</v>
      </c>
      <c r="M637" t="n">
        <v>0</v>
      </c>
      <c r="N637" t="n">
        <v>0</v>
      </c>
      <c r="O637" t="n">
        <v>0</v>
      </c>
      <c r="P637" t="n">
        <v>0</v>
      </c>
      <c r="Q637" t="n">
        <v>0</v>
      </c>
      <c r="R637" s="2" t="inlineStr"/>
    </row>
    <row r="638" ht="15" customHeight="1">
      <c r="A638" t="inlineStr">
        <is>
          <t>A 39531-2024</t>
        </is>
      </c>
      <c r="B638" s="1" t="n">
        <v>45551</v>
      </c>
      <c r="C638" s="1" t="n">
        <v>45754</v>
      </c>
      <c r="D638" t="inlineStr">
        <is>
          <t>DALARNAS LÄN</t>
        </is>
      </c>
      <c r="E638" t="inlineStr">
        <is>
          <t>HEDEMORA</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39552-2024</t>
        </is>
      </c>
      <c r="B639" s="1" t="n">
        <v>45551</v>
      </c>
      <c r="C639" s="1" t="n">
        <v>45754</v>
      </c>
      <c r="D639" t="inlineStr">
        <is>
          <t>DALARNAS LÄN</t>
        </is>
      </c>
      <c r="E639" t="inlineStr">
        <is>
          <t>HEDEMORA</t>
        </is>
      </c>
      <c r="F639" t="inlineStr">
        <is>
          <t>Bergvik skog väst AB</t>
        </is>
      </c>
      <c r="G639" t="n">
        <v>24.1</v>
      </c>
      <c r="H639" t="n">
        <v>0</v>
      </c>
      <c r="I639" t="n">
        <v>0</v>
      </c>
      <c r="J639" t="n">
        <v>0</v>
      </c>
      <c r="K639" t="n">
        <v>0</v>
      </c>
      <c r="L639" t="n">
        <v>0</v>
      </c>
      <c r="M639" t="n">
        <v>0</v>
      </c>
      <c r="N639" t="n">
        <v>0</v>
      </c>
      <c r="O639" t="n">
        <v>0</v>
      </c>
      <c r="P639" t="n">
        <v>0</v>
      </c>
      <c r="Q639" t="n">
        <v>0</v>
      </c>
      <c r="R639" s="2" t="inlineStr"/>
    </row>
    <row r="640" ht="15" customHeight="1">
      <c r="A640" t="inlineStr">
        <is>
          <t>A 39530-2024</t>
        </is>
      </c>
      <c r="B640" s="1" t="n">
        <v>45551</v>
      </c>
      <c r="C640" s="1" t="n">
        <v>45754</v>
      </c>
      <c r="D640" t="inlineStr">
        <is>
          <t>DALARNAS LÄN</t>
        </is>
      </c>
      <c r="E640" t="inlineStr">
        <is>
          <t>HEDEMORA</t>
        </is>
      </c>
      <c r="F640" t="inlineStr">
        <is>
          <t>Bergvik skog väst AB</t>
        </is>
      </c>
      <c r="G640" t="n">
        <v>13.8</v>
      </c>
      <c r="H640" t="n">
        <v>0</v>
      </c>
      <c r="I640" t="n">
        <v>0</v>
      </c>
      <c r="J640" t="n">
        <v>0</v>
      </c>
      <c r="K640" t="n">
        <v>0</v>
      </c>
      <c r="L640" t="n">
        <v>0</v>
      </c>
      <c r="M640" t="n">
        <v>0</v>
      </c>
      <c r="N640" t="n">
        <v>0</v>
      </c>
      <c r="O640" t="n">
        <v>0</v>
      </c>
      <c r="P640" t="n">
        <v>0</v>
      </c>
      <c r="Q640" t="n">
        <v>0</v>
      </c>
      <c r="R640" s="2" t="inlineStr"/>
    </row>
    <row r="641" ht="15" customHeight="1">
      <c r="A641" t="inlineStr">
        <is>
          <t>A 40801-2024</t>
        </is>
      </c>
      <c r="B641" s="1" t="n">
        <v>45558</v>
      </c>
      <c r="C641" s="1" t="n">
        <v>45754</v>
      </c>
      <c r="D641" t="inlineStr">
        <is>
          <t>DALARNAS LÄN</t>
        </is>
      </c>
      <c r="E641" t="inlineStr">
        <is>
          <t>HEDEMORA</t>
        </is>
      </c>
      <c r="G641" t="n">
        <v>2.2</v>
      </c>
      <c r="H641" t="n">
        <v>0</v>
      </c>
      <c r="I641" t="n">
        <v>0</v>
      </c>
      <c r="J641" t="n">
        <v>0</v>
      </c>
      <c r="K641" t="n">
        <v>0</v>
      </c>
      <c r="L641" t="n">
        <v>0</v>
      </c>
      <c r="M641" t="n">
        <v>0</v>
      </c>
      <c r="N641" t="n">
        <v>0</v>
      </c>
      <c r="O641" t="n">
        <v>0</v>
      </c>
      <c r="P641" t="n">
        <v>0</v>
      </c>
      <c r="Q641" t="n">
        <v>0</v>
      </c>
      <c r="R641" s="2" t="inlineStr"/>
    </row>
    <row r="642" ht="15" customHeight="1">
      <c r="A642" t="inlineStr">
        <is>
          <t>A 42586-2024</t>
        </is>
      </c>
      <c r="B642" s="1" t="n">
        <v>45565</v>
      </c>
      <c r="C642" s="1" t="n">
        <v>45754</v>
      </c>
      <c r="D642" t="inlineStr">
        <is>
          <t>DALARNAS LÄN</t>
        </is>
      </c>
      <c r="E642" t="inlineStr">
        <is>
          <t>HEDEMORA</t>
        </is>
      </c>
      <c r="G642" t="n">
        <v>0.8</v>
      </c>
      <c r="H642" t="n">
        <v>0</v>
      </c>
      <c r="I642" t="n">
        <v>0</v>
      </c>
      <c r="J642" t="n">
        <v>0</v>
      </c>
      <c r="K642" t="n">
        <v>0</v>
      </c>
      <c r="L642" t="n">
        <v>0</v>
      </c>
      <c r="M642" t="n">
        <v>0</v>
      </c>
      <c r="N642" t="n">
        <v>0</v>
      </c>
      <c r="O642" t="n">
        <v>0</v>
      </c>
      <c r="P642" t="n">
        <v>0</v>
      </c>
      <c r="Q642" t="n">
        <v>0</v>
      </c>
      <c r="R642" s="2" t="inlineStr"/>
    </row>
    <row r="643" ht="15" customHeight="1">
      <c r="A643" t="inlineStr">
        <is>
          <t>A 42891-2024</t>
        </is>
      </c>
      <c r="B643" s="1" t="n">
        <v>45566</v>
      </c>
      <c r="C643" s="1" t="n">
        <v>45754</v>
      </c>
      <c r="D643" t="inlineStr">
        <is>
          <t>DALARNAS LÄN</t>
        </is>
      </c>
      <c r="E643" t="inlineStr">
        <is>
          <t>HEDEMORA</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42890-2024</t>
        </is>
      </c>
      <c r="B644" s="1" t="n">
        <v>45566</v>
      </c>
      <c r="C644" s="1" t="n">
        <v>45754</v>
      </c>
      <c r="D644" t="inlineStr">
        <is>
          <t>DALARNAS LÄN</t>
        </is>
      </c>
      <c r="E644" t="inlineStr">
        <is>
          <t>HEDEMORA</t>
        </is>
      </c>
      <c r="F644" t="inlineStr">
        <is>
          <t>Sveaskog</t>
        </is>
      </c>
      <c r="G644" t="n">
        <v>4.1</v>
      </c>
      <c r="H644" t="n">
        <v>0</v>
      </c>
      <c r="I644" t="n">
        <v>0</v>
      </c>
      <c r="J644" t="n">
        <v>0</v>
      </c>
      <c r="K644" t="n">
        <v>0</v>
      </c>
      <c r="L644" t="n">
        <v>0</v>
      </c>
      <c r="M644" t="n">
        <v>0</v>
      </c>
      <c r="N644" t="n">
        <v>0</v>
      </c>
      <c r="O644" t="n">
        <v>0</v>
      </c>
      <c r="P644" t="n">
        <v>0</v>
      </c>
      <c r="Q644" t="n">
        <v>0</v>
      </c>
      <c r="R644" s="2" t="inlineStr"/>
    </row>
    <row r="645" ht="15" customHeight="1">
      <c r="A645" t="inlineStr">
        <is>
          <t>A 42894-2024</t>
        </is>
      </c>
      <c r="B645" s="1" t="n">
        <v>45566</v>
      </c>
      <c r="C645" s="1" t="n">
        <v>45754</v>
      </c>
      <c r="D645" t="inlineStr">
        <is>
          <t>DALARNAS LÄN</t>
        </is>
      </c>
      <c r="E645" t="inlineStr">
        <is>
          <t>HEDEMORA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42892-2024</t>
        </is>
      </c>
      <c r="B646" s="1" t="n">
        <v>45566</v>
      </c>
      <c r="C646" s="1" t="n">
        <v>45754</v>
      </c>
      <c r="D646" t="inlineStr">
        <is>
          <t>DALARNAS LÄN</t>
        </is>
      </c>
      <c r="E646" t="inlineStr">
        <is>
          <t>HEDEMORA</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42895-2024</t>
        </is>
      </c>
      <c r="B647" s="1" t="n">
        <v>45566</v>
      </c>
      <c r="C647" s="1" t="n">
        <v>45754</v>
      </c>
      <c r="D647" t="inlineStr">
        <is>
          <t>DALARNAS LÄN</t>
        </is>
      </c>
      <c r="E647" t="inlineStr">
        <is>
          <t>HEDEMORA</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43621-2024</t>
        </is>
      </c>
      <c r="B648" s="1" t="n">
        <v>45569</v>
      </c>
      <c r="C648" s="1" t="n">
        <v>45754</v>
      </c>
      <c r="D648" t="inlineStr">
        <is>
          <t>DALARNAS LÄN</t>
        </is>
      </c>
      <c r="E648" t="inlineStr">
        <is>
          <t>HEDEMORA</t>
        </is>
      </c>
      <c r="G648" t="n">
        <v>2.4</v>
      </c>
      <c r="H648" t="n">
        <v>0</v>
      </c>
      <c r="I648" t="n">
        <v>0</v>
      </c>
      <c r="J648" t="n">
        <v>0</v>
      </c>
      <c r="K648" t="n">
        <v>0</v>
      </c>
      <c r="L648" t="n">
        <v>0</v>
      </c>
      <c r="M648" t="n">
        <v>0</v>
      </c>
      <c r="N648" t="n">
        <v>0</v>
      </c>
      <c r="O648" t="n">
        <v>0</v>
      </c>
      <c r="P648" t="n">
        <v>0</v>
      </c>
      <c r="Q648" t="n">
        <v>0</v>
      </c>
      <c r="R648" s="2" t="inlineStr"/>
    </row>
    <row r="649" ht="15" customHeight="1">
      <c r="A649" t="inlineStr">
        <is>
          <t>A 43626-2024</t>
        </is>
      </c>
      <c r="B649" s="1" t="n">
        <v>45569</v>
      </c>
      <c r="C649" s="1" t="n">
        <v>45754</v>
      </c>
      <c r="D649" t="inlineStr">
        <is>
          <t>DALARNAS LÄN</t>
        </is>
      </c>
      <c r="E649" t="inlineStr">
        <is>
          <t>HEDEMORA</t>
        </is>
      </c>
      <c r="G649" t="n">
        <v>4.1</v>
      </c>
      <c r="H649" t="n">
        <v>0</v>
      </c>
      <c r="I649" t="n">
        <v>0</v>
      </c>
      <c r="J649" t="n">
        <v>0</v>
      </c>
      <c r="K649" t="n">
        <v>0</v>
      </c>
      <c r="L649" t="n">
        <v>0</v>
      </c>
      <c r="M649" t="n">
        <v>0</v>
      </c>
      <c r="N649" t="n">
        <v>0</v>
      </c>
      <c r="O649" t="n">
        <v>0</v>
      </c>
      <c r="P649" t="n">
        <v>0</v>
      </c>
      <c r="Q649" t="n">
        <v>0</v>
      </c>
      <c r="R649" s="2" t="inlineStr"/>
    </row>
    <row r="650" ht="15" customHeight="1">
      <c r="A650" t="inlineStr">
        <is>
          <t>A 44388-2024</t>
        </is>
      </c>
      <c r="B650" s="1" t="n">
        <v>45573</v>
      </c>
      <c r="C650" s="1" t="n">
        <v>45754</v>
      </c>
      <c r="D650" t="inlineStr">
        <is>
          <t>DALARNAS LÄN</t>
        </is>
      </c>
      <c r="E650" t="inlineStr">
        <is>
          <t>HEDEMORA</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44384-2024</t>
        </is>
      </c>
      <c r="B651" s="1" t="n">
        <v>45573</v>
      </c>
      <c r="C651" s="1" t="n">
        <v>45754</v>
      </c>
      <c r="D651" t="inlineStr">
        <is>
          <t>DALARNAS LÄN</t>
        </is>
      </c>
      <c r="E651" t="inlineStr">
        <is>
          <t>HEDEMORA</t>
        </is>
      </c>
      <c r="F651" t="inlineStr">
        <is>
          <t>Bergvik skog väst AB</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44851-2024</t>
        </is>
      </c>
      <c r="B652" s="1" t="n">
        <v>45574</v>
      </c>
      <c r="C652" s="1" t="n">
        <v>45754</v>
      </c>
      <c r="D652" t="inlineStr">
        <is>
          <t>DALARNAS LÄN</t>
        </is>
      </c>
      <c r="E652" t="inlineStr">
        <is>
          <t>HEDEMORA</t>
        </is>
      </c>
      <c r="G652" t="n">
        <v>4.7</v>
      </c>
      <c r="H652" t="n">
        <v>0</v>
      </c>
      <c r="I652" t="n">
        <v>0</v>
      </c>
      <c r="J652" t="n">
        <v>0</v>
      </c>
      <c r="K652" t="n">
        <v>0</v>
      </c>
      <c r="L652" t="n">
        <v>0</v>
      </c>
      <c r="M652" t="n">
        <v>0</v>
      </c>
      <c r="N652" t="n">
        <v>0</v>
      </c>
      <c r="O652" t="n">
        <v>0</v>
      </c>
      <c r="P652" t="n">
        <v>0</v>
      </c>
      <c r="Q652" t="n">
        <v>0</v>
      </c>
      <c r="R652" s="2" t="inlineStr"/>
    </row>
    <row r="653" ht="15" customHeight="1">
      <c r="A653" t="inlineStr">
        <is>
          <t>A 45377-2024</t>
        </is>
      </c>
      <c r="B653" s="1" t="n">
        <v>45576</v>
      </c>
      <c r="C653" s="1" t="n">
        <v>45754</v>
      </c>
      <c r="D653" t="inlineStr">
        <is>
          <t>DALARNAS LÄN</t>
        </is>
      </c>
      <c r="E653" t="inlineStr">
        <is>
          <t>HEDEMORA</t>
        </is>
      </c>
      <c r="G653" t="n">
        <v>1.4</v>
      </c>
      <c r="H653" t="n">
        <v>0</v>
      </c>
      <c r="I653" t="n">
        <v>0</v>
      </c>
      <c r="J653" t="n">
        <v>0</v>
      </c>
      <c r="K653" t="n">
        <v>0</v>
      </c>
      <c r="L653" t="n">
        <v>0</v>
      </c>
      <c r="M653" t="n">
        <v>0</v>
      </c>
      <c r="N653" t="n">
        <v>0</v>
      </c>
      <c r="O653" t="n">
        <v>0</v>
      </c>
      <c r="P653" t="n">
        <v>0</v>
      </c>
      <c r="Q653" t="n">
        <v>0</v>
      </c>
      <c r="R653" s="2" t="inlineStr"/>
    </row>
    <row r="654" ht="15" customHeight="1">
      <c r="A654" t="inlineStr">
        <is>
          <t>A 45709-2024</t>
        </is>
      </c>
      <c r="B654" s="1" t="n">
        <v>45579</v>
      </c>
      <c r="C654" s="1" t="n">
        <v>45754</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45730-2024</t>
        </is>
      </c>
      <c r="B655" s="1" t="n">
        <v>45579</v>
      </c>
      <c r="C655" s="1" t="n">
        <v>45754</v>
      </c>
      <c r="D655" t="inlineStr">
        <is>
          <t>DALARNAS LÄN</t>
        </is>
      </c>
      <c r="E655" t="inlineStr">
        <is>
          <t>HEDEMORA</t>
        </is>
      </c>
      <c r="G655" t="n">
        <v>4.5</v>
      </c>
      <c r="H655" t="n">
        <v>0</v>
      </c>
      <c r="I655" t="n">
        <v>0</v>
      </c>
      <c r="J655" t="n">
        <v>0</v>
      </c>
      <c r="K655" t="n">
        <v>0</v>
      </c>
      <c r="L655" t="n">
        <v>0</v>
      </c>
      <c r="M655" t="n">
        <v>0</v>
      </c>
      <c r="N655" t="n">
        <v>0</v>
      </c>
      <c r="O655" t="n">
        <v>0</v>
      </c>
      <c r="P655" t="n">
        <v>0</v>
      </c>
      <c r="Q655" t="n">
        <v>0</v>
      </c>
      <c r="R655" s="2" t="inlineStr"/>
    </row>
    <row r="656" ht="15" customHeight="1">
      <c r="A656" t="inlineStr">
        <is>
          <t>A 46825-2024</t>
        </is>
      </c>
      <c r="B656" s="1" t="n">
        <v>45583</v>
      </c>
      <c r="C656" s="1" t="n">
        <v>45754</v>
      </c>
      <c r="D656" t="inlineStr">
        <is>
          <t>DALARNAS LÄN</t>
        </is>
      </c>
      <c r="E656" t="inlineStr">
        <is>
          <t>HEDEMORA</t>
        </is>
      </c>
      <c r="G656" t="n">
        <v>1.1</v>
      </c>
      <c r="H656" t="n">
        <v>0</v>
      </c>
      <c r="I656" t="n">
        <v>0</v>
      </c>
      <c r="J656" t="n">
        <v>0</v>
      </c>
      <c r="K656" t="n">
        <v>0</v>
      </c>
      <c r="L656" t="n">
        <v>0</v>
      </c>
      <c r="M656" t="n">
        <v>0</v>
      </c>
      <c r="N656" t="n">
        <v>0</v>
      </c>
      <c r="O656" t="n">
        <v>0</v>
      </c>
      <c r="P656" t="n">
        <v>0</v>
      </c>
      <c r="Q656" t="n">
        <v>0</v>
      </c>
      <c r="R656" s="2" t="inlineStr"/>
    </row>
    <row r="657" ht="15" customHeight="1">
      <c r="A657" t="inlineStr">
        <is>
          <t>A 48320-2024</t>
        </is>
      </c>
      <c r="B657" s="1" t="n">
        <v>45590</v>
      </c>
      <c r="C657" s="1" t="n">
        <v>45754</v>
      </c>
      <c r="D657" t="inlineStr">
        <is>
          <t>DALARNAS LÄN</t>
        </is>
      </c>
      <c r="E657" t="inlineStr">
        <is>
          <t>HEDEMORA</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48380-2024</t>
        </is>
      </c>
      <c r="B658" s="1" t="n">
        <v>45590</v>
      </c>
      <c r="C658" s="1" t="n">
        <v>45754</v>
      </c>
      <c r="D658" t="inlineStr">
        <is>
          <t>DALARNAS LÄN</t>
        </is>
      </c>
      <c r="E658" t="inlineStr">
        <is>
          <t>HEDEMORA</t>
        </is>
      </c>
      <c r="G658" t="n">
        <v>1.5</v>
      </c>
      <c r="H658" t="n">
        <v>0</v>
      </c>
      <c r="I658" t="n">
        <v>0</v>
      </c>
      <c r="J658" t="n">
        <v>0</v>
      </c>
      <c r="K658" t="n">
        <v>0</v>
      </c>
      <c r="L658" t="n">
        <v>0</v>
      </c>
      <c r="M658" t="n">
        <v>0</v>
      </c>
      <c r="N658" t="n">
        <v>0</v>
      </c>
      <c r="O658" t="n">
        <v>0</v>
      </c>
      <c r="P658" t="n">
        <v>0</v>
      </c>
      <c r="Q658" t="n">
        <v>0</v>
      </c>
      <c r="R658" s="2" t="inlineStr"/>
    </row>
    <row r="659" ht="15" customHeight="1">
      <c r="A659" t="inlineStr">
        <is>
          <t>A 48321-2024</t>
        </is>
      </c>
      <c r="B659" s="1" t="n">
        <v>45590</v>
      </c>
      <c r="C659" s="1" t="n">
        <v>45754</v>
      </c>
      <c r="D659" t="inlineStr">
        <is>
          <t>DALARNAS LÄN</t>
        </is>
      </c>
      <c r="E659" t="inlineStr">
        <is>
          <t>HEDEMORA</t>
        </is>
      </c>
      <c r="F659" t="inlineStr">
        <is>
          <t>Sveaskog</t>
        </is>
      </c>
      <c r="G659" t="n">
        <v>5.2</v>
      </c>
      <c r="H659" t="n">
        <v>0</v>
      </c>
      <c r="I659" t="n">
        <v>0</v>
      </c>
      <c r="J659" t="n">
        <v>0</v>
      </c>
      <c r="K659" t="n">
        <v>0</v>
      </c>
      <c r="L659" t="n">
        <v>0</v>
      </c>
      <c r="M659" t="n">
        <v>0</v>
      </c>
      <c r="N659" t="n">
        <v>0</v>
      </c>
      <c r="O659" t="n">
        <v>0</v>
      </c>
      <c r="P659" t="n">
        <v>0</v>
      </c>
      <c r="Q659" t="n">
        <v>0</v>
      </c>
      <c r="R659" s="2" t="inlineStr"/>
    </row>
    <row r="660" ht="15" customHeight="1">
      <c r="A660" t="inlineStr">
        <is>
          <t>A 48371-2024</t>
        </is>
      </c>
      <c r="B660" s="1" t="n">
        <v>45590</v>
      </c>
      <c r="C660" s="1" t="n">
        <v>45754</v>
      </c>
      <c r="D660" t="inlineStr">
        <is>
          <t>DALARNAS LÄN</t>
        </is>
      </c>
      <c r="E660" t="inlineStr">
        <is>
          <t>HEDEMORA</t>
        </is>
      </c>
      <c r="G660" t="n">
        <v>8</v>
      </c>
      <c r="H660" t="n">
        <v>0</v>
      </c>
      <c r="I660" t="n">
        <v>0</v>
      </c>
      <c r="J660" t="n">
        <v>0</v>
      </c>
      <c r="K660" t="n">
        <v>0</v>
      </c>
      <c r="L660" t="n">
        <v>0</v>
      </c>
      <c r="M660" t="n">
        <v>0</v>
      </c>
      <c r="N660" t="n">
        <v>0</v>
      </c>
      <c r="O660" t="n">
        <v>0</v>
      </c>
      <c r="P660" t="n">
        <v>0</v>
      </c>
      <c r="Q660" t="n">
        <v>0</v>
      </c>
      <c r="R660" s="2" t="inlineStr"/>
    </row>
    <row r="661" ht="15" customHeight="1">
      <c r="A661" t="inlineStr">
        <is>
          <t>A 49351-2024</t>
        </is>
      </c>
      <c r="B661" s="1" t="n">
        <v>45595</v>
      </c>
      <c r="C661" s="1" t="n">
        <v>45754</v>
      </c>
      <c r="D661" t="inlineStr">
        <is>
          <t>DALARNAS LÄN</t>
        </is>
      </c>
      <c r="E661" t="inlineStr">
        <is>
          <t>HEDEMORA</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51256-2024</t>
        </is>
      </c>
      <c r="B662" s="1" t="n">
        <v>45603</v>
      </c>
      <c r="C662" s="1" t="n">
        <v>45754</v>
      </c>
      <c r="D662" t="inlineStr">
        <is>
          <t>DALARNAS LÄN</t>
        </is>
      </c>
      <c r="E662" t="inlineStr">
        <is>
          <t>HEDEMORA</t>
        </is>
      </c>
      <c r="G662" t="n">
        <v>1.3</v>
      </c>
      <c r="H662" t="n">
        <v>0</v>
      </c>
      <c r="I662" t="n">
        <v>0</v>
      </c>
      <c r="J662" t="n">
        <v>0</v>
      </c>
      <c r="K662" t="n">
        <v>0</v>
      </c>
      <c r="L662" t="n">
        <v>0</v>
      </c>
      <c r="M662" t="n">
        <v>0</v>
      </c>
      <c r="N662" t="n">
        <v>0</v>
      </c>
      <c r="O662" t="n">
        <v>0</v>
      </c>
      <c r="P662" t="n">
        <v>0</v>
      </c>
      <c r="Q662" t="n">
        <v>0</v>
      </c>
      <c r="R662" s="2" t="inlineStr"/>
    </row>
    <row r="663" ht="15" customHeight="1">
      <c r="A663" t="inlineStr">
        <is>
          <t>A 51543-2024</t>
        </is>
      </c>
      <c r="B663" s="1" t="n">
        <v>45604</v>
      </c>
      <c r="C663" s="1" t="n">
        <v>45754</v>
      </c>
      <c r="D663" t="inlineStr">
        <is>
          <t>DALARNAS LÄN</t>
        </is>
      </c>
      <c r="E663" t="inlineStr">
        <is>
          <t>HEDEMORA</t>
        </is>
      </c>
      <c r="F663" t="inlineStr">
        <is>
          <t>Sveaskog</t>
        </is>
      </c>
      <c r="G663" t="n">
        <v>15.1</v>
      </c>
      <c r="H663" t="n">
        <v>0</v>
      </c>
      <c r="I663" t="n">
        <v>0</v>
      </c>
      <c r="J663" t="n">
        <v>0</v>
      </c>
      <c r="K663" t="n">
        <v>0</v>
      </c>
      <c r="L663" t="n">
        <v>0</v>
      </c>
      <c r="M663" t="n">
        <v>0</v>
      </c>
      <c r="N663" t="n">
        <v>0</v>
      </c>
      <c r="O663" t="n">
        <v>0</v>
      </c>
      <c r="P663" t="n">
        <v>0</v>
      </c>
      <c r="Q663" t="n">
        <v>0</v>
      </c>
      <c r="R663" s="2" t="inlineStr"/>
    </row>
    <row r="664" ht="15" customHeight="1">
      <c r="A664" t="inlineStr">
        <is>
          <t>A 52945-2024</t>
        </is>
      </c>
      <c r="B664" s="1" t="n">
        <v>45610</v>
      </c>
      <c r="C664" s="1" t="n">
        <v>45754</v>
      </c>
      <c r="D664" t="inlineStr">
        <is>
          <t>DALARNAS LÄN</t>
        </is>
      </c>
      <c r="E664" t="inlineStr">
        <is>
          <t>HEDEMORA</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52944-2024</t>
        </is>
      </c>
      <c r="B665" s="1" t="n">
        <v>45610</v>
      </c>
      <c r="C665" s="1" t="n">
        <v>45754</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52942-2024</t>
        </is>
      </c>
      <c r="B666" s="1" t="n">
        <v>45610</v>
      </c>
      <c r="C666" s="1" t="n">
        <v>45754</v>
      </c>
      <c r="D666" t="inlineStr">
        <is>
          <t>DALARNAS LÄN</t>
        </is>
      </c>
      <c r="E666" t="inlineStr">
        <is>
          <t>HEDEMORA</t>
        </is>
      </c>
      <c r="F666" t="inlineStr">
        <is>
          <t>Sveaskog</t>
        </is>
      </c>
      <c r="G666" t="n">
        <v>14.5</v>
      </c>
      <c r="H666" t="n">
        <v>0</v>
      </c>
      <c r="I666" t="n">
        <v>0</v>
      </c>
      <c r="J666" t="n">
        <v>0</v>
      </c>
      <c r="K666" t="n">
        <v>0</v>
      </c>
      <c r="L666" t="n">
        <v>0</v>
      </c>
      <c r="M666" t="n">
        <v>0</v>
      </c>
      <c r="N666" t="n">
        <v>0</v>
      </c>
      <c r="O666" t="n">
        <v>0</v>
      </c>
      <c r="P666" t="n">
        <v>0</v>
      </c>
      <c r="Q666" t="n">
        <v>0</v>
      </c>
      <c r="R666" s="2" t="inlineStr"/>
    </row>
    <row r="667" ht="15" customHeight="1">
      <c r="A667" t="inlineStr">
        <is>
          <t>A 53922-2024</t>
        </is>
      </c>
      <c r="B667" s="1" t="n">
        <v>45615</v>
      </c>
      <c r="C667" s="1" t="n">
        <v>45754</v>
      </c>
      <c r="D667" t="inlineStr">
        <is>
          <t>DALARNAS LÄN</t>
        </is>
      </c>
      <c r="E667" t="inlineStr">
        <is>
          <t>HEDEMORA</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53923-2024</t>
        </is>
      </c>
      <c r="B668" s="1" t="n">
        <v>45615</v>
      </c>
      <c r="C668" s="1" t="n">
        <v>45754</v>
      </c>
      <c r="D668" t="inlineStr">
        <is>
          <t>DALARNAS LÄN</t>
        </is>
      </c>
      <c r="E668" t="inlineStr">
        <is>
          <t>HEDEMORA</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54120-2024</t>
        </is>
      </c>
      <c r="B669" s="1" t="n">
        <v>45616</v>
      </c>
      <c r="C669" s="1" t="n">
        <v>45754</v>
      </c>
      <c r="D669" t="inlineStr">
        <is>
          <t>DALARNAS LÄN</t>
        </is>
      </c>
      <c r="E669" t="inlineStr">
        <is>
          <t>HEDEMORA</t>
        </is>
      </c>
      <c r="G669" t="n">
        <v>7.7</v>
      </c>
      <c r="H669" t="n">
        <v>0</v>
      </c>
      <c r="I669" t="n">
        <v>0</v>
      </c>
      <c r="J669" t="n">
        <v>0</v>
      </c>
      <c r="K669" t="n">
        <v>0</v>
      </c>
      <c r="L669" t="n">
        <v>0</v>
      </c>
      <c r="M669" t="n">
        <v>0</v>
      </c>
      <c r="N669" t="n">
        <v>0</v>
      </c>
      <c r="O669" t="n">
        <v>0</v>
      </c>
      <c r="P669" t="n">
        <v>0</v>
      </c>
      <c r="Q669" t="n">
        <v>0</v>
      </c>
      <c r="R669" s="2" t="inlineStr"/>
    </row>
    <row r="670" ht="15" customHeight="1">
      <c r="A670" t="inlineStr">
        <is>
          <t>A 54312-2024</t>
        </is>
      </c>
      <c r="B670" s="1" t="n">
        <v>45617</v>
      </c>
      <c r="C670" s="1" t="n">
        <v>45754</v>
      </c>
      <c r="D670" t="inlineStr">
        <is>
          <t>DALARNAS LÄN</t>
        </is>
      </c>
      <c r="E670" t="inlineStr">
        <is>
          <t>HEDEMORA</t>
        </is>
      </c>
      <c r="F670" t="inlineStr">
        <is>
          <t>Bergvik skog väst AB</t>
        </is>
      </c>
      <c r="G670" t="n">
        <v>13.9</v>
      </c>
      <c r="H670" t="n">
        <v>0</v>
      </c>
      <c r="I670" t="n">
        <v>0</v>
      </c>
      <c r="J670" t="n">
        <v>0</v>
      </c>
      <c r="K670" t="n">
        <v>0</v>
      </c>
      <c r="L670" t="n">
        <v>0</v>
      </c>
      <c r="M670" t="n">
        <v>0</v>
      </c>
      <c r="N670" t="n">
        <v>0</v>
      </c>
      <c r="O670" t="n">
        <v>0</v>
      </c>
      <c r="P670" t="n">
        <v>0</v>
      </c>
      <c r="Q670" t="n">
        <v>0</v>
      </c>
      <c r="R670" s="2" t="inlineStr"/>
    </row>
    <row r="671" ht="15" customHeight="1">
      <c r="A671" t="inlineStr">
        <is>
          <t>A 55392-2024</t>
        </is>
      </c>
      <c r="B671" s="1" t="n">
        <v>45622</v>
      </c>
      <c r="C671" s="1" t="n">
        <v>45754</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55832-2024</t>
        </is>
      </c>
      <c r="B672" s="1" t="n">
        <v>45623</v>
      </c>
      <c r="C672" s="1" t="n">
        <v>45754</v>
      </c>
      <c r="D672" t="inlineStr">
        <is>
          <t>DALARNAS LÄN</t>
        </is>
      </c>
      <c r="E672" t="inlineStr">
        <is>
          <t>HEDEMORA</t>
        </is>
      </c>
      <c r="G672" t="n">
        <v>3</v>
      </c>
      <c r="H672" t="n">
        <v>0</v>
      </c>
      <c r="I672" t="n">
        <v>0</v>
      </c>
      <c r="J672" t="n">
        <v>0</v>
      </c>
      <c r="K672" t="n">
        <v>0</v>
      </c>
      <c r="L672" t="n">
        <v>0</v>
      </c>
      <c r="M672" t="n">
        <v>0</v>
      </c>
      <c r="N672" t="n">
        <v>0</v>
      </c>
      <c r="O672" t="n">
        <v>0</v>
      </c>
      <c r="P672" t="n">
        <v>0</v>
      </c>
      <c r="Q672" t="n">
        <v>0</v>
      </c>
      <c r="R672" s="2" t="inlineStr"/>
    </row>
    <row r="673" ht="15" customHeight="1">
      <c r="A673" t="inlineStr">
        <is>
          <t>A 56620-2024</t>
        </is>
      </c>
      <c r="B673" s="1" t="n">
        <v>45625</v>
      </c>
      <c r="C673" s="1" t="n">
        <v>45754</v>
      </c>
      <c r="D673" t="inlineStr">
        <is>
          <t>DALARNAS LÄN</t>
        </is>
      </c>
      <c r="E673" t="inlineStr">
        <is>
          <t>HEDEMORA</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56668-2024</t>
        </is>
      </c>
      <c r="B674" s="1" t="n">
        <v>45626</v>
      </c>
      <c r="C674" s="1" t="n">
        <v>45754</v>
      </c>
      <c r="D674" t="inlineStr">
        <is>
          <t>DALARNAS LÄN</t>
        </is>
      </c>
      <c r="E674" t="inlineStr">
        <is>
          <t>HEDEMORA</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56884-2024</t>
        </is>
      </c>
      <c r="B675" s="1" t="n">
        <v>45628</v>
      </c>
      <c r="C675" s="1" t="n">
        <v>45754</v>
      </c>
      <c r="D675" t="inlineStr">
        <is>
          <t>DALARNAS LÄN</t>
        </is>
      </c>
      <c r="E675" t="inlineStr">
        <is>
          <t>HEDEMORA</t>
        </is>
      </c>
      <c r="G675" t="n">
        <v>2.1</v>
      </c>
      <c r="H675" t="n">
        <v>0</v>
      </c>
      <c r="I675" t="n">
        <v>0</v>
      </c>
      <c r="J675" t="n">
        <v>0</v>
      </c>
      <c r="K675" t="n">
        <v>0</v>
      </c>
      <c r="L675" t="n">
        <v>0</v>
      </c>
      <c r="M675" t="n">
        <v>0</v>
      </c>
      <c r="N675" t="n">
        <v>0</v>
      </c>
      <c r="O675" t="n">
        <v>0</v>
      </c>
      <c r="P675" t="n">
        <v>0</v>
      </c>
      <c r="Q675" t="n">
        <v>0</v>
      </c>
      <c r="R675" s="2" t="inlineStr"/>
    </row>
    <row r="676" ht="15" customHeight="1">
      <c r="A676" t="inlineStr">
        <is>
          <t>A 57745-2024</t>
        </is>
      </c>
      <c r="B676" s="1" t="n">
        <v>45630</v>
      </c>
      <c r="C676" s="1" t="n">
        <v>45754</v>
      </c>
      <c r="D676" t="inlineStr">
        <is>
          <t>DALARNAS LÄN</t>
        </is>
      </c>
      <c r="E676" t="inlineStr">
        <is>
          <t>HEDEMORA</t>
        </is>
      </c>
      <c r="G676" t="n">
        <v>1.1</v>
      </c>
      <c r="H676" t="n">
        <v>0</v>
      </c>
      <c r="I676" t="n">
        <v>0</v>
      </c>
      <c r="J676" t="n">
        <v>0</v>
      </c>
      <c r="K676" t="n">
        <v>0</v>
      </c>
      <c r="L676" t="n">
        <v>0</v>
      </c>
      <c r="M676" t="n">
        <v>0</v>
      </c>
      <c r="N676" t="n">
        <v>0</v>
      </c>
      <c r="O676" t="n">
        <v>0</v>
      </c>
      <c r="P676" t="n">
        <v>0</v>
      </c>
      <c r="Q676" t="n">
        <v>0</v>
      </c>
      <c r="R676" s="2" t="inlineStr"/>
    </row>
    <row r="677" ht="15" customHeight="1">
      <c r="A677" t="inlineStr">
        <is>
          <t>A 60808-2024</t>
        </is>
      </c>
      <c r="B677" s="1" t="n">
        <v>45644</v>
      </c>
      <c r="C677" s="1" t="n">
        <v>45754</v>
      </c>
      <c r="D677" t="inlineStr">
        <is>
          <t>DALARNAS LÄN</t>
        </is>
      </c>
      <c r="E677" t="inlineStr">
        <is>
          <t>HEDEMORA</t>
        </is>
      </c>
      <c r="G677" t="n">
        <v>6</v>
      </c>
      <c r="H677" t="n">
        <v>0</v>
      </c>
      <c r="I677" t="n">
        <v>0</v>
      </c>
      <c r="J677" t="n">
        <v>0</v>
      </c>
      <c r="K677" t="n">
        <v>0</v>
      </c>
      <c r="L677" t="n">
        <v>0</v>
      </c>
      <c r="M677" t="n">
        <v>0</v>
      </c>
      <c r="N677" t="n">
        <v>0</v>
      </c>
      <c r="O677" t="n">
        <v>0</v>
      </c>
      <c r="P677" t="n">
        <v>0</v>
      </c>
      <c r="Q677" t="n">
        <v>0</v>
      </c>
      <c r="R677" s="2" t="inlineStr"/>
    </row>
    <row r="678" ht="15" customHeight="1">
      <c r="A678" t="inlineStr">
        <is>
          <t>A 60780-2024</t>
        </is>
      </c>
      <c r="B678" s="1" t="n">
        <v>45644</v>
      </c>
      <c r="C678" s="1" t="n">
        <v>45754</v>
      </c>
      <c r="D678" t="inlineStr">
        <is>
          <t>DALARNAS LÄN</t>
        </is>
      </c>
      <c r="E678" t="inlineStr">
        <is>
          <t>HEDEMORA</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61519-2024</t>
        </is>
      </c>
      <c r="B679" s="1" t="n">
        <v>45646</v>
      </c>
      <c r="C679" s="1" t="n">
        <v>45754</v>
      </c>
      <c r="D679" t="inlineStr">
        <is>
          <t>DALARNAS LÄN</t>
        </is>
      </c>
      <c r="E679" t="inlineStr">
        <is>
          <t>HEDEMORA</t>
        </is>
      </c>
      <c r="G679" t="n">
        <v>4</v>
      </c>
      <c r="H679" t="n">
        <v>0</v>
      </c>
      <c r="I679" t="n">
        <v>0</v>
      </c>
      <c r="J679" t="n">
        <v>0</v>
      </c>
      <c r="K679" t="n">
        <v>0</v>
      </c>
      <c r="L679" t="n">
        <v>0</v>
      </c>
      <c r="M679" t="n">
        <v>0</v>
      </c>
      <c r="N679" t="n">
        <v>0</v>
      </c>
      <c r="O679" t="n">
        <v>0</v>
      </c>
      <c r="P679" t="n">
        <v>0</v>
      </c>
      <c r="Q679" t="n">
        <v>0</v>
      </c>
      <c r="R679" s="2" t="inlineStr"/>
    </row>
    <row r="680" ht="15" customHeight="1">
      <c r="A680" t="inlineStr">
        <is>
          <t>A 193-2025</t>
        </is>
      </c>
      <c r="B680" s="1" t="n">
        <v>45649</v>
      </c>
      <c r="C680" s="1" t="n">
        <v>45754</v>
      </c>
      <c r="D680" t="inlineStr">
        <is>
          <t>DALARNAS LÄN</t>
        </is>
      </c>
      <c r="E680" t="inlineStr">
        <is>
          <t>HEDEMORA</t>
        </is>
      </c>
      <c r="G680" t="n">
        <v>2</v>
      </c>
      <c r="H680" t="n">
        <v>0</v>
      </c>
      <c r="I680" t="n">
        <v>0</v>
      </c>
      <c r="J680" t="n">
        <v>0</v>
      </c>
      <c r="K680" t="n">
        <v>0</v>
      </c>
      <c r="L680" t="n">
        <v>0</v>
      </c>
      <c r="M680" t="n">
        <v>0</v>
      </c>
      <c r="N680" t="n">
        <v>0</v>
      </c>
      <c r="O680" t="n">
        <v>0</v>
      </c>
      <c r="P680" t="n">
        <v>0</v>
      </c>
      <c r="Q680" t="n">
        <v>0</v>
      </c>
      <c r="R680" s="2" t="inlineStr"/>
      <c r="U680">
        <f>HYPERLINK("https://klasma.github.io/Logging_2083/knärot/A 193-2025 karta knärot.png", "A 193-2025")</f>
        <v/>
      </c>
      <c r="V680">
        <f>HYPERLINK("https://klasma.github.io/Logging_2083/klagomål/A 193-2025 FSC-klagomål.docx", "A 193-2025")</f>
        <v/>
      </c>
      <c r="W680">
        <f>HYPERLINK("https://klasma.github.io/Logging_2083/klagomålsmail/A 193-2025 FSC-klagomål mail.docx", "A 193-2025")</f>
        <v/>
      </c>
      <c r="X680">
        <f>HYPERLINK("https://klasma.github.io/Logging_2083/tillsyn/A 193-2025 tillsynsbegäran.docx", "A 193-2025")</f>
        <v/>
      </c>
      <c r="Y680">
        <f>HYPERLINK("https://klasma.github.io/Logging_2083/tillsynsmail/A 193-2025 tillsynsbegäran mail.docx", "A 193-2025")</f>
        <v/>
      </c>
    </row>
    <row r="681" ht="15" customHeight="1">
      <c r="A681" t="inlineStr">
        <is>
          <t>A 183-2025</t>
        </is>
      </c>
      <c r="B681" s="1" t="n">
        <v>45659</v>
      </c>
      <c r="C681" s="1" t="n">
        <v>45754</v>
      </c>
      <c r="D681" t="inlineStr">
        <is>
          <t>DALARNAS LÄN</t>
        </is>
      </c>
      <c r="E681" t="inlineStr">
        <is>
          <t>HEDEMORA</t>
        </is>
      </c>
      <c r="G681" t="n">
        <v>2.4</v>
      </c>
      <c r="H681" t="n">
        <v>0</v>
      </c>
      <c r="I681" t="n">
        <v>0</v>
      </c>
      <c r="J681" t="n">
        <v>0</v>
      </c>
      <c r="K681" t="n">
        <v>0</v>
      </c>
      <c r="L681" t="n">
        <v>0</v>
      </c>
      <c r="M681" t="n">
        <v>0</v>
      </c>
      <c r="N681" t="n">
        <v>0</v>
      </c>
      <c r="O681" t="n">
        <v>0</v>
      </c>
      <c r="P681" t="n">
        <v>0</v>
      </c>
      <c r="Q681" t="n">
        <v>0</v>
      </c>
      <c r="R681" s="2" t="inlineStr"/>
    </row>
    <row r="682" ht="15" customHeight="1">
      <c r="A682" t="inlineStr">
        <is>
          <t>A 3825-2025</t>
        </is>
      </c>
      <c r="B682" s="1" t="n">
        <v>45681</v>
      </c>
      <c r="C682" s="1" t="n">
        <v>45754</v>
      </c>
      <c r="D682" t="inlineStr">
        <is>
          <t>DALARNAS LÄN</t>
        </is>
      </c>
      <c r="E682" t="inlineStr">
        <is>
          <t>HEDEMORA</t>
        </is>
      </c>
      <c r="G682" t="n">
        <v>2.1</v>
      </c>
      <c r="H682" t="n">
        <v>0</v>
      </c>
      <c r="I682" t="n">
        <v>0</v>
      </c>
      <c r="J682" t="n">
        <v>0</v>
      </c>
      <c r="K682" t="n">
        <v>0</v>
      </c>
      <c r="L682" t="n">
        <v>0</v>
      </c>
      <c r="M682" t="n">
        <v>0</v>
      </c>
      <c r="N682" t="n">
        <v>0</v>
      </c>
      <c r="O682" t="n">
        <v>0</v>
      </c>
      <c r="P682" t="n">
        <v>0</v>
      </c>
      <c r="Q682" t="n">
        <v>0</v>
      </c>
      <c r="R682" s="2" t="inlineStr"/>
    </row>
    <row r="683" ht="15" customHeight="1">
      <c r="A683" t="inlineStr">
        <is>
          <t>A 3593-2025</t>
        </is>
      </c>
      <c r="B683" s="1" t="n">
        <v>45681</v>
      </c>
      <c r="C683" s="1" t="n">
        <v>45754</v>
      </c>
      <c r="D683" t="inlineStr">
        <is>
          <t>DALARNAS LÄN</t>
        </is>
      </c>
      <c r="E683" t="inlineStr">
        <is>
          <t>HEDEMORA</t>
        </is>
      </c>
      <c r="G683" t="n">
        <v>1.5</v>
      </c>
      <c r="H683" t="n">
        <v>0</v>
      </c>
      <c r="I683" t="n">
        <v>0</v>
      </c>
      <c r="J683" t="n">
        <v>0</v>
      </c>
      <c r="K683" t="n">
        <v>0</v>
      </c>
      <c r="L683" t="n">
        <v>0</v>
      </c>
      <c r="M683" t="n">
        <v>0</v>
      </c>
      <c r="N683" t="n">
        <v>0</v>
      </c>
      <c r="O683" t="n">
        <v>0</v>
      </c>
      <c r="P683" t="n">
        <v>0</v>
      </c>
      <c r="Q683" t="n">
        <v>0</v>
      </c>
      <c r="R683" s="2" t="inlineStr"/>
    </row>
    <row r="684" ht="15" customHeight="1">
      <c r="A684" t="inlineStr">
        <is>
          <t>A 5766-2025</t>
        </is>
      </c>
      <c r="B684" s="1" t="n">
        <v>45694</v>
      </c>
      <c r="C684" s="1" t="n">
        <v>45754</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45754</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6972-2025</t>
        </is>
      </c>
      <c r="B686" s="1" t="n">
        <v>45701</v>
      </c>
      <c r="C686" s="1" t="n">
        <v>45754</v>
      </c>
      <c r="D686" t="inlineStr">
        <is>
          <t>DALARNAS LÄN</t>
        </is>
      </c>
      <c r="E686" t="inlineStr">
        <is>
          <t>HEDEMORA</t>
        </is>
      </c>
      <c r="G686" t="n">
        <v>4.9</v>
      </c>
      <c r="H686" t="n">
        <v>0</v>
      </c>
      <c r="I686" t="n">
        <v>0</v>
      </c>
      <c r="J686" t="n">
        <v>0</v>
      </c>
      <c r="K686" t="n">
        <v>0</v>
      </c>
      <c r="L686" t="n">
        <v>0</v>
      </c>
      <c r="M686" t="n">
        <v>0</v>
      </c>
      <c r="N686" t="n">
        <v>0</v>
      </c>
      <c r="O686" t="n">
        <v>0</v>
      </c>
      <c r="P686" t="n">
        <v>0</v>
      </c>
      <c r="Q686" t="n">
        <v>0</v>
      </c>
      <c r="R686" s="2" t="inlineStr"/>
    </row>
    <row r="687" ht="15" customHeight="1">
      <c r="A687" t="inlineStr">
        <is>
          <t>A 7172-2025</t>
        </is>
      </c>
      <c r="B687" s="1" t="n">
        <v>45702</v>
      </c>
      <c r="C687" s="1" t="n">
        <v>45754</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8342-2025</t>
        </is>
      </c>
      <c r="B688" s="1" t="n">
        <v>45708</v>
      </c>
      <c r="C688" s="1" t="n">
        <v>45754</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row r="689" ht="15" customHeight="1">
      <c r="A689" t="inlineStr">
        <is>
          <t>A 8340-2025</t>
        </is>
      </c>
      <c r="B689" s="1" t="n">
        <v>45708</v>
      </c>
      <c r="C689" s="1" t="n">
        <v>45754</v>
      </c>
      <c r="D689" t="inlineStr">
        <is>
          <t>DALARNAS LÄN</t>
        </is>
      </c>
      <c r="E689" t="inlineStr">
        <is>
          <t>HEDEMORA</t>
        </is>
      </c>
      <c r="G689" t="n">
        <v>0.6</v>
      </c>
      <c r="H689" t="n">
        <v>0</v>
      </c>
      <c r="I689" t="n">
        <v>0</v>
      </c>
      <c r="J689" t="n">
        <v>0</v>
      </c>
      <c r="K689" t="n">
        <v>0</v>
      </c>
      <c r="L689" t="n">
        <v>0</v>
      </c>
      <c r="M689" t="n">
        <v>0</v>
      </c>
      <c r="N689" t="n">
        <v>0</v>
      </c>
      <c r="O689" t="n">
        <v>0</v>
      </c>
      <c r="P689" t="n">
        <v>0</v>
      </c>
      <c r="Q689" t="n">
        <v>0</v>
      </c>
      <c r="R689" s="2" t="inlineStr"/>
    </row>
    <row r="690" ht="15" customHeight="1">
      <c r="A690" t="inlineStr">
        <is>
          <t>A 12133-2025</t>
        </is>
      </c>
      <c r="B690" s="1" t="n">
        <v>45729</v>
      </c>
      <c r="C690" s="1" t="n">
        <v>45754</v>
      </c>
      <c r="D690" t="inlineStr">
        <is>
          <t>DALARNAS LÄN</t>
        </is>
      </c>
      <c r="E690" t="inlineStr">
        <is>
          <t>HEDEMORA</t>
        </is>
      </c>
      <c r="G690" t="n">
        <v>4.8</v>
      </c>
      <c r="H690" t="n">
        <v>0</v>
      </c>
      <c r="I690" t="n">
        <v>0</v>
      </c>
      <c r="J690" t="n">
        <v>0</v>
      </c>
      <c r="K690" t="n">
        <v>0</v>
      </c>
      <c r="L690" t="n">
        <v>0</v>
      </c>
      <c r="M690" t="n">
        <v>0</v>
      </c>
      <c r="N690" t="n">
        <v>0</v>
      </c>
      <c r="O690" t="n">
        <v>0</v>
      </c>
      <c r="P690" t="n">
        <v>0</v>
      </c>
      <c r="Q690" t="n">
        <v>0</v>
      </c>
      <c r="R690" s="2" t="inlineStr"/>
    </row>
    <row r="691" ht="15" customHeight="1">
      <c r="A691" t="inlineStr">
        <is>
          <t>A 12136-2025</t>
        </is>
      </c>
      <c r="B691" s="1" t="n">
        <v>45729</v>
      </c>
      <c r="C691" s="1" t="n">
        <v>45754</v>
      </c>
      <c r="D691" t="inlineStr">
        <is>
          <t>DALARNAS LÄN</t>
        </is>
      </c>
      <c r="E691" t="inlineStr">
        <is>
          <t>HEDEMORA</t>
        </is>
      </c>
      <c r="G691" t="n">
        <v>1.5</v>
      </c>
      <c r="H691" t="n">
        <v>0</v>
      </c>
      <c r="I691" t="n">
        <v>0</v>
      </c>
      <c r="J691" t="n">
        <v>0</v>
      </c>
      <c r="K691" t="n">
        <v>0</v>
      </c>
      <c r="L691" t="n">
        <v>0</v>
      </c>
      <c r="M691" t="n">
        <v>0</v>
      </c>
      <c r="N691" t="n">
        <v>0</v>
      </c>
      <c r="O691" t="n">
        <v>0</v>
      </c>
      <c r="P691" t="n">
        <v>0</v>
      </c>
      <c r="Q691" t="n">
        <v>0</v>
      </c>
      <c r="R691" s="2" t="inlineStr"/>
    </row>
    <row r="692" ht="15" customHeight="1">
      <c r="A692" t="inlineStr">
        <is>
          <t>A 12905-2025</t>
        </is>
      </c>
      <c r="B692" s="1" t="n">
        <v>45733</v>
      </c>
      <c r="C692" s="1" t="n">
        <v>45754</v>
      </c>
      <c r="D692" t="inlineStr">
        <is>
          <t>DALARNAS LÄN</t>
        </is>
      </c>
      <c r="E692" t="inlineStr">
        <is>
          <t>HEDEMORA</t>
        </is>
      </c>
      <c r="G692" t="n">
        <v>3.1</v>
      </c>
      <c r="H692" t="n">
        <v>0</v>
      </c>
      <c r="I692" t="n">
        <v>0</v>
      </c>
      <c r="J692" t="n">
        <v>0</v>
      </c>
      <c r="K692" t="n">
        <v>0</v>
      </c>
      <c r="L692" t="n">
        <v>0</v>
      </c>
      <c r="M692" t="n">
        <v>0</v>
      </c>
      <c r="N692" t="n">
        <v>0</v>
      </c>
      <c r="O692" t="n">
        <v>0</v>
      </c>
      <c r="P692" t="n">
        <v>0</v>
      </c>
      <c r="Q692" t="n">
        <v>0</v>
      </c>
      <c r="R692" s="2" t="inlineStr"/>
    </row>
    <row r="693" ht="15" customHeight="1">
      <c r="A693" t="inlineStr">
        <is>
          <t>A 13381-2025</t>
        </is>
      </c>
      <c r="B693" s="1" t="n">
        <v>45735</v>
      </c>
      <c r="C693" s="1" t="n">
        <v>45754</v>
      </c>
      <c r="D693" t="inlineStr">
        <is>
          <t>DALARNAS LÄN</t>
        </is>
      </c>
      <c r="E693" t="inlineStr">
        <is>
          <t>HEDEMORA</t>
        </is>
      </c>
      <c r="G693" t="n">
        <v>5.6</v>
      </c>
      <c r="H693" t="n">
        <v>0</v>
      </c>
      <c r="I693" t="n">
        <v>0</v>
      </c>
      <c r="J693" t="n">
        <v>0</v>
      </c>
      <c r="K693" t="n">
        <v>0</v>
      </c>
      <c r="L693" t="n">
        <v>0</v>
      </c>
      <c r="M693" t="n">
        <v>0</v>
      </c>
      <c r="N693" t="n">
        <v>0</v>
      </c>
      <c r="O693" t="n">
        <v>0</v>
      </c>
      <c r="P693" t="n">
        <v>0</v>
      </c>
      <c r="Q693" t="n">
        <v>0</v>
      </c>
      <c r="R693" s="2" t="inlineStr"/>
    </row>
    <row r="694" ht="15" customHeight="1">
      <c r="A694" t="inlineStr">
        <is>
          <t>A 15036-2025</t>
        </is>
      </c>
      <c r="B694" s="1" t="n">
        <v>45743</v>
      </c>
      <c r="C694" s="1" t="n">
        <v>45754</v>
      </c>
      <c r="D694" t="inlineStr">
        <is>
          <t>DALARNAS LÄN</t>
        </is>
      </c>
      <c r="E694" t="inlineStr">
        <is>
          <t>HEDEMORA</t>
        </is>
      </c>
      <c r="F694" t="inlineStr">
        <is>
          <t>Sveaskog</t>
        </is>
      </c>
      <c r="G694" t="n">
        <v>20.4</v>
      </c>
      <c r="H694" t="n">
        <v>0</v>
      </c>
      <c r="I694" t="n">
        <v>0</v>
      </c>
      <c r="J694" t="n">
        <v>0</v>
      </c>
      <c r="K694" t="n">
        <v>0</v>
      </c>
      <c r="L694" t="n">
        <v>0</v>
      </c>
      <c r="M694" t="n">
        <v>0</v>
      </c>
      <c r="N694" t="n">
        <v>0</v>
      </c>
      <c r="O694" t="n">
        <v>0</v>
      </c>
      <c r="P694" t="n">
        <v>0</v>
      </c>
      <c r="Q694" t="n">
        <v>0</v>
      </c>
      <c r="R694" s="2" t="inlineStr"/>
    </row>
    <row r="695" ht="15" customHeight="1">
      <c r="A695" t="inlineStr">
        <is>
          <t>A 15048-2025</t>
        </is>
      </c>
      <c r="B695" s="1" t="n">
        <v>45743</v>
      </c>
      <c r="C695" s="1" t="n">
        <v>45754</v>
      </c>
      <c r="D695" t="inlineStr">
        <is>
          <t>DALARNAS LÄN</t>
        </is>
      </c>
      <c r="E695" t="inlineStr">
        <is>
          <t>HEDEMORA</t>
        </is>
      </c>
      <c r="F695" t="inlineStr">
        <is>
          <t>Sveaskog</t>
        </is>
      </c>
      <c r="G695" t="n">
        <v>9.1</v>
      </c>
      <c r="H695" t="n">
        <v>0</v>
      </c>
      <c r="I695" t="n">
        <v>0</v>
      </c>
      <c r="J695" t="n">
        <v>0</v>
      </c>
      <c r="K695" t="n">
        <v>0</v>
      </c>
      <c r="L695" t="n">
        <v>0</v>
      </c>
      <c r="M695" t="n">
        <v>0</v>
      </c>
      <c r="N695" t="n">
        <v>0</v>
      </c>
      <c r="O695" t="n">
        <v>0</v>
      </c>
      <c r="P695" t="n">
        <v>0</v>
      </c>
      <c r="Q695" t="n">
        <v>0</v>
      </c>
      <c r="R695" s="2" t="inlineStr"/>
    </row>
    <row r="696" ht="15" customHeight="1">
      <c r="A696" t="inlineStr">
        <is>
          <t>A 15054-2025</t>
        </is>
      </c>
      <c r="B696" s="1" t="n">
        <v>45743</v>
      </c>
      <c r="C696" s="1" t="n">
        <v>45754</v>
      </c>
      <c r="D696" t="inlineStr">
        <is>
          <t>DALARNAS LÄN</t>
        </is>
      </c>
      <c r="E696" t="inlineStr">
        <is>
          <t>HEDEMORA</t>
        </is>
      </c>
      <c r="F696" t="inlineStr">
        <is>
          <t>Sveaskog</t>
        </is>
      </c>
      <c r="G696" t="n">
        <v>5.2</v>
      </c>
      <c r="H696" t="n">
        <v>0</v>
      </c>
      <c r="I696" t="n">
        <v>0</v>
      </c>
      <c r="J696" t="n">
        <v>0</v>
      </c>
      <c r="K696" t="n">
        <v>0</v>
      </c>
      <c r="L696" t="n">
        <v>0</v>
      </c>
      <c r="M696" t="n">
        <v>0</v>
      </c>
      <c r="N696" t="n">
        <v>0</v>
      </c>
      <c r="O696" t="n">
        <v>0</v>
      </c>
      <c r="P696" t="n">
        <v>0</v>
      </c>
      <c r="Q696" t="n">
        <v>0</v>
      </c>
      <c r="R696" s="2" t="inlineStr"/>
    </row>
    <row r="697" ht="15" customHeight="1">
      <c r="A697" t="inlineStr">
        <is>
          <t>A 14968-2025</t>
        </is>
      </c>
      <c r="B697" s="1" t="n">
        <v>45743</v>
      </c>
      <c r="C697" s="1" t="n">
        <v>45754</v>
      </c>
      <c r="D697" t="inlineStr">
        <is>
          <t>DALARNAS LÄN</t>
        </is>
      </c>
      <c r="E697" t="inlineStr">
        <is>
          <t>HEDEMORA</t>
        </is>
      </c>
      <c r="G697" t="n">
        <v>2.2</v>
      </c>
      <c r="H697" t="n">
        <v>0</v>
      </c>
      <c r="I697" t="n">
        <v>0</v>
      </c>
      <c r="J697" t="n">
        <v>0</v>
      </c>
      <c r="K697" t="n">
        <v>0</v>
      </c>
      <c r="L697" t="n">
        <v>0</v>
      </c>
      <c r="M697" t="n">
        <v>0</v>
      </c>
      <c r="N697" t="n">
        <v>0</v>
      </c>
      <c r="O697" t="n">
        <v>0</v>
      </c>
      <c r="P697" t="n">
        <v>0</v>
      </c>
      <c r="Q697" t="n">
        <v>0</v>
      </c>
      <c r="R697" s="2" t="inlineStr"/>
    </row>
    <row r="698" ht="15" customHeight="1">
      <c r="A698" t="inlineStr">
        <is>
          <t>A 14949-2025</t>
        </is>
      </c>
      <c r="B698" s="1" t="n">
        <v>45743</v>
      </c>
      <c r="C698" s="1" t="n">
        <v>45754</v>
      </c>
      <c r="D698" t="inlineStr">
        <is>
          <t>DALARNAS LÄN</t>
        </is>
      </c>
      <c r="E698" t="inlineStr">
        <is>
          <t>HEDEMORA</t>
        </is>
      </c>
      <c r="G698" t="n">
        <v>2.5</v>
      </c>
      <c r="H698" t="n">
        <v>0</v>
      </c>
      <c r="I698" t="n">
        <v>0</v>
      </c>
      <c r="J698" t="n">
        <v>0</v>
      </c>
      <c r="K698" t="n">
        <v>0</v>
      </c>
      <c r="L698" t="n">
        <v>0</v>
      </c>
      <c r="M698" t="n">
        <v>0</v>
      </c>
      <c r="N698" t="n">
        <v>0</v>
      </c>
      <c r="O698" t="n">
        <v>0</v>
      </c>
      <c r="P698" t="n">
        <v>0</v>
      </c>
      <c r="Q698" t="n">
        <v>0</v>
      </c>
      <c r="R698" s="2" t="inlineStr"/>
    </row>
    <row r="699" ht="15" customHeight="1">
      <c r="A699" t="inlineStr">
        <is>
          <t>A 14951-2025</t>
        </is>
      </c>
      <c r="B699" s="1" t="n">
        <v>45743</v>
      </c>
      <c r="C699" s="1" t="n">
        <v>45754</v>
      </c>
      <c r="D699" t="inlineStr">
        <is>
          <t>DALARNAS LÄN</t>
        </is>
      </c>
      <c r="E699" t="inlineStr">
        <is>
          <t>HEDEMORA</t>
        </is>
      </c>
      <c r="G699" t="n">
        <v>1.6</v>
      </c>
      <c r="H699" t="n">
        <v>0</v>
      </c>
      <c r="I699" t="n">
        <v>0</v>
      </c>
      <c r="J699" t="n">
        <v>0</v>
      </c>
      <c r="K699" t="n">
        <v>0</v>
      </c>
      <c r="L699" t="n">
        <v>0</v>
      </c>
      <c r="M699" t="n">
        <v>0</v>
      </c>
      <c r="N699" t="n">
        <v>0</v>
      </c>
      <c r="O699" t="n">
        <v>0</v>
      </c>
      <c r="P699" t="n">
        <v>0</v>
      </c>
      <c r="Q699" t="n">
        <v>0</v>
      </c>
      <c r="R699" s="2" t="inlineStr"/>
    </row>
    <row r="700" ht="15" customHeight="1">
      <c r="A700" t="inlineStr">
        <is>
          <t>A 14953-2025</t>
        </is>
      </c>
      <c r="B700" s="1" t="n">
        <v>45743</v>
      </c>
      <c r="C700" s="1" t="n">
        <v>45754</v>
      </c>
      <c r="D700" t="inlineStr">
        <is>
          <t>DALARNAS LÄN</t>
        </is>
      </c>
      <c r="E700" t="inlineStr">
        <is>
          <t>HEDEMORA</t>
        </is>
      </c>
      <c r="G700" t="n">
        <v>6.6</v>
      </c>
      <c r="H700" t="n">
        <v>0</v>
      </c>
      <c r="I700" t="n">
        <v>0</v>
      </c>
      <c r="J700" t="n">
        <v>0</v>
      </c>
      <c r="K700" t="n">
        <v>0</v>
      </c>
      <c r="L700" t="n">
        <v>0</v>
      </c>
      <c r="M700" t="n">
        <v>0</v>
      </c>
      <c r="N700" t="n">
        <v>0</v>
      </c>
      <c r="O700" t="n">
        <v>0</v>
      </c>
      <c r="P700" t="n">
        <v>0</v>
      </c>
      <c r="Q700" t="n">
        <v>0</v>
      </c>
      <c r="R700" s="2" t="inlineStr"/>
    </row>
    <row r="701" ht="15" customHeight="1">
      <c r="A701" t="inlineStr">
        <is>
          <t>A 15831-2025</t>
        </is>
      </c>
      <c r="B701" s="1" t="n">
        <v>45748</v>
      </c>
      <c r="C701" s="1" t="n">
        <v>45754</v>
      </c>
      <c r="D701" t="inlineStr">
        <is>
          <t>DALARNAS LÄN</t>
        </is>
      </c>
      <c r="E701" t="inlineStr">
        <is>
          <t>HEDEMORA</t>
        </is>
      </c>
      <c r="G701" t="n">
        <v>2.1</v>
      </c>
      <c r="H701" t="n">
        <v>0</v>
      </c>
      <c r="I701" t="n">
        <v>0</v>
      </c>
      <c r="J701" t="n">
        <v>0</v>
      </c>
      <c r="K701" t="n">
        <v>0</v>
      </c>
      <c r="L701" t="n">
        <v>0</v>
      </c>
      <c r="M701" t="n">
        <v>0</v>
      </c>
      <c r="N701" t="n">
        <v>0</v>
      </c>
      <c r="O701" t="n">
        <v>0</v>
      </c>
      <c r="P701" t="n">
        <v>0</v>
      </c>
      <c r="Q701" t="n">
        <v>0</v>
      </c>
      <c r="R701" s="2" t="inlineStr"/>
    </row>
    <row r="702" ht="15" customHeight="1">
      <c r="A702" t="inlineStr">
        <is>
          <t>A 15835-2025</t>
        </is>
      </c>
      <c r="B702" s="1" t="n">
        <v>45748</v>
      </c>
      <c r="C702" s="1" t="n">
        <v>45754</v>
      </c>
      <c r="D702" t="inlineStr">
        <is>
          <t>DALARNAS LÄN</t>
        </is>
      </c>
      <c r="E702" t="inlineStr">
        <is>
          <t>HEDEMORA</t>
        </is>
      </c>
      <c r="G702" t="n">
        <v>0.4</v>
      </c>
      <c r="H702" t="n">
        <v>0</v>
      </c>
      <c r="I702" t="n">
        <v>0</v>
      </c>
      <c r="J702" t="n">
        <v>0</v>
      </c>
      <c r="K702" t="n">
        <v>0</v>
      </c>
      <c r="L702" t="n">
        <v>0</v>
      </c>
      <c r="M702" t="n">
        <v>0</v>
      </c>
      <c r="N702" t="n">
        <v>0</v>
      </c>
      <c r="O702" t="n">
        <v>0</v>
      </c>
      <c r="P702" t="n">
        <v>0</v>
      </c>
      <c r="Q702" t="n">
        <v>0</v>
      </c>
      <c r="R702" s="2" t="inlineStr"/>
    </row>
    <row r="703" ht="15" customHeight="1">
      <c r="A703" t="inlineStr">
        <is>
          <t>A 15833-2025</t>
        </is>
      </c>
      <c r="B703" s="1" t="n">
        <v>45748</v>
      </c>
      <c r="C703" s="1" t="n">
        <v>45754</v>
      </c>
      <c r="D703" t="inlineStr">
        <is>
          <t>DALARNAS LÄN</t>
        </is>
      </c>
      <c r="E703" t="inlineStr">
        <is>
          <t>HEDEMORA</t>
        </is>
      </c>
      <c r="G703" t="n">
        <v>0.4</v>
      </c>
      <c r="H703" t="n">
        <v>0</v>
      </c>
      <c r="I703" t="n">
        <v>0</v>
      </c>
      <c r="J703" t="n">
        <v>0</v>
      </c>
      <c r="K703" t="n">
        <v>0</v>
      </c>
      <c r="L703" t="n">
        <v>0</v>
      </c>
      <c r="M703" t="n">
        <v>0</v>
      </c>
      <c r="N703" t="n">
        <v>0</v>
      </c>
      <c r="O703" t="n">
        <v>0</v>
      </c>
      <c r="P703" t="n">
        <v>0</v>
      </c>
      <c r="Q703" t="n">
        <v>0</v>
      </c>
      <c r="R703" s="2" t="inlineStr"/>
    </row>
    <row r="704">
      <c r="A704" t="inlineStr">
        <is>
          <t>A 15834-2025</t>
        </is>
      </c>
      <c r="B704" s="1" t="n">
        <v>45748</v>
      </c>
      <c r="C704" s="1" t="n">
        <v>45754</v>
      </c>
      <c r="D704" t="inlineStr">
        <is>
          <t>DALARNAS LÄN</t>
        </is>
      </c>
      <c r="E704" t="inlineStr">
        <is>
          <t>HEDEMORA</t>
        </is>
      </c>
      <c r="G704" t="n">
        <v>1.4</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2025-04-07T16:41:46Z</dcterms:created>
  <dcterms:modified xmlns:dcterms="http://purl.org/dc/terms/" xmlns:xsi="http://www.w3.org/2001/XMLSchema-instance" xsi:type="dcterms:W3CDTF">2025-04-07T16:41:47Z</dcterms:modified>
</cp:coreProperties>
</file>