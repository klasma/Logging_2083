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45878</v>
      </c>
      <c r="D2" t="inlineStr">
        <is>
          <t>DALARNAS LÄN</t>
        </is>
      </c>
      <c r="E2" t="inlineStr">
        <is>
          <t>HEDEMORA</t>
        </is>
      </c>
      <c r="G2" t="n">
        <v>17.3</v>
      </c>
      <c r="H2" t="n">
        <v>9</v>
      </c>
      <c r="I2" t="n">
        <v>10</v>
      </c>
      <c r="J2" t="n">
        <v>10</v>
      </c>
      <c r="K2" t="n">
        <v>5</v>
      </c>
      <c r="L2" t="n">
        <v>0</v>
      </c>
      <c r="M2" t="n">
        <v>0</v>
      </c>
      <c r="N2" t="n">
        <v>0</v>
      </c>
      <c r="O2" t="n">
        <v>15</v>
      </c>
      <c r="P2" t="n">
        <v>5</v>
      </c>
      <c r="Q2" t="n">
        <v>28</v>
      </c>
      <c r="R2" s="2" t="inlineStr">
        <is>
          <t>Gräddticka
Knärot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45878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45878</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45878</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45878</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58505-2022</t>
        </is>
      </c>
      <c r="B7" s="1" t="n">
        <v>44902</v>
      </c>
      <c r="C7" s="1" t="n">
        <v>45878</v>
      </c>
      <c r="D7" t="inlineStr">
        <is>
          <t>DALARNAS LÄN</t>
        </is>
      </c>
      <c r="E7" t="inlineStr">
        <is>
          <t>HEDEMORA</t>
        </is>
      </c>
      <c r="G7" t="n">
        <v>1.8</v>
      </c>
      <c r="H7" t="n">
        <v>3</v>
      </c>
      <c r="I7" t="n">
        <v>4</v>
      </c>
      <c r="J7" t="n">
        <v>3</v>
      </c>
      <c r="K7" t="n">
        <v>2</v>
      </c>
      <c r="L7" t="n">
        <v>0</v>
      </c>
      <c r="M7" t="n">
        <v>0</v>
      </c>
      <c r="N7" t="n">
        <v>0</v>
      </c>
      <c r="O7" t="n">
        <v>5</v>
      </c>
      <c r="P7" t="n">
        <v>2</v>
      </c>
      <c r="Q7" t="n">
        <v>9</v>
      </c>
      <c r="R7" s="2" t="inlineStr">
        <is>
          <t>Hängticka
Knärot
Spillkråka
Talltita
Ullticka
Bollvitmossa
Fjällig taggsvamp s.str.
Mörk husmossa
Vedticka</t>
        </is>
      </c>
      <c r="S7">
        <f>HYPERLINK("https://klasma.github.io/Logging_2083/artfynd/A 58505-2022 artfynd.xlsx", "A 58505-2022")</f>
        <v/>
      </c>
      <c r="T7">
        <f>HYPERLINK("https://klasma.github.io/Logging_2083/kartor/A 58505-2022 karta.png", "A 58505-2022")</f>
        <v/>
      </c>
      <c r="U7">
        <f>HYPERLINK("https://klasma.github.io/Logging_2083/knärot/A 58505-2022 karta knärot.png", "A 58505-2022")</f>
        <v/>
      </c>
      <c r="V7">
        <f>HYPERLINK("https://klasma.github.io/Logging_2083/klagomål/A 58505-2022 FSC-klagomål.docx", "A 58505-2022")</f>
        <v/>
      </c>
      <c r="W7">
        <f>HYPERLINK("https://klasma.github.io/Logging_2083/klagomålsmail/A 58505-2022 FSC-klagomål mail.docx", "A 58505-2022")</f>
        <v/>
      </c>
      <c r="X7">
        <f>HYPERLINK("https://klasma.github.io/Logging_2083/tillsyn/A 58505-2022 tillsynsbegäran.docx", "A 58505-2022")</f>
        <v/>
      </c>
      <c r="Y7">
        <f>HYPERLINK("https://klasma.github.io/Logging_2083/tillsynsmail/A 58505-2022 tillsynsbegäran mail.docx", "A 58505-2022")</f>
        <v/>
      </c>
      <c r="Z7">
        <f>HYPERLINK("https://klasma.github.io/Logging_2083/fåglar/A 58505-2022 prioriterade fågelarter.docx", "A 58505-2022")</f>
        <v/>
      </c>
    </row>
    <row r="8" ht="15" customHeight="1">
      <c r="A8" t="inlineStr">
        <is>
          <t>A 58943-2023</t>
        </is>
      </c>
      <c r="B8" s="1" t="n">
        <v>45250</v>
      </c>
      <c r="C8" s="1" t="n">
        <v>45878</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45878</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45878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49269-2024</t>
        </is>
      </c>
      <c r="B11" s="1" t="n">
        <v>45595.49747685185</v>
      </c>
      <c r="C11" s="1" t="n">
        <v>45878</v>
      </c>
      <c r="D11" t="inlineStr">
        <is>
          <t>DALARNAS LÄN</t>
        </is>
      </c>
      <c r="E11" t="inlineStr">
        <is>
          <t>HEDEMORA</t>
        </is>
      </c>
      <c r="G11" t="n">
        <v>1.6</v>
      </c>
      <c r="H11" t="n">
        <v>5</v>
      </c>
      <c r="I11" t="n">
        <v>2</v>
      </c>
      <c r="J11" t="n">
        <v>5</v>
      </c>
      <c r="K11" t="n">
        <v>0</v>
      </c>
      <c r="L11" t="n">
        <v>0</v>
      </c>
      <c r="M11" t="n">
        <v>0</v>
      </c>
      <c r="N11" t="n">
        <v>0</v>
      </c>
      <c r="O11" t="n">
        <v>5</v>
      </c>
      <c r="P11" t="n">
        <v>0</v>
      </c>
      <c r="Q11" t="n">
        <v>8</v>
      </c>
      <c r="R11" s="2" t="inlineStr">
        <is>
          <t>Fagervaxing
Havsörn
Rödvingetrast
Spillkråka
Talltita
Blodvaxing
Broskvaxing
Gröngöling</t>
        </is>
      </c>
      <c r="S11">
        <f>HYPERLINK("https://klasma.github.io/Logging_2083/artfynd/A 49269-2024 artfynd.xlsx", "A 49269-2024")</f>
        <v/>
      </c>
      <c r="T11">
        <f>HYPERLINK("https://klasma.github.io/Logging_2083/kartor/A 49269-2024 karta.png", "A 49269-2024")</f>
        <v/>
      </c>
      <c r="V11">
        <f>HYPERLINK("https://klasma.github.io/Logging_2083/klagomål/A 49269-2024 FSC-klagomål.docx", "A 49269-2024")</f>
        <v/>
      </c>
      <c r="W11">
        <f>HYPERLINK("https://klasma.github.io/Logging_2083/klagomålsmail/A 49269-2024 FSC-klagomål mail.docx", "A 49269-2024")</f>
        <v/>
      </c>
      <c r="X11">
        <f>HYPERLINK("https://klasma.github.io/Logging_2083/tillsyn/A 49269-2024 tillsynsbegäran.docx", "A 49269-2024")</f>
        <v/>
      </c>
      <c r="Y11">
        <f>HYPERLINK("https://klasma.github.io/Logging_2083/tillsynsmail/A 49269-2024 tillsynsbegäran mail.docx", "A 49269-2024")</f>
        <v/>
      </c>
      <c r="Z11">
        <f>HYPERLINK("https://klasma.github.io/Logging_2083/fåglar/A 49269-2024 prioriterade fågelarter.docx", "A 49269-2024")</f>
        <v/>
      </c>
    </row>
    <row r="12" ht="15" customHeight="1">
      <c r="A12" t="inlineStr">
        <is>
          <t>A 54380-2020</t>
        </is>
      </c>
      <c r="B12" s="1" t="n">
        <v>44126</v>
      </c>
      <c r="C12" s="1" t="n">
        <v>45878</v>
      </c>
      <c r="D12" t="inlineStr">
        <is>
          <t>DALARNAS LÄN</t>
        </is>
      </c>
      <c r="E12" t="inlineStr">
        <is>
          <t>HEDEMORA</t>
        </is>
      </c>
      <c r="G12" t="n">
        <v>2.4</v>
      </c>
      <c r="H12" t="n">
        <v>3</v>
      </c>
      <c r="I12" t="n">
        <v>4</v>
      </c>
      <c r="J12" t="n">
        <v>0</v>
      </c>
      <c r="K12" t="n">
        <v>1</v>
      </c>
      <c r="L12" t="n">
        <v>0</v>
      </c>
      <c r="M12" t="n">
        <v>0</v>
      </c>
      <c r="N12" t="n">
        <v>0</v>
      </c>
      <c r="O12" t="n">
        <v>1</v>
      </c>
      <c r="P12" t="n">
        <v>1</v>
      </c>
      <c r="Q12" t="n">
        <v>7</v>
      </c>
      <c r="R12" s="2" t="inlineStr">
        <is>
          <t>Knärot
Bronshjon
Fjällig taggsvamp s.str.
Rödgul trumpetsvamp
Svavelriska
Vanlig groda
Revlummer</t>
        </is>
      </c>
      <c r="S12">
        <f>HYPERLINK("https://klasma.github.io/Logging_2083/artfynd/A 54380-2020 artfynd.xlsx", "A 54380-2020")</f>
        <v/>
      </c>
      <c r="T12">
        <f>HYPERLINK("https://klasma.github.io/Logging_2083/kartor/A 54380-2020 karta.png", "A 54380-2020")</f>
        <v/>
      </c>
      <c r="U12">
        <f>HYPERLINK("https://klasma.github.io/Logging_2083/knärot/A 54380-2020 karta knärot.png", "A 54380-2020")</f>
        <v/>
      </c>
      <c r="V12">
        <f>HYPERLINK("https://klasma.github.io/Logging_2083/klagomål/A 54380-2020 FSC-klagomål.docx", "A 54380-2020")</f>
        <v/>
      </c>
      <c r="W12">
        <f>HYPERLINK("https://klasma.github.io/Logging_2083/klagomålsmail/A 54380-2020 FSC-klagomål mail.docx", "A 54380-2020")</f>
        <v/>
      </c>
      <c r="X12">
        <f>HYPERLINK("https://klasma.github.io/Logging_2083/tillsyn/A 54380-2020 tillsynsbegäran.docx", "A 54380-2020")</f>
        <v/>
      </c>
      <c r="Y12">
        <f>HYPERLINK("https://klasma.github.io/Logging_2083/tillsynsmail/A 54380-2020 tillsynsbegäran mail.docx", "A 54380-2020")</f>
        <v/>
      </c>
    </row>
    <row r="13" ht="15" customHeight="1">
      <c r="A13" t="inlineStr">
        <is>
          <t>A 59136-2024</t>
        </is>
      </c>
      <c r="B13" s="1" t="n">
        <v>45637.43037037037</v>
      </c>
      <c r="C13" s="1" t="n">
        <v>45878</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45878</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45878</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45878</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45878</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49872-2021</t>
        </is>
      </c>
      <c r="B18" s="1" t="n">
        <v>44455</v>
      </c>
      <c r="C18" s="1" t="n">
        <v>45878</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57643-2022</t>
        </is>
      </c>
      <c r="B19" s="1" t="n">
        <v>44897</v>
      </c>
      <c r="C19" s="1" t="n">
        <v>45878</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59137-2024</t>
        </is>
      </c>
      <c r="B20" s="1" t="n">
        <v>45637.43146990741</v>
      </c>
      <c r="C20" s="1" t="n">
        <v>45878</v>
      </c>
      <c r="D20" t="inlineStr">
        <is>
          <t>DALARNAS LÄN</t>
        </is>
      </c>
      <c r="E20" t="inlineStr">
        <is>
          <t>HEDEMORA</t>
        </is>
      </c>
      <c r="G20" t="n">
        <v>8</v>
      </c>
      <c r="H20" t="n">
        <v>1</v>
      </c>
      <c r="I20" t="n">
        <v>0</v>
      </c>
      <c r="J20" t="n">
        <v>2</v>
      </c>
      <c r="K20" t="n">
        <v>1</v>
      </c>
      <c r="L20" t="n">
        <v>0</v>
      </c>
      <c r="M20" t="n">
        <v>0</v>
      </c>
      <c r="N20" t="n">
        <v>0</v>
      </c>
      <c r="O20" t="n">
        <v>3</v>
      </c>
      <c r="P20" t="n">
        <v>1</v>
      </c>
      <c r="Q20" t="n">
        <v>4</v>
      </c>
      <c r="R20" s="2" t="inlineStr">
        <is>
          <t>Ringlav
Garnlav
Ullticka
Tjäder</t>
        </is>
      </c>
      <c r="S20">
        <f>HYPERLINK("https://klasma.github.io/Logging_2083/artfynd/A 59137-2024 artfynd.xlsx", "A 59137-2024")</f>
        <v/>
      </c>
      <c r="T20">
        <f>HYPERLINK("https://klasma.github.io/Logging_2083/kartor/A 59137-2024 karta.png", "A 59137-2024")</f>
        <v/>
      </c>
      <c r="V20">
        <f>HYPERLINK("https://klasma.github.io/Logging_2083/klagomål/A 59137-2024 FSC-klagomål.docx", "A 59137-2024")</f>
        <v/>
      </c>
      <c r="W20">
        <f>HYPERLINK("https://klasma.github.io/Logging_2083/klagomålsmail/A 59137-2024 FSC-klagomål mail.docx", "A 59137-2024")</f>
        <v/>
      </c>
      <c r="X20">
        <f>HYPERLINK("https://klasma.github.io/Logging_2083/tillsyn/A 59137-2024 tillsynsbegäran.docx", "A 59137-2024")</f>
        <v/>
      </c>
      <c r="Y20">
        <f>HYPERLINK("https://klasma.github.io/Logging_2083/tillsynsmail/A 59137-2024 tillsynsbegäran mail.docx", "A 59137-2024")</f>
        <v/>
      </c>
      <c r="Z20">
        <f>HYPERLINK("https://klasma.github.io/Logging_2083/fåglar/A 59137-2024 prioriterade fågelarter.docx", "A 59137-2024")</f>
        <v/>
      </c>
    </row>
    <row r="21" ht="15" customHeight="1">
      <c r="A21" t="inlineStr">
        <is>
          <t>A 992-2024</t>
        </is>
      </c>
      <c r="B21" s="1" t="n">
        <v>45301</v>
      </c>
      <c r="C21" s="1" t="n">
        <v>45878</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45878</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45878</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49272-2020</t>
        </is>
      </c>
      <c r="B24" s="1" t="n">
        <v>44105</v>
      </c>
      <c r="C24" s="1" t="n">
        <v>45878</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4177-2022</t>
        </is>
      </c>
      <c r="B25" s="1" t="n">
        <v>44588</v>
      </c>
      <c r="C25" s="1" t="n">
        <v>45878</v>
      </c>
      <c r="D25" t="inlineStr">
        <is>
          <t>DALARNAS LÄN</t>
        </is>
      </c>
      <c r="E25" t="inlineStr">
        <is>
          <t>HEDEMORA</t>
        </is>
      </c>
      <c r="G25" t="n">
        <v>5.3</v>
      </c>
      <c r="H25" t="n">
        <v>2</v>
      </c>
      <c r="I25" t="n">
        <v>1</v>
      </c>
      <c r="J25" t="n">
        <v>0</v>
      </c>
      <c r="K25" t="n">
        <v>1</v>
      </c>
      <c r="L25" t="n">
        <v>0</v>
      </c>
      <c r="M25" t="n">
        <v>0</v>
      </c>
      <c r="N25" t="n">
        <v>0</v>
      </c>
      <c r="O25" t="n">
        <v>1</v>
      </c>
      <c r="P25" t="n">
        <v>1</v>
      </c>
      <c r="Q25" t="n">
        <v>3</v>
      </c>
      <c r="R25" s="2" t="inlineStr">
        <is>
          <t>Knärot
Bronshjon
Fläcknycklar</t>
        </is>
      </c>
      <c r="S25">
        <f>HYPERLINK("https://klasma.github.io/Logging_2083/artfynd/A 4177-2022 artfynd.xlsx", "A 4177-2022")</f>
        <v/>
      </c>
      <c r="T25">
        <f>HYPERLINK("https://klasma.github.io/Logging_2083/kartor/A 4177-2022 karta.png", "A 4177-2022")</f>
        <v/>
      </c>
      <c r="U25">
        <f>HYPERLINK("https://klasma.github.io/Logging_2083/knärot/A 4177-2022 karta knärot.png", "A 4177-2022")</f>
        <v/>
      </c>
      <c r="V25">
        <f>HYPERLINK("https://klasma.github.io/Logging_2083/klagomål/A 4177-2022 FSC-klagomål.docx", "A 4177-2022")</f>
        <v/>
      </c>
      <c r="W25">
        <f>HYPERLINK("https://klasma.github.io/Logging_2083/klagomålsmail/A 4177-2022 FSC-klagomål mail.docx", "A 4177-2022")</f>
        <v/>
      </c>
      <c r="X25">
        <f>HYPERLINK("https://klasma.github.io/Logging_2083/tillsyn/A 4177-2022 tillsynsbegäran.docx", "A 4177-2022")</f>
        <v/>
      </c>
      <c r="Y25">
        <f>HYPERLINK("https://klasma.github.io/Logging_2083/tillsynsmail/A 4177-2022 tillsynsbegäran mail.docx", "A 4177-2022")</f>
        <v/>
      </c>
    </row>
    <row r="26" ht="15" customHeight="1">
      <c r="A26" t="inlineStr">
        <is>
          <t>A 2409-2022</t>
        </is>
      </c>
      <c r="B26" s="1" t="n">
        <v>44579</v>
      </c>
      <c r="C26" s="1" t="n">
        <v>45878</v>
      </c>
      <c r="D26" t="inlineStr">
        <is>
          <t>DALARNAS LÄN</t>
        </is>
      </c>
      <c r="E26" t="inlineStr">
        <is>
          <t>HEDEMORA</t>
        </is>
      </c>
      <c r="G26" t="n">
        <v>3.1</v>
      </c>
      <c r="H26" t="n">
        <v>1</v>
      </c>
      <c r="I26" t="n">
        <v>1</v>
      </c>
      <c r="J26" t="n">
        <v>1</v>
      </c>
      <c r="K26" t="n">
        <v>1</v>
      </c>
      <c r="L26" t="n">
        <v>0</v>
      </c>
      <c r="M26" t="n">
        <v>0</v>
      </c>
      <c r="N26" t="n">
        <v>0</v>
      </c>
      <c r="O26" t="n">
        <v>2</v>
      </c>
      <c r="P26" t="n">
        <v>1</v>
      </c>
      <c r="Q26" t="n">
        <v>3</v>
      </c>
      <c r="R26" s="2" t="inlineStr">
        <is>
          <t>Knärot
Ullticka
Vedticka</t>
        </is>
      </c>
      <c r="S26">
        <f>HYPERLINK("https://klasma.github.io/Logging_2083/artfynd/A 2409-2022 artfynd.xlsx", "A 2409-2022")</f>
        <v/>
      </c>
      <c r="T26">
        <f>HYPERLINK("https://klasma.github.io/Logging_2083/kartor/A 2409-2022 karta.png", "A 2409-2022")</f>
        <v/>
      </c>
      <c r="U26">
        <f>HYPERLINK("https://klasma.github.io/Logging_2083/knärot/A 2409-2022 karta knärot.png", "A 2409-2022")</f>
        <v/>
      </c>
      <c r="V26">
        <f>HYPERLINK("https://klasma.github.io/Logging_2083/klagomål/A 2409-2022 FSC-klagomål.docx", "A 2409-2022")</f>
        <v/>
      </c>
      <c r="W26">
        <f>HYPERLINK("https://klasma.github.io/Logging_2083/klagomålsmail/A 2409-2022 FSC-klagomål mail.docx", "A 2409-2022")</f>
        <v/>
      </c>
      <c r="X26">
        <f>HYPERLINK("https://klasma.github.io/Logging_2083/tillsyn/A 2409-2022 tillsynsbegäran.docx", "A 2409-2022")</f>
        <v/>
      </c>
      <c r="Y26">
        <f>HYPERLINK("https://klasma.github.io/Logging_2083/tillsynsmail/A 2409-2022 tillsynsbegäran mail.docx", "A 2409-2022")</f>
        <v/>
      </c>
    </row>
    <row r="27" ht="15" customHeight="1">
      <c r="A27" t="inlineStr">
        <is>
          <t>A 4031-2022</t>
        </is>
      </c>
      <c r="B27" s="1" t="n">
        <v>44588</v>
      </c>
      <c r="C27" s="1" t="n">
        <v>45878</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59035-2023</t>
        </is>
      </c>
      <c r="B28" s="1" t="n">
        <v>45252</v>
      </c>
      <c r="C28" s="1" t="n">
        <v>45878</v>
      </c>
      <c r="D28" t="inlineStr">
        <is>
          <t>DALARNAS LÄN</t>
        </is>
      </c>
      <c r="E28" t="inlineStr">
        <is>
          <t>HEDEMORA</t>
        </is>
      </c>
      <c r="F28" t="inlineStr">
        <is>
          <t>Sveaskog</t>
        </is>
      </c>
      <c r="G28" t="n">
        <v>3.7</v>
      </c>
      <c r="H28" t="n">
        <v>2</v>
      </c>
      <c r="I28" t="n">
        <v>0</v>
      </c>
      <c r="J28" t="n">
        <v>0</v>
      </c>
      <c r="K28" t="n">
        <v>0</v>
      </c>
      <c r="L28" t="n">
        <v>0</v>
      </c>
      <c r="M28" t="n">
        <v>0</v>
      </c>
      <c r="N28" t="n">
        <v>0</v>
      </c>
      <c r="O28" t="n">
        <v>0</v>
      </c>
      <c r="P28" t="n">
        <v>0</v>
      </c>
      <c r="Q28" t="n">
        <v>2</v>
      </c>
      <c r="R28" s="2" t="inlineStr">
        <is>
          <t>Fläcknycklar
Blåsippa</t>
        </is>
      </c>
      <c r="S28">
        <f>HYPERLINK("https://klasma.github.io/Logging_2083/artfynd/A 59035-2023 artfynd.xlsx", "A 59035-2023")</f>
        <v/>
      </c>
      <c r="T28">
        <f>HYPERLINK("https://klasma.github.io/Logging_2083/kartor/A 59035-2023 karta.png", "A 59035-2023")</f>
        <v/>
      </c>
      <c r="U28">
        <f>HYPERLINK("https://klasma.github.io/Logging_2083/knärot/A 59035-2023 karta knärot.png", "A 59035-2023")</f>
        <v/>
      </c>
      <c r="V28">
        <f>HYPERLINK("https://klasma.github.io/Logging_2083/klagomål/A 59035-2023 FSC-klagomål.docx", "A 59035-2023")</f>
        <v/>
      </c>
      <c r="W28">
        <f>HYPERLINK("https://klasma.github.io/Logging_2083/klagomålsmail/A 59035-2023 FSC-klagomål mail.docx", "A 59035-2023")</f>
        <v/>
      </c>
      <c r="X28">
        <f>HYPERLINK("https://klasma.github.io/Logging_2083/tillsyn/A 59035-2023 tillsynsbegäran.docx", "A 59035-2023")</f>
        <v/>
      </c>
      <c r="Y28">
        <f>HYPERLINK("https://klasma.github.io/Logging_2083/tillsynsmail/A 59035-2023 tillsynsbegäran mail.docx", "A 59035-2023")</f>
        <v/>
      </c>
    </row>
    <row r="29" ht="15" customHeight="1">
      <c r="A29" t="inlineStr">
        <is>
          <t>A 54849-2022</t>
        </is>
      </c>
      <c r="B29" s="1" t="n">
        <v>44883</v>
      </c>
      <c r="C29" s="1" t="n">
        <v>45878</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45878</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451-2025</t>
        </is>
      </c>
      <c r="B31" s="1" t="n">
        <v>45664.39991898148</v>
      </c>
      <c r="C31" s="1" t="n">
        <v>45878</v>
      </c>
      <c r="D31" t="inlineStr">
        <is>
          <t>DALARNAS LÄN</t>
        </is>
      </c>
      <c r="E31" t="inlineStr">
        <is>
          <t>HEDEMORA</t>
        </is>
      </c>
      <c r="G31" t="n">
        <v>4.5</v>
      </c>
      <c r="H31" t="n">
        <v>2</v>
      </c>
      <c r="I31" t="n">
        <v>0</v>
      </c>
      <c r="J31" t="n">
        <v>1</v>
      </c>
      <c r="K31" t="n">
        <v>1</v>
      </c>
      <c r="L31" t="n">
        <v>0</v>
      </c>
      <c r="M31" t="n">
        <v>0</v>
      </c>
      <c r="N31" t="n">
        <v>0</v>
      </c>
      <c r="O31" t="n">
        <v>2</v>
      </c>
      <c r="P31" t="n">
        <v>1</v>
      </c>
      <c r="Q31" t="n">
        <v>2</v>
      </c>
      <c r="R31" s="2" t="inlineStr">
        <is>
          <t>Knärot
Spillkråka</t>
        </is>
      </c>
      <c r="S31">
        <f>HYPERLINK("https://klasma.github.io/Logging_2083/artfynd/A 451-2025 artfynd.xlsx", "A 451-2025")</f>
        <v/>
      </c>
      <c r="T31">
        <f>HYPERLINK("https://klasma.github.io/Logging_2083/kartor/A 451-2025 karta.png", "A 451-2025")</f>
        <v/>
      </c>
      <c r="U31">
        <f>HYPERLINK("https://klasma.github.io/Logging_2083/knärot/A 451-2025 karta knärot.png", "A 451-2025")</f>
        <v/>
      </c>
      <c r="V31">
        <f>HYPERLINK("https://klasma.github.io/Logging_2083/klagomål/A 451-2025 FSC-klagomål.docx", "A 451-2025")</f>
        <v/>
      </c>
      <c r="W31">
        <f>HYPERLINK("https://klasma.github.io/Logging_2083/klagomålsmail/A 451-2025 FSC-klagomål mail.docx", "A 451-2025")</f>
        <v/>
      </c>
      <c r="X31">
        <f>HYPERLINK("https://klasma.github.io/Logging_2083/tillsyn/A 451-2025 tillsynsbegäran.docx", "A 451-2025")</f>
        <v/>
      </c>
      <c r="Y31">
        <f>HYPERLINK("https://klasma.github.io/Logging_2083/tillsynsmail/A 451-2025 tillsynsbegäran mail.docx", "A 451-2025")</f>
        <v/>
      </c>
      <c r="Z31">
        <f>HYPERLINK("https://klasma.github.io/Logging_2083/fåglar/A 451-2025 prioriterade fågelarter.docx", "A 451-2025")</f>
        <v/>
      </c>
    </row>
    <row r="32" ht="15" customHeight="1">
      <c r="A32" t="inlineStr">
        <is>
          <t>A 56625-2024</t>
        </is>
      </c>
      <c r="B32" s="1" t="n">
        <v>45625</v>
      </c>
      <c r="C32" s="1" t="n">
        <v>45878</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1518-2025</t>
        </is>
      </c>
      <c r="B33" s="1" t="n">
        <v>45670.46394675926</v>
      </c>
      <c r="C33" s="1" t="n">
        <v>45878</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19352-2024</t>
        </is>
      </c>
      <c r="B34" s="1" t="n">
        <v>45429.29493055555</v>
      </c>
      <c r="C34" s="1" t="n">
        <v>45878</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45884-2021</t>
        </is>
      </c>
      <c r="B35" s="1" t="n">
        <v>44441</v>
      </c>
      <c r="C35" s="1" t="n">
        <v>45878</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53915-2022</t>
        </is>
      </c>
      <c r="B36" s="1" t="n">
        <v>44880.87587962963</v>
      </c>
      <c r="C36" s="1" t="n">
        <v>45878</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45878</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45878</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45878</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42614-2024</t>
        </is>
      </c>
      <c r="B40" s="1" t="n">
        <v>45565</v>
      </c>
      <c r="C40" s="1" t="n">
        <v>45878</v>
      </c>
      <c r="D40" t="inlineStr">
        <is>
          <t>DALARNAS LÄN</t>
        </is>
      </c>
      <c r="E40" t="inlineStr">
        <is>
          <t>HEDEMORA</t>
        </is>
      </c>
      <c r="F40" t="inlineStr">
        <is>
          <t>Sveaskog</t>
        </is>
      </c>
      <c r="G40" t="n">
        <v>3</v>
      </c>
      <c r="H40" t="n">
        <v>1</v>
      </c>
      <c r="I40" t="n">
        <v>0</v>
      </c>
      <c r="J40" t="n">
        <v>1</v>
      </c>
      <c r="K40" t="n">
        <v>0</v>
      </c>
      <c r="L40" t="n">
        <v>0</v>
      </c>
      <c r="M40" t="n">
        <v>0</v>
      </c>
      <c r="N40" t="n">
        <v>0</v>
      </c>
      <c r="O40" t="n">
        <v>1</v>
      </c>
      <c r="P40" t="n">
        <v>0</v>
      </c>
      <c r="Q40" t="n">
        <v>1</v>
      </c>
      <c r="R40" s="2" t="inlineStr">
        <is>
          <t>Talltita</t>
        </is>
      </c>
      <c r="S40">
        <f>HYPERLINK("https://klasma.github.io/Logging_2083/artfynd/A 42614-2024 artfynd.xlsx", "A 42614-2024")</f>
        <v/>
      </c>
      <c r="T40">
        <f>HYPERLINK("https://klasma.github.io/Logging_2083/kartor/A 42614-2024 karta.png", "A 42614-2024")</f>
        <v/>
      </c>
      <c r="V40">
        <f>HYPERLINK("https://klasma.github.io/Logging_2083/klagomål/A 42614-2024 FSC-klagomål.docx", "A 42614-2024")</f>
        <v/>
      </c>
      <c r="W40">
        <f>HYPERLINK("https://klasma.github.io/Logging_2083/klagomålsmail/A 42614-2024 FSC-klagomål mail.docx", "A 42614-2024")</f>
        <v/>
      </c>
      <c r="X40">
        <f>HYPERLINK("https://klasma.github.io/Logging_2083/tillsyn/A 42614-2024 tillsynsbegäran.docx", "A 42614-2024")</f>
        <v/>
      </c>
      <c r="Y40">
        <f>HYPERLINK("https://klasma.github.io/Logging_2083/tillsynsmail/A 42614-2024 tillsynsbegäran mail.docx", "A 42614-2024")</f>
        <v/>
      </c>
      <c r="Z40">
        <f>HYPERLINK("https://klasma.github.io/Logging_2083/fåglar/A 42614-2024 prioriterade fågelarter.docx", "A 42614-2024")</f>
        <v/>
      </c>
    </row>
    <row r="41" ht="15" customHeight="1">
      <c r="A41" t="inlineStr">
        <is>
          <t>A 17590-2025</t>
        </is>
      </c>
      <c r="B41" s="1" t="n">
        <v>45757.69396990741</v>
      </c>
      <c r="C41" s="1" t="n">
        <v>45878</v>
      </c>
      <c r="D41" t="inlineStr">
        <is>
          <t>DALARNAS LÄN</t>
        </is>
      </c>
      <c r="E41" t="inlineStr">
        <is>
          <t>HEDEMORA</t>
        </is>
      </c>
      <c r="G41" t="n">
        <v>0.6</v>
      </c>
      <c r="H41" t="n">
        <v>0</v>
      </c>
      <c r="I41" t="n">
        <v>0</v>
      </c>
      <c r="J41" t="n">
        <v>1</v>
      </c>
      <c r="K41" t="n">
        <v>0</v>
      </c>
      <c r="L41" t="n">
        <v>0</v>
      </c>
      <c r="M41" t="n">
        <v>0</v>
      </c>
      <c r="N41" t="n">
        <v>0</v>
      </c>
      <c r="O41" t="n">
        <v>1</v>
      </c>
      <c r="P41" t="n">
        <v>0</v>
      </c>
      <c r="Q41" t="n">
        <v>1</v>
      </c>
      <c r="R41" s="2" t="inlineStr">
        <is>
          <t>Garnlav</t>
        </is>
      </c>
      <c r="S41">
        <f>HYPERLINK("https://klasma.github.io/Logging_2083/artfynd/A 17590-2025 artfynd.xlsx", "A 17590-2025")</f>
        <v/>
      </c>
      <c r="T41">
        <f>HYPERLINK("https://klasma.github.io/Logging_2083/kartor/A 17590-2025 karta.png", "A 17590-2025")</f>
        <v/>
      </c>
      <c r="V41">
        <f>HYPERLINK("https://klasma.github.io/Logging_2083/klagomål/A 17590-2025 FSC-klagomål.docx", "A 17590-2025")</f>
        <v/>
      </c>
      <c r="W41">
        <f>HYPERLINK("https://klasma.github.io/Logging_2083/klagomålsmail/A 17590-2025 FSC-klagomål mail.docx", "A 17590-2025")</f>
        <v/>
      </c>
      <c r="X41">
        <f>HYPERLINK("https://klasma.github.io/Logging_2083/tillsyn/A 17590-2025 tillsynsbegäran.docx", "A 17590-2025")</f>
        <v/>
      </c>
      <c r="Y41">
        <f>HYPERLINK("https://klasma.github.io/Logging_2083/tillsynsmail/A 17590-2025 tillsynsbegäran mail.docx", "A 17590-2025")</f>
        <v/>
      </c>
    </row>
    <row r="42" ht="15" customHeight="1">
      <c r="A42" t="inlineStr">
        <is>
          <t>A 51111-2021</t>
        </is>
      </c>
      <c r="B42" s="1" t="n">
        <v>44461</v>
      </c>
      <c r="C42" s="1" t="n">
        <v>45878</v>
      </c>
      <c r="D42" t="inlineStr">
        <is>
          <t>DALARNAS LÄN</t>
        </is>
      </c>
      <c r="E42" t="inlineStr">
        <is>
          <t>HEDEMORA</t>
        </is>
      </c>
      <c r="G42" t="n">
        <v>0.9</v>
      </c>
      <c r="H42" t="n">
        <v>1</v>
      </c>
      <c r="I42" t="n">
        <v>0</v>
      </c>
      <c r="J42" t="n">
        <v>0</v>
      </c>
      <c r="K42" t="n">
        <v>1</v>
      </c>
      <c r="L42" t="n">
        <v>0</v>
      </c>
      <c r="M42" t="n">
        <v>0</v>
      </c>
      <c r="N42" t="n">
        <v>0</v>
      </c>
      <c r="O42" t="n">
        <v>1</v>
      </c>
      <c r="P42" t="n">
        <v>1</v>
      </c>
      <c r="Q42" t="n">
        <v>1</v>
      </c>
      <c r="R42" s="2" t="inlineStr">
        <is>
          <t>Knärot</t>
        </is>
      </c>
      <c r="S42">
        <f>HYPERLINK("https://klasma.github.io/Logging_2083/artfynd/A 51111-2021 artfynd.xlsx", "A 51111-2021")</f>
        <v/>
      </c>
      <c r="T42">
        <f>HYPERLINK("https://klasma.github.io/Logging_2083/kartor/A 51111-2021 karta.png", "A 51111-2021")</f>
        <v/>
      </c>
      <c r="U42">
        <f>HYPERLINK("https://klasma.github.io/Logging_2083/knärot/A 51111-2021 karta knärot.png", "A 51111-2021")</f>
        <v/>
      </c>
      <c r="V42">
        <f>HYPERLINK("https://klasma.github.io/Logging_2083/klagomål/A 51111-2021 FSC-klagomål.docx", "A 51111-2021")</f>
        <v/>
      </c>
      <c r="W42">
        <f>HYPERLINK("https://klasma.github.io/Logging_2083/klagomålsmail/A 51111-2021 FSC-klagomål mail.docx", "A 51111-2021")</f>
        <v/>
      </c>
      <c r="X42">
        <f>HYPERLINK("https://klasma.github.io/Logging_2083/tillsyn/A 51111-2021 tillsynsbegäran.docx", "A 51111-2021")</f>
        <v/>
      </c>
      <c r="Y42">
        <f>HYPERLINK("https://klasma.github.io/Logging_2083/tillsynsmail/A 51111-2021 tillsynsbegäran mail.docx", "A 51111-2021")</f>
        <v/>
      </c>
    </row>
    <row r="43" ht="15" customHeight="1">
      <c r="A43" t="inlineStr">
        <is>
          <t>A 63542-2023</t>
        </is>
      </c>
      <c r="B43" s="1" t="n">
        <v>45275.32708333333</v>
      </c>
      <c r="C43" s="1" t="n">
        <v>45878</v>
      </c>
      <c r="D43" t="inlineStr">
        <is>
          <t>DALARNAS LÄN</t>
        </is>
      </c>
      <c r="E43" t="inlineStr">
        <is>
          <t>HEDEMORA</t>
        </is>
      </c>
      <c r="G43" t="n">
        <v>2.1</v>
      </c>
      <c r="H43" t="n">
        <v>1</v>
      </c>
      <c r="I43" t="n">
        <v>0</v>
      </c>
      <c r="J43" t="n">
        <v>1</v>
      </c>
      <c r="K43" t="n">
        <v>0</v>
      </c>
      <c r="L43" t="n">
        <v>0</v>
      </c>
      <c r="M43" t="n">
        <v>0</v>
      </c>
      <c r="N43" t="n">
        <v>0</v>
      </c>
      <c r="O43" t="n">
        <v>1</v>
      </c>
      <c r="P43" t="n">
        <v>0</v>
      </c>
      <c r="Q43" t="n">
        <v>1</v>
      </c>
      <c r="R43" s="2" t="inlineStr">
        <is>
          <t>Spillkråka</t>
        </is>
      </c>
      <c r="S43">
        <f>HYPERLINK("https://klasma.github.io/Logging_2083/artfynd/A 63542-2023 artfynd.xlsx", "A 63542-2023")</f>
        <v/>
      </c>
      <c r="T43">
        <f>HYPERLINK("https://klasma.github.io/Logging_2083/kartor/A 63542-2023 karta.png", "A 63542-2023")</f>
        <v/>
      </c>
      <c r="V43">
        <f>HYPERLINK("https://klasma.github.io/Logging_2083/klagomål/A 63542-2023 FSC-klagomål.docx", "A 63542-2023")</f>
        <v/>
      </c>
      <c r="W43">
        <f>HYPERLINK("https://klasma.github.io/Logging_2083/klagomålsmail/A 63542-2023 FSC-klagomål mail.docx", "A 63542-2023")</f>
        <v/>
      </c>
      <c r="X43">
        <f>HYPERLINK("https://klasma.github.io/Logging_2083/tillsyn/A 63542-2023 tillsynsbegäran.docx", "A 63542-2023")</f>
        <v/>
      </c>
      <c r="Y43">
        <f>HYPERLINK("https://klasma.github.io/Logging_2083/tillsynsmail/A 63542-2023 tillsynsbegäran mail.docx", "A 63542-2023")</f>
        <v/>
      </c>
      <c r="Z43">
        <f>HYPERLINK("https://klasma.github.io/Logging_2083/fåglar/A 63542-2023 prioriterade fågelarter.docx", "A 63542-2023")</f>
        <v/>
      </c>
    </row>
    <row r="44" ht="15" customHeight="1">
      <c r="A44" t="inlineStr">
        <is>
          <t>A 23815-2023</t>
        </is>
      </c>
      <c r="B44" s="1" t="n">
        <v>45078</v>
      </c>
      <c r="C44" s="1" t="n">
        <v>45878</v>
      </c>
      <c r="D44" t="inlineStr">
        <is>
          <t>DALARNAS LÄN</t>
        </is>
      </c>
      <c r="E44" t="inlineStr">
        <is>
          <t>HEDEMORA</t>
        </is>
      </c>
      <c r="G44" t="n">
        <v>3.1</v>
      </c>
      <c r="H44" t="n">
        <v>1</v>
      </c>
      <c r="I44" t="n">
        <v>0</v>
      </c>
      <c r="J44" t="n">
        <v>0</v>
      </c>
      <c r="K44" t="n">
        <v>1</v>
      </c>
      <c r="L44" t="n">
        <v>0</v>
      </c>
      <c r="M44" t="n">
        <v>0</v>
      </c>
      <c r="N44" t="n">
        <v>0</v>
      </c>
      <c r="O44" t="n">
        <v>1</v>
      </c>
      <c r="P44" t="n">
        <v>1</v>
      </c>
      <c r="Q44" t="n">
        <v>1</v>
      </c>
      <c r="R44" s="2" t="inlineStr">
        <is>
          <t>Knärot</t>
        </is>
      </c>
      <c r="S44">
        <f>HYPERLINK("https://klasma.github.io/Logging_2083/artfynd/A 23815-2023 artfynd.xlsx", "A 23815-2023")</f>
        <v/>
      </c>
      <c r="T44">
        <f>HYPERLINK("https://klasma.github.io/Logging_2083/kartor/A 23815-2023 karta.png", "A 23815-2023")</f>
        <v/>
      </c>
      <c r="U44">
        <f>HYPERLINK("https://klasma.github.io/Logging_2083/knärot/A 23815-2023 karta knärot.png", "A 23815-2023")</f>
        <v/>
      </c>
      <c r="V44">
        <f>HYPERLINK("https://klasma.github.io/Logging_2083/klagomål/A 23815-2023 FSC-klagomål.docx", "A 23815-2023")</f>
        <v/>
      </c>
      <c r="W44">
        <f>HYPERLINK("https://klasma.github.io/Logging_2083/klagomålsmail/A 23815-2023 FSC-klagomål mail.docx", "A 23815-2023")</f>
        <v/>
      </c>
      <c r="X44">
        <f>HYPERLINK("https://klasma.github.io/Logging_2083/tillsyn/A 23815-2023 tillsynsbegäran.docx", "A 23815-2023")</f>
        <v/>
      </c>
      <c r="Y44">
        <f>HYPERLINK("https://klasma.github.io/Logging_2083/tillsynsmail/A 23815-2023 tillsynsbegäran mail.docx", "A 23815-2023")</f>
        <v/>
      </c>
    </row>
    <row r="45" ht="15" customHeight="1">
      <c r="A45" t="inlineStr">
        <is>
          <t>A 53031-2023</t>
        </is>
      </c>
      <c r="B45" s="1" t="n">
        <v>45226</v>
      </c>
      <c r="C45" s="1" t="n">
        <v>45878</v>
      </c>
      <c r="D45" t="inlineStr">
        <is>
          <t>DALARNAS LÄN</t>
        </is>
      </c>
      <c r="E45" t="inlineStr">
        <is>
          <t>HEDEMORA</t>
        </is>
      </c>
      <c r="F45" t="inlineStr">
        <is>
          <t>Sveaskog</t>
        </is>
      </c>
      <c r="G45" t="n">
        <v>6.9</v>
      </c>
      <c r="H45" t="n">
        <v>1</v>
      </c>
      <c r="I45" t="n">
        <v>0</v>
      </c>
      <c r="J45" t="n">
        <v>1</v>
      </c>
      <c r="K45" t="n">
        <v>0</v>
      </c>
      <c r="L45" t="n">
        <v>0</v>
      </c>
      <c r="M45" t="n">
        <v>0</v>
      </c>
      <c r="N45" t="n">
        <v>0</v>
      </c>
      <c r="O45" t="n">
        <v>1</v>
      </c>
      <c r="P45" t="n">
        <v>0</v>
      </c>
      <c r="Q45" t="n">
        <v>1</v>
      </c>
      <c r="R45" s="2" t="inlineStr">
        <is>
          <t>Talltita</t>
        </is>
      </c>
      <c r="S45">
        <f>HYPERLINK("https://klasma.github.io/Logging_2083/artfynd/A 53031-2023 artfynd.xlsx", "A 53031-2023")</f>
        <v/>
      </c>
      <c r="T45">
        <f>HYPERLINK("https://klasma.github.io/Logging_2083/kartor/A 53031-2023 karta.png", "A 53031-2023")</f>
        <v/>
      </c>
      <c r="V45">
        <f>HYPERLINK("https://klasma.github.io/Logging_2083/klagomål/A 53031-2023 FSC-klagomål.docx", "A 53031-2023")</f>
        <v/>
      </c>
      <c r="W45">
        <f>HYPERLINK("https://klasma.github.io/Logging_2083/klagomålsmail/A 53031-2023 FSC-klagomål mail.docx", "A 53031-2023")</f>
        <v/>
      </c>
      <c r="X45">
        <f>HYPERLINK("https://klasma.github.io/Logging_2083/tillsyn/A 53031-2023 tillsynsbegäran.docx", "A 53031-2023")</f>
        <v/>
      </c>
      <c r="Y45">
        <f>HYPERLINK("https://klasma.github.io/Logging_2083/tillsynsmail/A 53031-2023 tillsynsbegäran mail.docx", "A 53031-2023")</f>
        <v/>
      </c>
      <c r="Z45">
        <f>HYPERLINK("https://klasma.github.io/Logging_2083/fåglar/A 53031-2023 prioriterade fågelarter.docx", "A 53031-2023")</f>
        <v/>
      </c>
    </row>
    <row r="46" ht="15" customHeight="1">
      <c r="A46" t="inlineStr">
        <is>
          <t>A 60017-2024</t>
        </is>
      </c>
      <c r="B46" s="1" t="n">
        <v>45642</v>
      </c>
      <c r="C46" s="1" t="n">
        <v>45878</v>
      </c>
      <c r="D46" t="inlineStr">
        <is>
          <t>DALARNAS LÄN</t>
        </is>
      </c>
      <c r="E46" t="inlineStr">
        <is>
          <t>HEDEMORA</t>
        </is>
      </c>
      <c r="F46" t="inlineStr">
        <is>
          <t>Sveaskog</t>
        </is>
      </c>
      <c r="G46" t="n">
        <v>0.5</v>
      </c>
      <c r="H46" t="n">
        <v>1</v>
      </c>
      <c r="I46" t="n">
        <v>0</v>
      </c>
      <c r="J46" t="n">
        <v>0</v>
      </c>
      <c r="K46" t="n">
        <v>1</v>
      </c>
      <c r="L46" t="n">
        <v>0</v>
      </c>
      <c r="M46" t="n">
        <v>0</v>
      </c>
      <c r="N46" t="n">
        <v>0</v>
      </c>
      <c r="O46" t="n">
        <v>1</v>
      </c>
      <c r="P46" t="n">
        <v>1</v>
      </c>
      <c r="Q46" t="n">
        <v>1</v>
      </c>
      <c r="R46" s="2" t="inlineStr">
        <is>
          <t>Knärot</t>
        </is>
      </c>
      <c r="S46">
        <f>HYPERLINK("https://klasma.github.io/Logging_2083/artfynd/A 60017-2024 artfynd.xlsx", "A 60017-2024")</f>
        <v/>
      </c>
      <c r="T46">
        <f>HYPERLINK("https://klasma.github.io/Logging_2083/kartor/A 60017-2024 karta.png", "A 60017-2024")</f>
        <v/>
      </c>
      <c r="U46">
        <f>HYPERLINK("https://klasma.github.io/Logging_2083/knärot/A 60017-2024 karta knärot.png", "A 60017-2024")</f>
        <v/>
      </c>
      <c r="V46">
        <f>HYPERLINK("https://klasma.github.io/Logging_2083/klagomål/A 60017-2024 FSC-klagomål.docx", "A 60017-2024")</f>
        <v/>
      </c>
      <c r="W46">
        <f>HYPERLINK("https://klasma.github.io/Logging_2083/klagomålsmail/A 60017-2024 FSC-klagomål mail.docx", "A 60017-2024")</f>
        <v/>
      </c>
      <c r="X46">
        <f>HYPERLINK("https://klasma.github.io/Logging_2083/tillsyn/A 60017-2024 tillsynsbegäran.docx", "A 60017-2024")</f>
        <v/>
      </c>
      <c r="Y46">
        <f>HYPERLINK("https://klasma.github.io/Logging_2083/tillsynsmail/A 60017-2024 tillsynsbegäran mail.docx", "A 60017-2024")</f>
        <v/>
      </c>
    </row>
    <row r="47" ht="15" customHeight="1">
      <c r="A47" t="inlineStr">
        <is>
          <t>A 52941-2024</t>
        </is>
      </c>
      <c r="B47" s="1" t="n">
        <v>45610.80650462963</v>
      </c>
      <c r="C47" s="1" t="n">
        <v>45878</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12905-2025</t>
        </is>
      </c>
      <c r="B48" s="1" t="n">
        <v>45733</v>
      </c>
      <c r="C48" s="1" t="n">
        <v>45878</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12905-2025 artfynd.xlsx", "A 12905-2025")</f>
        <v/>
      </c>
      <c r="T48">
        <f>HYPERLINK("https://klasma.github.io/Logging_2083/kartor/A 12905-2025 karta.png", "A 12905-2025")</f>
        <v/>
      </c>
      <c r="U48">
        <f>HYPERLINK("https://klasma.github.io/Logging_2083/knärot/A 12905-2025 karta knärot.png", "A 12905-2025")</f>
        <v/>
      </c>
      <c r="V48">
        <f>HYPERLINK("https://klasma.github.io/Logging_2083/klagomål/A 12905-2025 FSC-klagomål.docx", "A 12905-2025")</f>
        <v/>
      </c>
      <c r="W48">
        <f>HYPERLINK("https://klasma.github.io/Logging_2083/klagomålsmail/A 12905-2025 FSC-klagomål mail.docx", "A 12905-2025")</f>
        <v/>
      </c>
      <c r="X48">
        <f>HYPERLINK("https://klasma.github.io/Logging_2083/tillsyn/A 12905-2025 tillsynsbegäran.docx", "A 12905-2025")</f>
        <v/>
      </c>
      <c r="Y48">
        <f>HYPERLINK("https://klasma.github.io/Logging_2083/tillsynsmail/A 12905-2025 tillsynsbegäran mail.docx", "A 12905-2025")</f>
        <v/>
      </c>
    </row>
    <row r="49" ht="15" customHeight="1">
      <c r="A49" t="inlineStr">
        <is>
          <t>A 28181-2025</t>
        </is>
      </c>
      <c r="B49" s="1" t="n">
        <v>45818.39921296296</v>
      </c>
      <c r="C49" s="1" t="n">
        <v>45878</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19094-2025</t>
        </is>
      </c>
      <c r="B50" s="1" t="n">
        <v>45767.54942129629</v>
      </c>
      <c r="C50" s="1" t="n">
        <v>45878</v>
      </c>
      <c r="D50" t="inlineStr">
        <is>
          <t>DALARNAS LÄN</t>
        </is>
      </c>
      <c r="E50" t="inlineStr">
        <is>
          <t>HEDEMORA</t>
        </is>
      </c>
      <c r="F50" t="inlineStr">
        <is>
          <t>Sveaskog</t>
        </is>
      </c>
      <c r="G50" t="n">
        <v>16.9</v>
      </c>
      <c r="H50" t="n">
        <v>1</v>
      </c>
      <c r="I50" t="n">
        <v>1</v>
      </c>
      <c r="J50" t="n">
        <v>0</v>
      </c>
      <c r="K50" t="n">
        <v>0</v>
      </c>
      <c r="L50" t="n">
        <v>0</v>
      </c>
      <c r="M50" t="n">
        <v>0</v>
      </c>
      <c r="N50" t="n">
        <v>0</v>
      </c>
      <c r="O50" t="n">
        <v>0</v>
      </c>
      <c r="P50" t="n">
        <v>0</v>
      </c>
      <c r="Q50" t="n">
        <v>1</v>
      </c>
      <c r="R50" s="2" t="inlineStr">
        <is>
          <t>Plattlummer</t>
        </is>
      </c>
      <c r="S50">
        <f>HYPERLINK("https://klasma.github.io/Logging_2083/artfynd/A 19094-2025 artfynd.xlsx", "A 19094-2025")</f>
        <v/>
      </c>
      <c r="T50">
        <f>HYPERLINK("https://klasma.github.io/Logging_2083/kartor/A 19094-2025 karta.png", "A 19094-2025")</f>
        <v/>
      </c>
      <c r="V50">
        <f>HYPERLINK("https://klasma.github.io/Logging_2083/klagomål/A 19094-2025 FSC-klagomål.docx", "A 19094-2025")</f>
        <v/>
      </c>
      <c r="W50">
        <f>HYPERLINK("https://klasma.github.io/Logging_2083/klagomålsmail/A 19094-2025 FSC-klagomål mail.docx", "A 19094-2025")</f>
        <v/>
      </c>
      <c r="X50">
        <f>HYPERLINK("https://klasma.github.io/Logging_2083/tillsyn/A 19094-2025 tillsynsbegäran.docx", "A 19094-2025")</f>
        <v/>
      </c>
      <c r="Y50">
        <f>HYPERLINK("https://klasma.github.io/Logging_2083/tillsynsmail/A 19094-2025 tillsynsbegäran mail.docx", "A 19094-2025")</f>
        <v/>
      </c>
    </row>
    <row r="51" ht="15" customHeight="1">
      <c r="A51" t="inlineStr">
        <is>
          <t>A 15058-2025</t>
        </is>
      </c>
      <c r="B51" s="1" t="n">
        <v>45743.70716435185</v>
      </c>
      <c r="C51" s="1" t="n">
        <v>45878</v>
      </c>
      <c r="D51" t="inlineStr">
        <is>
          <t>DALARNAS LÄN</t>
        </is>
      </c>
      <c r="E51" t="inlineStr">
        <is>
          <t>HEDEMORA</t>
        </is>
      </c>
      <c r="F51" t="inlineStr">
        <is>
          <t>Sveaskog</t>
        </is>
      </c>
      <c r="G51" t="n">
        <v>4.2</v>
      </c>
      <c r="H51" t="n">
        <v>0</v>
      </c>
      <c r="I51" t="n">
        <v>1</v>
      </c>
      <c r="J51" t="n">
        <v>0</v>
      </c>
      <c r="K51" t="n">
        <v>0</v>
      </c>
      <c r="L51" t="n">
        <v>0</v>
      </c>
      <c r="M51" t="n">
        <v>0</v>
      </c>
      <c r="N51" t="n">
        <v>0</v>
      </c>
      <c r="O51" t="n">
        <v>0</v>
      </c>
      <c r="P51" t="n">
        <v>0</v>
      </c>
      <c r="Q51" t="n">
        <v>1</v>
      </c>
      <c r="R51" s="2" t="inlineStr">
        <is>
          <t>Dropptaggsvamp</t>
        </is>
      </c>
      <c r="S51">
        <f>HYPERLINK("https://klasma.github.io/Logging_2083/artfynd/A 15058-2025 artfynd.xlsx", "A 15058-2025")</f>
        <v/>
      </c>
      <c r="T51">
        <f>HYPERLINK("https://klasma.github.io/Logging_2083/kartor/A 15058-2025 karta.png", "A 15058-2025")</f>
        <v/>
      </c>
      <c r="V51">
        <f>HYPERLINK("https://klasma.github.io/Logging_2083/klagomål/A 15058-2025 FSC-klagomål.docx", "A 15058-2025")</f>
        <v/>
      </c>
      <c r="W51">
        <f>HYPERLINK("https://klasma.github.io/Logging_2083/klagomålsmail/A 15058-2025 FSC-klagomål mail.docx", "A 15058-2025")</f>
        <v/>
      </c>
      <c r="X51">
        <f>HYPERLINK("https://klasma.github.io/Logging_2083/tillsyn/A 15058-2025 tillsynsbegäran.docx", "A 15058-2025")</f>
        <v/>
      </c>
      <c r="Y51">
        <f>HYPERLINK("https://klasma.github.io/Logging_2083/tillsynsmail/A 15058-2025 tillsynsbegäran mail.docx", "A 15058-2025")</f>
        <v/>
      </c>
    </row>
    <row r="52" ht="15" customHeight="1">
      <c r="A52" t="inlineStr">
        <is>
          <t>A 13986-2023</t>
        </is>
      </c>
      <c r="B52" s="1" t="n">
        <v>45008</v>
      </c>
      <c r="C52" s="1" t="n">
        <v>45878</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15036-2025</t>
        </is>
      </c>
      <c r="B53" s="1" t="n">
        <v>45743.68125</v>
      </c>
      <c r="C53" s="1" t="n">
        <v>45878</v>
      </c>
      <c r="D53" t="inlineStr">
        <is>
          <t>DALARNAS LÄN</t>
        </is>
      </c>
      <c r="E53" t="inlineStr">
        <is>
          <t>HEDEMORA</t>
        </is>
      </c>
      <c r="F53" t="inlineStr">
        <is>
          <t>Sveaskog</t>
        </is>
      </c>
      <c r="G53" t="n">
        <v>20.4</v>
      </c>
      <c r="H53" t="n">
        <v>0</v>
      </c>
      <c r="I53" t="n">
        <v>0</v>
      </c>
      <c r="J53" t="n">
        <v>1</v>
      </c>
      <c r="K53" t="n">
        <v>0</v>
      </c>
      <c r="L53" t="n">
        <v>0</v>
      </c>
      <c r="M53" t="n">
        <v>0</v>
      </c>
      <c r="N53" t="n">
        <v>0</v>
      </c>
      <c r="O53" t="n">
        <v>1</v>
      </c>
      <c r="P53" t="n">
        <v>0</v>
      </c>
      <c r="Q53" t="n">
        <v>1</v>
      </c>
      <c r="R53" s="2" t="inlineStr">
        <is>
          <t>Kolflarnlav</t>
        </is>
      </c>
      <c r="S53">
        <f>HYPERLINK("https://klasma.github.io/Logging_2083/artfynd/A 15036-2025 artfynd.xlsx", "A 15036-2025")</f>
        <v/>
      </c>
      <c r="T53">
        <f>HYPERLINK("https://klasma.github.io/Logging_2083/kartor/A 15036-2025 karta.png", "A 15036-2025")</f>
        <v/>
      </c>
      <c r="V53">
        <f>HYPERLINK("https://klasma.github.io/Logging_2083/klagomål/A 15036-2025 FSC-klagomål.docx", "A 15036-2025")</f>
        <v/>
      </c>
      <c r="W53">
        <f>HYPERLINK("https://klasma.github.io/Logging_2083/klagomålsmail/A 15036-2025 FSC-klagomål mail.docx", "A 15036-2025")</f>
        <v/>
      </c>
      <c r="X53">
        <f>HYPERLINK("https://klasma.github.io/Logging_2083/tillsyn/A 15036-2025 tillsynsbegäran.docx", "A 15036-2025")</f>
        <v/>
      </c>
      <c r="Y53">
        <f>HYPERLINK("https://klasma.github.io/Logging_2083/tillsynsmail/A 15036-2025 tillsynsbegäran mail.docx", "A 15036-2025")</f>
        <v/>
      </c>
    </row>
    <row r="54" ht="15" customHeight="1">
      <c r="A54" t="inlineStr">
        <is>
          <t>A 53924-2024</t>
        </is>
      </c>
      <c r="B54" s="1" t="n">
        <v>45615</v>
      </c>
      <c r="C54" s="1" t="n">
        <v>45878</v>
      </c>
      <c r="D54" t="inlineStr">
        <is>
          <t>DALARNAS LÄN</t>
        </is>
      </c>
      <c r="E54" t="inlineStr">
        <is>
          <t>HEDEMORA</t>
        </is>
      </c>
      <c r="F54" t="inlineStr">
        <is>
          <t>Sveaskog</t>
        </is>
      </c>
      <c r="G54" t="n">
        <v>3.8</v>
      </c>
      <c r="H54" t="n">
        <v>1</v>
      </c>
      <c r="I54" t="n">
        <v>1</v>
      </c>
      <c r="J54" t="n">
        <v>0</v>
      </c>
      <c r="K54" t="n">
        <v>0</v>
      </c>
      <c r="L54" t="n">
        <v>0</v>
      </c>
      <c r="M54" t="n">
        <v>0</v>
      </c>
      <c r="N54" t="n">
        <v>0</v>
      </c>
      <c r="O54" t="n">
        <v>0</v>
      </c>
      <c r="P54" t="n">
        <v>0</v>
      </c>
      <c r="Q54" t="n">
        <v>1</v>
      </c>
      <c r="R54" s="2" t="inlineStr">
        <is>
          <t>Plattlummer</t>
        </is>
      </c>
      <c r="S54">
        <f>HYPERLINK("https://klasma.github.io/Logging_2083/artfynd/A 53924-2024 artfynd.xlsx", "A 53924-2024")</f>
        <v/>
      </c>
      <c r="T54">
        <f>HYPERLINK("https://klasma.github.io/Logging_2083/kartor/A 53924-2024 karta.png", "A 53924-2024")</f>
        <v/>
      </c>
      <c r="V54">
        <f>HYPERLINK("https://klasma.github.io/Logging_2083/klagomål/A 53924-2024 FSC-klagomål.docx", "A 53924-2024")</f>
        <v/>
      </c>
      <c r="W54">
        <f>HYPERLINK("https://klasma.github.io/Logging_2083/klagomålsmail/A 53924-2024 FSC-klagomål mail.docx", "A 53924-2024")</f>
        <v/>
      </c>
      <c r="X54">
        <f>HYPERLINK("https://klasma.github.io/Logging_2083/tillsyn/A 53924-2024 tillsynsbegäran.docx", "A 53924-2024")</f>
        <v/>
      </c>
      <c r="Y54">
        <f>HYPERLINK("https://klasma.github.io/Logging_2083/tillsynsmail/A 53924-2024 tillsynsbegäran mail.docx", "A 53924-2024")</f>
        <v/>
      </c>
    </row>
    <row r="55" ht="15" customHeight="1">
      <c r="A55" t="inlineStr">
        <is>
          <t>A 41477-2023</t>
        </is>
      </c>
      <c r="B55" s="1" t="n">
        <v>45171</v>
      </c>
      <c r="C55" s="1" t="n">
        <v>45878</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51106-2021</t>
        </is>
      </c>
      <c r="B56" s="1" t="n">
        <v>44461.40520833333</v>
      </c>
      <c r="C56" s="1" t="n">
        <v>45878</v>
      </c>
      <c r="D56" t="inlineStr">
        <is>
          <t>DALARNAS LÄN</t>
        </is>
      </c>
      <c r="E56" t="inlineStr">
        <is>
          <t>HEDEMORA</t>
        </is>
      </c>
      <c r="G56" t="n">
        <v>2.2</v>
      </c>
      <c r="H56" t="n">
        <v>0</v>
      </c>
      <c r="I56" t="n">
        <v>0</v>
      </c>
      <c r="J56" t="n">
        <v>0</v>
      </c>
      <c r="K56" t="n">
        <v>0</v>
      </c>
      <c r="L56" t="n">
        <v>0</v>
      </c>
      <c r="M56" t="n">
        <v>0</v>
      </c>
      <c r="N56" t="n">
        <v>0</v>
      </c>
      <c r="O56" t="n">
        <v>0</v>
      </c>
      <c r="P56" t="n">
        <v>0</v>
      </c>
      <c r="Q56" t="n">
        <v>0</v>
      </c>
      <c r="R56" s="2" t="inlineStr"/>
    </row>
    <row r="57" ht="15" customHeight="1">
      <c r="A57" t="inlineStr">
        <is>
          <t>A 15125-2021</t>
        </is>
      </c>
      <c r="B57" s="1" t="n">
        <v>44283</v>
      </c>
      <c r="C57" s="1" t="n">
        <v>45878</v>
      </c>
      <c r="D57" t="inlineStr">
        <is>
          <t>DALARNAS LÄN</t>
        </is>
      </c>
      <c r="E57" t="inlineStr">
        <is>
          <t>HEDEMORA</t>
        </is>
      </c>
      <c r="G57" t="n">
        <v>0.9</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45878</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45878</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45878</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40868-2020</t>
        </is>
      </c>
      <c r="B61" s="1" t="n">
        <v>44070</v>
      </c>
      <c r="C61" s="1" t="n">
        <v>45878</v>
      </c>
      <c r="D61" t="inlineStr">
        <is>
          <t>DALARNAS LÄN</t>
        </is>
      </c>
      <c r="E61" t="inlineStr">
        <is>
          <t>HEDEMORA</t>
        </is>
      </c>
      <c r="G61" t="n">
        <v>1.7</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45878</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45878</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45878</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45878</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45878</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40865-2020</t>
        </is>
      </c>
      <c r="B67" s="1" t="n">
        <v>44070</v>
      </c>
      <c r="C67" s="1" t="n">
        <v>45878</v>
      </c>
      <c r="D67" t="inlineStr">
        <is>
          <t>DALARNAS LÄN</t>
        </is>
      </c>
      <c r="E67" t="inlineStr">
        <is>
          <t>HEDEMORA</t>
        </is>
      </c>
      <c r="G67" t="n">
        <v>6.1</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45878</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52425-2021</t>
        </is>
      </c>
      <c r="B69" s="1" t="n">
        <v>44466.33798611111</v>
      </c>
      <c r="C69" s="1" t="n">
        <v>45878</v>
      </c>
      <c r="D69" t="inlineStr">
        <is>
          <t>DALARNAS LÄN</t>
        </is>
      </c>
      <c r="E69" t="inlineStr">
        <is>
          <t>HEDEMORA</t>
        </is>
      </c>
      <c r="G69" t="n">
        <v>2.3</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45878</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51167-2022</t>
        </is>
      </c>
      <c r="B71" s="1" t="n">
        <v>44868.54824074074</v>
      </c>
      <c r="C71" s="1" t="n">
        <v>45878</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68457-2021</t>
        </is>
      </c>
      <c r="B72" s="1" t="n">
        <v>44529</v>
      </c>
      <c r="C72" s="1" t="n">
        <v>45878</v>
      </c>
      <c r="D72" t="inlineStr">
        <is>
          <t>DALARNAS LÄN</t>
        </is>
      </c>
      <c r="E72" t="inlineStr">
        <is>
          <t>HEDEMORA</t>
        </is>
      </c>
      <c r="G72" t="n">
        <v>1.9</v>
      </c>
      <c r="H72" t="n">
        <v>0</v>
      </c>
      <c r="I72" t="n">
        <v>0</v>
      </c>
      <c r="J72" t="n">
        <v>0</v>
      </c>
      <c r="K72" t="n">
        <v>0</v>
      </c>
      <c r="L72" t="n">
        <v>0</v>
      </c>
      <c r="M72" t="n">
        <v>0</v>
      </c>
      <c r="N72" t="n">
        <v>0</v>
      </c>
      <c r="O72" t="n">
        <v>0</v>
      </c>
      <c r="P72" t="n">
        <v>0</v>
      </c>
      <c r="Q72" t="n">
        <v>0</v>
      </c>
      <c r="R72" s="2" t="inlineStr"/>
    </row>
    <row r="73" ht="15" customHeight="1">
      <c r="A73" t="inlineStr">
        <is>
          <t>A 15290-2021</t>
        </is>
      </c>
      <c r="B73" s="1" t="n">
        <v>44284.59565972222</v>
      </c>
      <c r="C73" s="1" t="n">
        <v>45878</v>
      </c>
      <c r="D73" t="inlineStr">
        <is>
          <t>DALARNAS LÄN</t>
        </is>
      </c>
      <c r="E73" t="inlineStr">
        <is>
          <t>HEDEMORA</t>
        </is>
      </c>
      <c r="G73" t="n">
        <v>0.7</v>
      </c>
      <c r="H73" t="n">
        <v>0</v>
      </c>
      <c r="I73" t="n">
        <v>0</v>
      </c>
      <c r="J73" t="n">
        <v>0</v>
      </c>
      <c r="K73" t="n">
        <v>0</v>
      </c>
      <c r="L73" t="n">
        <v>0</v>
      </c>
      <c r="M73" t="n">
        <v>0</v>
      </c>
      <c r="N73" t="n">
        <v>0</v>
      </c>
      <c r="O73" t="n">
        <v>0</v>
      </c>
      <c r="P73" t="n">
        <v>0</v>
      </c>
      <c r="Q73" t="n">
        <v>0</v>
      </c>
      <c r="R73" s="2" t="inlineStr"/>
    </row>
    <row r="74" ht="15" customHeight="1">
      <c r="A74" t="inlineStr">
        <is>
          <t>A 20177-2022</t>
        </is>
      </c>
      <c r="B74" s="1" t="n">
        <v>44698.52960648148</v>
      </c>
      <c r="C74" s="1" t="n">
        <v>45878</v>
      </c>
      <c r="D74" t="inlineStr">
        <is>
          <t>DALARNAS LÄN</t>
        </is>
      </c>
      <c r="E74" t="inlineStr">
        <is>
          <t>HEDEMORA</t>
        </is>
      </c>
      <c r="G74" t="n">
        <v>3.9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45878</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45878</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45878</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45878</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45878</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45878</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45878</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45878</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45878</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45878</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45878</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45878</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17464-2021</t>
        </is>
      </c>
      <c r="B87" s="1" t="n">
        <v>44299</v>
      </c>
      <c r="C87" s="1" t="n">
        <v>45878</v>
      </c>
      <c r="D87" t="inlineStr">
        <is>
          <t>DALARNAS LÄN</t>
        </is>
      </c>
      <c r="E87" t="inlineStr">
        <is>
          <t>HEDEMORA</t>
        </is>
      </c>
      <c r="G87" t="n">
        <v>0.8</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45878</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45878</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3527-2021</t>
        </is>
      </c>
      <c r="B90" s="1" t="n">
        <v>44218</v>
      </c>
      <c r="C90" s="1" t="n">
        <v>45878</v>
      </c>
      <c r="D90" t="inlineStr">
        <is>
          <t>DALARNAS LÄN</t>
        </is>
      </c>
      <c r="E90" t="inlineStr">
        <is>
          <t>HEDEMORA</t>
        </is>
      </c>
      <c r="G90" t="n">
        <v>1.5</v>
      </c>
      <c r="H90" t="n">
        <v>0</v>
      </c>
      <c r="I90" t="n">
        <v>0</v>
      </c>
      <c r="J90" t="n">
        <v>0</v>
      </c>
      <c r="K90" t="n">
        <v>0</v>
      </c>
      <c r="L90" t="n">
        <v>0</v>
      </c>
      <c r="M90" t="n">
        <v>0</v>
      </c>
      <c r="N90" t="n">
        <v>0</v>
      </c>
      <c r="O90" t="n">
        <v>0</v>
      </c>
      <c r="P90" t="n">
        <v>0</v>
      </c>
      <c r="Q90" t="n">
        <v>0</v>
      </c>
      <c r="R90" s="2" t="inlineStr"/>
    </row>
    <row r="91" ht="15" customHeight="1">
      <c r="A91" t="inlineStr">
        <is>
          <t>A 67282-2021</t>
        </is>
      </c>
      <c r="B91" s="1" t="n">
        <v>44523.6131712963</v>
      </c>
      <c r="C91" s="1" t="n">
        <v>45878</v>
      </c>
      <c r="D91" t="inlineStr">
        <is>
          <t>DALARNAS LÄN</t>
        </is>
      </c>
      <c r="E91" t="inlineStr">
        <is>
          <t>HEDEMORA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48639-2022</t>
        </is>
      </c>
      <c r="B92" s="1" t="n">
        <v>44859</v>
      </c>
      <c r="C92" s="1" t="n">
        <v>45878</v>
      </c>
      <c r="D92" t="inlineStr">
        <is>
          <t>DALARNAS LÄN</t>
        </is>
      </c>
      <c r="E92" t="inlineStr">
        <is>
          <t>HEDEMORA</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66064-2020</t>
        </is>
      </c>
      <c r="B93" s="1" t="n">
        <v>44175</v>
      </c>
      <c r="C93" s="1" t="n">
        <v>45878</v>
      </c>
      <c r="D93" t="inlineStr">
        <is>
          <t>DALARNAS LÄN</t>
        </is>
      </c>
      <c r="E93" t="inlineStr">
        <is>
          <t>HEDEMORA</t>
        </is>
      </c>
      <c r="G93" t="n">
        <v>1.7</v>
      </c>
      <c r="H93" t="n">
        <v>0</v>
      </c>
      <c r="I93" t="n">
        <v>0</v>
      </c>
      <c r="J93" t="n">
        <v>0</v>
      </c>
      <c r="K93" t="n">
        <v>0</v>
      </c>
      <c r="L93" t="n">
        <v>0</v>
      </c>
      <c r="M93" t="n">
        <v>0</v>
      </c>
      <c r="N93" t="n">
        <v>0</v>
      </c>
      <c r="O93" t="n">
        <v>0</v>
      </c>
      <c r="P93" t="n">
        <v>0</v>
      </c>
      <c r="Q93" t="n">
        <v>0</v>
      </c>
      <c r="R93" s="2" t="inlineStr"/>
    </row>
    <row r="94" ht="15" customHeight="1">
      <c r="A94" t="inlineStr">
        <is>
          <t>A 27238-2022</t>
        </is>
      </c>
      <c r="B94" s="1" t="n">
        <v>44741.68168981482</v>
      </c>
      <c r="C94" s="1" t="n">
        <v>45878</v>
      </c>
      <c r="D94" t="inlineStr">
        <is>
          <t>DALARNAS LÄN</t>
        </is>
      </c>
      <c r="E94" t="inlineStr">
        <is>
          <t>HEDEMORA</t>
        </is>
      </c>
      <c r="G94" t="n">
        <v>1.5</v>
      </c>
      <c r="H94" t="n">
        <v>0</v>
      </c>
      <c r="I94" t="n">
        <v>0</v>
      </c>
      <c r="J94" t="n">
        <v>0</v>
      </c>
      <c r="K94" t="n">
        <v>0</v>
      </c>
      <c r="L94" t="n">
        <v>0</v>
      </c>
      <c r="M94" t="n">
        <v>0</v>
      </c>
      <c r="N94" t="n">
        <v>0</v>
      </c>
      <c r="O94" t="n">
        <v>0</v>
      </c>
      <c r="P94" t="n">
        <v>0</v>
      </c>
      <c r="Q94" t="n">
        <v>0</v>
      </c>
      <c r="R94" s="2" t="inlineStr"/>
    </row>
    <row r="95" ht="15" customHeight="1">
      <c r="A95" t="inlineStr">
        <is>
          <t>A 60418-2021</t>
        </is>
      </c>
      <c r="B95" s="1" t="n">
        <v>44495</v>
      </c>
      <c r="C95" s="1" t="n">
        <v>45878</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45392-2020</t>
        </is>
      </c>
      <c r="B96" s="1" t="n">
        <v>44085</v>
      </c>
      <c r="C96" s="1" t="n">
        <v>45878</v>
      </c>
      <c r="D96" t="inlineStr">
        <is>
          <t>DALARNAS LÄN</t>
        </is>
      </c>
      <c r="E96" t="inlineStr">
        <is>
          <t>HEDEMORA</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45616-2020</t>
        </is>
      </c>
      <c r="B97" s="1" t="n">
        <v>44084</v>
      </c>
      <c r="C97" s="1" t="n">
        <v>45878</v>
      </c>
      <c r="D97" t="inlineStr">
        <is>
          <t>DALARNAS LÄN</t>
        </is>
      </c>
      <c r="E97" t="inlineStr">
        <is>
          <t>HEDEMORA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57071-2020</t>
        </is>
      </c>
      <c r="B98" s="1" t="n">
        <v>44138</v>
      </c>
      <c r="C98" s="1" t="n">
        <v>45878</v>
      </c>
      <c r="D98" t="inlineStr">
        <is>
          <t>DALARNAS LÄN</t>
        </is>
      </c>
      <c r="E98" t="inlineStr">
        <is>
          <t>HEDEMORA</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45878</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45878</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24446-2022</t>
        </is>
      </c>
      <c r="B101" s="1" t="n">
        <v>44726.59068287037</v>
      </c>
      <c r="C101" s="1" t="n">
        <v>45878</v>
      </c>
      <c r="D101" t="inlineStr">
        <is>
          <t>DALARNAS LÄN</t>
        </is>
      </c>
      <c r="E101" t="inlineStr">
        <is>
          <t>HEDEMORA</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42924-2020</t>
        </is>
      </c>
      <c r="B102" s="1" t="n">
        <v>44078</v>
      </c>
      <c r="C102" s="1" t="n">
        <v>45878</v>
      </c>
      <c r="D102" t="inlineStr">
        <is>
          <t>DALARNAS LÄN</t>
        </is>
      </c>
      <c r="E102" t="inlineStr">
        <is>
          <t>HEDEMORA</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45878</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45878</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36865-2022</t>
        </is>
      </c>
      <c r="B105" s="1" t="n">
        <v>44805</v>
      </c>
      <c r="C105" s="1" t="n">
        <v>45878</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28105-2022</t>
        </is>
      </c>
      <c r="B106" s="1" t="n">
        <v>44746</v>
      </c>
      <c r="C106" s="1" t="n">
        <v>45878</v>
      </c>
      <c r="D106" t="inlineStr">
        <is>
          <t>DALARNAS LÄN</t>
        </is>
      </c>
      <c r="E106" t="inlineStr">
        <is>
          <t>HEDEMORA</t>
        </is>
      </c>
      <c r="G106" t="n">
        <v>0.8</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45878</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45878</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45878</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45878</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45878</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36299-2024</t>
        </is>
      </c>
      <c r="B112" s="1" t="n">
        <v>45534.6090625</v>
      </c>
      <c r="C112" s="1" t="n">
        <v>45878</v>
      </c>
      <c r="D112" t="inlineStr">
        <is>
          <t>DALARNAS LÄN</t>
        </is>
      </c>
      <c r="E112" t="inlineStr">
        <is>
          <t>HEDEMORA</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50333-2023</t>
        </is>
      </c>
      <c r="B113" s="1" t="n">
        <v>45216</v>
      </c>
      <c r="C113" s="1" t="n">
        <v>45878</v>
      </c>
      <c r="D113" t="inlineStr">
        <is>
          <t>DALARNAS LÄN</t>
        </is>
      </c>
      <c r="E113" t="inlineStr">
        <is>
          <t>HEDEMORA</t>
        </is>
      </c>
      <c r="G113" t="n">
        <v>1.1</v>
      </c>
      <c r="H113" t="n">
        <v>0</v>
      </c>
      <c r="I113" t="n">
        <v>0</v>
      </c>
      <c r="J113" t="n">
        <v>0</v>
      </c>
      <c r="K113" t="n">
        <v>0</v>
      </c>
      <c r="L113" t="n">
        <v>0</v>
      </c>
      <c r="M113" t="n">
        <v>0</v>
      </c>
      <c r="N113" t="n">
        <v>0</v>
      </c>
      <c r="O113" t="n">
        <v>0</v>
      </c>
      <c r="P113" t="n">
        <v>0</v>
      </c>
      <c r="Q113" t="n">
        <v>0</v>
      </c>
      <c r="R113" s="2" t="inlineStr"/>
    </row>
    <row r="114" ht="15" customHeight="1">
      <c r="A114" t="inlineStr">
        <is>
          <t>A 14951-2025</t>
        </is>
      </c>
      <c r="B114" s="1" t="n">
        <v>45743.57695601852</v>
      </c>
      <c r="C114" s="1" t="n">
        <v>45878</v>
      </c>
      <c r="D114" t="inlineStr">
        <is>
          <t>DALARNAS LÄN</t>
        </is>
      </c>
      <c r="E114" t="inlineStr">
        <is>
          <t>HEDEMORA</t>
        </is>
      </c>
      <c r="G114" t="n">
        <v>1.6</v>
      </c>
      <c r="H114" t="n">
        <v>0</v>
      </c>
      <c r="I114" t="n">
        <v>0</v>
      </c>
      <c r="J114" t="n">
        <v>0</v>
      </c>
      <c r="K114" t="n">
        <v>0</v>
      </c>
      <c r="L114" t="n">
        <v>0</v>
      </c>
      <c r="M114" t="n">
        <v>0</v>
      </c>
      <c r="N114" t="n">
        <v>0</v>
      </c>
      <c r="O114" t="n">
        <v>0</v>
      </c>
      <c r="P114" t="n">
        <v>0</v>
      </c>
      <c r="Q114" t="n">
        <v>0</v>
      </c>
      <c r="R114" s="2" t="inlineStr"/>
    </row>
    <row r="115" ht="15" customHeight="1">
      <c r="A115" t="inlineStr">
        <is>
          <t>A 19987-2025</t>
        </is>
      </c>
      <c r="B115" s="1" t="n">
        <v>45771.72193287037</v>
      </c>
      <c r="C115" s="1" t="n">
        <v>45878</v>
      </c>
      <c r="D115" t="inlineStr">
        <is>
          <t>DALARNAS LÄN</t>
        </is>
      </c>
      <c r="E115" t="inlineStr">
        <is>
          <t>HEDEMORA</t>
        </is>
      </c>
      <c r="G115" t="n">
        <v>3</v>
      </c>
      <c r="H115" t="n">
        <v>0</v>
      </c>
      <c r="I115" t="n">
        <v>0</v>
      </c>
      <c r="J115" t="n">
        <v>0</v>
      </c>
      <c r="K115" t="n">
        <v>0</v>
      </c>
      <c r="L115" t="n">
        <v>0</v>
      </c>
      <c r="M115" t="n">
        <v>0</v>
      </c>
      <c r="N115" t="n">
        <v>0</v>
      </c>
      <c r="O115" t="n">
        <v>0</v>
      </c>
      <c r="P115" t="n">
        <v>0</v>
      </c>
      <c r="Q115" t="n">
        <v>0</v>
      </c>
      <c r="R115" s="2" t="inlineStr"/>
    </row>
    <row r="116" ht="15" customHeight="1">
      <c r="A116" t="inlineStr">
        <is>
          <t>A 30908-2024</t>
        </is>
      </c>
      <c r="B116" s="1" t="n">
        <v>45498.56491898148</v>
      </c>
      <c r="C116" s="1" t="n">
        <v>45878</v>
      </c>
      <c r="D116" t="inlineStr">
        <is>
          <t>DALARNAS LÄN</t>
        </is>
      </c>
      <c r="E116" t="inlineStr">
        <is>
          <t>HEDEMORA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18522-2021</t>
        </is>
      </c>
      <c r="B117" s="1" t="n">
        <v>44306.4405787037</v>
      </c>
      <c r="C117" s="1" t="n">
        <v>45878</v>
      </c>
      <c r="D117" t="inlineStr">
        <is>
          <t>DALARNAS LÄN</t>
        </is>
      </c>
      <c r="E117" t="inlineStr">
        <is>
          <t>HEDEMORA</t>
        </is>
      </c>
      <c r="G117" t="n">
        <v>7</v>
      </c>
      <c r="H117" t="n">
        <v>0</v>
      </c>
      <c r="I117" t="n">
        <v>0</v>
      </c>
      <c r="J117" t="n">
        <v>0</v>
      </c>
      <c r="K117" t="n">
        <v>0</v>
      </c>
      <c r="L117" t="n">
        <v>0</v>
      </c>
      <c r="M117" t="n">
        <v>0</v>
      </c>
      <c r="N117" t="n">
        <v>0</v>
      </c>
      <c r="O117" t="n">
        <v>0</v>
      </c>
      <c r="P117" t="n">
        <v>0</v>
      </c>
      <c r="Q117" t="n">
        <v>0</v>
      </c>
      <c r="R117" s="2" t="inlineStr"/>
    </row>
    <row r="118" ht="15" customHeight="1">
      <c r="A118" t="inlineStr">
        <is>
          <t>A 22270-2023</t>
        </is>
      </c>
      <c r="B118" s="1" t="n">
        <v>45070.39284722223</v>
      </c>
      <c r="C118" s="1" t="n">
        <v>45878</v>
      </c>
      <c r="D118" t="inlineStr">
        <is>
          <t>DALARNAS LÄN</t>
        </is>
      </c>
      <c r="E118" t="inlineStr">
        <is>
          <t>HEDEMORA</t>
        </is>
      </c>
      <c r="G118" t="n">
        <v>1.8</v>
      </c>
      <c r="H118" t="n">
        <v>0</v>
      </c>
      <c r="I118" t="n">
        <v>0</v>
      </c>
      <c r="J118" t="n">
        <v>0</v>
      </c>
      <c r="K118" t="n">
        <v>0</v>
      </c>
      <c r="L118" t="n">
        <v>0</v>
      </c>
      <c r="M118" t="n">
        <v>0</v>
      </c>
      <c r="N118" t="n">
        <v>0</v>
      </c>
      <c r="O118" t="n">
        <v>0</v>
      </c>
      <c r="P118" t="n">
        <v>0</v>
      </c>
      <c r="Q118" t="n">
        <v>0</v>
      </c>
      <c r="R118" s="2" t="inlineStr"/>
    </row>
    <row r="119" ht="15" customHeight="1">
      <c r="A119" t="inlineStr">
        <is>
          <t>A 53576-2023</t>
        </is>
      </c>
      <c r="B119" s="1" t="n">
        <v>45230.50288194444</v>
      </c>
      <c r="C119" s="1" t="n">
        <v>45878</v>
      </c>
      <c r="D119" t="inlineStr">
        <is>
          <t>DALARNAS LÄN</t>
        </is>
      </c>
      <c r="E119" t="inlineStr">
        <is>
          <t>HEDEMORA</t>
        </is>
      </c>
      <c r="G119" t="n">
        <v>0.9</v>
      </c>
      <c r="H119" t="n">
        <v>0</v>
      </c>
      <c r="I119" t="n">
        <v>0</v>
      </c>
      <c r="J119" t="n">
        <v>0</v>
      </c>
      <c r="K119" t="n">
        <v>0</v>
      </c>
      <c r="L119" t="n">
        <v>0</v>
      </c>
      <c r="M119" t="n">
        <v>0</v>
      </c>
      <c r="N119" t="n">
        <v>0</v>
      </c>
      <c r="O119" t="n">
        <v>0</v>
      </c>
      <c r="P119" t="n">
        <v>0</v>
      </c>
      <c r="Q119" t="n">
        <v>0</v>
      </c>
      <c r="R119" s="2" t="inlineStr"/>
    </row>
    <row r="120" ht="15" customHeight="1">
      <c r="A120" t="inlineStr">
        <is>
          <t>A 19990-2025</t>
        </is>
      </c>
      <c r="B120" s="1" t="n">
        <v>45771.73082175926</v>
      </c>
      <c r="C120" s="1" t="n">
        <v>45878</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20272-2025</t>
        </is>
      </c>
      <c r="B121" s="1" t="n">
        <v>45773.71663194444</v>
      </c>
      <c r="C121" s="1" t="n">
        <v>45878</v>
      </c>
      <c r="D121" t="inlineStr">
        <is>
          <t>DALARNAS LÄN</t>
        </is>
      </c>
      <c r="E121" t="inlineStr">
        <is>
          <t>HEDEMORA</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19688-2025</t>
        </is>
      </c>
      <c r="B122" s="1" t="n">
        <v>45770.88217592592</v>
      </c>
      <c r="C122" s="1" t="n">
        <v>45878</v>
      </c>
      <c r="D122" t="inlineStr">
        <is>
          <t>DALARNAS LÄN</t>
        </is>
      </c>
      <c r="E122" t="inlineStr">
        <is>
          <t>HEDEMORA</t>
        </is>
      </c>
      <c r="G122" t="n">
        <v>1.9</v>
      </c>
      <c r="H122" t="n">
        <v>0</v>
      </c>
      <c r="I122" t="n">
        <v>0</v>
      </c>
      <c r="J122" t="n">
        <v>0</v>
      </c>
      <c r="K122" t="n">
        <v>0</v>
      </c>
      <c r="L122" t="n">
        <v>0</v>
      </c>
      <c r="M122" t="n">
        <v>0</v>
      </c>
      <c r="N122" t="n">
        <v>0</v>
      </c>
      <c r="O122" t="n">
        <v>0</v>
      </c>
      <c r="P122" t="n">
        <v>0</v>
      </c>
      <c r="Q122" t="n">
        <v>0</v>
      </c>
      <c r="R122" s="2" t="inlineStr"/>
    </row>
    <row r="123" ht="15" customHeight="1">
      <c r="A123" t="inlineStr">
        <is>
          <t>A 18579-2025</t>
        </is>
      </c>
      <c r="B123" s="1" t="n">
        <v>45763</v>
      </c>
      <c r="C123" s="1" t="n">
        <v>45878</v>
      </c>
      <c r="D123" t="inlineStr">
        <is>
          <t>DALARNAS LÄN</t>
        </is>
      </c>
      <c r="E123" t="inlineStr">
        <is>
          <t>HEDEMORA</t>
        </is>
      </c>
      <c r="G123" t="n">
        <v>0.5</v>
      </c>
      <c r="H123" t="n">
        <v>0</v>
      </c>
      <c r="I123" t="n">
        <v>0</v>
      </c>
      <c r="J123" t="n">
        <v>0</v>
      </c>
      <c r="K123" t="n">
        <v>0</v>
      </c>
      <c r="L123" t="n">
        <v>0</v>
      </c>
      <c r="M123" t="n">
        <v>0</v>
      </c>
      <c r="N123" t="n">
        <v>0</v>
      </c>
      <c r="O123" t="n">
        <v>0</v>
      </c>
      <c r="P123" t="n">
        <v>0</v>
      </c>
      <c r="Q123" t="n">
        <v>0</v>
      </c>
      <c r="R123" s="2" t="inlineStr"/>
    </row>
    <row r="124" ht="15" customHeight="1">
      <c r="A124" t="inlineStr">
        <is>
          <t>A 34930-2024</t>
        </is>
      </c>
      <c r="B124" s="1" t="n">
        <v>45527.45107638889</v>
      </c>
      <c r="C124" s="1" t="n">
        <v>45878</v>
      </c>
      <c r="D124" t="inlineStr">
        <is>
          <t>DALARNAS LÄN</t>
        </is>
      </c>
      <c r="E124" t="inlineStr">
        <is>
          <t>HEDEMORA</t>
        </is>
      </c>
      <c r="F124" t="inlineStr">
        <is>
          <t>Sveaskog</t>
        </is>
      </c>
      <c r="G124" t="n">
        <v>6.1</v>
      </c>
      <c r="H124" t="n">
        <v>0</v>
      </c>
      <c r="I124" t="n">
        <v>0</v>
      </c>
      <c r="J124" t="n">
        <v>0</v>
      </c>
      <c r="K124" t="n">
        <v>0</v>
      </c>
      <c r="L124" t="n">
        <v>0</v>
      </c>
      <c r="M124" t="n">
        <v>0</v>
      </c>
      <c r="N124" t="n">
        <v>0</v>
      </c>
      <c r="O124" t="n">
        <v>0</v>
      </c>
      <c r="P124" t="n">
        <v>0</v>
      </c>
      <c r="Q124" t="n">
        <v>0</v>
      </c>
      <c r="R124" s="2" t="inlineStr"/>
    </row>
    <row r="125" ht="15" customHeight="1">
      <c r="A125" t="inlineStr">
        <is>
          <t>A 34932-2024</t>
        </is>
      </c>
      <c r="B125" s="1" t="n">
        <v>45527.45431712963</v>
      </c>
      <c r="C125" s="1" t="n">
        <v>45878</v>
      </c>
      <c r="D125" t="inlineStr">
        <is>
          <t>DALARNAS LÄN</t>
        </is>
      </c>
      <c r="E125" t="inlineStr">
        <is>
          <t>HEDEMORA</t>
        </is>
      </c>
      <c r="F125" t="inlineStr">
        <is>
          <t>Sveaskog</t>
        </is>
      </c>
      <c r="G125" t="n">
        <v>2.4</v>
      </c>
      <c r="H125" t="n">
        <v>0</v>
      </c>
      <c r="I125" t="n">
        <v>0</v>
      </c>
      <c r="J125" t="n">
        <v>0</v>
      </c>
      <c r="K125" t="n">
        <v>0</v>
      </c>
      <c r="L125" t="n">
        <v>0</v>
      </c>
      <c r="M125" t="n">
        <v>0</v>
      </c>
      <c r="N125" t="n">
        <v>0</v>
      </c>
      <c r="O125" t="n">
        <v>0</v>
      </c>
      <c r="P125" t="n">
        <v>0</v>
      </c>
      <c r="Q125" t="n">
        <v>0</v>
      </c>
      <c r="R125" s="2" t="inlineStr"/>
    </row>
    <row r="126" ht="15" customHeight="1">
      <c r="A126" t="inlineStr">
        <is>
          <t>A 27610-2024</t>
        </is>
      </c>
      <c r="B126" s="1" t="n">
        <v>45474.73221064815</v>
      </c>
      <c r="C126" s="1" t="n">
        <v>45878</v>
      </c>
      <c r="D126" t="inlineStr">
        <is>
          <t>DALARNAS LÄN</t>
        </is>
      </c>
      <c r="E126" t="inlineStr">
        <is>
          <t>HEDEMORA</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48323-2021</t>
        </is>
      </c>
      <c r="B127" s="1" t="n">
        <v>44450.84762731481</v>
      </c>
      <c r="C127" s="1" t="n">
        <v>45878</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46825-2024</t>
        </is>
      </c>
      <c r="B128" s="1" t="n">
        <v>45583.58040509259</v>
      </c>
      <c r="C128" s="1" t="n">
        <v>45878</v>
      </c>
      <c r="D128" t="inlineStr">
        <is>
          <t>DALARNAS LÄN</t>
        </is>
      </c>
      <c r="E128" t="inlineStr">
        <is>
          <t>HEDEMORA</t>
        </is>
      </c>
      <c r="G128" t="n">
        <v>1.1</v>
      </c>
      <c r="H128" t="n">
        <v>0</v>
      </c>
      <c r="I128" t="n">
        <v>0</v>
      </c>
      <c r="J128" t="n">
        <v>0</v>
      </c>
      <c r="K128" t="n">
        <v>0</v>
      </c>
      <c r="L128" t="n">
        <v>0</v>
      </c>
      <c r="M128" t="n">
        <v>0</v>
      </c>
      <c r="N128" t="n">
        <v>0</v>
      </c>
      <c r="O128" t="n">
        <v>0</v>
      </c>
      <c r="P128" t="n">
        <v>0</v>
      </c>
      <c r="Q128" t="n">
        <v>0</v>
      </c>
      <c r="R128" s="2" t="inlineStr"/>
    </row>
    <row r="129" ht="15" customHeight="1">
      <c r="A129" t="inlineStr">
        <is>
          <t>A 23934-2023</t>
        </is>
      </c>
      <c r="B129" s="1" t="n">
        <v>45078.59590277778</v>
      </c>
      <c r="C129" s="1" t="n">
        <v>45878</v>
      </c>
      <c r="D129" t="inlineStr">
        <is>
          <t>DALARNAS LÄN</t>
        </is>
      </c>
      <c r="E129" t="inlineStr">
        <is>
          <t>HEDEMORA</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52942-2024</t>
        </is>
      </c>
      <c r="B130" s="1" t="n">
        <v>45610.8215625</v>
      </c>
      <c r="C130" s="1" t="n">
        <v>45878</v>
      </c>
      <c r="D130" t="inlineStr">
        <is>
          <t>DALARNAS LÄN</t>
        </is>
      </c>
      <c r="E130" t="inlineStr">
        <is>
          <t>HEDEMORA</t>
        </is>
      </c>
      <c r="F130" t="inlineStr">
        <is>
          <t>Sveaskog</t>
        </is>
      </c>
      <c r="G130" t="n">
        <v>14.5</v>
      </c>
      <c r="H130" t="n">
        <v>0</v>
      </c>
      <c r="I130" t="n">
        <v>0</v>
      </c>
      <c r="J130" t="n">
        <v>0</v>
      </c>
      <c r="K130" t="n">
        <v>0</v>
      </c>
      <c r="L130" t="n">
        <v>0</v>
      </c>
      <c r="M130" t="n">
        <v>0</v>
      </c>
      <c r="N130" t="n">
        <v>0</v>
      </c>
      <c r="O130" t="n">
        <v>0</v>
      </c>
      <c r="P130" t="n">
        <v>0</v>
      </c>
      <c r="Q130" t="n">
        <v>0</v>
      </c>
      <c r="R130" s="2" t="inlineStr"/>
    </row>
    <row r="131" ht="15" customHeight="1">
      <c r="A131" t="inlineStr">
        <is>
          <t>A 26612-2021</t>
        </is>
      </c>
      <c r="B131" s="1" t="n">
        <v>44348.64942129629</v>
      </c>
      <c r="C131" s="1" t="n">
        <v>45878</v>
      </c>
      <c r="D131" t="inlineStr">
        <is>
          <t>DALARNAS LÄN</t>
        </is>
      </c>
      <c r="E131" t="inlineStr">
        <is>
          <t>HEDEMORA</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22273-2023</t>
        </is>
      </c>
      <c r="B132" s="1" t="n">
        <v>45070</v>
      </c>
      <c r="C132" s="1" t="n">
        <v>45878</v>
      </c>
      <c r="D132" t="inlineStr">
        <is>
          <t>DALARNAS LÄN</t>
        </is>
      </c>
      <c r="E132" t="inlineStr">
        <is>
          <t>HEDEMORA</t>
        </is>
      </c>
      <c r="G132" t="n">
        <v>1.3</v>
      </c>
      <c r="H132" t="n">
        <v>0</v>
      </c>
      <c r="I132" t="n">
        <v>0</v>
      </c>
      <c r="J132" t="n">
        <v>0</v>
      </c>
      <c r="K132" t="n">
        <v>0</v>
      </c>
      <c r="L132" t="n">
        <v>0</v>
      </c>
      <c r="M132" t="n">
        <v>0</v>
      </c>
      <c r="N132" t="n">
        <v>0</v>
      </c>
      <c r="O132" t="n">
        <v>0</v>
      </c>
      <c r="P132" t="n">
        <v>0</v>
      </c>
      <c r="Q132" t="n">
        <v>0</v>
      </c>
      <c r="R132" s="2" t="inlineStr"/>
    </row>
    <row r="133" ht="15" customHeight="1">
      <c r="A133" t="inlineStr">
        <is>
          <t>A 68553-2021</t>
        </is>
      </c>
      <c r="B133" s="1" t="n">
        <v>44529</v>
      </c>
      <c r="C133" s="1" t="n">
        <v>45878</v>
      </c>
      <c r="D133" t="inlineStr">
        <is>
          <t>DALARNAS LÄN</t>
        </is>
      </c>
      <c r="E133" t="inlineStr">
        <is>
          <t>HEDEMORA</t>
        </is>
      </c>
      <c r="G133" t="n">
        <v>3</v>
      </c>
      <c r="H133" t="n">
        <v>0</v>
      </c>
      <c r="I133" t="n">
        <v>0</v>
      </c>
      <c r="J133" t="n">
        <v>0</v>
      </c>
      <c r="K133" t="n">
        <v>0</v>
      </c>
      <c r="L133" t="n">
        <v>0</v>
      </c>
      <c r="M133" t="n">
        <v>0</v>
      </c>
      <c r="N133" t="n">
        <v>0</v>
      </c>
      <c r="O133" t="n">
        <v>0</v>
      </c>
      <c r="P133" t="n">
        <v>0</v>
      </c>
      <c r="Q133" t="n">
        <v>0</v>
      </c>
      <c r="R133" s="2" t="inlineStr"/>
    </row>
    <row r="134" ht="15" customHeight="1">
      <c r="A134" t="inlineStr">
        <is>
          <t>A 17600-2025</t>
        </is>
      </c>
      <c r="B134" s="1" t="n">
        <v>45757.71063657408</v>
      </c>
      <c r="C134" s="1" t="n">
        <v>45878</v>
      </c>
      <c r="D134" t="inlineStr">
        <is>
          <t>DALARNAS LÄN</t>
        </is>
      </c>
      <c r="E134" t="inlineStr">
        <is>
          <t>HEDEMORA</t>
        </is>
      </c>
      <c r="G134" t="n">
        <v>1.4</v>
      </c>
      <c r="H134" t="n">
        <v>0</v>
      </c>
      <c r="I134" t="n">
        <v>0</v>
      </c>
      <c r="J134" t="n">
        <v>0</v>
      </c>
      <c r="K134" t="n">
        <v>0</v>
      </c>
      <c r="L134" t="n">
        <v>0</v>
      </c>
      <c r="M134" t="n">
        <v>0</v>
      </c>
      <c r="N134" t="n">
        <v>0</v>
      </c>
      <c r="O134" t="n">
        <v>0</v>
      </c>
      <c r="P134" t="n">
        <v>0</v>
      </c>
      <c r="Q134" t="n">
        <v>0</v>
      </c>
      <c r="R134" s="2" t="inlineStr"/>
    </row>
    <row r="135" ht="15" customHeight="1">
      <c r="A135" t="inlineStr">
        <is>
          <t>A 29123-2021</t>
        </is>
      </c>
      <c r="B135" s="1" t="n">
        <v>44358</v>
      </c>
      <c r="C135" s="1" t="n">
        <v>45878</v>
      </c>
      <c r="D135" t="inlineStr">
        <is>
          <t>DALARNAS LÄN</t>
        </is>
      </c>
      <c r="E135" t="inlineStr">
        <is>
          <t>HEDEMORA</t>
        </is>
      </c>
      <c r="G135" t="n">
        <v>5.6</v>
      </c>
      <c r="H135" t="n">
        <v>0</v>
      </c>
      <c r="I135" t="n">
        <v>0</v>
      </c>
      <c r="J135" t="n">
        <v>0</v>
      </c>
      <c r="K135" t="n">
        <v>0</v>
      </c>
      <c r="L135" t="n">
        <v>0</v>
      </c>
      <c r="M135" t="n">
        <v>0</v>
      </c>
      <c r="N135" t="n">
        <v>0</v>
      </c>
      <c r="O135" t="n">
        <v>0</v>
      </c>
      <c r="P135" t="n">
        <v>0</v>
      </c>
      <c r="Q135" t="n">
        <v>0</v>
      </c>
      <c r="R135" s="2" t="inlineStr"/>
    </row>
    <row r="136" ht="15" customHeight="1">
      <c r="A136" t="inlineStr">
        <is>
          <t>A 37759-2024</t>
        </is>
      </c>
      <c r="B136" s="1" t="n">
        <v>45541</v>
      </c>
      <c r="C136" s="1" t="n">
        <v>45878</v>
      </c>
      <c r="D136" t="inlineStr">
        <is>
          <t>DALARNAS LÄN</t>
        </is>
      </c>
      <c r="E136" t="inlineStr">
        <is>
          <t>HEDEMORA</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21514-2024</t>
        </is>
      </c>
      <c r="B137" s="1" t="n">
        <v>45441.57538194444</v>
      </c>
      <c r="C137" s="1" t="n">
        <v>45878</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28029-2023</t>
        </is>
      </c>
      <c r="B138" s="1" t="n">
        <v>45099</v>
      </c>
      <c r="C138" s="1" t="n">
        <v>45878</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44960-2021</t>
        </is>
      </c>
      <c r="B139" s="1" t="n">
        <v>44438.72253472222</v>
      </c>
      <c r="C139" s="1" t="n">
        <v>45878</v>
      </c>
      <c r="D139" t="inlineStr">
        <is>
          <t>DALARNAS LÄN</t>
        </is>
      </c>
      <c r="E139" t="inlineStr">
        <is>
          <t>HEDEMORA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39497-2022</t>
        </is>
      </c>
      <c r="B140" s="1" t="n">
        <v>44817</v>
      </c>
      <c r="C140" s="1" t="n">
        <v>45878</v>
      </c>
      <c r="D140" t="inlineStr">
        <is>
          <t>DALARNAS LÄN</t>
        </is>
      </c>
      <c r="E140" t="inlineStr">
        <is>
          <t>HEDEMORA</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55881-2023</t>
        </is>
      </c>
      <c r="B141" s="1" t="n">
        <v>45239</v>
      </c>
      <c r="C141" s="1" t="n">
        <v>45878</v>
      </c>
      <c r="D141" t="inlineStr">
        <is>
          <t>DALARNAS LÄN</t>
        </is>
      </c>
      <c r="E141" t="inlineStr">
        <is>
          <t>HEDEMORA</t>
        </is>
      </c>
      <c r="F141" t="inlineStr">
        <is>
          <t>Sveaskog</t>
        </is>
      </c>
      <c r="G141" t="n">
        <v>3.9</v>
      </c>
      <c r="H141" t="n">
        <v>0</v>
      </c>
      <c r="I141" t="n">
        <v>0</v>
      </c>
      <c r="J141" t="n">
        <v>0</v>
      </c>
      <c r="K141" t="n">
        <v>0</v>
      </c>
      <c r="L141" t="n">
        <v>0</v>
      </c>
      <c r="M141" t="n">
        <v>0</v>
      </c>
      <c r="N141" t="n">
        <v>0</v>
      </c>
      <c r="O141" t="n">
        <v>0</v>
      </c>
      <c r="P141" t="n">
        <v>0</v>
      </c>
      <c r="Q141" t="n">
        <v>0</v>
      </c>
      <c r="R141" s="2" t="inlineStr"/>
    </row>
    <row r="142" ht="15" customHeight="1">
      <c r="A142" t="inlineStr">
        <is>
          <t>A 59471-2020</t>
        </is>
      </c>
      <c r="B142" s="1" t="n">
        <v>44148</v>
      </c>
      <c r="C142" s="1" t="n">
        <v>45878</v>
      </c>
      <c r="D142" t="inlineStr">
        <is>
          <t>DALARNAS LÄN</t>
        </is>
      </c>
      <c r="E142" t="inlineStr">
        <is>
          <t>HEDEMORA</t>
        </is>
      </c>
      <c r="G142" t="n">
        <v>1.2</v>
      </c>
      <c r="H142" t="n">
        <v>0</v>
      </c>
      <c r="I142" t="n">
        <v>0</v>
      </c>
      <c r="J142" t="n">
        <v>0</v>
      </c>
      <c r="K142" t="n">
        <v>0</v>
      </c>
      <c r="L142" t="n">
        <v>0</v>
      </c>
      <c r="M142" t="n">
        <v>0</v>
      </c>
      <c r="N142" t="n">
        <v>0</v>
      </c>
      <c r="O142" t="n">
        <v>0</v>
      </c>
      <c r="P142" t="n">
        <v>0</v>
      </c>
      <c r="Q142" t="n">
        <v>0</v>
      </c>
      <c r="R142" s="2" t="inlineStr"/>
    </row>
    <row r="143" ht="15" customHeight="1">
      <c r="A143" t="inlineStr">
        <is>
          <t>A 58018-2022</t>
        </is>
      </c>
      <c r="B143" s="1" t="n">
        <v>44900.53383101852</v>
      </c>
      <c r="C143" s="1" t="n">
        <v>45878</v>
      </c>
      <c r="D143" t="inlineStr">
        <is>
          <t>DALARNAS LÄN</t>
        </is>
      </c>
      <c r="E143" t="inlineStr">
        <is>
          <t>HEDEMORA</t>
        </is>
      </c>
      <c r="G143" t="n">
        <v>3.6</v>
      </c>
      <c r="H143" t="n">
        <v>0</v>
      </c>
      <c r="I143" t="n">
        <v>0</v>
      </c>
      <c r="J143" t="n">
        <v>0</v>
      </c>
      <c r="K143" t="n">
        <v>0</v>
      </c>
      <c r="L143" t="n">
        <v>0</v>
      </c>
      <c r="M143" t="n">
        <v>0</v>
      </c>
      <c r="N143" t="n">
        <v>0</v>
      </c>
      <c r="O143" t="n">
        <v>0</v>
      </c>
      <c r="P143" t="n">
        <v>0</v>
      </c>
      <c r="Q143" t="n">
        <v>0</v>
      </c>
      <c r="R143" s="2" t="inlineStr"/>
    </row>
    <row r="144" ht="15" customHeight="1">
      <c r="A144" t="inlineStr">
        <is>
          <t>A 29050-2023</t>
        </is>
      </c>
      <c r="B144" s="1" t="n">
        <v>45104</v>
      </c>
      <c r="C144" s="1" t="n">
        <v>45878</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24427-2022</t>
        </is>
      </c>
      <c r="B145" s="1" t="n">
        <v>44726</v>
      </c>
      <c r="C145" s="1" t="n">
        <v>45878</v>
      </c>
      <c r="D145" t="inlineStr">
        <is>
          <t>DALARNAS LÄN</t>
        </is>
      </c>
      <c r="E145" t="inlineStr">
        <is>
          <t>HEDEMORA</t>
        </is>
      </c>
      <c r="G145" t="n">
        <v>1.7</v>
      </c>
      <c r="H145" t="n">
        <v>0</v>
      </c>
      <c r="I145" t="n">
        <v>0</v>
      </c>
      <c r="J145" t="n">
        <v>0</v>
      </c>
      <c r="K145" t="n">
        <v>0</v>
      </c>
      <c r="L145" t="n">
        <v>0</v>
      </c>
      <c r="M145" t="n">
        <v>0</v>
      </c>
      <c r="N145" t="n">
        <v>0</v>
      </c>
      <c r="O145" t="n">
        <v>0</v>
      </c>
      <c r="P145" t="n">
        <v>0</v>
      </c>
      <c r="Q145" t="n">
        <v>0</v>
      </c>
      <c r="R145" s="2" t="inlineStr"/>
    </row>
    <row r="146" ht="15" customHeight="1">
      <c r="A146" t="inlineStr">
        <is>
          <t>A 40801-2024</t>
        </is>
      </c>
      <c r="B146" s="1" t="n">
        <v>45558.52905092593</v>
      </c>
      <c r="C146" s="1" t="n">
        <v>45878</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63929-2023</t>
        </is>
      </c>
      <c r="B147" s="1" t="n">
        <v>45278.60274305556</v>
      </c>
      <c r="C147" s="1" t="n">
        <v>45878</v>
      </c>
      <c r="D147" t="inlineStr">
        <is>
          <t>DALARNAS LÄN</t>
        </is>
      </c>
      <c r="E147" t="inlineStr">
        <is>
          <t>HEDEMORA</t>
        </is>
      </c>
      <c r="G147" t="n">
        <v>0.4</v>
      </c>
      <c r="H147" t="n">
        <v>0</v>
      </c>
      <c r="I147" t="n">
        <v>0</v>
      </c>
      <c r="J147" t="n">
        <v>0</v>
      </c>
      <c r="K147" t="n">
        <v>0</v>
      </c>
      <c r="L147" t="n">
        <v>0</v>
      </c>
      <c r="M147" t="n">
        <v>0</v>
      </c>
      <c r="N147" t="n">
        <v>0</v>
      </c>
      <c r="O147" t="n">
        <v>0</v>
      </c>
      <c r="P147" t="n">
        <v>0</v>
      </c>
      <c r="Q147" t="n">
        <v>0</v>
      </c>
      <c r="R147" s="2" t="inlineStr"/>
    </row>
    <row r="148" ht="15" customHeight="1">
      <c r="A148" t="inlineStr">
        <is>
          <t>A 61883-2022</t>
        </is>
      </c>
      <c r="B148" s="1" t="n">
        <v>44917.67262731482</v>
      </c>
      <c r="C148" s="1" t="n">
        <v>45878</v>
      </c>
      <c r="D148" t="inlineStr">
        <is>
          <t>DALARNAS LÄN</t>
        </is>
      </c>
      <c r="E148" t="inlineStr">
        <is>
          <t>HEDEMORA</t>
        </is>
      </c>
      <c r="G148" t="n">
        <v>2.3</v>
      </c>
      <c r="H148" t="n">
        <v>0</v>
      </c>
      <c r="I148" t="n">
        <v>0</v>
      </c>
      <c r="J148" t="n">
        <v>0</v>
      </c>
      <c r="K148" t="n">
        <v>0</v>
      </c>
      <c r="L148" t="n">
        <v>0</v>
      </c>
      <c r="M148" t="n">
        <v>0</v>
      </c>
      <c r="N148" t="n">
        <v>0</v>
      </c>
      <c r="O148" t="n">
        <v>0</v>
      </c>
      <c r="P148" t="n">
        <v>0</v>
      </c>
      <c r="Q148" t="n">
        <v>0</v>
      </c>
      <c r="R148" s="2" t="inlineStr"/>
    </row>
    <row r="149" ht="15" customHeight="1">
      <c r="A149" t="inlineStr">
        <is>
          <t>A 37449-2024</t>
        </is>
      </c>
      <c r="B149" s="1" t="n">
        <v>45540</v>
      </c>
      <c r="C149" s="1" t="n">
        <v>45878</v>
      </c>
      <c r="D149" t="inlineStr">
        <is>
          <t>DALARNAS LÄN</t>
        </is>
      </c>
      <c r="E149" t="inlineStr">
        <is>
          <t>HEDEMORA</t>
        </is>
      </c>
      <c r="F149" t="inlineStr">
        <is>
          <t>Bergvik skog väst AB</t>
        </is>
      </c>
      <c r="G149" t="n">
        <v>10.1</v>
      </c>
      <c r="H149" t="n">
        <v>0</v>
      </c>
      <c r="I149" t="n">
        <v>0</v>
      </c>
      <c r="J149" t="n">
        <v>0</v>
      </c>
      <c r="K149" t="n">
        <v>0</v>
      </c>
      <c r="L149" t="n">
        <v>0</v>
      </c>
      <c r="M149" t="n">
        <v>0</v>
      </c>
      <c r="N149" t="n">
        <v>0</v>
      </c>
      <c r="O149" t="n">
        <v>0</v>
      </c>
      <c r="P149" t="n">
        <v>0</v>
      </c>
      <c r="Q149" t="n">
        <v>0</v>
      </c>
      <c r="R149" s="2" t="inlineStr"/>
    </row>
    <row r="150" ht="15" customHeight="1">
      <c r="A150" t="inlineStr">
        <is>
          <t>A 36306-2024</t>
        </is>
      </c>
      <c r="B150" s="1" t="n">
        <v>45534.61327546297</v>
      </c>
      <c r="C150" s="1" t="n">
        <v>45878</v>
      </c>
      <c r="D150" t="inlineStr">
        <is>
          <t>DALARNAS LÄN</t>
        </is>
      </c>
      <c r="E150" t="inlineStr">
        <is>
          <t>HEDEMORA</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29301-2023</t>
        </is>
      </c>
      <c r="B151" s="1" t="n">
        <v>45105</v>
      </c>
      <c r="C151" s="1" t="n">
        <v>45878</v>
      </c>
      <c r="D151" t="inlineStr">
        <is>
          <t>DALARNAS LÄN</t>
        </is>
      </c>
      <c r="E151" t="inlineStr">
        <is>
          <t>HEDEMORA</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25645-2024</t>
        </is>
      </c>
      <c r="B152" s="1" t="n">
        <v>45463.66520833333</v>
      </c>
      <c r="C152" s="1" t="n">
        <v>45878</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29591-2024</t>
        </is>
      </c>
      <c r="B153" s="1" t="n">
        <v>45484.58222222222</v>
      </c>
      <c r="C153" s="1" t="n">
        <v>45878</v>
      </c>
      <c r="D153" t="inlineStr">
        <is>
          <t>DALARNAS LÄN</t>
        </is>
      </c>
      <c r="E153" t="inlineStr">
        <is>
          <t>HEDEMORA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53588-2023</t>
        </is>
      </c>
      <c r="B154" s="1" t="n">
        <v>45230.53109953704</v>
      </c>
      <c r="C154" s="1" t="n">
        <v>45878</v>
      </c>
      <c r="D154" t="inlineStr">
        <is>
          <t>DALARNAS LÄN</t>
        </is>
      </c>
      <c r="E154" t="inlineStr">
        <is>
          <t>HEDEMORA</t>
        </is>
      </c>
      <c r="G154" t="n">
        <v>0.6</v>
      </c>
      <c r="H154" t="n">
        <v>0</v>
      </c>
      <c r="I154" t="n">
        <v>0</v>
      </c>
      <c r="J154" t="n">
        <v>0</v>
      </c>
      <c r="K154" t="n">
        <v>0</v>
      </c>
      <c r="L154" t="n">
        <v>0</v>
      </c>
      <c r="M154" t="n">
        <v>0</v>
      </c>
      <c r="N154" t="n">
        <v>0</v>
      </c>
      <c r="O154" t="n">
        <v>0</v>
      </c>
      <c r="P154" t="n">
        <v>0</v>
      </c>
      <c r="Q154" t="n">
        <v>0</v>
      </c>
      <c r="R154" s="2" t="inlineStr"/>
    </row>
    <row r="155" ht="15" customHeight="1">
      <c r="A155" t="inlineStr">
        <is>
          <t>A 7172-2025</t>
        </is>
      </c>
      <c r="B155" s="1" t="n">
        <v>45702.41383101852</v>
      </c>
      <c r="C155" s="1" t="n">
        <v>45878</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42894-2024</t>
        </is>
      </c>
      <c r="B156" s="1" t="n">
        <v>45566.82304398148</v>
      </c>
      <c r="C156" s="1" t="n">
        <v>45878</v>
      </c>
      <c r="D156" t="inlineStr">
        <is>
          <t>DALARNAS LÄN</t>
        </is>
      </c>
      <c r="E156" t="inlineStr">
        <is>
          <t>HEDEMORA</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42895-2024</t>
        </is>
      </c>
      <c r="B157" s="1" t="n">
        <v>45566.82385416667</v>
      </c>
      <c r="C157" s="1" t="n">
        <v>45878</v>
      </c>
      <c r="D157" t="inlineStr">
        <is>
          <t>DALARNAS LÄN</t>
        </is>
      </c>
      <c r="E157" t="inlineStr">
        <is>
          <t>HEDEMORA</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31365-2024</t>
        </is>
      </c>
      <c r="B158" s="1" t="n">
        <v>45505.37086805556</v>
      </c>
      <c r="C158" s="1" t="n">
        <v>45878</v>
      </c>
      <c r="D158" t="inlineStr">
        <is>
          <t>DALARNAS LÄN</t>
        </is>
      </c>
      <c r="E158" t="inlineStr">
        <is>
          <t>HEDEMORA</t>
        </is>
      </c>
      <c r="G158" t="n">
        <v>0.4</v>
      </c>
      <c r="H158" t="n">
        <v>0</v>
      </c>
      <c r="I158" t="n">
        <v>0</v>
      </c>
      <c r="J158" t="n">
        <v>0</v>
      </c>
      <c r="K158" t="n">
        <v>0</v>
      </c>
      <c r="L158" t="n">
        <v>0</v>
      </c>
      <c r="M158" t="n">
        <v>0</v>
      </c>
      <c r="N158" t="n">
        <v>0</v>
      </c>
      <c r="O158" t="n">
        <v>0</v>
      </c>
      <c r="P158" t="n">
        <v>0</v>
      </c>
      <c r="Q158" t="n">
        <v>0</v>
      </c>
      <c r="R158" s="2" t="inlineStr"/>
    </row>
    <row r="159" ht="15" customHeight="1">
      <c r="A159" t="inlineStr">
        <is>
          <t>A 24486-2024</t>
        </is>
      </c>
      <c r="B159" s="1" t="n">
        <v>45459.62336805555</v>
      </c>
      <c r="C159" s="1" t="n">
        <v>45878</v>
      </c>
      <c r="D159" t="inlineStr">
        <is>
          <t>DALARNAS LÄN</t>
        </is>
      </c>
      <c r="E159" t="inlineStr">
        <is>
          <t>HEDEMORA</t>
        </is>
      </c>
      <c r="G159" t="n">
        <v>0.3</v>
      </c>
      <c r="H159" t="n">
        <v>0</v>
      </c>
      <c r="I159" t="n">
        <v>0</v>
      </c>
      <c r="J159" t="n">
        <v>0</v>
      </c>
      <c r="K159" t="n">
        <v>0</v>
      </c>
      <c r="L159" t="n">
        <v>0</v>
      </c>
      <c r="M159" t="n">
        <v>0</v>
      </c>
      <c r="N159" t="n">
        <v>0</v>
      </c>
      <c r="O159" t="n">
        <v>0</v>
      </c>
      <c r="P159" t="n">
        <v>0</v>
      </c>
      <c r="Q159" t="n">
        <v>0</v>
      </c>
      <c r="R159" s="2" t="inlineStr"/>
    </row>
    <row r="160" ht="15" customHeight="1">
      <c r="A160" t="inlineStr">
        <is>
          <t>A 7914-2024</t>
        </is>
      </c>
      <c r="B160" s="1" t="n">
        <v>45350.46003472222</v>
      </c>
      <c r="C160" s="1" t="n">
        <v>45878</v>
      </c>
      <c r="D160" t="inlineStr">
        <is>
          <t>DALARNAS LÄN</t>
        </is>
      </c>
      <c r="E160" t="inlineStr">
        <is>
          <t>HEDEMORA</t>
        </is>
      </c>
      <c r="G160" t="n">
        <v>4.1</v>
      </c>
      <c r="H160" t="n">
        <v>0</v>
      </c>
      <c r="I160" t="n">
        <v>0</v>
      </c>
      <c r="J160" t="n">
        <v>0</v>
      </c>
      <c r="K160" t="n">
        <v>0</v>
      </c>
      <c r="L160" t="n">
        <v>0</v>
      </c>
      <c r="M160" t="n">
        <v>0</v>
      </c>
      <c r="N160" t="n">
        <v>0</v>
      </c>
      <c r="O160" t="n">
        <v>0</v>
      </c>
      <c r="P160" t="n">
        <v>0</v>
      </c>
      <c r="Q160" t="n">
        <v>0</v>
      </c>
      <c r="R160" s="2" t="inlineStr"/>
    </row>
    <row r="161" ht="15" customHeight="1">
      <c r="A161" t="inlineStr">
        <is>
          <t>A 61533-2021</t>
        </is>
      </c>
      <c r="B161" s="1" t="n">
        <v>44501</v>
      </c>
      <c r="C161" s="1" t="n">
        <v>45878</v>
      </c>
      <c r="D161" t="inlineStr">
        <is>
          <t>DALARNAS LÄN</t>
        </is>
      </c>
      <c r="E161" t="inlineStr">
        <is>
          <t>HEDEMORA</t>
        </is>
      </c>
      <c r="G161" t="n">
        <v>1.6</v>
      </c>
      <c r="H161" t="n">
        <v>0</v>
      </c>
      <c r="I161" t="n">
        <v>0</v>
      </c>
      <c r="J161" t="n">
        <v>0</v>
      </c>
      <c r="K161" t="n">
        <v>0</v>
      </c>
      <c r="L161" t="n">
        <v>0</v>
      </c>
      <c r="M161" t="n">
        <v>0</v>
      </c>
      <c r="N161" t="n">
        <v>0</v>
      </c>
      <c r="O161" t="n">
        <v>0</v>
      </c>
      <c r="P161" t="n">
        <v>0</v>
      </c>
      <c r="Q161" t="n">
        <v>0</v>
      </c>
      <c r="R161" s="2" t="inlineStr"/>
    </row>
    <row r="162" ht="15" customHeight="1">
      <c r="A162" t="inlineStr">
        <is>
          <t>A 60808-2024</t>
        </is>
      </c>
      <c r="B162" s="1" t="n">
        <v>45644.61251157407</v>
      </c>
      <c r="C162" s="1" t="n">
        <v>45878</v>
      </c>
      <c r="D162" t="inlineStr">
        <is>
          <t>DALARNAS LÄN</t>
        </is>
      </c>
      <c r="E162" t="inlineStr">
        <is>
          <t>HEDEMORA</t>
        </is>
      </c>
      <c r="G162" t="n">
        <v>6</v>
      </c>
      <c r="H162" t="n">
        <v>0</v>
      </c>
      <c r="I162" t="n">
        <v>0</v>
      </c>
      <c r="J162" t="n">
        <v>0</v>
      </c>
      <c r="K162" t="n">
        <v>0</v>
      </c>
      <c r="L162" t="n">
        <v>0</v>
      </c>
      <c r="M162" t="n">
        <v>0</v>
      </c>
      <c r="N162" t="n">
        <v>0</v>
      </c>
      <c r="O162" t="n">
        <v>0</v>
      </c>
      <c r="P162" t="n">
        <v>0</v>
      </c>
      <c r="Q162" t="n">
        <v>0</v>
      </c>
      <c r="R162" s="2" t="inlineStr"/>
    </row>
    <row r="163" ht="15" customHeight="1">
      <c r="A163" t="inlineStr">
        <is>
          <t>A 55832-2024</t>
        </is>
      </c>
      <c r="B163" s="1" t="n">
        <v>45623.48604166666</v>
      </c>
      <c r="C163" s="1" t="n">
        <v>45878</v>
      </c>
      <c r="D163" t="inlineStr">
        <is>
          <t>DALARNAS LÄN</t>
        </is>
      </c>
      <c r="E163" t="inlineStr">
        <is>
          <t>HEDEMORA</t>
        </is>
      </c>
      <c r="G163" t="n">
        <v>3</v>
      </c>
      <c r="H163" t="n">
        <v>0</v>
      </c>
      <c r="I163" t="n">
        <v>0</v>
      </c>
      <c r="J163" t="n">
        <v>0</v>
      </c>
      <c r="K163" t="n">
        <v>0</v>
      </c>
      <c r="L163" t="n">
        <v>0</v>
      </c>
      <c r="M163" t="n">
        <v>0</v>
      </c>
      <c r="N163" t="n">
        <v>0</v>
      </c>
      <c r="O163" t="n">
        <v>0</v>
      </c>
      <c r="P163" t="n">
        <v>0</v>
      </c>
      <c r="Q163" t="n">
        <v>0</v>
      </c>
      <c r="R163" s="2" t="inlineStr"/>
    </row>
    <row r="164" ht="15" customHeight="1">
      <c r="A164" t="inlineStr">
        <is>
          <t>A 31825-2024</t>
        </is>
      </c>
      <c r="B164" s="1" t="n">
        <v>45509.60949074074</v>
      </c>
      <c r="C164" s="1" t="n">
        <v>45878</v>
      </c>
      <c r="D164" t="inlineStr">
        <is>
          <t>DALARNAS LÄN</t>
        </is>
      </c>
      <c r="E164" t="inlineStr">
        <is>
          <t>HEDEMORA</t>
        </is>
      </c>
      <c r="G164" t="n">
        <v>0.1</v>
      </c>
      <c r="H164" t="n">
        <v>0</v>
      </c>
      <c r="I164" t="n">
        <v>0</v>
      </c>
      <c r="J164" t="n">
        <v>0</v>
      </c>
      <c r="K164" t="n">
        <v>0</v>
      </c>
      <c r="L164" t="n">
        <v>0</v>
      </c>
      <c r="M164" t="n">
        <v>0</v>
      </c>
      <c r="N164" t="n">
        <v>0</v>
      </c>
      <c r="O164" t="n">
        <v>0</v>
      </c>
      <c r="P164" t="n">
        <v>0</v>
      </c>
      <c r="Q164" t="n">
        <v>0</v>
      </c>
      <c r="R164" s="2" t="inlineStr"/>
    </row>
    <row r="165" ht="15" customHeight="1">
      <c r="A165" t="inlineStr">
        <is>
          <t>A 52945-2024</t>
        </is>
      </c>
      <c r="B165" s="1" t="n">
        <v>45610.82664351852</v>
      </c>
      <c r="C165" s="1" t="n">
        <v>45878</v>
      </c>
      <c r="D165" t="inlineStr">
        <is>
          <t>DALARNAS LÄN</t>
        </is>
      </c>
      <c r="E165" t="inlineStr">
        <is>
          <t>HEDEMORA</t>
        </is>
      </c>
      <c r="F165" t="inlineStr">
        <is>
          <t>Sveaskog</t>
        </is>
      </c>
      <c r="G165" t="n">
        <v>5</v>
      </c>
      <c r="H165" t="n">
        <v>0</v>
      </c>
      <c r="I165" t="n">
        <v>0</v>
      </c>
      <c r="J165" t="n">
        <v>0</v>
      </c>
      <c r="K165" t="n">
        <v>0</v>
      </c>
      <c r="L165" t="n">
        <v>0</v>
      </c>
      <c r="M165" t="n">
        <v>0</v>
      </c>
      <c r="N165" t="n">
        <v>0</v>
      </c>
      <c r="O165" t="n">
        <v>0</v>
      </c>
      <c r="P165" t="n">
        <v>0</v>
      </c>
      <c r="Q165" t="n">
        <v>0</v>
      </c>
      <c r="R165" s="2" t="inlineStr"/>
    </row>
    <row r="166" ht="15" customHeight="1">
      <c r="A166" t="inlineStr">
        <is>
          <t>A 29587-2024</t>
        </is>
      </c>
      <c r="B166" s="1" t="n">
        <v>45484.5799537037</v>
      </c>
      <c r="C166" s="1" t="n">
        <v>45878</v>
      </c>
      <c r="D166" t="inlineStr">
        <is>
          <t>DALARNAS LÄN</t>
        </is>
      </c>
      <c r="E166" t="inlineStr">
        <is>
          <t>HEDEMORA</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9314-2024</t>
        </is>
      </c>
      <c r="B167" s="1" t="n">
        <v>45358</v>
      </c>
      <c r="C167" s="1" t="n">
        <v>45878</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36304-2024</t>
        </is>
      </c>
      <c r="B168" s="1" t="n">
        <v>45534.61217592593</v>
      </c>
      <c r="C168" s="1" t="n">
        <v>45878</v>
      </c>
      <c r="D168" t="inlineStr">
        <is>
          <t>DALARNAS LÄN</t>
        </is>
      </c>
      <c r="E168" t="inlineStr">
        <is>
          <t>HEDEMORA</t>
        </is>
      </c>
      <c r="F168" t="inlineStr">
        <is>
          <t>Sveaskog</t>
        </is>
      </c>
      <c r="G168" t="n">
        <v>6.1</v>
      </c>
      <c r="H168" t="n">
        <v>0</v>
      </c>
      <c r="I168" t="n">
        <v>0</v>
      </c>
      <c r="J168" t="n">
        <v>0</v>
      </c>
      <c r="K168" t="n">
        <v>0</v>
      </c>
      <c r="L168" t="n">
        <v>0</v>
      </c>
      <c r="M168" t="n">
        <v>0</v>
      </c>
      <c r="N168" t="n">
        <v>0</v>
      </c>
      <c r="O168" t="n">
        <v>0</v>
      </c>
      <c r="P168" t="n">
        <v>0</v>
      </c>
      <c r="Q168" t="n">
        <v>0</v>
      </c>
      <c r="R168" s="2" t="inlineStr"/>
    </row>
    <row r="169" ht="15" customHeight="1">
      <c r="A169" t="inlineStr">
        <is>
          <t>A 40707-2023</t>
        </is>
      </c>
      <c r="B169" s="1" t="n">
        <v>45170.62489583333</v>
      </c>
      <c r="C169" s="1" t="n">
        <v>45878</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56620-2024</t>
        </is>
      </c>
      <c r="B170" s="1" t="n">
        <v>45625</v>
      </c>
      <c r="C170" s="1" t="n">
        <v>45878</v>
      </c>
      <c r="D170" t="inlineStr">
        <is>
          <t>DALARNAS LÄN</t>
        </is>
      </c>
      <c r="E170" t="inlineStr">
        <is>
          <t>HEDEMORA</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73099-2021</t>
        </is>
      </c>
      <c r="B171" s="1" t="n">
        <v>44546</v>
      </c>
      <c r="C171" s="1" t="n">
        <v>45878</v>
      </c>
      <c r="D171" t="inlineStr">
        <is>
          <t>DALARNAS LÄN</t>
        </is>
      </c>
      <c r="E171" t="inlineStr">
        <is>
          <t>HEDEMORA</t>
        </is>
      </c>
      <c r="G171" t="n">
        <v>4.5</v>
      </c>
      <c r="H171" t="n">
        <v>0</v>
      </c>
      <c r="I171" t="n">
        <v>0</v>
      </c>
      <c r="J171" t="n">
        <v>0</v>
      </c>
      <c r="K171" t="n">
        <v>0</v>
      </c>
      <c r="L171" t="n">
        <v>0</v>
      </c>
      <c r="M171" t="n">
        <v>0</v>
      </c>
      <c r="N171" t="n">
        <v>0</v>
      </c>
      <c r="O171" t="n">
        <v>0</v>
      </c>
      <c r="P171" t="n">
        <v>0</v>
      </c>
      <c r="Q171" t="n">
        <v>0</v>
      </c>
      <c r="R171" s="2" t="inlineStr"/>
    </row>
    <row r="172" ht="15" customHeight="1">
      <c r="A172" t="inlineStr">
        <is>
          <t>A 20670-2024</t>
        </is>
      </c>
      <c r="B172" s="1" t="n">
        <v>45436</v>
      </c>
      <c r="C172" s="1" t="n">
        <v>45878</v>
      </c>
      <c r="D172" t="inlineStr">
        <is>
          <t>DALARNAS LÄN</t>
        </is>
      </c>
      <c r="E172" t="inlineStr">
        <is>
          <t>HEDEMORA</t>
        </is>
      </c>
      <c r="G172" t="n">
        <v>2.7</v>
      </c>
      <c r="H172" t="n">
        <v>0</v>
      </c>
      <c r="I172" t="n">
        <v>0</v>
      </c>
      <c r="J172" t="n">
        <v>0</v>
      </c>
      <c r="K172" t="n">
        <v>0</v>
      </c>
      <c r="L172" t="n">
        <v>0</v>
      </c>
      <c r="M172" t="n">
        <v>0</v>
      </c>
      <c r="N172" t="n">
        <v>0</v>
      </c>
      <c r="O172" t="n">
        <v>0</v>
      </c>
      <c r="P172" t="n">
        <v>0</v>
      </c>
      <c r="Q172" t="n">
        <v>0</v>
      </c>
      <c r="R172" s="2" t="inlineStr"/>
    </row>
    <row r="173" ht="15" customHeight="1">
      <c r="A173" t="inlineStr">
        <is>
          <t>A 60774-2022</t>
        </is>
      </c>
      <c r="B173" s="1" t="n">
        <v>44914.37917824074</v>
      </c>
      <c r="C173" s="1" t="n">
        <v>45878</v>
      </c>
      <c r="D173" t="inlineStr">
        <is>
          <t>DALARNAS LÄN</t>
        </is>
      </c>
      <c r="E173" t="inlineStr">
        <is>
          <t>HEDEMORA</t>
        </is>
      </c>
      <c r="G173" t="n">
        <v>11.5</v>
      </c>
      <c r="H173" t="n">
        <v>0</v>
      </c>
      <c r="I173" t="n">
        <v>0</v>
      </c>
      <c r="J173" t="n">
        <v>0</v>
      </c>
      <c r="K173" t="n">
        <v>0</v>
      </c>
      <c r="L173" t="n">
        <v>0</v>
      </c>
      <c r="M173" t="n">
        <v>0</v>
      </c>
      <c r="N173" t="n">
        <v>0</v>
      </c>
      <c r="O173" t="n">
        <v>0</v>
      </c>
      <c r="P173" t="n">
        <v>0</v>
      </c>
      <c r="Q173" t="n">
        <v>0</v>
      </c>
      <c r="R173" s="2" t="inlineStr"/>
    </row>
    <row r="174" ht="15" customHeight="1">
      <c r="A174" t="inlineStr">
        <is>
          <t>A 53922-2024</t>
        </is>
      </c>
      <c r="B174" s="1" t="n">
        <v>45615.78459490741</v>
      </c>
      <c r="C174" s="1" t="n">
        <v>45878</v>
      </c>
      <c r="D174" t="inlineStr">
        <is>
          <t>DALARNAS LÄN</t>
        </is>
      </c>
      <c r="E174" t="inlineStr">
        <is>
          <t>HEDEMORA</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20273-2025</t>
        </is>
      </c>
      <c r="B175" s="1" t="n">
        <v>45773.71921296296</v>
      </c>
      <c r="C175" s="1" t="n">
        <v>45878</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2996-2023</t>
        </is>
      </c>
      <c r="B176" s="1" t="n">
        <v>44945</v>
      </c>
      <c r="C176" s="1" t="n">
        <v>45878</v>
      </c>
      <c r="D176" t="inlineStr">
        <is>
          <t>DALARNAS LÄN</t>
        </is>
      </c>
      <c r="E176" t="inlineStr">
        <is>
          <t>HEDEMORA</t>
        </is>
      </c>
      <c r="G176" t="n">
        <v>2.1</v>
      </c>
      <c r="H176" t="n">
        <v>0</v>
      </c>
      <c r="I176" t="n">
        <v>0</v>
      </c>
      <c r="J176" t="n">
        <v>0</v>
      </c>
      <c r="K176" t="n">
        <v>0</v>
      </c>
      <c r="L176" t="n">
        <v>0</v>
      </c>
      <c r="M176" t="n">
        <v>0</v>
      </c>
      <c r="N176" t="n">
        <v>0</v>
      </c>
      <c r="O176" t="n">
        <v>0</v>
      </c>
      <c r="P176" t="n">
        <v>0</v>
      </c>
      <c r="Q176" t="n">
        <v>0</v>
      </c>
      <c r="R176" s="2" t="inlineStr"/>
    </row>
    <row r="177" ht="15" customHeight="1">
      <c r="A177" t="inlineStr">
        <is>
          <t>A 55882-2023</t>
        </is>
      </c>
      <c r="B177" s="1" t="n">
        <v>45239</v>
      </c>
      <c r="C177" s="1" t="n">
        <v>45878</v>
      </c>
      <c r="D177" t="inlineStr">
        <is>
          <t>DALARNAS LÄN</t>
        </is>
      </c>
      <c r="E177" t="inlineStr">
        <is>
          <t>HEDEMORA</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14968-2025</t>
        </is>
      </c>
      <c r="B178" s="1" t="n">
        <v>45743.59052083334</v>
      </c>
      <c r="C178" s="1" t="n">
        <v>45878</v>
      </c>
      <c r="D178" t="inlineStr">
        <is>
          <t>DALARNAS LÄN</t>
        </is>
      </c>
      <c r="E178" t="inlineStr">
        <is>
          <t>HEDEMORA</t>
        </is>
      </c>
      <c r="G178" t="n">
        <v>2.2</v>
      </c>
      <c r="H178" t="n">
        <v>0</v>
      </c>
      <c r="I178" t="n">
        <v>0</v>
      </c>
      <c r="J178" t="n">
        <v>0</v>
      </c>
      <c r="K178" t="n">
        <v>0</v>
      </c>
      <c r="L178" t="n">
        <v>0</v>
      </c>
      <c r="M178" t="n">
        <v>0</v>
      </c>
      <c r="N178" t="n">
        <v>0</v>
      </c>
      <c r="O178" t="n">
        <v>0</v>
      </c>
      <c r="P178" t="n">
        <v>0</v>
      </c>
      <c r="Q178" t="n">
        <v>0</v>
      </c>
      <c r="R178" s="2" t="inlineStr"/>
    </row>
    <row r="179" ht="15" customHeight="1">
      <c r="A179" t="inlineStr">
        <is>
          <t>A 50885-2023</t>
        </is>
      </c>
      <c r="B179" s="1" t="n">
        <v>45218.38459490741</v>
      </c>
      <c r="C179" s="1" t="n">
        <v>45878</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65057-2023</t>
        </is>
      </c>
      <c r="B180" s="1" t="n">
        <v>45287</v>
      </c>
      <c r="C180" s="1" t="n">
        <v>45878</v>
      </c>
      <c r="D180" t="inlineStr">
        <is>
          <t>DALARNAS LÄN</t>
        </is>
      </c>
      <c r="E180" t="inlineStr">
        <is>
          <t>HEDEMORA</t>
        </is>
      </c>
      <c r="G180" t="n">
        <v>1.8</v>
      </c>
      <c r="H180" t="n">
        <v>0</v>
      </c>
      <c r="I180" t="n">
        <v>0</v>
      </c>
      <c r="J180" t="n">
        <v>0</v>
      </c>
      <c r="K180" t="n">
        <v>0</v>
      </c>
      <c r="L180" t="n">
        <v>0</v>
      </c>
      <c r="M180" t="n">
        <v>0</v>
      </c>
      <c r="N180" t="n">
        <v>0</v>
      </c>
      <c r="O180" t="n">
        <v>0</v>
      </c>
      <c r="P180" t="n">
        <v>0</v>
      </c>
      <c r="Q180" t="n">
        <v>0</v>
      </c>
      <c r="R180" s="2" t="inlineStr"/>
    </row>
    <row r="181" ht="15" customHeight="1">
      <c r="A181" t="inlineStr">
        <is>
          <t>A 11046-2022</t>
        </is>
      </c>
      <c r="B181" s="1" t="n">
        <v>44628</v>
      </c>
      <c r="C181" s="1" t="n">
        <v>45878</v>
      </c>
      <c r="D181" t="inlineStr">
        <is>
          <t>DALARNAS LÄN</t>
        </is>
      </c>
      <c r="E181" t="inlineStr">
        <is>
          <t>HEDEMORA</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45743.5745949074</v>
      </c>
      <c r="C182" s="1" t="n">
        <v>45878</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38947-2023</t>
        </is>
      </c>
      <c r="B183" s="1" t="n">
        <v>45163.61209490741</v>
      </c>
      <c r="C183" s="1" t="n">
        <v>45878</v>
      </c>
      <c r="D183" t="inlineStr">
        <is>
          <t>DALARNAS LÄN</t>
        </is>
      </c>
      <c r="E183" t="inlineStr">
        <is>
          <t>HEDEMORA</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38951-2023</t>
        </is>
      </c>
      <c r="B184" s="1" t="n">
        <v>45163.61413194444</v>
      </c>
      <c r="C184" s="1" t="n">
        <v>45878</v>
      </c>
      <c r="D184" t="inlineStr">
        <is>
          <t>DALARNAS LÄN</t>
        </is>
      </c>
      <c r="E184" t="inlineStr">
        <is>
          <t>HEDEMORA</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60780-2024</t>
        </is>
      </c>
      <c r="B185" s="1" t="n">
        <v>45644.59017361111</v>
      </c>
      <c r="C185" s="1" t="n">
        <v>45878</v>
      </c>
      <c r="D185" t="inlineStr">
        <is>
          <t>DALARNAS LÄN</t>
        </is>
      </c>
      <c r="E185" t="inlineStr">
        <is>
          <t>HEDEMORA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20965-2025</t>
        </is>
      </c>
      <c r="B186" s="1" t="n">
        <v>45777.45135416667</v>
      </c>
      <c r="C186" s="1" t="n">
        <v>45878</v>
      </c>
      <c r="D186" t="inlineStr">
        <is>
          <t>DALARNAS LÄN</t>
        </is>
      </c>
      <c r="E186" t="inlineStr">
        <is>
          <t>HEDEMORA</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62046-2022</t>
        </is>
      </c>
      <c r="B187" s="1" t="n">
        <v>44918.5633912037</v>
      </c>
      <c r="C187" s="1" t="n">
        <v>45878</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61886-2022</t>
        </is>
      </c>
      <c r="B188" s="1" t="n">
        <v>44917.67582175926</v>
      </c>
      <c r="C188" s="1" t="n">
        <v>45878</v>
      </c>
      <c r="D188" t="inlineStr">
        <is>
          <t>DALARNAS LÄN</t>
        </is>
      </c>
      <c r="E188" t="inlineStr">
        <is>
          <t>HEDEMORA</t>
        </is>
      </c>
      <c r="G188" t="n">
        <v>1.9</v>
      </c>
      <c r="H188" t="n">
        <v>0</v>
      </c>
      <c r="I188" t="n">
        <v>0</v>
      </c>
      <c r="J188" t="n">
        <v>0</v>
      </c>
      <c r="K188" t="n">
        <v>0</v>
      </c>
      <c r="L188" t="n">
        <v>0</v>
      </c>
      <c r="M188" t="n">
        <v>0</v>
      </c>
      <c r="N188" t="n">
        <v>0</v>
      </c>
      <c r="O188" t="n">
        <v>0</v>
      </c>
      <c r="P188" t="n">
        <v>0</v>
      </c>
      <c r="Q188" t="n">
        <v>0</v>
      </c>
      <c r="R188" s="2" t="inlineStr"/>
    </row>
    <row r="189" ht="15" customHeight="1">
      <c r="A189" t="inlineStr">
        <is>
          <t>A 58111-2020</t>
        </is>
      </c>
      <c r="B189" s="1" t="n">
        <v>44144</v>
      </c>
      <c r="C189" s="1" t="n">
        <v>45878</v>
      </c>
      <c r="D189" t="inlineStr">
        <is>
          <t>DALARNAS LÄN</t>
        </is>
      </c>
      <c r="E189" t="inlineStr">
        <is>
          <t>HEDEMORA</t>
        </is>
      </c>
      <c r="G189" t="n">
        <v>3.1</v>
      </c>
      <c r="H189" t="n">
        <v>0</v>
      </c>
      <c r="I189" t="n">
        <v>0</v>
      </c>
      <c r="J189" t="n">
        <v>0</v>
      </c>
      <c r="K189" t="n">
        <v>0</v>
      </c>
      <c r="L189" t="n">
        <v>0</v>
      </c>
      <c r="M189" t="n">
        <v>0</v>
      </c>
      <c r="N189" t="n">
        <v>0</v>
      </c>
      <c r="O189" t="n">
        <v>0</v>
      </c>
      <c r="P189" t="n">
        <v>0</v>
      </c>
      <c r="Q189" t="n">
        <v>0</v>
      </c>
      <c r="R189" s="2" t="inlineStr"/>
    </row>
    <row r="190" ht="15" customHeight="1">
      <c r="A190" t="inlineStr">
        <is>
          <t>A 63941-2023</t>
        </is>
      </c>
      <c r="B190" s="1" t="n">
        <v>45278.61277777778</v>
      </c>
      <c r="C190" s="1" t="n">
        <v>45878</v>
      </c>
      <c r="D190" t="inlineStr">
        <is>
          <t>DALARNAS LÄN</t>
        </is>
      </c>
      <c r="E190" t="inlineStr">
        <is>
          <t>HEDEMORA</t>
        </is>
      </c>
      <c r="G190" t="n">
        <v>1.1</v>
      </c>
      <c r="H190" t="n">
        <v>0</v>
      </c>
      <c r="I190" t="n">
        <v>0</v>
      </c>
      <c r="J190" t="n">
        <v>0</v>
      </c>
      <c r="K190" t="n">
        <v>0</v>
      </c>
      <c r="L190" t="n">
        <v>0</v>
      </c>
      <c r="M190" t="n">
        <v>0</v>
      </c>
      <c r="N190" t="n">
        <v>0</v>
      </c>
      <c r="O190" t="n">
        <v>0</v>
      </c>
      <c r="P190" t="n">
        <v>0</v>
      </c>
      <c r="Q190" t="n">
        <v>0</v>
      </c>
      <c r="R190" s="2" t="inlineStr"/>
    </row>
    <row r="191" ht="15" customHeight="1">
      <c r="A191" t="inlineStr">
        <is>
          <t>A 43785-2023</t>
        </is>
      </c>
      <c r="B191" s="1" t="n">
        <v>45187</v>
      </c>
      <c r="C191" s="1" t="n">
        <v>45878</v>
      </c>
      <c r="D191" t="inlineStr">
        <is>
          <t>DALARNAS LÄN</t>
        </is>
      </c>
      <c r="E191" t="inlineStr">
        <is>
          <t>HEDEMORA</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6210-2024</t>
        </is>
      </c>
      <c r="B192" s="1" t="n">
        <v>45337</v>
      </c>
      <c r="C192" s="1" t="n">
        <v>45878</v>
      </c>
      <c r="D192" t="inlineStr">
        <is>
          <t>DALARNAS LÄN</t>
        </is>
      </c>
      <c r="E192" t="inlineStr">
        <is>
          <t>HEDEMORA</t>
        </is>
      </c>
      <c r="G192" t="n">
        <v>2.6</v>
      </c>
      <c r="H192" t="n">
        <v>0</v>
      </c>
      <c r="I192" t="n">
        <v>0</v>
      </c>
      <c r="J192" t="n">
        <v>0</v>
      </c>
      <c r="K192" t="n">
        <v>0</v>
      </c>
      <c r="L192" t="n">
        <v>0</v>
      </c>
      <c r="M192" t="n">
        <v>0</v>
      </c>
      <c r="N192" t="n">
        <v>0</v>
      </c>
      <c r="O192" t="n">
        <v>0</v>
      </c>
      <c r="P192" t="n">
        <v>0</v>
      </c>
      <c r="Q192" t="n">
        <v>0</v>
      </c>
      <c r="R192" s="2" t="inlineStr"/>
    </row>
    <row r="193" ht="15" customHeight="1">
      <c r="A193" t="inlineStr">
        <is>
          <t>A 21869-2025</t>
        </is>
      </c>
      <c r="B193" s="1" t="n">
        <v>45784.37449074074</v>
      </c>
      <c r="C193" s="1" t="n">
        <v>45878</v>
      </c>
      <c r="D193" t="inlineStr">
        <is>
          <t>DALARNAS LÄN</t>
        </is>
      </c>
      <c r="E193" t="inlineStr">
        <is>
          <t>HEDEMORA</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30430-2023</t>
        </is>
      </c>
      <c r="B194" s="1" t="n">
        <v>45111.54344907407</v>
      </c>
      <c r="C194" s="1" t="n">
        <v>45878</v>
      </c>
      <c r="D194" t="inlineStr">
        <is>
          <t>DALARNAS LÄN</t>
        </is>
      </c>
      <c r="E194" t="inlineStr">
        <is>
          <t>HEDEMORA</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21864-2025</t>
        </is>
      </c>
      <c r="B195" s="1" t="n">
        <v>45784</v>
      </c>
      <c r="C195" s="1" t="n">
        <v>45878</v>
      </c>
      <c r="D195" t="inlineStr">
        <is>
          <t>DALARNAS LÄN</t>
        </is>
      </c>
      <c r="E195" t="inlineStr">
        <is>
          <t>HEDEMORA</t>
        </is>
      </c>
      <c r="F195" t="inlineStr">
        <is>
          <t>Sveaskog</t>
        </is>
      </c>
      <c r="G195" t="n">
        <v>5.1</v>
      </c>
      <c r="H195" t="n">
        <v>0</v>
      </c>
      <c r="I195" t="n">
        <v>0</v>
      </c>
      <c r="J195" t="n">
        <v>0</v>
      </c>
      <c r="K195" t="n">
        <v>0</v>
      </c>
      <c r="L195" t="n">
        <v>0</v>
      </c>
      <c r="M195" t="n">
        <v>0</v>
      </c>
      <c r="N195" t="n">
        <v>0</v>
      </c>
      <c r="O195" t="n">
        <v>0</v>
      </c>
      <c r="P195" t="n">
        <v>0</v>
      </c>
      <c r="Q195" t="n">
        <v>0</v>
      </c>
      <c r="R195" s="2" t="inlineStr"/>
    </row>
    <row r="196" ht="15" customHeight="1">
      <c r="A196" t="inlineStr">
        <is>
          <t>A 21868-2025</t>
        </is>
      </c>
      <c r="B196" s="1" t="n">
        <v>45784.3721412037</v>
      </c>
      <c r="C196" s="1" t="n">
        <v>45878</v>
      </c>
      <c r="D196" t="inlineStr">
        <is>
          <t>DALARNAS LÄN</t>
        </is>
      </c>
      <c r="E196" t="inlineStr">
        <is>
          <t>HEDEMORA</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36935-2024</t>
        </is>
      </c>
      <c r="B197" s="1" t="n">
        <v>45538.56925925926</v>
      </c>
      <c r="C197" s="1" t="n">
        <v>45878</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37761-2024</t>
        </is>
      </c>
      <c r="B198" s="1" t="n">
        <v>45541.78678240741</v>
      </c>
      <c r="C198" s="1" t="n">
        <v>45878</v>
      </c>
      <c r="D198" t="inlineStr">
        <is>
          <t>DALARNAS LÄN</t>
        </is>
      </c>
      <c r="E198" t="inlineStr">
        <is>
          <t>HEDEMORA</t>
        </is>
      </c>
      <c r="F198" t="inlineStr">
        <is>
          <t>Sveaskog</t>
        </is>
      </c>
      <c r="G198" t="n">
        <v>4.4</v>
      </c>
      <c r="H198" t="n">
        <v>0</v>
      </c>
      <c r="I198" t="n">
        <v>0</v>
      </c>
      <c r="J198" t="n">
        <v>0</v>
      </c>
      <c r="K198" t="n">
        <v>0</v>
      </c>
      <c r="L198" t="n">
        <v>0</v>
      </c>
      <c r="M198" t="n">
        <v>0</v>
      </c>
      <c r="N198" t="n">
        <v>0</v>
      </c>
      <c r="O198" t="n">
        <v>0</v>
      </c>
      <c r="P198" t="n">
        <v>0</v>
      </c>
      <c r="Q198" t="n">
        <v>0</v>
      </c>
      <c r="R198" s="2" t="inlineStr"/>
    </row>
    <row r="199" ht="15" customHeight="1">
      <c r="A199" t="inlineStr">
        <is>
          <t>A 27609-2024</t>
        </is>
      </c>
      <c r="B199" s="1" t="n">
        <v>45474.73076388889</v>
      </c>
      <c r="C199" s="1" t="n">
        <v>45878</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16413-2024</t>
        </is>
      </c>
      <c r="B200" s="1" t="n">
        <v>45407.64223379629</v>
      </c>
      <c r="C200" s="1" t="n">
        <v>45878</v>
      </c>
      <c r="D200" t="inlineStr">
        <is>
          <t>DALARNAS LÄN</t>
        </is>
      </c>
      <c r="E200" t="inlineStr">
        <is>
          <t>HEDEMORA</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48380-2024</t>
        </is>
      </c>
      <c r="B201" s="1" t="n">
        <v>45590</v>
      </c>
      <c r="C201" s="1" t="n">
        <v>45878</v>
      </c>
      <c r="D201" t="inlineStr">
        <is>
          <t>DALARNAS LÄN</t>
        </is>
      </c>
      <c r="E201" t="inlineStr">
        <is>
          <t>HEDEMORA</t>
        </is>
      </c>
      <c r="G201" t="n">
        <v>1.5</v>
      </c>
      <c r="H201" t="n">
        <v>0</v>
      </c>
      <c r="I201" t="n">
        <v>0</v>
      </c>
      <c r="J201" t="n">
        <v>0</v>
      </c>
      <c r="K201" t="n">
        <v>0</v>
      </c>
      <c r="L201" t="n">
        <v>0</v>
      </c>
      <c r="M201" t="n">
        <v>0</v>
      </c>
      <c r="N201" t="n">
        <v>0</v>
      </c>
      <c r="O201" t="n">
        <v>0</v>
      </c>
      <c r="P201" t="n">
        <v>0</v>
      </c>
      <c r="Q201" t="n">
        <v>0</v>
      </c>
      <c r="R201" s="2" t="inlineStr"/>
    </row>
    <row r="202" ht="15" customHeight="1">
      <c r="A202" t="inlineStr">
        <is>
          <t>A 19473-2024</t>
        </is>
      </c>
      <c r="B202" s="1" t="n">
        <v>45429</v>
      </c>
      <c r="C202" s="1" t="n">
        <v>45878</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51256-2024</t>
        </is>
      </c>
      <c r="B203" s="1" t="n">
        <v>45603.68902777778</v>
      </c>
      <c r="C203" s="1" t="n">
        <v>45878</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41435-2023</t>
        </is>
      </c>
      <c r="B204" s="1" t="n">
        <v>45170</v>
      </c>
      <c r="C204" s="1" t="n">
        <v>45878</v>
      </c>
      <c r="D204" t="inlineStr">
        <is>
          <t>DALARNAS LÄN</t>
        </is>
      </c>
      <c r="E204" t="inlineStr">
        <is>
          <t>HEDEMORA</t>
        </is>
      </c>
      <c r="G204" t="n">
        <v>2.9</v>
      </c>
      <c r="H204" t="n">
        <v>0</v>
      </c>
      <c r="I204" t="n">
        <v>0</v>
      </c>
      <c r="J204" t="n">
        <v>0</v>
      </c>
      <c r="K204" t="n">
        <v>0</v>
      </c>
      <c r="L204" t="n">
        <v>0</v>
      </c>
      <c r="M204" t="n">
        <v>0</v>
      </c>
      <c r="N204" t="n">
        <v>0</v>
      </c>
      <c r="O204" t="n">
        <v>0</v>
      </c>
      <c r="P204" t="n">
        <v>0</v>
      </c>
      <c r="Q204" t="n">
        <v>0</v>
      </c>
      <c r="R204" s="2" t="inlineStr"/>
    </row>
    <row r="205" ht="15" customHeight="1">
      <c r="A205" t="inlineStr">
        <is>
          <t>A 54312-2024</t>
        </is>
      </c>
      <c r="B205" s="1" t="n">
        <v>45617.3434837963</v>
      </c>
      <c r="C205" s="1" t="n">
        <v>45878</v>
      </c>
      <c r="D205" t="inlineStr">
        <is>
          <t>DALARNAS LÄN</t>
        </is>
      </c>
      <c r="E205" t="inlineStr">
        <is>
          <t>HEDEMORA</t>
        </is>
      </c>
      <c r="F205" t="inlineStr">
        <is>
          <t>Bergvik skog väst AB</t>
        </is>
      </c>
      <c r="G205" t="n">
        <v>13.9</v>
      </c>
      <c r="H205" t="n">
        <v>0</v>
      </c>
      <c r="I205" t="n">
        <v>0</v>
      </c>
      <c r="J205" t="n">
        <v>0</v>
      </c>
      <c r="K205" t="n">
        <v>0</v>
      </c>
      <c r="L205" t="n">
        <v>0</v>
      </c>
      <c r="M205" t="n">
        <v>0</v>
      </c>
      <c r="N205" t="n">
        <v>0</v>
      </c>
      <c r="O205" t="n">
        <v>0</v>
      </c>
      <c r="P205" t="n">
        <v>0</v>
      </c>
      <c r="Q205" t="n">
        <v>0</v>
      </c>
      <c r="R205" s="2" t="inlineStr"/>
    </row>
    <row r="206" ht="15" customHeight="1">
      <c r="A206" t="inlineStr">
        <is>
          <t>A 29585-2024</t>
        </is>
      </c>
      <c r="B206" s="1" t="n">
        <v>45484.57728009259</v>
      </c>
      <c r="C206" s="1" t="n">
        <v>45878</v>
      </c>
      <c r="D206" t="inlineStr">
        <is>
          <t>DALARNAS LÄN</t>
        </is>
      </c>
      <c r="E206" t="inlineStr">
        <is>
          <t>HEDEMORA</t>
        </is>
      </c>
      <c r="F206" t="inlineStr">
        <is>
          <t>Bergvik skog väst AB</t>
        </is>
      </c>
      <c r="G206" t="n">
        <v>8.1</v>
      </c>
      <c r="H206" t="n">
        <v>0</v>
      </c>
      <c r="I206" t="n">
        <v>0</v>
      </c>
      <c r="J206" t="n">
        <v>0</v>
      </c>
      <c r="K206" t="n">
        <v>0</v>
      </c>
      <c r="L206" t="n">
        <v>0</v>
      </c>
      <c r="M206" t="n">
        <v>0</v>
      </c>
      <c r="N206" t="n">
        <v>0</v>
      </c>
      <c r="O206" t="n">
        <v>0</v>
      </c>
      <c r="P206" t="n">
        <v>0</v>
      </c>
      <c r="Q206" t="n">
        <v>0</v>
      </c>
      <c r="R206" s="2" t="inlineStr"/>
    </row>
    <row r="207" ht="15" customHeight="1">
      <c r="A207" t="inlineStr">
        <is>
          <t>A 69624-2021</t>
        </is>
      </c>
      <c r="B207" s="1" t="n">
        <v>44532.41442129629</v>
      </c>
      <c r="C207" s="1" t="n">
        <v>45878</v>
      </c>
      <c r="D207" t="inlineStr">
        <is>
          <t>DALARNAS LÄN</t>
        </is>
      </c>
      <c r="E207" t="inlineStr">
        <is>
          <t>HEDEMORA</t>
        </is>
      </c>
      <c r="G207" t="n">
        <v>0.4</v>
      </c>
      <c r="H207" t="n">
        <v>0</v>
      </c>
      <c r="I207" t="n">
        <v>0</v>
      </c>
      <c r="J207" t="n">
        <v>0</v>
      </c>
      <c r="K207" t="n">
        <v>0</v>
      </c>
      <c r="L207" t="n">
        <v>0</v>
      </c>
      <c r="M207" t="n">
        <v>0</v>
      </c>
      <c r="N207" t="n">
        <v>0</v>
      </c>
      <c r="O207" t="n">
        <v>0</v>
      </c>
      <c r="P207" t="n">
        <v>0</v>
      </c>
      <c r="Q207" t="n">
        <v>0</v>
      </c>
      <c r="R207" s="2" t="inlineStr"/>
    </row>
    <row r="208" ht="15" customHeight="1">
      <c r="A208" t="inlineStr">
        <is>
          <t>A 63925-2023</t>
        </is>
      </c>
      <c r="B208" s="1" t="n">
        <v>45278</v>
      </c>
      <c r="C208" s="1" t="n">
        <v>45878</v>
      </c>
      <c r="D208" t="inlineStr">
        <is>
          <t>DALARNAS LÄN</t>
        </is>
      </c>
      <c r="E208" t="inlineStr">
        <is>
          <t>HEDEMORA</t>
        </is>
      </c>
      <c r="G208" t="n">
        <v>5.2</v>
      </c>
      <c r="H208" t="n">
        <v>0</v>
      </c>
      <c r="I208" t="n">
        <v>0</v>
      </c>
      <c r="J208" t="n">
        <v>0</v>
      </c>
      <c r="K208" t="n">
        <v>0</v>
      </c>
      <c r="L208" t="n">
        <v>0</v>
      </c>
      <c r="M208" t="n">
        <v>0</v>
      </c>
      <c r="N208" t="n">
        <v>0</v>
      </c>
      <c r="O208" t="n">
        <v>0</v>
      </c>
      <c r="P208" t="n">
        <v>0</v>
      </c>
      <c r="Q208" t="n">
        <v>0</v>
      </c>
      <c r="R208" s="2" t="inlineStr"/>
    </row>
    <row r="209" ht="15" customHeight="1">
      <c r="A209" t="inlineStr">
        <is>
          <t>A 20237-2023</t>
        </is>
      </c>
      <c r="B209" s="1" t="n">
        <v>45055</v>
      </c>
      <c r="C209" s="1" t="n">
        <v>45878</v>
      </c>
      <c r="D209" t="inlineStr">
        <is>
          <t>DALARNAS LÄN</t>
        </is>
      </c>
      <c r="E209" t="inlineStr">
        <is>
          <t>HEDEMORA</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6881-2024</t>
        </is>
      </c>
      <c r="B210" s="1" t="n">
        <v>45342.8779050926</v>
      </c>
      <c r="C210" s="1" t="n">
        <v>45878</v>
      </c>
      <c r="D210" t="inlineStr">
        <is>
          <t>DALARNAS LÄN</t>
        </is>
      </c>
      <c r="E210" t="inlineStr">
        <is>
          <t>HEDEMORA</t>
        </is>
      </c>
      <c r="G210" t="n">
        <v>2.5</v>
      </c>
      <c r="H210" t="n">
        <v>0</v>
      </c>
      <c r="I210" t="n">
        <v>0</v>
      </c>
      <c r="J210" t="n">
        <v>0</v>
      </c>
      <c r="K210" t="n">
        <v>0</v>
      </c>
      <c r="L210" t="n">
        <v>0</v>
      </c>
      <c r="M210" t="n">
        <v>0</v>
      </c>
      <c r="N210" t="n">
        <v>0</v>
      </c>
      <c r="O210" t="n">
        <v>0</v>
      </c>
      <c r="P210" t="n">
        <v>0</v>
      </c>
      <c r="Q210" t="n">
        <v>0</v>
      </c>
      <c r="R210" s="2" t="inlineStr"/>
    </row>
    <row r="211" ht="15" customHeight="1">
      <c r="A211" t="inlineStr">
        <is>
          <t>A 28813-2024</t>
        </is>
      </c>
      <c r="B211" s="1" t="n">
        <v>45478.641875</v>
      </c>
      <c r="C211" s="1" t="n">
        <v>45878</v>
      </c>
      <c r="D211" t="inlineStr">
        <is>
          <t>DALARNAS LÄN</t>
        </is>
      </c>
      <c r="E211" t="inlineStr">
        <is>
          <t>HEDEMORA</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15863-2023</t>
        </is>
      </c>
      <c r="B212" s="1" t="n">
        <v>45022</v>
      </c>
      <c r="C212" s="1" t="n">
        <v>45878</v>
      </c>
      <c r="D212" t="inlineStr">
        <is>
          <t>DALARNAS LÄN</t>
        </is>
      </c>
      <c r="E212" t="inlineStr">
        <is>
          <t>HEDEMORA</t>
        </is>
      </c>
      <c r="F212" t="inlineStr">
        <is>
          <t>Bergvik skog väst AB</t>
        </is>
      </c>
      <c r="G212" t="n">
        <v>4.7</v>
      </c>
      <c r="H212" t="n">
        <v>0</v>
      </c>
      <c r="I212" t="n">
        <v>0</v>
      </c>
      <c r="J212" t="n">
        <v>0</v>
      </c>
      <c r="K212" t="n">
        <v>0</v>
      </c>
      <c r="L212" t="n">
        <v>0</v>
      </c>
      <c r="M212" t="n">
        <v>0</v>
      </c>
      <c r="N212" t="n">
        <v>0</v>
      </c>
      <c r="O212" t="n">
        <v>0</v>
      </c>
      <c r="P212" t="n">
        <v>0</v>
      </c>
      <c r="Q212" t="n">
        <v>0</v>
      </c>
      <c r="R212" s="2" t="inlineStr"/>
    </row>
    <row r="213" ht="15" customHeight="1">
      <c r="A213" t="inlineStr">
        <is>
          <t>A 37762-2024</t>
        </is>
      </c>
      <c r="B213" s="1" t="n">
        <v>45541.79369212963</v>
      </c>
      <c r="C213" s="1" t="n">
        <v>45878</v>
      </c>
      <c r="D213" t="inlineStr">
        <is>
          <t>DALARNAS LÄN</t>
        </is>
      </c>
      <c r="E213" t="inlineStr">
        <is>
          <t>HEDEMORA</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5010-2023</t>
        </is>
      </c>
      <c r="B214" s="1" t="n">
        <v>44956</v>
      </c>
      <c r="C214" s="1" t="n">
        <v>45878</v>
      </c>
      <c r="D214" t="inlineStr">
        <is>
          <t>DALARNAS LÄN</t>
        </is>
      </c>
      <c r="E214" t="inlineStr">
        <is>
          <t>HEDEMORA</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19920-2025</t>
        </is>
      </c>
      <c r="B215" s="1" t="n">
        <v>45771</v>
      </c>
      <c r="C215" s="1" t="n">
        <v>45878</v>
      </c>
      <c r="D215" t="inlineStr">
        <is>
          <t>DALARNAS LÄN</t>
        </is>
      </c>
      <c r="E215" t="inlineStr">
        <is>
          <t>HEDEMORA</t>
        </is>
      </c>
      <c r="G215" t="n">
        <v>2.8</v>
      </c>
      <c r="H215" t="n">
        <v>0</v>
      </c>
      <c r="I215" t="n">
        <v>0</v>
      </c>
      <c r="J215" t="n">
        <v>0</v>
      </c>
      <c r="K215" t="n">
        <v>0</v>
      </c>
      <c r="L215" t="n">
        <v>0</v>
      </c>
      <c r="M215" t="n">
        <v>0</v>
      </c>
      <c r="N215" t="n">
        <v>0</v>
      </c>
      <c r="O215" t="n">
        <v>0</v>
      </c>
      <c r="P215" t="n">
        <v>0</v>
      </c>
      <c r="Q215" t="n">
        <v>0</v>
      </c>
      <c r="R215" s="2" t="inlineStr"/>
    </row>
    <row r="216" ht="15" customHeight="1">
      <c r="A216" t="inlineStr">
        <is>
          <t>A 19353-2024</t>
        </is>
      </c>
      <c r="B216" s="1" t="n">
        <v>45429.29666666667</v>
      </c>
      <c r="C216" s="1" t="n">
        <v>45878</v>
      </c>
      <c r="D216" t="inlineStr">
        <is>
          <t>DALARNAS LÄN</t>
        </is>
      </c>
      <c r="E216" t="inlineStr">
        <is>
          <t>HEDEMORA</t>
        </is>
      </c>
      <c r="F216" t="inlineStr">
        <is>
          <t>Sveaskog</t>
        </is>
      </c>
      <c r="G216" t="n">
        <v>16.3</v>
      </c>
      <c r="H216" t="n">
        <v>0</v>
      </c>
      <c r="I216" t="n">
        <v>0</v>
      </c>
      <c r="J216" t="n">
        <v>0</v>
      </c>
      <c r="K216" t="n">
        <v>0</v>
      </c>
      <c r="L216" t="n">
        <v>0</v>
      </c>
      <c r="M216" t="n">
        <v>0</v>
      </c>
      <c r="N216" t="n">
        <v>0</v>
      </c>
      <c r="O216" t="n">
        <v>0</v>
      </c>
      <c r="P216" t="n">
        <v>0</v>
      </c>
      <c r="Q216" t="n">
        <v>0</v>
      </c>
      <c r="R216" s="2" t="inlineStr"/>
    </row>
    <row r="217" ht="15" customHeight="1">
      <c r="A217" t="inlineStr">
        <is>
          <t>A 34929-2024</t>
        </is>
      </c>
      <c r="B217" s="1" t="n">
        <v>45527.44895833333</v>
      </c>
      <c r="C217" s="1" t="n">
        <v>45878</v>
      </c>
      <c r="D217" t="inlineStr">
        <is>
          <t>DALARNAS LÄN</t>
        </is>
      </c>
      <c r="E217" t="inlineStr">
        <is>
          <t>HEDEMORA</t>
        </is>
      </c>
      <c r="F217" t="inlineStr">
        <is>
          <t>Sveaskog</t>
        </is>
      </c>
      <c r="G217" t="n">
        <v>5.1</v>
      </c>
      <c r="H217" t="n">
        <v>0</v>
      </c>
      <c r="I217" t="n">
        <v>0</v>
      </c>
      <c r="J217" t="n">
        <v>0</v>
      </c>
      <c r="K217" t="n">
        <v>0</v>
      </c>
      <c r="L217" t="n">
        <v>0</v>
      </c>
      <c r="M217" t="n">
        <v>0</v>
      </c>
      <c r="N217" t="n">
        <v>0</v>
      </c>
      <c r="O217" t="n">
        <v>0</v>
      </c>
      <c r="P217" t="n">
        <v>0</v>
      </c>
      <c r="Q217" t="n">
        <v>0</v>
      </c>
      <c r="R217" s="2" t="inlineStr"/>
    </row>
    <row r="218" ht="15" customHeight="1">
      <c r="A218" t="inlineStr">
        <is>
          <t>A 34931-2024</t>
        </is>
      </c>
      <c r="B218" s="1" t="n">
        <v>45527.45292824074</v>
      </c>
      <c r="C218" s="1" t="n">
        <v>45878</v>
      </c>
      <c r="D218" t="inlineStr">
        <is>
          <t>DALARNAS LÄN</t>
        </is>
      </c>
      <c r="E218" t="inlineStr">
        <is>
          <t>HEDEMORA</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1978-2021</t>
        </is>
      </c>
      <c r="B219" s="1" t="n">
        <v>44210.67606481481</v>
      </c>
      <c r="C219" s="1" t="n">
        <v>45878</v>
      </c>
      <c r="D219" t="inlineStr">
        <is>
          <t>DALARNAS LÄN</t>
        </is>
      </c>
      <c r="E219" t="inlineStr">
        <is>
          <t>HEDEMORA</t>
        </is>
      </c>
      <c r="G219" t="n">
        <v>1</v>
      </c>
      <c r="H219" t="n">
        <v>0</v>
      </c>
      <c r="I219" t="n">
        <v>0</v>
      </c>
      <c r="J219" t="n">
        <v>0</v>
      </c>
      <c r="K219" t="n">
        <v>0</v>
      </c>
      <c r="L219" t="n">
        <v>0</v>
      </c>
      <c r="M219" t="n">
        <v>0</v>
      </c>
      <c r="N219" t="n">
        <v>0</v>
      </c>
      <c r="O219" t="n">
        <v>0</v>
      </c>
      <c r="P219" t="n">
        <v>0</v>
      </c>
      <c r="Q219" t="n">
        <v>0</v>
      </c>
      <c r="R219" s="2" t="inlineStr"/>
    </row>
    <row r="220" ht="15" customHeight="1">
      <c r="A220" t="inlineStr">
        <is>
          <t>A 44384-2024</t>
        </is>
      </c>
      <c r="B220" s="1" t="n">
        <v>45573.67782407408</v>
      </c>
      <c r="C220" s="1" t="n">
        <v>45878</v>
      </c>
      <c r="D220" t="inlineStr">
        <is>
          <t>DALARNAS LÄN</t>
        </is>
      </c>
      <c r="E220" t="inlineStr">
        <is>
          <t>HEDEMORA</t>
        </is>
      </c>
      <c r="F220" t="inlineStr">
        <is>
          <t>Bergvik skog väst AB</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44388-2024</t>
        </is>
      </c>
      <c r="B221" s="1" t="n">
        <v>45573.68875</v>
      </c>
      <c r="C221" s="1" t="n">
        <v>45878</v>
      </c>
      <c r="D221" t="inlineStr">
        <is>
          <t>DALARNAS LÄN</t>
        </is>
      </c>
      <c r="E221" t="inlineStr">
        <is>
          <t>HEDEMORA</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19988-2025</t>
        </is>
      </c>
      <c r="B222" s="1" t="n">
        <v>45771.72665509259</v>
      </c>
      <c r="C222" s="1" t="n">
        <v>45878</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52199-2021</t>
        </is>
      </c>
      <c r="B223" s="1" t="n">
        <v>44462</v>
      </c>
      <c r="C223" s="1" t="n">
        <v>45878</v>
      </c>
      <c r="D223" t="inlineStr">
        <is>
          <t>DALARNAS LÄN</t>
        </is>
      </c>
      <c r="E223" t="inlineStr">
        <is>
          <t>HEDEMORA</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29640-2024</t>
        </is>
      </c>
      <c r="B224" s="1" t="n">
        <v>45484.69837962963</v>
      </c>
      <c r="C224" s="1" t="n">
        <v>45878</v>
      </c>
      <c r="D224" t="inlineStr">
        <is>
          <t>DALARNAS LÄN</t>
        </is>
      </c>
      <c r="E224" t="inlineStr">
        <is>
          <t>HEDEMORA</t>
        </is>
      </c>
      <c r="F224" t="inlineStr">
        <is>
          <t>Bergvik skog väst AB</t>
        </is>
      </c>
      <c r="G224" t="n">
        <v>8.6</v>
      </c>
      <c r="H224" t="n">
        <v>0</v>
      </c>
      <c r="I224" t="n">
        <v>0</v>
      </c>
      <c r="J224" t="n">
        <v>0</v>
      </c>
      <c r="K224" t="n">
        <v>0</v>
      </c>
      <c r="L224" t="n">
        <v>0</v>
      </c>
      <c r="M224" t="n">
        <v>0</v>
      </c>
      <c r="N224" t="n">
        <v>0</v>
      </c>
      <c r="O224" t="n">
        <v>0</v>
      </c>
      <c r="P224" t="n">
        <v>0</v>
      </c>
      <c r="Q224" t="n">
        <v>0</v>
      </c>
      <c r="R224" s="2" t="inlineStr"/>
    </row>
    <row r="225" ht="15" customHeight="1">
      <c r="A225" t="inlineStr">
        <is>
          <t>A 23435-2025</t>
        </is>
      </c>
      <c r="B225" s="1" t="n">
        <v>45792.37162037037</v>
      </c>
      <c r="C225" s="1" t="n">
        <v>45878</v>
      </c>
      <c r="D225" t="inlineStr">
        <is>
          <t>DALARNAS LÄN</t>
        </is>
      </c>
      <c r="E225" t="inlineStr">
        <is>
          <t>HEDEMORA</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58841-2023</t>
        </is>
      </c>
      <c r="B226" s="1" t="n">
        <v>45252.42115740741</v>
      </c>
      <c r="C226" s="1" t="n">
        <v>45878</v>
      </c>
      <c r="D226" t="inlineStr">
        <is>
          <t>DALARNAS LÄN</t>
        </is>
      </c>
      <c r="E226" t="inlineStr">
        <is>
          <t>HEDEMORA</t>
        </is>
      </c>
      <c r="G226" t="n">
        <v>14.8</v>
      </c>
      <c r="H226" t="n">
        <v>0</v>
      </c>
      <c r="I226" t="n">
        <v>0</v>
      </c>
      <c r="J226" t="n">
        <v>0</v>
      </c>
      <c r="K226" t="n">
        <v>0</v>
      </c>
      <c r="L226" t="n">
        <v>0</v>
      </c>
      <c r="M226" t="n">
        <v>0</v>
      </c>
      <c r="N226" t="n">
        <v>0</v>
      </c>
      <c r="O226" t="n">
        <v>0</v>
      </c>
      <c r="P226" t="n">
        <v>0</v>
      </c>
      <c r="Q226" t="n">
        <v>0</v>
      </c>
      <c r="R226" s="2" t="inlineStr"/>
    </row>
    <row r="227" ht="15" customHeight="1">
      <c r="A227" t="inlineStr">
        <is>
          <t>A 34928-2024</t>
        </is>
      </c>
      <c r="B227" s="1" t="n">
        <v>45527.44613425926</v>
      </c>
      <c r="C227" s="1" t="n">
        <v>45878</v>
      </c>
      <c r="D227" t="inlineStr">
        <is>
          <t>DALARNAS LÄN</t>
        </is>
      </c>
      <c r="E227" t="inlineStr">
        <is>
          <t>HEDEMORA</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39530-2024</t>
        </is>
      </c>
      <c r="B228" s="1" t="n">
        <v>45551</v>
      </c>
      <c r="C228" s="1" t="n">
        <v>45878</v>
      </c>
      <c r="D228" t="inlineStr">
        <is>
          <t>DALARNAS LÄN</t>
        </is>
      </c>
      <c r="E228" t="inlineStr">
        <is>
          <t>HEDEMORA</t>
        </is>
      </c>
      <c r="F228" t="inlineStr">
        <is>
          <t>Bergvik skog väst AB</t>
        </is>
      </c>
      <c r="G228" t="n">
        <v>13.8</v>
      </c>
      <c r="H228" t="n">
        <v>0</v>
      </c>
      <c r="I228" t="n">
        <v>0</v>
      </c>
      <c r="J228" t="n">
        <v>0</v>
      </c>
      <c r="K228" t="n">
        <v>0</v>
      </c>
      <c r="L228" t="n">
        <v>0</v>
      </c>
      <c r="M228" t="n">
        <v>0</v>
      </c>
      <c r="N228" t="n">
        <v>0</v>
      </c>
      <c r="O228" t="n">
        <v>0</v>
      </c>
      <c r="P228" t="n">
        <v>0</v>
      </c>
      <c r="Q228" t="n">
        <v>0</v>
      </c>
      <c r="R228" s="2" t="inlineStr"/>
    </row>
    <row r="229" ht="15" customHeight="1">
      <c r="A229" t="inlineStr">
        <is>
          <t>A 39531-2024</t>
        </is>
      </c>
      <c r="B229" s="1" t="n">
        <v>45551</v>
      </c>
      <c r="C229" s="1" t="n">
        <v>45878</v>
      </c>
      <c r="D229" t="inlineStr">
        <is>
          <t>DALARNAS LÄN</t>
        </is>
      </c>
      <c r="E229" t="inlineStr">
        <is>
          <t>HEDEMORA</t>
        </is>
      </c>
      <c r="F229" t="inlineStr">
        <is>
          <t>Bergvik skog väst AB</t>
        </is>
      </c>
      <c r="G229" t="n">
        <v>1.9</v>
      </c>
      <c r="H229" t="n">
        <v>0</v>
      </c>
      <c r="I229" t="n">
        <v>0</v>
      </c>
      <c r="J229" t="n">
        <v>0</v>
      </c>
      <c r="K229" t="n">
        <v>0</v>
      </c>
      <c r="L229" t="n">
        <v>0</v>
      </c>
      <c r="M229" t="n">
        <v>0</v>
      </c>
      <c r="N229" t="n">
        <v>0</v>
      </c>
      <c r="O229" t="n">
        <v>0</v>
      </c>
      <c r="P229" t="n">
        <v>0</v>
      </c>
      <c r="Q229" t="n">
        <v>0</v>
      </c>
      <c r="R229" s="2" t="inlineStr"/>
    </row>
    <row r="230" ht="15" customHeight="1">
      <c r="A230" t="inlineStr">
        <is>
          <t>A 39552-2024</t>
        </is>
      </c>
      <c r="B230" s="1" t="n">
        <v>45551</v>
      </c>
      <c r="C230" s="1" t="n">
        <v>45878</v>
      </c>
      <c r="D230" t="inlineStr">
        <is>
          <t>DALARNAS LÄN</t>
        </is>
      </c>
      <c r="E230" t="inlineStr">
        <is>
          <t>HEDEMORA</t>
        </is>
      </c>
      <c r="F230" t="inlineStr">
        <is>
          <t>Bergvik skog väst AB</t>
        </is>
      </c>
      <c r="G230" t="n">
        <v>24.1</v>
      </c>
      <c r="H230" t="n">
        <v>0</v>
      </c>
      <c r="I230" t="n">
        <v>0</v>
      </c>
      <c r="J230" t="n">
        <v>0</v>
      </c>
      <c r="K230" t="n">
        <v>0</v>
      </c>
      <c r="L230" t="n">
        <v>0</v>
      </c>
      <c r="M230" t="n">
        <v>0</v>
      </c>
      <c r="N230" t="n">
        <v>0</v>
      </c>
      <c r="O230" t="n">
        <v>0</v>
      </c>
      <c r="P230" t="n">
        <v>0</v>
      </c>
      <c r="Q230" t="n">
        <v>0</v>
      </c>
      <c r="R230" s="2" t="inlineStr"/>
    </row>
    <row r="231" ht="15" customHeight="1">
      <c r="A231" t="inlineStr">
        <is>
          <t>A 48321-2024</t>
        </is>
      </c>
      <c r="B231" s="1" t="n">
        <v>45590.50111111111</v>
      </c>
      <c r="C231" s="1" t="n">
        <v>45878</v>
      </c>
      <c r="D231" t="inlineStr">
        <is>
          <t>DALARNAS LÄN</t>
        </is>
      </c>
      <c r="E231" t="inlineStr">
        <is>
          <t>HEDEMORA</t>
        </is>
      </c>
      <c r="F231" t="inlineStr">
        <is>
          <t>Sveaskog</t>
        </is>
      </c>
      <c r="G231" t="n">
        <v>5.2</v>
      </c>
      <c r="H231" t="n">
        <v>0</v>
      </c>
      <c r="I231" t="n">
        <v>0</v>
      </c>
      <c r="J231" t="n">
        <v>0</v>
      </c>
      <c r="K231" t="n">
        <v>0</v>
      </c>
      <c r="L231" t="n">
        <v>0</v>
      </c>
      <c r="M231" t="n">
        <v>0</v>
      </c>
      <c r="N231" t="n">
        <v>0</v>
      </c>
      <c r="O231" t="n">
        <v>0</v>
      </c>
      <c r="P231" t="n">
        <v>0</v>
      </c>
      <c r="Q231" t="n">
        <v>0</v>
      </c>
      <c r="R231" s="2" t="inlineStr"/>
    </row>
    <row r="232" ht="15" customHeight="1">
      <c r="A232" t="inlineStr">
        <is>
          <t>A 53586-2023</t>
        </is>
      </c>
      <c r="B232" s="1" t="n">
        <v>45230.52603009259</v>
      </c>
      <c r="C232" s="1" t="n">
        <v>45878</v>
      </c>
      <c r="D232" t="inlineStr">
        <is>
          <t>DALARNAS LÄN</t>
        </is>
      </c>
      <c r="E232" t="inlineStr">
        <is>
          <t>HEDEMORA</t>
        </is>
      </c>
      <c r="G232" t="n">
        <v>2.4</v>
      </c>
      <c r="H232" t="n">
        <v>0</v>
      </c>
      <c r="I232" t="n">
        <v>0</v>
      </c>
      <c r="J232" t="n">
        <v>0</v>
      </c>
      <c r="K232" t="n">
        <v>0</v>
      </c>
      <c r="L232" t="n">
        <v>0</v>
      </c>
      <c r="M232" t="n">
        <v>0</v>
      </c>
      <c r="N232" t="n">
        <v>0</v>
      </c>
      <c r="O232" t="n">
        <v>0</v>
      </c>
      <c r="P232" t="n">
        <v>0</v>
      </c>
      <c r="Q232" t="n">
        <v>0</v>
      </c>
      <c r="R232" s="2" t="inlineStr"/>
    </row>
    <row r="233" ht="15" customHeight="1">
      <c r="A233" t="inlineStr">
        <is>
          <t>A 44957-2021</t>
        </is>
      </c>
      <c r="B233" s="1" t="n">
        <v>44438.71809027778</v>
      </c>
      <c r="C233" s="1" t="n">
        <v>45878</v>
      </c>
      <c r="D233" t="inlineStr">
        <is>
          <t>DALARNAS LÄN</t>
        </is>
      </c>
      <c r="E233" t="inlineStr">
        <is>
          <t>HEDEMORA</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15635-2022</t>
        </is>
      </c>
      <c r="B234" s="1" t="n">
        <v>44662.84958333334</v>
      </c>
      <c r="C234" s="1" t="n">
        <v>45878</v>
      </c>
      <c r="D234" t="inlineStr">
        <is>
          <t>DALARNAS LÄN</t>
        </is>
      </c>
      <c r="E234" t="inlineStr">
        <is>
          <t>HEDEMORA</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45377-2024</t>
        </is>
      </c>
      <c r="B235" s="1" t="n">
        <v>45576.51962962963</v>
      </c>
      <c r="C235" s="1" t="n">
        <v>45878</v>
      </c>
      <c r="D235" t="inlineStr">
        <is>
          <t>DALARNAS LÄN</t>
        </is>
      </c>
      <c r="E235" t="inlineStr">
        <is>
          <t>HEDEMORA</t>
        </is>
      </c>
      <c r="G235" t="n">
        <v>1.4</v>
      </c>
      <c r="H235" t="n">
        <v>0</v>
      </c>
      <c r="I235" t="n">
        <v>0</v>
      </c>
      <c r="J235" t="n">
        <v>0</v>
      </c>
      <c r="K235" t="n">
        <v>0</v>
      </c>
      <c r="L235" t="n">
        <v>0</v>
      </c>
      <c r="M235" t="n">
        <v>0</v>
      </c>
      <c r="N235" t="n">
        <v>0</v>
      </c>
      <c r="O235" t="n">
        <v>0</v>
      </c>
      <c r="P235" t="n">
        <v>0</v>
      </c>
      <c r="Q235" t="n">
        <v>0</v>
      </c>
      <c r="R235" s="2" t="inlineStr"/>
    </row>
    <row r="236" ht="15" customHeight="1">
      <c r="A236" t="inlineStr">
        <is>
          <t>A 23675-2025</t>
        </is>
      </c>
      <c r="B236" s="1" t="n">
        <v>45793.31391203704</v>
      </c>
      <c r="C236" s="1" t="n">
        <v>45878</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6556-2023</t>
        </is>
      </c>
      <c r="B237" s="1" t="n">
        <v>44961</v>
      </c>
      <c r="C237" s="1" t="n">
        <v>45878</v>
      </c>
      <c r="D237" t="inlineStr">
        <is>
          <t>DALARNAS LÄN</t>
        </is>
      </c>
      <c r="E237" t="inlineStr">
        <is>
          <t>HEDEMORA</t>
        </is>
      </c>
      <c r="G237" t="n">
        <v>3.7</v>
      </c>
      <c r="H237" t="n">
        <v>0</v>
      </c>
      <c r="I237" t="n">
        <v>0</v>
      </c>
      <c r="J237" t="n">
        <v>0</v>
      </c>
      <c r="K237" t="n">
        <v>0</v>
      </c>
      <c r="L237" t="n">
        <v>0</v>
      </c>
      <c r="M237" t="n">
        <v>0</v>
      </c>
      <c r="N237" t="n">
        <v>0</v>
      </c>
      <c r="O237" t="n">
        <v>0</v>
      </c>
      <c r="P237" t="n">
        <v>0</v>
      </c>
      <c r="Q237" t="n">
        <v>0</v>
      </c>
      <c r="R237" s="2" t="inlineStr"/>
    </row>
    <row r="238" ht="15" customHeight="1">
      <c r="A238" t="inlineStr">
        <is>
          <t>A 7916-2024</t>
        </is>
      </c>
      <c r="B238" s="1" t="n">
        <v>45350.46259259259</v>
      </c>
      <c r="C238" s="1" t="n">
        <v>45878</v>
      </c>
      <c r="D238" t="inlineStr">
        <is>
          <t>DALARNAS LÄN</t>
        </is>
      </c>
      <c r="E238" t="inlineStr">
        <is>
          <t>HEDEMORA</t>
        </is>
      </c>
      <c r="G238" t="n">
        <v>5.8</v>
      </c>
      <c r="H238" t="n">
        <v>0</v>
      </c>
      <c r="I238" t="n">
        <v>0</v>
      </c>
      <c r="J238" t="n">
        <v>0</v>
      </c>
      <c r="K238" t="n">
        <v>0</v>
      </c>
      <c r="L238" t="n">
        <v>0</v>
      </c>
      <c r="M238" t="n">
        <v>0</v>
      </c>
      <c r="N238" t="n">
        <v>0</v>
      </c>
      <c r="O238" t="n">
        <v>0</v>
      </c>
      <c r="P238" t="n">
        <v>0</v>
      </c>
      <c r="Q238" t="n">
        <v>0</v>
      </c>
      <c r="R238" s="2" t="inlineStr"/>
    </row>
    <row r="239" ht="15" customHeight="1">
      <c r="A239" t="inlineStr">
        <is>
          <t>A 25195-2024</t>
        </is>
      </c>
      <c r="B239" s="1" t="n">
        <v>45462</v>
      </c>
      <c r="C239" s="1" t="n">
        <v>45878</v>
      </c>
      <c r="D239" t="inlineStr">
        <is>
          <t>DALARNAS LÄN</t>
        </is>
      </c>
      <c r="E239" t="inlineStr">
        <is>
          <t>HEDEMORA</t>
        </is>
      </c>
      <c r="F239" t="inlineStr">
        <is>
          <t>Övriga statliga verk och myndigheter</t>
        </is>
      </c>
      <c r="G239" t="n">
        <v>3.3</v>
      </c>
      <c r="H239" t="n">
        <v>0</v>
      </c>
      <c r="I239" t="n">
        <v>0</v>
      </c>
      <c r="J239" t="n">
        <v>0</v>
      </c>
      <c r="K239" t="n">
        <v>0</v>
      </c>
      <c r="L239" t="n">
        <v>0</v>
      </c>
      <c r="M239" t="n">
        <v>0</v>
      </c>
      <c r="N239" t="n">
        <v>0</v>
      </c>
      <c r="O239" t="n">
        <v>0</v>
      </c>
      <c r="P239" t="n">
        <v>0</v>
      </c>
      <c r="Q239" t="n">
        <v>0</v>
      </c>
      <c r="R239" s="2" t="inlineStr"/>
    </row>
    <row r="240" ht="15" customHeight="1">
      <c r="A240" t="inlineStr">
        <is>
          <t>A 32869-2025</t>
        </is>
      </c>
      <c r="B240" s="1" t="n">
        <v>45839.58927083333</v>
      </c>
      <c r="C240" s="1" t="n">
        <v>45878</v>
      </c>
      <c r="D240" t="inlineStr">
        <is>
          <t>DALARNAS LÄN</t>
        </is>
      </c>
      <c r="E240" t="inlineStr">
        <is>
          <t>HEDEMORA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52944-2024</t>
        </is>
      </c>
      <c r="B241" s="1" t="n">
        <v>45610.82546296297</v>
      </c>
      <c r="C241" s="1" t="n">
        <v>45878</v>
      </c>
      <c r="D241" t="inlineStr">
        <is>
          <t>DALARNAS LÄN</t>
        </is>
      </c>
      <c r="E241" t="inlineStr">
        <is>
          <t>HEDEMORA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33009-2025</t>
        </is>
      </c>
      <c r="B242" s="1" t="n">
        <v>45840</v>
      </c>
      <c r="C242" s="1" t="n">
        <v>45878</v>
      </c>
      <c r="D242" t="inlineStr">
        <is>
          <t>DALARNAS LÄN</t>
        </is>
      </c>
      <c r="E242" t="inlineStr">
        <is>
          <t>HEDEMORA</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33286-2025</t>
        </is>
      </c>
      <c r="B243" s="1" t="n">
        <v>45840.81065972222</v>
      </c>
      <c r="C243" s="1" t="n">
        <v>45878</v>
      </c>
      <c r="D243" t="inlineStr">
        <is>
          <t>DALARNAS LÄN</t>
        </is>
      </c>
      <c r="E243" t="inlineStr">
        <is>
          <t>HEDEMORA</t>
        </is>
      </c>
      <c r="F243" t="inlineStr">
        <is>
          <t>Sveaskog</t>
        </is>
      </c>
      <c r="G243" t="n">
        <v>7.1</v>
      </c>
      <c r="H243" t="n">
        <v>0</v>
      </c>
      <c r="I243" t="n">
        <v>0</v>
      </c>
      <c r="J243" t="n">
        <v>0</v>
      </c>
      <c r="K243" t="n">
        <v>0</v>
      </c>
      <c r="L243" t="n">
        <v>0</v>
      </c>
      <c r="M243" t="n">
        <v>0</v>
      </c>
      <c r="N243" t="n">
        <v>0</v>
      </c>
      <c r="O243" t="n">
        <v>0</v>
      </c>
      <c r="P243" t="n">
        <v>0</v>
      </c>
      <c r="Q243" t="n">
        <v>0</v>
      </c>
      <c r="R243" s="2" t="inlineStr"/>
    </row>
    <row r="244" ht="15" customHeight="1">
      <c r="A244" t="inlineStr">
        <is>
          <t>A 14456-2021</t>
        </is>
      </c>
      <c r="B244" s="1" t="n">
        <v>44279.50208333333</v>
      </c>
      <c r="C244" s="1" t="n">
        <v>45878</v>
      </c>
      <c r="D244" t="inlineStr">
        <is>
          <t>DALARNAS LÄN</t>
        </is>
      </c>
      <c r="E244" t="inlineStr">
        <is>
          <t>HEDEMORA</t>
        </is>
      </c>
      <c r="G244" t="n">
        <v>1.2</v>
      </c>
      <c r="H244" t="n">
        <v>0</v>
      </c>
      <c r="I244" t="n">
        <v>0</v>
      </c>
      <c r="J244" t="n">
        <v>0</v>
      </c>
      <c r="K244" t="n">
        <v>0</v>
      </c>
      <c r="L244" t="n">
        <v>0</v>
      </c>
      <c r="M244" t="n">
        <v>0</v>
      </c>
      <c r="N244" t="n">
        <v>0</v>
      </c>
      <c r="O244" t="n">
        <v>0</v>
      </c>
      <c r="P244" t="n">
        <v>0</v>
      </c>
      <c r="Q244" t="n">
        <v>0</v>
      </c>
      <c r="R244" s="2" t="inlineStr"/>
    </row>
    <row r="245" ht="15" customHeight="1">
      <c r="A245" t="inlineStr">
        <is>
          <t>A 12133-2025</t>
        </is>
      </c>
      <c r="B245" s="1" t="n">
        <v>45729.38878472222</v>
      </c>
      <c r="C245" s="1" t="n">
        <v>45878</v>
      </c>
      <c r="D245" t="inlineStr">
        <is>
          <t>DALARNAS LÄN</t>
        </is>
      </c>
      <c r="E245" t="inlineStr">
        <is>
          <t>HEDEMORA</t>
        </is>
      </c>
      <c r="G245" t="n">
        <v>4.8</v>
      </c>
      <c r="H245" t="n">
        <v>0</v>
      </c>
      <c r="I245" t="n">
        <v>0</v>
      </c>
      <c r="J245" t="n">
        <v>0</v>
      </c>
      <c r="K245" t="n">
        <v>0</v>
      </c>
      <c r="L245" t="n">
        <v>0</v>
      </c>
      <c r="M245" t="n">
        <v>0</v>
      </c>
      <c r="N245" t="n">
        <v>0</v>
      </c>
      <c r="O245" t="n">
        <v>0</v>
      </c>
      <c r="P245" t="n">
        <v>0</v>
      </c>
      <c r="Q245" t="n">
        <v>0</v>
      </c>
      <c r="R245" s="2" t="inlineStr"/>
    </row>
    <row r="246" ht="15" customHeight="1">
      <c r="A246" t="inlineStr">
        <is>
          <t>A 33287-2025</t>
        </is>
      </c>
      <c r="B246" s="1" t="n">
        <v>45840.81216435185</v>
      </c>
      <c r="C246" s="1" t="n">
        <v>45878</v>
      </c>
      <c r="D246" t="inlineStr">
        <is>
          <t>DALARNAS LÄN</t>
        </is>
      </c>
      <c r="E246" t="inlineStr">
        <is>
          <t>HEDEMORA</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6441-2021</t>
        </is>
      </c>
      <c r="B247" s="1" t="n">
        <v>44235</v>
      </c>
      <c r="C247" s="1" t="n">
        <v>45878</v>
      </c>
      <c r="D247" t="inlineStr">
        <is>
          <t>DALARNAS LÄN</t>
        </is>
      </c>
      <c r="E247" t="inlineStr">
        <is>
          <t>HEDEMORA</t>
        </is>
      </c>
      <c r="G247" t="n">
        <v>0.7</v>
      </c>
      <c r="H247" t="n">
        <v>0</v>
      </c>
      <c r="I247" t="n">
        <v>0</v>
      </c>
      <c r="J247" t="n">
        <v>0</v>
      </c>
      <c r="K247" t="n">
        <v>0</v>
      </c>
      <c r="L247" t="n">
        <v>0</v>
      </c>
      <c r="M247" t="n">
        <v>0</v>
      </c>
      <c r="N247" t="n">
        <v>0</v>
      </c>
      <c r="O247" t="n">
        <v>0</v>
      </c>
      <c r="P247" t="n">
        <v>0</v>
      </c>
      <c r="Q247" t="n">
        <v>0</v>
      </c>
      <c r="R247" s="2" t="inlineStr"/>
    </row>
    <row r="248" ht="15" customHeight="1">
      <c r="A248" t="inlineStr">
        <is>
          <t>A 32865-2025</t>
        </is>
      </c>
      <c r="B248" s="1" t="n">
        <v>45839.58767361111</v>
      </c>
      <c r="C248" s="1" t="n">
        <v>45878</v>
      </c>
      <c r="D248" t="inlineStr">
        <is>
          <t>DALARNAS LÄN</t>
        </is>
      </c>
      <c r="E248" t="inlineStr">
        <is>
          <t>HEDEMORA</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22222-2023</t>
        </is>
      </c>
      <c r="B249" s="1" t="n">
        <v>45069.93758101852</v>
      </c>
      <c r="C249" s="1" t="n">
        <v>45878</v>
      </c>
      <c r="D249" t="inlineStr">
        <is>
          <t>DALARNAS LÄN</t>
        </is>
      </c>
      <c r="E249" t="inlineStr">
        <is>
          <t>HEDEMORA</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19690-2025</t>
        </is>
      </c>
      <c r="B250" s="1" t="n">
        <v>45770.88761574074</v>
      </c>
      <c r="C250" s="1" t="n">
        <v>45878</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59632-2023</t>
        </is>
      </c>
      <c r="B251" s="1" t="n">
        <v>45254</v>
      </c>
      <c r="C251" s="1" t="n">
        <v>45878</v>
      </c>
      <c r="D251" t="inlineStr">
        <is>
          <t>DALARNAS LÄN</t>
        </is>
      </c>
      <c r="E251" t="inlineStr">
        <is>
          <t>HEDEMORA</t>
        </is>
      </c>
      <c r="G251" t="n">
        <v>1.4</v>
      </c>
      <c r="H251" t="n">
        <v>0</v>
      </c>
      <c r="I251" t="n">
        <v>0</v>
      </c>
      <c r="J251" t="n">
        <v>0</v>
      </c>
      <c r="K251" t="n">
        <v>0</v>
      </c>
      <c r="L251" t="n">
        <v>0</v>
      </c>
      <c r="M251" t="n">
        <v>0</v>
      </c>
      <c r="N251" t="n">
        <v>0</v>
      </c>
      <c r="O251" t="n">
        <v>0</v>
      </c>
      <c r="P251" t="n">
        <v>0</v>
      </c>
      <c r="Q251" t="n">
        <v>0</v>
      </c>
      <c r="R251" s="2" t="inlineStr"/>
    </row>
    <row r="252" ht="15" customHeight="1">
      <c r="A252" t="inlineStr">
        <is>
          <t>A 33288-2025</t>
        </is>
      </c>
      <c r="B252" s="1" t="n">
        <v>45840</v>
      </c>
      <c r="C252" s="1" t="n">
        <v>45878</v>
      </c>
      <c r="D252" t="inlineStr">
        <is>
          <t>DALARNAS LÄN</t>
        </is>
      </c>
      <c r="E252" t="inlineStr">
        <is>
          <t>HEDEMORA</t>
        </is>
      </c>
      <c r="F252" t="inlineStr">
        <is>
          <t>Sveaskog</t>
        </is>
      </c>
      <c r="G252" t="n">
        <v>3.5</v>
      </c>
      <c r="H252" t="n">
        <v>0</v>
      </c>
      <c r="I252" t="n">
        <v>0</v>
      </c>
      <c r="J252" t="n">
        <v>0</v>
      </c>
      <c r="K252" t="n">
        <v>0</v>
      </c>
      <c r="L252" t="n">
        <v>0</v>
      </c>
      <c r="M252" t="n">
        <v>0</v>
      </c>
      <c r="N252" t="n">
        <v>0</v>
      </c>
      <c r="O252" t="n">
        <v>0</v>
      </c>
      <c r="P252" t="n">
        <v>0</v>
      </c>
      <c r="Q252" t="n">
        <v>0</v>
      </c>
      <c r="R252" s="2" t="inlineStr"/>
    </row>
    <row r="253" ht="15" customHeight="1">
      <c r="A253" t="inlineStr">
        <is>
          <t>A 25021-2025</t>
        </is>
      </c>
      <c r="B253" s="1" t="n">
        <v>45799.64574074074</v>
      </c>
      <c r="C253" s="1" t="n">
        <v>45878</v>
      </c>
      <c r="D253" t="inlineStr">
        <is>
          <t>DALARNAS LÄN</t>
        </is>
      </c>
      <c r="E253" t="inlineStr">
        <is>
          <t>HEDEMORA</t>
        </is>
      </c>
      <c r="G253" t="n">
        <v>0.7</v>
      </c>
      <c r="H253" t="n">
        <v>0</v>
      </c>
      <c r="I253" t="n">
        <v>0</v>
      </c>
      <c r="J253" t="n">
        <v>0</v>
      </c>
      <c r="K253" t="n">
        <v>0</v>
      </c>
      <c r="L253" t="n">
        <v>0</v>
      </c>
      <c r="M253" t="n">
        <v>0</v>
      </c>
      <c r="N253" t="n">
        <v>0</v>
      </c>
      <c r="O253" t="n">
        <v>0</v>
      </c>
      <c r="P253" t="n">
        <v>0</v>
      </c>
      <c r="Q253" t="n">
        <v>0</v>
      </c>
      <c r="R253" s="2" t="inlineStr"/>
    </row>
    <row r="254" ht="15" customHeight="1">
      <c r="A254" t="inlineStr">
        <is>
          <t>A 32738-2022</t>
        </is>
      </c>
      <c r="B254" s="1" t="n">
        <v>44783.68931712963</v>
      </c>
      <c r="C254" s="1" t="n">
        <v>45878</v>
      </c>
      <c r="D254" t="inlineStr">
        <is>
          <t>DALARNAS LÄN</t>
        </is>
      </c>
      <c r="E254" t="inlineStr">
        <is>
          <t>HEDEMORA</t>
        </is>
      </c>
      <c r="G254" t="n">
        <v>2.6</v>
      </c>
      <c r="H254" t="n">
        <v>0</v>
      </c>
      <c r="I254" t="n">
        <v>0</v>
      </c>
      <c r="J254" t="n">
        <v>0</v>
      </c>
      <c r="K254" t="n">
        <v>0</v>
      </c>
      <c r="L254" t="n">
        <v>0</v>
      </c>
      <c r="M254" t="n">
        <v>0</v>
      </c>
      <c r="N254" t="n">
        <v>0</v>
      </c>
      <c r="O254" t="n">
        <v>0</v>
      </c>
      <c r="P254" t="n">
        <v>0</v>
      </c>
      <c r="Q254" t="n">
        <v>0</v>
      </c>
      <c r="R254" s="2" t="inlineStr"/>
    </row>
    <row r="255" ht="15" customHeight="1">
      <c r="A255" t="inlineStr">
        <is>
          <t>A 19397-2024</t>
        </is>
      </c>
      <c r="B255" s="1" t="n">
        <v>45429.38474537037</v>
      </c>
      <c r="C255" s="1" t="n">
        <v>45878</v>
      </c>
      <c r="D255" t="inlineStr">
        <is>
          <t>DALARNAS LÄN</t>
        </is>
      </c>
      <c r="E255" t="inlineStr">
        <is>
          <t>HEDEMORA</t>
        </is>
      </c>
      <c r="G255" t="n">
        <v>1.8</v>
      </c>
      <c r="H255" t="n">
        <v>0</v>
      </c>
      <c r="I255" t="n">
        <v>0</v>
      </c>
      <c r="J255" t="n">
        <v>0</v>
      </c>
      <c r="K255" t="n">
        <v>0</v>
      </c>
      <c r="L255" t="n">
        <v>0</v>
      </c>
      <c r="M255" t="n">
        <v>0</v>
      </c>
      <c r="N255" t="n">
        <v>0</v>
      </c>
      <c r="O255" t="n">
        <v>0</v>
      </c>
      <c r="P255" t="n">
        <v>0</v>
      </c>
      <c r="Q255" t="n">
        <v>0</v>
      </c>
      <c r="R255" s="2" t="inlineStr"/>
    </row>
    <row r="256" ht="15" customHeight="1">
      <c r="A256" t="inlineStr">
        <is>
          <t>A 33968-2025</t>
        </is>
      </c>
      <c r="B256" s="1" t="n">
        <v>45842</v>
      </c>
      <c r="C256" s="1" t="n">
        <v>45878</v>
      </c>
      <c r="D256" t="inlineStr">
        <is>
          <t>DALARNAS LÄN</t>
        </is>
      </c>
      <c r="E256" t="inlineStr">
        <is>
          <t>HEDEMORA</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63908-2021</t>
        </is>
      </c>
      <c r="B257" s="1" t="n">
        <v>44509.6580787037</v>
      </c>
      <c r="C257" s="1" t="n">
        <v>45878</v>
      </c>
      <c r="D257" t="inlineStr">
        <is>
          <t>DALARNAS LÄN</t>
        </is>
      </c>
      <c r="E257" t="inlineStr">
        <is>
          <t>HEDEMORA</t>
        </is>
      </c>
      <c r="G257" t="n">
        <v>1.4</v>
      </c>
      <c r="H257" t="n">
        <v>0</v>
      </c>
      <c r="I257" t="n">
        <v>0</v>
      </c>
      <c r="J257" t="n">
        <v>0</v>
      </c>
      <c r="K257" t="n">
        <v>0</v>
      </c>
      <c r="L257" t="n">
        <v>0</v>
      </c>
      <c r="M257" t="n">
        <v>0</v>
      </c>
      <c r="N257" t="n">
        <v>0</v>
      </c>
      <c r="O257" t="n">
        <v>0</v>
      </c>
      <c r="P257" t="n">
        <v>0</v>
      </c>
      <c r="Q257" t="n">
        <v>0</v>
      </c>
      <c r="R257" s="2" t="inlineStr"/>
    </row>
    <row r="258" ht="15" customHeight="1">
      <c r="A258" t="inlineStr">
        <is>
          <t>A 20271-2025</t>
        </is>
      </c>
      <c r="B258" s="1" t="n">
        <v>45773.71568287037</v>
      </c>
      <c r="C258" s="1" t="n">
        <v>45878</v>
      </c>
      <c r="D258" t="inlineStr">
        <is>
          <t>DALARNAS LÄN</t>
        </is>
      </c>
      <c r="E258" t="inlineStr">
        <is>
          <t>HEDEMORA</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26204-2025</t>
        </is>
      </c>
      <c r="B259" s="1" t="n">
        <v>45805.51065972223</v>
      </c>
      <c r="C259" s="1" t="n">
        <v>45878</v>
      </c>
      <c r="D259" t="inlineStr">
        <is>
          <t>DALARNAS LÄN</t>
        </is>
      </c>
      <c r="E259" t="inlineStr">
        <is>
          <t>HEDEMORA</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54423-2023</t>
        </is>
      </c>
      <c r="B260" s="1" t="n">
        <v>45233.41666666666</v>
      </c>
      <c r="C260" s="1" t="n">
        <v>45878</v>
      </c>
      <c r="D260" t="inlineStr">
        <is>
          <t>DALARNAS LÄN</t>
        </is>
      </c>
      <c r="E260" t="inlineStr">
        <is>
          <t>HEDEMORA</t>
        </is>
      </c>
      <c r="G260" t="n">
        <v>3.4</v>
      </c>
      <c r="H260" t="n">
        <v>0</v>
      </c>
      <c r="I260" t="n">
        <v>0</v>
      </c>
      <c r="J260" t="n">
        <v>0</v>
      </c>
      <c r="K260" t="n">
        <v>0</v>
      </c>
      <c r="L260" t="n">
        <v>0</v>
      </c>
      <c r="M260" t="n">
        <v>0</v>
      </c>
      <c r="N260" t="n">
        <v>0</v>
      </c>
      <c r="O260" t="n">
        <v>0</v>
      </c>
      <c r="P260" t="n">
        <v>0</v>
      </c>
      <c r="Q260" t="n">
        <v>0</v>
      </c>
      <c r="R260" s="2" t="inlineStr"/>
    </row>
    <row r="261" ht="15" customHeight="1">
      <c r="A261" t="inlineStr">
        <is>
          <t>A 7052-2025</t>
        </is>
      </c>
      <c r="B261" s="1" t="n">
        <v>45701.64659722222</v>
      </c>
      <c r="C261" s="1" t="n">
        <v>45878</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41642-2023</t>
        </is>
      </c>
      <c r="B262" s="1" t="n">
        <v>45175</v>
      </c>
      <c r="C262" s="1" t="n">
        <v>45878</v>
      </c>
      <c r="D262" t="inlineStr">
        <is>
          <t>DALARNAS LÄN</t>
        </is>
      </c>
      <c r="E262" t="inlineStr">
        <is>
          <t>HEDEMORA</t>
        </is>
      </c>
      <c r="G262" t="n">
        <v>2.8</v>
      </c>
      <c r="H262" t="n">
        <v>0</v>
      </c>
      <c r="I262" t="n">
        <v>0</v>
      </c>
      <c r="J262" t="n">
        <v>0</v>
      </c>
      <c r="K262" t="n">
        <v>0</v>
      </c>
      <c r="L262" t="n">
        <v>0</v>
      </c>
      <c r="M262" t="n">
        <v>0</v>
      </c>
      <c r="N262" t="n">
        <v>0</v>
      </c>
      <c r="O262" t="n">
        <v>0</v>
      </c>
      <c r="P262" t="n">
        <v>0</v>
      </c>
      <c r="Q262" t="n">
        <v>0</v>
      </c>
      <c r="R262" s="2" t="inlineStr"/>
    </row>
    <row r="263" ht="15" customHeight="1">
      <c r="A263" t="inlineStr">
        <is>
          <t>A 17645-2022</t>
        </is>
      </c>
      <c r="B263" s="1" t="n">
        <v>44680.47903935185</v>
      </c>
      <c r="C263" s="1" t="n">
        <v>45878</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34734-2025</t>
        </is>
      </c>
      <c r="B264" s="1" t="n">
        <v>45848</v>
      </c>
      <c r="C264" s="1" t="n">
        <v>45878</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6972-2025</t>
        </is>
      </c>
      <c r="B265" s="1" t="n">
        <v>45701.53790509259</v>
      </c>
      <c r="C265" s="1" t="n">
        <v>45878</v>
      </c>
      <c r="D265" t="inlineStr">
        <is>
          <t>DALARNAS LÄN</t>
        </is>
      </c>
      <c r="E265" t="inlineStr">
        <is>
          <t>HEDEMORA</t>
        </is>
      </c>
      <c r="G265" t="n">
        <v>4.9</v>
      </c>
      <c r="H265" t="n">
        <v>0</v>
      </c>
      <c r="I265" t="n">
        <v>0</v>
      </c>
      <c r="J265" t="n">
        <v>0</v>
      </c>
      <c r="K265" t="n">
        <v>0</v>
      </c>
      <c r="L265" t="n">
        <v>0</v>
      </c>
      <c r="M265" t="n">
        <v>0</v>
      </c>
      <c r="N265" t="n">
        <v>0</v>
      </c>
      <c r="O265" t="n">
        <v>0</v>
      </c>
      <c r="P265" t="n">
        <v>0</v>
      </c>
      <c r="Q265" t="n">
        <v>0</v>
      </c>
      <c r="R265" s="2" t="inlineStr"/>
    </row>
    <row r="266" ht="15" customHeight="1">
      <c r="A266" t="inlineStr">
        <is>
          <t>A 17222-2025</t>
        </is>
      </c>
      <c r="B266" s="1" t="n">
        <v>45756.45504629629</v>
      </c>
      <c r="C266" s="1" t="n">
        <v>45878</v>
      </c>
      <c r="D266" t="inlineStr">
        <is>
          <t>DALARNAS LÄN</t>
        </is>
      </c>
      <c r="E266" t="inlineStr">
        <is>
          <t>HEDEMORA</t>
        </is>
      </c>
      <c r="G266" t="n">
        <v>0.5</v>
      </c>
      <c r="H266" t="n">
        <v>0</v>
      </c>
      <c r="I266" t="n">
        <v>0</v>
      </c>
      <c r="J266" t="n">
        <v>0</v>
      </c>
      <c r="K266" t="n">
        <v>0</v>
      </c>
      <c r="L266" t="n">
        <v>0</v>
      </c>
      <c r="M266" t="n">
        <v>0</v>
      </c>
      <c r="N266" t="n">
        <v>0</v>
      </c>
      <c r="O266" t="n">
        <v>0</v>
      </c>
      <c r="P266" t="n">
        <v>0</v>
      </c>
      <c r="Q266" t="n">
        <v>0</v>
      </c>
      <c r="R266" s="2" t="inlineStr"/>
    </row>
    <row r="267" ht="15" customHeight="1">
      <c r="A267" t="inlineStr">
        <is>
          <t>A 59232-2023</t>
        </is>
      </c>
      <c r="B267" s="1" t="n">
        <v>45253.5053587963</v>
      </c>
      <c r="C267" s="1" t="n">
        <v>45878</v>
      </c>
      <c r="D267" t="inlineStr">
        <is>
          <t>DALARNAS LÄN</t>
        </is>
      </c>
      <c r="E267" t="inlineStr">
        <is>
          <t>HEDEMORA</t>
        </is>
      </c>
      <c r="G267" t="n">
        <v>3.7</v>
      </c>
      <c r="H267" t="n">
        <v>0</v>
      </c>
      <c r="I267" t="n">
        <v>0</v>
      </c>
      <c r="J267" t="n">
        <v>0</v>
      </c>
      <c r="K267" t="n">
        <v>0</v>
      </c>
      <c r="L267" t="n">
        <v>0</v>
      </c>
      <c r="M267" t="n">
        <v>0</v>
      </c>
      <c r="N267" t="n">
        <v>0</v>
      </c>
      <c r="O267" t="n">
        <v>0</v>
      </c>
      <c r="P267" t="n">
        <v>0</v>
      </c>
      <c r="Q267" t="n">
        <v>0</v>
      </c>
      <c r="R267" s="2" t="inlineStr"/>
    </row>
    <row r="268" ht="15" customHeight="1">
      <c r="A268" t="inlineStr">
        <is>
          <t>A 30572-2021</t>
        </is>
      </c>
      <c r="B268" s="1" t="n">
        <v>44364.83369212963</v>
      </c>
      <c r="C268" s="1" t="n">
        <v>45878</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54120-2024</t>
        </is>
      </c>
      <c r="B269" s="1" t="n">
        <v>45616.57304398148</v>
      </c>
      <c r="C269" s="1" t="n">
        <v>45878</v>
      </c>
      <c r="D269" t="inlineStr">
        <is>
          <t>DALARNAS LÄN</t>
        </is>
      </c>
      <c r="E269" t="inlineStr">
        <is>
          <t>HEDEMORA</t>
        </is>
      </c>
      <c r="G269" t="n">
        <v>7.7</v>
      </c>
      <c r="H269" t="n">
        <v>0</v>
      </c>
      <c r="I269" t="n">
        <v>0</v>
      </c>
      <c r="J269" t="n">
        <v>0</v>
      </c>
      <c r="K269" t="n">
        <v>0</v>
      </c>
      <c r="L269" t="n">
        <v>0</v>
      </c>
      <c r="M269" t="n">
        <v>0</v>
      </c>
      <c r="N269" t="n">
        <v>0</v>
      </c>
      <c r="O269" t="n">
        <v>0</v>
      </c>
      <c r="P269" t="n">
        <v>0</v>
      </c>
      <c r="Q269" t="n">
        <v>0</v>
      </c>
      <c r="R269" s="2" t="inlineStr"/>
    </row>
    <row r="270" ht="15" customHeight="1">
      <c r="A270" t="inlineStr">
        <is>
          <t>A 43621-2024</t>
        </is>
      </c>
      <c r="B270" s="1" t="n">
        <v>45569.48200231481</v>
      </c>
      <c r="C270" s="1" t="n">
        <v>45878</v>
      </c>
      <c r="D270" t="inlineStr">
        <is>
          <t>DALARNAS LÄN</t>
        </is>
      </c>
      <c r="E270" t="inlineStr">
        <is>
          <t>HEDEMORA</t>
        </is>
      </c>
      <c r="G270" t="n">
        <v>2.4</v>
      </c>
      <c r="H270" t="n">
        <v>0</v>
      </c>
      <c r="I270" t="n">
        <v>0</v>
      </c>
      <c r="J270" t="n">
        <v>0</v>
      </c>
      <c r="K270" t="n">
        <v>0</v>
      </c>
      <c r="L270" t="n">
        <v>0</v>
      </c>
      <c r="M270" t="n">
        <v>0</v>
      </c>
      <c r="N270" t="n">
        <v>0</v>
      </c>
      <c r="O270" t="n">
        <v>0</v>
      </c>
      <c r="P270" t="n">
        <v>0</v>
      </c>
      <c r="Q270" t="n">
        <v>0</v>
      </c>
      <c r="R270" s="2" t="inlineStr"/>
    </row>
    <row r="271" ht="15" customHeight="1">
      <c r="A271" t="inlineStr">
        <is>
          <t>A 21092-2023</t>
        </is>
      </c>
      <c r="B271" s="1" t="n">
        <v>45061</v>
      </c>
      <c r="C271" s="1" t="n">
        <v>45878</v>
      </c>
      <c r="D271" t="inlineStr">
        <is>
          <t>DALARNAS LÄN</t>
        </is>
      </c>
      <c r="E271" t="inlineStr">
        <is>
          <t>HEDEMORA</t>
        </is>
      </c>
      <c r="F271" t="inlineStr">
        <is>
          <t>Sveaskog</t>
        </is>
      </c>
      <c r="G271" t="n">
        <v>0.1</v>
      </c>
      <c r="H271" t="n">
        <v>0</v>
      </c>
      <c r="I271" t="n">
        <v>0</v>
      </c>
      <c r="J271" t="n">
        <v>0</v>
      </c>
      <c r="K271" t="n">
        <v>0</v>
      </c>
      <c r="L271" t="n">
        <v>0</v>
      </c>
      <c r="M271" t="n">
        <v>0</v>
      </c>
      <c r="N271" t="n">
        <v>0</v>
      </c>
      <c r="O271" t="n">
        <v>0</v>
      </c>
      <c r="P271" t="n">
        <v>0</v>
      </c>
      <c r="Q271" t="n">
        <v>0</v>
      </c>
      <c r="R271" s="2" t="inlineStr"/>
    </row>
    <row r="272" ht="15" customHeight="1">
      <c r="A272" t="inlineStr">
        <is>
          <t>A 26705-2025</t>
        </is>
      </c>
      <c r="B272" s="1" t="n">
        <v>45810.45325231482</v>
      </c>
      <c r="C272" s="1" t="n">
        <v>45878</v>
      </c>
      <c r="D272" t="inlineStr">
        <is>
          <t>DALARNAS LÄN</t>
        </is>
      </c>
      <c r="E272" t="inlineStr">
        <is>
          <t>HEDEMORA</t>
        </is>
      </c>
      <c r="G272" t="n">
        <v>1.9</v>
      </c>
      <c r="H272" t="n">
        <v>0</v>
      </c>
      <c r="I272" t="n">
        <v>0</v>
      </c>
      <c r="J272" t="n">
        <v>0</v>
      </c>
      <c r="K272" t="n">
        <v>0</v>
      </c>
      <c r="L272" t="n">
        <v>0</v>
      </c>
      <c r="M272" t="n">
        <v>0</v>
      </c>
      <c r="N272" t="n">
        <v>0</v>
      </c>
      <c r="O272" t="n">
        <v>0</v>
      </c>
      <c r="P272" t="n">
        <v>0</v>
      </c>
      <c r="Q272" t="n">
        <v>0</v>
      </c>
      <c r="R272" s="2" t="inlineStr"/>
    </row>
    <row r="273" ht="15" customHeight="1">
      <c r="A273" t="inlineStr">
        <is>
          <t>A 62398-2023</t>
        </is>
      </c>
      <c r="B273" s="1" t="n">
        <v>45268</v>
      </c>
      <c r="C273" s="1" t="n">
        <v>45878</v>
      </c>
      <c r="D273" t="inlineStr">
        <is>
          <t>DALARNAS LÄN</t>
        </is>
      </c>
      <c r="E273" t="inlineStr">
        <is>
          <t>HEDEMORA</t>
        </is>
      </c>
      <c r="G273" t="n">
        <v>2.1</v>
      </c>
      <c r="H273" t="n">
        <v>0</v>
      </c>
      <c r="I273" t="n">
        <v>0</v>
      </c>
      <c r="J273" t="n">
        <v>0</v>
      </c>
      <c r="K273" t="n">
        <v>0</v>
      </c>
      <c r="L273" t="n">
        <v>0</v>
      </c>
      <c r="M273" t="n">
        <v>0</v>
      </c>
      <c r="N273" t="n">
        <v>0</v>
      </c>
      <c r="O273" t="n">
        <v>0</v>
      </c>
      <c r="P273" t="n">
        <v>0</v>
      </c>
      <c r="Q273" t="n">
        <v>0</v>
      </c>
      <c r="R273" s="2" t="inlineStr"/>
    </row>
    <row r="274" ht="15" customHeight="1">
      <c r="A274" t="inlineStr">
        <is>
          <t>A 45589-2023</t>
        </is>
      </c>
      <c r="B274" s="1" t="n">
        <v>45194.63086805555</v>
      </c>
      <c r="C274" s="1" t="n">
        <v>45878</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57745-2024</t>
        </is>
      </c>
      <c r="B275" s="1" t="n">
        <v>45630.77605324074</v>
      </c>
      <c r="C275" s="1" t="n">
        <v>45878</v>
      </c>
      <c r="D275" t="inlineStr">
        <is>
          <t>DALARNAS LÄN</t>
        </is>
      </c>
      <c r="E275" t="inlineStr">
        <is>
          <t>HEDEMORA</t>
        </is>
      </c>
      <c r="G275" t="n">
        <v>1.1</v>
      </c>
      <c r="H275" t="n">
        <v>0</v>
      </c>
      <c r="I275" t="n">
        <v>0</v>
      </c>
      <c r="J275" t="n">
        <v>0</v>
      </c>
      <c r="K275" t="n">
        <v>0</v>
      </c>
      <c r="L275" t="n">
        <v>0</v>
      </c>
      <c r="M275" t="n">
        <v>0</v>
      </c>
      <c r="N275" t="n">
        <v>0</v>
      </c>
      <c r="O275" t="n">
        <v>0</v>
      </c>
      <c r="P275" t="n">
        <v>0</v>
      </c>
      <c r="Q275" t="n">
        <v>0</v>
      </c>
      <c r="R275" s="2" t="inlineStr"/>
    </row>
    <row r="276" ht="15" customHeight="1">
      <c r="A276" t="inlineStr">
        <is>
          <t>A 35103-2025</t>
        </is>
      </c>
      <c r="B276" s="1" t="n">
        <v>45852.56914351852</v>
      </c>
      <c r="C276" s="1" t="n">
        <v>45878</v>
      </c>
      <c r="D276" t="inlineStr">
        <is>
          <t>DALARNAS LÄN</t>
        </is>
      </c>
      <c r="E276" t="inlineStr">
        <is>
          <t>HEDEMORA</t>
        </is>
      </c>
      <c r="G276" t="n">
        <v>6.2</v>
      </c>
      <c r="H276" t="n">
        <v>0</v>
      </c>
      <c r="I276" t="n">
        <v>0</v>
      </c>
      <c r="J276" t="n">
        <v>0</v>
      </c>
      <c r="K276" t="n">
        <v>0</v>
      </c>
      <c r="L276" t="n">
        <v>0</v>
      </c>
      <c r="M276" t="n">
        <v>0</v>
      </c>
      <c r="N276" t="n">
        <v>0</v>
      </c>
      <c r="O276" t="n">
        <v>0</v>
      </c>
      <c r="P276" t="n">
        <v>0</v>
      </c>
      <c r="Q276" t="n">
        <v>0</v>
      </c>
      <c r="R276" s="2" t="inlineStr"/>
    </row>
    <row r="277" ht="15" customHeight="1">
      <c r="A277" t="inlineStr">
        <is>
          <t>A 48320-2024</t>
        </is>
      </c>
      <c r="B277" s="1" t="n">
        <v>45590.4999537037</v>
      </c>
      <c r="C277" s="1" t="n">
        <v>45878</v>
      </c>
      <c r="D277" t="inlineStr">
        <is>
          <t>DALARNAS LÄN</t>
        </is>
      </c>
      <c r="E277" t="inlineStr">
        <is>
          <t>HEDEMORA</t>
        </is>
      </c>
      <c r="F277" t="inlineStr">
        <is>
          <t>Sveaskog</t>
        </is>
      </c>
      <c r="G277" t="n">
        <v>4.9</v>
      </c>
      <c r="H277" t="n">
        <v>0</v>
      </c>
      <c r="I277" t="n">
        <v>0</v>
      </c>
      <c r="J277" t="n">
        <v>0</v>
      </c>
      <c r="K277" t="n">
        <v>0</v>
      </c>
      <c r="L277" t="n">
        <v>0</v>
      </c>
      <c r="M277" t="n">
        <v>0</v>
      </c>
      <c r="N277" t="n">
        <v>0</v>
      </c>
      <c r="O277" t="n">
        <v>0</v>
      </c>
      <c r="P277" t="n">
        <v>0</v>
      </c>
      <c r="Q277" t="n">
        <v>0</v>
      </c>
      <c r="R277" s="2" t="inlineStr"/>
    </row>
    <row r="278" ht="15" customHeight="1">
      <c r="A278" t="inlineStr">
        <is>
          <t>A 36900-2022</t>
        </is>
      </c>
      <c r="B278" s="1" t="n">
        <v>44805.71435185185</v>
      </c>
      <c r="C278" s="1" t="n">
        <v>45878</v>
      </c>
      <c r="D278" t="inlineStr">
        <is>
          <t>DALARNAS LÄN</t>
        </is>
      </c>
      <c r="E278" t="inlineStr">
        <is>
          <t>HEDEMORA</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34409-2022</t>
        </is>
      </c>
      <c r="B279" s="1" t="n">
        <v>44792</v>
      </c>
      <c r="C279" s="1" t="n">
        <v>45878</v>
      </c>
      <c r="D279" t="inlineStr">
        <is>
          <t>DALARNAS LÄN</t>
        </is>
      </c>
      <c r="E279" t="inlineStr">
        <is>
          <t>HEDEMORA</t>
        </is>
      </c>
      <c r="G279" t="n">
        <v>13.7</v>
      </c>
      <c r="H279" t="n">
        <v>0</v>
      </c>
      <c r="I279" t="n">
        <v>0</v>
      </c>
      <c r="J279" t="n">
        <v>0</v>
      </c>
      <c r="K279" t="n">
        <v>0</v>
      </c>
      <c r="L279" t="n">
        <v>0</v>
      </c>
      <c r="M279" t="n">
        <v>0</v>
      </c>
      <c r="N279" t="n">
        <v>0</v>
      </c>
      <c r="O279" t="n">
        <v>0</v>
      </c>
      <c r="P279" t="n">
        <v>0</v>
      </c>
      <c r="Q279" t="n">
        <v>0</v>
      </c>
      <c r="R279" s="2" t="inlineStr"/>
    </row>
    <row r="280" ht="15" customHeight="1">
      <c r="A280" t="inlineStr">
        <is>
          <t>A 26431-2024</t>
        </is>
      </c>
      <c r="B280" s="1" t="n">
        <v>45469.48282407408</v>
      </c>
      <c r="C280" s="1" t="n">
        <v>45878</v>
      </c>
      <c r="D280" t="inlineStr">
        <is>
          <t>DALARNAS LÄN</t>
        </is>
      </c>
      <c r="E280" t="inlineStr">
        <is>
          <t>HEDEMORA</t>
        </is>
      </c>
      <c r="G280" t="n">
        <v>1.6</v>
      </c>
      <c r="H280" t="n">
        <v>0</v>
      </c>
      <c r="I280" t="n">
        <v>0</v>
      </c>
      <c r="J280" t="n">
        <v>0</v>
      </c>
      <c r="K280" t="n">
        <v>0</v>
      </c>
      <c r="L280" t="n">
        <v>0</v>
      </c>
      <c r="M280" t="n">
        <v>0</v>
      </c>
      <c r="N280" t="n">
        <v>0</v>
      </c>
      <c r="O280" t="n">
        <v>0</v>
      </c>
      <c r="P280" t="n">
        <v>0</v>
      </c>
      <c r="Q280" t="n">
        <v>0</v>
      </c>
      <c r="R280" s="2" t="inlineStr"/>
      <c r="U280">
        <f>HYPERLINK("https://klasma.github.io/Logging_2083/knärot/A 26431-2024 karta knärot.png", "A 26431-2024")</f>
        <v/>
      </c>
      <c r="V280">
        <f>HYPERLINK("https://klasma.github.io/Logging_2083/klagomål/A 26431-2024 FSC-klagomål.docx", "A 26431-2024")</f>
        <v/>
      </c>
      <c r="W280">
        <f>HYPERLINK("https://klasma.github.io/Logging_2083/klagomålsmail/A 26431-2024 FSC-klagomål mail.docx", "A 26431-2024")</f>
        <v/>
      </c>
      <c r="X280">
        <f>HYPERLINK("https://klasma.github.io/Logging_2083/tillsyn/A 26431-2024 tillsynsbegäran.docx", "A 26431-2024")</f>
        <v/>
      </c>
      <c r="Y280">
        <f>HYPERLINK("https://klasma.github.io/Logging_2083/tillsynsmail/A 26431-2024 tillsynsbegäran mail.docx", "A 26431-2024")</f>
        <v/>
      </c>
    </row>
    <row r="281" ht="15" customHeight="1">
      <c r="A281" t="inlineStr">
        <is>
          <t>A 3089-2024</t>
        </is>
      </c>
      <c r="B281" s="1" t="n">
        <v>45316</v>
      </c>
      <c r="C281" s="1" t="n">
        <v>45878</v>
      </c>
      <c r="D281" t="inlineStr">
        <is>
          <t>DALARNAS LÄN</t>
        </is>
      </c>
      <c r="E281" t="inlineStr">
        <is>
          <t>HEDEMORA</t>
        </is>
      </c>
      <c r="G281" t="n">
        <v>5.5</v>
      </c>
      <c r="H281" t="n">
        <v>0</v>
      </c>
      <c r="I281" t="n">
        <v>0</v>
      </c>
      <c r="J281" t="n">
        <v>0</v>
      </c>
      <c r="K281" t="n">
        <v>0</v>
      </c>
      <c r="L281" t="n">
        <v>0</v>
      </c>
      <c r="M281" t="n">
        <v>0</v>
      </c>
      <c r="N281" t="n">
        <v>0</v>
      </c>
      <c r="O281" t="n">
        <v>0</v>
      </c>
      <c r="P281" t="n">
        <v>0</v>
      </c>
      <c r="Q281" t="n">
        <v>0</v>
      </c>
      <c r="R281" s="2" t="inlineStr"/>
    </row>
    <row r="282" ht="15" customHeight="1">
      <c r="A282" t="inlineStr">
        <is>
          <t>A 62386-2023</t>
        </is>
      </c>
      <c r="B282" s="1" t="n">
        <v>45268</v>
      </c>
      <c r="C282" s="1" t="n">
        <v>45878</v>
      </c>
      <c r="D282" t="inlineStr">
        <is>
          <t>DALARNAS LÄN</t>
        </is>
      </c>
      <c r="E282" t="inlineStr">
        <is>
          <t>HEDEMORA</t>
        </is>
      </c>
      <c r="G282" t="n">
        <v>1.7</v>
      </c>
      <c r="H282" t="n">
        <v>0</v>
      </c>
      <c r="I282" t="n">
        <v>0</v>
      </c>
      <c r="J282" t="n">
        <v>0</v>
      </c>
      <c r="K282" t="n">
        <v>0</v>
      </c>
      <c r="L282" t="n">
        <v>0</v>
      </c>
      <c r="M282" t="n">
        <v>0</v>
      </c>
      <c r="N282" t="n">
        <v>0</v>
      </c>
      <c r="O282" t="n">
        <v>0</v>
      </c>
      <c r="P282" t="n">
        <v>0</v>
      </c>
      <c r="Q282" t="n">
        <v>0</v>
      </c>
      <c r="R282" s="2" t="inlineStr"/>
    </row>
    <row r="283" ht="15" customHeight="1">
      <c r="A283" t="inlineStr">
        <is>
          <t>A 23501-2023</t>
        </is>
      </c>
      <c r="B283" s="1" t="n">
        <v>45076.73979166667</v>
      </c>
      <c r="C283" s="1" t="n">
        <v>45878</v>
      </c>
      <c r="D283" t="inlineStr">
        <is>
          <t>DALARNAS LÄN</t>
        </is>
      </c>
      <c r="E283" t="inlineStr">
        <is>
          <t>HEDEMORA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60786-2023</t>
        </is>
      </c>
      <c r="B284" s="1" t="n">
        <v>45260.64891203704</v>
      </c>
      <c r="C284" s="1" t="n">
        <v>45878</v>
      </c>
      <c r="D284" t="inlineStr">
        <is>
          <t>DALARNAS LÄN</t>
        </is>
      </c>
      <c r="E284" t="inlineStr">
        <is>
          <t>HEDEMORA</t>
        </is>
      </c>
      <c r="G284" t="n">
        <v>7.1</v>
      </c>
      <c r="H284" t="n">
        <v>0</v>
      </c>
      <c r="I284" t="n">
        <v>0</v>
      </c>
      <c r="J284" t="n">
        <v>0</v>
      </c>
      <c r="K284" t="n">
        <v>0</v>
      </c>
      <c r="L284" t="n">
        <v>0</v>
      </c>
      <c r="M284" t="n">
        <v>0</v>
      </c>
      <c r="N284" t="n">
        <v>0</v>
      </c>
      <c r="O284" t="n">
        <v>0</v>
      </c>
      <c r="P284" t="n">
        <v>0</v>
      </c>
      <c r="Q284" t="n">
        <v>0</v>
      </c>
      <c r="R284" s="2" t="inlineStr"/>
    </row>
    <row r="285" ht="15" customHeight="1">
      <c r="A285" t="inlineStr">
        <is>
          <t>A 28180-2025</t>
        </is>
      </c>
      <c r="B285" s="1" t="n">
        <v>45818.39755787037</v>
      </c>
      <c r="C285" s="1" t="n">
        <v>45878</v>
      </c>
      <c r="D285" t="inlineStr">
        <is>
          <t>DALARNAS LÄN</t>
        </is>
      </c>
      <c r="E285" t="inlineStr">
        <is>
          <t>HEDEMORA</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28182-2025</t>
        </is>
      </c>
      <c r="B286" s="1" t="n">
        <v>45818.40069444444</v>
      </c>
      <c r="C286" s="1" t="n">
        <v>45878</v>
      </c>
      <c r="D286" t="inlineStr">
        <is>
          <t>DALARNAS LÄN</t>
        </is>
      </c>
      <c r="E286" t="inlineStr">
        <is>
          <t>HEDEMORA</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19604-2024</t>
        </is>
      </c>
      <c r="B287" s="1" t="n">
        <v>45431.90135416666</v>
      </c>
      <c r="C287" s="1" t="n">
        <v>45878</v>
      </c>
      <c r="D287" t="inlineStr">
        <is>
          <t>DALARNAS LÄN</t>
        </is>
      </c>
      <c r="E287" t="inlineStr">
        <is>
          <t>HEDEMORA</t>
        </is>
      </c>
      <c r="F287" t="inlineStr">
        <is>
          <t>Bergvik skog väst AB</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61671-2023</t>
        </is>
      </c>
      <c r="B288" s="1" t="n">
        <v>45265</v>
      </c>
      <c r="C288" s="1" t="n">
        <v>45878</v>
      </c>
      <c r="D288" t="inlineStr">
        <is>
          <t>DALARNAS LÄN</t>
        </is>
      </c>
      <c r="E288" t="inlineStr">
        <is>
          <t>HEDEMORA</t>
        </is>
      </c>
      <c r="F288" t="inlineStr">
        <is>
          <t>Bergvik skog väst AB</t>
        </is>
      </c>
      <c r="G288" t="n">
        <v>6.5</v>
      </c>
      <c r="H288" t="n">
        <v>0</v>
      </c>
      <c r="I288" t="n">
        <v>0</v>
      </c>
      <c r="J288" t="n">
        <v>0</v>
      </c>
      <c r="K288" t="n">
        <v>0</v>
      </c>
      <c r="L288" t="n">
        <v>0</v>
      </c>
      <c r="M288" t="n">
        <v>0</v>
      </c>
      <c r="N288" t="n">
        <v>0</v>
      </c>
      <c r="O288" t="n">
        <v>0</v>
      </c>
      <c r="P288" t="n">
        <v>0</v>
      </c>
      <c r="Q288" t="n">
        <v>0</v>
      </c>
      <c r="R288" s="2" t="inlineStr"/>
    </row>
    <row r="289" ht="15" customHeight="1">
      <c r="A289" t="inlineStr">
        <is>
          <t>A 17594-2025</t>
        </is>
      </c>
      <c r="B289" s="1" t="n">
        <v>45757</v>
      </c>
      <c r="C289" s="1" t="n">
        <v>45878</v>
      </c>
      <c r="D289" t="inlineStr">
        <is>
          <t>DALARNAS LÄN</t>
        </is>
      </c>
      <c r="E289" t="inlineStr">
        <is>
          <t>HEDEMORA</t>
        </is>
      </c>
      <c r="G289" t="n">
        <v>0.6</v>
      </c>
      <c r="H289" t="n">
        <v>0</v>
      </c>
      <c r="I289" t="n">
        <v>0</v>
      </c>
      <c r="J289" t="n">
        <v>0</v>
      </c>
      <c r="K289" t="n">
        <v>0</v>
      </c>
      <c r="L289" t="n">
        <v>0</v>
      </c>
      <c r="M289" t="n">
        <v>0</v>
      </c>
      <c r="N289" t="n">
        <v>0</v>
      </c>
      <c r="O289" t="n">
        <v>0</v>
      </c>
      <c r="P289" t="n">
        <v>0</v>
      </c>
      <c r="Q289" t="n">
        <v>0</v>
      </c>
      <c r="R289" s="2" t="inlineStr"/>
    </row>
    <row r="290" ht="15" customHeight="1">
      <c r="A290" t="inlineStr">
        <is>
          <t>A 28183-2025</t>
        </is>
      </c>
      <c r="B290" s="1" t="n">
        <v>45818.4021875</v>
      </c>
      <c r="C290" s="1" t="n">
        <v>45878</v>
      </c>
      <c r="D290" t="inlineStr">
        <is>
          <t>DALARNAS LÄN</t>
        </is>
      </c>
      <c r="E290" t="inlineStr">
        <is>
          <t>HEDEMORA</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15054-2025</t>
        </is>
      </c>
      <c r="B291" s="1" t="n">
        <v>45743.70199074074</v>
      </c>
      <c r="C291" s="1" t="n">
        <v>45878</v>
      </c>
      <c r="D291" t="inlineStr">
        <is>
          <t>DALARNAS LÄN</t>
        </is>
      </c>
      <c r="E291" t="inlineStr">
        <is>
          <t>HEDEMORA</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48254-2023</t>
        </is>
      </c>
      <c r="B292" s="1" t="n">
        <v>45205.53241898148</v>
      </c>
      <c r="C292" s="1" t="n">
        <v>45878</v>
      </c>
      <c r="D292" t="inlineStr">
        <is>
          <t>DALARNAS LÄN</t>
        </is>
      </c>
      <c r="E292" t="inlineStr">
        <is>
          <t>HEDEMORA</t>
        </is>
      </c>
      <c r="F292" t="inlineStr">
        <is>
          <t>Sveaskog</t>
        </is>
      </c>
      <c r="G292" t="n">
        <v>1.5</v>
      </c>
      <c r="H292" t="n">
        <v>0</v>
      </c>
      <c r="I292" t="n">
        <v>0</v>
      </c>
      <c r="J292" t="n">
        <v>0</v>
      </c>
      <c r="K292" t="n">
        <v>0</v>
      </c>
      <c r="L292" t="n">
        <v>0</v>
      </c>
      <c r="M292" t="n">
        <v>0</v>
      </c>
      <c r="N292" t="n">
        <v>0</v>
      </c>
      <c r="O292" t="n">
        <v>0</v>
      </c>
      <c r="P292" t="n">
        <v>0</v>
      </c>
      <c r="Q292" t="n">
        <v>0</v>
      </c>
      <c r="R292" s="2" t="inlineStr"/>
      <c r="U292">
        <f>HYPERLINK("https://klasma.github.io/Logging_2083/knärot/A 48254-2023 karta knärot.png", "A 48254-2023")</f>
        <v/>
      </c>
      <c r="V292">
        <f>HYPERLINK("https://klasma.github.io/Logging_2083/klagomål/A 48254-2023 FSC-klagomål.docx", "A 48254-2023")</f>
        <v/>
      </c>
      <c r="W292">
        <f>HYPERLINK("https://klasma.github.io/Logging_2083/klagomålsmail/A 48254-2023 FSC-klagomål mail.docx", "A 48254-2023")</f>
        <v/>
      </c>
      <c r="X292">
        <f>HYPERLINK("https://klasma.github.io/Logging_2083/tillsyn/A 48254-2023 tillsynsbegäran.docx", "A 48254-2023")</f>
        <v/>
      </c>
      <c r="Y292">
        <f>HYPERLINK("https://klasma.github.io/Logging_2083/tillsynsmail/A 48254-2023 tillsynsbegäran mail.docx", "A 48254-2023")</f>
        <v/>
      </c>
    </row>
    <row r="293" ht="15" customHeight="1">
      <c r="A293" t="inlineStr">
        <is>
          <t>A 62188-2023</t>
        </is>
      </c>
      <c r="B293" s="1" t="n">
        <v>45267</v>
      </c>
      <c r="C293" s="1" t="n">
        <v>45878</v>
      </c>
      <c r="D293" t="inlineStr">
        <is>
          <t>DALARNAS LÄN</t>
        </is>
      </c>
      <c r="E293" t="inlineStr">
        <is>
          <t>HEDEMORA</t>
        </is>
      </c>
      <c r="G293" t="n">
        <v>2.1</v>
      </c>
      <c r="H293" t="n">
        <v>0</v>
      </c>
      <c r="I293" t="n">
        <v>0</v>
      </c>
      <c r="J293" t="n">
        <v>0</v>
      </c>
      <c r="K293" t="n">
        <v>0</v>
      </c>
      <c r="L293" t="n">
        <v>0</v>
      </c>
      <c r="M293" t="n">
        <v>0</v>
      </c>
      <c r="N293" t="n">
        <v>0</v>
      </c>
      <c r="O293" t="n">
        <v>0</v>
      </c>
      <c r="P293" t="n">
        <v>0</v>
      </c>
      <c r="Q293" t="n">
        <v>0</v>
      </c>
      <c r="R293" s="2" t="inlineStr"/>
    </row>
    <row r="294" ht="15" customHeight="1">
      <c r="A294" t="inlineStr">
        <is>
          <t>A 32071-2021</t>
        </is>
      </c>
      <c r="B294" s="1" t="n">
        <v>44370.90546296296</v>
      </c>
      <c r="C294" s="1" t="n">
        <v>45878</v>
      </c>
      <c r="D294" t="inlineStr">
        <is>
          <t>DALARNAS LÄN</t>
        </is>
      </c>
      <c r="E294" t="inlineStr">
        <is>
          <t>HEDEMORA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36075-2025</t>
        </is>
      </c>
      <c r="B295" s="1" t="n">
        <v>45866.43974537037</v>
      </c>
      <c r="C295" s="1" t="n">
        <v>45878</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21763-2024</t>
        </is>
      </c>
      <c r="B296" s="1" t="n">
        <v>45442.60204861111</v>
      </c>
      <c r="C296" s="1" t="n">
        <v>45878</v>
      </c>
      <c r="D296" t="inlineStr">
        <is>
          <t>DALARNAS LÄN</t>
        </is>
      </c>
      <c r="E296" t="inlineStr">
        <is>
          <t>HEDEMORA</t>
        </is>
      </c>
      <c r="G296" t="n">
        <v>1.6</v>
      </c>
      <c r="H296" t="n">
        <v>0</v>
      </c>
      <c r="I296" t="n">
        <v>0</v>
      </c>
      <c r="J296" t="n">
        <v>0</v>
      </c>
      <c r="K296" t="n">
        <v>0</v>
      </c>
      <c r="L296" t="n">
        <v>0</v>
      </c>
      <c r="M296" t="n">
        <v>0</v>
      </c>
      <c r="N296" t="n">
        <v>0</v>
      </c>
      <c r="O296" t="n">
        <v>0</v>
      </c>
      <c r="P296" t="n">
        <v>0</v>
      </c>
      <c r="Q296" t="n">
        <v>0</v>
      </c>
      <c r="R296" s="2" t="inlineStr"/>
    </row>
    <row r="297" ht="15" customHeight="1">
      <c r="A297" t="inlineStr">
        <is>
          <t>A 60408-2021</t>
        </is>
      </c>
      <c r="B297" s="1" t="n">
        <v>44495</v>
      </c>
      <c r="C297" s="1" t="n">
        <v>45878</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36103-2025</t>
        </is>
      </c>
      <c r="B298" s="1" t="n">
        <v>45866.55335648148</v>
      </c>
      <c r="C298" s="1" t="n">
        <v>45878</v>
      </c>
      <c r="D298" t="inlineStr">
        <is>
          <t>DALARNAS LÄN</t>
        </is>
      </c>
      <c r="E298" t="inlineStr">
        <is>
          <t>HEDEMORA</t>
        </is>
      </c>
      <c r="G298" t="n">
        <v>2.3</v>
      </c>
      <c r="H298" t="n">
        <v>0</v>
      </c>
      <c r="I298" t="n">
        <v>0</v>
      </c>
      <c r="J298" t="n">
        <v>0</v>
      </c>
      <c r="K298" t="n">
        <v>0</v>
      </c>
      <c r="L298" t="n">
        <v>0</v>
      </c>
      <c r="M298" t="n">
        <v>0</v>
      </c>
      <c r="N298" t="n">
        <v>0</v>
      </c>
      <c r="O298" t="n">
        <v>0</v>
      </c>
      <c r="P298" t="n">
        <v>0</v>
      </c>
      <c r="Q298" t="n">
        <v>0</v>
      </c>
      <c r="R298" s="2" t="inlineStr"/>
    </row>
    <row r="299" ht="15" customHeight="1">
      <c r="A299" t="inlineStr">
        <is>
          <t>A 62401-2023</t>
        </is>
      </c>
      <c r="B299" s="1" t="n">
        <v>45268</v>
      </c>
      <c r="C299" s="1" t="n">
        <v>45878</v>
      </c>
      <c r="D299" t="inlineStr">
        <is>
          <t>DALARNAS LÄN</t>
        </is>
      </c>
      <c r="E299" t="inlineStr">
        <is>
          <t>HEDEMORA</t>
        </is>
      </c>
      <c r="G299" t="n">
        <v>1.6</v>
      </c>
      <c r="H299" t="n">
        <v>0</v>
      </c>
      <c r="I299" t="n">
        <v>0</v>
      </c>
      <c r="J299" t="n">
        <v>0</v>
      </c>
      <c r="K299" t="n">
        <v>0</v>
      </c>
      <c r="L299" t="n">
        <v>0</v>
      </c>
      <c r="M299" t="n">
        <v>0</v>
      </c>
      <c r="N299" t="n">
        <v>0</v>
      </c>
      <c r="O299" t="n">
        <v>0</v>
      </c>
      <c r="P299" t="n">
        <v>0</v>
      </c>
      <c r="Q299" t="n">
        <v>0</v>
      </c>
      <c r="R299" s="2" t="inlineStr"/>
    </row>
    <row r="300" ht="15" customHeight="1">
      <c r="A300" t="inlineStr">
        <is>
          <t>A 18572-2025</t>
        </is>
      </c>
      <c r="B300" s="1" t="n">
        <v>45763</v>
      </c>
      <c r="C300" s="1" t="n">
        <v>45878</v>
      </c>
      <c r="D300" t="inlineStr">
        <is>
          <t>DALARNAS LÄN</t>
        </is>
      </c>
      <c r="E300" t="inlineStr">
        <is>
          <t>HEDEMORA</t>
        </is>
      </c>
      <c r="G300" t="n">
        <v>0.9</v>
      </c>
      <c r="H300" t="n">
        <v>0</v>
      </c>
      <c r="I300" t="n">
        <v>0</v>
      </c>
      <c r="J300" t="n">
        <v>0</v>
      </c>
      <c r="K300" t="n">
        <v>0</v>
      </c>
      <c r="L300" t="n">
        <v>0</v>
      </c>
      <c r="M300" t="n">
        <v>0</v>
      </c>
      <c r="N300" t="n">
        <v>0</v>
      </c>
      <c r="O300" t="n">
        <v>0</v>
      </c>
      <c r="P300" t="n">
        <v>0</v>
      </c>
      <c r="Q300" t="n">
        <v>0</v>
      </c>
      <c r="R300" s="2" t="inlineStr"/>
    </row>
    <row r="301" ht="15" customHeight="1">
      <c r="A301" t="inlineStr">
        <is>
          <t>A 8342-2025</t>
        </is>
      </c>
      <c r="B301" s="1" t="n">
        <v>45708.67251157408</v>
      </c>
      <c r="C301" s="1" t="n">
        <v>45878</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36117-2025</t>
        </is>
      </c>
      <c r="B302" s="1" t="n">
        <v>45866.58664351852</v>
      </c>
      <c r="C302" s="1" t="n">
        <v>45878</v>
      </c>
      <c r="D302" t="inlineStr">
        <is>
          <t>DALARNAS LÄN</t>
        </is>
      </c>
      <c r="E302" t="inlineStr">
        <is>
          <t>HEDEMORA</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36206-2025</t>
        </is>
      </c>
      <c r="B303" s="1" t="n">
        <v>45867.45057870371</v>
      </c>
      <c r="C303" s="1" t="n">
        <v>45878</v>
      </c>
      <c r="D303" t="inlineStr">
        <is>
          <t>DALARNAS LÄN</t>
        </is>
      </c>
      <c r="E303" t="inlineStr">
        <is>
          <t>HEDEMORA</t>
        </is>
      </c>
      <c r="G303" t="n">
        <v>0.1</v>
      </c>
      <c r="H303" t="n">
        <v>0</v>
      </c>
      <c r="I303" t="n">
        <v>0</v>
      </c>
      <c r="J303" t="n">
        <v>0</v>
      </c>
      <c r="K303" t="n">
        <v>0</v>
      </c>
      <c r="L303" t="n">
        <v>0</v>
      </c>
      <c r="M303" t="n">
        <v>0</v>
      </c>
      <c r="N303" t="n">
        <v>0</v>
      </c>
      <c r="O303" t="n">
        <v>0</v>
      </c>
      <c r="P303" t="n">
        <v>0</v>
      </c>
      <c r="Q303" t="n">
        <v>0</v>
      </c>
      <c r="R303" s="2" t="inlineStr"/>
    </row>
    <row r="304" ht="15" customHeight="1">
      <c r="A304" t="inlineStr">
        <is>
          <t>A 15833-2025</t>
        </is>
      </c>
      <c r="B304" s="1" t="n">
        <v>45748.85107638889</v>
      </c>
      <c r="C304" s="1" t="n">
        <v>45878</v>
      </c>
      <c r="D304" t="inlineStr">
        <is>
          <t>DALARNAS LÄN</t>
        </is>
      </c>
      <c r="E304" t="inlineStr">
        <is>
          <t>HEDEMORA</t>
        </is>
      </c>
      <c r="G304" t="n">
        <v>0.4</v>
      </c>
      <c r="H304" t="n">
        <v>0</v>
      </c>
      <c r="I304" t="n">
        <v>0</v>
      </c>
      <c r="J304" t="n">
        <v>0</v>
      </c>
      <c r="K304" t="n">
        <v>0</v>
      </c>
      <c r="L304" t="n">
        <v>0</v>
      </c>
      <c r="M304" t="n">
        <v>0</v>
      </c>
      <c r="N304" t="n">
        <v>0</v>
      </c>
      <c r="O304" t="n">
        <v>0</v>
      </c>
      <c r="P304" t="n">
        <v>0</v>
      </c>
      <c r="Q304" t="n">
        <v>0</v>
      </c>
      <c r="R304" s="2" t="inlineStr"/>
    </row>
    <row r="305" ht="15" customHeight="1">
      <c r="A305" t="inlineStr">
        <is>
          <t>A 29690-2025</t>
        </is>
      </c>
      <c r="B305" s="1" t="n">
        <v>45825.53508101852</v>
      </c>
      <c r="C305" s="1" t="n">
        <v>45878</v>
      </c>
      <c r="D305" t="inlineStr">
        <is>
          <t>DALARNAS LÄN</t>
        </is>
      </c>
      <c r="E305" t="inlineStr">
        <is>
          <t>HEDEMORA</t>
        </is>
      </c>
      <c r="G305" t="n">
        <v>4.1</v>
      </c>
      <c r="H305" t="n">
        <v>0</v>
      </c>
      <c r="I305" t="n">
        <v>0</v>
      </c>
      <c r="J305" t="n">
        <v>0</v>
      </c>
      <c r="K305" t="n">
        <v>0</v>
      </c>
      <c r="L305" t="n">
        <v>0</v>
      </c>
      <c r="M305" t="n">
        <v>0</v>
      </c>
      <c r="N305" t="n">
        <v>0</v>
      </c>
      <c r="O305" t="n">
        <v>0</v>
      </c>
      <c r="P305" t="n">
        <v>0</v>
      </c>
      <c r="Q305" t="n">
        <v>0</v>
      </c>
      <c r="R305" s="2" t="inlineStr"/>
    </row>
    <row r="306" ht="15" customHeight="1">
      <c r="A306" t="inlineStr">
        <is>
          <t>A 30471-2025</t>
        </is>
      </c>
      <c r="B306" s="1" t="n">
        <v>45827.94552083333</v>
      </c>
      <c r="C306" s="1" t="n">
        <v>45878</v>
      </c>
      <c r="D306" t="inlineStr">
        <is>
          <t>DALARNAS LÄN</t>
        </is>
      </c>
      <c r="E306" t="inlineStr">
        <is>
          <t>HEDEMORA</t>
        </is>
      </c>
      <c r="G306" t="n">
        <v>0.3</v>
      </c>
      <c r="H306" t="n">
        <v>0</v>
      </c>
      <c r="I306" t="n">
        <v>0</v>
      </c>
      <c r="J306" t="n">
        <v>0</v>
      </c>
      <c r="K306" t="n">
        <v>0</v>
      </c>
      <c r="L306" t="n">
        <v>0</v>
      </c>
      <c r="M306" t="n">
        <v>0</v>
      </c>
      <c r="N306" t="n">
        <v>0</v>
      </c>
      <c r="O306" t="n">
        <v>0</v>
      </c>
      <c r="P306" t="n">
        <v>0</v>
      </c>
      <c r="Q306" t="n">
        <v>0</v>
      </c>
      <c r="R306" s="2" t="inlineStr"/>
    </row>
    <row r="307" ht="15" customHeight="1">
      <c r="A307" t="inlineStr">
        <is>
          <t>A 30472-2025</t>
        </is>
      </c>
      <c r="B307" s="1" t="n">
        <v>45827.94671296296</v>
      </c>
      <c r="C307" s="1" t="n">
        <v>45878</v>
      </c>
      <c r="D307" t="inlineStr">
        <is>
          <t>DALARNAS LÄN</t>
        </is>
      </c>
      <c r="E307" t="inlineStr">
        <is>
          <t>HEDEMORA</t>
        </is>
      </c>
      <c r="G307" t="n">
        <v>1.1</v>
      </c>
      <c r="H307" t="n">
        <v>0</v>
      </c>
      <c r="I307" t="n">
        <v>0</v>
      </c>
      <c r="J307" t="n">
        <v>0</v>
      </c>
      <c r="K307" t="n">
        <v>0</v>
      </c>
      <c r="L307" t="n">
        <v>0</v>
      </c>
      <c r="M307" t="n">
        <v>0</v>
      </c>
      <c r="N307" t="n">
        <v>0</v>
      </c>
      <c r="O307" t="n">
        <v>0</v>
      </c>
      <c r="P307" t="n">
        <v>0</v>
      </c>
      <c r="Q307" t="n">
        <v>0</v>
      </c>
      <c r="R307" s="2" t="inlineStr"/>
    </row>
    <row r="308" ht="15" customHeight="1">
      <c r="A308" t="inlineStr">
        <is>
          <t>A 29128-2025</t>
        </is>
      </c>
      <c r="B308" s="1" t="n">
        <v>45821.60116898148</v>
      </c>
      <c r="C308" s="1" t="n">
        <v>45878</v>
      </c>
      <c r="D308" t="inlineStr">
        <is>
          <t>DALARNAS LÄN</t>
        </is>
      </c>
      <c r="E308" t="inlineStr">
        <is>
          <t>HEDEMORA</t>
        </is>
      </c>
      <c r="F308" t="inlineStr">
        <is>
          <t>Sveaskog</t>
        </is>
      </c>
      <c r="G308" t="n">
        <v>15.5</v>
      </c>
      <c r="H308" t="n">
        <v>0</v>
      </c>
      <c r="I308" t="n">
        <v>0</v>
      </c>
      <c r="J308" t="n">
        <v>0</v>
      </c>
      <c r="K308" t="n">
        <v>0</v>
      </c>
      <c r="L308" t="n">
        <v>0</v>
      </c>
      <c r="M308" t="n">
        <v>0</v>
      </c>
      <c r="N308" t="n">
        <v>0</v>
      </c>
      <c r="O308" t="n">
        <v>0</v>
      </c>
      <c r="P308" t="n">
        <v>0</v>
      </c>
      <c r="Q308" t="n">
        <v>0</v>
      </c>
      <c r="R308" s="2" t="inlineStr"/>
    </row>
    <row r="309" ht="15" customHeight="1">
      <c r="A309" t="inlineStr">
        <is>
          <t>A 29792-2025</t>
        </is>
      </c>
      <c r="B309" s="1" t="n">
        <v>45825.66416666667</v>
      </c>
      <c r="C309" s="1" t="n">
        <v>45878</v>
      </c>
      <c r="D309" t="inlineStr">
        <is>
          <t>DALARNAS LÄN</t>
        </is>
      </c>
      <c r="E309" t="inlineStr">
        <is>
          <t>HEDEMORA</t>
        </is>
      </c>
      <c r="F309" t="inlineStr">
        <is>
          <t>Sveaskog</t>
        </is>
      </c>
      <c r="G309" t="n">
        <v>26.3</v>
      </c>
      <c r="H309" t="n">
        <v>0</v>
      </c>
      <c r="I309" t="n">
        <v>0</v>
      </c>
      <c r="J309" t="n">
        <v>0</v>
      </c>
      <c r="K309" t="n">
        <v>0</v>
      </c>
      <c r="L309" t="n">
        <v>0</v>
      </c>
      <c r="M309" t="n">
        <v>0</v>
      </c>
      <c r="N309" t="n">
        <v>0</v>
      </c>
      <c r="O309" t="n">
        <v>0</v>
      </c>
      <c r="P309" t="n">
        <v>0</v>
      </c>
      <c r="Q309" t="n">
        <v>0</v>
      </c>
      <c r="R309" s="2" t="inlineStr"/>
    </row>
    <row r="310" ht="15" customHeight="1">
      <c r="A310" t="inlineStr">
        <is>
          <t>A 12136-2025</t>
        </is>
      </c>
      <c r="B310" s="1" t="n">
        <v>45729.39300925926</v>
      </c>
      <c r="C310" s="1" t="n">
        <v>45878</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15048-2025</t>
        </is>
      </c>
      <c r="B311" s="1" t="n">
        <v>45743.69820601852</v>
      </c>
      <c r="C311" s="1" t="n">
        <v>45878</v>
      </c>
      <c r="D311" t="inlineStr">
        <is>
          <t>DALARNAS LÄN</t>
        </is>
      </c>
      <c r="E311" t="inlineStr">
        <is>
          <t>HEDEMORA</t>
        </is>
      </c>
      <c r="F311" t="inlineStr">
        <is>
          <t>Sveaskog</t>
        </is>
      </c>
      <c r="G311" t="n">
        <v>9.1</v>
      </c>
      <c r="H311" t="n">
        <v>0</v>
      </c>
      <c r="I311" t="n">
        <v>0</v>
      </c>
      <c r="J311" t="n">
        <v>0</v>
      </c>
      <c r="K311" t="n">
        <v>0</v>
      </c>
      <c r="L311" t="n">
        <v>0</v>
      </c>
      <c r="M311" t="n">
        <v>0</v>
      </c>
      <c r="N311" t="n">
        <v>0</v>
      </c>
      <c r="O311" t="n">
        <v>0</v>
      </c>
      <c r="P311" t="n">
        <v>0</v>
      </c>
      <c r="Q311" t="n">
        <v>0</v>
      </c>
      <c r="R311" s="2" t="inlineStr"/>
    </row>
    <row r="312" ht="15" customHeight="1">
      <c r="A312" t="inlineStr">
        <is>
          <t>A 36656-2025</t>
        </is>
      </c>
      <c r="B312" s="1" t="n">
        <v>45873.34642361111</v>
      </c>
      <c r="C312" s="1" t="n">
        <v>45878</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53923-2024</t>
        </is>
      </c>
      <c r="B313" s="1" t="n">
        <v>45615.79806712963</v>
      </c>
      <c r="C313" s="1" t="n">
        <v>45878</v>
      </c>
      <c r="D313" t="inlineStr">
        <is>
          <t>DALARNAS LÄN</t>
        </is>
      </c>
      <c r="E313" t="inlineStr">
        <is>
          <t>HEDEMORA</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385-2024</t>
        </is>
      </c>
      <c r="B314" s="1" t="n">
        <v>45296</v>
      </c>
      <c r="C314" s="1" t="n">
        <v>45878</v>
      </c>
      <c r="D314" t="inlineStr">
        <is>
          <t>DALARNAS LÄN</t>
        </is>
      </c>
      <c r="E314" t="inlineStr">
        <is>
          <t>HEDEMORA</t>
        </is>
      </c>
      <c r="G314" t="n">
        <v>1.7</v>
      </c>
      <c r="H314" t="n">
        <v>0</v>
      </c>
      <c r="I314" t="n">
        <v>0</v>
      </c>
      <c r="J314" t="n">
        <v>0</v>
      </c>
      <c r="K314" t="n">
        <v>0</v>
      </c>
      <c r="L314" t="n">
        <v>0</v>
      </c>
      <c r="M314" t="n">
        <v>0</v>
      </c>
      <c r="N314" t="n">
        <v>0</v>
      </c>
      <c r="O314" t="n">
        <v>0</v>
      </c>
      <c r="P314" t="n">
        <v>0</v>
      </c>
      <c r="Q314" t="n">
        <v>0</v>
      </c>
      <c r="R314" s="2" t="inlineStr"/>
    </row>
    <row r="315" ht="15" customHeight="1">
      <c r="A315" t="inlineStr">
        <is>
          <t>A 30582-2025</t>
        </is>
      </c>
      <c r="B315" s="1" t="n">
        <v>45831.42349537037</v>
      </c>
      <c r="C315" s="1" t="n">
        <v>45878</v>
      </c>
      <c r="D315" t="inlineStr">
        <is>
          <t>DALARNAS LÄN</t>
        </is>
      </c>
      <c r="E315" t="inlineStr">
        <is>
          <t>HEDEMORA</t>
        </is>
      </c>
      <c r="G315" t="n">
        <v>1.8</v>
      </c>
      <c r="H315" t="n">
        <v>0</v>
      </c>
      <c r="I315" t="n">
        <v>0</v>
      </c>
      <c r="J315" t="n">
        <v>0</v>
      </c>
      <c r="K315" t="n">
        <v>0</v>
      </c>
      <c r="L315" t="n">
        <v>0</v>
      </c>
      <c r="M315" t="n">
        <v>0</v>
      </c>
      <c r="N315" t="n">
        <v>0</v>
      </c>
      <c r="O315" t="n">
        <v>0</v>
      </c>
      <c r="P315" t="n">
        <v>0</v>
      </c>
      <c r="Q315" t="n">
        <v>0</v>
      </c>
      <c r="R315" s="2" t="inlineStr"/>
    </row>
    <row r="316" ht="15" customHeight="1">
      <c r="A316" t="inlineStr">
        <is>
          <t>A 26452-2024</t>
        </is>
      </c>
      <c r="B316" s="1" t="n">
        <v>45469.51145833333</v>
      </c>
      <c r="C316" s="1" t="n">
        <v>45878</v>
      </c>
      <c r="D316" t="inlineStr">
        <is>
          <t>DALARNAS LÄN</t>
        </is>
      </c>
      <c r="E316" t="inlineStr">
        <is>
          <t>HEDEMORA</t>
        </is>
      </c>
      <c r="G316" t="n">
        <v>2.3</v>
      </c>
      <c r="H316" t="n">
        <v>0</v>
      </c>
      <c r="I316" t="n">
        <v>0</v>
      </c>
      <c r="J316" t="n">
        <v>0</v>
      </c>
      <c r="K316" t="n">
        <v>0</v>
      </c>
      <c r="L316" t="n">
        <v>0</v>
      </c>
      <c r="M316" t="n">
        <v>0</v>
      </c>
      <c r="N316" t="n">
        <v>0</v>
      </c>
      <c r="O316" t="n">
        <v>0</v>
      </c>
      <c r="P316" t="n">
        <v>0</v>
      </c>
      <c r="Q316" t="n">
        <v>0</v>
      </c>
      <c r="R316" s="2" t="inlineStr"/>
    </row>
    <row r="317" ht="15" customHeight="1">
      <c r="A317" t="inlineStr">
        <is>
          <t>A 40919-2023</t>
        </is>
      </c>
      <c r="B317" s="1" t="n">
        <v>45173.42707175926</v>
      </c>
      <c r="C317" s="1" t="n">
        <v>45878</v>
      </c>
      <c r="D317" t="inlineStr">
        <is>
          <t>DALARNAS LÄN</t>
        </is>
      </c>
      <c r="E317" t="inlineStr">
        <is>
          <t>HEDEMORA</t>
        </is>
      </c>
      <c r="F317" t="inlineStr">
        <is>
          <t>Bergvik skog väst AB</t>
        </is>
      </c>
      <c r="G317" t="n">
        <v>2.6</v>
      </c>
      <c r="H317" t="n">
        <v>0</v>
      </c>
      <c r="I317" t="n">
        <v>0</v>
      </c>
      <c r="J317" t="n">
        <v>0</v>
      </c>
      <c r="K317" t="n">
        <v>0</v>
      </c>
      <c r="L317" t="n">
        <v>0</v>
      </c>
      <c r="M317" t="n">
        <v>0</v>
      </c>
      <c r="N317" t="n">
        <v>0</v>
      </c>
      <c r="O317" t="n">
        <v>0</v>
      </c>
      <c r="P317" t="n">
        <v>0</v>
      </c>
      <c r="Q317" t="n">
        <v>0</v>
      </c>
      <c r="R317" s="2" t="inlineStr"/>
    </row>
    <row r="318" ht="15" customHeight="1">
      <c r="A318" t="inlineStr">
        <is>
          <t>A 25643-2024</t>
        </is>
      </c>
      <c r="B318" s="1" t="n">
        <v>45463.66436342592</v>
      </c>
      <c r="C318" s="1" t="n">
        <v>45878</v>
      </c>
      <c r="D318" t="inlineStr">
        <is>
          <t>DALARNAS LÄN</t>
        </is>
      </c>
      <c r="E318" t="inlineStr">
        <is>
          <t>HEDEMORA</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20666-2024</t>
        </is>
      </c>
      <c r="B319" s="1" t="n">
        <v>45436</v>
      </c>
      <c r="C319" s="1" t="n">
        <v>45878</v>
      </c>
      <c r="D319" t="inlineStr">
        <is>
          <t>DALARNAS LÄN</t>
        </is>
      </c>
      <c r="E319" t="inlineStr">
        <is>
          <t>HEDEMORA</t>
        </is>
      </c>
      <c r="G319" t="n">
        <v>5.1</v>
      </c>
      <c r="H319" t="n">
        <v>0</v>
      </c>
      <c r="I319" t="n">
        <v>0</v>
      </c>
      <c r="J319" t="n">
        <v>0</v>
      </c>
      <c r="K319" t="n">
        <v>0</v>
      </c>
      <c r="L319" t="n">
        <v>0</v>
      </c>
      <c r="M319" t="n">
        <v>0</v>
      </c>
      <c r="N319" t="n">
        <v>0</v>
      </c>
      <c r="O319" t="n">
        <v>0</v>
      </c>
      <c r="P319" t="n">
        <v>0</v>
      </c>
      <c r="Q319" t="n">
        <v>0</v>
      </c>
      <c r="R319" s="2" t="inlineStr"/>
    </row>
    <row r="320" ht="15" customHeight="1">
      <c r="A320" t="inlineStr">
        <is>
          <t>A 1917-2022</t>
        </is>
      </c>
      <c r="B320" s="1" t="n">
        <v>44574</v>
      </c>
      <c r="C320" s="1" t="n">
        <v>45878</v>
      </c>
      <c r="D320" t="inlineStr">
        <is>
          <t>DALARNAS LÄN</t>
        </is>
      </c>
      <c r="E320" t="inlineStr">
        <is>
          <t>HEDEMORA</t>
        </is>
      </c>
      <c r="F320" t="inlineStr">
        <is>
          <t>Övriga Aktiebolag</t>
        </is>
      </c>
      <c r="G320" t="n">
        <v>1.4</v>
      </c>
      <c r="H320" t="n">
        <v>0</v>
      </c>
      <c r="I320" t="n">
        <v>0</v>
      </c>
      <c r="J320" t="n">
        <v>0</v>
      </c>
      <c r="K320" t="n">
        <v>0</v>
      </c>
      <c r="L320" t="n">
        <v>0</v>
      </c>
      <c r="M320" t="n">
        <v>0</v>
      </c>
      <c r="N320" t="n">
        <v>0</v>
      </c>
      <c r="O320" t="n">
        <v>0</v>
      </c>
      <c r="P320" t="n">
        <v>0</v>
      </c>
      <c r="Q320" t="n">
        <v>0</v>
      </c>
      <c r="R320" s="2" t="inlineStr"/>
    </row>
    <row r="321" ht="15" customHeight="1">
      <c r="A321" t="inlineStr">
        <is>
          <t>A 14953-2025</t>
        </is>
      </c>
      <c r="B321" s="1" t="n">
        <v>45743.5819675926</v>
      </c>
      <c r="C321" s="1" t="n">
        <v>45878</v>
      </c>
      <c r="D321" t="inlineStr">
        <is>
          <t>DALARNAS LÄN</t>
        </is>
      </c>
      <c r="E321" t="inlineStr">
        <is>
          <t>HEDEMORA</t>
        </is>
      </c>
      <c r="G321" t="n">
        <v>6.6</v>
      </c>
      <c r="H321" t="n">
        <v>0</v>
      </c>
      <c r="I321" t="n">
        <v>0</v>
      </c>
      <c r="J321" t="n">
        <v>0</v>
      </c>
      <c r="K321" t="n">
        <v>0</v>
      </c>
      <c r="L321" t="n">
        <v>0</v>
      </c>
      <c r="M321" t="n">
        <v>0</v>
      </c>
      <c r="N321" t="n">
        <v>0</v>
      </c>
      <c r="O321" t="n">
        <v>0</v>
      </c>
      <c r="P321" t="n">
        <v>0</v>
      </c>
      <c r="Q321" t="n">
        <v>0</v>
      </c>
      <c r="R321" s="2" t="inlineStr"/>
    </row>
    <row r="322" ht="15" customHeight="1">
      <c r="A322" t="inlineStr">
        <is>
          <t>A 1973-2022</t>
        </is>
      </c>
      <c r="B322" s="1" t="n">
        <v>44575</v>
      </c>
      <c r="C322" s="1" t="n">
        <v>45878</v>
      </c>
      <c r="D322" t="inlineStr">
        <is>
          <t>DALARNAS LÄN</t>
        </is>
      </c>
      <c r="E322" t="inlineStr">
        <is>
          <t>HEDEMORA</t>
        </is>
      </c>
      <c r="G322" t="n">
        <v>1.2</v>
      </c>
      <c r="H322" t="n">
        <v>0</v>
      </c>
      <c r="I322" t="n">
        <v>0</v>
      </c>
      <c r="J322" t="n">
        <v>0</v>
      </c>
      <c r="K322" t="n">
        <v>0</v>
      </c>
      <c r="L322" t="n">
        <v>0</v>
      </c>
      <c r="M322" t="n">
        <v>0</v>
      </c>
      <c r="N322" t="n">
        <v>0</v>
      </c>
      <c r="O322" t="n">
        <v>0</v>
      </c>
      <c r="P322" t="n">
        <v>0</v>
      </c>
      <c r="Q322" t="n">
        <v>0</v>
      </c>
      <c r="R322" s="2" t="inlineStr"/>
    </row>
    <row r="323" ht="15" customHeight="1">
      <c r="A323" t="inlineStr">
        <is>
          <t>A 49636-2021</t>
        </is>
      </c>
      <c r="B323" s="1" t="n">
        <v>44455</v>
      </c>
      <c r="C323" s="1" t="n">
        <v>45878</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60475-2022</t>
        </is>
      </c>
      <c r="B324" s="1" t="n">
        <v>44911.41222222222</v>
      </c>
      <c r="C324" s="1" t="n">
        <v>45878</v>
      </c>
      <c r="D324" t="inlineStr">
        <is>
          <t>DALARNAS LÄN</t>
        </is>
      </c>
      <c r="E324" t="inlineStr">
        <is>
          <t>HEDEMORA</t>
        </is>
      </c>
      <c r="G324" t="n">
        <v>1</v>
      </c>
      <c r="H324" t="n">
        <v>0</v>
      </c>
      <c r="I324" t="n">
        <v>0</v>
      </c>
      <c r="J324" t="n">
        <v>0</v>
      </c>
      <c r="K324" t="n">
        <v>0</v>
      </c>
      <c r="L324" t="n">
        <v>0</v>
      </c>
      <c r="M324" t="n">
        <v>0</v>
      </c>
      <c r="N324" t="n">
        <v>0</v>
      </c>
      <c r="O324" t="n">
        <v>0</v>
      </c>
      <c r="P324" t="n">
        <v>0</v>
      </c>
      <c r="Q324" t="n">
        <v>0</v>
      </c>
      <c r="R324" s="2" t="inlineStr"/>
    </row>
    <row r="325" ht="15" customHeight="1">
      <c r="A325" t="inlineStr">
        <is>
          <t>A 30205-2022</t>
        </is>
      </c>
      <c r="B325" s="1" t="n">
        <v>44757.74415509259</v>
      </c>
      <c r="C325" s="1" t="n">
        <v>45878</v>
      </c>
      <c r="D325" t="inlineStr">
        <is>
          <t>DALARNAS LÄN</t>
        </is>
      </c>
      <c r="E325" t="inlineStr">
        <is>
          <t>HEDEMORA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54310-2021</t>
        </is>
      </c>
      <c r="B326" s="1" t="n">
        <v>44472.54035879629</v>
      </c>
      <c r="C326" s="1" t="n">
        <v>45878</v>
      </c>
      <c r="D326" t="inlineStr">
        <is>
          <t>DALARNAS LÄN</t>
        </is>
      </c>
      <c r="E326" t="inlineStr">
        <is>
          <t>HEDEMORA</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26449-2024</t>
        </is>
      </c>
      <c r="B327" s="1" t="n">
        <v>45469.50783564815</v>
      </c>
      <c r="C327" s="1" t="n">
        <v>45878</v>
      </c>
      <c r="D327" t="inlineStr">
        <is>
          <t>DALARNAS LÄN</t>
        </is>
      </c>
      <c r="E327" t="inlineStr">
        <is>
          <t>HEDEMORA</t>
        </is>
      </c>
      <c r="G327" t="n">
        <v>4.5</v>
      </c>
      <c r="H327" t="n">
        <v>0</v>
      </c>
      <c r="I327" t="n">
        <v>0</v>
      </c>
      <c r="J327" t="n">
        <v>0</v>
      </c>
      <c r="K327" t="n">
        <v>0</v>
      </c>
      <c r="L327" t="n">
        <v>0</v>
      </c>
      <c r="M327" t="n">
        <v>0</v>
      </c>
      <c r="N327" t="n">
        <v>0</v>
      </c>
      <c r="O327" t="n">
        <v>0</v>
      </c>
      <c r="P327" t="n">
        <v>0</v>
      </c>
      <c r="Q327" t="n">
        <v>0</v>
      </c>
      <c r="R327" s="2" t="inlineStr"/>
    </row>
    <row r="328" ht="15" customHeight="1">
      <c r="A328" t="inlineStr">
        <is>
          <t>A 25155-2023</t>
        </is>
      </c>
      <c r="B328" s="1" t="n">
        <v>45086</v>
      </c>
      <c r="C328" s="1" t="n">
        <v>45878</v>
      </c>
      <c r="D328" t="inlineStr">
        <is>
          <t>DALARNAS LÄN</t>
        </is>
      </c>
      <c r="E328" t="inlineStr">
        <is>
          <t>HEDEMORA</t>
        </is>
      </c>
      <c r="F328" t="inlineStr">
        <is>
          <t>Sveaskog</t>
        </is>
      </c>
      <c r="G328" t="n">
        <v>3.8</v>
      </c>
      <c r="H328" t="n">
        <v>0</v>
      </c>
      <c r="I328" t="n">
        <v>0</v>
      </c>
      <c r="J328" t="n">
        <v>0</v>
      </c>
      <c r="K328" t="n">
        <v>0</v>
      </c>
      <c r="L328" t="n">
        <v>0</v>
      </c>
      <c r="M328" t="n">
        <v>0</v>
      </c>
      <c r="N328" t="n">
        <v>0</v>
      </c>
      <c r="O328" t="n">
        <v>0</v>
      </c>
      <c r="P328" t="n">
        <v>0</v>
      </c>
      <c r="Q328" t="n">
        <v>0</v>
      </c>
      <c r="R328" s="2" t="inlineStr"/>
    </row>
    <row r="329" ht="15" customHeight="1">
      <c r="A329" t="inlineStr">
        <is>
          <t>A 25150-2023</t>
        </is>
      </c>
      <c r="B329" s="1" t="n">
        <v>45086</v>
      </c>
      <c r="C329" s="1" t="n">
        <v>45878</v>
      </c>
      <c r="D329" t="inlineStr">
        <is>
          <t>DALARNAS LÄN</t>
        </is>
      </c>
      <c r="E329" t="inlineStr">
        <is>
          <t>HEDEMORA</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41523-2023</t>
        </is>
      </c>
      <c r="B330" s="1" t="n">
        <v>45172</v>
      </c>
      <c r="C330" s="1" t="n">
        <v>45878</v>
      </c>
      <c r="D330" t="inlineStr">
        <is>
          <t>DALARNAS LÄN</t>
        </is>
      </c>
      <c r="E330" t="inlineStr">
        <is>
          <t>HEDEMORA</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19689-2025</t>
        </is>
      </c>
      <c r="B331" s="1" t="n">
        <v>45770.88462962963</v>
      </c>
      <c r="C331" s="1" t="n">
        <v>45878</v>
      </c>
      <c r="D331" t="inlineStr">
        <is>
          <t>DALARNAS LÄN</t>
        </is>
      </c>
      <c r="E331" t="inlineStr">
        <is>
          <t>HEDEMORA</t>
        </is>
      </c>
      <c r="G331" t="n">
        <v>1.1</v>
      </c>
      <c r="H331" t="n">
        <v>0</v>
      </c>
      <c r="I331" t="n">
        <v>0</v>
      </c>
      <c r="J331" t="n">
        <v>0</v>
      </c>
      <c r="K331" t="n">
        <v>0</v>
      </c>
      <c r="L331" t="n">
        <v>0</v>
      </c>
      <c r="M331" t="n">
        <v>0</v>
      </c>
      <c r="N331" t="n">
        <v>0</v>
      </c>
      <c r="O331" t="n">
        <v>0</v>
      </c>
      <c r="P331" t="n">
        <v>0</v>
      </c>
      <c r="Q331" t="n">
        <v>0</v>
      </c>
      <c r="R331" s="2" t="inlineStr"/>
    </row>
    <row r="332" ht="15" customHeight="1">
      <c r="A332" t="inlineStr">
        <is>
          <t>A 30939-2023</t>
        </is>
      </c>
      <c r="B332" s="1" t="n">
        <v>45113.45597222223</v>
      </c>
      <c r="C332" s="1" t="n">
        <v>45878</v>
      </c>
      <c r="D332" t="inlineStr">
        <is>
          <t>DALARNAS LÄN</t>
        </is>
      </c>
      <c r="E332" t="inlineStr">
        <is>
          <t>HEDEMORA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60078-2022</t>
        </is>
      </c>
      <c r="B333" s="1" t="n">
        <v>44909.58811342593</v>
      </c>
      <c r="C333" s="1" t="n">
        <v>45878</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53568-2023</t>
        </is>
      </c>
      <c r="B334" s="1" t="n">
        <v>45230.49392361111</v>
      </c>
      <c r="C334" s="1" t="n">
        <v>45878</v>
      </c>
      <c r="D334" t="inlineStr">
        <is>
          <t>DALARNAS LÄN</t>
        </is>
      </c>
      <c r="E334" t="inlineStr">
        <is>
          <t>HEDEMORA</t>
        </is>
      </c>
      <c r="G334" t="n">
        <v>1.2</v>
      </c>
      <c r="H334" t="n">
        <v>0</v>
      </c>
      <c r="I334" t="n">
        <v>0</v>
      </c>
      <c r="J334" t="n">
        <v>0</v>
      </c>
      <c r="K334" t="n">
        <v>0</v>
      </c>
      <c r="L334" t="n">
        <v>0</v>
      </c>
      <c r="M334" t="n">
        <v>0</v>
      </c>
      <c r="N334" t="n">
        <v>0</v>
      </c>
      <c r="O334" t="n">
        <v>0</v>
      </c>
      <c r="P334" t="n">
        <v>0</v>
      </c>
      <c r="Q334" t="n">
        <v>0</v>
      </c>
      <c r="R334" s="2" t="inlineStr"/>
    </row>
    <row r="335" ht="15" customHeight="1">
      <c r="A335" t="inlineStr">
        <is>
          <t>A 29303-2023</t>
        </is>
      </c>
      <c r="B335" s="1" t="n">
        <v>45105</v>
      </c>
      <c r="C335" s="1" t="n">
        <v>45878</v>
      </c>
      <c r="D335" t="inlineStr">
        <is>
          <t>DALARNAS LÄN</t>
        </is>
      </c>
      <c r="E335" t="inlineStr">
        <is>
          <t>HEDEMORA</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49904-2021</t>
        </is>
      </c>
      <c r="B336" s="1" t="n">
        <v>44455.77041666667</v>
      </c>
      <c r="C336" s="1" t="n">
        <v>45878</v>
      </c>
      <c r="D336" t="inlineStr">
        <is>
          <t>DALARNAS LÄN</t>
        </is>
      </c>
      <c r="E336" t="inlineStr">
        <is>
          <t>HEDEMORA</t>
        </is>
      </c>
      <c r="F336" t="inlineStr">
        <is>
          <t>Sveaskog</t>
        </is>
      </c>
      <c r="G336" t="n">
        <v>7.1</v>
      </c>
      <c r="H336" t="n">
        <v>0</v>
      </c>
      <c r="I336" t="n">
        <v>0</v>
      </c>
      <c r="J336" t="n">
        <v>0</v>
      </c>
      <c r="K336" t="n">
        <v>0</v>
      </c>
      <c r="L336" t="n">
        <v>0</v>
      </c>
      <c r="M336" t="n">
        <v>0</v>
      </c>
      <c r="N336" t="n">
        <v>0</v>
      </c>
      <c r="O336" t="n">
        <v>0</v>
      </c>
      <c r="P336" t="n">
        <v>0</v>
      </c>
      <c r="Q336" t="n">
        <v>0</v>
      </c>
      <c r="R336" s="2" t="inlineStr"/>
    </row>
    <row r="337" ht="15" customHeight="1">
      <c r="A337" t="inlineStr">
        <is>
          <t>A 46217-2023</t>
        </is>
      </c>
      <c r="B337" s="1" t="n">
        <v>45190</v>
      </c>
      <c r="C337" s="1" t="n">
        <v>45878</v>
      </c>
      <c r="D337" t="inlineStr">
        <is>
          <t>DALARNAS LÄN</t>
        </is>
      </c>
      <c r="E337" t="inlineStr">
        <is>
          <t>HEDEMORA</t>
        </is>
      </c>
      <c r="F337" t="inlineStr">
        <is>
          <t>Bergvik skog väst AB</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5766-2025</t>
        </is>
      </c>
      <c r="B338" s="1" t="n">
        <v>45694.57893518519</v>
      </c>
      <c r="C338" s="1" t="n">
        <v>45878</v>
      </c>
      <c r="D338" t="inlineStr">
        <is>
          <t>DALARNAS LÄN</t>
        </is>
      </c>
      <c r="E338" t="inlineStr">
        <is>
          <t>HEDEMORA</t>
        </is>
      </c>
      <c r="G338" t="n">
        <v>4.9</v>
      </c>
      <c r="H338" t="n">
        <v>0</v>
      </c>
      <c r="I338" t="n">
        <v>0</v>
      </c>
      <c r="J338" t="n">
        <v>0</v>
      </c>
      <c r="K338" t="n">
        <v>0</v>
      </c>
      <c r="L338" t="n">
        <v>0</v>
      </c>
      <c r="M338" t="n">
        <v>0</v>
      </c>
      <c r="N338" t="n">
        <v>0</v>
      </c>
      <c r="O338" t="n">
        <v>0</v>
      </c>
      <c r="P338" t="n">
        <v>0</v>
      </c>
      <c r="Q338" t="n">
        <v>0</v>
      </c>
      <c r="R338" s="2" t="inlineStr"/>
    </row>
    <row r="339" ht="15" customHeight="1">
      <c r="A339" t="inlineStr">
        <is>
          <t>A 25691-2022</t>
        </is>
      </c>
      <c r="B339" s="1" t="n">
        <v>44733</v>
      </c>
      <c r="C339" s="1" t="n">
        <v>45878</v>
      </c>
      <c r="D339" t="inlineStr">
        <is>
          <t>DALARNAS LÄN</t>
        </is>
      </c>
      <c r="E339" t="inlineStr">
        <is>
          <t>HEDEMORA</t>
        </is>
      </c>
      <c r="G339" t="n">
        <v>0.7</v>
      </c>
      <c r="H339" t="n">
        <v>0</v>
      </c>
      <c r="I339" t="n">
        <v>0</v>
      </c>
      <c r="J339" t="n">
        <v>0</v>
      </c>
      <c r="K339" t="n">
        <v>0</v>
      </c>
      <c r="L339" t="n">
        <v>0</v>
      </c>
      <c r="M339" t="n">
        <v>0</v>
      </c>
      <c r="N339" t="n">
        <v>0</v>
      </c>
      <c r="O339" t="n">
        <v>0</v>
      </c>
      <c r="P339" t="n">
        <v>0</v>
      </c>
      <c r="Q339" t="n">
        <v>0</v>
      </c>
      <c r="R339" s="2" t="inlineStr"/>
    </row>
    <row r="340" ht="15" customHeight="1">
      <c r="A340" t="inlineStr">
        <is>
          <t>A 61849-2022</t>
        </is>
      </c>
      <c r="B340" s="1" t="n">
        <v>44917</v>
      </c>
      <c r="C340" s="1" t="n">
        <v>45878</v>
      </c>
      <c r="D340" t="inlineStr">
        <is>
          <t>DALARNAS LÄN</t>
        </is>
      </c>
      <c r="E340" t="inlineStr">
        <is>
          <t>HEDEMORA</t>
        </is>
      </c>
      <c r="G340" t="n">
        <v>1.9</v>
      </c>
      <c r="H340" t="n">
        <v>0</v>
      </c>
      <c r="I340" t="n">
        <v>0</v>
      </c>
      <c r="J340" t="n">
        <v>0</v>
      </c>
      <c r="K340" t="n">
        <v>0</v>
      </c>
      <c r="L340" t="n">
        <v>0</v>
      </c>
      <c r="M340" t="n">
        <v>0</v>
      </c>
      <c r="N340" t="n">
        <v>0</v>
      </c>
      <c r="O340" t="n">
        <v>0</v>
      </c>
      <c r="P340" t="n">
        <v>0</v>
      </c>
      <c r="Q340" t="n">
        <v>0</v>
      </c>
      <c r="R340" s="2" t="inlineStr"/>
    </row>
    <row r="341">
      <c r="A341" t="inlineStr">
        <is>
          <t>A 53584-2023</t>
        </is>
      </c>
      <c r="B341" s="1" t="n">
        <v>45230</v>
      </c>
      <c r="C341" s="1" t="n">
        <v>45878</v>
      </c>
      <c r="D341" t="inlineStr">
        <is>
          <t>DALARNAS LÄN</t>
        </is>
      </c>
      <c r="E341" t="inlineStr">
        <is>
          <t>HEDEMORA</t>
        </is>
      </c>
      <c r="G341" t="n">
        <v>6.6</v>
      </c>
      <c r="H341" t="n">
        <v>0</v>
      </c>
      <c r="I341" t="n">
        <v>0</v>
      </c>
      <c r="J341" t="n">
        <v>0</v>
      </c>
      <c r="K341" t="n">
        <v>0</v>
      </c>
      <c r="L341" t="n">
        <v>0</v>
      </c>
      <c r="M341" t="n">
        <v>0</v>
      </c>
      <c r="N341" t="n">
        <v>0</v>
      </c>
      <c r="O341" t="n">
        <v>0</v>
      </c>
      <c r="P341" t="n">
        <v>0</v>
      </c>
      <c r="Q341" t="n">
        <v>0</v>
      </c>
      <c r="R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2025-08-09T18:50:13Z</dcterms:created>
  <dcterms:modified xmlns:dcterms="http://purl.org/dc/terms/" xmlns:xsi="http://www.w3.org/2001/XMLSchema-instance" xsi:type="dcterms:W3CDTF">2025-08-09T18:50:13Z</dcterms:modified>
</cp:coreProperties>
</file>