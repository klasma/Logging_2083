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46306</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46306</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46306</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46306</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46306</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46306</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46306</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46306</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46306</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34929-2024</t>
        </is>
      </c>
      <c r="B11" t="inlineStr">
        <is>
          <t>avverkningsanmälan</t>
        </is>
      </c>
      <c r="C11" t="inlineStr">
        <is>
          <t>Föryngringsavverkning</t>
        </is>
      </c>
      <c r="D11" s="1" t="n">
        <v>45527</v>
      </c>
      <c r="E11" s="1" t="n">
        <v>46306</v>
      </c>
      <c r="F11" t="inlineStr">
        <is>
          <t>DALARNAS LÄN</t>
        </is>
      </c>
      <c r="G11" t="inlineStr">
        <is>
          <t>HEDEMORA</t>
        </is>
      </c>
      <c r="H11" t="inlineStr">
        <is>
          <t>Sveaskog</t>
        </is>
      </c>
      <c r="I11" t="n">
        <v>5.1</v>
      </c>
      <c r="J11" t="n">
        <v>4</v>
      </c>
      <c r="K11" t="n">
        <v>5</v>
      </c>
      <c r="L11" t="n">
        <v>2</v>
      </c>
      <c r="M11" t="n">
        <v>1</v>
      </c>
      <c r="N11" t="n">
        <v>2</v>
      </c>
      <c r="O11" t="n">
        <v>0</v>
      </c>
      <c r="P11" t="n">
        <v>0</v>
      </c>
      <c r="Q11" t="n">
        <v>5</v>
      </c>
      <c r="R11" t="n">
        <v>3</v>
      </c>
      <c r="S11" t="n">
        <v>14</v>
      </c>
      <c r="T11" t="n">
        <v>44</v>
      </c>
      <c r="U11" t="n">
        <v>44</v>
      </c>
      <c r="V11" s="2" t="inlineStr">
        <is>
          <t>Sammetstaggsvamp
Violgubbe
Gul taggsvamp
Dofttaggsvamp
Gultoppig fingersvamp
Olivspindling
Rödgul trumpetsvamp
Skogsknipprot
Svart trolldruva
Svavelriska
Blåsippa
Svarta vinbär
Fläcknycklar
Nattviol</t>
        </is>
      </c>
      <c r="W11">
        <f>HYPERLINK("https://klasma.github.io/Logging_2083/artfynd/A 34929-2024 artfynd.xlsx", "A 34929-2024")</f>
        <v/>
      </c>
      <c r="X11">
        <f>HYPERLINK("https://klasma.github.io/Logging_2083/kartor/A 34929-2024 karta.png", "A 34929-2024")</f>
        <v/>
      </c>
      <c r="Y11">
        <f>HYPERLINK("https://klasma.github.io/Logging_2083/kartor_geotiff/A 34929-2024 georefererad karta.tif", "A 34929-2024")</f>
        <v/>
      </c>
      <c r="AA11">
        <f>HYPERLINK("https://klasma.github.io/Logging_2083/klagomål/A 34929-2024 FSC-klagomål.docx", "A 34929-2024")</f>
        <v/>
      </c>
      <c r="AB11">
        <f>HYPERLINK("https://klasma.github.io/Logging_2083/klagomålsmail/A 34929-2024 FSC-klagomål mail.docx", "A 34929-2024")</f>
        <v/>
      </c>
      <c r="AC11">
        <f>HYPERLINK("https://klasma.github.io/Logging_2083/tillsyn/A 34929-2024 tillsynsbegäran.docx", "A 34929-2024")</f>
        <v/>
      </c>
      <c r="AD11">
        <f>HYPERLINK("https://klasma.github.io/Logging_2083/tillsynsmail/A 34929-2024 tillsynsbegäran mail.docx", "A 34929-2024")</f>
        <v/>
      </c>
    </row>
    <row r="12" ht="15" customHeight="1">
      <c r="A12" t="inlineStr">
        <is>
          <t>A 1455-2026</t>
        </is>
      </c>
      <c r="B12" t="inlineStr">
        <is>
          <t>avverkningsanmälan</t>
        </is>
      </c>
      <c r="C12" t="inlineStr">
        <is>
          <t>Föryngringsavverkning</t>
        </is>
      </c>
      <c r="D12" s="1" t="n">
        <v>46033</v>
      </c>
      <c r="E12" s="1" t="n">
        <v>46306</v>
      </c>
      <c r="F12" t="inlineStr">
        <is>
          <t>DALARNAS LÄN</t>
        </is>
      </c>
      <c r="G12" t="inlineStr">
        <is>
          <t>HEDEMORA</t>
        </is>
      </c>
      <c r="I12" t="n">
        <v>1.4</v>
      </c>
      <c r="J12" t="n">
        <v>5</v>
      </c>
      <c r="K12" t="n">
        <v>3</v>
      </c>
      <c r="L12" t="n">
        <v>7</v>
      </c>
      <c r="M12" t="n">
        <v>2</v>
      </c>
      <c r="N12" t="n">
        <v>0</v>
      </c>
      <c r="O12" t="n">
        <v>0</v>
      </c>
      <c r="P12" t="n">
        <v>0</v>
      </c>
      <c r="Q12" t="n">
        <v>9</v>
      </c>
      <c r="R12" t="n">
        <v>2</v>
      </c>
      <c r="S12" t="n">
        <v>14</v>
      </c>
      <c r="T12" t="n">
        <v>40</v>
      </c>
      <c r="U12" t="n">
        <v>0</v>
      </c>
      <c r="V12" s="2" t="inlineStr">
        <is>
          <t>Knärot
Laxporing
Blågrå svartspik
Gropticka
Kortskaftad ärgspik
Talltita
Tretåig hackspett
Ullticka
Vaddporing
Bronshjon
Vedticka
Vågbandad barkbock
Tjäder
Grönsiska</t>
        </is>
      </c>
      <c r="W12">
        <f>HYPERLINK("https://klasma.github.io/Logging_2083/artfynd/A 1455-2026 artfynd.xlsx", "A 1455-2026")</f>
        <v/>
      </c>
      <c r="X12">
        <f>HYPERLINK("https://klasma.github.io/Logging_2083/kartor/A 1455-2026 karta.png", "A 1455-2026")</f>
        <v/>
      </c>
      <c r="Y12">
        <f>HYPERLINK("https://klasma.github.io/Logging_2083/kartor_geotiff/A 1455-2026 georefererad karta.tif", "A 1455-2026")</f>
        <v/>
      </c>
      <c r="Z12">
        <f>HYPERLINK("https://klasma.github.io/Logging_2083/knärot/A 1455-2026 karta knärot.png", "A 1455-2026")</f>
        <v/>
      </c>
      <c r="AA12">
        <f>HYPERLINK("https://klasma.github.io/Logging_2083/klagomål/A 1455-2026 FSC-klagomål.docx", "A 1455-2026")</f>
        <v/>
      </c>
      <c r="AB12">
        <f>HYPERLINK("https://klasma.github.io/Logging_2083/klagomålsmail/A 1455-2026 FSC-klagomål mail.docx", "A 1455-2026")</f>
        <v/>
      </c>
      <c r="AC12">
        <f>HYPERLINK("https://klasma.github.io/Logging_2083/tillsyn/A 1455-2026 tillsynsbegäran.docx", "A 1455-2026")</f>
        <v/>
      </c>
      <c r="AD12">
        <f>HYPERLINK("https://klasma.github.io/Logging_2083/tillsynsmail/A 1455-2026 tillsynsbegäran mail.docx", "A 1455-2026")</f>
        <v/>
      </c>
      <c r="AE12">
        <f>HYPERLINK("https://klasma.github.io/Logging_2083/fåglar/A 1455-2026 prioriterade fågelarter.docx", "A 1455-2026")</f>
        <v/>
      </c>
    </row>
    <row r="13" ht="15" customHeight="1">
      <c r="A13" t="inlineStr">
        <is>
          <t>A 62040-2021</t>
        </is>
      </c>
      <c r="B13" t="inlineStr">
        <is>
          <t>avverkningsanmälan</t>
        </is>
      </c>
      <c r="C13" t="inlineStr">
        <is>
          <t>Föryngringsavverkning</t>
        </is>
      </c>
      <c r="D13" s="1" t="n">
        <v>44502</v>
      </c>
      <c r="E13" s="1" t="n">
        <v>46306</v>
      </c>
      <c r="F13" t="inlineStr">
        <is>
          <t>DALARNAS LÄN</t>
        </is>
      </c>
      <c r="G13" t="inlineStr">
        <is>
          <t>HEDEMORA</t>
        </is>
      </c>
      <c r="I13" t="n">
        <v>1.6</v>
      </c>
      <c r="J13" t="n">
        <v>5</v>
      </c>
      <c r="K13" t="n">
        <v>3</v>
      </c>
      <c r="L13" t="n">
        <v>7</v>
      </c>
      <c r="M13" t="n">
        <v>2</v>
      </c>
      <c r="N13" t="n">
        <v>0</v>
      </c>
      <c r="O13" t="n">
        <v>0</v>
      </c>
      <c r="P13" t="n">
        <v>0</v>
      </c>
      <c r="Q13" t="n">
        <v>9</v>
      </c>
      <c r="R13" t="n">
        <v>2</v>
      </c>
      <c r="S13" t="n">
        <v>14</v>
      </c>
      <c r="T13" t="n">
        <v>40</v>
      </c>
      <c r="U13" t="n">
        <v>40</v>
      </c>
      <c r="V13" s="2" t="inlineStr">
        <is>
          <t>Knärot
Laxporing
Blågrå svartspik
Gropticka
Kortskaftad ärgspik
Talltita
Tretåig hackspett
Ullticka
Vaddporing
Bronshjon
Vedticka
Vågbandad barkbock
Tjäder
Grönsiska</t>
        </is>
      </c>
      <c r="W13">
        <f>HYPERLINK("https://klasma.github.io/Logging_2083/artfynd/A 62040-2021 artfynd.xlsx", "A 62040-2021")</f>
        <v/>
      </c>
      <c r="X13">
        <f>HYPERLINK("https://klasma.github.io/Logging_2083/kartor/A 62040-2021 karta.png", "A 62040-2021")</f>
        <v/>
      </c>
      <c r="Y13">
        <f>HYPERLINK("https://klasma.github.io/Logging_2083/kartor_geotiff/A 62040-2021 georefererad karta.tif", "A 62040-2021")</f>
        <v/>
      </c>
      <c r="Z13">
        <f>HYPERLINK("https://klasma.github.io/Logging_2083/knärot/A 62040-2021 karta knärot.png", "A 62040-2021")</f>
        <v/>
      </c>
      <c r="AA13">
        <f>HYPERLINK("https://klasma.github.io/Logging_2083/klagomål/A 62040-2021 FSC-klagomål.docx", "A 62040-2021")</f>
        <v/>
      </c>
      <c r="AB13">
        <f>HYPERLINK("https://klasma.github.io/Logging_2083/klagomålsmail/A 62040-2021 FSC-klagomål mail.docx", "A 62040-2021")</f>
        <v/>
      </c>
      <c r="AC13">
        <f>HYPERLINK("https://klasma.github.io/Logging_2083/tillsyn/A 62040-2021 tillsynsbegäran.docx", "A 62040-2021")</f>
        <v/>
      </c>
      <c r="AD13">
        <f>HYPERLINK("https://klasma.github.io/Logging_2083/tillsynsmail/A 62040-2021 tillsynsbegäran mail.docx", "A 62040-2021")</f>
        <v/>
      </c>
      <c r="AE13">
        <f>HYPERLINK("https://klasma.github.io/Logging_2083/fåglar/A 62040-2021 prioriterade fågelarter.docx", "A 62040-2021")</f>
        <v/>
      </c>
    </row>
    <row r="14" ht="15" customHeight="1">
      <c r="A14" t="inlineStr">
        <is>
          <t>S 2840-2025</t>
        </is>
      </c>
      <c r="B14" t="inlineStr">
        <is>
          <t>samrådsanmälan</t>
        </is>
      </c>
      <c r="C14" t="inlineStr">
        <is>
          <t>Annan skogsbruksåtgärd</t>
        </is>
      </c>
      <c r="D14" s="1" t="n">
        <v>45940</v>
      </c>
      <c r="E14" s="1" t="n">
        <v>46306</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46306</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46306</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46306</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46306</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46306</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46306</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46306</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46306</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46306</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46306</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46306</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34102-2026</t>
        </is>
      </c>
      <c r="B26" t="inlineStr">
        <is>
          <t>avverkningsanmälan</t>
        </is>
      </c>
      <c r="C26" t="inlineStr">
        <is>
          <t>Föryngringsavverkning</t>
        </is>
      </c>
      <c r="D26" s="1" t="n">
        <v>46251</v>
      </c>
      <c r="E26" s="1" t="n">
        <v>46306</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46306</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46306</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46306</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46306</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46306</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46306</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46306</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46306</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46306</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46306</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46306</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46306</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46306</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46306</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62054-2021</t>
        </is>
      </c>
      <c r="B41" t="inlineStr">
        <is>
          <t>avverkningsanmälan</t>
        </is>
      </c>
      <c r="C41" t="inlineStr">
        <is>
          <t>Föryngringsavverkning</t>
        </is>
      </c>
      <c r="D41" s="1" t="n">
        <v>44502</v>
      </c>
      <c r="E41" s="1" t="n">
        <v>46306</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46306</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5713-2026</t>
        </is>
      </c>
      <c r="B43" t="inlineStr">
        <is>
          <t>avverkningsanmälan</t>
        </is>
      </c>
      <c r="C43" t="inlineStr">
        <is>
          <t>Föryngringsavverkning</t>
        </is>
      </c>
      <c r="D43" s="1" t="n">
        <v>46051</v>
      </c>
      <c r="E43" s="1" t="n">
        <v>46306</v>
      </c>
      <c r="F43" t="inlineStr">
        <is>
          <t>DALARNAS LÄN</t>
        </is>
      </c>
      <c r="G43" t="inlineStr">
        <is>
          <t>HEDEMORA</t>
        </is>
      </c>
      <c r="I43" t="n">
        <v>1</v>
      </c>
      <c r="J43" t="n">
        <v>1</v>
      </c>
      <c r="K43" t="n">
        <v>1</v>
      </c>
      <c r="L43" t="n">
        <v>2</v>
      </c>
      <c r="M43" t="n">
        <v>1</v>
      </c>
      <c r="N43" t="n">
        <v>0</v>
      </c>
      <c r="O43" t="n">
        <v>0</v>
      </c>
      <c r="P43" t="n">
        <v>0</v>
      </c>
      <c r="Q43" t="n">
        <v>3</v>
      </c>
      <c r="R43" t="n">
        <v>1</v>
      </c>
      <c r="S43" t="n">
        <v>4</v>
      </c>
      <c r="T43" t="n">
        <v>14</v>
      </c>
      <c r="U43" t="n">
        <v>0</v>
      </c>
      <c r="V43" s="2" t="inlineStr">
        <is>
          <t>Knärot
Rynkskinn
Ullticka
Bronshjon</t>
        </is>
      </c>
      <c r="W43">
        <f>HYPERLINK("https://klasma.github.io/Logging_2083/artfynd/A 5713-2026 artfynd.xlsx", "A 5713-2026")</f>
        <v/>
      </c>
      <c r="X43">
        <f>HYPERLINK("https://klasma.github.io/Logging_2083/kartor/A 5713-2026 karta.png", "A 5713-2026")</f>
        <v/>
      </c>
      <c r="Y43">
        <f>HYPERLINK("https://klasma.github.io/Logging_2083/kartor_geotiff/A 5713-2026 georefererad karta.tif", "A 5713-2026")</f>
        <v/>
      </c>
      <c r="Z43">
        <f>HYPERLINK("https://klasma.github.io/Logging_2083/knärot/A 5713-2026 karta knärot.png", "A 5713-2026")</f>
        <v/>
      </c>
      <c r="AA43">
        <f>HYPERLINK("https://klasma.github.io/Logging_2083/klagomål/A 5713-2026 FSC-klagomål.docx", "A 5713-2026")</f>
        <v/>
      </c>
      <c r="AB43">
        <f>HYPERLINK("https://klasma.github.io/Logging_2083/klagomålsmail/A 5713-2026 FSC-klagomål mail.docx", "A 5713-2026")</f>
        <v/>
      </c>
      <c r="AC43">
        <f>HYPERLINK("https://klasma.github.io/Logging_2083/tillsyn/A 5713-2026 tillsynsbegäran.docx", "A 5713-2026")</f>
        <v/>
      </c>
      <c r="AD43">
        <f>HYPERLINK("https://klasma.github.io/Logging_2083/tillsynsmail/A 5713-2026 tillsynsbegäran mail.docx", "A 5713-2026")</f>
        <v/>
      </c>
    </row>
    <row r="44" ht="15" customHeight="1">
      <c r="A44" t="inlineStr">
        <is>
          <t>A 2409-2022</t>
        </is>
      </c>
      <c r="B44" t="inlineStr">
        <is>
          <t>avverkningsanmälan</t>
        </is>
      </c>
      <c r="C44" t="inlineStr">
        <is>
          <t>Föryngringsavverkning</t>
        </is>
      </c>
      <c r="D44" s="1" t="n">
        <v>44579</v>
      </c>
      <c r="E44" s="1" t="n">
        <v>46306</v>
      </c>
      <c r="F44" t="inlineStr">
        <is>
          <t>DALARNAS LÄN</t>
        </is>
      </c>
      <c r="G44" t="inlineStr">
        <is>
          <t>HEDEMORA</t>
        </is>
      </c>
      <c r="I44" t="n">
        <v>3.1</v>
      </c>
      <c r="J44" t="n">
        <v>1</v>
      </c>
      <c r="K44" t="n">
        <v>1</v>
      </c>
      <c r="L44" t="n">
        <v>1</v>
      </c>
      <c r="M44" t="n">
        <v>1</v>
      </c>
      <c r="N44" t="n">
        <v>0</v>
      </c>
      <c r="O44" t="n">
        <v>0</v>
      </c>
      <c r="P44" t="n">
        <v>0</v>
      </c>
      <c r="Q44" t="n">
        <v>2</v>
      </c>
      <c r="R44" t="n">
        <v>1</v>
      </c>
      <c r="S44" t="n">
        <v>3</v>
      </c>
      <c r="T44" t="n">
        <v>12</v>
      </c>
      <c r="U44" t="n">
        <v>12</v>
      </c>
      <c r="V44" s="2" t="inlineStr">
        <is>
          <t>Knärot
Ullticka
Vedticka</t>
        </is>
      </c>
      <c r="W44">
        <f>HYPERLINK("https://klasma.github.io/Logging_2083/artfynd/A 2409-2022 artfynd.xlsx", "A 2409-2022")</f>
        <v/>
      </c>
      <c r="X44">
        <f>HYPERLINK("https://klasma.github.io/Logging_2083/kartor/A 2409-2022 karta.png", "A 2409-2022")</f>
        <v/>
      </c>
      <c r="Y44">
        <f>HYPERLINK("https://klasma.github.io/Logging_2083/kartor_geotiff/A 2409-2022 georefererad karta.tif", "A 2409-2022")</f>
        <v/>
      </c>
      <c r="Z44">
        <f>HYPERLINK("https://klasma.github.io/Logging_2083/knärot/A 2409-2022 karta knärot.png", "A 2409-2022")</f>
        <v/>
      </c>
      <c r="AA44">
        <f>HYPERLINK("https://klasma.github.io/Logging_2083/klagomål/A 2409-2022 FSC-klagomål.docx", "A 2409-2022")</f>
        <v/>
      </c>
      <c r="AB44">
        <f>HYPERLINK("https://klasma.github.io/Logging_2083/klagomålsmail/A 2409-2022 FSC-klagomål mail.docx", "A 2409-2022")</f>
        <v/>
      </c>
      <c r="AC44">
        <f>HYPERLINK("https://klasma.github.io/Logging_2083/tillsyn/A 2409-2022 tillsynsbegäran.docx", "A 2409-2022")</f>
        <v/>
      </c>
      <c r="AD44">
        <f>HYPERLINK("https://klasma.github.io/Logging_2083/tillsynsmail/A 2409-2022 tillsynsbegäran mail.docx", "A 2409-2022")</f>
        <v/>
      </c>
    </row>
    <row r="45" ht="15" customHeight="1">
      <c r="A45" t="inlineStr">
        <is>
          <t>A 451-2025</t>
        </is>
      </c>
      <c r="B45" t="inlineStr">
        <is>
          <t>avverkningsanmälan</t>
        </is>
      </c>
      <c r="C45" t="inlineStr">
        <is>
          <t>Föryngringsavverkning</t>
        </is>
      </c>
      <c r="D45" s="1" t="n">
        <v>45664</v>
      </c>
      <c r="E45" s="1" t="n">
        <v>46306</v>
      </c>
      <c r="F45" t="inlineStr">
        <is>
          <t>DALARNAS LÄN</t>
        </is>
      </c>
      <c r="G45" t="inlineStr">
        <is>
          <t>HEDEMORA</t>
        </is>
      </c>
      <c r="I45" t="n">
        <v>4.5</v>
      </c>
      <c r="J45" t="n">
        <v>2</v>
      </c>
      <c r="K45" t="n">
        <v>0</v>
      </c>
      <c r="L45" t="n">
        <v>1</v>
      </c>
      <c r="M45" t="n">
        <v>1</v>
      </c>
      <c r="N45" t="n">
        <v>0</v>
      </c>
      <c r="O45" t="n">
        <v>0</v>
      </c>
      <c r="P45" t="n">
        <v>0</v>
      </c>
      <c r="Q45" t="n">
        <v>2</v>
      </c>
      <c r="R45" t="n">
        <v>1</v>
      </c>
      <c r="S45" t="n">
        <v>3</v>
      </c>
      <c r="T45" t="n">
        <v>5</v>
      </c>
      <c r="U45" t="n">
        <v>5</v>
      </c>
      <c r="V45" s="2" t="inlineStr">
        <is>
          <t>Knärot
Vedskivlav
Spillkråka</t>
        </is>
      </c>
      <c r="W45">
        <f>HYPERLINK("https://klasma.github.io/Logging_2083/artfynd/A 451-2025 artfynd.xlsx", "A 451-2025")</f>
        <v/>
      </c>
      <c r="X45">
        <f>HYPERLINK("https://klasma.github.io/Logging_2083/kartor/A 451-2025 karta.png", "A 451-2025")</f>
        <v/>
      </c>
      <c r="Y45">
        <f>HYPERLINK("https://klasma.github.io/Logging_2083/kartor_geotiff/A 451-2025 georefererad karta.tif", "A 451-2025")</f>
        <v/>
      </c>
      <c r="Z45">
        <f>HYPERLINK("https://klasma.github.io/Logging_2083/knärot/A 451-2025 karta knärot.png", "A 451-2025")</f>
        <v/>
      </c>
      <c r="AA45">
        <f>HYPERLINK("https://klasma.github.io/Logging_2083/klagomål/A 451-2025 FSC-klagomål.docx", "A 451-2025")</f>
        <v/>
      </c>
      <c r="AB45">
        <f>HYPERLINK("https://klasma.github.io/Logging_2083/klagomålsmail/A 451-2025 FSC-klagomål mail.docx", "A 451-2025")</f>
        <v/>
      </c>
      <c r="AC45">
        <f>HYPERLINK("https://klasma.github.io/Logging_2083/tillsyn/A 451-2025 tillsynsbegäran.docx", "A 451-2025")</f>
        <v/>
      </c>
      <c r="AD45">
        <f>HYPERLINK("https://klasma.github.io/Logging_2083/tillsynsmail/A 451-2025 tillsynsbegäran mail.docx", "A 451-2025")</f>
        <v/>
      </c>
      <c r="AE45">
        <f>HYPERLINK("https://klasma.github.io/Logging_2083/fåglar/A 451-2025 prioriterade fågelarter.docx", "A 451-2025")</f>
        <v/>
      </c>
    </row>
    <row r="46" ht="15" customHeight="1">
      <c r="A46" t="inlineStr">
        <is>
          <t>A 48382-2025</t>
        </is>
      </c>
      <c r="B46" t="inlineStr">
        <is>
          <t>avverkningsanmälan</t>
        </is>
      </c>
      <c r="C46" t="inlineStr">
        <is>
          <t>Föryngringsavverkning</t>
        </is>
      </c>
      <c r="D46" s="1" t="n">
        <v>45933</v>
      </c>
      <c r="E46" s="1" t="n">
        <v>46306</v>
      </c>
      <c r="F46" t="inlineStr">
        <is>
          <t>DALARNAS LÄN</t>
        </is>
      </c>
      <c r="G46" t="inlineStr">
        <is>
          <t>HEDEMORA</t>
        </is>
      </c>
      <c r="H46" t="inlineStr">
        <is>
          <t>Sveaskog</t>
        </is>
      </c>
      <c r="I46" t="n">
        <v>1.9</v>
      </c>
      <c r="J46" t="n">
        <v>2</v>
      </c>
      <c r="K46" t="n">
        <v>1</v>
      </c>
      <c r="L46" t="n">
        <v>0</v>
      </c>
      <c r="M46" t="n">
        <v>1</v>
      </c>
      <c r="N46" t="n">
        <v>0</v>
      </c>
      <c r="O46" t="n">
        <v>0</v>
      </c>
      <c r="P46" t="n">
        <v>0</v>
      </c>
      <c r="Q46" t="n">
        <v>1</v>
      </c>
      <c r="R46" t="n">
        <v>1</v>
      </c>
      <c r="S46" t="n">
        <v>3</v>
      </c>
      <c r="T46" t="n">
        <v>3</v>
      </c>
      <c r="U46" t="n">
        <v>0</v>
      </c>
      <c r="V46" s="2" t="inlineStr">
        <is>
          <t>Knärot
Bronshjon
Svartvit flugsnappare</t>
        </is>
      </c>
      <c r="W46">
        <f>HYPERLINK("https://klasma.github.io/Logging_2083/artfynd/A 48382-2025 artfynd.xlsx", "A 48382-2025")</f>
        <v/>
      </c>
      <c r="X46">
        <f>HYPERLINK("https://klasma.github.io/Logging_2083/kartor/A 48382-2025 karta.png", "A 48382-2025")</f>
        <v/>
      </c>
      <c r="Y46">
        <f>HYPERLINK("https://klasma.github.io/Logging_2083/kartor_geotiff/A 48382-2025 georefererad karta.tif", "A 48382-2025")</f>
        <v/>
      </c>
      <c r="Z46">
        <f>HYPERLINK("https://klasma.github.io/Logging_2083/knärot/A 48382-2025 karta knärot.png", "A 48382-2025")</f>
        <v/>
      </c>
      <c r="AA46">
        <f>HYPERLINK("https://klasma.github.io/Logging_2083/klagomål/A 48382-2025 FSC-klagomål.docx", "A 48382-2025")</f>
        <v/>
      </c>
      <c r="AB46">
        <f>HYPERLINK("https://klasma.github.io/Logging_2083/klagomålsmail/A 48382-2025 FSC-klagomål mail.docx", "A 48382-2025")</f>
        <v/>
      </c>
      <c r="AC46">
        <f>HYPERLINK("https://klasma.github.io/Logging_2083/tillsyn/A 48382-2025 tillsynsbegäran.docx", "A 48382-2025")</f>
        <v/>
      </c>
      <c r="AD46">
        <f>HYPERLINK("https://klasma.github.io/Logging_2083/tillsynsmail/A 48382-2025 tillsynsbegäran mail.docx", "A 48382-2025")</f>
        <v/>
      </c>
    </row>
    <row r="47" ht="15" customHeight="1">
      <c r="A47" t="inlineStr">
        <is>
          <t>A 6556-2023</t>
        </is>
      </c>
      <c r="B47" t="inlineStr">
        <is>
          <t>avverkningsanmälan</t>
        </is>
      </c>
      <c r="C47" t="inlineStr">
        <is>
          <t>Avverkning för att bevara och utveckla /försöksver</t>
        </is>
      </c>
      <c r="D47" s="1" t="n">
        <v>44961</v>
      </c>
      <c r="E47" s="1" t="n">
        <v>46306</v>
      </c>
      <c r="F47" t="inlineStr">
        <is>
          <t>DALARNAS LÄN</t>
        </is>
      </c>
      <c r="G47" t="inlineStr">
        <is>
          <t>HEDEMORA</t>
        </is>
      </c>
      <c r="I47" t="n">
        <v>3.7</v>
      </c>
      <c r="J47" t="n">
        <v>2</v>
      </c>
      <c r="K47" t="n">
        <v>0</v>
      </c>
      <c r="L47" t="n">
        <v>0</v>
      </c>
      <c r="M47" t="n">
        <v>0</v>
      </c>
      <c r="N47" t="n">
        <v>1</v>
      </c>
      <c r="O47" t="n">
        <v>0</v>
      </c>
      <c r="P47" t="n">
        <v>0</v>
      </c>
      <c r="Q47" t="n">
        <v>1</v>
      </c>
      <c r="R47" t="n">
        <v>1</v>
      </c>
      <c r="S47" t="n">
        <v>3</v>
      </c>
      <c r="T47" t="n">
        <v>3</v>
      </c>
      <c r="U47" t="n">
        <v>2</v>
      </c>
      <c r="V47" s="2" t="inlineStr">
        <is>
          <t>Ask
Buskskvätta
Kungsfågel</t>
        </is>
      </c>
      <c r="W47">
        <f>HYPERLINK("https://klasma.github.io/Logging_2083/artfynd/A 6556-2023 artfynd.xlsx", "A 6556-2023")</f>
        <v/>
      </c>
      <c r="X47">
        <f>HYPERLINK("https://klasma.github.io/Logging_2083/kartor/A 6556-2023 karta.png", "A 6556-2023")</f>
        <v/>
      </c>
      <c r="Y47">
        <f>HYPERLINK("https://klasma.github.io/Logging_2083/kartor_geotiff/A 6556-2023 georefererad karta.tif", "A 6556-2023")</f>
        <v/>
      </c>
      <c r="AA47">
        <f>HYPERLINK("https://klasma.github.io/Logging_2083/klagomål/A 6556-2023 FSC-klagomål.docx", "A 6556-2023")</f>
        <v/>
      </c>
      <c r="AB47">
        <f>HYPERLINK("https://klasma.github.io/Logging_2083/klagomålsmail/A 6556-2023 FSC-klagomål mail.docx", "A 6556-2023")</f>
        <v/>
      </c>
      <c r="AC47">
        <f>HYPERLINK("https://klasma.github.io/Logging_2083/tillsyn/A 6556-2023 tillsynsbegäran.docx", "A 6556-2023")</f>
        <v/>
      </c>
      <c r="AD47">
        <f>HYPERLINK("https://klasma.github.io/Logging_2083/tillsynsmail/A 6556-2023 tillsynsbegäran mail.docx", "A 6556-2023")</f>
        <v/>
      </c>
    </row>
    <row r="48" ht="15" customHeight="1">
      <c r="A48" t="inlineStr">
        <is>
          <t>A 42614-2024</t>
        </is>
      </c>
      <c r="B48" t="inlineStr">
        <is>
          <t>avverkningsanmälan</t>
        </is>
      </c>
      <c r="C48" t="inlineStr">
        <is>
          <t>Föryngringsavverkning</t>
        </is>
      </c>
      <c r="D48" s="1" t="n">
        <v>45565</v>
      </c>
      <c r="E48" s="1" t="n">
        <v>46306</v>
      </c>
      <c r="F48" t="inlineStr">
        <is>
          <t>DALARNAS LÄN</t>
        </is>
      </c>
      <c r="G48" t="inlineStr">
        <is>
          <t>HEDEMORA</t>
        </is>
      </c>
      <c r="H48" t="inlineStr">
        <is>
          <t>Sveaskog</t>
        </is>
      </c>
      <c r="I48" t="n">
        <v>3</v>
      </c>
      <c r="J48" t="n">
        <v>2</v>
      </c>
      <c r="K48" t="n">
        <v>0</v>
      </c>
      <c r="L48" t="n">
        <v>1</v>
      </c>
      <c r="M48" t="n">
        <v>1</v>
      </c>
      <c r="N48" t="n">
        <v>0</v>
      </c>
      <c r="O48" t="n">
        <v>0</v>
      </c>
      <c r="P48" t="n">
        <v>0</v>
      </c>
      <c r="Q48" t="n">
        <v>2</v>
      </c>
      <c r="R48" t="n">
        <v>1</v>
      </c>
      <c r="S48" t="n">
        <v>3</v>
      </c>
      <c r="T48" t="n">
        <v>3</v>
      </c>
      <c r="U48" t="n">
        <v>2</v>
      </c>
      <c r="V48" s="2" t="inlineStr">
        <is>
          <t>Garnlav
Talltita
Spillkråka</t>
        </is>
      </c>
      <c r="W48">
        <f>HYPERLINK("https://klasma.github.io/Logging_2083/artfynd/A 42614-2024 artfynd.xlsx", "A 42614-2024")</f>
        <v/>
      </c>
      <c r="X48">
        <f>HYPERLINK("https://klasma.github.io/Logging_2083/kartor/A 42614-2024 karta.png", "A 42614-2024")</f>
        <v/>
      </c>
      <c r="Y48">
        <f>HYPERLINK("https://klasma.github.io/Logging_2083/kartor_geotiff/A 42614-2024 georefererad karta.tif", "A 42614-2024")</f>
        <v/>
      </c>
      <c r="AA48">
        <f>HYPERLINK("https://klasma.github.io/Logging_2083/klagomål/A 42614-2024 FSC-klagomål.docx", "A 42614-2024")</f>
        <v/>
      </c>
      <c r="AB48">
        <f>HYPERLINK("https://klasma.github.io/Logging_2083/klagomålsmail/A 42614-2024 FSC-klagomål mail.docx", "A 42614-2024")</f>
        <v/>
      </c>
      <c r="AC48">
        <f>HYPERLINK("https://klasma.github.io/Logging_2083/tillsyn/A 42614-2024 tillsynsbegäran.docx", "A 42614-2024")</f>
        <v/>
      </c>
      <c r="AD48">
        <f>HYPERLINK("https://klasma.github.io/Logging_2083/tillsynsmail/A 42614-2024 tillsynsbegäran mail.docx", "A 42614-2024")</f>
        <v/>
      </c>
      <c r="AE48">
        <f>HYPERLINK("https://klasma.github.io/Logging_2083/fåglar/A 42614-2024 prioriterade fågelarter.docx", "A 42614-2024")</f>
        <v/>
      </c>
    </row>
    <row r="49" ht="15" customHeight="1">
      <c r="A49" t="inlineStr">
        <is>
          <t>A 5677-2026</t>
        </is>
      </c>
      <c r="B49" t="inlineStr">
        <is>
          <t>avverkningsanmälan</t>
        </is>
      </c>
      <c r="C49" t="inlineStr">
        <is>
          <t>Föryngringsavverkning</t>
        </is>
      </c>
      <c r="D49" s="1" t="n">
        <v>46051</v>
      </c>
      <c r="E49" s="1" t="n">
        <v>46306</v>
      </c>
      <c r="F49" t="inlineStr">
        <is>
          <t>DALARNAS LÄN</t>
        </is>
      </c>
      <c r="G49" t="inlineStr">
        <is>
          <t>HEDEMORA</t>
        </is>
      </c>
      <c r="I49" t="n">
        <v>2.4</v>
      </c>
      <c r="J49" t="n">
        <v>3</v>
      </c>
      <c r="K49" t="n">
        <v>0</v>
      </c>
      <c r="L49" t="n">
        <v>2</v>
      </c>
      <c r="M49" t="n">
        <v>0</v>
      </c>
      <c r="N49" t="n">
        <v>0</v>
      </c>
      <c r="O49" t="n">
        <v>0</v>
      </c>
      <c r="P49" t="n">
        <v>0</v>
      </c>
      <c r="Q49" t="n">
        <v>2</v>
      </c>
      <c r="R49" t="n">
        <v>0</v>
      </c>
      <c r="S49" t="n">
        <v>3</v>
      </c>
      <c r="T49" t="n">
        <v>3</v>
      </c>
      <c r="U49" t="n">
        <v>3</v>
      </c>
      <c r="V49" s="2" t="inlineStr">
        <is>
          <t>Brunlångöra
Nordfladdermus
Vattenfladdermus</t>
        </is>
      </c>
      <c r="W49">
        <f>HYPERLINK("https://klasma.github.io/Logging_2083/artfynd/A 5677-2026 artfynd.xlsx", "A 5677-2026")</f>
        <v/>
      </c>
      <c r="X49">
        <f>HYPERLINK("https://klasma.github.io/Logging_2083/kartor/A 5677-2026 karta.png", "A 5677-2026")</f>
        <v/>
      </c>
      <c r="Y49">
        <f>HYPERLINK("https://klasma.github.io/Logging_2083/kartor_geotiff/A 5677-2026 georefererad karta.tif", "A 5677-2026")</f>
        <v/>
      </c>
      <c r="AA49">
        <f>HYPERLINK("https://klasma.github.io/Logging_2083/klagomål/A 5677-2026 FSC-klagomål.docx", "A 5677-2026")</f>
        <v/>
      </c>
      <c r="AB49">
        <f>HYPERLINK("https://klasma.github.io/Logging_2083/klagomålsmail/A 5677-2026 FSC-klagomål mail.docx", "A 5677-2026")</f>
        <v/>
      </c>
      <c r="AC49">
        <f>HYPERLINK("https://klasma.github.io/Logging_2083/tillsyn/A 5677-2026 tillsynsbegäran.docx", "A 5677-2026")</f>
        <v/>
      </c>
      <c r="AD49">
        <f>HYPERLINK("https://klasma.github.io/Logging_2083/tillsynsmail/A 5677-2026 tillsynsbegäran mail.docx", "A 5677-2026")</f>
        <v/>
      </c>
    </row>
    <row r="50" ht="15" customHeight="1">
      <c r="A50" t="inlineStr">
        <is>
          <t>A 3152-2022</t>
        </is>
      </c>
      <c r="B50" t="inlineStr">
        <is>
          <t>avverkningsanmälan</t>
        </is>
      </c>
      <c r="C50" t="inlineStr">
        <is>
          <t>Föryngringsavverkning</t>
        </is>
      </c>
      <c r="D50" s="1" t="n">
        <v>44582</v>
      </c>
      <c r="E50" s="1" t="n">
        <v>46306</v>
      </c>
      <c r="F50" t="inlineStr">
        <is>
          <t>DALARNAS LÄN</t>
        </is>
      </c>
      <c r="G50" t="inlineStr">
        <is>
          <t>HEDEMORA</t>
        </is>
      </c>
      <c r="I50" t="n">
        <v>8.800000000000001</v>
      </c>
      <c r="J50" t="n">
        <v>1</v>
      </c>
      <c r="K50" t="n">
        <v>1</v>
      </c>
      <c r="L50" t="n">
        <v>1</v>
      </c>
      <c r="M50" t="n">
        <v>1</v>
      </c>
      <c r="N50" t="n">
        <v>0</v>
      </c>
      <c r="O50" t="n">
        <v>0</v>
      </c>
      <c r="P50" t="n">
        <v>0</v>
      </c>
      <c r="Q50" t="n">
        <v>2</v>
      </c>
      <c r="R50" t="n">
        <v>1</v>
      </c>
      <c r="S50" t="n">
        <v>3</v>
      </c>
      <c r="T50" t="n">
        <v>25</v>
      </c>
      <c r="U50" t="n">
        <v>25</v>
      </c>
      <c r="V50" s="2" t="inlineStr">
        <is>
          <t>Knärot
Ullticka
Bronshjon</t>
        </is>
      </c>
      <c r="W50">
        <f>HYPERLINK("https://klasma.github.io/Logging_2083/artfynd/A 3152-2022 artfynd.xlsx", "A 3152-2022")</f>
        <v/>
      </c>
      <c r="X50">
        <f>HYPERLINK("https://klasma.github.io/Logging_2083/kartor/A 3152-2022 karta.png", "A 3152-2022")</f>
        <v/>
      </c>
      <c r="Y50">
        <f>HYPERLINK("https://klasma.github.io/Logging_2083/kartor_geotiff/A 3152-2022 georefererad karta.tif", "A 3152-2022")</f>
        <v/>
      </c>
      <c r="Z50">
        <f>HYPERLINK("https://klasma.github.io/Logging_2083/knärot/A 3152-2022 karta knärot.png", "A 3152-2022")</f>
        <v/>
      </c>
      <c r="AA50">
        <f>HYPERLINK("https://klasma.github.io/Logging_2083/klagomål/A 3152-2022 FSC-klagomål.docx", "A 3152-2022")</f>
        <v/>
      </c>
      <c r="AB50">
        <f>HYPERLINK("https://klasma.github.io/Logging_2083/klagomålsmail/A 3152-2022 FSC-klagomål mail.docx", "A 3152-2022")</f>
        <v/>
      </c>
      <c r="AC50">
        <f>HYPERLINK("https://klasma.github.io/Logging_2083/tillsyn/A 3152-2022 tillsynsbegäran.docx", "A 3152-2022")</f>
        <v/>
      </c>
      <c r="AD50">
        <f>HYPERLINK("https://klasma.github.io/Logging_2083/tillsynsmail/A 3152-2022 tillsynsbegäran mail.docx", "A 3152-2022")</f>
        <v/>
      </c>
    </row>
    <row r="51" ht="15" customHeight="1">
      <c r="A51" t="inlineStr">
        <is>
          <t>A 32530-2026</t>
        </is>
      </c>
      <c r="B51" t="inlineStr">
        <is>
          <t>avverkningsanmälan</t>
        </is>
      </c>
      <c r="C51" t="inlineStr">
        <is>
          <t>Föryngringsavverkning</t>
        </is>
      </c>
      <c r="D51" s="1" t="n">
        <v>46239</v>
      </c>
      <c r="E51" s="1" t="n">
        <v>46306</v>
      </c>
      <c r="F51" t="inlineStr">
        <is>
          <t>DALARNAS LÄN</t>
        </is>
      </c>
      <c r="G51" t="inlineStr">
        <is>
          <t>HEDEMORA</t>
        </is>
      </c>
      <c r="H51" t="inlineStr">
        <is>
          <t>Sveaskog</t>
        </is>
      </c>
      <c r="I51" t="n">
        <v>2.8</v>
      </c>
      <c r="J51" t="n">
        <v>2</v>
      </c>
      <c r="K51" t="n">
        <v>0</v>
      </c>
      <c r="L51" t="n">
        <v>1</v>
      </c>
      <c r="M51" t="n">
        <v>1</v>
      </c>
      <c r="N51" t="n">
        <v>0</v>
      </c>
      <c r="O51" t="n">
        <v>0</v>
      </c>
      <c r="P51" t="n">
        <v>0</v>
      </c>
      <c r="Q51" t="n">
        <v>2</v>
      </c>
      <c r="R51" t="n">
        <v>1</v>
      </c>
      <c r="S51" t="n">
        <v>3</v>
      </c>
      <c r="T51" t="n">
        <v>3</v>
      </c>
      <c r="U51" t="n">
        <v>0</v>
      </c>
      <c r="V51" s="2" t="inlineStr">
        <is>
          <t>Knärot
Kolflarnlav
Blåsippa</t>
        </is>
      </c>
      <c r="W51">
        <f>HYPERLINK("https://klasma.github.io/Logging_2083/artfynd/A 32530-2026 artfynd.xlsx", "A 32530-2026")</f>
        <v/>
      </c>
      <c r="X51">
        <f>HYPERLINK("https://klasma.github.io/Logging_2083/kartor/A 32530-2026 karta.png", "A 32530-2026")</f>
        <v/>
      </c>
      <c r="Y51">
        <f>HYPERLINK("https://klasma.github.io/Logging_2083/kartor_geotiff/A 32530-2026 georefererad karta.tif", "A 32530-2026")</f>
        <v/>
      </c>
      <c r="Z51">
        <f>HYPERLINK("https://klasma.github.io/Logging_2083/knärot/A 32530-2026 karta knärot.png", "A 32530-2026")</f>
        <v/>
      </c>
      <c r="AA51">
        <f>HYPERLINK("https://klasma.github.io/Logging_2083/klagomål/A 32530-2026 FSC-klagomål.docx", "A 32530-2026")</f>
        <v/>
      </c>
      <c r="AB51">
        <f>HYPERLINK("https://klasma.github.io/Logging_2083/klagomålsmail/A 32530-2026 FSC-klagomål mail.docx", "A 32530-2026")</f>
        <v/>
      </c>
      <c r="AC51">
        <f>HYPERLINK("https://klasma.github.io/Logging_2083/tillsyn/A 32530-2026 tillsynsbegäran.docx", "A 32530-2026")</f>
        <v/>
      </c>
      <c r="AD51">
        <f>HYPERLINK("https://klasma.github.io/Logging_2083/tillsynsmail/A 32530-2026 tillsynsbegäran mail.docx", "A 32530-2026")</f>
        <v/>
      </c>
    </row>
    <row r="52" ht="15" customHeight="1">
      <c r="A52" t="inlineStr">
        <is>
          <t>S 10369-2021</t>
        </is>
      </c>
      <c r="B52" t="inlineStr">
        <is>
          <t>samrådsanmälan</t>
        </is>
      </c>
      <c r="C52" t="inlineStr">
        <is>
          <t>Skogsgödsling</t>
        </is>
      </c>
      <c r="D52" s="1" t="n">
        <v>44550</v>
      </c>
      <c r="E52" s="1" t="n">
        <v>46306</v>
      </c>
      <c r="F52" t="inlineStr">
        <is>
          <t>DALARNAS LÄN</t>
        </is>
      </c>
      <c r="G52" t="inlineStr">
        <is>
          <t>HEDEMORA</t>
        </is>
      </c>
      <c r="H52" t="inlineStr">
        <is>
          <t>Sveaskog</t>
        </is>
      </c>
      <c r="I52" t="n">
        <v>165.4</v>
      </c>
      <c r="J52" t="n">
        <v>3</v>
      </c>
      <c r="K52" t="n">
        <v>0</v>
      </c>
      <c r="L52" t="n">
        <v>1</v>
      </c>
      <c r="M52" t="n">
        <v>0</v>
      </c>
      <c r="N52" t="n">
        <v>0</v>
      </c>
      <c r="O52" t="n">
        <v>0</v>
      </c>
      <c r="P52" t="n">
        <v>0</v>
      </c>
      <c r="Q52" t="n">
        <v>1</v>
      </c>
      <c r="R52" t="n">
        <v>0</v>
      </c>
      <c r="S52" t="n">
        <v>3</v>
      </c>
      <c r="T52" t="n">
        <v>3</v>
      </c>
      <c r="U52" t="n">
        <v>3</v>
      </c>
      <c r="V52" s="2" t="inlineStr">
        <is>
          <t>Talltita
Tjäder
Fläcknycklar</t>
        </is>
      </c>
      <c r="W52">
        <f>HYPERLINK("https://klasma.github.io/Logging_2083/artfynd/S 10369-2021 artfynd.xlsx", "S 10369-2021")</f>
        <v/>
      </c>
      <c r="X52">
        <f>HYPERLINK("https://klasma.github.io/Logging_2083/kartor/S 10369-2021 karta.png", "S 10369-2021")</f>
        <v/>
      </c>
      <c r="Y52">
        <f>HYPERLINK("https://klasma.github.io/Logging_2083/kartor_geotiff/S 10369-2021 georefererad karta.tif", "S 10369-2021")</f>
        <v/>
      </c>
      <c r="AA52">
        <f>HYPERLINK("https://klasma.github.io/Logging_2083/klagomål/S 10369-2021 FSC-klagomål.docx", "S 10369-2021")</f>
        <v/>
      </c>
      <c r="AB52">
        <f>HYPERLINK("https://klasma.github.io/Logging_2083/klagomålsmail/S 10369-2021 FSC-klagomål mail.docx", "S 10369-2021")</f>
        <v/>
      </c>
      <c r="AC52">
        <f>HYPERLINK("https://klasma.github.io/Logging_2083/tillsyn/S 10369-2021 tillsynsbegäran.docx", "S 10369-2021")</f>
        <v/>
      </c>
      <c r="AD52">
        <f>HYPERLINK("https://klasma.github.io/Logging_2083/tillsynsmail/S 10369-2021 tillsynsbegäran mail.docx", "S 10369-2021")</f>
        <v/>
      </c>
      <c r="AE52">
        <f>HYPERLINK("https://klasma.github.io/Logging_2083/fåglar/S 10369-2021 prioriterade fågelarter.docx", "S 10369-2021")</f>
        <v/>
      </c>
    </row>
    <row r="53" ht="15" customHeight="1">
      <c r="A53" t="inlineStr">
        <is>
          <t>A 67282-2021</t>
        </is>
      </c>
      <c r="B53" t="inlineStr">
        <is>
          <t>avverkningsanmälan</t>
        </is>
      </c>
      <c r="C53" t="inlineStr">
        <is>
          <t>Föryngringsavverkning</t>
        </is>
      </c>
      <c r="D53" s="1" t="n">
        <v>44523</v>
      </c>
      <c r="E53" s="1" t="n">
        <v>46306</v>
      </c>
      <c r="F53" t="inlineStr">
        <is>
          <t>DALARNAS LÄN</t>
        </is>
      </c>
      <c r="G53" t="inlineStr">
        <is>
          <t>HEDEMORA</t>
        </is>
      </c>
      <c r="H53" t="inlineStr">
        <is>
          <t>Övriga Aktiebolag</t>
        </is>
      </c>
      <c r="I53" t="n">
        <v>3.2</v>
      </c>
      <c r="J53" t="n">
        <v>1</v>
      </c>
      <c r="K53" t="n">
        <v>1</v>
      </c>
      <c r="L53" t="n">
        <v>0</v>
      </c>
      <c r="M53" t="n">
        <v>0</v>
      </c>
      <c r="N53" t="n">
        <v>0</v>
      </c>
      <c r="O53" t="n">
        <v>0</v>
      </c>
      <c r="P53" t="n">
        <v>0</v>
      </c>
      <c r="Q53" t="n">
        <v>0</v>
      </c>
      <c r="R53" t="n">
        <v>0</v>
      </c>
      <c r="S53" t="n">
        <v>2</v>
      </c>
      <c r="T53" t="n">
        <v>2</v>
      </c>
      <c r="U53" t="n">
        <v>2</v>
      </c>
      <c r="V53" s="2" t="inlineStr">
        <is>
          <t>Vågbandad barkbock
Revlummer</t>
        </is>
      </c>
      <c r="W53">
        <f>HYPERLINK("https://klasma.github.io/Logging_2083/artfynd/A 67282-2021 artfynd.xlsx", "A 67282-2021")</f>
        <v/>
      </c>
      <c r="X53">
        <f>HYPERLINK("https://klasma.github.io/Logging_2083/kartor/A 67282-2021 karta.png", "A 67282-2021")</f>
        <v/>
      </c>
      <c r="Y53">
        <f>HYPERLINK("https://klasma.github.io/Logging_2083/kartor_geotiff/A 67282-2021 georefererad karta.tif", "A 67282-2021")</f>
        <v/>
      </c>
      <c r="AA53">
        <f>HYPERLINK("https://klasma.github.io/Logging_2083/klagomål/A 67282-2021 FSC-klagomål.docx", "A 67282-2021")</f>
        <v/>
      </c>
      <c r="AB53">
        <f>HYPERLINK("https://klasma.github.io/Logging_2083/klagomålsmail/A 67282-2021 FSC-klagomål mail.docx", "A 67282-2021")</f>
        <v/>
      </c>
      <c r="AC53">
        <f>HYPERLINK("https://klasma.github.io/Logging_2083/tillsyn/A 67282-2021 tillsynsbegäran.docx", "A 67282-2021")</f>
        <v/>
      </c>
      <c r="AD53">
        <f>HYPERLINK("https://klasma.github.io/Logging_2083/tillsynsmail/A 67282-2021 tillsynsbegäran mail.docx", "A 67282-2021")</f>
        <v/>
      </c>
    </row>
    <row r="54" ht="15" customHeight="1">
      <c r="A54" t="inlineStr">
        <is>
          <t>A 34932-2024</t>
        </is>
      </c>
      <c r="B54" t="inlineStr">
        <is>
          <t>avverkningsanmälan</t>
        </is>
      </c>
      <c r="C54" t="inlineStr">
        <is>
          <t>Föryngringsavverkning</t>
        </is>
      </c>
      <c r="D54" s="1" t="n">
        <v>45527</v>
      </c>
      <c r="E54" s="1" t="n">
        <v>46306</v>
      </c>
      <c r="F54" t="inlineStr">
        <is>
          <t>DALARNAS LÄN</t>
        </is>
      </c>
      <c r="G54" t="inlineStr">
        <is>
          <t>HEDEMORA</t>
        </is>
      </c>
      <c r="H54" t="inlineStr">
        <is>
          <t>Sveaskog</t>
        </is>
      </c>
      <c r="I54" t="n">
        <v>2.4</v>
      </c>
      <c r="J54" t="n">
        <v>2</v>
      </c>
      <c r="K54" t="n">
        <v>0</v>
      </c>
      <c r="L54" t="n">
        <v>0</v>
      </c>
      <c r="M54" t="n">
        <v>0</v>
      </c>
      <c r="N54" t="n">
        <v>0</v>
      </c>
      <c r="O54" t="n">
        <v>0</v>
      </c>
      <c r="P54" t="n">
        <v>0</v>
      </c>
      <c r="Q54" t="n">
        <v>0</v>
      </c>
      <c r="R54" t="n">
        <v>0</v>
      </c>
      <c r="S54" t="n">
        <v>2</v>
      </c>
      <c r="T54" t="n">
        <v>12</v>
      </c>
      <c r="U54" t="n">
        <v>12</v>
      </c>
      <c r="V54" s="2" t="inlineStr">
        <is>
          <t>Fläcknycklar
Nattviol</t>
        </is>
      </c>
      <c r="W54">
        <f>HYPERLINK("https://klasma.github.io/Logging_2083/artfynd/A 34932-2024 artfynd.xlsx", "A 34932-2024")</f>
        <v/>
      </c>
      <c r="X54">
        <f>HYPERLINK("https://klasma.github.io/Logging_2083/kartor/A 34932-2024 karta.png", "A 34932-2024")</f>
        <v/>
      </c>
      <c r="Y54">
        <f>HYPERLINK("https://klasma.github.io/Logging_2083/kartor_geotiff/A 34932-2024 georefererad karta.tif", "A 34932-2024")</f>
        <v/>
      </c>
      <c r="AA54">
        <f>HYPERLINK("https://klasma.github.io/Logging_2083/klagomål/A 34932-2024 FSC-klagomål.docx", "A 34932-2024")</f>
        <v/>
      </c>
      <c r="AB54">
        <f>HYPERLINK("https://klasma.github.io/Logging_2083/klagomålsmail/A 34932-2024 FSC-klagomål mail.docx", "A 34932-2024")</f>
        <v/>
      </c>
      <c r="AC54">
        <f>HYPERLINK("https://klasma.github.io/Logging_2083/tillsyn/A 34932-2024 tillsynsbegäran.docx", "A 34932-2024")</f>
        <v/>
      </c>
      <c r="AD54">
        <f>HYPERLINK("https://klasma.github.io/Logging_2083/tillsynsmail/A 34932-2024 tillsynsbegäran mail.docx", "A 34932-2024")</f>
        <v/>
      </c>
    </row>
    <row r="55" ht="15" customHeight="1">
      <c r="A55" t="inlineStr">
        <is>
          <t>A 54849-2022</t>
        </is>
      </c>
      <c r="B55" t="inlineStr">
        <is>
          <t>avverkningsanmälan</t>
        </is>
      </c>
      <c r="C55" t="inlineStr">
        <is>
          <t>Föryngringsavverkning</t>
        </is>
      </c>
      <c r="D55" s="1" t="n">
        <v>44883</v>
      </c>
      <c r="E55" s="1" t="n">
        <v>46306</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46306</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29128-2025</t>
        </is>
      </c>
      <c r="B57" t="inlineStr">
        <is>
          <t>avverkningsanmälan</t>
        </is>
      </c>
      <c r="C57" t="inlineStr">
        <is>
          <t>Föryngringsavverkning</t>
        </is>
      </c>
      <c r="D57" s="1" t="n">
        <v>45821</v>
      </c>
      <c r="E57" s="1" t="n">
        <v>46306</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46306</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61136-2025</t>
        </is>
      </c>
      <c r="B59" t="inlineStr">
        <is>
          <t>avverkningsanmälan</t>
        </is>
      </c>
      <c r="C59" t="inlineStr">
        <is>
          <t>Föryngringsavverkning</t>
        </is>
      </c>
      <c r="D59" s="1" t="n">
        <v>46000</v>
      </c>
      <c r="E59" s="1" t="n">
        <v>46306</v>
      </c>
      <c r="F59" t="inlineStr">
        <is>
          <t>DALARNAS LÄN</t>
        </is>
      </c>
      <c r="G59" t="inlineStr">
        <is>
          <t>HEDEMORA</t>
        </is>
      </c>
      <c r="H59" t="inlineStr">
        <is>
          <t>Bergvik skog väst AB</t>
        </is>
      </c>
      <c r="I59" t="n">
        <v>6.2</v>
      </c>
      <c r="J59" t="n">
        <v>1</v>
      </c>
      <c r="K59" t="n">
        <v>0</v>
      </c>
      <c r="L59" t="n">
        <v>1</v>
      </c>
      <c r="M59" t="n">
        <v>0</v>
      </c>
      <c r="N59" t="n">
        <v>0</v>
      </c>
      <c r="O59" t="n">
        <v>0</v>
      </c>
      <c r="P59" t="n">
        <v>0</v>
      </c>
      <c r="Q59" t="n">
        <v>1</v>
      </c>
      <c r="R59" t="n">
        <v>0</v>
      </c>
      <c r="S59" t="n">
        <v>2</v>
      </c>
      <c r="T59" t="n">
        <v>2</v>
      </c>
      <c r="U59" t="n">
        <v>0</v>
      </c>
      <c r="V59" s="2" t="inlineStr">
        <is>
          <t>Brunklöver
Fläcknycklar</t>
        </is>
      </c>
      <c r="W59">
        <f>HYPERLINK("https://klasma.github.io/Logging_2083/artfynd/A 61136-2025 artfynd.xlsx", "A 61136-2025")</f>
        <v/>
      </c>
      <c r="X59">
        <f>HYPERLINK("https://klasma.github.io/Logging_2083/kartor/A 61136-2025 karta.png", "A 61136-2025")</f>
        <v/>
      </c>
      <c r="Y59">
        <f>HYPERLINK("https://klasma.github.io/Logging_2083/kartor_geotiff/A 61136-2025 georefererad karta.tif", "A 61136-2025")</f>
        <v/>
      </c>
      <c r="AA59">
        <f>HYPERLINK("https://klasma.github.io/Logging_2083/klagomål/A 61136-2025 FSC-klagomål.docx", "A 61136-2025")</f>
        <v/>
      </c>
      <c r="AB59">
        <f>HYPERLINK("https://klasma.github.io/Logging_2083/klagomålsmail/A 61136-2025 FSC-klagomål mail.docx", "A 61136-2025")</f>
        <v/>
      </c>
      <c r="AC59">
        <f>HYPERLINK("https://klasma.github.io/Logging_2083/tillsyn/A 61136-2025 tillsynsbegäran.docx", "A 61136-2025")</f>
        <v/>
      </c>
      <c r="AD59">
        <f>HYPERLINK("https://klasma.github.io/Logging_2083/tillsynsmail/A 61136-2025 tillsynsbegäran mail.docx", "A 61136-2025")</f>
        <v/>
      </c>
    </row>
    <row r="60" ht="15" customHeight="1">
      <c r="A60" t="inlineStr">
        <is>
          <t>A 41477-2023</t>
        </is>
      </c>
      <c r="B60" t="inlineStr">
        <is>
          <t>avverkningsanmälan</t>
        </is>
      </c>
      <c r="C60" t="inlineStr">
        <is>
          <t>Föryngringsavverkning</t>
        </is>
      </c>
      <c r="D60" s="1" t="n">
        <v>45171</v>
      </c>
      <c r="E60" s="1" t="n">
        <v>46306</v>
      </c>
      <c r="F60" t="inlineStr">
        <is>
          <t>DALARNAS LÄN</t>
        </is>
      </c>
      <c r="G60" t="inlineStr">
        <is>
          <t>HEDEMORA</t>
        </is>
      </c>
      <c r="H60" t="inlineStr">
        <is>
          <t>Bergvik skog väst AB</t>
        </is>
      </c>
      <c r="I60" t="n">
        <v>9.1</v>
      </c>
      <c r="J60" t="n">
        <v>0</v>
      </c>
      <c r="K60" t="n">
        <v>1</v>
      </c>
      <c r="L60" t="n">
        <v>1</v>
      </c>
      <c r="M60" t="n">
        <v>0</v>
      </c>
      <c r="N60" t="n">
        <v>0</v>
      </c>
      <c r="O60" t="n">
        <v>0</v>
      </c>
      <c r="P60" t="n">
        <v>0</v>
      </c>
      <c r="Q60" t="n">
        <v>1</v>
      </c>
      <c r="R60" t="n">
        <v>0</v>
      </c>
      <c r="S60" t="n">
        <v>2</v>
      </c>
      <c r="T60" t="n">
        <v>2</v>
      </c>
      <c r="U60" t="n">
        <v>2</v>
      </c>
      <c r="V60" s="2" t="inlineStr">
        <is>
          <t>Gullpudra
Ögonpyrola</t>
        </is>
      </c>
      <c r="W60">
        <f>HYPERLINK("https://klasma.github.io/Logging_2083/artfynd/A 41477-2023 artfynd.xlsx", "A 41477-2023")</f>
        <v/>
      </c>
      <c r="X60">
        <f>HYPERLINK("https://klasma.github.io/Logging_2083/kartor/A 41477-2023 karta.png", "A 41477-2023")</f>
        <v/>
      </c>
      <c r="Y60">
        <f>HYPERLINK("https://klasma.github.io/Logging_2083/kartor_geotiff/A 41477-2023 georefererad karta.tif", "A 41477-2023")</f>
        <v/>
      </c>
      <c r="AA60">
        <f>HYPERLINK("https://klasma.github.io/Logging_2083/klagomål/A 41477-2023 FSC-klagomål.docx", "A 41477-2023")</f>
        <v/>
      </c>
      <c r="AB60">
        <f>HYPERLINK("https://klasma.github.io/Logging_2083/klagomålsmail/A 41477-2023 FSC-klagomål mail.docx", "A 41477-2023")</f>
        <v/>
      </c>
      <c r="AC60">
        <f>HYPERLINK("https://klasma.github.io/Logging_2083/tillsyn/A 41477-2023 tillsynsbegäran.docx", "A 41477-2023")</f>
        <v/>
      </c>
      <c r="AD60">
        <f>HYPERLINK("https://klasma.github.io/Logging_2083/tillsynsmail/A 41477-2023 tillsynsbegäran mail.docx", "A 41477-2023")</f>
        <v/>
      </c>
    </row>
    <row r="61" ht="15" customHeight="1">
      <c r="A61" t="inlineStr">
        <is>
          <t>A 2996-2023</t>
        </is>
      </c>
      <c r="B61" t="inlineStr">
        <is>
          <t>avverkningsanmälan</t>
        </is>
      </c>
      <c r="C61" t="inlineStr">
        <is>
          <t>Avverkning för annat ändamål</t>
        </is>
      </c>
      <c r="D61" s="1" t="n">
        <v>44945</v>
      </c>
      <c r="E61" s="1" t="n">
        <v>46306</v>
      </c>
      <c r="F61" t="inlineStr">
        <is>
          <t>DALARNAS LÄN</t>
        </is>
      </c>
      <c r="G61" t="inlineStr">
        <is>
          <t>HEDEMORA</t>
        </is>
      </c>
      <c r="I61" t="n">
        <v>2.1</v>
      </c>
      <c r="J61" t="n">
        <v>1</v>
      </c>
      <c r="K61" t="n">
        <v>0</v>
      </c>
      <c r="L61" t="n">
        <v>1</v>
      </c>
      <c r="M61" t="n">
        <v>0</v>
      </c>
      <c r="N61" t="n">
        <v>0</v>
      </c>
      <c r="O61" t="n">
        <v>0</v>
      </c>
      <c r="P61" t="n">
        <v>0</v>
      </c>
      <c r="Q61" t="n">
        <v>1</v>
      </c>
      <c r="R61" t="n">
        <v>0</v>
      </c>
      <c r="S61" t="n">
        <v>2</v>
      </c>
      <c r="T61" t="n">
        <v>2</v>
      </c>
      <c r="U61" t="n">
        <v>0</v>
      </c>
      <c r="V61" s="2" t="inlineStr">
        <is>
          <t>Vedtrappmossa
Blåsippa</t>
        </is>
      </c>
      <c r="W61">
        <f>HYPERLINK("https://klasma.github.io/Logging_2083/artfynd/A 2996-2023 artfynd.xlsx", "A 2996-2023")</f>
        <v/>
      </c>
      <c r="X61">
        <f>HYPERLINK("https://klasma.github.io/Logging_2083/kartor/A 2996-2023 karta.png", "A 2996-2023")</f>
        <v/>
      </c>
      <c r="Y61">
        <f>HYPERLINK("https://klasma.github.io/Logging_2083/kartor_geotiff/A 2996-2023 georefererad karta.tif", "A 2996-2023")</f>
        <v/>
      </c>
      <c r="AA61">
        <f>HYPERLINK("https://klasma.github.io/Logging_2083/klagomål/A 2996-2023 FSC-klagomål.docx", "A 2996-2023")</f>
        <v/>
      </c>
      <c r="AB61">
        <f>HYPERLINK("https://klasma.github.io/Logging_2083/klagomålsmail/A 2996-2023 FSC-klagomål mail.docx", "A 2996-2023")</f>
        <v/>
      </c>
      <c r="AC61">
        <f>HYPERLINK("https://klasma.github.io/Logging_2083/tillsyn/A 2996-2023 tillsynsbegäran.docx", "A 2996-2023")</f>
        <v/>
      </c>
      <c r="AD61">
        <f>HYPERLINK("https://klasma.github.io/Logging_2083/tillsynsmail/A 2996-2023 tillsynsbegäran mail.docx", "A 2996-2023")</f>
        <v/>
      </c>
    </row>
    <row r="62" ht="15" customHeight="1">
      <c r="A62" t="inlineStr">
        <is>
          <t>A 21029-2026</t>
        </is>
      </c>
      <c r="B62" t="inlineStr">
        <is>
          <t>avverkningsanmälan</t>
        </is>
      </c>
      <c r="C62" t="inlineStr">
        <is>
          <t>Föryngringsavverkning</t>
        </is>
      </c>
      <c r="D62" s="1" t="n">
        <v>46146</v>
      </c>
      <c r="E62" s="1" t="n">
        <v>46306</v>
      </c>
      <c r="F62" t="inlineStr">
        <is>
          <t>DALARNAS LÄN</t>
        </is>
      </c>
      <c r="G62" t="inlineStr">
        <is>
          <t>HEDEMORA</t>
        </is>
      </c>
      <c r="H62" t="inlineStr">
        <is>
          <t>Sveaskog</t>
        </is>
      </c>
      <c r="I62" t="n">
        <v>25.7</v>
      </c>
      <c r="J62" t="n">
        <v>2</v>
      </c>
      <c r="K62" t="n">
        <v>0</v>
      </c>
      <c r="L62" t="n">
        <v>1</v>
      </c>
      <c r="M62" t="n">
        <v>0</v>
      </c>
      <c r="N62" t="n">
        <v>0</v>
      </c>
      <c r="O62" t="n">
        <v>0</v>
      </c>
      <c r="P62" t="n">
        <v>0</v>
      </c>
      <c r="Q62" t="n">
        <v>1</v>
      </c>
      <c r="R62" t="n">
        <v>0</v>
      </c>
      <c r="S62" t="n">
        <v>2</v>
      </c>
      <c r="T62" t="n">
        <v>2</v>
      </c>
      <c r="U62" t="n">
        <v>1</v>
      </c>
      <c r="V62" s="2" t="inlineStr">
        <is>
          <t>Nordfladdermus
Fläcknycklar</t>
        </is>
      </c>
      <c r="W62">
        <f>HYPERLINK("https://klasma.github.io/Logging_2083/artfynd/A 21029-2026 artfynd.xlsx", "A 21029-2026")</f>
        <v/>
      </c>
      <c r="X62">
        <f>HYPERLINK("https://klasma.github.io/Logging_2083/kartor/A 21029-2026 karta.png", "A 21029-2026")</f>
        <v/>
      </c>
      <c r="Y62">
        <f>HYPERLINK("https://klasma.github.io/Logging_2083/kartor_geotiff/A 21029-2026 georefererad karta.tif", "A 21029-2026")</f>
        <v/>
      </c>
      <c r="AA62">
        <f>HYPERLINK("https://klasma.github.io/Logging_2083/klagomål/A 21029-2026 FSC-klagomål.docx", "A 21029-2026")</f>
        <v/>
      </c>
      <c r="AB62">
        <f>HYPERLINK("https://klasma.github.io/Logging_2083/klagomålsmail/A 21029-2026 FSC-klagomål mail.docx", "A 21029-2026")</f>
        <v/>
      </c>
      <c r="AC62">
        <f>HYPERLINK("https://klasma.github.io/Logging_2083/tillsyn/A 21029-2026 tillsynsbegäran.docx", "A 21029-2026")</f>
        <v/>
      </c>
      <c r="AD62">
        <f>HYPERLINK("https://klasma.github.io/Logging_2083/tillsynsmail/A 21029-2026 tillsynsbegäran mail.docx", "A 21029-2026")</f>
        <v/>
      </c>
    </row>
    <row r="63" ht="15" customHeight="1">
      <c r="A63" t="inlineStr">
        <is>
          <t>A 9549-2026</t>
        </is>
      </c>
      <c r="B63" t="inlineStr">
        <is>
          <t>avverkningsanmälan</t>
        </is>
      </c>
      <c r="C63" t="inlineStr">
        <is>
          <t>Föryngringsavverkning</t>
        </is>
      </c>
      <c r="D63" s="1" t="n">
        <v>46070</v>
      </c>
      <c r="E63" s="1" t="n">
        <v>46306</v>
      </c>
      <c r="F63" t="inlineStr">
        <is>
          <t>DALARNAS LÄN</t>
        </is>
      </c>
      <c r="G63" t="inlineStr">
        <is>
          <t>HEDEMORA</t>
        </is>
      </c>
      <c r="I63" t="n">
        <v>4.2</v>
      </c>
      <c r="J63" t="n">
        <v>1</v>
      </c>
      <c r="K63" t="n">
        <v>1</v>
      </c>
      <c r="L63" t="n">
        <v>0</v>
      </c>
      <c r="M63" t="n">
        <v>0</v>
      </c>
      <c r="N63" t="n">
        <v>0</v>
      </c>
      <c r="O63" t="n">
        <v>0</v>
      </c>
      <c r="P63" t="n">
        <v>0</v>
      </c>
      <c r="Q63" t="n">
        <v>0</v>
      </c>
      <c r="R63" t="n">
        <v>0</v>
      </c>
      <c r="S63" t="n">
        <v>2</v>
      </c>
      <c r="T63" t="n">
        <v>2</v>
      </c>
      <c r="U63" t="n">
        <v>0</v>
      </c>
      <c r="V63" s="2" t="inlineStr">
        <is>
          <t>Korallblylav
Orre</t>
        </is>
      </c>
      <c r="W63">
        <f>HYPERLINK("https://klasma.github.io/Logging_2083/artfynd/A 9549-2026 artfynd.xlsx", "A 9549-2026")</f>
        <v/>
      </c>
      <c r="X63">
        <f>HYPERLINK("https://klasma.github.io/Logging_2083/kartor/A 9549-2026 karta.png", "A 9549-2026")</f>
        <v/>
      </c>
      <c r="Y63">
        <f>HYPERLINK("https://klasma.github.io/Logging_2083/kartor_geotiff/A 9549-2026 georefererad karta.tif", "A 9549-2026")</f>
        <v/>
      </c>
      <c r="AA63">
        <f>HYPERLINK("https://klasma.github.io/Logging_2083/klagomål/A 9549-2026 FSC-klagomål.docx", "A 9549-2026")</f>
        <v/>
      </c>
      <c r="AB63">
        <f>HYPERLINK("https://klasma.github.io/Logging_2083/klagomålsmail/A 9549-2026 FSC-klagomål mail.docx", "A 9549-2026")</f>
        <v/>
      </c>
      <c r="AC63">
        <f>HYPERLINK("https://klasma.github.io/Logging_2083/tillsyn/A 9549-2026 tillsynsbegäran.docx", "A 9549-2026")</f>
        <v/>
      </c>
      <c r="AD63">
        <f>HYPERLINK("https://klasma.github.io/Logging_2083/tillsynsmail/A 9549-2026 tillsynsbegäran mail.docx", "A 9549-2026")</f>
        <v/>
      </c>
      <c r="AE63">
        <f>HYPERLINK("https://klasma.github.io/Logging_2083/fåglar/A 9549-2026 prioriterade fågelarter.docx", "A 9549-2026")</f>
        <v/>
      </c>
    </row>
    <row r="64" ht="15" customHeight="1">
      <c r="A64" t="inlineStr">
        <is>
          <t>A 22762-2026</t>
        </is>
      </c>
      <c r="B64" t="inlineStr">
        <is>
          <t>avverkningsanmälan</t>
        </is>
      </c>
      <c r="C64" t="inlineStr">
        <is>
          <t>Föryngringsavverkning</t>
        </is>
      </c>
      <c r="D64" s="1" t="n">
        <v>46157</v>
      </c>
      <c r="E64" s="1" t="n">
        <v>46306</v>
      </c>
      <c r="F64" t="inlineStr">
        <is>
          <t>DALARNAS LÄN</t>
        </is>
      </c>
      <c r="G64" t="inlineStr">
        <is>
          <t>HEDEMORA</t>
        </is>
      </c>
      <c r="H64" t="inlineStr">
        <is>
          <t>Bergvik skog väst AB</t>
        </is>
      </c>
      <c r="I64" t="n">
        <v>2.2</v>
      </c>
      <c r="J64" t="n">
        <v>0</v>
      </c>
      <c r="K64" t="n">
        <v>0</v>
      </c>
      <c r="L64" t="n">
        <v>2</v>
      </c>
      <c r="M64" t="n">
        <v>0</v>
      </c>
      <c r="N64" t="n">
        <v>0</v>
      </c>
      <c r="O64" t="n">
        <v>0</v>
      </c>
      <c r="P64" t="n">
        <v>0</v>
      </c>
      <c r="Q64" t="n">
        <v>2</v>
      </c>
      <c r="R64" t="n">
        <v>0</v>
      </c>
      <c r="S64" t="n">
        <v>2</v>
      </c>
      <c r="T64" t="n">
        <v>2</v>
      </c>
      <c r="U64" t="n">
        <v>2</v>
      </c>
      <c r="V64" s="2" t="inlineStr">
        <is>
          <t>Rosenticka
Rynkskinn</t>
        </is>
      </c>
      <c r="W64">
        <f>HYPERLINK("https://klasma.github.io/Logging_2083/artfynd/A 22762-2026 artfynd.xlsx", "A 22762-2026")</f>
        <v/>
      </c>
      <c r="X64">
        <f>HYPERLINK("https://klasma.github.io/Logging_2083/kartor/A 22762-2026 karta.png", "A 22762-2026")</f>
        <v/>
      </c>
      <c r="Y64">
        <f>HYPERLINK("https://klasma.github.io/Logging_2083/kartor_geotiff/A 22762-2026 georefererad karta.tif", "A 22762-2026")</f>
        <v/>
      </c>
      <c r="AA64">
        <f>HYPERLINK("https://klasma.github.io/Logging_2083/klagomål/A 22762-2026 FSC-klagomål.docx", "A 22762-2026")</f>
        <v/>
      </c>
      <c r="AB64">
        <f>HYPERLINK("https://klasma.github.io/Logging_2083/klagomålsmail/A 22762-2026 FSC-klagomål mail.docx", "A 22762-2026")</f>
        <v/>
      </c>
      <c r="AC64">
        <f>HYPERLINK("https://klasma.github.io/Logging_2083/tillsyn/A 22762-2026 tillsynsbegäran.docx", "A 22762-2026")</f>
        <v/>
      </c>
      <c r="AD64">
        <f>HYPERLINK("https://klasma.github.io/Logging_2083/tillsynsmail/A 22762-2026 tillsynsbegäran mail.docx", "A 22762-2026")</f>
        <v/>
      </c>
    </row>
    <row r="65" ht="15" customHeight="1">
      <c r="A65" t="inlineStr">
        <is>
          <t>A 25420-2026</t>
        </is>
      </c>
      <c r="B65" t="inlineStr">
        <is>
          <t>avverkningsanmälan</t>
        </is>
      </c>
      <c r="C65" t="inlineStr">
        <is>
          <t>Föryngringsavverkning</t>
        </is>
      </c>
      <c r="D65" s="1" t="n">
        <v>46177</v>
      </c>
      <c r="E65" s="1" t="n">
        <v>46306</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25338-2026</t>
        </is>
      </c>
      <c r="B66" t="inlineStr">
        <is>
          <t>avverkningsanmälan</t>
        </is>
      </c>
      <c r="C66" t="inlineStr">
        <is>
          <t>Föryngringsavverkning</t>
        </is>
      </c>
      <c r="D66" s="1" t="n">
        <v>46176</v>
      </c>
      <c r="E66" s="1" t="n">
        <v>46306</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25884-2026</t>
        </is>
      </c>
      <c r="B67" t="inlineStr">
        <is>
          <t>avverkningsanmälan</t>
        </is>
      </c>
      <c r="C67" t="inlineStr">
        <is>
          <t>Föryngringsavverkning</t>
        </is>
      </c>
      <c r="D67" s="1" t="n">
        <v>46178</v>
      </c>
      <c r="E67" s="1" t="n">
        <v>46306</v>
      </c>
      <c r="F67" t="inlineStr">
        <is>
          <t>DALARNAS LÄN</t>
        </is>
      </c>
      <c r="G67" t="inlineStr">
        <is>
          <t>HEDEMORA</t>
        </is>
      </c>
      <c r="H67" t="inlineStr">
        <is>
          <t>Sveaskog</t>
        </is>
      </c>
      <c r="I67" t="n">
        <v>2.1</v>
      </c>
      <c r="J67" t="n">
        <v>2</v>
      </c>
      <c r="K67" t="n">
        <v>0</v>
      </c>
      <c r="L67" t="n">
        <v>1</v>
      </c>
      <c r="M67" t="n">
        <v>0</v>
      </c>
      <c r="N67" t="n">
        <v>0</v>
      </c>
      <c r="O67" t="n">
        <v>0</v>
      </c>
      <c r="P67" t="n">
        <v>0</v>
      </c>
      <c r="Q67" t="n">
        <v>1</v>
      </c>
      <c r="R67" t="n">
        <v>0</v>
      </c>
      <c r="S67" t="n">
        <v>2</v>
      </c>
      <c r="T67" t="n">
        <v>2</v>
      </c>
      <c r="U67" t="n">
        <v>0</v>
      </c>
      <c r="V67" s="2" t="inlineStr">
        <is>
          <t>Kungsörn
Tjäder</t>
        </is>
      </c>
      <c r="W67">
        <f>HYPERLINK("https://klasma.github.io/Logging_2083/artfynd/A 25884-2026 artfynd.xlsx", "A 25884-2026")</f>
        <v/>
      </c>
      <c r="X67">
        <f>HYPERLINK("https://klasma.github.io/Logging_2083/kartor/A 25884-2026 karta.png", "A 25884-2026")</f>
        <v/>
      </c>
      <c r="Y67">
        <f>HYPERLINK("https://klasma.github.io/Logging_2083/kartor_geotiff/A 25884-2026 georefererad karta.tif", "A 25884-2026")</f>
        <v/>
      </c>
      <c r="AA67">
        <f>HYPERLINK("https://klasma.github.io/Logging_2083/klagomål/A 25884-2026 FSC-klagomål.docx", "A 25884-2026")</f>
        <v/>
      </c>
      <c r="AB67">
        <f>HYPERLINK("https://klasma.github.io/Logging_2083/klagomålsmail/A 25884-2026 FSC-klagomål mail.docx", "A 25884-2026")</f>
        <v/>
      </c>
      <c r="AC67">
        <f>HYPERLINK("https://klasma.github.io/Logging_2083/tillsyn/A 25884-2026 tillsynsbegäran.docx", "A 25884-2026")</f>
        <v/>
      </c>
      <c r="AD67">
        <f>HYPERLINK("https://klasma.github.io/Logging_2083/tillsynsmail/A 25884-2026 tillsynsbegäran mail.docx", "A 25884-2026")</f>
        <v/>
      </c>
      <c r="AE67">
        <f>HYPERLINK("https://klasma.github.io/Logging_2083/fåglar/A 25884-2026 prioriterade fågelarter.docx", "A 25884-2026")</f>
        <v/>
      </c>
    </row>
    <row r="68" ht="15" customHeight="1">
      <c r="A68" t="inlineStr">
        <is>
          <t>A 25876-2026</t>
        </is>
      </c>
      <c r="B68" t="inlineStr">
        <is>
          <t>avverkningsanmälan</t>
        </is>
      </c>
      <c r="C68" t="inlineStr">
        <is>
          <t>Föryngringsavverkning</t>
        </is>
      </c>
      <c r="D68" s="1" t="n">
        <v>46178</v>
      </c>
      <c r="E68" s="1" t="n">
        <v>46306</v>
      </c>
      <c r="F68" t="inlineStr">
        <is>
          <t>DALARNAS LÄN</t>
        </is>
      </c>
      <c r="G68" t="inlineStr">
        <is>
          <t>HEDEMORA</t>
        </is>
      </c>
      <c r="H68" t="inlineStr">
        <is>
          <t>Sveaskog</t>
        </is>
      </c>
      <c r="I68" t="n">
        <v>12.1</v>
      </c>
      <c r="J68" t="n">
        <v>1</v>
      </c>
      <c r="K68" t="n">
        <v>1</v>
      </c>
      <c r="L68" t="n">
        <v>0</v>
      </c>
      <c r="M68" t="n">
        <v>1</v>
      </c>
      <c r="N68" t="n">
        <v>0</v>
      </c>
      <c r="O68" t="n">
        <v>0</v>
      </c>
      <c r="P68" t="n">
        <v>0</v>
      </c>
      <c r="Q68" t="n">
        <v>1</v>
      </c>
      <c r="R68" t="n">
        <v>1</v>
      </c>
      <c r="S68" t="n">
        <v>2</v>
      </c>
      <c r="T68" t="n">
        <v>6</v>
      </c>
      <c r="U68" t="n">
        <v>0</v>
      </c>
      <c r="V68" s="2" t="inlineStr">
        <is>
          <t>Knärot
Bronshjon</t>
        </is>
      </c>
      <c r="W68">
        <f>HYPERLINK("https://klasma.github.io/Logging_2083/artfynd/A 25876-2026 artfynd.xlsx", "A 25876-2026")</f>
        <v/>
      </c>
      <c r="X68">
        <f>HYPERLINK("https://klasma.github.io/Logging_2083/kartor/A 25876-2026 karta.png", "A 25876-2026")</f>
        <v/>
      </c>
      <c r="Y68">
        <f>HYPERLINK("https://klasma.github.io/Logging_2083/kartor_geotiff/A 25876-2026 georefererad karta.tif", "A 25876-2026")</f>
        <v/>
      </c>
      <c r="Z68">
        <f>HYPERLINK("https://klasma.github.io/Logging_2083/knärot/A 25876-2026 karta knärot.png", "A 25876-2026")</f>
        <v/>
      </c>
      <c r="AA68">
        <f>HYPERLINK("https://klasma.github.io/Logging_2083/klagomål/A 25876-2026 FSC-klagomål.docx", "A 25876-2026")</f>
        <v/>
      </c>
      <c r="AB68">
        <f>HYPERLINK("https://klasma.github.io/Logging_2083/klagomålsmail/A 25876-2026 FSC-klagomål mail.docx", "A 25876-2026")</f>
        <v/>
      </c>
      <c r="AC68">
        <f>HYPERLINK("https://klasma.github.io/Logging_2083/tillsyn/A 25876-2026 tillsynsbegäran.docx", "A 25876-2026")</f>
        <v/>
      </c>
      <c r="AD68">
        <f>HYPERLINK("https://klasma.github.io/Logging_2083/tillsynsmail/A 25876-2026 tillsynsbegäran mail.docx", "A 25876-2026")</f>
        <v/>
      </c>
    </row>
    <row r="69" ht="15" customHeight="1">
      <c r="A69" t="inlineStr">
        <is>
          <t>A 26904-2026</t>
        </is>
      </c>
      <c r="B69" t="inlineStr">
        <is>
          <t>avverkningsanmälan</t>
        </is>
      </c>
      <c r="C69" t="inlineStr">
        <is>
          <t>Föryngringsavverkning</t>
        </is>
      </c>
      <c r="D69" s="1" t="n">
        <v>46185</v>
      </c>
      <c r="E69" s="1" t="n">
        <v>46306</v>
      </c>
      <c r="F69" t="inlineStr">
        <is>
          <t>DALARNAS LÄN</t>
        </is>
      </c>
      <c r="G69" t="inlineStr">
        <is>
          <t>HEDEMORA</t>
        </is>
      </c>
      <c r="H69" t="inlineStr">
        <is>
          <t>Sveaskog</t>
        </is>
      </c>
      <c r="I69" t="n">
        <v>3</v>
      </c>
      <c r="J69" t="n">
        <v>2</v>
      </c>
      <c r="K69" t="n">
        <v>0</v>
      </c>
      <c r="L69" t="n">
        <v>0</v>
      </c>
      <c r="M69" t="n">
        <v>0</v>
      </c>
      <c r="N69" t="n">
        <v>0</v>
      </c>
      <c r="O69" t="n">
        <v>0</v>
      </c>
      <c r="P69" t="n">
        <v>0</v>
      </c>
      <c r="Q69" t="n">
        <v>0</v>
      </c>
      <c r="R69" t="n">
        <v>0</v>
      </c>
      <c r="S69" t="n">
        <v>2</v>
      </c>
      <c r="T69" t="n">
        <v>2</v>
      </c>
      <c r="U69" t="n">
        <v>0</v>
      </c>
      <c r="V69" s="2" t="inlineStr">
        <is>
          <t>Spillkråka
Kungsfågel</t>
        </is>
      </c>
      <c r="W69">
        <f>HYPERLINK("https://klasma.github.io/Logging_2083/artfynd/A 26904-2026 artfynd.xlsx", "A 26904-2026")</f>
        <v/>
      </c>
      <c r="X69">
        <f>HYPERLINK("https://klasma.github.io/Logging_2083/kartor/A 26904-2026 karta.png", "A 26904-2026")</f>
        <v/>
      </c>
      <c r="Y69">
        <f>HYPERLINK("https://klasma.github.io/Logging_2083/kartor_geotiff/A 26904-2026 georefererad karta.tif", "A 26904-2026")</f>
        <v/>
      </c>
      <c r="AA69">
        <f>HYPERLINK("https://klasma.github.io/Logging_2083/klagomål/A 26904-2026 FSC-klagomål.docx", "A 26904-2026")</f>
        <v/>
      </c>
      <c r="AB69">
        <f>HYPERLINK("https://klasma.github.io/Logging_2083/klagomålsmail/A 26904-2026 FSC-klagomål mail.docx", "A 26904-2026")</f>
        <v/>
      </c>
      <c r="AC69">
        <f>HYPERLINK("https://klasma.github.io/Logging_2083/tillsyn/A 26904-2026 tillsynsbegäran.docx", "A 26904-2026")</f>
        <v/>
      </c>
      <c r="AD69">
        <f>HYPERLINK("https://klasma.github.io/Logging_2083/tillsynsmail/A 26904-2026 tillsynsbegäran mail.docx", "A 26904-2026")</f>
        <v/>
      </c>
      <c r="AE69">
        <f>HYPERLINK("https://klasma.github.io/Logging_2083/fåglar/A 26904-2026 prioriterade fågelarter.docx", "A 26904-2026")</f>
        <v/>
      </c>
    </row>
    <row r="70" ht="15" customHeight="1">
      <c r="A70" t="inlineStr">
        <is>
          <t>A 1518-2025</t>
        </is>
      </c>
      <c r="B70" t="inlineStr">
        <is>
          <t>avverkningsanmälan</t>
        </is>
      </c>
      <c r="C70" t="inlineStr">
        <is>
          <t>Föryngringsavverkning</t>
        </is>
      </c>
      <c r="D70" s="1" t="n">
        <v>45670</v>
      </c>
      <c r="E70" s="1" t="n">
        <v>46306</v>
      </c>
      <c r="F70" t="inlineStr">
        <is>
          <t>DALARNAS LÄN</t>
        </is>
      </c>
      <c r="G70" t="inlineStr">
        <is>
          <t>HEDEMORA</t>
        </is>
      </c>
      <c r="I70" t="n">
        <v>3.8</v>
      </c>
      <c r="J70" t="n">
        <v>1</v>
      </c>
      <c r="K70" t="n">
        <v>0</v>
      </c>
      <c r="L70" t="n">
        <v>1</v>
      </c>
      <c r="M70" t="n">
        <v>1</v>
      </c>
      <c r="N70" t="n">
        <v>0</v>
      </c>
      <c r="O70" t="n">
        <v>0</v>
      </c>
      <c r="P70" t="n">
        <v>0</v>
      </c>
      <c r="Q70" t="n">
        <v>2</v>
      </c>
      <c r="R70" t="n">
        <v>1</v>
      </c>
      <c r="S70" t="n">
        <v>2</v>
      </c>
      <c r="T70" t="n">
        <v>8</v>
      </c>
      <c r="U70" t="n">
        <v>0</v>
      </c>
      <c r="V70" s="2" t="inlineStr">
        <is>
          <t>Knärot
Ullticka</t>
        </is>
      </c>
      <c r="W70">
        <f>HYPERLINK("https://klasma.github.io/Logging_2083/artfynd/A 1518-2025 artfynd.xlsx", "A 1518-2025")</f>
        <v/>
      </c>
      <c r="X70">
        <f>HYPERLINK("https://klasma.github.io/Logging_2083/kartor/A 1518-2025 karta.png", "A 1518-2025")</f>
        <v/>
      </c>
      <c r="Y70">
        <f>HYPERLINK("https://klasma.github.io/Logging_2083/kartor_geotiff/A 1518-2025 georefererad karta.tif", "A 1518-2025")</f>
        <v/>
      </c>
      <c r="Z70">
        <f>HYPERLINK("https://klasma.github.io/Logging_2083/knärot/A 1518-2025 karta knärot.png", "A 1518-2025")</f>
        <v/>
      </c>
      <c r="AA70">
        <f>HYPERLINK("https://klasma.github.io/Logging_2083/klagomål/A 1518-2025 FSC-klagomål.docx", "A 1518-2025")</f>
        <v/>
      </c>
      <c r="AB70">
        <f>HYPERLINK("https://klasma.github.io/Logging_2083/klagomålsmail/A 1518-2025 FSC-klagomål mail.docx", "A 1518-2025")</f>
        <v/>
      </c>
      <c r="AC70">
        <f>HYPERLINK("https://klasma.github.io/Logging_2083/tillsyn/A 1518-2025 tillsynsbegäran.docx", "A 1518-2025")</f>
        <v/>
      </c>
      <c r="AD70">
        <f>HYPERLINK("https://klasma.github.io/Logging_2083/tillsynsmail/A 1518-2025 tillsynsbegäran mail.docx", "A 1518-2025")</f>
        <v/>
      </c>
    </row>
    <row r="71" ht="15" customHeight="1">
      <c r="A71" t="inlineStr">
        <is>
          <t>A 32662-2026</t>
        </is>
      </c>
      <c r="B71" t="inlineStr">
        <is>
          <t>avverkningsanmälan</t>
        </is>
      </c>
      <c r="C71" t="inlineStr">
        <is>
          <t>Föryngringsavverkning</t>
        </is>
      </c>
      <c r="D71" s="1" t="n">
        <v>46240</v>
      </c>
      <c r="E71" s="1" t="n">
        <v>46306</v>
      </c>
      <c r="F71" t="inlineStr">
        <is>
          <t>DALARNAS LÄN</t>
        </is>
      </c>
      <c r="G71" t="inlineStr">
        <is>
          <t>HEDEMORA</t>
        </is>
      </c>
      <c r="H71" t="inlineStr">
        <is>
          <t>Sveaskog</t>
        </is>
      </c>
      <c r="I71" t="n">
        <v>1.1</v>
      </c>
      <c r="J71" t="n">
        <v>1</v>
      </c>
      <c r="K71" t="n">
        <v>1</v>
      </c>
      <c r="L71" t="n">
        <v>0</v>
      </c>
      <c r="M71" t="n">
        <v>0</v>
      </c>
      <c r="N71" t="n">
        <v>0</v>
      </c>
      <c r="O71" t="n">
        <v>0</v>
      </c>
      <c r="P71" t="n">
        <v>0</v>
      </c>
      <c r="Q71" t="n">
        <v>0</v>
      </c>
      <c r="R71" t="n">
        <v>0</v>
      </c>
      <c r="S71" t="n">
        <v>2</v>
      </c>
      <c r="T71" t="n">
        <v>2</v>
      </c>
      <c r="U71" t="n">
        <v>0</v>
      </c>
      <c r="V71" s="2" t="inlineStr">
        <is>
          <t>Rödgul trumpetsvamp
Fläcknycklar</t>
        </is>
      </c>
      <c r="W71">
        <f>HYPERLINK("https://klasma.github.io/Logging_2083/artfynd/A 32662-2026 artfynd.xlsx", "A 32662-2026")</f>
        <v/>
      </c>
      <c r="X71">
        <f>HYPERLINK("https://klasma.github.io/Logging_2083/kartor/A 32662-2026 karta.png", "A 32662-2026")</f>
        <v/>
      </c>
      <c r="Y71">
        <f>HYPERLINK("https://klasma.github.io/Logging_2083/kartor_geotiff/A 32662-2026 georefererad karta.tif", "A 32662-2026")</f>
        <v/>
      </c>
      <c r="AA71">
        <f>HYPERLINK("https://klasma.github.io/Logging_2083/klagomål/A 32662-2026 FSC-klagomål.docx", "A 32662-2026")</f>
        <v/>
      </c>
      <c r="AB71">
        <f>HYPERLINK("https://klasma.github.io/Logging_2083/klagomålsmail/A 32662-2026 FSC-klagomål mail.docx", "A 32662-2026")</f>
        <v/>
      </c>
      <c r="AC71">
        <f>HYPERLINK("https://klasma.github.io/Logging_2083/tillsyn/A 32662-2026 tillsynsbegäran.docx", "A 32662-2026")</f>
        <v/>
      </c>
      <c r="AD71">
        <f>HYPERLINK("https://klasma.github.io/Logging_2083/tillsynsmail/A 32662-2026 tillsynsbegäran mail.docx", "A 32662-2026")</f>
        <v/>
      </c>
    </row>
    <row r="72" ht="15" customHeight="1">
      <c r="A72" t="inlineStr">
        <is>
          <t>S 931-2023</t>
        </is>
      </c>
      <c r="B72" t="inlineStr">
        <is>
          <t>samrådsanmälan</t>
        </is>
      </c>
      <c r="C72" t="inlineStr">
        <is>
          <t>Askåterföring</t>
        </is>
      </c>
      <c r="D72" s="1" t="n">
        <v>45001</v>
      </c>
      <c r="E72" s="1" t="n">
        <v>46306</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t="n">
        <v>2</v>
      </c>
      <c r="V72" s="2" t="inlineStr">
        <is>
          <t>Garnlav
Vågbandad barkbock</t>
        </is>
      </c>
      <c r="W72">
        <f>HYPERLINK("https://klasma.github.io/Logging_2083/artfynd/S 931-2023 artfynd.xlsx", "S 931-2023")</f>
        <v/>
      </c>
      <c r="X72">
        <f>HYPERLINK("https://klasma.github.io/Logging_2083/kartor/S 931-2023 karta.png", "S 931-2023")</f>
        <v/>
      </c>
      <c r="Y72">
        <f>HYPERLINK("https://klasma.github.io/Logging_2083/kartor_geotiff/S 931-2023 georefererad karta.tif", "S 931-2023")</f>
        <v/>
      </c>
      <c r="AA72">
        <f>HYPERLINK("https://klasma.github.io/Logging_2083/klagomål/S 931-2023 FSC-klagomål.docx", "S 931-2023")</f>
        <v/>
      </c>
      <c r="AB72">
        <f>HYPERLINK("https://klasma.github.io/Logging_2083/klagomålsmail/S 931-2023 FSC-klagomål mail.docx", "S 931-2023")</f>
        <v/>
      </c>
      <c r="AC72">
        <f>HYPERLINK("https://klasma.github.io/Logging_2083/tillsyn/S 931-2023 tillsynsbegäran.docx", "S 931-2023")</f>
        <v/>
      </c>
      <c r="AD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46306</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t="n">
        <v>1</v>
      </c>
      <c r="V73" s="2" t="inlineStr">
        <is>
          <t>Linmåra/småsnärjmåra
Motaggsvamp</t>
        </is>
      </c>
      <c r="W73">
        <f>HYPERLINK("https://klasma.github.io/Logging_2083/artfynd/S 10368-2021 artfynd.xlsx", "S 10368-2021")</f>
        <v/>
      </c>
      <c r="X73">
        <f>HYPERLINK("https://klasma.github.io/Logging_2083/kartor/S 10368-2021 karta.png", "S 10368-2021")</f>
        <v/>
      </c>
      <c r="Y73">
        <f>HYPERLINK("https://klasma.github.io/Logging_2083/kartor_geotiff/S 10368-2021 georefererad karta.tif", "S 10368-2021")</f>
        <v/>
      </c>
      <c r="AA73">
        <f>HYPERLINK("https://klasma.github.io/Logging_2083/klagomål/S 10368-2021 FSC-klagomål.docx", "S 10368-2021")</f>
        <v/>
      </c>
      <c r="AB73">
        <f>HYPERLINK("https://klasma.github.io/Logging_2083/klagomålsmail/S 10368-2021 FSC-klagomål mail.docx", "S 10368-2021")</f>
        <v/>
      </c>
      <c r="AC73">
        <f>HYPERLINK("https://klasma.github.io/Logging_2083/tillsyn/S 10368-2021 tillsynsbegäran.docx", "S 10368-2021")</f>
        <v/>
      </c>
      <c r="AD73">
        <f>HYPERLINK("https://klasma.github.io/Logging_2083/tillsynsmail/S 10368-2021 tillsynsbegäran mail.docx", "S 10368-2021")</f>
        <v/>
      </c>
    </row>
    <row r="74" ht="15" customHeight="1">
      <c r="A74" t="inlineStr">
        <is>
          <t>S 404-2022</t>
        </is>
      </c>
      <c r="B74" t="inlineStr">
        <is>
          <t>samrådsanmälan</t>
        </is>
      </c>
      <c r="C74" t="inlineStr">
        <is>
          <t>Skogsgödsling</t>
        </is>
      </c>
      <c r="D74" s="1" t="n">
        <v>44585</v>
      </c>
      <c r="E74" s="1" t="n">
        <v>46306</v>
      </c>
      <c r="F74" t="inlineStr">
        <is>
          <t>DALARNAS LÄN</t>
        </is>
      </c>
      <c r="G74" t="inlineStr">
        <is>
          <t>HEDEMORA</t>
        </is>
      </c>
      <c r="H74" t="inlineStr">
        <is>
          <t>Bergvik skog väst AB</t>
        </is>
      </c>
      <c r="I74" t="n">
        <v>23.2</v>
      </c>
      <c r="J74" t="n">
        <v>2</v>
      </c>
      <c r="K74" t="n">
        <v>1</v>
      </c>
      <c r="L74" t="n">
        <v>0</v>
      </c>
      <c r="M74" t="n">
        <v>0</v>
      </c>
      <c r="N74" t="n">
        <v>0</v>
      </c>
      <c r="O74" t="n">
        <v>0</v>
      </c>
      <c r="P74" t="n">
        <v>0</v>
      </c>
      <c r="Q74" t="n">
        <v>0</v>
      </c>
      <c r="R74" t="n">
        <v>0</v>
      </c>
      <c r="S74" t="n">
        <v>2</v>
      </c>
      <c r="T74" t="n">
        <v>2</v>
      </c>
      <c r="U74" t="n">
        <v>2</v>
      </c>
      <c r="V74" s="2" t="inlineStr">
        <is>
          <t>Tvåblad
Fläcknycklar</t>
        </is>
      </c>
      <c r="W74">
        <f>HYPERLINK("https://klasma.github.io/Logging_2083/artfynd/S 404-2022 artfynd.xlsx", "S 404-2022")</f>
        <v/>
      </c>
      <c r="X74">
        <f>HYPERLINK("https://klasma.github.io/Logging_2083/kartor/S 404-2022 karta.png", "S 404-2022")</f>
        <v/>
      </c>
      <c r="Y74">
        <f>HYPERLINK("https://klasma.github.io/Logging_2083/kartor_geotiff/S 404-2022 georefererad karta.tif", "S 404-2022")</f>
        <v/>
      </c>
      <c r="AA74">
        <f>HYPERLINK("https://klasma.github.io/Logging_2083/klagomål/S 404-2022 FSC-klagomål.docx", "S 404-2022")</f>
        <v/>
      </c>
      <c r="AB74">
        <f>HYPERLINK("https://klasma.github.io/Logging_2083/klagomålsmail/S 404-2022 FSC-klagomål mail.docx", "S 404-2022")</f>
        <v/>
      </c>
      <c r="AC74">
        <f>HYPERLINK("https://klasma.github.io/Logging_2083/tillsyn/S 404-2022 tillsynsbegäran.docx", "S 404-2022")</f>
        <v/>
      </c>
      <c r="AD74">
        <f>HYPERLINK("https://klasma.github.io/Logging_2083/tillsynsmail/S 404-2022 tillsynsbegäran mail.docx", "S 404-2022")</f>
        <v/>
      </c>
    </row>
    <row r="75" ht="15" customHeight="1">
      <c r="A75" t="inlineStr">
        <is>
          <t>S 227-2024</t>
        </is>
      </c>
      <c r="B75" t="inlineStr">
        <is>
          <t>samrådsanmälan</t>
        </is>
      </c>
      <c r="C75" t="inlineStr">
        <is>
          <t>Skogsgödsling</t>
        </is>
      </c>
      <c r="D75" s="1" t="n">
        <v>45317</v>
      </c>
      <c r="E75" s="1" t="n">
        <v>46306</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46306</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46306</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49889-2022</t>
        </is>
      </c>
      <c r="B78" t="inlineStr">
        <is>
          <t>avverkningsanmälan</t>
        </is>
      </c>
      <c r="C78" t="inlineStr">
        <is>
          <t>Föryngringsavverkning</t>
        </is>
      </c>
      <c r="D78" s="1" t="n">
        <v>44864</v>
      </c>
      <c r="E78" s="1" t="n">
        <v>46306</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t="n">
        <v>2</v>
      </c>
      <c r="V78" s="2" t="inlineStr">
        <is>
          <t>Knärot</t>
        </is>
      </c>
      <c r="W78">
        <f>HYPERLINK("https://klasma.github.io/Logging_2083/artfynd/A 49889-2022 artfynd.xlsx", "A 49889-2022")</f>
        <v/>
      </c>
      <c r="X78">
        <f>HYPERLINK("https://klasma.github.io/Logging_2083/kartor/A 49889-2022 karta.png", "A 49889-2022")</f>
        <v/>
      </c>
      <c r="Y78">
        <f>HYPERLINK("https://klasma.github.io/Logging_2083/kartor_geotiff/A 49889-2022 georefererad karta.tif", "A 49889-2022")</f>
        <v/>
      </c>
      <c r="Z78">
        <f>HYPERLINK("https://klasma.github.io/Logging_2083/knärot/A 49889-2022 karta knärot.png", "A 49889-2022")</f>
        <v/>
      </c>
      <c r="AA78">
        <f>HYPERLINK("https://klasma.github.io/Logging_2083/klagomål/A 49889-2022 FSC-klagomål.docx", "A 49889-2022")</f>
        <v/>
      </c>
      <c r="AB78">
        <f>HYPERLINK("https://klasma.github.io/Logging_2083/klagomålsmail/A 49889-2022 FSC-klagomål mail.docx", "A 49889-2022")</f>
        <v/>
      </c>
      <c r="AC78">
        <f>HYPERLINK("https://klasma.github.io/Logging_2083/tillsyn/A 49889-2022 tillsynsbegäran.docx", "A 49889-2022")</f>
        <v/>
      </c>
      <c r="AD78">
        <f>HYPERLINK("https://klasma.github.io/Logging_2083/tillsynsmail/A 49889-2022 tillsynsbegäran mail.docx", "A 49889-2022")</f>
        <v/>
      </c>
    </row>
    <row r="79" ht="15" customHeight="1">
      <c r="A79" t="inlineStr">
        <is>
          <t>A 53916-2022</t>
        </is>
      </c>
      <c r="B79" t="inlineStr">
        <is>
          <t>avverkningsanmälan</t>
        </is>
      </c>
      <c r="C79" t="inlineStr">
        <is>
          <t>Föryngringsavverkning</t>
        </is>
      </c>
      <c r="D79" s="1" t="n">
        <v>44880</v>
      </c>
      <c r="E79" s="1" t="n">
        <v>46306</v>
      </c>
      <c r="F79" t="inlineStr">
        <is>
          <t>DALARNAS LÄN</t>
        </is>
      </c>
      <c r="G79" t="inlineStr">
        <is>
          <t>HEDEMORA</t>
        </is>
      </c>
      <c r="H79" t="inlineStr">
        <is>
          <t>Sveaskog</t>
        </is>
      </c>
      <c r="I79" t="n">
        <v>12.1</v>
      </c>
      <c r="J79" t="n">
        <v>1</v>
      </c>
      <c r="K79" t="n">
        <v>0</v>
      </c>
      <c r="L79" t="n">
        <v>0</v>
      </c>
      <c r="M79" t="n">
        <v>0</v>
      </c>
      <c r="N79" t="n">
        <v>0</v>
      </c>
      <c r="O79" t="n">
        <v>0</v>
      </c>
      <c r="P79" t="n">
        <v>0</v>
      </c>
      <c r="Q79" t="n">
        <v>0</v>
      </c>
      <c r="R79" t="n">
        <v>0</v>
      </c>
      <c r="S79" t="n">
        <v>1</v>
      </c>
      <c r="T79" t="n">
        <v>2</v>
      </c>
      <c r="U79" t="n">
        <v>2</v>
      </c>
      <c r="V79" s="2" t="inlineStr">
        <is>
          <t>Spillkråka</t>
        </is>
      </c>
      <c r="W79">
        <f>HYPERLINK("https://klasma.github.io/Logging_2083/artfynd/A 53916-2022 artfynd.xlsx", "A 53916-2022")</f>
        <v/>
      </c>
      <c r="X79">
        <f>HYPERLINK("https://klasma.github.io/Logging_2083/kartor/A 53916-2022 karta.png", "A 53916-2022")</f>
        <v/>
      </c>
      <c r="Y79">
        <f>HYPERLINK("https://klasma.github.io/Logging_2083/kartor_geotiff/A 53916-2022 georefererad karta.tif", "A 53916-2022")</f>
        <v/>
      </c>
      <c r="AA79">
        <f>HYPERLINK("https://klasma.github.io/Logging_2083/klagomål/A 53916-2022 FSC-klagomål.docx", "A 53916-2022")</f>
        <v/>
      </c>
      <c r="AB79">
        <f>HYPERLINK("https://klasma.github.io/Logging_2083/klagomålsmail/A 53916-2022 FSC-klagomål mail.docx", "A 53916-2022")</f>
        <v/>
      </c>
      <c r="AC79">
        <f>HYPERLINK("https://klasma.github.io/Logging_2083/tillsyn/A 53916-2022 tillsynsbegäran.docx", "A 53916-2022")</f>
        <v/>
      </c>
      <c r="AD79">
        <f>HYPERLINK("https://klasma.github.io/Logging_2083/tillsynsmail/A 53916-2022 tillsynsbegäran mail.docx", "A 53916-2022")</f>
        <v/>
      </c>
      <c r="AE79">
        <f>HYPERLINK("https://klasma.github.io/Logging_2083/fåglar/A 53916-2022 prioriterade fågelarter.docx", "A 53916-2022")</f>
        <v/>
      </c>
    </row>
    <row r="80" ht="15" customHeight="1">
      <c r="A80" t="inlineStr">
        <is>
          <t>A 17590-2025</t>
        </is>
      </c>
      <c r="B80" t="inlineStr">
        <is>
          <t>avverkningsanmälan</t>
        </is>
      </c>
      <c r="C80" t="inlineStr">
        <is>
          <t>Föryngringsavverkning</t>
        </is>
      </c>
      <c r="D80" s="1" t="n">
        <v>45757</v>
      </c>
      <c r="E80" s="1" t="n">
        <v>46306</v>
      </c>
      <c r="F80" t="inlineStr">
        <is>
          <t>DALARNAS LÄN</t>
        </is>
      </c>
      <c r="G80" t="inlineStr">
        <is>
          <t>HEDEMORA</t>
        </is>
      </c>
      <c r="I80" t="n">
        <v>0.6</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HYPERLINK("https://klasma.github.io/Logging_2083/artfynd/A 17590-2025 artfynd.xlsx", "A 17590-2025")</f>
        <v/>
      </c>
      <c r="X80">
        <f>HYPERLINK("https://klasma.github.io/Logging_2083/kartor/A 17590-2025 karta.png", "A 17590-2025")</f>
        <v/>
      </c>
      <c r="Y80">
        <f>HYPERLINK("https://klasma.github.io/Logging_2083/kartor_geotiff/A 17590-2025 georefererad karta.tif", "A 17590-2025")</f>
        <v/>
      </c>
      <c r="AA80">
        <f>HYPERLINK("https://klasma.github.io/Logging_2083/klagomål/A 17590-2025 FSC-klagomål.docx", "A 17590-2025")</f>
        <v/>
      </c>
      <c r="AB80">
        <f>HYPERLINK("https://klasma.github.io/Logging_2083/klagomålsmail/A 17590-2025 FSC-klagomål mail.docx", "A 17590-2025")</f>
        <v/>
      </c>
      <c r="AC80">
        <f>HYPERLINK("https://klasma.github.io/Logging_2083/tillsyn/A 17590-2025 tillsynsbegäran.docx", "A 17590-2025")</f>
        <v/>
      </c>
      <c r="AD80">
        <f>HYPERLINK("https://klasma.github.io/Logging_2083/tillsynsmail/A 17590-2025 tillsynsbegäran mail.docx", "A 17590-2025")</f>
        <v/>
      </c>
    </row>
    <row r="81" ht="15" customHeight="1">
      <c r="A81" t="inlineStr">
        <is>
          <t>A 39396-2025</t>
        </is>
      </c>
      <c r="B81" t="inlineStr">
        <is>
          <t>avverkningsanmälan</t>
        </is>
      </c>
      <c r="C81" t="inlineStr">
        <is>
          <t>Föryngringsavverkning</t>
        </is>
      </c>
      <c r="D81" s="1" t="n">
        <v>45889</v>
      </c>
      <c r="E81" s="1" t="n">
        <v>46306</v>
      </c>
      <c r="F81" t="inlineStr">
        <is>
          <t>DALARNAS LÄN</t>
        </is>
      </c>
      <c r="G81" t="inlineStr">
        <is>
          <t>HEDEMORA</t>
        </is>
      </c>
      <c r="H81" t="inlineStr">
        <is>
          <t>Sveaskog</t>
        </is>
      </c>
      <c r="I81" t="n">
        <v>4.3</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HYPERLINK("https://klasma.github.io/Logging_2083/artfynd/A 39396-2025 artfynd.xlsx", "A 39396-2025")</f>
        <v/>
      </c>
      <c r="X81">
        <f>HYPERLINK("https://klasma.github.io/Logging_2083/kartor/A 39396-2025 karta.png", "A 39396-2025")</f>
        <v/>
      </c>
      <c r="Y81">
        <f>HYPERLINK("https://klasma.github.io/Logging_2083/kartor_geotiff/A 39396-2025 georefererad karta.tif", "A 39396-2025")</f>
        <v/>
      </c>
      <c r="Z81">
        <f>HYPERLINK("https://klasma.github.io/Logging_2083/knärot/A 39396-2025 karta knärot.png", "A 39396-2025")</f>
        <v/>
      </c>
      <c r="AA81">
        <f>HYPERLINK("https://klasma.github.io/Logging_2083/klagomål/A 39396-2025 FSC-klagomål.docx", "A 39396-2025")</f>
        <v/>
      </c>
      <c r="AB81">
        <f>HYPERLINK("https://klasma.github.io/Logging_2083/klagomålsmail/A 39396-2025 FSC-klagomål mail.docx", "A 39396-2025")</f>
        <v/>
      </c>
      <c r="AC81">
        <f>HYPERLINK("https://klasma.github.io/Logging_2083/tillsyn/A 39396-2025 tillsynsbegäran.docx", "A 39396-2025")</f>
        <v/>
      </c>
      <c r="AD81">
        <f>HYPERLINK("https://klasma.github.io/Logging_2083/tillsynsmail/A 39396-2025 tillsynsbegäran mail.docx", "A 39396-2025")</f>
        <v/>
      </c>
    </row>
    <row r="82" ht="15" customHeight="1">
      <c r="A82" t="inlineStr">
        <is>
          <t>A 62046-2022</t>
        </is>
      </c>
      <c r="B82" t="inlineStr">
        <is>
          <t>avverkningsanmälan</t>
        </is>
      </c>
      <c r="C82" t="inlineStr">
        <is>
          <t>Föryngringsavverkning</t>
        </is>
      </c>
      <c r="D82" s="1" t="n">
        <v>44918</v>
      </c>
      <c r="E82" s="1" t="n">
        <v>46306</v>
      </c>
      <c r="F82" t="inlineStr">
        <is>
          <t>DALARNAS LÄN</t>
        </is>
      </c>
      <c r="G82" t="inlineStr">
        <is>
          <t>HEDEMORA</t>
        </is>
      </c>
      <c r="I82" t="n">
        <v>1.2</v>
      </c>
      <c r="J82" t="n">
        <v>0</v>
      </c>
      <c r="K82" t="n">
        <v>0</v>
      </c>
      <c r="L82" t="n">
        <v>1</v>
      </c>
      <c r="M82" t="n">
        <v>0</v>
      </c>
      <c r="N82" t="n">
        <v>0</v>
      </c>
      <c r="O82" t="n">
        <v>0</v>
      </c>
      <c r="P82" t="n">
        <v>0</v>
      </c>
      <c r="Q82" t="n">
        <v>1</v>
      </c>
      <c r="R82" t="n">
        <v>0</v>
      </c>
      <c r="S82" t="n">
        <v>1</v>
      </c>
      <c r="T82" t="n">
        <v>2</v>
      </c>
      <c r="U82" t="n">
        <v>2</v>
      </c>
      <c r="V82" s="2" t="inlineStr">
        <is>
          <t>Vårärt</t>
        </is>
      </c>
      <c r="W82">
        <f>HYPERLINK("https://klasma.github.io/Logging_2083/artfynd/A 62046-2022 artfynd.xlsx", "A 62046-2022")</f>
        <v/>
      </c>
      <c r="X82">
        <f>HYPERLINK("https://klasma.github.io/Logging_2083/kartor/A 62046-2022 karta.png", "A 62046-2022")</f>
        <v/>
      </c>
      <c r="Y82">
        <f>HYPERLINK("https://klasma.github.io/Logging_2083/kartor_geotiff/A 62046-2022 georefererad karta.tif", "A 62046-2022")</f>
        <v/>
      </c>
      <c r="AA82">
        <f>HYPERLINK("https://klasma.github.io/Logging_2083/klagomål/A 62046-2022 FSC-klagomål.docx", "A 62046-2022")</f>
        <v/>
      </c>
      <c r="AB82">
        <f>HYPERLINK("https://klasma.github.io/Logging_2083/klagomålsmail/A 62046-2022 FSC-klagomål mail.docx", "A 62046-2022")</f>
        <v/>
      </c>
      <c r="AC82">
        <f>HYPERLINK("https://klasma.github.io/Logging_2083/tillsyn/A 62046-2022 tillsynsbegäran.docx", "A 62046-2022")</f>
        <v/>
      </c>
      <c r="AD82">
        <f>HYPERLINK("https://klasma.github.io/Logging_2083/tillsynsmail/A 62046-2022 tillsynsbegäran mail.docx", "A 62046-2022")</f>
        <v/>
      </c>
    </row>
    <row r="83" ht="15" customHeight="1">
      <c r="A83" t="inlineStr">
        <is>
          <t>A 63542-2023</t>
        </is>
      </c>
      <c r="B83" t="inlineStr">
        <is>
          <t>avverkningsanmälan</t>
        </is>
      </c>
      <c r="C83" t="inlineStr">
        <is>
          <t>Föryngringsavverkning</t>
        </is>
      </c>
      <c r="D83" s="1" t="n">
        <v>45275</v>
      </c>
      <c r="E83" s="1" t="n">
        <v>46306</v>
      </c>
      <c r="F83" t="inlineStr">
        <is>
          <t>DALARNAS LÄN</t>
        </is>
      </c>
      <c r="G83" t="inlineStr">
        <is>
          <t>HEDEMORA</t>
        </is>
      </c>
      <c r="I83" t="n">
        <v>2.1</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HYPERLINK("https://klasma.github.io/Logging_2083/artfynd/A 63542-2023 artfynd.xlsx", "A 63542-2023")</f>
        <v/>
      </c>
      <c r="X83">
        <f>HYPERLINK("https://klasma.github.io/Logging_2083/kartor/A 63542-2023 karta.png", "A 63542-2023")</f>
        <v/>
      </c>
      <c r="Y83">
        <f>HYPERLINK("https://klasma.github.io/Logging_2083/kartor_geotiff/A 63542-2023 georefererad karta.tif", "A 63542-2023")</f>
        <v/>
      </c>
      <c r="AA83">
        <f>HYPERLINK("https://klasma.github.io/Logging_2083/klagomål/A 63542-2023 FSC-klagomål.docx", "A 63542-2023")</f>
        <v/>
      </c>
      <c r="AB83">
        <f>HYPERLINK("https://klasma.github.io/Logging_2083/klagomålsmail/A 63542-2023 FSC-klagomål mail.docx", "A 63542-2023")</f>
        <v/>
      </c>
      <c r="AC83">
        <f>HYPERLINK("https://klasma.github.io/Logging_2083/tillsyn/A 63542-2023 tillsynsbegäran.docx", "A 63542-2023")</f>
        <v/>
      </c>
      <c r="AD83">
        <f>HYPERLINK("https://klasma.github.io/Logging_2083/tillsynsmail/A 63542-2023 tillsynsbegäran mail.docx", "A 63542-2023")</f>
        <v/>
      </c>
      <c r="AE83">
        <f>HYPERLINK("https://klasma.github.io/Logging_2083/fåglar/A 63542-2023 prioriterade fågelarter.docx", "A 63542-2023")</f>
        <v/>
      </c>
    </row>
    <row r="84" ht="15" customHeight="1">
      <c r="A84" t="inlineStr">
        <is>
          <t>A 15036-2025</t>
        </is>
      </c>
      <c r="B84" t="inlineStr">
        <is>
          <t>avverkningsanmälan</t>
        </is>
      </c>
      <c r="C84" t="inlineStr">
        <is>
          <t>Föryngringsavverkning</t>
        </is>
      </c>
      <c r="D84" s="1" t="n">
        <v>45743</v>
      </c>
      <c r="E84" s="1" t="n">
        <v>46306</v>
      </c>
      <c r="F84" t="inlineStr">
        <is>
          <t>DALARNAS LÄN</t>
        </is>
      </c>
      <c r="G84" t="inlineStr">
        <is>
          <t>HEDEMORA</t>
        </is>
      </c>
      <c r="H84" t="inlineStr">
        <is>
          <t>Sveaskog</t>
        </is>
      </c>
      <c r="I84" t="n">
        <v>20.4</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HYPERLINK("https://klasma.github.io/Logging_2083/artfynd/A 15036-2025 artfynd.xlsx", "A 15036-2025")</f>
        <v/>
      </c>
      <c r="X84">
        <f>HYPERLINK("https://klasma.github.io/Logging_2083/kartor/A 15036-2025 karta.png", "A 15036-2025")</f>
        <v/>
      </c>
      <c r="Y84">
        <f>HYPERLINK("https://klasma.github.io/Logging_2083/kartor_geotiff/A 15036-2025 georefererad karta.tif", "A 15036-2025")</f>
        <v/>
      </c>
      <c r="AA84">
        <f>HYPERLINK("https://klasma.github.io/Logging_2083/klagomål/A 15036-2025 FSC-klagomål.docx", "A 15036-2025")</f>
        <v/>
      </c>
      <c r="AB84">
        <f>HYPERLINK("https://klasma.github.io/Logging_2083/klagomålsmail/A 15036-2025 FSC-klagomål mail.docx", "A 15036-2025")</f>
        <v/>
      </c>
      <c r="AC84">
        <f>HYPERLINK("https://klasma.github.io/Logging_2083/tillsyn/A 15036-2025 tillsynsbegäran.docx", "A 15036-2025")</f>
        <v/>
      </c>
      <c r="AD84">
        <f>HYPERLINK("https://klasma.github.io/Logging_2083/tillsynsmail/A 15036-2025 tillsynsbegäran mail.docx", "A 15036-2025")</f>
        <v/>
      </c>
    </row>
    <row r="85" ht="15" customHeight="1">
      <c r="A85" t="inlineStr">
        <is>
          <t>A 53031-2023</t>
        </is>
      </c>
      <c r="B85" t="inlineStr">
        <is>
          <t>avverkningsanmälan</t>
        </is>
      </c>
      <c r="C85" t="inlineStr">
        <is>
          <t>Föryngringsavverkning</t>
        </is>
      </c>
      <c r="D85" s="1" t="n">
        <v>45226</v>
      </c>
      <c r="E85" s="1" t="n">
        <v>46306</v>
      </c>
      <c r="F85" t="inlineStr">
        <is>
          <t>DALARNAS LÄN</t>
        </is>
      </c>
      <c r="G85" t="inlineStr">
        <is>
          <t>HEDEMORA</t>
        </is>
      </c>
      <c r="H85" t="inlineStr">
        <is>
          <t>Sveaskog</t>
        </is>
      </c>
      <c r="I85" t="n">
        <v>6.9</v>
      </c>
      <c r="J85" t="n">
        <v>1</v>
      </c>
      <c r="K85" t="n">
        <v>0</v>
      </c>
      <c r="L85" t="n">
        <v>1</v>
      </c>
      <c r="M85" t="n">
        <v>0</v>
      </c>
      <c r="N85" t="n">
        <v>0</v>
      </c>
      <c r="O85" t="n">
        <v>0</v>
      </c>
      <c r="P85" t="n">
        <v>0</v>
      </c>
      <c r="Q85" t="n">
        <v>1</v>
      </c>
      <c r="R85" t="n">
        <v>0</v>
      </c>
      <c r="S85" t="n">
        <v>1</v>
      </c>
      <c r="T85" t="n">
        <v>1</v>
      </c>
      <c r="U85" t="n">
        <v>1</v>
      </c>
      <c r="V85" s="2" t="inlineStr">
        <is>
          <t>Talltita</t>
        </is>
      </c>
      <c r="W85">
        <f>HYPERLINK("https://klasma.github.io/Logging_2083/artfynd/A 53031-2023 artfynd.xlsx", "A 53031-2023")</f>
        <v/>
      </c>
      <c r="X85">
        <f>HYPERLINK("https://klasma.github.io/Logging_2083/kartor/A 53031-2023 karta.png", "A 53031-2023")</f>
        <v/>
      </c>
      <c r="Y85">
        <f>HYPERLINK("https://klasma.github.io/Logging_2083/kartor_geotiff/A 53031-2023 georefererad karta.tif", "A 53031-2023")</f>
        <v/>
      </c>
      <c r="AA85">
        <f>HYPERLINK("https://klasma.github.io/Logging_2083/klagomål/A 53031-2023 FSC-klagomål.docx", "A 53031-2023")</f>
        <v/>
      </c>
      <c r="AB85">
        <f>HYPERLINK("https://klasma.github.io/Logging_2083/klagomålsmail/A 53031-2023 FSC-klagomål mail.docx", "A 53031-2023")</f>
        <v/>
      </c>
      <c r="AC85">
        <f>HYPERLINK("https://klasma.github.io/Logging_2083/tillsyn/A 53031-2023 tillsynsbegäran.docx", "A 53031-2023")</f>
        <v/>
      </c>
      <c r="AD85">
        <f>HYPERLINK("https://klasma.github.io/Logging_2083/tillsynsmail/A 53031-2023 tillsynsbegäran mail.docx", "A 53031-2023")</f>
        <v/>
      </c>
      <c r="AE85">
        <f>HYPERLINK("https://klasma.github.io/Logging_2083/fåglar/A 53031-2023 prioriterade fågelarter.docx", "A 53031-2023")</f>
        <v/>
      </c>
    </row>
    <row r="86" ht="15" customHeight="1">
      <c r="A86" t="inlineStr">
        <is>
          <t>A 33968-2025</t>
        </is>
      </c>
      <c r="B86" t="inlineStr">
        <is>
          <t>avverkningsanmälan</t>
        </is>
      </c>
      <c r="C86" t="inlineStr">
        <is>
          <t>Föryngringsavverkning</t>
        </is>
      </c>
      <c r="D86" s="1" t="n">
        <v>45842</v>
      </c>
      <c r="E86" s="1" t="n">
        <v>46306</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t="n">
        <v>2</v>
      </c>
      <c r="V86" s="2" t="inlineStr">
        <is>
          <t>Plattlummer</t>
        </is>
      </c>
      <c r="W86">
        <f>HYPERLINK("https://klasma.github.io/Logging_2083/artfynd/A 33968-2025 artfynd.xlsx", "A 33968-2025")</f>
        <v/>
      </c>
      <c r="X86">
        <f>HYPERLINK("https://klasma.github.io/Logging_2083/kartor/A 33968-2025 karta.png", "A 33968-2025")</f>
        <v/>
      </c>
      <c r="Y86">
        <f>HYPERLINK("https://klasma.github.io/Logging_2083/kartor_geotiff/A 33968-2025 georefererad karta.tif", "A 33968-2025")</f>
        <v/>
      </c>
      <c r="AA86">
        <f>HYPERLINK("https://klasma.github.io/Logging_2083/klagomål/A 33968-2025 FSC-klagomål.docx", "A 33968-2025")</f>
        <v/>
      </c>
      <c r="AB86">
        <f>HYPERLINK("https://klasma.github.io/Logging_2083/klagomålsmail/A 33968-2025 FSC-klagomål mail.docx", "A 33968-2025")</f>
        <v/>
      </c>
      <c r="AC86">
        <f>HYPERLINK("https://klasma.github.io/Logging_2083/tillsyn/A 33968-2025 tillsynsbegäran.docx", "A 33968-2025")</f>
        <v/>
      </c>
      <c r="AD86">
        <f>HYPERLINK("https://klasma.github.io/Logging_2083/tillsynsmail/A 33968-2025 tillsynsbegäran mail.docx", "A 33968-2025")</f>
        <v/>
      </c>
    </row>
    <row r="87" ht="15" customHeight="1">
      <c r="A87" t="inlineStr">
        <is>
          <t>A 28181-2025</t>
        </is>
      </c>
      <c r="B87" t="inlineStr">
        <is>
          <t>avverkningsanmälan</t>
        </is>
      </c>
      <c r="C87" t="inlineStr">
        <is>
          <t>Föryngringsavverkning</t>
        </is>
      </c>
      <c r="D87" s="1" t="n">
        <v>45818</v>
      </c>
      <c r="E87" s="1" t="n">
        <v>46306</v>
      </c>
      <c r="F87" t="inlineStr">
        <is>
          <t>DALARNAS LÄN</t>
        </is>
      </c>
      <c r="G87" t="inlineStr">
        <is>
          <t>HEDEMORA</t>
        </is>
      </c>
      <c r="H87" t="inlineStr">
        <is>
          <t>Sveaskog</t>
        </is>
      </c>
      <c r="I87" t="n">
        <v>2.4</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HYPERLINK("https://klasma.github.io/Logging_2083/artfynd/A 28181-2025 artfynd.xlsx", "A 28181-2025")</f>
        <v/>
      </c>
      <c r="X87">
        <f>HYPERLINK("https://klasma.github.io/Logging_2083/kartor/A 28181-2025 karta.png", "A 28181-2025")</f>
        <v/>
      </c>
      <c r="Y87">
        <f>HYPERLINK("https://klasma.github.io/Logging_2083/kartor_geotiff/A 28181-2025 georefererad karta.tif", "A 28181-2025")</f>
        <v/>
      </c>
      <c r="AA87">
        <f>HYPERLINK("https://klasma.github.io/Logging_2083/klagomål/A 28181-2025 FSC-klagomål.docx", "A 28181-2025")</f>
        <v/>
      </c>
      <c r="AB87">
        <f>HYPERLINK("https://klasma.github.io/Logging_2083/klagomålsmail/A 28181-2025 FSC-klagomål mail.docx", "A 28181-2025")</f>
        <v/>
      </c>
      <c r="AC87">
        <f>HYPERLINK("https://klasma.github.io/Logging_2083/tillsyn/A 28181-2025 tillsynsbegäran.docx", "A 28181-2025")</f>
        <v/>
      </c>
      <c r="AD87">
        <f>HYPERLINK("https://klasma.github.io/Logging_2083/tillsynsmail/A 28181-2025 tillsynsbegäran mail.docx", "A 28181-2025")</f>
        <v/>
      </c>
    </row>
    <row r="88" ht="15" customHeight="1">
      <c r="A88" t="inlineStr">
        <is>
          <t>A 28183-2025</t>
        </is>
      </c>
      <c r="B88" t="inlineStr">
        <is>
          <t>avverkningsanmälan</t>
        </is>
      </c>
      <c r="C88" t="inlineStr">
        <is>
          <t>Föryngringsavverkning</t>
        </is>
      </c>
      <c r="D88" s="1" t="n">
        <v>45818</v>
      </c>
      <c r="E88" s="1" t="n">
        <v>46306</v>
      </c>
      <c r="F88" t="inlineStr">
        <is>
          <t>DALARNAS LÄN</t>
        </is>
      </c>
      <c r="G88" t="inlineStr">
        <is>
          <t>HEDEMORA</t>
        </is>
      </c>
      <c r="H88" t="inlineStr">
        <is>
          <t>Sveaskog</t>
        </is>
      </c>
      <c r="I88" t="n">
        <v>2.7</v>
      </c>
      <c r="J88" t="n">
        <v>1</v>
      </c>
      <c r="K88" t="n">
        <v>0</v>
      </c>
      <c r="L88" t="n">
        <v>1</v>
      </c>
      <c r="M88" t="n">
        <v>0</v>
      </c>
      <c r="N88" t="n">
        <v>0</v>
      </c>
      <c r="O88" t="n">
        <v>0</v>
      </c>
      <c r="P88" t="n">
        <v>0</v>
      </c>
      <c r="Q88" t="n">
        <v>1</v>
      </c>
      <c r="R88" t="n">
        <v>0</v>
      </c>
      <c r="S88" t="n">
        <v>1</v>
      </c>
      <c r="T88" t="n">
        <v>1</v>
      </c>
      <c r="U88" t="n">
        <v>0</v>
      </c>
      <c r="V88" s="2" t="inlineStr">
        <is>
          <t>Brunlångöra</t>
        </is>
      </c>
      <c r="W88">
        <f>HYPERLINK("https://klasma.github.io/Logging_2083/artfynd/A 28183-2025 artfynd.xlsx", "A 28183-2025")</f>
        <v/>
      </c>
      <c r="X88">
        <f>HYPERLINK("https://klasma.github.io/Logging_2083/kartor/A 28183-2025 karta.png", "A 28183-2025")</f>
        <v/>
      </c>
      <c r="Y88">
        <f>HYPERLINK("https://klasma.github.io/Logging_2083/kartor_geotiff/A 28183-2025 georefererad karta.tif", "A 28183-2025")</f>
        <v/>
      </c>
      <c r="AA88">
        <f>HYPERLINK("https://klasma.github.io/Logging_2083/klagomål/A 28183-2025 FSC-klagomål.docx", "A 28183-2025")</f>
        <v/>
      </c>
      <c r="AB88">
        <f>HYPERLINK("https://klasma.github.io/Logging_2083/klagomålsmail/A 28183-2025 FSC-klagomål mail.docx", "A 28183-2025")</f>
        <v/>
      </c>
      <c r="AC88">
        <f>HYPERLINK("https://klasma.github.io/Logging_2083/tillsyn/A 28183-2025 tillsynsbegäran.docx", "A 28183-2025")</f>
        <v/>
      </c>
      <c r="AD88">
        <f>HYPERLINK("https://klasma.github.io/Logging_2083/tillsynsmail/A 28183-2025 tillsynsbegäran mail.docx", "A 28183-2025")</f>
        <v/>
      </c>
    </row>
    <row r="89" ht="15" customHeight="1">
      <c r="A89" t="inlineStr">
        <is>
          <t>A 17645-2022</t>
        </is>
      </c>
      <c r="B89" t="inlineStr">
        <is>
          <t>avverkningsanmälan</t>
        </is>
      </c>
      <c r="C89" t="inlineStr">
        <is>
          <t>Föryngringsavverkning</t>
        </is>
      </c>
      <c r="D89" s="1" t="n">
        <v>44680</v>
      </c>
      <c r="E89" s="1" t="n">
        <v>46306</v>
      </c>
      <c r="F89" t="inlineStr">
        <is>
          <t>DALARNAS LÄN</t>
        </is>
      </c>
      <c r="G89" t="inlineStr">
        <is>
          <t>HEDEMORA</t>
        </is>
      </c>
      <c r="I89" t="n">
        <v>1.3</v>
      </c>
      <c r="J89" t="n">
        <v>0</v>
      </c>
      <c r="K89" t="n">
        <v>0</v>
      </c>
      <c r="L89" t="n">
        <v>0</v>
      </c>
      <c r="M89" t="n">
        <v>0</v>
      </c>
      <c r="N89" t="n">
        <v>1</v>
      </c>
      <c r="O89" t="n">
        <v>0</v>
      </c>
      <c r="P89" t="n">
        <v>0</v>
      </c>
      <c r="Q89" t="n">
        <v>1</v>
      </c>
      <c r="R89" t="n">
        <v>1</v>
      </c>
      <c r="S89" t="n">
        <v>1</v>
      </c>
      <c r="T89" t="n">
        <v>2</v>
      </c>
      <c r="U89" t="n">
        <v>2</v>
      </c>
      <c r="V89" s="2" t="inlineStr">
        <is>
          <t>Ask</t>
        </is>
      </c>
      <c r="W89">
        <f>HYPERLINK("https://klasma.github.io/Logging_2083/artfynd/A 17645-2022 artfynd.xlsx", "A 17645-2022")</f>
        <v/>
      </c>
      <c r="X89">
        <f>HYPERLINK("https://klasma.github.io/Logging_2083/kartor/A 17645-2022 karta.png", "A 17645-2022")</f>
        <v/>
      </c>
      <c r="Y89">
        <f>HYPERLINK("https://klasma.github.io/Logging_2083/kartor_geotiff/A 17645-2022 georefererad karta.tif", "A 17645-2022")</f>
        <v/>
      </c>
      <c r="AA89">
        <f>HYPERLINK("https://klasma.github.io/Logging_2083/klagomål/A 17645-2022 FSC-klagomål.docx", "A 17645-2022")</f>
        <v/>
      </c>
      <c r="AB89">
        <f>HYPERLINK("https://klasma.github.io/Logging_2083/klagomålsmail/A 17645-2022 FSC-klagomål mail.docx", "A 17645-2022")</f>
        <v/>
      </c>
      <c r="AC89">
        <f>HYPERLINK("https://klasma.github.io/Logging_2083/tillsyn/A 17645-2022 tillsynsbegäran.docx", "A 17645-2022")</f>
        <v/>
      </c>
      <c r="AD89">
        <f>HYPERLINK("https://klasma.github.io/Logging_2083/tillsynsmail/A 17645-2022 tillsynsbegäran mail.docx", "A 17645-2022")</f>
        <v/>
      </c>
    </row>
    <row r="90" ht="15" customHeight="1">
      <c r="A90" t="inlineStr">
        <is>
          <t>A 52941-2024</t>
        </is>
      </c>
      <c r="B90" t="inlineStr">
        <is>
          <t>avverkningsanmälan</t>
        </is>
      </c>
      <c r="C90" t="inlineStr">
        <is>
          <t>Föryngringsavverkning</t>
        </is>
      </c>
      <c r="D90" s="1" t="n">
        <v>45610</v>
      </c>
      <c r="E90" s="1" t="n">
        <v>46306</v>
      </c>
      <c r="F90" t="inlineStr">
        <is>
          <t>DALARNAS LÄN</t>
        </is>
      </c>
      <c r="G90" t="inlineStr">
        <is>
          <t>HEDEMORA</t>
        </is>
      </c>
      <c r="H90" t="inlineStr">
        <is>
          <t>Sveaskog</t>
        </is>
      </c>
      <c r="I90" t="n">
        <v>18.3</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HYPERLINK("https://klasma.github.io/Logging_2083/artfynd/A 52941-2024 artfynd.xlsx", "A 52941-2024")</f>
        <v/>
      </c>
      <c r="X90">
        <f>HYPERLINK("https://klasma.github.io/Logging_2083/kartor/A 52941-2024 karta.png", "A 52941-2024")</f>
        <v/>
      </c>
      <c r="Y90">
        <f>HYPERLINK("https://klasma.github.io/Logging_2083/kartor_geotiff/A 52941-2024 georefererad karta.tif", "A 52941-2024")</f>
        <v/>
      </c>
      <c r="Z90">
        <f>HYPERLINK("https://klasma.github.io/Logging_2083/knärot/A 52941-2024 karta knärot.png", "A 52941-2024")</f>
        <v/>
      </c>
      <c r="AA90">
        <f>HYPERLINK("https://klasma.github.io/Logging_2083/klagomål/A 52941-2024 FSC-klagomål.docx", "A 52941-2024")</f>
        <v/>
      </c>
      <c r="AB90">
        <f>HYPERLINK("https://klasma.github.io/Logging_2083/klagomålsmail/A 52941-2024 FSC-klagomål mail.docx", "A 52941-2024")</f>
        <v/>
      </c>
      <c r="AC90">
        <f>HYPERLINK("https://klasma.github.io/Logging_2083/tillsyn/A 52941-2024 tillsynsbegäran.docx", "A 52941-2024")</f>
        <v/>
      </c>
      <c r="AD90">
        <f>HYPERLINK("https://klasma.github.io/Logging_2083/tillsynsmail/A 52941-2024 tillsynsbegäran mail.docx", "A 52941-2024")</f>
        <v/>
      </c>
    </row>
    <row r="91" ht="15" customHeight="1">
      <c r="A91" t="inlineStr">
        <is>
          <t>A 15058-2025</t>
        </is>
      </c>
      <c r="B91" t="inlineStr">
        <is>
          <t>avverkningsanmälan</t>
        </is>
      </c>
      <c r="C91" t="inlineStr">
        <is>
          <t>Föryngringsavverkning</t>
        </is>
      </c>
      <c r="D91" s="1" t="n">
        <v>45743</v>
      </c>
      <c r="E91" s="1" t="n">
        <v>46306</v>
      </c>
      <c r="F91" t="inlineStr">
        <is>
          <t>DALARNAS LÄN</t>
        </is>
      </c>
      <c r="G91" t="inlineStr">
        <is>
          <t>HEDEMORA</t>
        </is>
      </c>
      <c r="H91" t="inlineStr">
        <is>
          <t>Sveaskog</t>
        </is>
      </c>
      <c r="I91" t="n">
        <v>4.2</v>
      </c>
      <c r="J91" t="n">
        <v>0</v>
      </c>
      <c r="K91" t="n">
        <v>0</v>
      </c>
      <c r="L91" t="n">
        <v>1</v>
      </c>
      <c r="M91" t="n">
        <v>0</v>
      </c>
      <c r="N91" t="n">
        <v>0</v>
      </c>
      <c r="O91" t="n">
        <v>0</v>
      </c>
      <c r="P91" t="n">
        <v>0</v>
      </c>
      <c r="Q91" t="n">
        <v>1</v>
      </c>
      <c r="R91" t="n">
        <v>0</v>
      </c>
      <c r="S91" t="n">
        <v>1</v>
      </c>
      <c r="T91" t="n">
        <v>4</v>
      </c>
      <c r="U91" t="n">
        <v>1</v>
      </c>
      <c r="V91" s="2" t="inlineStr">
        <is>
          <t>Dropptaggsvamp</t>
        </is>
      </c>
      <c r="W91">
        <f>HYPERLINK("https://klasma.github.io/Logging_2083/artfynd/A 15058-2025 artfynd.xlsx", "A 15058-2025")</f>
        <v/>
      </c>
      <c r="X91">
        <f>HYPERLINK("https://klasma.github.io/Logging_2083/kartor/A 15058-2025 karta.png", "A 15058-2025")</f>
        <v/>
      </c>
      <c r="Y91">
        <f>HYPERLINK("https://klasma.github.io/Logging_2083/kartor_geotiff/A 15058-2025 georefererad karta.tif", "A 15058-2025")</f>
        <v/>
      </c>
      <c r="AA91">
        <f>HYPERLINK("https://klasma.github.io/Logging_2083/klagomål/A 15058-2025 FSC-klagomål.docx", "A 15058-2025")</f>
        <v/>
      </c>
      <c r="AB91">
        <f>HYPERLINK("https://klasma.github.io/Logging_2083/klagomålsmail/A 15058-2025 FSC-klagomål mail.docx", "A 15058-2025")</f>
        <v/>
      </c>
      <c r="AC91">
        <f>HYPERLINK("https://klasma.github.io/Logging_2083/tillsyn/A 15058-2025 tillsynsbegäran.docx", "A 15058-2025")</f>
        <v/>
      </c>
      <c r="AD91">
        <f>HYPERLINK("https://klasma.github.io/Logging_2083/tillsynsmail/A 15058-2025 tillsynsbegäran mail.docx", "A 15058-2025")</f>
        <v/>
      </c>
    </row>
    <row r="92" ht="15" customHeight="1">
      <c r="A92" t="inlineStr">
        <is>
          <t>A 15054-2025</t>
        </is>
      </c>
      <c r="B92" t="inlineStr">
        <is>
          <t>avverkningsanmälan</t>
        </is>
      </c>
      <c r="C92" t="inlineStr">
        <is>
          <t>Föryngringsavverkning</t>
        </is>
      </c>
      <c r="D92" s="1" t="n">
        <v>45743</v>
      </c>
      <c r="E92" s="1" t="n">
        <v>46306</v>
      </c>
      <c r="F92" t="inlineStr">
        <is>
          <t>DALARNAS LÄN</t>
        </is>
      </c>
      <c r="G92" t="inlineStr">
        <is>
          <t>HEDEMORA</t>
        </is>
      </c>
      <c r="H92" t="inlineStr">
        <is>
          <t>Sveaskog</t>
        </is>
      </c>
      <c r="I92" t="n">
        <v>5.2</v>
      </c>
      <c r="J92" t="n">
        <v>0</v>
      </c>
      <c r="K92" t="n">
        <v>0</v>
      </c>
      <c r="L92" t="n">
        <v>1</v>
      </c>
      <c r="M92" t="n">
        <v>0</v>
      </c>
      <c r="N92" t="n">
        <v>0</v>
      </c>
      <c r="O92" t="n">
        <v>0</v>
      </c>
      <c r="P92" t="n">
        <v>0</v>
      </c>
      <c r="Q92" t="n">
        <v>1</v>
      </c>
      <c r="R92" t="n">
        <v>0</v>
      </c>
      <c r="S92" t="n">
        <v>1</v>
      </c>
      <c r="T92" t="n">
        <v>1</v>
      </c>
      <c r="U92" t="n">
        <v>0</v>
      </c>
      <c r="V92" s="2" t="inlineStr">
        <is>
          <t>Dropptaggsvamp</t>
        </is>
      </c>
      <c r="W92">
        <f>HYPERLINK("https://klasma.github.io/Logging_2083/artfynd/A 15054-2025 artfynd.xlsx", "A 15054-2025")</f>
        <v/>
      </c>
      <c r="X92">
        <f>HYPERLINK("https://klasma.github.io/Logging_2083/kartor/A 15054-2025 karta.png", "A 15054-2025")</f>
        <v/>
      </c>
      <c r="Y92">
        <f>HYPERLINK("https://klasma.github.io/Logging_2083/kartor_geotiff/A 15054-2025 georefererad karta.tif", "A 15054-2025")</f>
        <v/>
      </c>
      <c r="AA92">
        <f>HYPERLINK("https://klasma.github.io/Logging_2083/klagomål/A 15054-2025 FSC-klagomål.docx", "A 15054-2025")</f>
        <v/>
      </c>
      <c r="AB92">
        <f>HYPERLINK("https://klasma.github.io/Logging_2083/klagomålsmail/A 15054-2025 FSC-klagomål mail.docx", "A 15054-2025")</f>
        <v/>
      </c>
      <c r="AC92">
        <f>HYPERLINK("https://klasma.github.io/Logging_2083/tillsyn/A 15054-2025 tillsynsbegäran.docx", "A 15054-2025")</f>
        <v/>
      </c>
      <c r="AD92">
        <f>HYPERLINK("https://klasma.github.io/Logging_2083/tillsynsmail/A 15054-2025 tillsynsbegäran mail.docx", "A 15054-2025")</f>
        <v/>
      </c>
    </row>
    <row r="93" ht="15" customHeight="1">
      <c r="A93" t="inlineStr">
        <is>
          <t>A 19094-2025</t>
        </is>
      </c>
      <c r="B93" t="inlineStr">
        <is>
          <t>avverkningsanmälan</t>
        </is>
      </c>
      <c r="C93" t="inlineStr">
        <is>
          <t>Föryngringsavverkning</t>
        </is>
      </c>
      <c r="D93" s="1" t="n">
        <v>45767</v>
      </c>
      <c r="E93" s="1" t="n">
        <v>46306</v>
      </c>
      <c r="F93" t="inlineStr">
        <is>
          <t>DALARNAS LÄN</t>
        </is>
      </c>
      <c r="G93" t="inlineStr">
        <is>
          <t>HEDEMORA</t>
        </is>
      </c>
      <c r="H93" t="inlineStr">
        <is>
          <t>Sveaskog</t>
        </is>
      </c>
      <c r="I93" t="n">
        <v>16.9</v>
      </c>
      <c r="J93" t="n">
        <v>1</v>
      </c>
      <c r="K93" t="n">
        <v>1</v>
      </c>
      <c r="L93" t="n">
        <v>0</v>
      </c>
      <c r="M93" t="n">
        <v>0</v>
      </c>
      <c r="N93" t="n">
        <v>0</v>
      </c>
      <c r="O93" t="n">
        <v>0</v>
      </c>
      <c r="P93" t="n">
        <v>0</v>
      </c>
      <c r="Q93" t="n">
        <v>0</v>
      </c>
      <c r="R93" t="n">
        <v>0</v>
      </c>
      <c r="S93" t="n">
        <v>1</v>
      </c>
      <c r="T93" t="n">
        <v>3</v>
      </c>
      <c r="U93" t="n">
        <v>3</v>
      </c>
      <c r="V93" s="2" t="inlineStr">
        <is>
          <t>Plattlummer</t>
        </is>
      </c>
      <c r="W93">
        <f>HYPERLINK("https://klasma.github.io/Logging_2083/artfynd/A 19094-2025 artfynd.xlsx", "A 19094-2025")</f>
        <v/>
      </c>
      <c r="X93">
        <f>HYPERLINK("https://klasma.github.io/Logging_2083/kartor/A 19094-2025 karta.png", "A 19094-2025")</f>
        <v/>
      </c>
      <c r="Y93">
        <f>HYPERLINK("https://klasma.github.io/Logging_2083/kartor_geotiff/A 19094-2025 georefererad karta.tif", "A 19094-2025")</f>
        <v/>
      </c>
      <c r="AA93">
        <f>HYPERLINK("https://klasma.github.io/Logging_2083/klagomål/A 19094-2025 FSC-klagomål.docx", "A 19094-2025")</f>
        <v/>
      </c>
      <c r="AB93">
        <f>HYPERLINK("https://klasma.github.io/Logging_2083/klagomålsmail/A 19094-2025 FSC-klagomål mail.docx", "A 19094-2025")</f>
        <v/>
      </c>
      <c r="AC93">
        <f>HYPERLINK("https://klasma.github.io/Logging_2083/tillsyn/A 19094-2025 tillsynsbegäran.docx", "A 19094-2025")</f>
        <v/>
      </c>
      <c r="AD93">
        <f>HYPERLINK("https://klasma.github.io/Logging_2083/tillsynsmail/A 19094-2025 tillsynsbegäran mail.docx", "A 19094-2025")</f>
        <v/>
      </c>
    </row>
    <row r="94" ht="15" customHeight="1">
      <c r="A94" t="inlineStr">
        <is>
          <t>A 18572-2025</t>
        </is>
      </c>
      <c r="B94" t="inlineStr">
        <is>
          <t>avverkningsanmälan</t>
        </is>
      </c>
      <c r="C94" t="inlineStr">
        <is>
          <t>Avverkning för annat ändamål</t>
        </is>
      </c>
      <c r="D94" s="1" t="n">
        <v>45763</v>
      </c>
      <c r="E94" s="1" t="n">
        <v>46306</v>
      </c>
      <c r="F94" t="inlineStr">
        <is>
          <t>DALARNAS LÄN</t>
        </is>
      </c>
      <c r="G94" t="inlineStr">
        <is>
          <t>HEDEMORA</t>
        </is>
      </c>
      <c r="I94" t="n">
        <v>0.9</v>
      </c>
      <c r="J94" t="n">
        <v>0</v>
      </c>
      <c r="K94" t="n">
        <v>0</v>
      </c>
      <c r="L94" t="n">
        <v>1</v>
      </c>
      <c r="M94" t="n">
        <v>0</v>
      </c>
      <c r="N94" t="n">
        <v>0</v>
      </c>
      <c r="O94" t="n">
        <v>0</v>
      </c>
      <c r="P94" t="n">
        <v>0</v>
      </c>
      <c r="Q94" t="n">
        <v>1</v>
      </c>
      <c r="R94" t="n">
        <v>0</v>
      </c>
      <c r="S94" t="n">
        <v>1</v>
      </c>
      <c r="T94" t="n">
        <v>1</v>
      </c>
      <c r="U94" t="n">
        <v>1</v>
      </c>
      <c r="V94" s="2" t="inlineStr">
        <is>
          <t>Vedskivlav</t>
        </is>
      </c>
      <c r="W94">
        <f>HYPERLINK("https://klasma.github.io/Logging_2083/artfynd/A 18572-2025 artfynd.xlsx", "A 18572-2025")</f>
        <v/>
      </c>
      <c r="X94">
        <f>HYPERLINK("https://klasma.github.io/Logging_2083/kartor/A 18572-2025 karta.png", "A 18572-2025")</f>
        <v/>
      </c>
      <c r="Y94">
        <f>HYPERLINK("https://klasma.github.io/Logging_2083/kartor_geotiff/A 18572-2025 georefererad karta.tif", "A 18572-2025")</f>
        <v/>
      </c>
      <c r="AA94">
        <f>HYPERLINK("https://klasma.github.io/Logging_2083/klagomål/A 18572-2025 FSC-klagomål.docx", "A 18572-2025")</f>
        <v/>
      </c>
      <c r="AB94">
        <f>HYPERLINK("https://klasma.github.io/Logging_2083/klagomålsmail/A 18572-2025 FSC-klagomål mail.docx", "A 18572-2025")</f>
        <v/>
      </c>
      <c r="AC94">
        <f>HYPERLINK("https://klasma.github.io/Logging_2083/tillsyn/A 18572-2025 tillsynsbegäran.docx", "A 18572-2025")</f>
        <v/>
      </c>
      <c r="AD94">
        <f>HYPERLINK("https://klasma.github.io/Logging_2083/tillsynsmail/A 18572-2025 tillsynsbegäran mail.docx", "A 18572-2025")</f>
        <v/>
      </c>
    </row>
    <row r="95" ht="15" customHeight="1">
      <c r="A95" t="inlineStr">
        <is>
          <t>A 53924-2024</t>
        </is>
      </c>
      <c r="B95" t="inlineStr">
        <is>
          <t>avverkningsanmälan</t>
        </is>
      </c>
      <c r="C95" t="inlineStr">
        <is>
          <t>Föryngringsavverkning</t>
        </is>
      </c>
      <c r="D95" s="1" t="n">
        <v>45615</v>
      </c>
      <c r="E95" s="1" t="n">
        <v>46306</v>
      </c>
      <c r="F95" t="inlineStr">
        <is>
          <t>DALARNAS LÄN</t>
        </is>
      </c>
      <c r="G95" t="inlineStr">
        <is>
          <t>HEDEMORA</t>
        </is>
      </c>
      <c r="H95" t="inlineStr">
        <is>
          <t>Sveaskog</t>
        </is>
      </c>
      <c r="I95" t="n">
        <v>3.8</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HYPERLINK("https://klasma.github.io/Logging_2083/artfynd/A 53924-2024 artfynd.xlsx", "A 53924-2024")</f>
        <v/>
      </c>
      <c r="X95">
        <f>HYPERLINK("https://klasma.github.io/Logging_2083/kartor/A 53924-2024 karta.png", "A 53924-2024")</f>
        <v/>
      </c>
      <c r="Y95">
        <f>HYPERLINK("https://klasma.github.io/Logging_2083/kartor_geotiff/A 53924-2024 georefererad karta.tif", "A 53924-2024")</f>
        <v/>
      </c>
      <c r="AA95">
        <f>HYPERLINK("https://klasma.github.io/Logging_2083/klagomål/A 53924-2024 FSC-klagomål.docx", "A 53924-2024")</f>
        <v/>
      </c>
      <c r="AB95">
        <f>HYPERLINK("https://klasma.github.io/Logging_2083/klagomålsmail/A 53924-2024 FSC-klagomål mail.docx", "A 53924-2024")</f>
        <v/>
      </c>
      <c r="AC95">
        <f>HYPERLINK("https://klasma.github.io/Logging_2083/tillsyn/A 53924-2024 tillsynsbegäran.docx", "A 53924-2024")</f>
        <v/>
      </c>
      <c r="AD95">
        <f>HYPERLINK("https://klasma.github.io/Logging_2083/tillsynsmail/A 53924-2024 tillsynsbegäran mail.docx", "A 53924-2024")</f>
        <v/>
      </c>
    </row>
    <row r="96" ht="15" customHeight="1">
      <c r="A96" t="inlineStr">
        <is>
          <t>A 7719-2026</t>
        </is>
      </c>
      <c r="B96" t="inlineStr">
        <is>
          <t>avverkningsanmälan</t>
        </is>
      </c>
      <c r="C96" t="inlineStr">
        <is>
          <t>Föryngringsavverkning</t>
        </is>
      </c>
      <c r="D96" s="1" t="n">
        <v>46062</v>
      </c>
      <c r="E96" s="1" t="n">
        <v>46306</v>
      </c>
      <c r="F96" t="inlineStr">
        <is>
          <t>DALARNAS LÄN</t>
        </is>
      </c>
      <c r="G96" t="inlineStr">
        <is>
          <t>HEDEMORA</t>
        </is>
      </c>
      <c r="I96" t="n">
        <v>1.1</v>
      </c>
      <c r="J96" t="n">
        <v>0</v>
      </c>
      <c r="K96" t="n">
        <v>1</v>
      </c>
      <c r="L96" t="n">
        <v>0</v>
      </c>
      <c r="M96" t="n">
        <v>0</v>
      </c>
      <c r="N96" t="n">
        <v>0</v>
      </c>
      <c r="O96" t="n">
        <v>0</v>
      </c>
      <c r="P96" t="n">
        <v>0</v>
      </c>
      <c r="Q96" t="n">
        <v>0</v>
      </c>
      <c r="R96" t="n">
        <v>0</v>
      </c>
      <c r="S96" t="n">
        <v>1</v>
      </c>
      <c r="T96" t="n">
        <v>1</v>
      </c>
      <c r="U96" t="n">
        <v>0</v>
      </c>
      <c r="V96" s="2" t="inlineStr">
        <is>
          <t>Bronshjon</t>
        </is>
      </c>
      <c r="W96">
        <f>HYPERLINK("https://klasma.github.io/Logging_2083/artfynd/A 7719-2026 artfynd.xlsx", "A 7719-2026")</f>
        <v/>
      </c>
      <c r="X96">
        <f>HYPERLINK("https://klasma.github.io/Logging_2083/kartor/A 7719-2026 karta.png", "A 7719-2026")</f>
        <v/>
      </c>
      <c r="Y96">
        <f>HYPERLINK("https://klasma.github.io/Logging_2083/kartor_geotiff/A 7719-2026 georefererad karta.tif", "A 7719-2026")</f>
        <v/>
      </c>
      <c r="Z96">
        <f>HYPERLINK("https://klasma.github.io/Logging_2083/knärot/A 7719-2026 karta knärot.png", "A 7719-2026")</f>
        <v/>
      </c>
      <c r="AA96">
        <f>HYPERLINK("https://klasma.github.io/Logging_2083/klagomål/A 7719-2026 FSC-klagomål.docx", "A 7719-2026")</f>
        <v/>
      </c>
      <c r="AB96">
        <f>HYPERLINK("https://klasma.github.io/Logging_2083/klagomålsmail/A 7719-2026 FSC-klagomål mail.docx", "A 7719-2026")</f>
        <v/>
      </c>
      <c r="AC96">
        <f>HYPERLINK("https://klasma.github.io/Logging_2083/tillsyn/A 7719-2026 tillsynsbegäran.docx", "A 7719-2026")</f>
        <v/>
      </c>
      <c r="AD96">
        <f>HYPERLINK("https://klasma.github.io/Logging_2083/tillsynsmail/A 7719-2026 tillsynsbegäran mail.docx", "A 7719-2026")</f>
        <v/>
      </c>
    </row>
    <row r="97" ht="15" customHeight="1">
      <c r="A97" t="inlineStr">
        <is>
          <t>A 21514-2024</t>
        </is>
      </c>
      <c r="B97" t="inlineStr">
        <is>
          <t>avverkningsanmälan</t>
        </is>
      </c>
      <c r="C97" t="inlineStr">
        <is>
          <t>Föryngringsavverkning</t>
        </is>
      </c>
      <c r="D97" s="1" t="n">
        <v>45441</v>
      </c>
      <c r="E97" s="1" t="n">
        <v>46306</v>
      </c>
      <c r="F97" t="inlineStr">
        <is>
          <t>DALARNAS LÄN</t>
        </is>
      </c>
      <c r="G97" t="inlineStr">
        <is>
          <t>HEDEMORA</t>
        </is>
      </c>
      <c r="I97" t="n">
        <v>1.5</v>
      </c>
      <c r="J97" t="n">
        <v>0</v>
      </c>
      <c r="K97" t="n">
        <v>0</v>
      </c>
      <c r="L97" t="n">
        <v>0</v>
      </c>
      <c r="M97" t="n">
        <v>1</v>
      </c>
      <c r="N97" t="n">
        <v>0</v>
      </c>
      <c r="O97" t="n">
        <v>0</v>
      </c>
      <c r="P97" t="n">
        <v>0</v>
      </c>
      <c r="Q97" t="n">
        <v>1</v>
      </c>
      <c r="R97" t="n">
        <v>1</v>
      </c>
      <c r="S97" t="n">
        <v>1</v>
      </c>
      <c r="T97" t="n">
        <v>1</v>
      </c>
      <c r="U97" t="n">
        <v>1</v>
      </c>
      <c r="V97" s="2" t="inlineStr">
        <is>
          <t>Igelkott</t>
        </is>
      </c>
      <c r="W97">
        <f>HYPERLINK("https://klasma.github.io/Logging_2083/artfynd/A 21514-2024 artfynd.xlsx", "A 21514-2024")</f>
        <v/>
      </c>
      <c r="X97">
        <f>HYPERLINK("https://klasma.github.io/Logging_2083/kartor/A 21514-2024 karta.png", "A 21514-2024")</f>
        <v/>
      </c>
      <c r="Y97">
        <f>HYPERLINK("https://klasma.github.io/Logging_2083/kartor_geotiff/A 21514-2024 georefererad karta.tif", "A 21514-2024")</f>
        <v/>
      </c>
      <c r="AA97">
        <f>HYPERLINK("https://klasma.github.io/Logging_2083/klagomål/A 21514-2024 FSC-klagomål.docx", "A 21514-2024")</f>
        <v/>
      </c>
      <c r="AB97">
        <f>HYPERLINK("https://klasma.github.io/Logging_2083/klagomålsmail/A 21514-2024 FSC-klagomål mail.docx", "A 21514-2024")</f>
        <v/>
      </c>
      <c r="AC97">
        <f>HYPERLINK("https://klasma.github.io/Logging_2083/tillsyn/A 21514-2024 tillsynsbegäran.docx", "A 21514-2024")</f>
        <v/>
      </c>
      <c r="AD97">
        <f>HYPERLINK("https://klasma.github.io/Logging_2083/tillsynsmail/A 21514-2024 tillsynsbegäran mail.docx", "A 21514-2024")</f>
        <v/>
      </c>
    </row>
    <row r="98" ht="15" customHeight="1">
      <c r="A98" t="inlineStr">
        <is>
          <t>A 13986-2023</t>
        </is>
      </c>
      <c r="B98" t="inlineStr">
        <is>
          <t>avverkningsanmälan</t>
        </is>
      </c>
      <c r="C98" t="inlineStr">
        <is>
          <t>Föryngringsavverkning</t>
        </is>
      </c>
      <c r="D98" s="1" t="n">
        <v>45008</v>
      </c>
      <c r="E98" s="1" t="n">
        <v>46306</v>
      </c>
      <c r="F98" t="inlineStr">
        <is>
          <t>DALARNAS LÄN</t>
        </is>
      </c>
      <c r="G98" t="inlineStr">
        <is>
          <t>HEDEMORA</t>
        </is>
      </c>
      <c r="I98" t="n">
        <v>0.8</v>
      </c>
      <c r="J98" t="n">
        <v>1</v>
      </c>
      <c r="K98" t="n">
        <v>0</v>
      </c>
      <c r="L98" t="n">
        <v>0</v>
      </c>
      <c r="M98" t="n">
        <v>1</v>
      </c>
      <c r="N98" t="n">
        <v>0</v>
      </c>
      <c r="O98" t="n">
        <v>0</v>
      </c>
      <c r="P98" t="n">
        <v>0</v>
      </c>
      <c r="Q98" t="n">
        <v>1</v>
      </c>
      <c r="R98" t="n">
        <v>1</v>
      </c>
      <c r="S98" t="n">
        <v>1</v>
      </c>
      <c r="T98" t="n">
        <v>1</v>
      </c>
      <c r="U98" t="n">
        <v>1</v>
      </c>
      <c r="V98" s="2" t="inlineStr">
        <is>
          <t>Knärot</t>
        </is>
      </c>
      <c r="W98">
        <f>HYPERLINK("https://klasma.github.io/Logging_2083/artfynd/A 13986-2023 artfynd.xlsx", "A 13986-2023")</f>
        <v/>
      </c>
      <c r="X98">
        <f>HYPERLINK("https://klasma.github.io/Logging_2083/kartor/A 13986-2023 karta.png", "A 13986-2023")</f>
        <v/>
      </c>
      <c r="Y98">
        <f>HYPERLINK("https://klasma.github.io/Logging_2083/kartor_geotiff/A 13986-2023 georefererad karta.tif", "A 13986-2023")</f>
        <v/>
      </c>
      <c r="Z98">
        <f>HYPERLINK("https://klasma.github.io/Logging_2083/knärot/A 13986-2023 karta knärot.png", "A 13986-2023")</f>
        <v/>
      </c>
      <c r="AA98">
        <f>HYPERLINK("https://klasma.github.io/Logging_2083/klagomål/A 13986-2023 FSC-klagomål.docx", "A 13986-2023")</f>
        <v/>
      </c>
      <c r="AB98">
        <f>HYPERLINK("https://klasma.github.io/Logging_2083/klagomålsmail/A 13986-2023 FSC-klagomål mail.docx", "A 13986-2023")</f>
        <v/>
      </c>
      <c r="AC98">
        <f>HYPERLINK("https://klasma.github.io/Logging_2083/tillsyn/A 13986-2023 tillsynsbegäran.docx", "A 13986-2023")</f>
        <v/>
      </c>
      <c r="AD98">
        <f>HYPERLINK("https://klasma.github.io/Logging_2083/tillsynsmail/A 13986-2023 tillsynsbegäran mail.docx", "A 13986-2023")</f>
        <v/>
      </c>
    </row>
    <row r="99" ht="15" customHeight="1">
      <c r="A99" t="inlineStr">
        <is>
          <t>A 15274-2026</t>
        </is>
      </c>
      <c r="B99" t="inlineStr">
        <is>
          <t>avverkningsanmälan</t>
        </is>
      </c>
      <c r="C99" t="inlineStr">
        <is>
          <t>Föryngringsavverkning</t>
        </is>
      </c>
      <c r="D99" s="1" t="n">
        <v>46105</v>
      </c>
      <c r="E99" s="1" t="n">
        <v>46306</v>
      </c>
      <c r="F99" t="inlineStr">
        <is>
          <t>DALARNAS LÄN</t>
        </is>
      </c>
      <c r="G99" t="inlineStr">
        <is>
          <t>HEDEMORA</t>
        </is>
      </c>
      <c r="H99" t="inlineStr">
        <is>
          <t>Övriga Aktiebolag</t>
        </is>
      </c>
      <c r="I99" t="n">
        <v>1.9</v>
      </c>
      <c r="J99" t="n">
        <v>0</v>
      </c>
      <c r="K99" t="n">
        <v>0</v>
      </c>
      <c r="L99" t="n">
        <v>1</v>
      </c>
      <c r="M99" t="n">
        <v>0</v>
      </c>
      <c r="N99" t="n">
        <v>0</v>
      </c>
      <c r="O99" t="n">
        <v>0</v>
      </c>
      <c r="P99" t="n">
        <v>0</v>
      </c>
      <c r="Q99" t="n">
        <v>1</v>
      </c>
      <c r="R99" t="n">
        <v>0</v>
      </c>
      <c r="S99" t="n">
        <v>1</v>
      </c>
      <c r="T99" t="n">
        <v>1</v>
      </c>
      <c r="U99" t="n">
        <v>1</v>
      </c>
      <c r="V99" s="2" t="inlineStr">
        <is>
          <t>Ullticka</t>
        </is>
      </c>
      <c r="W99">
        <f>HYPERLINK("https://klasma.github.io/Logging_2083/artfynd/A 15274-2026 artfynd.xlsx", "A 15274-2026")</f>
        <v/>
      </c>
      <c r="X99">
        <f>HYPERLINK("https://klasma.github.io/Logging_2083/kartor/A 15274-2026 karta.png", "A 15274-2026")</f>
        <v/>
      </c>
      <c r="Y99">
        <f>HYPERLINK("https://klasma.github.io/Logging_2083/kartor_geotiff/A 15274-2026 georefererad karta.tif", "A 15274-2026")</f>
        <v/>
      </c>
      <c r="AA99">
        <f>HYPERLINK("https://klasma.github.io/Logging_2083/klagomål/A 15274-2026 FSC-klagomål.docx", "A 15274-2026")</f>
        <v/>
      </c>
      <c r="AB99">
        <f>HYPERLINK("https://klasma.github.io/Logging_2083/klagomålsmail/A 15274-2026 FSC-klagomål mail.docx", "A 15274-2026")</f>
        <v/>
      </c>
      <c r="AC99">
        <f>HYPERLINK("https://klasma.github.io/Logging_2083/tillsyn/A 15274-2026 tillsynsbegäran.docx", "A 15274-2026")</f>
        <v/>
      </c>
      <c r="AD99">
        <f>HYPERLINK("https://klasma.github.io/Logging_2083/tillsynsmail/A 15274-2026 tillsynsbegäran mail.docx", "A 15274-2026")</f>
        <v/>
      </c>
    </row>
    <row r="100" ht="15" customHeight="1">
      <c r="A100" t="inlineStr">
        <is>
          <t>A 23642-2026</t>
        </is>
      </c>
      <c r="B100" t="inlineStr">
        <is>
          <t>avverkningsanmälan</t>
        </is>
      </c>
      <c r="C100" t="inlineStr">
        <is>
          <t>Föryngringsavverkning</t>
        </is>
      </c>
      <c r="D100" s="1" t="n">
        <v>46164</v>
      </c>
      <c r="E100" s="1" t="n">
        <v>46306</v>
      </c>
      <c r="F100" t="inlineStr">
        <is>
          <t>DALARNAS LÄN</t>
        </is>
      </c>
      <c r="G100" t="inlineStr">
        <is>
          <t>HEDEMORA</t>
        </is>
      </c>
      <c r="H100" t="inlineStr">
        <is>
          <t>Sveaskog</t>
        </is>
      </c>
      <c r="I100" t="n">
        <v>6.3</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HYPERLINK("https://klasma.github.io/Logging_2083/artfynd/A 23642-2026 artfynd.xlsx", "A 23642-2026")</f>
        <v/>
      </c>
      <c r="X100">
        <f>HYPERLINK("https://klasma.github.io/Logging_2083/kartor/A 23642-2026 karta.png", "A 23642-2026")</f>
        <v/>
      </c>
      <c r="Y100">
        <f>HYPERLINK("https://klasma.github.io/Logging_2083/kartor_geotiff/A 23642-2026 georefererad karta.tif", "A 23642-2026")</f>
        <v/>
      </c>
      <c r="AA100">
        <f>HYPERLINK("https://klasma.github.io/Logging_2083/klagomål/A 23642-2026 FSC-klagomål.docx", "A 23642-2026")</f>
        <v/>
      </c>
      <c r="AB100">
        <f>HYPERLINK("https://klasma.github.io/Logging_2083/klagomålsmail/A 23642-2026 FSC-klagomål mail.docx", "A 23642-2026")</f>
        <v/>
      </c>
      <c r="AC100">
        <f>HYPERLINK("https://klasma.github.io/Logging_2083/tillsyn/A 23642-2026 tillsynsbegäran.docx", "A 23642-2026")</f>
        <v/>
      </c>
      <c r="AD100">
        <f>HYPERLINK("https://klasma.github.io/Logging_2083/tillsynsmail/A 23642-2026 tillsynsbegäran mail.docx", "A 23642-2026")</f>
        <v/>
      </c>
    </row>
    <row r="101" ht="15" customHeight="1">
      <c r="A101" t="inlineStr">
        <is>
          <t>A 25422-2026</t>
        </is>
      </c>
      <c r="B101" t="inlineStr">
        <is>
          <t>avverkningsanmälan</t>
        </is>
      </c>
      <c r="C101" t="inlineStr">
        <is>
          <t>Föryngringsavverkning</t>
        </is>
      </c>
      <c r="D101" s="1" t="n">
        <v>46177</v>
      </c>
      <c r="E101" s="1" t="n">
        <v>46306</v>
      </c>
      <c r="F101" t="inlineStr">
        <is>
          <t>DALARNAS LÄN</t>
        </is>
      </c>
      <c r="G101" t="inlineStr">
        <is>
          <t>HEDEMORA</t>
        </is>
      </c>
      <c r="H101" t="inlineStr">
        <is>
          <t>Sveaskog</t>
        </is>
      </c>
      <c r="I101" t="n">
        <v>0.8</v>
      </c>
      <c r="J101" t="n">
        <v>0</v>
      </c>
      <c r="K101" t="n">
        <v>0</v>
      </c>
      <c r="L101" t="n">
        <v>1</v>
      </c>
      <c r="M101" t="n">
        <v>0</v>
      </c>
      <c r="N101" t="n">
        <v>0</v>
      </c>
      <c r="O101" t="n">
        <v>0</v>
      </c>
      <c r="P101" t="n">
        <v>0</v>
      </c>
      <c r="Q101" t="n">
        <v>1</v>
      </c>
      <c r="R101" t="n">
        <v>0</v>
      </c>
      <c r="S101" t="n">
        <v>1</v>
      </c>
      <c r="T101" t="n">
        <v>1</v>
      </c>
      <c r="U101" t="n">
        <v>1</v>
      </c>
      <c r="V101" s="2" t="inlineStr">
        <is>
          <t>Tallticka</t>
        </is>
      </c>
      <c r="W101">
        <f>HYPERLINK("https://klasma.github.io/Logging_2083/artfynd/A 25422-2026 artfynd.xlsx", "A 25422-2026")</f>
        <v/>
      </c>
      <c r="X101">
        <f>HYPERLINK("https://klasma.github.io/Logging_2083/kartor/A 25422-2026 karta.png", "A 25422-2026")</f>
        <v/>
      </c>
      <c r="Y101">
        <f>HYPERLINK("https://klasma.github.io/Logging_2083/kartor_geotiff/A 25422-2026 georefererad karta.tif", "A 25422-2026")</f>
        <v/>
      </c>
      <c r="AA101">
        <f>HYPERLINK("https://klasma.github.io/Logging_2083/klagomål/A 25422-2026 FSC-klagomål.docx", "A 25422-2026")</f>
        <v/>
      </c>
      <c r="AB101">
        <f>HYPERLINK("https://klasma.github.io/Logging_2083/klagomålsmail/A 25422-2026 FSC-klagomål mail.docx", "A 25422-2026")</f>
        <v/>
      </c>
      <c r="AC101">
        <f>HYPERLINK("https://klasma.github.io/Logging_2083/tillsyn/A 25422-2026 tillsynsbegäran.docx", "A 25422-2026")</f>
        <v/>
      </c>
      <c r="AD101">
        <f>HYPERLINK("https://klasma.github.io/Logging_2083/tillsynsmail/A 25422-2026 tillsynsbegäran mail.docx", "A 25422-2026")</f>
        <v/>
      </c>
    </row>
    <row r="102" ht="15" customHeight="1">
      <c r="A102" t="inlineStr">
        <is>
          <t>A 48381-2025</t>
        </is>
      </c>
      <c r="B102" t="inlineStr">
        <is>
          <t>avverkningsanmälan</t>
        </is>
      </c>
      <c r="C102" t="inlineStr">
        <is>
          <t>Föryngringsavverkning</t>
        </is>
      </c>
      <c r="D102" s="1" t="n">
        <v>45933</v>
      </c>
      <c r="E102" s="1" t="n">
        <v>46306</v>
      </c>
      <c r="F102" t="inlineStr">
        <is>
          <t>DALARNAS LÄN</t>
        </is>
      </c>
      <c r="G102" t="inlineStr">
        <is>
          <t>HEDEMORA</t>
        </is>
      </c>
      <c r="H102" t="inlineStr">
        <is>
          <t>Sveaskog</t>
        </is>
      </c>
      <c r="I102" t="n">
        <v>6.3</v>
      </c>
      <c r="J102" t="n">
        <v>0</v>
      </c>
      <c r="K102" t="n">
        <v>0</v>
      </c>
      <c r="L102" t="n">
        <v>1</v>
      </c>
      <c r="M102" t="n">
        <v>0</v>
      </c>
      <c r="N102" t="n">
        <v>0</v>
      </c>
      <c r="O102" t="n">
        <v>0</v>
      </c>
      <c r="P102" t="n">
        <v>0</v>
      </c>
      <c r="Q102" t="n">
        <v>1</v>
      </c>
      <c r="R102" t="n">
        <v>0</v>
      </c>
      <c r="S102" t="n">
        <v>1</v>
      </c>
      <c r="T102" t="n">
        <v>1</v>
      </c>
      <c r="U102" t="n">
        <v>1</v>
      </c>
      <c r="V102" s="2" t="inlineStr">
        <is>
          <t>Rynkskinn</t>
        </is>
      </c>
      <c r="W102">
        <f>HYPERLINK("https://klasma.github.io/Logging_2083/artfynd/A 48381-2025 artfynd.xlsx", "A 48381-2025")</f>
        <v/>
      </c>
      <c r="X102">
        <f>HYPERLINK("https://klasma.github.io/Logging_2083/kartor/A 48381-2025 karta.png", "A 48381-2025")</f>
        <v/>
      </c>
      <c r="Y102">
        <f>HYPERLINK("https://klasma.github.io/Logging_2083/kartor_geotiff/A 48381-2025 georefererad karta.tif", "A 48381-2025")</f>
        <v/>
      </c>
      <c r="AA102">
        <f>HYPERLINK("https://klasma.github.io/Logging_2083/klagomål/A 48381-2025 FSC-klagomål.docx", "A 48381-2025")</f>
        <v/>
      </c>
      <c r="AB102">
        <f>HYPERLINK("https://klasma.github.io/Logging_2083/klagomålsmail/A 48381-2025 FSC-klagomål mail.docx", "A 48381-2025")</f>
        <v/>
      </c>
      <c r="AC102">
        <f>HYPERLINK("https://klasma.github.io/Logging_2083/tillsyn/A 48381-2025 tillsynsbegäran.docx", "A 48381-2025")</f>
        <v/>
      </c>
      <c r="AD102">
        <f>HYPERLINK("https://klasma.github.io/Logging_2083/tillsynsmail/A 48381-2025 tillsynsbegäran mail.docx", "A 48381-2025")</f>
        <v/>
      </c>
    </row>
    <row r="103" ht="15" customHeight="1">
      <c r="A103" t="inlineStr">
        <is>
          <t>A 29640-2026</t>
        </is>
      </c>
      <c r="B103" t="inlineStr">
        <is>
          <t>avverkningsanmälan</t>
        </is>
      </c>
      <c r="C103" t="inlineStr">
        <is>
          <t>Föryngringsavverkning</t>
        </is>
      </c>
      <c r="D103" s="1" t="n">
        <v>46204</v>
      </c>
      <c r="E103" s="1" t="n">
        <v>46306</v>
      </c>
      <c r="F103" t="inlineStr">
        <is>
          <t>DALARNAS LÄN</t>
        </is>
      </c>
      <c r="G103" t="inlineStr">
        <is>
          <t>HEDEMORA</t>
        </is>
      </c>
      <c r="I103" t="n">
        <v>1.2</v>
      </c>
      <c r="J103" t="n">
        <v>1</v>
      </c>
      <c r="K103" t="n">
        <v>0</v>
      </c>
      <c r="L103" t="n">
        <v>0</v>
      </c>
      <c r="M103" t="n">
        <v>1</v>
      </c>
      <c r="N103" t="n">
        <v>0</v>
      </c>
      <c r="O103" t="n">
        <v>0</v>
      </c>
      <c r="P103" t="n">
        <v>0</v>
      </c>
      <c r="Q103" t="n">
        <v>1</v>
      </c>
      <c r="R103" t="n">
        <v>1</v>
      </c>
      <c r="S103" t="n">
        <v>1</v>
      </c>
      <c r="T103" t="n">
        <v>7</v>
      </c>
      <c r="U103" t="n">
        <v>0</v>
      </c>
      <c r="V103" s="2" t="inlineStr">
        <is>
          <t>Knärot</t>
        </is>
      </c>
      <c r="W103">
        <f>HYPERLINK("https://klasma.github.io/Logging_2083/artfynd/A 29640-2026 artfynd.xlsx", "A 29640-2026")</f>
        <v/>
      </c>
      <c r="X103">
        <f>HYPERLINK("https://klasma.github.io/Logging_2083/kartor/A 29640-2026 karta.png", "A 29640-2026")</f>
        <v/>
      </c>
      <c r="Y103">
        <f>HYPERLINK("https://klasma.github.io/Logging_2083/kartor_geotiff/A 29640-2026 georefererad karta.tif", "A 29640-2026")</f>
        <v/>
      </c>
      <c r="Z103">
        <f>HYPERLINK("https://klasma.github.io/Logging_2083/knärot/A 29640-2026 karta knärot.png", "A 29640-2026")</f>
        <v/>
      </c>
      <c r="AA103">
        <f>HYPERLINK("https://klasma.github.io/Logging_2083/klagomål/A 29640-2026 FSC-klagomål.docx", "A 29640-2026")</f>
        <v/>
      </c>
      <c r="AB103">
        <f>HYPERLINK("https://klasma.github.io/Logging_2083/klagomålsmail/A 29640-2026 FSC-klagomål mail.docx", "A 29640-2026")</f>
        <v/>
      </c>
      <c r="AC103">
        <f>HYPERLINK("https://klasma.github.io/Logging_2083/tillsyn/A 29640-2026 tillsynsbegäran.docx", "A 29640-2026")</f>
        <v/>
      </c>
      <c r="AD103">
        <f>HYPERLINK("https://klasma.github.io/Logging_2083/tillsynsmail/A 29640-2026 tillsynsbegäran mail.docx", "A 29640-2026")</f>
        <v/>
      </c>
    </row>
    <row r="104" ht="15" customHeight="1">
      <c r="A104" t="inlineStr">
        <is>
          <t>A 30879-2026</t>
        </is>
      </c>
      <c r="B104" t="inlineStr">
        <is>
          <t>avverkningsanmälan</t>
        </is>
      </c>
      <c r="C104" t="inlineStr">
        <is>
          <t>Föryngringsavverkning</t>
        </is>
      </c>
      <c r="D104" s="1" t="n">
        <v>46212</v>
      </c>
      <c r="E104" s="1" t="n">
        <v>46306</v>
      </c>
      <c r="F104" t="inlineStr">
        <is>
          <t>DALARNAS LÄN</t>
        </is>
      </c>
      <c r="G104" t="inlineStr">
        <is>
          <t>HEDEMORA</t>
        </is>
      </c>
      <c r="H104" t="inlineStr">
        <is>
          <t>Sveaskog</t>
        </is>
      </c>
      <c r="I104" t="n">
        <v>0.8</v>
      </c>
      <c r="J104" t="n">
        <v>0</v>
      </c>
      <c r="K104" t="n">
        <v>0</v>
      </c>
      <c r="L104" t="n">
        <v>1</v>
      </c>
      <c r="M104" t="n">
        <v>0</v>
      </c>
      <c r="N104" t="n">
        <v>0</v>
      </c>
      <c r="O104" t="n">
        <v>0</v>
      </c>
      <c r="P104" t="n">
        <v>0</v>
      </c>
      <c r="Q104" t="n">
        <v>1</v>
      </c>
      <c r="R104" t="n">
        <v>0</v>
      </c>
      <c r="S104" t="n">
        <v>1</v>
      </c>
      <c r="T104" t="n">
        <v>1</v>
      </c>
      <c r="U104" t="n">
        <v>1</v>
      </c>
      <c r="V104" s="2" t="inlineStr">
        <is>
          <t>Tallticka</t>
        </is>
      </c>
      <c r="W104">
        <f>HYPERLINK("https://klasma.github.io/Logging_2083/artfynd/A 30879-2026 artfynd.xlsx", "A 30879-2026")</f>
        <v/>
      </c>
      <c r="X104">
        <f>HYPERLINK("https://klasma.github.io/Logging_2083/kartor/A 30879-2026 karta.png", "A 30879-2026")</f>
        <v/>
      </c>
      <c r="Y104">
        <f>HYPERLINK("https://klasma.github.io/Logging_2083/kartor_geotiff/A 30879-2026 georefererad karta.tif", "A 30879-2026")</f>
        <v/>
      </c>
      <c r="AA104">
        <f>HYPERLINK("https://klasma.github.io/Logging_2083/klagomål/A 30879-2026 FSC-klagomål.docx", "A 30879-2026")</f>
        <v/>
      </c>
      <c r="AB104">
        <f>HYPERLINK("https://klasma.github.io/Logging_2083/klagomålsmail/A 30879-2026 FSC-klagomål mail.docx", "A 30879-2026")</f>
        <v/>
      </c>
      <c r="AC104">
        <f>HYPERLINK("https://klasma.github.io/Logging_2083/tillsyn/A 30879-2026 tillsynsbegäran.docx", "A 30879-2026")</f>
        <v/>
      </c>
      <c r="AD104">
        <f>HYPERLINK("https://klasma.github.io/Logging_2083/tillsynsmail/A 30879-2026 tillsynsbegäran mail.docx", "A 30879-2026")</f>
        <v/>
      </c>
    </row>
    <row r="105" ht="15" customHeight="1">
      <c r="A105" t="inlineStr">
        <is>
          <t>A 31023-2026</t>
        </is>
      </c>
      <c r="B105" t="inlineStr">
        <is>
          <t>avverkningsanmälan</t>
        </is>
      </c>
      <c r="C105" t="inlineStr">
        <is>
          <t>Föryngringsavverkning</t>
        </is>
      </c>
      <c r="D105" s="1" t="n">
        <v>46213</v>
      </c>
      <c r="E105" s="1" t="n">
        <v>46306</v>
      </c>
      <c r="F105" t="inlineStr">
        <is>
          <t>DALARNAS LÄN</t>
        </is>
      </c>
      <c r="G105" t="inlineStr">
        <is>
          <t>HEDEMORA</t>
        </is>
      </c>
      <c r="I105" t="n">
        <v>1.8</v>
      </c>
      <c r="J105" t="n">
        <v>1</v>
      </c>
      <c r="K105" t="n">
        <v>0</v>
      </c>
      <c r="L105" t="n">
        <v>0</v>
      </c>
      <c r="M105" t="n">
        <v>1</v>
      </c>
      <c r="N105" t="n">
        <v>0</v>
      </c>
      <c r="O105" t="n">
        <v>0</v>
      </c>
      <c r="P105" t="n">
        <v>0</v>
      </c>
      <c r="Q105" t="n">
        <v>1</v>
      </c>
      <c r="R105" t="n">
        <v>1</v>
      </c>
      <c r="S105" t="n">
        <v>1</v>
      </c>
      <c r="T105" t="n">
        <v>4</v>
      </c>
      <c r="U105" t="n">
        <v>0</v>
      </c>
      <c r="V105" s="2" t="inlineStr">
        <is>
          <t>Knärot</t>
        </is>
      </c>
      <c r="W105">
        <f>HYPERLINK("https://klasma.github.io/Logging_2083/artfynd/A 31023-2026 artfynd.xlsx", "A 31023-2026")</f>
        <v/>
      </c>
      <c r="X105">
        <f>HYPERLINK("https://klasma.github.io/Logging_2083/kartor/A 31023-2026 karta.png", "A 31023-2026")</f>
        <v/>
      </c>
      <c r="Y105">
        <f>HYPERLINK("https://klasma.github.io/Logging_2083/kartor_geotiff/A 31023-2026 georefererad karta.tif", "A 31023-2026")</f>
        <v/>
      </c>
      <c r="Z105">
        <f>HYPERLINK("https://klasma.github.io/Logging_2083/knärot/A 31023-2026 karta knärot.png", "A 31023-2026")</f>
        <v/>
      </c>
      <c r="AA105">
        <f>HYPERLINK("https://klasma.github.io/Logging_2083/klagomål/A 31023-2026 FSC-klagomål.docx", "A 31023-2026")</f>
        <v/>
      </c>
      <c r="AB105">
        <f>HYPERLINK("https://klasma.github.io/Logging_2083/klagomålsmail/A 31023-2026 FSC-klagomål mail.docx", "A 31023-2026")</f>
        <v/>
      </c>
      <c r="AC105">
        <f>HYPERLINK("https://klasma.github.io/Logging_2083/tillsyn/A 31023-2026 tillsynsbegäran.docx", "A 31023-2026")</f>
        <v/>
      </c>
      <c r="AD105">
        <f>HYPERLINK("https://klasma.github.io/Logging_2083/tillsynsmail/A 31023-2026 tillsynsbegäran mail.docx", "A 31023-2026")</f>
        <v/>
      </c>
    </row>
    <row r="106" ht="15" customHeight="1">
      <c r="A106" t="inlineStr">
        <is>
          <t>A 35964-2026</t>
        </is>
      </c>
      <c r="B106" t="inlineStr">
        <is>
          <t>avverkningsanmälan</t>
        </is>
      </c>
      <c r="C106" t="inlineStr">
        <is>
          <t>Föryngringsavverkning</t>
        </is>
      </c>
      <c r="D106" s="1" t="n">
        <v>46266</v>
      </c>
      <c r="E106" s="1" t="n">
        <v>46306</v>
      </c>
      <c r="F106" t="inlineStr">
        <is>
          <t>DALARNAS LÄN</t>
        </is>
      </c>
      <c r="G106" t="inlineStr">
        <is>
          <t>HEDEMORA</t>
        </is>
      </c>
      <c r="H106" t="inlineStr">
        <is>
          <t>Sveaskog</t>
        </is>
      </c>
      <c r="I106" t="n">
        <v>1.6</v>
      </c>
      <c r="J106" t="n">
        <v>0</v>
      </c>
      <c r="K106" t="n">
        <v>0</v>
      </c>
      <c r="L106" t="n">
        <v>0</v>
      </c>
      <c r="M106" t="n">
        <v>0</v>
      </c>
      <c r="N106" t="n">
        <v>0</v>
      </c>
      <c r="O106" t="n">
        <v>0</v>
      </c>
      <c r="P106" t="n">
        <v>0</v>
      </c>
      <c r="Q106" t="n">
        <v>0</v>
      </c>
      <c r="R106" t="n">
        <v>0</v>
      </c>
      <c r="S106" t="n">
        <v>1</v>
      </c>
      <c r="T106" t="n">
        <v>1</v>
      </c>
      <c r="U106" t="n">
        <v>1</v>
      </c>
      <c r="V106" s="2" t="inlineStr">
        <is>
          <t>Kransmossa</t>
        </is>
      </c>
      <c r="W106">
        <f>HYPERLINK("https://klasma.github.io/Logging_2083/artfynd/A 35964-2026 artfynd.xlsx", "A 35964-2026")</f>
        <v/>
      </c>
      <c r="X106">
        <f>HYPERLINK("https://klasma.github.io/Logging_2083/kartor/A 35964-2026 karta.png", "A 35964-2026")</f>
        <v/>
      </c>
      <c r="Y106">
        <f>HYPERLINK("https://klasma.github.io/Logging_2083/kartor_geotiff/A 35964-2026 georefererad karta.tif", "A 35964-2026")</f>
        <v/>
      </c>
      <c r="AA106">
        <f>HYPERLINK("https://klasma.github.io/Logging_2083/klagomål/A 35964-2026 FSC-klagomål.docx", "A 35964-2026")</f>
        <v/>
      </c>
      <c r="AB106">
        <f>HYPERLINK("https://klasma.github.io/Logging_2083/klagomålsmail/A 35964-2026 FSC-klagomål mail.docx", "A 35964-2026")</f>
        <v/>
      </c>
      <c r="AC106">
        <f>HYPERLINK("https://klasma.github.io/Logging_2083/tillsyn/A 35964-2026 tillsynsbegäran.docx", "A 35964-2026")</f>
        <v/>
      </c>
      <c r="AD106">
        <f>HYPERLINK("https://klasma.github.io/Logging_2083/tillsynsmail/A 35964-2026 tillsynsbegäran mail.docx", "A 35964-2026")</f>
        <v/>
      </c>
    </row>
    <row r="107" ht="15" customHeight="1">
      <c r="A107" t="inlineStr">
        <is>
          <t>A 33046-2026</t>
        </is>
      </c>
      <c r="B107" t="inlineStr">
        <is>
          <t>avverkningsanmälan</t>
        </is>
      </c>
      <c r="C107" t="inlineStr">
        <is>
          <t>Föryngringsavverkning</t>
        </is>
      </c>
      <c r="D107" s="1" t="n">
        <v>46245</v>
      </c>
      <c r="E107" s="1" t="n">
        <v>46306</v>
      </c>
      <c r="F107" t="inlineStr">
        <is>
          <t>DALARNAS LÄN</t>
        </is>
      </c>
      <c r="G107" t="inlineStr">
        <is>
          <t>HEDEMORA</t>
        </is>
      </c>
      <c r="H107" t="inlineStr">
        <is>
          <t>Sveaskog</t>
        </is>
      </c>
      <c r="I107" t="n">
        <v>7.8</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HYPERLINK("https://klasma.github.io/Logging_2083/artfynd/A 33046-2026 artfynd.xlsx", "A 33046-2026")</f>
        <v/>
      </c>
      <c r="X107">
        <f>HYPERLINK("https://klasma.github.io/Logging_2083/kartor/A 33046-2026 karta.png", "A 33046-2026")</f>
        <v/>
      </c>
      <c r="Y107">
        <f>HYPERLINK("https://klasma.github.io/Logging_2083/kartor_geotiff/A 33046-2026 georefererad karta.tif", "A 33046-2026")</f>
        <v/>
      </c>
      <c r="AA107">
        <f>HYPERLINK("https://klasma.github.io/Logging_2083/klagomål/A 33046-2026 FSC-klagomål.docx", "A 33046-2026")</f>
        <v/>
      </c>
      <c r="AB107">
        <f>HYPERLINK("https://klasma.github.io/Logging_2083/klagomålsmail/A 33046-2026 FSC-klagomål mail.docx", "A 33046-2026")</f>
        <v/>
      </c>
      <c r="AC107">
        <f>HYPERLINK("https://klasma.github.io/Logging_2083/tillsyn/A 33046-2026 tillsynsbegäran.docx", "A 33046-2026")</f>
        <v/>
      </c>
      <c r="AD107">
        <f>HYPERLINK("https://klasma.github.io/Logging_2083/tillsynsmail/A 33046-2026 tillsynsbegäran mail.docx", "A 33046-2026")</f>
        <v/>
      </c>
    </row>
    <row r="108" ht="15" customHeight="1">
      <c r="A108" t="inlineStr">
        <is>
          <t>A 40692-2026</t>
        </is>
      </c>
      <c r="B108" t="inlineStr">
        <is>
          <t>avverkningsanmälan</t>
        </is>
      </c>
      <c r="C108" t="inlineStr">
        <is>
          <t>Föryngringsavverkning</t>
        </is>
      </c>
      <c r="D108" s="1" t="n">
        <v>46296</v>
      </c>
      <c r="E108" s="1" t="n">
        <v>46306</v>
      </c>
      <c r="F108" t="inlineStr">
        <is>
          <t>DALARNAS LÄN</t>
        </is>
      </c>
      <c r="G108" t="inlineStr">
        <is>
          <t>HEDEMORA</t>
        </is>
      </c>
      <c r="H108" t="inlineStr">
        <is>
          <t>Sveaskog</t>
        </is>
      </c>
      <c r="I108" t="n">
        <v>1</v>
      </c>
      <c r="J108" t="n">
        <v>1</v>
      </c>
      <c r="K108" t="n">
        <v>1</v>
      </c>
      <c r="L108" t="n">
        <v>0</v>
      </c>
      <c r="M108" t="n">
        <v>0</v>
      </c>
      <c r="N108" t="n">
        <v>0</v>
      </c>
      <c r="O108" t="n">
        <v>0</v>
      </c>
      <c r="P108" t="n">
        <v>0</v>
      </c>
      <c r="Q108" t="n">
        <v>0</v>
      </c>
      <c r="R108" t="n">
        <v>0</v>
      </c>
      <c r="S108" t="n">
        <v>1</v>
      </c>
      <c r="T108" t="n">
        <v>1</v>
      </c>
      <c r="U108" t="n">
        <v>1</v>
      </c>
      <c r="V108" s="2" t="inlineStr">
        <is>
          <t>Plattlummer</t>
        </is>
      </c>
      <c r="W108">
        <f>HYPERLINK("https://klasma.github.io/Logging_2083/artfynd/A 40692-2026 artfynd.xlsx", "A 40692-2026")</f>
        <v/>
      </c>
      <c r="X108">
        <f>HYPERLINK("https://klasma.github.io/Logging_2083/kartor/A 40692-2026 karta.png", "A 40692-2026")</f>
        <v/>
      </c>
      <c r="Y108">
        <f>HYPERLINK("https://klasma.github.io/Logging_2083/kartor_geotiff/A 40692-2026 georefererad karta.tif", "A 40692-2026")</f>
        <v/>
      </c>
      <c r="AA108">
        <f>HYPERLINK("https://klasma.github.io/Logging_2083/klagomål/A 40692-2026 FSC-klagomål.docx", "A 40692-2026")</f>
        <v/>
      </c>
      <c r="AB108">
        <f>HYPERLINK("https://klasma.github.io/Logging_2083/klagomålsmail/A 40692-2026 FSC-klagomål mail.docx", "A 40692-2026")</f>
        <v/>
      </c>
      <c r="AC108">
        <f>HYPERLINK("https://klasma.github.io/Logging_2083/tillsyn/A 40692-2026 tillsynsbegäran.docx", "A 40692-2026")</f>
        <v/>
      </c>
      <c r="AD108">
        <f>HYPERLINK("https://klasma.github.io/Logging_2083/tillsynsmail/A 40692-2026 tillsynsbegäran mail.docx", "A 40692-2026")</f>
        <v/>
      </c>
    </row>
    <row r="109" ht="15" customHeight="1">
      <c r="A109" t="inlineStr">
        <is>
          <t>S 10370-2021</t>
        </is>
      </c>
      <c r="B109" t="inlineStr">
        <is>
          <t>samrådsanmälan</t>
        </is>
      </c>
      <c r="C109" t="inlineStr">
        <is>
          <t>Skogsgödsling</t>
        </is>
      </c>
      <c r="D109" s="1" t="n">
        <v>44550</v>
      </c>
      <c r="E109" s="1" t="n">
        <v>46306</v>
      </c>
      <c r="F109" t="inlineStr">
        <is>
          <t>DALARNAS LÄN</t>
        </is>
      </c>
      <c r="G109" t="inlineStr">
        <is>
          <t>HEDEMORA</t>
        </is>
      </c>
      <c r="H109" t="inlineStr">
        <is>
          <t>Sveaskog</t>
        </is>
      </c>
      <c r="I109" t="n">
        <v>15.7</v>
      </c>
      <c r="J109" t="n">
        <v>1</v>
      </c>
      <c r="K109" t="n">
        <v>0</v>
      </c>
      <c r="L109" t="n">
        <v>0</v>
      </c>
      <c r="M109" t="n">
        <v>0</v>
      </c>
      <c r="N109" t="n">
        <v>0</v>
      </c>
      <c r="O109" t="n">
        <v>0</v>
      </c>
      <c r="P109" t="n">
        <v>0</v>
      </c>
      <c r="Q109" t="n">
        <v>0</v>
      </c>
      <c r="R109" t="n">
        <v>0</v>
      </c>
      <c r="S109" t="n">
        <v>1</v>
      </c>
      <c r="T109" t="n">
        <v>1</v>
      </c>
      <c r="U109" t="n">
        <v>1</v>
      </c>
      <c r="V109" s="2" t="inlineStr">
        <is>
          <t>Mattlummer</t>
        </is>
      </c>
      <c r="W109">
        <f>HYPERLINK("https://klasma.github.io/Logging_2083/artfynd/S 10370-2021 artfynd.xlsx", "S 10370-2021")</f>
        <v/>
      </c>
      <c r="X109">
        <f>HYPERLINK("https://klasma.github.io/Logging_2083/kartor/S 10370-2021 karta.png", "S 10370-2021")</f>
        <v/>
      </c>
      <c r="Y109">
        <f>HYPERLINK("https://klasma.github.io/Logging_2083/kartor_geotiff/S 10370-2021 georefererad karta.tif", "S 10370-2021")</f>
        <v/>
      </c>
      <c r="AA109">
        <f>HYPERLINK("https://klasma.github.io/Logging_2083/klagomål/S 10370-2021 FSC-klagomål.docx", "S 10370-2021")</f>
        <v/>
      </c>
      <c r="AB109">
        <f>HYPERLINK("https://klasma.github.io/Logging_2083/klagomålsmail/S 10370-2021 FSC-klagomål mail.docx", "S 10370-2021")</f>
        <v/>
      </c>
      <c r="AC109">
        <f>HYPERLINK("https://klasma.github.io/Logging_2083/tillsyn/S 10370-2021 tillsynsbegäran.docx", "S 10370-2021")</f>
        <v/>
      </c>
      <c r="AD109">
        <f>HYPERLINK("https://klasma.github.io/Logging_2083/tillsynsmail/S 10370-2021 tillsynsbegäran mail.docx", "S 10370-2021")</f>
        <v/>
      </c>
    </row>
    <row r="110" ht="15" customHeight="1">
      <c r="A110" t="inlineStr">
        <is>
          <t>S 238-2024</t>
        </is>
      </c>
      <c r="B110" t="inlineStr">
        <is>
          <t>samrådsanmälan</t>
        </is>
      </c>
      <c r="C110" t="inlineStr">
        <is>
          <t>Skogsgödsling</t>
        </is>
      </c>
      <c r="D110" s="1" t="n">
        <v>45319</v>
      </c>
      <c r="E110" s="1" t="n">
        <v>46306</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46306</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406-2026</t>
        </is>
      </c>
      <c r="B112" t="inlineStr">
        <is>
          <t>samrådsanmälan</t>
        </is>
      </c>
      <c r="C112" t="inlineStr">
        <is>
          <t>Skogsgödsling</t>
        </is>
      </c>
      <c r="D112" s="1" t="n">
        <v>46069</v>
      </c>
      <c r="E112" s="1" t="n">
        <v>46306</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46306</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46306</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32748-2022</t>
        </is>
      </c>
      <c r="B115" t="inlineStr">
        <is>
          <t>avverkningsanmälan</t>
        </is>
      </c>
      <c r="C115" t="inlineStr">
        <is>
          <t>Föryngringsavverkning</t>
        </is>
      </c>
      <c r="D115" s="1" t="n">
        <v>44783</v>
      </c>
      <c r="E115" s="1" t="n">
        <v>46306</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46306</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35806-2022</t>
        </is>
      </c>
      <c r="B117" t="inlineStr">
        <is>
          <t>avverkningsanmälan</t>
        </is>
      </c>
      <c r="C117" t="inlineStr">
        <is>
          <t>Föryngringsavverkning</t>
        </is>
      </c>
      <c r="D117" s="1" t="n">
        <v>44802</v>
      </c>
      <c r="E117" s="1" t="n">
        <v>46306</v>
      </c>
      <c r="F117" t="inlineStr">
        <is>
          <t>DALARNAS LÄN</t>
        </is>
      </c>
      <c r="G117" t="inlineStr">
        <is>
          <t>HEDEMORA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20177-2022</t>
        </is>
      </c>
      <c r="B118" t="inlineStr">
        <is>
          <t>avverkningsanmälan</t>
        </is>
      </c>
      <c r="C118" t="inlineStr">
        <is>
          <t>Föryngringsavverkning</t>
        </is>
      </c>
      <c r="D118" s="1" t="n">
        <v>44698</v>
      </c>
      <c r="E118" s="1" t="n">
        <v>46306</v>
      </c>
      <c r="F118" t="inlineStr">
        <is>
          <t>DALARNAS LÄN</t>
        </is>
      </c>
      <c r="G118" t="inlineStr">
        <is>
          <t>HEDEMORA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68457-2021</t>
        </is>
      </c>
      <c r="B119" t="inlineStr">
        <is>
          <t>avverkningsanmälan</t>
        </is>
      </c>
      <c r="C119" t="inlineStr">
        <is>
          <t>Föryngringsavverkning</t>
        </is>
      </c>
      <c r="D119" s="1" t="n">
        <v>44529</v>
      </c>
      <c r="E119" s="1" t="n">
        <v>46306</v>
      </c>
      <c r="F119" t="inlineStr">
        <is>
          <t>DALARNAS LÄN</t>
        </is>
      </c>
      <c r="G119" t="inlineStr">
        <is>
          <t>HEDEMORA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4030-2022</t>
        </is>
      </c>
      <c r="B120" t="inlineStr">
        <is>
          <t>avverkningsanmälan</t>
        </is>
      </c>
      <c r="C120" t="inlineStr">
        <is>
          <t>Föryngringsavverkning</t>
        </is>
      </c>
      <c r="D120" s="1" t="n">
        <v>44588</v>
      </c>
      <c r="E120" s="1" t="n">
        <v>46306</v>
      </c>
      <c r="F120" t="inlineStr">
        <is>
          <t>DALARNAS LÄN</t>
        </is>
      </c>
      <c r="G120" t="inlineStr">
        <is>
          <t>HEDEMORA</t>
        </is>
      </c>
      <c r="H120" t="inlineStr">
        <is>
          <t>Kyrkan</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39506-2022</t>
        </is>
      </c>
      <c r="B121" t="inlineStr">
        <is>
          <t>avverkningsanmälan</t>
        </is>
      </c>
      <c r="C121" t="inlineStr">
        <is>
          <t>Föryngringsavverkning</t>
        </is>
      </c>
      <c r="D121" s="1" t="n">
        <v>44817</v>
      </c>
      <c r="E121" s="1" t="n">
        <v>46306</v>
      </c>
      <c r="F121" t="inlineStr">
        <is>
          <t>DALARNAS LÄN</t>
        </is>
      </c>
      <c r="G121" t="inlineStr">
        <is>
          <t>HEDEMORA</t>
        </is>
      </c>
      <c r="H121" t="inlineStr">
        <is>
          <t>Bergvik skog väst AB</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59495-2021</t>
        </is>
      </c>
      <c r="B122" t="inlineStr">
        <is>
          <t>avverkningsanmälan</t>
        </is>
      </c>
      <c r="C122" t="inlineStr">
        <is>
          <t>Föryngringsavverkning</t>
        </is>
      </c>
      <c r="D122" s="1" t="n">
        <v>44491</v>
      </c>
      <c r="E122" s="1" t="n">
        <v>46306</v>
      </c>
      <c r="F122" t="inlineStr">
        <is>
          <t>DALARNAS LÄN</t>
        </is>
      </c>
      <c r="G122" t="inlineStr">
        <is>
          <t>HEDEMORA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23329-2022</t>
        </is>
      </c>
      <c r="B123" t="inlineStr">
        <is>
          <t>avverkningsanmälan</t>
        </is>
      </c>
      <c r="C123" t="inlineStr">
        <is>
          <t>Föryngringsavverkning</t>
        </is>
      </c>
      <c r="D123" s="1" t="n">
        <v>44720</v>
      </c>
      <c r="E123" s="1" t="n">
        <v>46306</v>
      </c>
      <c r="F123" t="inlineStr">
        <is>
          <t>DALARNAS LÄN</t>
        </is>
      </c>
      <c r="G123" t="inlineStr">
        <is>
          <t>HEDEMORA</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62305-2021</t>
        </is>
      </c>
      <c r="B124" t="inlineStr">
        <is>
          <t>avverkningsanmälan</t>
        </is>
      </c>
      <c r="C124" t="inlineStr">
        <is>
          <t>Föryngringsavverkning</t>
        </is>
      </c>
      <c r="D124" s="1" t="n">
        <v>44502</v>
      </c>
      <c r="E124" s="1" t="n">
        <v>46306</v>
      </c>
      <c r="F124" t="inlineStr">
        <is>
          <t>DALARNAS LÄN</t>
        </is>
      </c>
      <c r="G124" t="inlineStr">
        <is>
          <t>HEDEMORA</t>
        </is>
      </c>
      <c r="H124" t="inlineStr">
        <is>
          <t>Bergvik skog väst AB</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28105-2022</t>
        </is>
      </c>
      <c r="B125" t="inlineStr">
        <is>
          <t>avverkningsanmälan</t>
        </is>
      </c>
      <c r="C125" t="inlineStr">
        <is>
          <t>Avverkning för annat ändamål</t>
        </is>
      </c>
      <c r="D125" s="1" t="n">
        <v>44746</v>
      </c>
      <c r="E125" s="1" t="n">
        <v>46306</v>
      </c>
      <c r="F125" t="inlineStr">
        <is>
          <t>DALARNAS LÄN</t>
        </is>
      </c>
      <c r="G125" t="inlineStr">
        <is>
          <t>HEDEMORA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48639-2022</t>
        </is>
      </c>
      <c r="B126" t="inlineStr">
        <is>
          <t>avverkningsanmälan</t>
        </is>
      </c>
      <c r="C126" t="inlineStr">
        <is>
          <t>Avverkning för annat ändamål</t>
        </is>
      </c>
      <c r="D126" s="1" t="n">
        <v>44859</v>
      </c>
      <c r="E126" s="1" t="n">
        <v>46306</v>
      </c>
      <c r="F126" t="inlineStr">
        <is>
          <t>DALARNAS LÄN</t>
        </is>
      </c>
      <c r="G126" t="inlineStr">
        <is>
          <t>HEDEMORA</t>
        </is>
      </c>
      <c r="H126" t="inlineStr">
        <is>
          <t>Sveaskog</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27238-2022</t>
        </is>
      </c>
      <c r="B127" t="inlineStr">
        <is>
          <t>avverkningsanmälan</t>
        </is>
      </c>
      <c r="C127" t="inlineStr">
        <is>
          <t>Föryngringsavverkning</t>
        </is>
      </c>
      <c r="D127" s="1" t="n">
        <v>44741</v>
      </c>
      <c r="E127" s="1" t="n">
        <v>46306</v>
      </c>
      <c r="F127" t="inlineStr">
        <is>
          <t>DALARNAS LÄN</t>
        </is>
      </c>
      <c r="G127" t="inlineStr">
        <is>
          <t>HEDEMORA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60418-2021</t>
        </is>
      </c>
      <c r="B128" t="inlineStr">
        <is>
          <t>avverkningsanmälan</t>
        </is>
      </c>
      <c r="C128" t="inlineStr">
        <is>
          <t>Föryngringsavverkning</t>
        </is>
      </c>
      <c r="D128" s="1" t="n">
        <v>44495</v>
      </c>
      <c r="E128" s="1" t="n">
        <v>46306</v>
      </c>
      <c r="F128" t="inlineStr">
        <is>
          <t>DALARNAS LÄN</t>
        </is>
      </c>
      <c r="G128" t="inlineStr">
        <is>
          <t>HEDEMORA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68553-2021</t>
        </is>
      </c>
      <c r="B129" t="inlineStr">
        <is>
          <t>avverkningsanmälan</t>
        </is>
      </c>
      <c r="C129" t="inlineStr">
        <is>
          <t>Föryngringsavverkning</t>
        </is>
      </c>
      <c r="D129" s="1" t="n">
        <v>44529</v>
      </c>
      <c r="E129" s="1" t="n">
        <v>46306</v>
      </c>
      <c r="F129" t="inlineStr">
        <is>
          <t>DALARNAS LÄN</t>
        </is>
      </c>
      <c r="G129" t="inlineStr">
        <is>
          <t>HEDEMORA</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1976-2022</t>
        </is>
      </c>
      <c r="B130" t="inlineStr">
        <is>
          <t>avverkningsanmälan</t>
        </is>
      </c>
      <c r="C130" t="inlineStr">
        <is>
          <t>Föryngringsavverkning</t>
        </is>
      </c>
      <c r="D130" s="1" t="n">
        <v>44575</v>
      </c>
      <c r="E130" s="1" t="n">
        <v>46306</v>
      </c>
      <c r="F130" t="inlineStr">
        <is>
          <t>DALARNAS LÄN</t>
        </is>
      </c>
      <c r="G130" t="inlineStr">
        <is>
          <t>HEDEMORA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17600-2025</t>
        </is>
      </c>
      <c r="B131" t="inlineStr">
        <is>
          <t>avverkningsanmälan</t>
        </is>
      </c>
      <c r="C131" t="inlineStr">
        <is>
          <t>Föryngringsavverkning</t>
        </is>
      </c>
      <c r="D131" s="1" t="n">
        <v>45757</v>
      </c>
      <c r="E131" s="1" t="n">
        <v>46306</v>
      </c>
      <c r="F131" t="inlineStr">
        <is>
          <t>DALARNAS LÄN</t>
        </is>
      </c>
      <c r="G131" t="inlineStr">
        <is>
          <t>HEDEMORA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28029-2023</t>
        </is>
      </c>
      <c r="B132" t="inlineStr">
        <is>
          <t>avverkningsanmälan</t>
        </is>
      </c>
      <c r="C132" t="inlineStr">
        <is>
          <t>Avverkning för annat ändamål</t>
        </is>
      </c>
      <c r="D132" s="1" t="n">
        <v>45099</v>
      </c>
      <c r="E132" s="1" t="n">
        <v>46306</v>
      </c>
      <c r="F132" t="inlineStr">
        <is>
          <t>DALARNAS LÄN</t>
        </is>
      </c>
      <c r="G132" t="inlineStr">
        <is>
          <t>HEDEMORA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56668-2024</t>
        </is>
      </c>
      <c r="B133" t="inlineStr">
        <is>
          <t>avverkningsanmälan</t>
        </is>
      </c>
      <c r="C133" t="inlineStr">
        <is>
          <t>Föryngringsavverkning</t>
        </is>
      </c>
      <c r="D133" s="1" t="n">
        <v>45626</v>
      </c>
      <c r="E133" s="1" t="n">
        <v>46306</v>
      </c>
      <c r="F133" t="inlineStr">
        <is>
          <t>DALARNAS LÄN</t>
        </is>
      </c>
      <c r="G133" t="inlineStr">
        <is>
          <t>HEDEMORA</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37759-2024</t>
        </is>
      </c>
      <c r="B134" t="inlineStr">
        <is>
          <t>avverkningsanmälan</t>
        </is>
      </c>
      <c r="C134" t="inlineStr">
        <is>
          <t>Föryngringsavverkning</t>
        </is>
      </c>
      <c r="D134" s="1" t="n">
        <v>45541</v>
      </c>
      <c r="E134" s="1" t="n">
        <v>46306</v>
      </c>
      <c r="F134" t="inlineStr">
        <is>
          <t>DALARNAS LÄN</t>
        </is>
      </c>
      <c r="G134" t="inlineStr">
        <is>
          <t>HEDEMORA</t>
        </is>
      </c>
      <c r="H134" t="inlineStr">
        <is>
          <t>Sveaskog</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58018-2022</t>
        </is>
      </c>
      <c r="B135" t="inlineStr">
        <is>
          <t>avverkningsanmälan</t>
        </is>
      </c>
      <c r="C135" t="inlineStr">
        <is>
          <t>Föryngringsavverkning</t>
        </is>
      </c>
      <c r="D135" s="1" t="n">
        <v>44900</v>
      </c>
      <c r="E135" s="1" t="n">
        <v>46306</v>
      </c>
      <c r="F135" t="inlineStr">
        <is>
          <t>DALARNAS LÄN</t>
        </is>
      </c>
      <c r="G135" t="inlineStr">
        <is>
          <t>HEDEMORA</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14951-2025</t>
        </is>
      </c>
      <c r="B136" t="inlineStr">
        <is>
          <t>avverkningsanmälan</t>
        </is>
      </c>
      <c r="C136" t="inlineStr">
        <is>
          <t>Föryngringsavverkning</t>
        </is>
      </c>
      <c r="D136" s="1" t="n">
        <v>45743</v>
      </c>
      <c r="E136" s="1" t="n">
        <v>46306</v>
      </c>
      <c r="F136" t="inlineStr">
        <is>
          <t>DALARNAS LÄN</t>
        </is>
      </c>
      <c r="G136" t="inlineStr">
        <is>
          <t>HEDEMORA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29050-2023</t>
        </is>
      </c>
      <c r="B137" t="inlineStr">
        <is>
          <t>avverkningsanmälan</t>
        </is>
      </c>
      <c r="C137" t="inlineStr">
        <is>
          <t>Avverkning för annat ändamål</t>
        </is>
      </c>
      <c r="D137" s="1" t="n">
        <v>45104</v>
      </c>
      <c r="E137" s="1" t="n">
        <v>46306</v>
      </c>
      <c r="F137" t="inlineStr">
        <is>
          <t>DALARNAS LÄN</t>
        </is>
      </c>
      <c r="G137" t="inlineStr">
        <is>
          <t>HEDEMORA</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63929-2023</t>
        </is>
      </c>
      <c r="B138" t="inlineStr">
        <is>
          <t>avverkningsanmälan</t>
        </is>
      </c>
      <c r="C138" t="inlineStr">
        <is>
          <t>Föryngringsavverkning</t>
        </is>
      </c>
      <c r="D138" s="1" t="n">
        <v>45278</v>
      </c>
      <c r="E138" s="1" t="n">
        <v>46306</v>
      </c>
      <c r="F138" t="inlineStr">
        <is>
          <t>DALARNAS LÄN</t>
        </is>
      </c>
      <c r="G138" t="inlineStr">
        <is>
          <t>HEDEMORA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46825-2024</t>
        </is>
      </c>
      <c r="B139" t="inlineStr">
        <is>
          <t>avverkningsanmälan</t>
        </is>
      </c>
      <c r="C139" t="inlineStr">
        <is>
          <t>Föryngringsavverkning</t>
        </is>
      </c>
      <c r="D139" s="1" t="n">
        <v>45583</v>
      </c>
      <c r="E139" s="1" t="n">
        <v>46306</v>
      </c>
      <c r="F139" t="inlineStr">
        <is>
          <t>DALARNAS LÄN</t>
        </is>
      </c>
      <c r="G139" t="inlineStr">
        <is>
          <t>HEDEMORA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39497-2022</t>
        </is>
      </c>
      <c r="B140" t="inlineStr">
        <is>
          <t>avverkningsanmälan</t>
        </is>
      </c>
      <c r="C140" t="inlineStr">
        <is>
          <t>Föryngringsavverkning</t>
        </is>
      </c>
      <c r="D140" s="1" t="n">
        <v>44817</v>
      </c>
      <c r="E140" s="1" t="n">
        <v>46306</v>
      </c>
      <c r="F140" t="inlineStr">
        <is>
          <t>DALARNAS LÄN</t>
        </is>
      </c>
      <c r="G140" t="inlineStr">
        <is>
          <t>HEDEMORA</t>
        </is>
      </c>
      <c r="H140" t="inlineStr">
        <is>
          <t>Bergvik skog väst AB</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55881-2023</t>
        </is>
      </c>
      <c r="B141" t="inlineStr">
        <is>
          <t>avverkningsanmälan</t>
        </is>
      </c>
      <c r="C141" t="inlineStr">
        <is>
          <t>Föryngringsavverkning</t>
        </is>
      </c>
      <c r="D141" s="1" t="n">
        <v>45239</v>
      </c>
      <c r="E141" s="1" t="n">
        <v>46306</v>
      </c>
      <c r="F141" t="inlineStr">
        <is>
          <t>DALARNAS LÄN</t>
        </is>
      </c>
      <c r="G141" t="inlineStr">
        <is>
          <t>HEDEMORA</t>
        </is>
      </c>
      <c r="H141" t="inlineStr">
        <is>
          <t>Sveaskog</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7172-2025</t>
        </is>
      </c>
      <c r="B142" t="inlineStr">
        <is>
          <t>avverkningsanmälan</t>
        </is>
      </c>
      <c r="C142" t="inlineStr">
        <is>
          <t>Föryngringsavverkning</t>
        </is>
      </c>
      <c r="D142" s="1" t="n">
        <v>45702</v>
      </c>
      <c r="E142" s="1" t="n">
        <v>46306</v>
      </c>
      <c r="F142" t="inlineStr">
        <is>
          <t>DALARNAS LÄN</t>
        </is>
      </c>
      <c r="G142" t="inlineStr">
        <is>
          <t>HEDEMORA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52942-2024</t>
        </is>
      </c>
      <c r="B143" t="inlineStr">
        <is>
          <t>avverkningsanmälan</t>
        </is>
      </c>
      <c r="C143" t="inlineStr">
        <is>
          <t>Föryngringsavverkning</t>
        </is>
      </c>
      <c r="D143" s="1" t="n">
        <v>45610</v>
      </c>
      <c r="E143" s="1" t="n">
        <v>46306</v>
      </c>
      <c r="F143" t="inlineStr">
        <is>
          <t>DALARNAS LÄN</t>
        </is>
      </c>
      <c r="G143" t="inlineStr">
        <is>
          <t>HEDEMORA</t>
        </is>
      </c>
      <c r="H143" t="inlineStr">
        <is>
          <t>Sveaskog</t>
        </is>
      </c>
      <c r="I143" t="n">
        <v>14.5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42894-2024</t>
        </is>
      </c>
      <c r="B144" t="inlineStr">
        <is>
          <t>avverkningsanmälan</t>
        </is>
      </c>
      <c r="C144" t="inlineStr">
        <is>
          <t>Föryngringsavverkning</t>
        </is>
      </c>
      <c r="D144" s="1" t="n">
        <v>45566</v>
      </c>
      <c r="E144" s="1" t="n">
        <v>46306</v>
      </c>
      <c r="F144" t="inlineStr">
        <is>
          <t>DALARNAS LÄN</t>
        </is>
      </c>
      <c r="G144" t="inlineStr">
        <is>
          <t>HEDEMORA</t>
        </is>
      </c>
      <c r="H144" t="inlineStr">
        <is>
          <t>Sveaskog</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22273-2023</t>
        </is>
      </c>
      <c r="B145" t="inlineStr">
        <is>
          <t>avverkningsanmälan</t>
        </is>
      </c>
      <c r="C145" t="inlineStr">
        <is>
          <t>Föryngringsavverkning</t>
        </is>
      </c>
      <c r="D145" s="1" t="n">
        <v>45070</v>
      </c>
      <c r="E145" s="1" t="n">
        <v>46306</v>
      </c>
      <c r="F145" t="inlineStr">
        <is>
          <t>DALARNAS LÄN</t>
        </is>
      </c>
      <c r="G145" t="inlineStr">
        <is>
          <t>HEDEMORA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7914-2024</t>
        </is>
      </c>
      <c r="B146" t="inlineStr">
        <is>
          <t>avverkningsanmälan</t>
        </is>
      </c>
      <c r="C146" t="inlineStr">
        <is>
          <t>Föryngringsavverkning</t>
        </is>
      </c>
      <c r="D146" s="1" t="n">
        <v>45350</v>
      </c>
      <c r="E146" s="1" t="n">
        <v>46306</v>
      </c>
      <c r="F146" t="inlineStr">
        <is>
          <t>DALARNAS LÄN</t>
        </is>
      </c>
      <c r="G146" t="inlineStr">
        <is>
          <t>HEDEMORA</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61533-2021</t>
        </is>
      </c>
      <c r="B147" t="inlineStr">
        <is>
          <t>avverkningsanmälan</t>
        </is>
      </c>
      <c r="C147" t="inlineStr">
        <is>
          <t>Föryngringsavverkning</t>
        </is>
      </c>
      <c r="D147" s="1" t="n">
        <v>44501</v>
      </c>
      <c r="E147" s="1" t="n">
        <v>46306</v>
      </c>
      <c r="F147" t="inlineStr">
        <is>
          <t>DALARNAS LÄN</t>
        </is>
      </c>
      <c r="G147" t="inlineStr">
        <is>
          <t>HEDEMORA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9314-2024</t>
        </is>
      </c>
      <c r="B148" t="inlineStr">
        <is>
          <t>avverkningsanmälan</t>
        </is>
      </c>
      <c r="C148" t="inlineStr">
        <is>
          <t>Föryngringsavverkning</t>
        </is>
      </c>
      <c r="D148" s="1" t="n">
        <v>45358</v>
      </c>
      <c r="E148" s="1" t="n">
        <v>46306</v>
      </c>
      <c r="F148" t="inlineStr">
        <is>
          <t>DALARNAS LÄN</t>
        </is>
      </c>
      <c r="G148" t="inlineStr">
        <is>
          <t>HEDEMORA</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73099-2021</t>
        </is>
      </c>
      <c r="B149" t="inlineStr">
        <is>
          <t>avverkningsanmälan</t>
        </is>
      </c>
      <c r="C149" t="inlineStr">
        <is>
          <t>Föryngringsavverkning</t>
        </is>
      </c>
      <c r="D149" s="1" t="n">
        <v>44546</v>
      </c>
      <c r="E149" s="1" t="n">
        <v>46306</v>
      </c>
      <c r="F149" t="inlineStr">
        <is>
          <t>DALARNAS LÄN</t>
        </is>
      </c>
      <c r="G149" t="inlineStr">
        <is>
          <t>HEDEMORA</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40801-2024</t>
        </is>
      </c>
      <c r="B150" t="inlineStr">
        <is>
          <t>avverkningsanmälan</t>
        </is>
      </c>
      <c r="C150" t="inlineStr">
        <is>
          <t>Föryngringsavverkning</t>
        </is>
      </c>
      <c r="D150" s="1" t="n">
        <v>45558</v>
      </c>
      <c r="E150" s="1" t="n">
        <v>46306</v>
      </c>
      <c r="F150" t="inlineStr">
        <is>
          <t>DALARNAS LÄN</t>
        </is>
      </c>
      <c r="G150" t="inlineStr">
        <is>
          <t>HEDEMORA</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31365-2024</t>
        </is>
      </c>
      <c r="B151" t="inlineStr">
        <is>
          <t>avverkningsanmälan</t>
        </is>
      </c>
      <c r="C151" t="inlineStr">
        <is>
          <t>Föryngringsavverkning</t>
        </is>
      </c>
      <c r="D151" s="1" t="n">
        <v>45505</v>
      </c>
      <c r="E151" s="1" t="n">
        <v>46306</v>
      </c>
      <c r="F151" t="inlineStr">
        <is>
          <t>DALARNAS LÄN</t>
        </is>
      </c>
      <c r="G151" t="inlineStr">
        <is>
          <t>HEDEMORA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24486-2024</t>
        </is>
      </c>
      <c r="B152" t="inlineStr">
        <is>
          <t>avverkningsanmälan</t>
        </is>
      </c>
      <c r="C152" t="inlineStr">
        <is>
          <t>Avverkning för annat ändamål</t>
        </is>
      </c>
      <c r="D152" s="1" t="n">
        <v>45459</v>
      </c>
      <c r="E152" s="1" t="n">
        <v>46306</v>
      </c>
      <c r="F152" t="inlineStr">
        <is>
          <t>DALARNAS LÄN</t>
        </is>
      </c>
      <c r="G152" t="inlineStr">
        <is>
          <t>HEDEMORA</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55882-2023</t>
        </is>
      </c>
      <c r="B153" t="inlineStr">
        <is>
          <t>avverkningsanmälan</t>
        </is>
      </c>
      <c r="C153" t="inlineStr">
        <is>
          <t>Föryngringsavverkning</t>
        </is>
      </c>
      <c r="D153" s="1" t="n">
        <v>45239</v>
      </c>
      <c r="E153" s="1" t="n">
        <v>46306</v>
      </c>
      <c r="F153" t="inlineStr">
        <is>
          <t>DALARNAS LÄN</t>
        </is>
      </c>
      <c r="G153" t="inlineStr">
        <is>
          <t>HEDEMORA</t>
        </is>
      </c>
      <c r="H153" t="inlineStr">
        <is>
          <t>Sveaskog</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50885-2023</t>
        </is>
      </c>
      <c r="B154" t="inlineStr">
        <is>
          <t>avverkningsanmälan</t>
        </is>
      </c>
      <c r="C154" t="inlineStr">
        <is>
          <t>Föryngringsavverkning</t>
        </is>
      </c>
      <c r="D154" s="1" t="n">
        <v>45218</v>
      </c>
      <c r="E154" s="1" t="n">
        <v>46306</v>
      </c>
      <c r="F154" t="inlineStr">
        <is>
          <t>DALARNAS LÄN</t>
        </is>
      </c>
      <c r="G154" t="inlineStr">
        <is>
          <t>HEDEMORA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65057-2023</t>
        </is>
      </c>
      <c r="B155" t="inlineStr">
        <is>
          <t>avverkningsanmälan</t>
        </is>
      </c>
      <c r="C155" t="inlineStr">
        <is>
          <t>Föryngringsavverkning</t>
        </is>
      </c>
      <c r="D155" s="1" t="n">
        <v>45287</v>
      </c>
      <c r="E155" s="1" t="n">
        <v>46306</v>
      </c>
      <c r="F155" t="inlineStr">
        <is>
          <t>DALARNAS LÄN</t>
        </is>
      </c>
      <c r="G155" t="inlineStr">
        <is>
          <t>HEDEMORA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11046-2022</t>
        </is>
      </c>
      <c r="B156" t="inlineStr">
        <is>
          <t>avverkningsanmälan</t>
        </is>
      </c>
      <c r="C156" t="inlineStr">
        <is>
          <t>Föryngringsavverkning</t>
        </is>
      </c>
      <c r="D156" s="1" t="n">
        <v>44628</v>
      </c>
      <c r="E156" s="1" t="n">
        <v>46306</v>
      </c>
      <c r="F156" t="inlineStr">
        <is>
          <t>DALARNAS LÄN</t>
        </is>
      </c>
      <c r="G156" t="inlineStr">
        <is>
          <t>HEDEMORA</t>
        </is>
      </c>
      <c r="H156" t="inlineStr">
        <is>
          <t>Bergvik skog väst AB</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36306-2024</t>
        </is>
      </c>
      <c r="B157" t="inlineStr">
        <is>
          <t>avverkningsanmälan</t>
        </is>
      </c>
      <c r="C157" t="inlineStr">
        <is>
          <t>Föryngringsavverkning</t>
        </is>
      </c>
      <c r="D157" s="1" t="n">
        <v>45534</v>
      </c>
      <c r="E157" s="1" t="n">
        <v>46306</v>
      </c>
      <c r="F157" t="inlineStr">
        <is>
          <t>DALARNAS LÄN</t>
        </is>
      </c>
      <c r="G157" t="inlineStr">
        <is>
          <t>HEDEMORA</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31825-2024</t>
        </is>
      </c>
      <c r="B158" t="inlineStr">
        <is>
          <t>avverkningsanmälan</t>
        </is>
      </c>
      <c r="C158" t="inlineStr">
        <is>
          <t>Avverkning för annat ändamål</t>
        </is>
      </c>
      <c r="D158" s="1" t="n">
        <v>45509</v>
      </c>
      <c r="E158" s="1" t="n">
        <v>46306</v>
      </c>
      <c r="F158" t="inlineStr">
        <is>
          <t>DALARNAS LÄN</t>
        </is>
      </c>
      <c r="G158" t="inlineStr">
        <is>
          <t>HEDEMORA</t>
        </is>
      </c>
      <c r="I158" t="n">
        <v>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53588-2023</t>
        </is>
      </c>
      <c r="B159" t="inlineStr">
        <is>
          <t>avverkningsanmälan</t>
        </is>
      </c>
      <c r="C159" t="inlineStr">
        <is>
          <t>Föryngringsavverkning</t>
        </is>
      </c>
      <c r="D159" s="1" t="n">
        <v>45230</v>
      </c>
      <c r="E159" s="1" t="n">
        <v>46306</v>
      </c>
      <c r="F159" t="inlineStr">
        <is>
          <t>DALARNAS LÄN</t>
        </is>
      </c>
      <c r="G159" t="inlineStr">
        <is>
          <t>HEDEMORA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38947-2023</t>
        </is>
      </c>
      <c r="B160" t="inlineStr">
        <is>
          <t>avverkningsanmälan</t>
        </is>
      </c>
      <c r="C160" t="inlineStr">
        <is>
          <t>Föryngringsavverkning</t>
        </is>
      </c>
      <c r="D160" s="1" t="n">
        <v>45163</v>
      </c>
      <c r="E160" s="1" t="n">
        <v>46306</v>
      </c>
      <c r="F160" t="inlineStr">
        <is>
          <t>DALARNAS LÄN</t>
        </is>
      </c>
      <c r="G160" t="inlineStr">
        <is>
          <t>HEDEMORA</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39393-2025</t>
        </is>
      </c>
      <c r="B161" t="inlineStr">
        <is>
          <t>avverkningsanmälan</t>
        </is>
      </c>
      <c r="C161" t="inlineStr">
        <is>
          <t>Föryngringsavverkning</t>
        </is>
      </c>
      <c r="D161" s="1" t="n">
        <v>45889</v>
      </c>
      <c r="E161" s="1" t="n">
        <v>46306</v>
      </c>
      <c r="F161" t="inlineStr">
        <is>
          <t>DALARNAS LÄN</t>
        </is>
      </c>
      <c r="G161" t="inlineStr">
        <is>
          <t>HEDEMORA</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60774-2022</t>
        </is>
      </c>
      <c r="B162" t="inlineStr">
        <is>
          <t>avverkningsanmälan</t>
        </is>
      </c>
      <c r="C162" t="inlineStr">
        <is>
          <t>Föryngringsavverkning</t>
        </is>
      </c>
      <c r="D162" s="1" t="n">
        <v>44914</v>
      </c>
      <c r="E162" s="1" t="n">
        <v>46306</v>
      </c>
      <c r="F162" t="inlineStr">
        <is>
          <t>DALARNAS LÄN</t>
        </is>
      </c>
      <c r="G162" t="inlineStr">
        <is>
          <t>HEDEMORA</t>
        </is>
      </c>
      <c r="I162" t="n">
        <v>11.5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39390-2025</t>
        </is>
      </c>
      <c r="B163" t="inlineStr">
        <is>
          <t>avverkningsanmälan</t>
        </is>
      </c>
      <c r="C163" t="inlineStr">
        <is>
          <t>Föryngringsavverkning</t>
        </is>
      </c>
      <c r="D163" s="1" t="n">
        <v>45889</v>
      </c>
      <c r="E163" s="1" t="n">
        <v>46306</v>
      </c>
      <c r="F163" t="inlineStr">
        <is>
          <t>DALARNAS LÄN</t>
        </is>
      </c>
      <c r="G163" t="inlineStr">
        <is>
          <t>HEDEMORA</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19688-2025</t>
        </is>
      </c>
      <c r="B164" t="inlineStr">
        <is>
          <t>avverkningsanmälan</t>
        </is>
      </c>
      <c r="C164" t="inlineStr">
        <is>
          <t>Föryngringsavverkning</t>
        </is>
      </c>
      <c r="D164" s="1" t="n">
        <v>45770</v>
      </c>
      <c r="E164" s="1" t="n">
        <v>46306</v>
      </c>
      <c r="F164" t="inlineStr">
        <is>
          <t>DALARNAS LÄN</t>
        </is>
      </c>
      <c r="G164" t="inlineStr">
        <is>
          <t>HEDEMORA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19689-2025</t>
        </is>
      </c>
      <c r="B165" t="inlineStr">
        <is>
          <t>avverkningsanmälan</t>
        </is>
      </c>
      <c r="C165" t="inlineStr">
        <is>
          <t>Föryngringsavverkning</t>
        </is>
      </c>
      <c r="D165" s="1" t="n">
        <v>45770</v>
      </c>
      <c r="E165" s="1" t="n">
        <v>46306</v>
      </c>
      <c r="F165" t="inlineStr">
        <is>
          <t>DALARNAS LÄN</t>
        </is>
      </c>
      <c r="G165" t="inlineStr">
        <is>
          <t>HEDEMORA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40456-2025</t>
        </is>
      </c>
      <c r="B166" t="inlineStr">
        <is>
          <t>avverkningsanmälan</t>
        </is>
      </c>
      <c r="C166" t="inlineStr">
        <is>
          <t>Föryngringsavverkning</t>
        </is>
      </c>
      <c r="D166" s="1" t="n">
        <v>45895</v>
      </c>
      <c r="E166" s="1" t="n">
        <v>46306</v>
      </c>
      <c r="F166" t="inlineStr">
        <is>
          <t>DALARNAS LÄN</t>
        </is>
      </c>
      <c r="G166" t="inlineStr">
        <is>
          <t>HEDEMORA</t>
        </is>
      </c>
      <c r="H166" t="inlineStr">
        <is>
          <t>Bergvik skog väst AB</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55832-2024</t>
        </is>
      </c>
      <c r="B167" t="inlineStr">
        <is>
          <t>avverkningsanmälan</t>
        </is>
      </c>
      <c r="C167" t="inlineStr">
        <is>
          <t>Föryngringsavverkning</t>
        </is>
      </c>
      <c r="D167" s="1" t="n">
        <v>45623</v>
      </c>
      <c r="E167" s="1" t="n">
        <v>46306</v>
      </c>
      <c r="F167" t="inlineStr">
        <is>
          <t>DALARNAS LÄN</t>
        </is>
      </c>
      <c r="G167" t="inlineStr">
        <is>
          <t>HEDEMORA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52945-2024</t>
        </is>
      </c>
      <c r="B168" t="inlineStr">
        <is>
          <t>avverkningsanmälan</t>
        </is>
      </c>
      <c r="C168" t="inlineStr">
        <is>
          <t>Föryngringsavverkning</t>
        </is>
      </c>
      <c r="D168" s="1" t="n">
        <v>45610</v>
      </c>
      <c r="E168" s="1" t="n">
        <v>46306</v>
      </c>
      <c r="F168" t="inlineStr">
        <is>
          <t>DALARNAS LÄN</t>
        </is>
      </c>
      <c r="G168" t="inlineStr">
        <is>
          <t>HEDEMORA</t>
        </is>
      </c>
      <c r="H168" t="inlineStr">
        <is>
          <t>Sveaskog</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53922-2024</t>
        </is>
      </c>
      <c r="B169" t="inlineStr">
        <is>
          <t>avverkningsanmälan</t>
        </is>
      </c>
      <c r="C169" t="inlineStr">
        <is>
          <t>Föryngringsavverkning</t>
        </is>
      </c>
      <c r="D169" s="1" t="n">
        <v>45615</v>
      </c>
      <c r="E169" s="1" t="n">
        <v>46306</v>
      </c>
      <c r="F169" t="inlineStr">
        <is>
          <t>DALARNAS LÄN</t>
        </is>
      </c>
      <c r="G169" t="inlineStr">
        <is>
          <t>HEDEMORA</t>
        </is>
      </c>
      <c r="H169" t="inlineStr">
        <is>
          <t>Sveaskog</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42645-2025</t>
        </is>
      </c>
      <c r="B170" t="inlineStr">
        <is>
          <t>avverkningsanmälan</t>
        </is>
      </c>
      <c r="C170" t="inlineStr">
        <is>
          <t>Avverkning för att bevara och utveckla /försöksver</t>
        </is>
      </c>
      <c r="D170" s="1" t="n">
        <v>45906</v>
      </c>
      <c r="E170" s="1" t="n">
        <v>46306</v>
      </c>
      <c r="F170" t="inlineStr">
        <is>
          <t>DALARNAS LÄN</t>
        </is>
      </c>
      <c r="G170" t="inlineStr">
        <is>
          <t>HEDEMORA</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61886-2022</t>
        </is>
      </c>
      <c r="B171" t="inlineStr">
        <is>
          <t>avverkningsanmälan</t>
        </is>
      </c>
      <c r="C171" t="inlineStr">
        <is>
          <t>Föryngringsavverkning</t>
        </is>
      </c>
      <c r="D171" s="1" t="n">
        <v>44917</v>
      </c>
      <c r="E171" s="1" t="n">
        <v>46306</v>
      </c>
      <c r="F171" t="inlineStr">
        <is>
          <t>DALARNAS LÄN</t>
        </is>
      </c>
      <c r="G171" t="inlineStr">
        <is>
          <t>HEDEMORA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14949-2025</t>
        </is>
      </c>
      <c r="B172" t="inlineStr">
        <is>
          <t>avverkningsanmälan</t>
        </is>
      </c>
      <c r="C172" t="inlineStr">
        <is>
          <t>Föryngringsavverkning</t>
        </is>
      </c>
      <c r="D172" s="1" t="n">
        <v>45743</v>
      </c>
      <c r="E172" s="1" t="n">
        <v>46306</v>
      </c>
      <c r="F172" t="inlineStr">
        <is>
          <t>DALARNAS LÄN</t>
        </is>
      </c>
      <c r="G172" t="inlineStr">
        <is>
          <t>HEDEMORA</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27609-2024</t>
        </is>
      </c>
      <c r="B173" t="inlineStr">
        <is>
          <t>avverkningsanmälan</t>
        </is>
      </c>
      <c r="C173" t="inlineStr">
        <is>
          <t>Föryngringsavverkning</t>
        </is>
      </c>
      <c r="D173" s="1" t="n">
        <v>45474</v>
      </c>
      <c r="E173" s="1" t="n">
        <v>46306</v>
      </c>
      <c r="F173" t="inlineStr">
        <is>
          <t>DALARNAS LÄN</t>
        </is>
      </c>
      <c r="G173" t="inlineStr">
        <is>
          <t>HEDEMORA</t>
        </is>
      </c>
      <c r="H173" t="inlineStr">
        <is>
          <t>Sveaskog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16413-2024</t>
        </is>
      </c>
      <c r="B174" t="inlineStr">
        <is>
          <t>avverkningsanmälan</t>
        </is>
      </c>
      <c r="C174" t="inlineStr">
        <is>
          <t>Avverkning för annat ändamål</t>
        </is>
      </c>
      <c r="D174" s="1" t="n">
        <v>45407</v>
      </c>
      <c r="E174" s="1" t="n">
        <v>46306</v>
      </c>
      <c r="F174" t="inlineStr">
        <is>
          <t>DALARNAS LÄN</t>
        </is>
      </c>
      <c r="G174" t="inlineStr">
        <is>
          <t>HEDEMORA</t>
        </is>
      </c>
      <c r="H174" t="inlineStr">
        <is>
          <t>Sveaskog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19473-2024</t>
        </is>
      </c>
      <c r="B175" t="inlineStr">
        <is>
          <t>avverkningsanmälan</t>
        </is>
      </c>
      <c r="C175" t="inlineStr">
        <is>
          <t>Föryngringsavverkning</t>
        </is>
      </c>
      <c r="D175" s="1" t="n">
        <v>45429</v>
      </c>
      <c r="E175" s="1" t="n">
        <v>46306</v>
      </c>
      <c r="F175" t="inlineStr">
        <is>
          <t>DALARNAS LÄN</t>
        </is>
      </c>
      <c r="G175" t="inlineStr">
        <is>
          <t>HEDEMORA</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63941-2023</t>
        </is>
      </c>
      <c r="B176" t="inlineStr">
        <is>
          <t>avverkningsanmälan</t>
        </is>
      </c>
      <c r="C176" t="inlineStr">
        <is>
          <t>Föryngringsavverkning</t>
        </is>
      </c>
      <c r="D176" s="1" t="n">
        <v>45278</v>
      </c>
      <c r="E176" s="1" t="n">
        <v>46306</v>
      </c>
      <c r="F176" t="inlineStr">
        <is>
          <t>DALARNAS LÄN</t>
        </is>
      </c>
      <c r="G176" t="inlineStr">
        <is>
          <t>HEDEMORA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36935-2024</t>
        </is>
      </c>
      <c r="B177" t="inlineStr">
        <is>
          <t>avverkningsanmälan</t>
        </is>
      </c>
      <c r="C177" t="inlineStr">
        <is>
          <t>Föryngringsavverkning</t>
        </is>
      </c>
      <c r="D177" s="1" t="n">
        <v>45538</v>
      </c>
      <c r="E177" s="1" t="n">
        <v>46306</v>
      </c>
      <c r="F177" t="inlineStr">
        <is>
          <t>DALARNAS LÄN</t>
        </is>
      </c>
      <c r="G177" t="inlineStr">
        <is>
          <t>HEDEMORA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43785-2023</t>
        </is>
      </c>
      <c r="B178" t="inlineStr">
        <is>
          <t>avverkningsanmälan</t>
        </is>
      </c>
      <c r="C178" t="inlineStr">
        <is>
          <t>Föryngringsavverkning</t>
        </is>
      </c>
      <c r="D178" s="1" t="n">
        <v>45187</v>
      </c>
      <c r="E178" s="1" t="n">
        <v>46306</v>
      </c>
      <c r="F178" t="inlineStr">
        <is>
          <t>DALARNAS LÄN</t>
        </is>
      </c>
      <c r="G178" t="inlineStr">
        <is>
          <t>HEDEMORA</t>
        </is>
      </c>
      <c r="H178" t="inlineStr">
        <is>
          <t>Sveaskog</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6210-2024</t>
        </is>
      </c>
      <c r="B179" t="inlineStr">
        <is>
          <t>avverkningsanmälan</t>
        </is>
      </c>
      <c r="C179" t="inlineStr">
        <is>
          <t>Föryngringsavverkning</t>
        </is>
      </c>
      <c r="D179" s="1" t="n">
        <v>45337</v>
      </c>
      <c r="E179" s="1" t="n">
        <v>46306</v>
      </c>
      <c r="F179" t="inlineStr">
        <is>
          <t>DALARNAS LÄN</t>
        </is>
      </c>
      <c r="G179" t="inlineStr">
        <is>
          <t>HEDEMORA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30430-2023</t>
        </is>
      </c>
      <c r="B180" t="inlineStr">
        <is>
          <t>avverkningsanmälan</t>
        </is>
      </c>
      <c r="C180" t="inlineStr">
        <is>
          <t>Föryngringsavverkning</t>
        </is>
      </c>
      <c r="D180" s="1" t="n">
        <v>45111</v>
      </c>
      <c r="E180" s="1" t="n">
        <v>46306</v>
      </c>
      <c r="F180" t="inlineStr">
        <is>
          <t>DALARNAS LÄN</t>
        </is>
      </c>
      <c r="G180" t="inlineStr">
        <is>
          <t>HEDEMORA</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41435-2023</t>
        </is>
      </c>
      <c r="B181" t="inlineStr">
        <is>
          <t>avverkningsanmälan</t>
        </is>
      </c>
      <c r="C181" t="inlineStr">
        <is>
          <t>Föryngringsavverkning</t>
        </is>
      </c>
      <c r="D181" s="1" t="n">
        <v>45170</v>
      </c>
      <c r="E181" s="1" t="n">
        <v>46306</v>
      </c>
      <c r="F181" t="inlineStr">
        <is>
          <t>DALARNAS LÄN</t>
        </is>
      </c>
      <c r="G181" t="inlineStr">
        <is>
          <t>HEDEMORA</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54312-2024</t>
        </is>
      </c>
      <c r="B182" t="inlineStr">
        <is>
          <t>avverkningsanmälan</t>
        </is>
      </c>
      <c r="C182" t="inlineStr">
        <is>
          <t>Föryngringsavverkning</t>
        </is>
      </c>
      <c r="D182" s="1" t="n">
        <v>45617</v>
      </c>
      <c r="E182" s="1" t="n">
        <v>46306</v>
      </c>
      <c r="F182" t="inlineStr">
        <is>
          <t>DALARNAS LÄN</t>
        </is>
      </c>
      <c r="G182" t="inlineStr">
        <is>
          <t>HEDEMORA</t>
        </is>
      </c>
      <c r="H182" t="inlineStr">
        <is>
          <t>Bergvik skog väst AB</t>
        </is>
      </c>
      <c r="I182" t="n">
        <v>13.9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37761-2024</t>
        </is>
      </c>
      <c r="B183" t="inlineStr">
        <is>
          <t>avverkningsanmälan</t>
        </is>
      </c>
      <c r="C183" t="inlineStr">
        <is>
          <t>Föryngringsavverkning</t>
        </is>
      </c>
      <c r="D183" s="1" t="n">
        <v>45541</v>
      </c>
      <c r="E183" s="1" t="n">
        <v>46306</v>
      </c>
      <c r="F183" t="inlineStr">
        <is>
          <t>DALARNAS LÄN</t>
        </is>
      </c>
      <c r="G183" t="inlineStr">
        <is>
          <t>HEDEMORA</t>
        </is>
      </c>
      <c r="H183" t="inlineStr">
        <is>
          <t>Sveaskog</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69624-2021</t>
        </is>
      </c>
      <c r="B184" t="inlineStr">
        <is>
          <t>avverkningsanmälan</t>
        </is>
      </c>
      <c r="C184" t="inlineStr">
        <is>
          <t>Föryngringsavverkning</t>
        </is>
      </c>
      <c r="D184" s="1" t="n">
        <v>44532</v>
      </c>
      <c r="E184" s="1" t="n">
        <v>46306</v>
      </c>
      <c r="F184" t="inlineStr">
        <is>
          <t>DALARNAS LÄN</t>
        </is>
      </c>
      <c r="G184" t="inlineStr">
        <is>
          <t>HEDEMORA</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63925-2023</t>
        </is>
      </c>
      <c r="B185" t="inlineStr">
        <is>
          <t>avverkningsanmälan</t>
        </is>
      </c>
      <c r="C185" t="inlineStr">
        <is>
          <t>Föryngringsavverkning</t>
        </is>
      </c>
      <c r="D185" s="1" t="n">
        <v>45278</v>
      </c>
      <c r="E185" s="1" t="n">
        <v>46306</v>
      </c>
      <c r="F185" t="inlineStr">
        <is>
          <t>DALARNAS LÄN</t>
        </is>
      </c>
      <c r="G185" t="inlineStr">
        <is>
          <t>HEDEMORA</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6881-2024</t>
        </is>
      </c>
      <c r="B186" t="inlineStr">
        <is>
          <t>avverkningsanmälan</t>
        </is>
      </c>
      <c r="C186" t="inlineStr">
        <is>
          <t>Föryngringsavverkning</t>
        </is>
      </c>
      <c r="D186" s="1" t="n">
        <v>45342</v>
      </c>
      <c r="E186" s="1" t="n">
        <v>46306</v>
      </c>
      <c r="F186" t="inlineStr">
        <is>
          <t>DALARNAS LÄN</t>
        </is>
      </c>
      <c r="G186" t="inlineStr">
        <is>
          <t>HEDEMORA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48380-2024</t>
        </is>
      </c>
      <c r="B187" t="inlineStr">
        <is>
          <t>avverkningsanmälan</t>
        </is>
      </c>
      <c r="C187" t="inlineStr">
        <is>
          <t>Föryngringsavverkning</t>
        </is>
      </c>
      <c r="D187" s="1" t="n">
        <v>45590</v>
      </c>
      <c r="E187" s="1" t="n">
        <v>46306</v>
      </c>
      <c r="F187" t="inlineStr">
        <is>
          <t>DALARNAS LÄN</t>
        </is>
      </c>
      <c r="G187" t="inlineStr">
        <is>
          <t>HEDEMORA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51256-2024</t>
        </is>
      </c>
      <c r="B188" t="inlineStr">
        <is>
          <t>avverkningsanmälan</t>
        </is>
      </c>
      <c r="C188" t="inlineStr">
        <is>
          <t>Föryngringsavverkning</t>
        </is>
      </c>
      <c r="D188" s="1" t="n">
        <v>45603</v>
      </c>
      <c r="E188" s="1" t="n">
        <v>46306</v>
      </c>
      <c r="F188" t="inlineStr">
        <is>
          <t>DALARNAS LÄN</t>
        </is>
      </c>
      <c r="G188" t="inlineStr">
        <is>
          <t>HEDEMORA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20237-2023</t>
        </is>
      </c>
      <c r="B189" t="inlineStr">
        <is>
          <t>avverkningsanmälan</t>
        </is>
      </c>
      <c r="C189" t="inlineStr">
        <is>
          <t>Föryngringsavverkning</t>
        </is>
      </c>
      <c r="D189" s="1" t="n">
        <v>45055</v>
      </c>
      <c r="E189" s="1" t="n">
        <v>46306</v>
      </c>
      <c r="F189" t="inlineStr">
        <is>
          <t>DALARNAS LÄN</t>
        </is>
      </c>
      <c r="G189" t="inlineStr">
        <is>
          <t>HEDEMORA</t>
        </is>
      </c>
      <c r="H189" t="inlineStr">
        <is>
          <t>Bergvik skog väst AB</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15863-2023</t>
        </is>
      </c>
      <c r="B190" t="inlineStr">
        <is>
          <t>avverkningsanmälan</t>
        </is>
      </c>
      <c r="C190" t="inlineStr">
        <is>
          <t>Föryngringsavverkning</t>
        </is>
      </c>
      <c r="D190" s="1" t="n">
        <v>45022</v>
      </c>
      <c r="E190" s="1" t="n">
        <v>46306</v>
      </c>
      <c r="F190" t="inlineStr">
        <is>
          <t>DALARNAS LÄN</t>
        </is>
      </c>
      <c r="G190" t="inlineStr">
        <is>
          <t>HEDEMORA</t>
        </is>
      </c>
      <c r="H190" t="inlineStr">
        <is>
          <t>Bergvik skog väst AB</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37762-2024</t>
        </is>
      </c>
      <c r="B191" t="inlineStr">
        <is>
          <t>avverkningsanmälan</t>
        </is>
      </c>
      <c r="C191" t="inlineStr">
        <is>
          <t>Föryngringsavverkning</t>
        </is>
      </c>
      <c r="D191" s="1" t="n">
        <v>45541</v>
      </c>
      <c r="E191" s="1" t="n">
        <v>46306</v>
      </c>
      <c r="F191" t="inlineStr">
        <is>
          <t>DALARNAS LÄN</t>
        </is>
      </c>
      <c r="G191" t="inlineStr">
        <is>
          <t>HEDEMORA</t>
        </is>
      </c>
      <c r="H191" t="inlineStr">
        <is>
          <t>Sveaskog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5010-2023</t>
        </is>
      </c>
      <c r="B192" t="inlineStr">
        <is>
          <t>avverkningsanmälan</t>
        </is>
      </c>
      <c r="C192" t="inlineStr">
        <is>
          <t>Föryngringsavverkning</t>
        </is>
      </c>
      <c r="D192" s="1" t="n">
        <v>44956</v>
      </c>
      <c r="E192" s="1" t="n">
        <v>46306</v>
      </c>
      <c r="F192" t="inlineStr">
        <is>
          <t>DALARNAS LÄN</t>
        </is>
      </c>
      <c r="G192" t="inlineStr">
        <is>
          <t>HEDEMORA</t>
        </is>
      </c>
      <c r="H192" t="inlineStr">
        <is>
          <t>Bergvik skog väst AB</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44384-2024</t>
        </is>
      </c>
      <c r="B193" t="inlineStr">
        <is>
          <t>avverkningsanmälan</t>
        </is>
      </c>
      <c r="C193" t="inlineStr">
        <is>
          <t>Föryngringsavverkning</t>
        </is>
      </c>
      <c r="D193" s="1" t="n">
        <v>45573</v>
      </c>
      <c r="E193" s="1" t="n">
        <v>46306</v>
      </c>
      <c r="F193" t="inlineStr">
        <is>
          <t>DALARNAS LÄN</t>
        </is>
      </c>
      <c r="G193" t="inlineStr">
        <is>
          <t>HEDEMORA</t>
        </is>
      </c>
      <c r="H193" t="inlineStr">
        <is>
          <t>Bergvik skog väst AB</t>
        </is>
      </c>
      <c r="I193" t="n">
        <v>9.800000000000001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44388-2024</t>
        </is>
      </c>
      <c r="B194" t="inlineStr">
        <is>
          <t>avverkningsanmälan</t>
        </is>
      </c>
      <c r="C194" t="inlineStr">
        <is>
          <t>Föryngringsavverkning</t>
        </is>
      </c>
      <c r="D194" s="1" t="n">
        <v>45573</v>
      </c>
      <c r="E194" s="1" t="n">
        <v>46306</v>
      </c>
      <c r="F194" t="inlineStr">
        <is>
          <t>DALARNAS LÄN</t>
        </is>
      </c>
      <c r="G194" t="inlineStr">
        <is>
          <t>HEDEMORA</t>
        </is>
      </c>
      <c r="H194" t="inlineStr">
        <is>
          <t>Bergvik skog väst AB</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39531-2024</t>
        </is>
      </c>
      <c r="B195" t="inlineStr">
        <is>
          <t>avverkningsanmälan</t>
        </is>
      </c>
      <c r="C195" t="inlineStr">
        <is>
          <t>Föryngringsavverkning</t>
        </is>
      </c>
      <c r="D195" s="1" t="n">
        <v>45551</v>
      </c>
      <c r="E195" s="1" t="n">
        <v>46306</v>
      </c>
      <c r="F195" t="inlineStr">
        <is>
          <t>DALARNAS LÄN</t>
        </is>
      </c>
      <c r="G195" t="inlineStr">
        <is>
          <t>HEDEMORA</t>
        </is>
      </c>
      <c r="H195" t="inlineStr">
        <is>
          <t>Bergvik skog väst AB</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25195-2024</t>
        </is>
      </c>
      <c r="B196" t="inlineStr">
        <is>
          <t>avverkningsanmälan</t>
        </is>
      </c>
      <c r="C196" t="inlineStr">
        <is>
          <t>Avverkning för annat ändamål</t>
        </is>
      </c>
      <c r="D196" s="1" t="n">
        <v>45462</v>
      </c>
      <c r="E196" s="1" t="n">
        <v>46306</v>
      </c>
      <c r="F196" t="inlineStr">
        <is>
          <t>DALARNAS LÄN</t>
        </is>
      </c>
      <c r="G196" t="inlineStr">
        <is>
          <t>HEDEMORA</t>
        </is>
      </c>
      <c r="H196" t="inlineStr">
        <is>
          <t>Övriga statliga verk och myndigheter</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15635-2022</t>
        </is>
      </c>
      <c r="B197" t="inlineStr">
        <is>
          <t>avverkningsanmälan</t>
        </is>
      </c>
      <c r="C197" t="inlineStr">
        <is>
          <t>Föryngringsavverkning</t>
        </is>
      </c>
      <c r="D197" s="1" t="n">
        <v>44662</v>
      </c>
      <c r="E197" s="1" t="n">
        <v>46306</v>
      </c>
      <c r="F197" t="inlineStr">
        <is>
          <t>DALARNAS LÄN</t>
        </is>
      </c>
      <c r="G197" t="inlineStr">
        <is>
          <t>HEDEMORA</t>
        </is>
      </c>
      <c r="H197" t="inlineStr">
        <is>
          <t>Bergvik skog väst AB</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53586-2023</t>
        </is>
      </c>
      <c r="B198" t="inlineStr">
        <is>
          <t>avverkningsanmälan</t>
        </is>
      </c>
      <c r="C198" t="inlineStr">
        <is>
          <t>Föryngringsavverkning</t>
        </is>
      </c>
      <c r="D198" s="1" t="n">
        <v>45230</v>
      </c>
      <c r="E198" s="1" t="n">
        <v>46306</v>
      </c>
      <c r="F198" t="inlineStr">
        <is>
          <t>DALARNAS LÄN</t>
        </is>
      </c>
      <c r="G198" t="inlineStr">
        <is>
          <t>HEDEMORA</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48238-2025</t>
        </is>
      </c>
      <c r="B199" t="inlineStr">
        <is>
          <t>avverkningsanmälan</t>
        </is>
      </c>
      <c r="C199" t="inlineStr">
        <is>
          <t>Föryngringsavverkning</t>
        </is>
      </c>
      <c r="D199" s="1" t="n">
        <v>45933</v>
      </c>
      <c r="E199" s="1" t="n">
        <v>46306</v>
      </c>
      <c r="F199" t="inlineStr">
        <is>
          <t>DALARNAS LÄN</t>
        </is>
      </c>
      <c r="G199" t="inlineStr">
        <is>
          <t>HEDEMORA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7916-2024</t>
        </is>
      </c>
      <c r="B200" t="inlineStr">
        <is>
          <t>avverkningsanmälan</t>
        </is>
      </c>
      <c r="C200" t="inlineStr">
        <is>
          <t>Föryngringsavverkning</t>
        </is>
      </c>
      <c r="D200" s="1" t="n">
        <v>45350</v>
      </c>
      <c r="E200" s="1" t="n">
        <v>46306</v>
      </c>
      <c r="F200" t="inlineStr">
        <is>
          <t>DALARNAS LÄN</t>
        </is>
      </c>
      <c r="G200" t="inlineStr">
        <is>
          <t>HEDEMORA</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25021-2025</t>
        </is>
      </c>
      <c r="B201" t="inlineStr">
        <is>
          <t>avverkningsanmälan</t>
        </is>
      </c>
      <c r="C201" t="inlineStr">
        <is>
          <t>Föryngringsavverkning</t>
        </is>
      </c>
      <c r="D201" s="1" t="n">
        <v>45799</v>
      </c>
      <c r="E201" s="1" t="n">
        <v>46306</v>
      </c>
      <c r="F201" t="inlineStr">
        <is>
          <t>DALARNAS LÄN</t>
        </is>
      </c>
      <c r="G201" t="inlineStr">
        <is>
          <t>HEDEMORA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52944-2024</t>
        </is>
      </c>
      <c r="B202" t="inlineStr">
        <is>
          <t>avverkningsanmälan</t>
        </is>
      </c>
      <c r="C202" t="inlineStr">
        <is>
          <t>Föryngringsavverkning</t>
        </is>
      </c>
      <c r="D202" s="1" t="n">
        <v>45610</v>
      </c>
      <c r="E202" s="1" t="n">
        <v>46306</v>
      </c>
      <c r="F202" t="inlineStr">
        <is>
          <t>DALARNAS LÄN</t>
        </is>
      </c>
      <c r="G202" t="inlineStr">
        <is>
          <t>HEDEMORA</t>
        </is>
      </c>
      <c r="H202" t="inlineStr">
        <is>
          <t>Sveaskog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45377-2024</t>
        </is>
      </c>
      <c r="B203" t="inlineStr">
        <is>
          <t>avverkningsanmälan</t>
        </is>
      </c>
      <c r="C203" t="inlineStr">
        <is>
          <t>Föryngringsavverkning</t>
        </is>
      </c>
      <c r="D203" s="1" t="n">
        <v>45576</v>
      </c>
      <c r="E203" s="1" t="n">
        <v>46306</v>
      </c>
      <c r="F203" t="inlineStr">
        <is>
          <t>DALARNAS LÄN</t>
        </is>
      </c>
      <c r="G203" t="inlineStr">
        <is>
          <t>HEDEMORA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19397-2024</t>
        </is>
      </c>
      <c r="B204" t="inlineStr">
        <is>
          <t>avverkningsanmälan</t>
        </is>
      </c>
      <c r="C204" t="inlineStr">
        <is>
          <t>Föryngringsavverkning</t>
        </is>
      </c>
      <c r="D204" s="1" t="n">
        <v>45429</v>
      </c>
      <c r="E204" s="1" t="n">
        <v>46306</v>
      </c>
      <c r="F204" t="inlineStr">
        <is>
          <t>DALARNAS LÄN</t>
        </is>
      </c>
      <c r="G204" t="inlineStr">
        <is>
          <t>HEDEMORA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12133-2025</t>
        </is>
      </c>
      <c r="B205" t="inlineStr">
        <is>
          <t>avverkningsanmälan</t>
        </is>
      </c>
      <c r="C205" t="inlineStr">
        <is>
          <t>Föryngringsavverkning</t>
        </is>
      </c>
      <c r="D205" s="1" t="n">
        <v>45729</v>
      </c>
      <c r="E205" s="1" t="n">
        <v>46306</v>
      </c>
      <c r="F205" t="inlineStr">
        <is>
          <t>DALARNAS LÄN</t>
        </is>
      </c>
      <c r="G205" t="inlineStr">
        <is>
          <t>HEDEMORA</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6972-2025</t>
        </is>
      </c>
      <c r="B206" t="inlineStr">
        <is>
          <t>avverkningsanmälan</t>
        </is>
      </c>
      <c r="C206" t="inlineStr">
        <is>
          <t>Föryngringsavverkning</t>
        </is>
      </c>
      <c r="D206" s="1" t="n">
        <v>45701</v>
      </c>
      <c r="E206" s="1" t="n">
        <v>46306</v>
      </c>
      <c r="F206" t="inlineStr">
        <is>
          <t>DALARNAS LÄN</t>
        </is>
      </c>
      <c r="G206" t="inlineStr">
        <is>
          <t>HEDEMORA</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43621-2024</t>
        </is>
      </c>
      <c r="B207" t="inlineStr">
        <is>
          <t>avverkningsanmälan</t>
        </is>
      </c>
      <c r="C207" t="inlineStr">
        <is>
          <t>Föryngringsavverkning</t>
        </is>
      </c>
      <c r="D207" s="1" t="n">
        <v>45569</v>
      </c>
      <c r="E207" s="1" t="n">
        <v>46306</v>
      </c>
      <c r="F207" t="inlineStr">
        <is>
          <t>DALARNAS LÄN</t>
        </is>
      </c>
      <c r="G207" t="inlineStr">
        <is>
          <t>HEDEMORA</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28180-2025</t>
        </is>
      </c>
      <c r="B208" t="inlineStr">
        <is>
          <t>avverkningsanmälan</t>
        </is>
      </c>
      <c r="C208" t="inlineStr">
        <is>
          <t>Föryngringsavverkning</t>
        </is>
      </c>
      <c r="D208" s="1" t="n">
        <v>45818</v>
      </c>
      <c r="E208" s="1" t="n">
        <v>46306</v>
      </c>
      <c r="F208" t="inlineStr">
        <is>
          <t>DALARNAS LÄN</t>
        </is>
      </c>
      <c r="G208" t="inlineStr">
        <is>
          <t>HEDEMORA</t>
        </is>
      </c>
      <c r="H208" t="inlineStr">
        <is>
          <t>Sveaskog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28182-2025</t>
        </is>
      </c>
      <c r="B209" t="inlineStr">
        <is>
          <t>avverkningsanmälan</t>
        </is>
      </c>
      <c r="C209" t="inlineStr">
        <is>
          <t>Föryngringsavverkning</t>
        </is>
      </c>
      <c r="D209" s="1" t="n">
        <v>45818</v>
      </c>
      <c r="E209" s="1" t="n">
        <v>46306</v>
      </c>
      <c r="F209" t="inlineStr">
        <is>
          <t>DALARNAS LÄN</t>
        </is>
      </c>
      <c r="G209" t="inlineStr">
        <is>
          <t>HEDEMORA</t>
        </is>
      </c>
      <c r="H209" t="inlineStr">
        <is>
          <t>Sveaskog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59632-2023</t>
        </is>
      </c>
      <c r="B210" t="inlineStr">
        <is>
          <t>avverkningsanmälan</t>
        </is>
      </c>
      <c r="C210" t="inlineStr">
        <is>
          <t>Föryngringsavverkning</t>
        </is>
      </c>
      <c r="D210" s="1" t="n">
        <v>45254</v>
      </c>
      <c r="E210" s="1" t="n">
        <v>46306</v>
      </c>
      <c r="F210" t="inlineStr">
        <is>
          <t>DALARNAS LÄN</t>
        </is>
      </c>
      <c r="G210" t="inlineStr">
        <is>
          <t>HEDEMORA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7052-2025</t>
        </is>
      </c>
      <c r="B211" t="inlineStr">
        <is>
          <t>avverkningsanmälan</t>
        </is>
      </c>
      <c r="C211" t="inlineStr">
        <is>
          <t>Föryngringsavverkning</t>
        </is>
      </c>
      <c r="D211" s="1" t="n">
        <v>45701</v>
      </c>
      <c r="E211" s="1" t="n">
        <v>46306</v>
      </c>
      <c r="F211" t="inlineStr">
        <is>
          <t>DALARNAS LÄN</t>
        </is>
      </c>
      <c r="G211" t="inlineStr">
        <is>
          <t>HEDEMORA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41642-2023</t>
        </is>
      </c>
      <c r="B212" t="inlineStr">
        <is>
          <t>avverkningsanmälan</t>
        </is>
      </c>
      <c r="C212" t="inlineStr">
        <is>
          <t>Föryngringsavverkning</t>
        </is>
      </c>
      <c r="D212" s="1" t="n">
        <v>45175</v>
      </c>
      <c r="E212" s="1" t="n">
        <v>46306</v>
      </c>
      <c r="F212" t="inlineStr">
        <is>
          <t>DALARNAS LÄN</t>
        </is>
      </c>
      <c r="G212" t="inlineStr">
        <is>
          <t>HEDEMORA</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30471-2025</t>
        </is>
      </c>
      <c r="B213" t="inlineStr">
        <is>
          <t>avverkningsanmälan</t>
        </is>
      </c>
      <c r="C213" t="inlineStr">
        <is>
          <t>Föryngringsavverkning</t>
        </is>
      </c>
      <c r="D213" s="1" t="n">
        <v>45827</v>
      </c>
      <c r="E213" s="1" t="n">
        <v>46306</v>
      </c>
      <c r="F213" t="inlineStr">
        <is>
          <t>DALARNAS LÄN</t>
        </is>
      </c>
      <c r="G213" t="inlineStr">
        <is>
          <t>HEDEMORA</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51615-2025</t>
        </is>
      </c>
      <c r="B214" t="inlineStr">
        <is>
          <t>avverkningsanmälan</t>
        </is>
      </c>
      <c r="C214" t="inlineStr">
        <is>
          <t>Föryngringsavverkning</t>
        </is>
      </c>
      <c r="D214" s="1" t="n">
        <v>45951</v>
      </c>
      <c r="E214" s="1" t="n">
        <v>46306</v>
      </c>
      <c r="F214" t="inlineStr">
        <is>
          <t>DALARNAS LÄN</t>
        </is>
      </c>
      <c r="G214" t="inlineStr">
        <is>
          <t>HEDEMORA</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63908-2021</t>
        </is>
      </c>
      <c r="B215" t="inlineStr">
        <is>
          <t>avverkningsanmälan</t>
        </is>
      </c>
      <c r="C215" t="inlineStr">
        <is>
          <t>Föryngringsavverkning</t>
        </is>
      </c>
      <c r="D215" s="1" t="n">
        <v>44509</v>
      </c>
      <c r="E215" s="1" t="n">
        <v>46306</v>
      </c>
      <c r="F215" t="inlineStr">
        <is>
          <t>DALARNAS LÄN</t>
        </is>
      </c>
      <c r="G215" t="inlineStr">
        <is>
          <t>HEDEMORA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54423-2023</t>
        </is>
      </c>
      <c r="B216" t="inlineStr">
        <is>
          <t>avverkningsanmälan</t>
        </is>
      </c>
      <c r="C216" t="inlineStr">
        <is>
          <t>Föryngringsavverkning</t>
        </is>
      </c>
      <c r="D216" s="1" t="n">
        <v>45233</v>
      </c>
      <c r="E216" s="1" t="n">
        <v>46306</v>
      </c>
      <c r="F216" t="inlineStr">
        <is>
          <t>DALARNAS LÄN</t>
        </is>
      </c>
      <c r="G216" t="inlineStr">
        <is>
          <t>HEDEMORA</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51695-2025</t>
        </is>
      </c>
      <c r="B217" t="inlineStr">
        <is>
          <t>avverkningsanmälan</t>
        </is>
      </c>
      <c r="C217" t="inlineStr">
        <is>
          <t>Föryngringsavverkning</t>
        </is>
      </c>
      <c r="D217" s="1" t="n">
        <v>45951</v>
      </c>
      <c r="E217" s="1" t="n">
        <v>46306</v>
      </c>
      <c r="F217" t="inlineStr">
        <is>
          <t>DALARNAS LÄN</t>
        </is>
      </c>
      <c r="G217" t="inlineStr">
        <is>
          <t>HEDEMORA</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52714-2025</t>
        </is>
      </c>
      <c r="B218" t="inlineStr">
        <is>
          <t>avverkningsanmälan</t>
        </is>
      </c>
      <c r="C218" t="inlineStr">
        <is>
          <t>Föryngringsavverkning</t>
        </is>
      </c>
      <c r="D218" s="1" t="n">
        <v>45953</v>
      </c>
      <c r="E218" s="1" t="n">
        <v>46306</v>
      </c>
      <c r="F218" t="inlineStr">
        <is>
          <t>DALARNAS LÄN</t>
        </is>
      </c>
      <c r="G218" t="inlineStr">
        <is>
          <t>HEDEMORA</t>
        </is>
      </c>
      <c r="H218" t="inlineStr">
        <is>
          <t>Bergvik skog väst AB</t>
        </is>
      </c>
      <c r="I218" t="n">
        <v>14.7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51943-2025</t>
        </is>
      </c>
      <c r="B219" t="inlineStr">
        <is>
          <t>avverkningsanmälan</t>
        </is>
      </c>
      <c r="C219" t="inlineStr">
        <is>
          <t>Föryngringsavverkning</t>
        </is>
      </c>
      <c r="D219" s="1" t="n">
        <v>45952</v>
      </c>
      <c r="E219" s="1" t="n">
        <v>46306</v>
      </c>
      <c r="F219" t="inlineStr">
        <is>
          <t>DALARNAS LÄN</t>
        </is>
      </c>
      <c r="G219" t="inlineStr">
        <is>
          <t>HEDEMORA</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17222-2025</t>
        </is>
      </c>
      <c r="B220" t="inlineStr">
        <is>
          <t>avverkningsanmälan</t>
        </is>
      </c>
      <c r="C220" t="inlineStr">
        <is>
          <t>Föryngringsavverkning</t>
        </is>
      </c>
      <c r="D220" s="1" t="n">
        <v>45756</v>
      </c>
      <c r="E220" s="1" t="n">
        <v>46306</v>
      </c>
      <c r="F220" t="inlineStr">
        <is>
          <t>DALARNAS LÄN</t>
        </is>
      </c>
      <c r="G220" t="inlineStr">
        <is>
          <t>HEDEMORA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59232-2023</t>
        </is>
      </c>
      <c r="B221" t="inlineStr">
        <is>
          <t>avverkningsanmälan</t>
        </is>
      </c>
      <c r="C221" t="inlineStr">
        <is>
          <t>Föryngringsavverkning</t>
        </is>
      </c>
      <c r="D221" s="1" t="n">
        <v>45253</v>
      </c>
      <c r="E221" s="1" t="n">
        <v>46306</v>
      </c>
      <c r="F221" t="inlineStr">
        <is>
          <t>DALARNAS LÄN</t>
        </is>
      </c>
      <c r="G221" t="inlineStr">
        <is>
          <t>HEDEMORA</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54040-2025</t>
        </is>
      </c>
      <c r="B222" t="inlineStr">
        <is>
          <t>avverkningsanmälan</t>
        </is>
      </c>
      <c r="C222" t="inlineStr">
        <is>
          <t>Föryngringsavverkning</t>
        </is>
      </c>
      <c r="D222" s="1" t="n">
        <v>45963</v>
      </c>
      <c r="E222" s="1" t="n">
        <v>46306</v>
      </c>
      <c r="F222" t="inlineStr">
        <is>
          <t>DALARNAS LÄN</t>
        </is>
      </c>
      <c r="G222" t="inlineStr">
        <is>
          <t>HEDEMORA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23435-2025</t>
        </is>
      </c>
      <c r="B223" t="inlineStr">
        <is>
          <t>avverkningsanmälan</t>
        </is>
      </c>
      <c r="C223" t="inlineStr">
        <is>
          <t>Föryngringsavverkning</t>
        </is>
      </c>
      <c r="D223" s="1" t="n">
        <v>45792</v>
      </c>
      <c r="E223" s="1" t="n">
        <v>46306</v>
      </c>
      <c r="F223" t="inlineStr">
        <is>
          <t>DALARNAS LÄN</t>
        </is>
      </c>
      <c r="G223" t="inlineStr">
        <is>
          <t>HEDEMORA</t>
        </is>
      </c>
      <c r="H223" t="inlineStr">
        <is>
          <t>Sveaskog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21869-2025</t>
        </is>
      </c>
      <c r="B224" t="inlineStr">
        <is>
          <t>avverkningsanmälan</t>
        </is>
      </c>
      <c r="C224" t="inlineStr">
        <is>
          <t>Föryngringsavverkning</t>
        </is>
      </c>
      <c r="D224" s="1" t="n">
        <v>45784</v>
      </c>
      <c r="E224" s="1" t="n">
        <v>46306</v>
      </c>
      <c r="F224" t="inlineStr">
        <is>
          <t>DALARNAS LÄN</t>
        </is>
      </c>
      <c r="G224" t="inlineStr">
        <is>
          <t>HEDEMORA</t>
        </is>
      </c>
      <c r="H224" t="inlineStr">
        <is>
          <t>Sveaskog</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32738-2022</t>
        </is>
      </c>
      <c r="B225" t="inlineStr">
        <is>
          <t>avverkningsanmälan</t>
        </is>
      </c>
      <c r="C225" t="inlineStr">
        <is>
          <t>Föryngringsavverkning</t>
        </is>
      </c>
      <c r="D225" s="1" t="n">
        <v>44783</v>
      </c>
      <c r="E225" s="1" t="n">
        <v>46306</v>
      </c>
      <c r="F225" t="inlineStr">
        <is>
          <t>DALARNAS LÄN</t>
        </is>
      </c>
      <c r="G225" t="inlineStr">
        <is>
          <t>HEDEMORA</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33287-2025</t>
        </is>
      </c>
      <c r="B226" t="inlineStr">
        <is>
          <t>avverkningsanmälan</t>
        </is>
      </c>
      <c r="C226" t="inlineStr">
        <is>
          <t>Föryngringsavverkning</t>
        </is>
      </c>
      <c r="D226" s="1" t="n">
        <v>45840</v>
      </c>
      <c r="E226" s="1" t="n">
        <v>46306</v>
      </c>
      <c r="F226" t="inlineStr">
        <is>
          <t>DALARNAS LÄN</t>
        </is>
      </c>
      <c r="G226" t="inlineStr">
        <is>
          <t>HEDEMORA</t>
        </is>
      </c>
      <c r="H226" t="inlineStr">
        <is>
          <t>Sveaskog</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45589-2023</t>
        </is>
      </c>
      <c r="B227" t="inlineStr">
        <is>
          <t>avverkningsanmälan</t>
        </is>
      </c>
      <c r="C227" t="inlineStr">
        <is>
          <t>Föryngringsavverkning</t>
        </is>
      </c>
      <c r="D227" s="1" t="n">
        <v>45194</v>
      </c>
      <c r="E227" s="1" t="n">
        <v>46306</v>
      </c>
      <c r="F227" t="inlineStr">
        <is>
          <t>DALARNAS LÄN</t>
        </is>
      </c>
      <c r="G227" t="inlineStr">
        <is>
          <t>HEDEMORA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33009-2025</t>
        </is>
      </c>
      <c r="B228" t="inlineStr">
        <is>
          <t>avverkningsanmälan</t>
        </is>
      </c>
      <c r="C228" t="inlineStr">
        <is>
          <t>Föryngringsavverkning</t>
        </is>
      </c>
      <c r="D228" s="1" t="n">
        <v>45840</v>
      </c>
      <c r="E228" s="1" t="n">
        <v>46306</v>
      </c>
      <c r="F228" t="inlineStr">
        <is>
          <t>DALARNAS LÄN</t>
        </is>
      </c>
      <c r="G228" t="inlineStr">
        <is>
          <t>HEDEMORA</t>
        </is>
      </c>
      <c r="H228" t="inlineStr">
        <is>
          <t>Kyrkan</t>
        </is>
      </c>
      <c r="I228" t="n">
        <v>7.6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55159-2025</t>
        </is>
      </c>
      <c r="B229" t="inlineStr">
        <is>
          <t>avverkningsanmälan</t>
        </is>
      </c>
      <c r="C229" t="inlineStr">
        <is>
          <t>Föryngringsavverkning</t>
        </is>
      </c>
      <c r="D229" s="1" t="n">
        <v>45968</v>
      </c>
      <c r="E229" s="1" t="n">
        <v>46306</v>
      </c>
      <c r="F229" t="inlineStr">
        <is>
          <t>DALARNAS LÄN</t>
        </is>
      </c>
      <c r="G229" t="inlineStr">
        <is>
          <t>HEDEMORA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48147-2025</t>
        </is>
      </c>
      <c r="B230" t="inlineStr">
        <is>
          <t>avverkningsanmälan</t>
        </is>
      </c>
      <c r="C230" t="inlineStr">
        <is>
          <t>Föryngringsavverkning</t>
        </is>
      </c>
      <c r="D230" s="1" t="n">
        <v>45933</v>
      </c>
      <c r="E230" s="1" t="n">
        <v>46306</v>
      </c>
      <c r="F230" t="inlineStr">
        <is>
          <t>DALARNAS LÄN</t>
        </is>
      </c>
      <c r="G230" t="inlineStr">
        <is>
          <t>HEDEMORA</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21092-2023</t>
        </is>
      </c>
      <c r="B231" t="inlineStr">
        <is>
          <t>avverkningsanmälan</t>
        </is>
      </c>
      <c r="C231" t="inlineStr">
        <is>
          <t>Avverkning för annat ändamål</t>
        </is>
      </c>
      <c r="D231" s="1" t="n">
        <v>45061</v>
      </c>
      <c r="E231" s="1" t="n">
        <v>46306</v>
      </c>
      <c r="F231" t="inlineStr">
        <is>
          <t>DALARNAS LÄN</t>
        </is>
      </c>
      <c r="G231" t="inlineStr">
        <is>
          <t>HEDEMORA</t>
        </is>
      </c>
      <c r="H231" t="inlineStr">
        <is>
          <t>Sveaskog</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39389-2025</t>
        </is>
      </c>
      <c r="B232" t="inlineStr">
        <is>
          <t>avverkningsanmälan</t>
        </is>
      </c>
      <c r="C232" t="inlineStr">
        <is>
          <t>Föryngringsavverkning</t>
        </is>
      </c>
      <c r="D232" s="1" t="n">
        <v>45889</v>
      </c>
      <c r="E232" s="1" t="n">
        <v>46306</v>
      </c>
      <c r="F232" t="inlineStr">
        <is>
          <t>DALARNAS LÄN</t>
        </is>
      </c>
      <c r="G232" t="inlineStr">
        <is>
          <t>HEDEMORA</t>
        </is>
      </c>
      <c r="H232" t="inlineStr">
        <is>
          <t>Sveaskog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62398-2023</t>
        </is>
      </c>
      <c r="B233" t="inlineStr">
        <is>
          <t>avverkningsanmälan</t>
        </is>
      </c>
      <c r="C233" t="inlineStr">
        <is>
          <t>Föryngringsavverkning</t>
        </is>
      </c>
      <c r="D233" s="1" t="n">
        <v>45268</v>
      </c>
      <c r="E233" s="1" t="n">
        <v>46306</v>
      </c>
      <c r="F233" t="inlineStr">
        <is>
          <t>DALARNAS LÄN</t>
        </is>
      </c>
      <c r="G233" t="inlineStr">
        <is>
          <t>HEDEMORA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33286-2025</t>
        </is>
      </c>
      <c r="B234" t="inlineStr">
        <is>
          <t>avverkningsanmälan</t>
        </is>
      </c>
      <c r="C234" t="inlineStr">
        <is>
          <t>Föryngringsavverkning</t>
        </is>
      </c>
      <c r="D234" s="1" t="n">
        <v>45840</v>
      </c>
      <c r="E234" s="1" t="n">
        <v>46306</v>
      </c>
      <c r="F234" t="inlineStr">
        <is>
          <t>DALARNAS LÄN</t>
        </is>
      </c>
      <c r="G234" t="inlineStr">
        <is>
          <t>HEDEMORA</t>
        </is>
      </c>
      <c r="H234" t="inlineStr">
        <is>
          <t>Sveaskog</t>
        </is>
      </c>
      <c r="I234" t="n">
        <v>7.1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34409-2022</t>
        </is>
      </c>
      <c r="B235" t="inlineStr">
        <is>
          <t>avverkningsanmälan</t>
        </is>
      </c>
      <c r="C235" t="inlineStr">
        <is>
          <t>Föryngringsavverkning</t>
        </is>
      </c>
      <c r="D235" s="1" t="n">
        <v>44792</v>
      </c>
      <c r="E235" s="1" t="n">
        <v>46306</v>
      </c>
      <c r="F235" t="inlineStr">
        <is>
          <t>DALARNAS LÄN</t>
        </is>
      </c>
      <c r="G235" t="inlineStr">
        <is>
          <t>HEDEMORA</t>
        </is>
      </c>
      <c r="I235" t="n">
        <v>13.7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33288-2025</t>
        </is>
      </c>
      <c r="B236" t="inlineStr">
        <is>
          <t>avverkningsanmälan</t>
        </is>
      </c>
      <c r="C236" t="inlineStr">
        <is>
          <t>Föryngringsavverkning</t>
        </is>
      </c>
      <c r="D236" s="1" t="n">
        <v>45840</v>
      </c>
      <c r="E236" s="1" t="n">
        <v>46306</v>
      </c>
      <c r="F236" t="inlineStr">
        <is>
          <t>DALARNAS LÄN</t>
        </is>
      </c>
      <c r="G236" t="inlineStr">
        <is>
          <t>HEDEMORA</t>
        </is>
      </c>
      <c r="H236" t="inlineStr">
        <is>
          <t>Sveaskog</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55606-2025</t>
        </is>
      </c>
      <c r="B237" t="inlineStr">
        <is>
          <t>avverkningsanmälan</t>
        </is>
      </c>
      <c r="C237" t="inlineStr">
        <is>
          <t>Föryngringsavverkning</t>
        </is>
      </c>
      <c r="D237" s="1" t="n">
        <v>45971</v>
      </c>
      <c r="E237" s="1" t="n">
        <v>46306</v>
      </c>
      <c r="F237" t="inlineStr">
        <is>
          <t>DALARNAS LÄN</t>
        </is>
      </c>
      <c r="G237" t="inlineStr">
        <is>
          <t>HEDEMORA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36900-2022</t>
        </is>
      </c>
      <c r="B238" t="inlineStr">
        <is>
          <t>avverkningsanmälan</t>
        </is>
      </c>
      <c r="C238" t="inlineStr">
        <is>
          <t>Föryngringsavverkning</t>
        </is>
      </c>
      <c r="D238" s="1" t="n">
        <v>44805</v>
      </c>
      <c r="E238" s="1" t="n">
        <v>46306</v>
      </c>
      <c r="F238" t="inlineStr">
        <is>
          <t>DALARNAS LÄN</t>
        </is>
      </c>
      <c r="G238" t="inlineStr">
        <is>
          <t>HEDEMORA</t>
        </is>
      </c>
      <c r="H238" t="inlineStr">
        <is>
          <t>Sveaskog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3089-2024</t>
        </is>
      </c>
      <c r="B239" t="inlineStr">
        <is>
          <t>avverkningsanmälan</t>
        </is>
      </c>
      <c r="C239" t="inlineStr">
        <is>
          <t>Föryngringsavverkning</t>
        </is>
      </c>
      <c r="D239" s="1" t="n">
        <v>45316</v>
      </c>
      <c r="E239" s="1" t="n">
        <v>46306</v>
      </c>
      <c r="F239" t="inlineStr">
        <is>
          <t>DALARNAS LÄN</t>
        </is>
      </c>
      <c r="G239" t="inlineStr">
        <is>
          <t>HEDEMORA</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34734-2025</t>
        </is>
      </c>
      <c r="B240" t="inlineStr">
        <is>
          <t>avverkningsanmälan</t>
        </is>
      </c>
      <c r="C240" t="inlineStr">
        <is>
          <t>Föryngringsavverkning</t>
        </is>
      </c>
      <c r="D240" s="1" t="n">
        <v>45848</v>
      </c>
      <c r="E240" s="1" t="n">
        <v>46306</v>
      </c>
      <c r="F240" t="inlineStr">
        <is>
          <t>DALARNAS LÄN</t>
        </is>
      </c>
      <c r="G240" t="inlineStr">
        <is>
          <t>HEDEMORA</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62386-2023</t>
        </is>
      </c>
      <c r="B241" t="inlineStr">
        <is>
          <t>avverkningsanmälan</t>
        </is>
      </c>
      <c r="C241" t="inlineStr">
        <is>
          <t>Föryngringsavverkning</t>
        </is>
      </c>
      <c r="D241" s="1" t="n">
        <v>45268</v>
      </c>
      <c r="E241" s="1" t="n">
        <v>46306</v>
      </c>
      <c r="F241" t="inlineStr">
        <is>
          <t>DALARNAS LÄN</t>
        </is>
      </c>
      <c r="G241" t="inlineStr">
        <is>
          <t>HEDEMORA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56070-2025</t>
        </is>
      </c>
      <c r="B242" t="inlineStr">
        <is>
          <t>avverkningsanmälan</t>
        </is>
      </c>
      <c r="C242" t="inlineStr">
        <is>
          <t>Föryngringsavverkning</t>
        </is>
      </c>
      <c r="D242" s="1" t="n">
        <v>45973</v>
      </c>
      <c r="E242" s="1" t="n">
        <v>46306</v>
      </c>
      <c r="F242" t="inlineStr">
        <is>
          <t>DALARNAS LÄN</t>
        </is>
      </c>
      <c r="G242" t="inlineStr">
        <is>
          <t>HEDEMORA</t>
        </is>
      </c>
      <c r="H242" t="inlineStr">
        <is>
          <t>Bergvik skog väst AB</t>
        </is>
      </c>
      <c r="I242" t="n">
        <v>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15048-2025</t>
        </is>
      </c>
      <c r="B243" t="inlineStr">
        <is>
          <t>avverkningsanmälan</t>
        </is>
      </c>
      <c r="C243" t="inlineStr">
        <is>
          <t>Föryngringsavverkning</t>
        </is>
      </c>
      <c r="D243" s="1" t="n">
        <v>45743</v>
      </c>
      <c r="E243" s="1" t="n">
        <v>46306</v>
      </c>
      <c r="F243" t="inlineStr">
        <is>
          <t>DALARNAS LÄN</t>
        </is>
      </c>
      <c r="G243" t="inlineStr">
        <is>
          <t>HEDEMORA</t>
        </is>
      </c>
      <c r="H243" t="inlineStr">
        <is>
          <t>Sveaskog</t>
        </is>
      </c>
      <c r="I243" t="n">
        <v>9.1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17594-2025</t>
        </is>
      </c>
      <c r="B244" t="inlineStr">
        <is>
          <t>avverkningsanmälan</t>
        </is>
      </c>
      <c r="C244" t="inlineStr">
        <is>
          <t>Föryngringsavverkning</t>
        </is>
      </c>
      <c r="D244" s="1" t="n">
        <v>45757</v>
      </c>
      <c r="E244" s="1" t="n">
        <v>46306</v>
      </c>
      <c r="F244" t="inlineStr">
        <is>
          <t>DALARNAS LÄN</t>
        </is>
      </c>
      <c r="G244" t="inlineStr">
        <is>
          <t>HEDEMORA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36117-2025</t>
        </is>
      </c>
      <c r="B245" t="inlineStr">
        <is>
          <t>avverkningsanmälan</t>
        </is>
      </c>
      <c r="C245" t="inlineStr">
        <is>
          <t>Föryngringsavverkning</t>
        </is>
      </c>
      <c r="D245" s="1" t="n">
        <v>45866</v>
      </c>
      <c r="E245" s="1" t="n">
        <v>46306</v>
      </c>
      <c r="F245" t="inlineStr">
        <is>
          <t>DALARNAS LÄN</t>
        </is>
      </c>
      <c r="G245" t="inlineStr">
        <is>
          <t>HEDEMORA</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36075-2025</t>
        </is>
      </c>
      <c r="B246" t="inlineStr">
        <is>
          <t>avverkningsanmälan</t>
        </is>
      </c>
      <c r="C246" t="inlineStr">
        <is>
          <t>Avverkning för annat ändamål</t>
        </is>
      </c>
      <c r="D246" s="1" t="n">
        <v>45866</v>
      </c>
      <c r="E246" s="1" t="n">
        <v>46306</v>
      </c>
      <c r="F246" t="inlineStr">
        <is>
          <t>DALARNAS LÄN</t>
        </is>
      </c>
      <c r="G246" t="inlineStr">
        <is>
          <t>HEDEMORA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36206-2025</t>
        </is>
      </c>
      <c r="B247" t="inlineStr">
        <is>
          <t>avverkningsanmälan</t>
        </is>
      </c>
      <c r="C247" t="inlineStr">
        <is>
          <t>Avverkning för annat ändamål</t>
        </is>
      </c>
      <c r="D247" s="1" t="n">
        <v>45867</v>
      </c>
      <c r="E247" s="1" t="n">
        <v>46306</v>
      </c>
      <c r="F247" t="inlineStr">
        <is>
          <t>DALARNAS LÄN</t>
        </is>
      </c>
      <c r="G247" t="inlineStr">
        <is>
          <t>HEDEMORA</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56679-2025</t>
        </is>
      </c>
      <c r="B248" t="inlineStr">
        <is>
          <t>avverkningsanmälan</t>
        </is>
      </c>
      <c r="C248" t="inlineStr">
        <is>
          <t>Föryngringsavverkning</t>
        </is>
      </c>
      <c r="D248" s="1" t="n">
        <v>45975</v>
      </c>
      <c r="E248" s="1" t="n">
        <v>46306</v>
      </c>
      <c r="F248" t="inlineStr">
        <is>
          <t>DALARNAS LÄN</t>
        </is>
      </c>
      <c r="G248" t="inlineStr">
        <is>
          <t>HEDEMORA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8342-2025</t>
        </is>
      </c>
      <c r="B249" t="inlineStr">
        <is>
          <t>avverkningsanmälan</t>
        </is>
      </c>
      <c r="C249" t="inlineStr">
        <is>
          <t>Avverkning för annat ändamål</t>
        </is>
      </c>
      <c r="D249" s="1" t="n">
        <v>45708</v>
      </c>
      <c r="E249" s="1" t="n">
        <v>46306</v>
      </c>
      <c r="F249" t="inlineStr">
        <is>
          <t>DALARNAS LÄN</t>
        </is>
      </c>
      <c r="G249" t="inlineStr">
        <is>
          <t>HEDEMORA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62188-2023</t>
        </is>
      </c>
      <c r="B250" t="inlineStr">
        <is>
          <t>avverkningsanmälan</t>
        </is>
      </c>
      <c r="C250" t="inlineStr">
        <is>
          <t>Föryngringsavverkning</t>
        </is>
      </c>
      <c r="D250" s="1" t="n">
        <v>45267</v>
      </c>
      <c r="E250" s="1" t="n">
        <v>46306</v>
      </c>
      <c r="F250" t="inlineStr">
        <is>
          <t>DALARNAS LÄN</t>
        </is>
      </c>
      <c r="G250" t="inlineStr">
        <is>
          <t>HEDEMORA</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15833-2025</t>
        </is>
      </c>
      <c r="B251" t="inlineStr">
        <is>
          <t>avverkningsanmälan</t>
        </is>
      </c>
      <c r="C251" t="inlineStr">
        <is>
          <t>Föryngringsavverkning</t>
        </is>
      </c>
      <c r="D251" s="1" t="n">
        <v>45748</v>
      </c>
      <c r="E251" s="1" t="n">
        <v>46306</v>
      </c>
      <c r="F251" t="inlineStr">
        <is>
          <t>DALARNAS LÄN</t>
        </is>
      </c>
      <c r="G251" t="inlineStr">
        <is>
          <t>HEDEMORA</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60408-2021</t>
        </is>
      </c>
      <c r="B252" t="inlineStr">
        <is>
          <t>avverkningsanmälan</t>
        </is>
      </c>
      <c r="C252" t="inlineStr">
        <is>
          <t>Föryngringsavverkning</t>
        </is>
      </c>
      <c r="D252" s="1" t="n">
        <v>44495</v>
      </c>
      <c r="E252" s="1" t="n">
        <v>46306</v>
      </c>
      <c r="F252" t="inlineStr">
        <is>
          <t>DALARNAS LÄN</t>
        </is>
      </c>
      <c r="G252" t="inlineStr">
        <is>
          <t>HEDEMORA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62401-2023</t>
        </is>
      </c>
      <c r="B253" t="inlineStr">
        <is>
          <t>avverkningsanmälan</t>
        </is>
      </c>
      <c r="C253" t="inlineStr">
        <is>
          <t>Föryngringsavverkning</t>
        </is>
      </c>
      <c r="D253" s="1" t="n">
        <v>45268</v>
      </c>
      <c r="E253" s="1" t="n">
        <v>46306</v>
      </c>
      <c r="F253" t="inlineStr">
        <is>
          <t>DALARNAS LÄN</t>
        </is>
      </c>
      <c r="G253" t="inlineStr">
        <is>
          <t>HEDEMORA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12136-2025</t>
        </is>
      </c>
      <c r="B254" t="inlineStr">
        <is>
          <t>avverkningsanmälan</t>
        </is>
      </c>
      <c r="C254" t="inlineStr">
        <is>
          <t>Föryngringsavverkning</t>
        </is>
      </c>
      <c r="D254" s="1" t="n">
        <v>45729</v>
      </c>
      <c r="E254" s="1" t="n">
        <v>46306</v>
      </c>
      <c r="F254" t="inlineStr">
        <is>
          <t>DALARNAS LÄN</t>
        </is>
      </c>
      <c r="G254" t="inlineStr">
        <is>
          <t>HEDEMORA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21868-2025</t>
        </is>
      </c>
      <c r="B255" t="inlineStr">
        <is>
          <t>avverkningsanmälan</t>
        </is>
      </c>
      <c r="C255" t="inlineStr">
        <is>
          <t>Föryngringsavverkning</t>
        </is>
      </c>
      <c r="D255" s="1" t="n">
        <v>45784</v>
      </c>
      <c r="E255" s="1" t="n">
        <v>46306</v>
      </c>
      <c r="F255" t="inlineStr">
        <is>
          <t>DALARNAS LÄN</t>
        </is>
      </c>
      <c r="G255" t="inlineStr">
        <is>
          <t>HEDEMORA</t>
        </is>
      </c>
      <c r="H255" t="inlineStr">
        <is>
          <t>Sveaskog</t>
        </is>
      </c>
      <c r="I255" t="n">
        <v>10.1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14228-2026</t>
        </is>
      </c>
      <c r="B256" t="inlineStr">
        <is>
          <t>avverkningsanmälan</t>
        </is>
      </c>
      <c r="C256" t="inlineStr">
        <is>
          <t>Föryngringsavverkning</t>
        </is>
      </c>
      <c r="D256" s="1" t="n">
        <v>46099</v>
      </c>
      <c r="E256" s="1" t="n">
        <v>46306</v>
      </c>
      <c r="F256" t="inlineStr">
        <is>
          <t>DALARNAS LÄN</t>
        </is>
      </c>
      <c r="G256" t="inlineStr">
        <is>
          <t>HEDEMORA</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53923-2024</t>
        </is>
      </c>
      <c r="B257" t="inlineStr">
        <is>
          <t>avverkningsanmälan</t>
        </is>
      </c>
      <c r="C257" t="inlineStr">
        <is>
          <t>Föryngringsavverkning</t>
        </is>
      </c>
      <c r="D257" s="1" t="n">
        <v>45615</v>
      </c>
      <c r="E257" s="1" t="n">
        <v>46306</v>
      </c>
      <c r="F257" t="inlineStr">
        <is>
          <t>DALARNAS LÄN</t>
        </is>
      </c>
      <c r="G257" t="inlineStr">
        <is>
          <t>HEDEMORA</t>
        </is>
      </c>
      <c r="H257" t="inlineStr">
        <is>
          <t>Sveaskog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50333-2023</t>
        </is>
      </c>
      <c r="B258" t="inlineStr">
        <is>
          <t>avverkningsanmälan</t>
        </is>
      </c>
      <c r="C258" t="inlineStr">
        <is>
          <t>Avverkning för att bevara och utveckla /försöksver</t>
        </is>
      </c>
      <c r="D258" s="1" t="n">
        <v>45216</v>
      </c>
      <c r="E258" s="1" t="n">
        <v>46306</v>
      </c>
      <c r="F258" t="inlineStr">
        <is>
          <t>DALARNAS LÄN</t>
        </is>
      </c>
      <c r="G258" t="inlineStr">
        <is>
          <t>HEDEMORA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13937-2026</t>
        </is>
      </c>
      <c r="B259" t="inlineStr">
        <is>
          <t>avverkningsanmälan</t>
        </is>
      </c>
      <c r="C259" t="inlineStr">
        <is>
          <t>Föryngringsavverkning</t>
        </is>
      </c>
      <c r="D259" s="1" t="n">
        <v>46098</v>
      </c>
      <c r="E259" s="1" t="n">
        <v>46306</v>
      </c>
      <c r="F259" t="inlineStr">
        <is>
          <t>DALARNAS LÄN</t>
        </is>
      </c>
      <c r="G259" t="inlineStr">
        <is>
          <t>HEDEMORA</t>
        </is>
      </c>
      <c r="H259" t="inlineStr">
        <is>
          <t>Sveaskog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13913-2026</t>
        </is>
      </c>
      <c r="B260" t="inlineStr">
        <is>
          <t>avverkningsanmälan</t>
        </is>
      </c>
      <c r="C260" t="inlineStr">
        <is>
          <t>Föryngringsavverkning</t>
        </is>
      </c>
      <c r="D260" s="1" t="n">
        <v>46098</v>
      </c>
      <c r="E260" s="1" t="n">
        <v>46306</v>
      </c>
      <c r="F260" t="inlineStr">
        <is>
          <t>DALARNAS LÄN</t>
        </is>
      </c>
      <c r="G260" t="inlineStr">
        <is>
          <t>HEDEMORA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13847-2026</t>
        </is>
      </c>
      <c r="B261" t="inlineStr">
        <is>
          <t>avverkningsanmälan</t>
        </is>
      </c>
      <c r="C261" t="inlineStr">
        <is>
          <t>Föryngringsavverkning</t>
        </is>
      </c>
      <c r="D261" s="1" t="n">
        <v>46098</v>
      </c>
      <c r="E261" s="1" t="n">
        <v>46306</v>
      </c>
      <c r="F261" t="inlineStr">
        <is>
          <t>DALARNAS LÄN</t>
        </is>
      </c>
      <c r="G261" t="inlineStr">
        <is>
          <t>HEDEMORA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13840-2026</t>
        </is>
      </c>
      <c r="B262" t="inlineStr">
        <is>
          <t>avverkningsanmälan</t>
        </is>
      </c>
      <c r="C262" t="inlineStr">
        <is>
          <t>Föryngringsavverkning</t>
        </is>
      </c>
      <c r="D262" s="1" t="n">
        <v>46098</v>
      </c>
      <c r="E262" s="1" t="n">
        <v>46306</v>
      </c>
      <c r="F262" t="inlineStr">
        <is>
          <t>DALARNAS LÄN</t>
        </is>
      </c>
      <c r="G262" t="inlineStr">
        <is>
          <t>HEDEMORA</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13916-2026</t>
        </is>
      </c>
      <c r="B263" t="inlineStr">
        <is>
          <t>avverkningsanmälan</t>
        </is>
      </c>
      <c r="C263" t="inlineStr">
        <is>
          <t>Föryngringsavverkning</t>
        </is>
      </c>
      <c r="D263" s="1" t="n">
        <v>46098</v>
      </c>
      <c r="E263" s="1" t="n">
        <v>46306</v>
      </c>
      <c r="F263" t="inlineStr">
        <is>
          <t>DALARNAS LÄN</t>
        </is>
      </c>
      <c r="G263" t="inlineStr">
        <is>
          <t>HEDEMORA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385-2024</t>
        </is>
      </c>
      <c r="B264" t="inlineStr">
        <is>
          <t>avverkningsanmälan</t>
        </is>
      </c>
      <c r="C264" t="inlineStr">
        <is>
          <t>Föryngringsavverkning</t>
        </is>
      </c>
      <c r="D264" s="1" t="n">
        <v>45296</v>
      </c>
      <c r="E264" s="1" t="n">
        <v>46306</v>
      </c>
      <c r="F264" t="inlineStr">
        <is>
          <t>DALARNAS LÄN</t>
        </is>
      </c>
      <c r="G264" t="inlineStr">
        <is>
          <t>HEDEMORA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14197-2026</t>
        </is>
      </c>
      <c r="B265" t="inlineStr">
        <is>
          <t>avverkningsanmälan</t>
        </is>
      </c>
      <c r="C265" t="inlineStr">
        <is>
          <t>Föryngringsavverkning</t>
        </is>
      </c>
      <c r="D265" s="1" t="n">
        <v>46099</v>
      </c>
      <c r="E265" s="1" t="n">
        <v>46306</v>
      </c>
      <c r="F265" t="inlineStr">
        <is>
          <t>DALARNAS LÄN</t>
        </is>
      </c>
      <c r="G265" t="inlineStr">
        <is>
          <t>HEDEMORA</t>
        </is>
      </c>
      <c r="H265" t="inlineStr">
        <is>
          <t>Sveaskog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22270-2023</t>
        </is>
      </c>
      <c r="B266" t="inlineStr">
        <is>
          <t>avverkningsanmälan</t>
        </is>
      </c>
      <c r="C266" t="inlineStr">
        <is>
          <t>Föryngringsavverkning</t>
        </is>
      </c>
      <c r="D266" s="1" t="n">
        <v>45070</v>
      </c>
      <c r="E266" s="1" t="n">
        <v>46306</v>
      </c>
      <c r="F266" t="inlineStr">
        <is>
          <t>DALARNAS LÄN</t>
        </is>
      </c>
      <c r="G266" t="inlineStr">
        <is>
          <t>HEDEMORA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53576-2023</t>
        </is>
      </c>
      <c r="B267" t="inlineStr">
        <is>
          <t>avverkningsanmälan</t>
        </is>
      </c>
      <c r="C267" t="inlineStr">
        <is>
          <t>Föryngringsavverkning</t>
        </is>
      </c>
      <c r="D267" s="1" t="n">
        <v>45230</v>
      </c>
      <c r="E267" s="1" t="n">
        <v>46306</v>
      </c>
      <c r="F267" t="inlineStr">
        <is>
          <t>DALARNAS LÄN</t>
        </is>
      </c>
      <c r="G267" t="inlineStr">
        <is>
          <t>HEDEMORA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15146-2026</t>
        </is>
      </c>
      <c r="B268" t="inlineStr">
        <is>
          <t>avverkningsanmälan</t>
        </is>
      </c>
      <c r="C268" t="inlineStr">
        <is>
          <t>Föryngringsavverkning</t>
        </is>
      </c>
      <c r="D268" s="1" t="n">
        <v>46105</v>
      </c>
      <c r="E268" s="1" t="n">
        <v>46306</v>
      </c>
      <c r="F268" t="inlineStr">
        <is>
          <t>DALARNAS LÄN</t>
        </is>
      </c>
      <c r="G268" t="inlineStr">
        <is>
          <t>HEDEMORA</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15232-2026</t>
        </is>
      </c>
      <c r="B269" t="inlineStr">
        <is>
          <t>avverkningsanmälan</t>
        </is>
      </c>
      <c r="C269" t="inlineStr">
        <is>
          <t>Föryngringsavverkning</t>
        </is>
      </c>
      <c r="D269" s="1" t="n">
        <v>46105</v>
      </c>
      <c r="E269" s="1" t="n">
        <v>46306</v>
      </c>
      <c r="F269" t="inlineStr">
        <is>
          <t>DALARNAS LÄN</t>
        </is>
      </c>
      <c r="G269" t="inlineStr">
        <is>
          <t>HEDEMORA</t>
        </is>
      </c>
      <c r="H269" t="inlineStr">
        <is>
          <t>Sveaskog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27610-2024</t>
        </is>
      </c>
      <c r="B270" t="inlineStr">
        <is>
          <t>avverkningsanmälan</t>
        </is>
      </c>
      <c r="C270" t="inlineStr">
        <is>
          <t>Föryngringsavverkning</t>
        </is>
      </c>
      <c r="D270" s="1" t="n">
        <v>45474</v>
      </c>
      <c r="E270" s="1" t="n">
        <v>46306</v>
      </c>
      <c r="F270" t="inlineStr">
        <is>
          <t>DALARNAS LÄN</t>
        </is>
      </c>
      <c r="G270" t="inlineStr">
        <is>
          <t>HEDEMORA</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40919-2023</t>
        </is>
      </c>
      <c r="B271" t="inlineStr">
        <is>
          <t>avverkningsanmälan</t>
        </is>
      </c>
      <c r="C271" t="inlineStr">
        <is>
          <t>Föryngringsavverkning</t>
        </is>
      </c>
      <c r="D271" s="1" t="n">
        <v>45173</v>
      </c>
      <c r="E271" s="1" t="n">
        <v>46306</v>
      </c>
      <c r="F271" t="inlineStr">
        <is>
          <t>DALARNAS LÄN</t>
        </is>
      </c>
      <c r="G271" t="inlineStr">
        <is>
          <t>HEDEMORA</t>
        </is>
      </c>
      <c r="H271" t="inlineStr">
        <is>
          <t>Bergvik skog väst AB</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37574-2025</t>
        </is>
      </c>
      <c r="B272" t="inlineStr">
        <is>
          <t>avverkningsanmälan</t>
        </is>
      </c>
      <c r="C272" t="inlineStr">
        <is>
          <t>Föryngringsavverkning</t>
        </is>
      </c>
      <c r="D272" s="1" t="n">
        <v>45880</v>
      </c>
      <c r="E272" s="1" t="n">
        <v>46306</v>
      </c>
      <c r="F272" t="inlineStr">
        <is>
          <t>DALARNAS LÄN</t>
        </is>
      </c>
      <c r="G272" t="inlineStr">
        <is>
          <t>HEDEMORA</t>
        </is>
      </c>
      <c r="H272" t="inlineStr">
        <is>
          <t>Sveaskog</t>
        </is>
      </c>
      <c r="I272" t="n">
        <v>5.7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16260-2026</t>
        </is>
      </c>
      <c r="B273" t="inlineStr">
        <is>
          <t>avverkningsanmälan</t>
        </is>
      </c>
      <c r="C273" t="inlineStr">
        <is>
          <t>Föryngringsavverkning</t>
        </is>
      </c>
      <c r="D273" s="1" t="n">
        <v>46108</v>
      </c>
      <c r="E273" s="1" t="n">
        <v>46306</v>
      </c>
      <c r="F273" t="inlineStr">
        <is>
          <t>DALARNAS LÄN</t>
        </is>
      </c>
      <c r="G273" t="inlineStr">
        <is>
          <t>HEDEMORA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16279-2026</t>
        </is>
      </c>
      <c r="B274" t="inlineStr">
        <is>
          <t>avverkningsanmälan</t>
        </is>
      </c>
      <c r="C274" t="inlineStr">
        <is>
          <t>Föryngringsavverkning</t>
        </is>
      </c>
      <c r="D274" s="1" t="n">
        <v>46111</v>
      </c>
      <c r="E274" s="1" t="n">
        <v>46306</v>
      </c>
      <c r="F274" t="inlineStr">
        <is>
          <t>DALARNAS LÄN</t>
        </is>
      </c>
      <c r="G274" t="inlineStr">
        <is>
          <t>HEDEMORA</t>
        </is>
      </c>
      <c r="I274" t="n">
        <v>7.6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37573-2025</t>
        </is>
      </c>
      <c r="B275" t="inlineStr">
        <is>
          <t>avverkningsanmälan</t>
        </is>
      </c>
      <c r="C275" t="inlineStr">
        <is>
          <t>Föryngringsavverkning</t>
        </is>
      </c>
      <c r="D275" s="1" t="n">
        <v>45880</v>
      </c>
      <c r="E275" s="1" t="n">
        <v>46306</v>
      </c>
      <c r="F275" t="inlineStr">
        <is>
          <t>DALARNAS LÄN</t>
        </is>
      </c>
      <c r="G275" t="inlineStr">
        <is>
          <t>HEDEMORA</t>
        </is>
      </c>
      <c r="H275" t="inlineStr">
        <is>
          <t>Sveaskog</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16282-2026</t>
        </is>
      </c>
      <c r="B276" t="inlineStr">
        <is>
          <t>avverkningsanmälan</t>
        </is>
      </c>
      <c r="C276" t="inlineStr">
        <is>
          <t>Föryngringsavverkning</t>
        </is>
      </c>
      <c r="D276" s="1" t="n">
        <v>46111</v>
      </c>
      <c r="E276" s="1" t="n">
        <v>46306</v>
      </c>
      <c r="F276" t="inlineStr">
        <is>
          <t>DALARNAS LÄN</t>
        </is>
      </c>
      <c r="G276" t="inlineStr">
        <is>
          <t>HEDEMORA</t>
        </is>
      </c>
      <c r="I276" t="n">
        <v>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1917-2022</t>
        </is>
      </c>
      <c r="B277" t="inlineStr">
        <is>
          <t>avverkningsanmälan</t>
        </is>
      </c>
      <c r="C277" t="inlineStr">
        <is>
          <t>Avverkning för annat ändamål</t>
        </is>
      </c>
      <c r="D277" s="1" t="n">
        <v>44574</v>
      </c>
      <c r="E277" s="1" t="n">
        <v>46306</v>
      </c>
      <c r="F277" t="inlineStr">
        <is>
          <t>DALARNAS LÄN</t>
        </is>
      </c>
      <c r="G277" t="inlineStr">
        <is>
          <t>HEDEMORA</t>
        </is>
      </c>
      <c r="H277" t="inlineStr">
        <is>
          <t>Övriga Aktiebolag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18015-2026</t>
        </is>
      </c>
      <c r="B278" t="inlineStr">
        <is>
          <t>avverkningsanmälan</t>
        </is>
      </c>
      <c r="C278" t="inlineStr">
        <is>
          <t>Avverkning för annat ändamål</t>
        </is>
      </c>
      <c r="D278" s="1" t="n">
        <v>46125</v>
      </c>
      <c r="E278" s="1" t="n">
        <v>46306</v>
      </c>
      <c r="F278" t="inlineStr">
        <is>
          <t>DALARNAS LÄN</t>
        </is>
      </c>
      <c r="G278" t="inlineStr">
        <is>
          <t>HEDEMORA</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17978-2026</t>
        </is>
      </c>
      <c r="B279" t="inlineStr">
        <is>
          <t>avverkningsanmälan</t>
        </is>
      </c>
      <c r="C279" t="inlineStr">
        <is>
          <t>Föryngringsavverkning</t>
        </is>
      </c>
      <c r="D279" s="1" t="n">
        <v>46124</v>
      </c>
      <c r="E279" s="1" t="n">
        <v>46306</v>
      </c>
      <c r="F279" t="inlineStr">
        <is>
          <t>DALARNAS LÄN</t>
        </is>
      </c>
      <c r="G279" t="inlineStr">
        <is>
          <t>HEDEMORA</t>
        </is>
      </c>
      <c r="H279" t="inlineStr">
        <is>
          <t>Sveaskog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17884-2026</t>
        </is>
      </c>
      <c r="B280" t="inlineStr">
        <is>
          <t>avverkningsanmälan</t>
        </is>
      </c>
      <c r="C280" t="inlineStr">
        <is>
          <t>Föryngringsavverkning</t>
        </is>
      </c>
      <c r="D280" s="1" t="n">
        <v>46122</v>
      </c>
      <c r="E280" s="1" t="n">
        <v>46306</v>
      </c>
      <c r="F280" t="inlineStr">
        <is>
          <t>DALARNAS LÄN</t>
        </is>
      </c>
      <c r="G280" t="inlineStr">
        <is>
          <t>HEDEMORA</t>
        </is>
      </c>
      <c r="H280" t="inlineStr">
        <is>
          <t>Sveaskog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18017-2026</t>
        </is>
      </c>
      <c r="B281" t="inlineStr">
        <is>
          <t>avverkningsanmälan</t>
        </is>
      </c>
      <c r="C281" t="inlineStr">
        <is>
          <t>Avverkning för annat ändamål</t>
        </is>
      </c>
      <c r="D281" s="1" t="n">
        <v>46125</v>
      </c>
      <c r="E281" s="1" t="n">
        <v>46306</v>
      </c>
      <c r="F281" t="inlineStr">
        <is>
          <t>DALARNAS LÄN</t>
        </is>
      </c>
      <c r="G281" t="inlineStr">
        <is>
          <t>HEDEMORA</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1973-2022</t>
        </is>
      </c>
      <c r="B282" t="inlineStr">
        <is>
          <t>avverkningsanmälan</t>
        </is>
      </c>
      <c r="C282" t="inlineStr">
        <is>
          <t>Föryngringsavverkning</t>
        </is>
      </c>
      <c r="D282" s="1" t="n">
        <v>44575</v>
      </c>
      <c r="E282" s="1" t="n">
        <v>46306</v>
      </c>
      <c r="F282" t="inlineStr">
        <is>
          <t>DALARNAS LÄN</t>
        </is>
      </c>
      <c r="G282" t="inlineStr">
        <is>
          <t>HEDEMORA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18665-2026</t>
        </is>
      </c>
      <c r="B283" t="inlineStr">
        <is>
          <t>avverkningsanmälan</t>
        </is>
      </c>
      <c r="C283" t="inlineStr">
        <is>
          <t>Avverkning för annat ändamål</t>
        </is>
      </c>
      <c r="D283" s="1" t="n">
        <v>46128</v>
      </c>
      <c r="E283" s="1" t="n">
        <v>46306</v>
      </c>
      <c r="F283" t="inlineStr">
        <is>
          <t>DALARNAS LÄN</t>
        </is>
      </c>
      <c r="G283" t="inlineStr">
        <is>
          <t>HEDEMORA</t>
        </is>
      </c>
      <c r="H283" t="inlineStr">
        <is>
          <t>Sveaskog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18654-2026</t>
        </is>
      </c>
      <c r="B284" t="inlineStr">
        <is>
          <t>avverkningsanmälan</t>
        </is>
      </c>
      <c r="C284" t="inlineStr">
        <is>
          <t>Avverkning för annat ändamål</t>
        </is>
      </c>
      <c r="D284" s="1" t="n">
        <v>46128</v>
      </c>
      <c r="E284" s="1" t="n">
        <v>46306</v>
      </c>
      <c r="F284" t="inlineStr">
        <is>
          <t>DALARNAS LÄN</t>
        </is>
      </c>
      <c r="G284" t="inlineStr">
        <is>
          <t>HEDEMORA</t>
        </is>
      </c>
      <c r="H284" t="inlineStr">
        <is>
          <t>Sveaskog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60475-2022</t>
        </is>
      </c>
      <c r="B285" t="inlineStr">
        <is>
          <t>avverkningsanmälan</t>
        </is>
      </c>
      <c r="C285" t="inlineStr">
        <is>
          <t>Föryngringsavverkning</t>
        </is>
      </c>
      <c r="D285" s="1" t="n">
        <v>44911</v>
      </c>
      <c r="E285" s="1" t="n">
        <v>46306</v>
      </c>
      <c r="F285" t="inlineStr">
        <is>
          <t>DALARNAS LÄN</t>
        </is>
      </c>
      <c r="G285" t="inlineStr">
        <is>
          <t>HEDEMORA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30205-2022</t>
        </is>
      </c>
      <c r="B286" t="inlineStr">
        <is>
          <t>avverkningsanmälan</t>
        </is>
      </c>
      <c r="C286" t="inlineStr">
        <is>
          <t>Föryngringsavverkning</t>
        </is>
      </c>
      <c r="D286" s="1" t="n">
        <v>44757</v>
      </c>
      <c r="E286" s="1" t="n">
        <v>46306</v>
      </c>
      <c r="F286" t="inlineStr">
        <is>
          <t>DALARNAS LÄN</t>
        </is>
      </c>
      <c r="G286" t="inlineStr">
        <is>
          <t>HEDEMORA</t>
        </is>
      </c>
      <c r="H286" t="inlineStr">
        <is>
          <t>Sveaskog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19564-2026</t>
        </is>
      </c>
      <c r="B287" t="inlineStr">
        <is>
          <t>avverkningsanmälan</t>
        </is>
      </c>
      <c r="C287" t="inlineStr">
        <is>
          <t>Föryngringsavverkning</t>
        </is>
      </c>
      <c r="D287" s="1" t="n">
        <v>46134</v>
      </c>
      <c r="E287" s="1" t="n">
        <v>46306</v>
      </c>
      <c r="F287" t="inlineStr">
        <is>
          <t>DALARNAS LÄN</t>
        </is>
      </c>
      <c r="G287" t="inlineStr">
        <is>
          <t>HEDEMORA</t>
        </is>
      </c>
      <c r="H287" t="inlineStr">
        <is>
          <t>Sveaskog</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19262-2026</t>
        </is>
      </c>
      <c r="B288" t="inlineStr">
        <is>
          <t>avverkningsanmälan</t>
        </is>
      </c>
      <c r="C288" t="inlineStr">
        <is>
          <t>Avverkning för annat ändamål</t>
        </is>
      </c>
      <c r="D288" s="1" t="n">
        <v>46132</v>
      </c>
      <c r="E288" s="1" t="n">
        <v>46306</v>
      </c>
      <c r="F288" t="inlineStr">
        <is>
          <t>DALARNAS LÄN</t>
        </is>
      </c>
      <c r="G288" t="inlineStr">
        <is>
          <t>HEDEMORA</t>
        </is>
      </c>
      <c r="H288" t="inlineStr">
        <is>
          <t>Sveaskog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19670-2026</t>
        </is>
      </c>
      <c r="B289" t="inlineStr">
        <is>
          <t>avverkningsanmälan</t>
        </is>
      </c>
      <c r="C289" t="inlineStr">
        <is>
          <t>Föryngringsavverkning</t>
        </is>
      </c>
      <c r="D289" s="1" t="n">
        <v>46134</v>
      </c>
      <c r="E289" s="1" t="n">
        <v>46306</v>
      </c>
      <c r="F289" t="inlineStr">
        <is>
          <t>DALARNAS LÄN</t>
        </is>
      </c>
      <c r="G289" t="inlineStr">
        <is>
          <t>HEDEMORA</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42510-2025</t>
        </is>
      </c>
      <c r="B290" t="inlineStr">
        <is>
          <t>avverkningsanmälan</t>
        </is>
      </c>
      <c r="C290" t="inlineStr">
        <is>
          <t>Föryngringsavverkning</t>
        </is>
      </c>
      <c r="D290" s="1" t="n">
        <v>45905</v>
      </c>
      <c r="E290" s="1" t="n">
        <v>46306</v>
      </c>
      <c r="F290" t="inlineStr">
        <is>
          <t>DALARNAS LÄN</t>
        </is>
      </c>
      <c r="G290" t="inlineStr">
        <is>
          <t>HEDEMORA</t>
        </is>
      </c>
      <c r="H290" t="inlineStr">
        <is>
          <t>Sveaskog</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62407-2025</t>
        </is>
      </c>
      <c r="B291" t="inlineStr">
        <is>
          <t>avverkningsanmälan</t>
        </is>
      </c>
      <c r="C291" t="inlineStr">
        <is>
          <t>Föryngringsavverkning</t>
        </is>
      </c>
      <c r="D291" s="1" t="n">
        <v>46007</v>
      </c>
      <c r="E291" s="1" t="n">
        <v>46306</v>
      </c>
      <c r="F291" t="inlineStr">
        <is>
          <t>DALARNAS LÄN</t>
        </is>
      </c>
      <c r="G291" t="inlineStr">
        <is>
          <t>HEDEMORA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41523-2023</t>
        </is>
      </c>
      <c r="B292" t="inlineStr">
        <is>
          <t>avverkningsanmälan</t>
        </is>
      </c>
      <c r="C292" t="inlineStr">
        <is>
          <t>Föryngringsavverkning</t>
        </is>
      </c>
      <c r="D292" s="1" t="n">
        <v>45172</v>
      </c>
      <c r="E292" s="1" t="n">
        <v>46306</v>
      </c>
      <c r="F292" t="inlineStr">
        <is>
          <t>DALARNAS LÄN</t>
        </is>
      </c>
      <c r="G292" t="inlineStr">
        <is>
          <t>HEDEMORA</t>
        </is>
      </c>
      <c r="H292" t="inlineStr">
        <is>
          <t>Bergvik skog väst AB</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19932-2026</t>
        </is>
      </c>
      <c r="B293" t="inlineStr">
        <is>
          <t>avverkningsanmälan</t>
        </is>
      </c>
      <c r="C293" t="inlineStr">
        <is>
          <t>Föryngringsavverkning</t>
        </is>
      </c>
      <c r="D293" s="1" t="n">
        <v>46136</v>
      </c>
      <c r="E293" s="1" t="n">
        <v>46306</v>
      </c>
      <c r="F293" t="inlineStr">
        <is>
          <t>DALARNAS LÄN</t>
        </is>
      </c>
      <c r="G293" t="inlineStr">
        <is>
          <t>HEDEMORA</t>
        </is>
      </c>
      <c r="H293" t="inlineStr">
        <is>
          <t>Sveaskog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30939-2023</t>
        </is>
      </c>
      <c r="B294" t="inlineStr">
        <is>
          <t>avverkningsanmälan</t>
        </is>
      </c>
      <c r="C294" t="inlineStr">
        <is>
          <t>Föryngringsavverkning</t>
        </is>
      </c>
      <c r="D294" s="1" t="n">
        <v>45113</v>
      </c>
      <c r="E294" s="1" t="n">
        <v>46306</v>
      </c>
      <c r="F294" t="inlineStr">
        <is>
          <t>DALARNAS LÄN</t>
        </is>
      </c>
      <c r="G294" t="inlineStr">
        <is>
          <t>HEDEMORA</t>
        </is>
      </c>
      <c r="H294" t="inlineStr">
        <is>
          <t>Sveaskog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60078-2022</t>
        </is>
      </c>
      <c r="B295" t="inlineStr">
        <is>
          <t>avverkningsanmälan</t>
        </is>
      </c>
      <c r="C295" t="inlineStr">
        <is>
          <t>Föryngringsavverkning</t>
        </is>
      </c>
      <c r="D295" s="1" t="n">
        <v>44909</v>
      </c>
      <c r="E295" s="1" t="n">
        <v>46306</v>
      </c>
      <c r="F295" t="inlineStr">
        <is>
          <t>DALARNAS LÄN</t>
        </is>
      </c>
      <c r="G295" t="inlineStr">
        <is>
          <t>HEDEMORA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63900-2025</t>
        </is>
      </c>
      <c r="B296" t="inlineStr">
        <is>
          <t>avverkningsanmälan</t>
        </is>
      </c>
      <c r="C296" t="inlineStr">
        <is>
          <t>Föryngringsavverkning</t>
        </is>
      </c>
      <c r="D296" s="1" t="n">
        <v>46020</v>
      </c>
      <c r="E296" s="1" t="n">
        <v>46306</v>
      </c>
      <c r="F296" t="inlineStr">
        <is>
          <t>DALARNAS LÄN</t>
        </is>
      </c>
      <c r="G296" t="inlineStr">
        <is>
          <t>HEDEMORA</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63853-2025</t>
        </is>
      </c>
      <c r="B297" t="inlineStr">
        <is>
          <t>avverkningsanmälan</t>
        </is>
      </c>
      <c r="C297" t="inlineStr">
        <is>
          <t>Föryngringsavverkning</t>
        </is>
      </c>
      <c r="D297" s="1" t="n">
        <v>46020</v>
      </c>
      <c r="E297" s="1" t="n">
        <v>46306</v>
      </c>
      <c r="F297" t="inlineStr">
        <is>
          <t>DALARNAS LÄN</t>
        </is>
      </c>
      <c r="G297" t="inlineStr">
        <is>
          <t>HEDEMORA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49772-2025</t>
        </is>
      </c>
      <c r="B298" t="inlineStr">
        <is>
          <t>avverkningsanmälan</t>
        </is>
      </c>
      <c r="C298" t="inlineStr">
        <is>
          <t>Föryngringsavverkning</t>
        </is>
      </c>
      <c r="D298" s="1" t="n">
        <v>45940</v>
      </c>
      <c r="E298" s="1" t="n">
        <v>46306</v>
      </c>
      <c r="F298" t="inlineStr">
        <is>
          <t>DALARNAS LÄN</t>
        </is>
      </c>
      <c r="G298" t="inlineStr">
        <is>
          <t>HEDEMORA</t>
        </is>
      </c>
      <c r="H298" t="inlineStr">
        <is>
          <t>Sveaskog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64045-2025</t>
        </is>
      </c>
      <c r="B299" t="inlineStr">
        <is>
          <t>avverkningsanmälan</t>
        </is>
      </c>
      <c r="C299" t="inlineStr">
        <is>
          <t>Föryngringsavverkning</t>
        </is>
      </c>
      <c r="D299" s="1" t="n">
        <v>46021</v>
      </c>
      <c r="E299" s="1" t="n">
        <v>46306</v>
      </c>
      <c r="F299" t="inlineStr">
        <is>
          <t>DALARNAS LÄN</t>
        </is>
      </c>
      <c r="G299" t="inlineStr">
        <is>
          <t>HEDEMORA</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11541-2026</t>
        </is>
      </c>
      <c r="B300" t="inlineStr">
        <is>
          <t>avverkningsanmälan</t>
        </is>
      </c>
      <c r="C300" t="inlineStr">
        <is>
          <t>Föryngringsavverkning</t>
        </is>
      </c>
      <c r="D300" s="1" t="n">
        <v>46083</v>
      </c>
      <c r="E300" s="1" t="n">
        <v>46306</v>
      </c>
      <c r="F300" t="inlineStr">
        <is>
          <t>DALARNAS LÄN</t>
        </is>
      </c>
      <c r="G300" t="inlineStr">
        <is>
          <t>HEDEMORA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53568-2023</t>
        </is>
      </c>
      <c r="B301" t="inlineStr">
        <is>
          <t>avverkningsanmälan</t>
        </is>
      </c>
      <c r="C301" t="inlineStr">
        <is>
          <t>Föryngringsavverkning</t>
        </is>
      </c>
      <c r="D301" s="1" t="n">
        <v>45230</v>
      </c>
      <c r="E301" s="1" t="n">
        <v>46306</v>
      </c>
      <c r="F301" t="inlineStr">
        <is>
          <t>DALARNAS LÄN</t>
        </is>
      </c>
      <c r="G301" t="inlineStr">
        <is>
          <t>HEDEMORA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834-2026</t>
        </is>
      </c>
      <c r="B302" t="inlineStr">
        <is>
          <t>avverkningsanmälan</t>
        </is>
      </c>
      <c r="C302" t="inlineStr">
        <is>
          <t>Föryngringsavverkning</t>
        </is>
      </c>
      <c r="D302" s="1" t="n">
        <v>46030</v>
      </c>
      <c r="E302" s="1" t="n">
        <v>46306</v>
      </c>
      <c r="F302" t="inlineStr">
        <is>
          <t>DALARNAS LÄN</t>
        </is>
      </c>
      <c r="G302" t="inlineStr">
        <is>
          <t>HEDEMORA</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6687-2026</t>
        </is>
      </c>
      <c r="B303" t="inlineStr">
        <is>
          <t>avverkningsanmälan</t>
        </is>
      </c>
      <c r="C303" t="inlineStr">
        <is>
          <t>Föryngringsavverkning</t>
        </is>
      </c>
      <c r="D303" s="1" t="n">
        <v>46056</v>
      </c>
      <c r="E303" s="1" t="n">
        <v>46306</v>
      </c>
      <c r="F303" t="inlineStr">
        <is>
          <t>DALARNAS LÄN</t>
        </is>
      </c>
      <c r="G303" t="inlineStr">
        <is>
          <t>HEDEMORA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29283-2022</t>
        </is>
      </c>
      <c r="B304" t="inlineStr">
        <is>
          <t>avverkningsanmälan</t>
        </is>
      </c>
      <c r="C304" t="inlineStr">
        <is>
          <t>Föryngringsavverkning</t>
        </is>
      </c>
      <c r="D304" s="1" t="n">
        <v>44750</v>
      </c>
      <c r="E304" s="1" t="n">
        <v>46306</v>
      </c>
      <c r="F304" t="inlineStr">
        <is>
          <t>DALARNAS LÄN</t>
        </is>
      </c>
      <c r="G304" t="inlineStr">
        <is>
          <t>HEDEMORA</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1451-2026</t>
        </is>
      </c>
      <c r="B305" t="inlineStr">
        <is>
          <t>avverkningsanmälan</t>
        </is>
      </c>
      <c r="C305" t="inlineStr">
        <is>
          <t>Föryngringsavverkning</t>
        </is>
      </c>
      <c r="D305" s="1" t="n">
        <v>46033</v>
      </c>
      <c r="E305" s="1" t="n">
        <v>46306</v>
      </c>
      <c r="F305" t="inlineStr">
        <is>
          <t>DALARNAS LÄN</t>
        </is>
      </c>
      <c r="G305" t="inlineStr">
        <is>
          <t>HEDEMORA</t>
        </is>
      </c>
      <c r="I305" t="n">
        <v>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40419-2025</t>
        </is>
      </c>
      <c r="B306" t="inlineStr">
        <is>
          <t>avverkningsanmälan</t>
        </is>
      </c>
      <c r="C306" t="inlineStr">
        <is>
          <t>Föryngringsavverkning</t>
        </is>
      </c>
      <c r="D306" s="1" t="n">
        <v>45895</v>
      </c>
      <c r="E306" s="1" t="n">
        <v>46306</v>
      </c>
      <c r="F306" t="inlineStr">
        <is>
          <t>DALARNAS LÄN</t>
        </is>
      </c>
      <c r="G306" t="inlineStr">
        <is>
          <t>HEDEMORA</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1573-2026</t>
        </is>
      </c>
      <c r="B307" t="inlineStr">
        <is>
          <t>avverkningsanmälan</t>
        </is>
      </c>
      <c r="C307" t="inlineStr">
        <is>
          <t>Föryngringsavverkning</t>
        </is>
      </c>
      <c r="D307" s="1" t="n">
        <v>46034</v>
      </c>
      <c r="E307" s="1" t="n">
        <v>46306</v>
      </c>
      <c r="F307" t="inlineStr">
        <is>
          <t>DALARNAS LÄN</t>
        </is>
      </c>
      <c r="G307" t="inlineStr">
        <is>
          <t>HEDEMORA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46217-2023</t>
        </is>
      </c>
      <c r="B308" t="inlineStr">
        <is>
          <t>avverkningsanmälan</t>
        </is>
      </c>
      <c r="C308" t="inlineStr">
        <is>
          <t>Föryngringsavverkning</t>
        </is>
      </c>
      <c r="D308" s="1" t="n">
        <v>45190</v>
      </c>
      <c r="E308" s="1" t="n">
        <v>46306</v>
      </c>
      <c r="F308" t="inlineStr">
        <is>
          <t>DALARNAS LÄN</t>
        </is>
      </c>
      <c r="G308" t="inlineStr">
        <is>
          <t>HEDEMORA</t>
        </is>
      </c>
      <c r="H308" t="inlineStr">
        <is>
          <t>Bergvik skog väst AB</t>
        </is>
      </c>
      <c r="I308" t="n">
        <v>8.800000000000001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1885-2026</t>
        </is>
      </c>
      <c r="B309" t="inlineStr">
        <is>
          <t>avverkningsanmälan</t>
        </is>
      </c>
      <c r="C309" t="inlineStr">
        <is>
          <t>Föryngringsavverkning</t>
        </is>
      </c>
      <c r="D309" s="1" t="n">
        <v>46035</v>
      </c>
      <c r="E309" s="1" t="n">
        <v>46306</v>
      </c>
      <c r="F309" t="inlineStr">
        <is>
          <t>DALARNAS LÄN</t>
        </is>
      </c>
      <c r="G309" t="inlineStr">
        <is>
          <t>HEDEMORA</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29585-2024</t>
        </is>
      </c>
      <c r="B310" t="inlineStr">
        <is>
          <t>avverkningsanmälan</t>
        </is>
      </c>
      <c r="C310" t="inlineStr">
        <is>
          <t>Föryngringsavverkning</t>
        </is>
      </c>
      <c r="D310" s="1" t="n">
        <v>45484</v>
      </c>
      <c r="E310" s="1" t="n">
        <v>46306</v>
      </c>
      <c r="F310" t="inlineStr">
        <is>
          <t>DALARNAS LÄN</t>
        </is>
      </c>
      <c r="G310" t="inlineStr">
        <is>
          <t>HEDEMORA</t>
        </is>
      </c>
      <c r="H310" t="inlineStr">
        <is>
          <t>Bergvik skog väst AB</t>
        </is>
      </c>
      <c r="I310" t="n">
        <v>8.1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26705-2025</t>
        </is>
      </c>
      <c r="B311" t="inlineStr">
        <is>
          <t>avverkningsanmälan</t>
        </is>
      </c>
      <c r="C311" t="inlineStr">
        <is>
          <t>Föryngringsavverkning</t>
        </is>
      </c>
      <c r="D311" s="1" t="n">
        <v>45810</v>
      </c>
      <c r="E311" s="1" t="n">
        <v>46306</v>
      </c>
      <c r="F311" t="inlineStr">
        <is>
          <t>DALARNAS LÄN</t>
        </is>
      </c>
      <c r="G311" t="inlineStr">
        <is>
          <t>HEDEMORA</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48834-2023</t>
        </is>
      </c>
      <c r="B312" t="inlineStr">
        <is>
          <t>avverkningsanmälan</t>
        </is>
      </c>
      <c r="C312" t="inlineStr">
        <is>
          <t>Föryngringsavverkning</t>
        </is>
      </c>
      <c r="D312" s="1" t="n">
        <v>45209</v>
      </c>
      <c r="E312" s="1" t="n">
        <v>46306</v>
      </c>
      <c r="F312" t="inlineStr">
        <is>
          <t>DALARNAS LÄN</t>
        </is>
      </c>
      <c r="G312" t="inlineStr">
        <is>
          <t>HEDEMORA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39552-2024</t>
        </is>
      </c>
      <c r="B313" t="inlineStr">
        <is>
          <t>avverkningsanmälan</t>
        </is>
      </c>
      <c r="C313" t="inlineStr">
        <is>
          <t>Föryngringsavverkning</t>
        </is>
      </c>
      <c r="D313" s="1" t="n">
        <v>45551</v>
      </c>
      <c r="E313" s="1" t="n">
        <v>46306</v>
      </c>
      <c r="F313" t="inlineStr">
        <is>
          <t>DALARNAS LÄN</t>
        </is>
      </c>
      <c r="G313" t="inlineStr">
        <is>
          <t>HEDEMORA</t>
        </is>
      </c>
      <c r="H313" t="inlineStr">
        <is>
          <t>Bergvik skog väst AB</t>
        </is>
      </c>
      <c r="I313" t="n">
        <v>24.1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2159-2026</t>
        </is>
      </c>
      <c r="B314" t="inlineStr">
        <is>
          <t>avverkningsanmälan</t>
        </is>
      </c>
      <c r="C314" t="inlineStr">
        <is>
          <t>Föryngringsavverkning</t>
        </is>
      </c>
      <c r="D314" s="1" t="n">
        <v>46036</v>
      </c>
      <c r="E314" s="1" t="n">
        <v>46306</v>
      </c>
      <c r="F314" t="inlineStr">
        <is>
          <t>DALARNAS LÄN</t>
        </is>
      </c>
      <c r="G314" t="inlineStr">
        <is>
          <t>HEDEMORA</t>
        </is>
      </c>
      <c r="H314" t="inlineStr">
        <is>
          <t>Kyrkan</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5766-2025</t>
        </is>
      </c>
      <c r="B315" t="inlineStr">
        <is>
          <t>avverkningsanmälan</t>
        </is>
      </c>
      <c r="C315" t="inlineStr">
        <is>
          <t>Föryngringsavverkning</t>
        </is>
      </c>
      <c r="D315" s="1" t="n">
        <v>45694</v>
      </c>
      <c r="E315" s="1" t="n">
        <v>46306</v>
      </c>
      <c r="F315" t="inlineStr">
        <is>
          <t>DALARNAS LÄN</t>
        </is>
      </c>
      <c r="G315" t="inlineStr">
        <is>
          <t>HEDEMORA</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9106-2026</t>
        </is>
      </c>
      <c r="B316" t="inlineStr">
        <is>
          <t>avverkningsanmälan</t>
        </is>
      </c>
      <c r="C316" t="inlineStr">
        <is>
          <t>Föryngringsavverkning</t>
        </is>
      </c>
      <c r="D316" s="1" t="n">
        <v>46069</v>
      </c>
      <c r="E316" s="1" t="n">
        <v>46306</v>
      </c>
      <c r="F316" t="inlineStr">
        <is>
          <t>DALARNAS LÄN</t>
        </is>
      </c>
      <c r="G316" t="inlineStr">
        <is>
          <t>HEDEMORA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1721-2026</t>
        </is>
      </c>
      <c r="B317" t="inlineStr">
        <is>
          <t>avverkningsanmälan</t>
        </is>
      </c>
      <c r="C317" t="inlineStr">
        <is>
          <t>Föryngringsavverkning</t>
        </is>
      </c>
      <c r="D317" s="1" t="n">
        <v>46034</v>
      </c>
      <c r="E317" s="1" t="n">
        <v>46306</v>
      </c>
      <c r="F317" t="inlineStr">
        <is>
          <t>DALARNAS LÄN</t>
        </is>
      </c>
      <c r="G317" t="inlineStr">
        <is>
          <t>HEDEMORA</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2599-2026</t>
        </is>
      </c>
      <c r="B318" t="inlineStr">
        <is>
          <t>avverkningsanmälan</t>
        </is>
      </c>
      <c r="C318" t="inlineStr">
        <is>
          <t>Föryngringsavverkning</t>
        </is>
      </c>
      <c r="D318" s="1" t="n">
        <v>46037</v>
      </c>
      <c r="E318" s="1" t="n">
        <v>46306</v>
      </c>
      <c r="F318" t="inlineStr">
        <is>
          <t>DALARNAS LÄN</t>
        </is>
      </c>
      <c r="G318" t="inlineStr">
        <is>
          <t>HEDEMORA</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57563-2025</t>
        </is>
      </c>
      <c r="B319" t="inlineStr">
        <is>
          <t>avverkningsanmälan</t>
        </is>
      </c>
      <c r="C319" t="inlineStr">
        <is>
          <t>Föryngringsavverkning</t>
        </is>
      </c>
      <c r="D319" s="1" t="n">
        <v>45980</v>
      </c>
      <c r="E319" s="1" t="n">
        <v>46306</v>
      </c>
      <c r="F319" t="inlineStr">
        <is>
          <t>DALARNAS LÄN</t>
        </is>
      </c>
      <c r="G319" t="inlineStr">
        <is>
          <t>HEDEMORA</t>
        </is>
      </c>
      <c r="H319" t="inlineStr">
        <is>
          <t>Sveaskog</t>
        </is>
      </c>
      <c r="I319" t="n">
        <v>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20385-2026</t>
        </is>
      </c>
      <c r="B320" t="inlineStr">
        <is>
          <t>avverkningsanmälan</t>
        </is>
      </c>
      <c r="C320" t="inlineStr">
        <is>
          <t>Föryngringsavverkning</t>
        </is>
      </c>
      <c r="D320" s="1" t="n">
        <v>46139</v>
      </c>
      <c r="E320" s="1" t="n">
        <v>46306</v>
      </c>
      <c r="F320" t="inlineStr">
        <is>
          <t>DALARNAS LÄN</t>
        </is>
      </c>
      <c r="G320" t="inlineStr">
        <is>
          <t>HEDEMORA</t>
        </is>
      </c>
      <c r="H320" t="inlineStr">
        <is>
          <t>Sveaskog</t>
        </is>
      </c>
      <c r="I320" t="n">
        <v>15.4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4070-2026</t>
        </is>
      </c>
      <c r="B321" t="inlineStr">
        <is>
          <t>avverkningsanmälan</t>
        </is>
      </c>
      <c r="C321" t="inlineStr">
        <is>
          <t>Föryngringsavverkning</t>
        </is>
      </c>
      <c r="D321" s="1" t="n">
        <v>46044</v>
      </c>
      <c r="E321" s="1" t="n">
        <v>46306</v>
      </c>
      <c r="F321" t="inlineStr">
        <is>
          <t>DALARNAS LÄN</t>
        </is>
      </c>
      <c r="G321" t="inlineStr">
        <is>
          <t>HEDEMORA</t>
        </is>
      </c>
      <c r="I321" t="n">
        <v>29.2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25691-2022</t>
        </is>
      </c>
      <c r="B322" t="inlineStr">
        <is>
          <t>avverkningsanmälan</t>
        </is>
      </c>
      <c r="C322" t="inlineStr">
        <is>
          <t>Föryngringsavverkning</t>
        </is>
      </c>
      <c r="D322" s="1" t="n">
        <v>44733</v>
      </c>
      <c r="E322" s="1" t="n">
        <v>46306</v>
      </c>
      <c r="F322" t="inlineStr">
        <is>
          <t>DALARNAS LÄN</t>
        </is>
      </c>
      <c r="G322" t="inlineStr">
        <is>
          <t>HEDEMORA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3759-2026</t>
        </is>
      </c>
      <c r="B323" t="inlineStr">
        <is>
          <t>avverkningsanmälan</t>
        </is>
      </c>
      <c r="C323" t="inlineStr">
        <is>
          <t>Föryngringsavverkning</t>
        </is>
      </c>
      <c r="D323" s="1" t="n">
        <v>46043</v>
      </c>
      <c r="E323" s="1" t="n">
        <v>46306</v>
      </c>
      <c r="F323" t="inlineStr">
        <is>
          <t>DALARNAS LÄN</t>
        </is>
      </c>
      <c r="G323" t="inlineStr">
        <is>
          <t>HEDEMORA</t>
        </is>
      </c>
      <c r="I323" t="n">
        <v>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2056-2026</t>
        </is>
      </c>
      <c r="B324" t="inlineStr">
        <is>
          <t>avverkningsanmälan</t>
        </is>
      </c>
      <c r="C324" t="inlineStr">
        <is>
          <t>Avverkning för att bevara och utveckla /försöksver</t>
        </is>
      </c>
      <c r="D324" s="1" t="n">
        <v>46032</v>
      </c>
      <c r="E324" s="1" t="n">
        <v>46306</v>
      </c>
      <c r="F324" t="inlineStr">
        <is>
          <t>DALARNAS LÄN</t>
        </is>
      </c>
      <c r="G324" t="inlineStr">
        <is>
          <t>HEDEMORA</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63829-2025</t>
        </is>
      </c>
      <c r="B325" t="inlineStr">
        <is>
          <t>avverkningsanmälan</t>
        </is>
      </c>
      <c r="C325" t="inlineStr">
        <is>
          <t>Föryngringsavverkning</t>
        </is>
      </c>
      <c r="D325" s="1" t="n">
        <v>46020</v>
      </c>
      <c r="E325" s="1" t="n">
        <v>46306</v>
      </c>
      <c r="F325" t="inlineStr">
        <is>
          <t>DALARNAS LÄN</t>
        </is>
      </c>
      <c r="G325" t="inlineStr">
        <is>
          <t>HEDEMORA</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53584-2023</t>
        </is>
      </c>
      <c r="B326" t="inlineStr">
        <is>
          <t>avverkningsanmälan</t>
        </is>
      </c>
      <c r="C326" t="inlineStr">
        <is>
          <t>Föryngringsavverkning</t>
        </is>
      </c>
      <c r="D326" s="1" t="n">
        <v>45230</v>
      </c>
      <c r="E326" s="1" t="n">
        <v>46306</v>
      </c>
      <c r="F326" t="inlineStr">
        <is>
          <t>DALARNAS LÄN</t>
        </is>
      </c>
      <c r="G326" t="inlineStr">
        <is>
          <t>HEDEMORA</t>
        </is>
      </c>
      <c r="I326" t="n">
        <v>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5316-2026</t>
        </is>
      </c>
      <c r="B327" t="inlineStr">
        <is>
          <t>avverkningsanmälan</t>
        </is>
      </c>
      <c r="C327" t="inlineStr">
        <is>
          <t>Föryngringsavverkning</t>
        </is>
      </c>
      <c r="D327" s="1" t="n">
        <v>46050</v>
      </c>
      <c r="E327" s="1" t="n">
        <v>46306</v>
      </c>
      <c r="F327" t="inlineStr">
        <is>
          <t>DALARNAS LÄN</t>
        </is>
      </c>
      <c r="G327" t="inlineStr">
        <is>
          <t>HEDEMORA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5784-2026</t>
        </is>
      </c>
      <c r="B328" t="inlineStr">
        <is>
          <t>avverkningsanmälan</t>
        </is>
      </c>
      <c r="C328" t="inlineStr">
        <is>
          <t>Föryngringsavverkning</t>
        </is>
      </c>
      <c r="D328" s="1" t="n">
        <v>46051</v>
      </c>
      <c r="E328" s="1" t="n">
        <v>46306</v>
      </c>
      <c r="F328" t="inlineStr">
        <is>
          <t>DALARNAS LÄN</t>
        </is>
      </c>
      <c r="G328" t="inlineStr">
        <is>
          <t>HEDEMORA</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5619-2026</t>
        </is>
      </c>
      <c r="B329" t="inlineStr">
        <is>
          <t>avverkningsanmälan</t>
        </is>
      </c>
      <c r="C329" t="inlineStr">
        <is>
          <t>Föryngringsavverkning</t>
        </is>
      </c>
      <c r="D329" s="1" t="n">
        <v>46051</v>
      </c>
      <c r="E329" s="1" t="n">
        <v>46306</v>
      </c>
      <c r="F329" t="inlineStr">
        <is>
          <t>DALARNAS LÄN</t>
        </is>
      </c>
      <c r="G329" t="inlineStr">
        <is>
          <t>HEDEMORA</t>
        </is>
      </c>
      <c r="I329" t="n">
        <v>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5617-2026</t>
        </is>
      </c>
      <c r="B330" t="inlineStr">
        <is>
          <t>avverkningsanmälan</t>
        </is>
      </c>
      <c r="C330" t="inlineStr">
        <is>
          <t>Föryngringsavverkning</t>
        </is>
      </c>
      <c r="D330" s="1" t="n">
        <v>46051</v>
      </c>
      <c r="E330" s="1" t="n">
        <v>46306</v>
      </c>
      <c r="F330" t="inlineStr">
        <is>
          <t>DALARNAS LÄN</t>
        </is>
      </c>
      <c r="G330" t="inlineStr">
        <is>
          <t>HEDEMORA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58841-2023</t>
        </is>
      </c>
      <c r="B331" t="inlineStr">
        <is>
          <t>avverkningsanmälan</t>
        </is>
      </c>
      <c r="C331" t="inlineStr">
        <is>
          <t>Föryngringsavverkning</t>
        </is>
      </c>
      <c r="D331" s="1" t="n">
        <v>45252</v>
      </c>
      <c r="E331" s="1" t="n">
        <v>46306</v>
      </c>
      <c r="F331" t="inlineStr">
        <is>
          <t>DALARNAS LÄN</t>
        </is>
      </c>
      <c r="G331" t="inlineStr">
        <is>
          <t>HEDEMORA</t>
        </is>
      </c>
      <c r="I331" t="n">
        <v>14.8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60786-2023</t>
        </is>
      </c>
      <c r="B332" t="inlineStr">
        <is>
          <t>avverkningsanmälan</t>
        </is>
      </c>
      <c r="C332" t="inlineStr">
        <is>
          <t>Föryngringsavverkning</t>
        </is>
      </c>
      <c r="D332" s="1" t="n">
        <v>45260</v>
      </c>
      <c r="E332" s="1" t="n">
        <v>46306</v>
      </c>
      <c r="F332" t="inlineStr">
        <is>
          <t>DALARNAS LÄN</t>
        </is>
      </c>
      <c r="G332" t="inlineStr">
        <is>
          <t>HEDEMORA</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4809-2026</t>
        </is>
      </c>
      <c r="B333" t="inlineStr">
        <is>
          <t>avverkningsanmälan</t>
        </is>
      </c>
      <c r="C333" t="inlineStr">
        <is>
          <t>Föryngringsavverkning</t>
        </is>
      </c>
      <c r="D333" s="1" t="n">
        <v>46048</v>
      </c>
      <c r="E333" s="1" t="n">
        <v>46306</v>
      </c>
      <c r="F333" t="inlineStr">
        <is>
          <t>DALARNAS LÄN</t>
        </is>
      </c>
      <c r="G333" t="inlineStr">
        <is>
          <t>HEDEMORA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8824-2026</t>
        </is>
      </c>
      <c r="B334" t="inlineStr">
        <is>
          <t>avverkningsanmälan</t>
        </is>
      </c>
      <c r="C334" t="inlineStr">
        <is>
          <t>Föryngringsavverkning</t>
        </is>
      </c>
      <c r="D334" s="1" t="n">
        <v>46066</v>
      </c>
      <c r="E334" s="1" t="n">
        <v>46306</v>
      </c>
      <c r="F334" t="inlineStr">
        <is>
          <t>DALARNAS LÄN</t>
        </is>
      </c>
      <c r="G334" t="inlineStr">
        <is>
          <t>HEDEMORA</t>
        </is>
      </c>
      <c r="H334" t="inlineStr">
        <is>
          <t>Sveaskog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9680-2026</t>
        </is>
      </c>
      <c r="B335" t="inlineStr">
        <is>
          <t>avverkningsanmälan</t>
        </is>
      </c>
      <c r="C335" t="inlineStr">
        <is>
          <t>Föryngringsavverkning</t>
        </is>
      </c>
      <c r="D335" s="1" t="n">
        <v>46072</v>
      </c>
      <c r="E335" s="1" t="n">
        <v>46306</v>
      </c>
      <c r="F335" t="inlineStr">
        <is>
          <t>DALARNAS LÄN</t>
        </is>
      </c>
      <c r="G335" t="inlineStr">
        <is>
          <t>HEDEMORA</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59350-2025</t>
        </is>
      </c>
      <c r="B336" t="inlineStr">
        <is>
          <t>avverkningsanmälan</t>
        </is>
      </c>
      <c r="C336" t="inlineStr">
        <is>
          <t>Avverkning för att bevara och utveckla /försöksver</t>
        </is>
      </c>
      <c r="D336" s="1" t="n">
        <v>45989</v>
      </c>
      <c r="E336" s="1" t="n">
        <v>46306</v>
      </c>
      <c r="F336" t="inlineStr">
        <is>
          <t>DALARNAS LÄN</t>
        </is>
      </c>
      <c r="G336" t="inlineStr">
        <is>
          <t>HEDEMORA</t>
        </is>
      </c>
      <c r="H336" t="inlineStr">
        <is>
          <t>Sveaskog</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60445-2025</t>
        </is>
      </c>
      <c r="B337" t="inlineStr">
        <is>
          <t>avverkningsanmälan</t>
        </is>
      </c>
      <c r="C337" t="inlineStr">
        <is>
          <t>Avverkning för att bevara och utveckla /försöksver</t>
        </is>
      </c>
      <c r="D337" s="1" t="n">
        <v>45995</v>
      </c>
      <c r="E337" s="1" t="n">
        <v>46306</v>
      </c>
      <c r="F337" t="inlineStr">
        <is>
          <t>DALARNAS LÄN</t>
        </is>
      </c>
      <c r="G337" t="inlineStr">
        <is>
          <t>HEDEMORA</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17147-2026</t>
        </is>
      </c>
      <c r="B338" t="inlineStr">
        <is>
          <t>avverkningsanmälan</t>
        </is>
      </c>
      <c r="C338" t="inlineStr">
        <is>
          <t>Föryngringsavverkning</t>
        </is>
      </c>
      <c r="D338" s="1" t="n">
        <v>46114</v>
      </c>
      <c r="E338" s="1" t="n">
        <v>46306</v>
      </c>
      <c r="F338" t="inlineStr">
        <is>
          <t>DALARNAS LÄN</t>
        </is>
      </c>
      <c r="G338" t="inlineStr">
        <is>
          <t>HEDEMORA</t>
        </is>
      </c>
      <c r="H338" t="inlineStr">
        <is>
          <t>Sveaskog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26452-2024</t>
        </is>
      </c>
      <c r="B339" t="inlineStr">
        <is>
          <t>avverkningsanmälan</t>
        </is>
      </c>
      <c r="C339" t="inlineStr">
        <is>
          <t>Föryngringsavverkning</t>
        </is>
      </c>
      <c r="D339" s="1" t="n">
        <v>45469</v>
      </c>
      <c r="E339" s="1" t="n">
        <v>46306</v>
      </c>
      <c r="F339" t="inlineStr">
        <is>
          <t>DALARNAS LÄN</t>
        </is>
      </c>
      <c r="G339" t="inlineStr">
        <is>
          <t>HEDEMORA</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11732-2026</t>
        </is>
      </c>
      <c r="B340" t="inlineStr">
        <is>
          <t>avverkningsanmälan</t>
        </is>
      </c>
      <c r="C340" t="inlineStr">
        <is>
          <t>Föryngringsavverkning</t>
        </is>
      </c>
      <c r="D340" s="1" t="n">
        <v>46084</v>
      </c>
      <c r="E340" s="1" t="n">
        <v>46306</v>
      </c>
      <c r="F340" t="inlineStr">
        <is>
          <t>DALARNAS LÄN</t>
        </is>
      </c>
      <c r="G340" t="inlineStr">
        <is>
          <t>HEDEMORA</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57745-2024</t>
        </is>
      </c>
      <c r="B341" t="inlineStr">
        <is>
          <t>avverkningsanmälan</t>
        </is>
      </c>
      <c r="C341" t="inlineStr">
        <is>
          <t>Föryngringsavverkning</t>
        </is>
      </c>
      <c r="D341" s="1" t="n">
        <v>45630</v>
      </c>
      <c r="E341" s="1" t="n">
        <v>46306</v>
      </c>
      <c r="F341" t="inlineStr">
        <is>
          <t>DALARNAS LÄN</t>
        </is>
      </c>
      <c r="G341" t="inlineStr">
        <is>
          <t>HEDEMORA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12604-2026</t>
        </is>
      </c>
      <c r="B342" t="inlineStr">
        <is>
          <t>avverkningsanmälan</t>
        </is>
      </c>
      <c r="C342" t="inlineStr">
        <is>
          <t>Föryngringsavverkning</t>
        </is>
      </c>
      <c r="D342" s="1" t="n">
        <v>46090</v>
      </c>
      <c r="E342" s="1" t="n">
        <v>46306</v>
      </c>
      <c r="F342" t="inlineStr">
        <is>
          <t>DALARNAS LÄN</t>
        </is>
      </c>
      <c r="G342" t="inlineStr">
        <is>
          <t>HEDEMORA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22882-2026</t>
        </is>
      </c>
      <c r="B343" t="inlineStr">
        <is>
          <t>avverkningsanmälan</t>
        </is>
      </c>
      <c r="C343" t="inlineStr">
        <is>
          <t>Föryngringsavverkning</t>
        </is>
      </c>
      <c r="D343" s="1" t="n">
        <v>46157</v>
      </c>
      <c r="E343" s="1" t="n">
        <v>46306</v>
      </c>
      <c r="F343" t="inlineStr">
        <is>
          <t>DALARNAS LÄN</t>
        </is>
      </c>
      <c r="G343" t="inlineStr">
        <is>
          <t>HEDEMORA</t>
        </is>
      </c>
      <c r="H343" t="inlineStr">
        <is>
          <t>Bergvik skog väst AB</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13336-2026</t>
        </is>
      </c>
      <c r="B344" t="inlineStr">
        <is>
          <t>avverkningsanmälan</t>
        </is>
      </c>
      <c r="C344" t="inlineStr">
        <is>
          <t>Föryngringsavverkning</t>
        </is>
      </c>
      <c r="D344" s="1" t="n">
        <v>46094</v>
      </c>
      <c r="E344" s="1" t="n">
        <v>46306</v>
      </c>
      <c r="F344" t="inlineStr">
        <is>
          <t>DALARNAS LÄN</t>
        </is>
      </c>
      <c r="G344" t="inlineStr">
        <is>
          <t>HEDEMORA</t>
        </is>
      </c>
      <c r="I344" t="n">
        <v>17.5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23639-2026</t>
        </is>
      </c>
      <c r="B345" t="inlineStr">
        <is>
          <t>avverkningsanmälan</t>
        </is>
      </c>
      <c r="C345" t="inlineStr">
        <is>
          <t>Föryngringsavverkning</t>
        </is>
      </c>
      <c r="D345" s="1" t="n">
        <v>46164</v>
      </c>
      <c r="E345" s="1" t="n">
        <v>46306</v>
      </c>
      <c r="F345" t="inlineStr">
        <is>
          <t>DALARNAS LÄN</t>
        </is>
      </c>
      <c r="G345" t="inlineStr">
        <is>
          <t>HEDEMORA</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23194-2026</t>
        </is>
      </c>
      <c r="B346" t="inlineStr">
        <is>
          <t>avverkningsanmälan</t>
        </is>
      </c>
      <c r="C346" t="inlineStr">
        <is>
          <t>Föryngringsavverkning</t>
        </is>
      </c>
      <c r="D346" s="1" t="n">
        <v>46161</v>
      </c>
      <c r="E346" s="1" t="n">
        <v>46306</v>
      </c>
      <c r="F346" t="inlineStr">
        <is>
          <t>DALARNAS LÄN</t>
        </is>
      </c>
      <c r="G346" t="inlineStr">
        <is>
          <t>HEDEMORA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23466-2026</t>
        </is>
      </c>
      <c r="B347" t="inlineStr">
        <is>
          <t>avverkningsanmälan</t>
        </is>
      </c>
      <c r="C347" t="inlineStr">
        <is>
          <t>Föryngringsavverkning</t>
        </is>
      </c>
      <c r="D347" s="1" t="n">
        <v>46163</v>
      </c>
      <c r="E347" s="1" t="n">
        <v>46306</v>
      </c>
      <c r="F347" t="inlineStr">
        <is>
          <t>DALARNAS LÄN</t>
        </is>
      </c>
      <c r="G347" t="inlineStr">
        <is>
          <t>HEDEMORA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23998-2026</t>
        </is>
      </c>
      <c r="B348" t="inlineStr">
        <is>
          <t>avverkningsanmälan</t>
        </is>
      </c>
      <c r="C348" t="inlineStr">
        <is>
          <t>Föryngringsavverkning</t>
        </is>
      </c>
      <c r="D348" s="1" t="n">
        <v>46167</v>
      </c>
      <c r="E348" s="1" t="n">
        <v>46306</v>
      </c>
      <c r="F348" t="inlineStr">
        <is>
          <t>DALARNAS LÄN</t>
        </is>
      </c>
      <c r="G348" t="inlineStr">
        <is>
          <t>HEDEMORA</t>
        </is>
      </c>
      <c r="H348" t="inlineStr">
        <is>
          <t>Sveaskog</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24339-2026</t>
        </is>
      </c>
      <c r="B349" t="inlineStr">
        <is>
          <t>avverkningsanmälan</t>
        </is>
      </c>
      <c r="C349" t="inlineStr">
        <is>
          <t>Föryngringsavverkning</t>
        </is>
      </c>
      <c r="D349" s="1" t="n">
        <v>46169</v>
      </c>
      <c r="E349" s="1" t="n">
        <v>46306</v>
      </c>
      <c r="F349" t="inlineStr">
        <is>
          <t>DALARNAS LÄN</t>
        </is>
      </c>
      <c r="G349" t="inlineStr">
        <is>
          <t>HEDEMORA</t>
        </is>
      </c>
      <c r="H349" t="inlineStr">
        <is>
          <t>Sveaskog</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24340-2026</t>
        </is>
      </c>
      <c r="B350" t="inlineStr">
        <is>
          <t>avverkningsanmälan</t>
        </is>
      </c>
      <c r="C350" t="inlineStr">
        <is>
          <t>Föryngringsavverkning</t>
        </is>
      </c>
      <c r="D350" s="1" t="n">
        <v>46169</v>
      </c>
      <c r="E350" s="1" t="n">
        <v>46306</v>
      </c>
      <c r="F350" t="inlineStr">
        <is>
          <t>DALARNAS LÄN</t>
        </is>
      </c>
      <c r="G350" t="inlineStr">
        <is>
          <t>HEDEMORA</t>
        </is>
      </c>
      <c r="H350" t="inlineStr">
        <is>
          <t>Sveaskog</t>
        </is>
      </c>
      <c r="I350" t="n">
        <v>8.5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7743-2026</t>
        </is>
      </c>
      <c r="B351" t="inlineStr">
        <is>
          <t>avverkningsanmälan</t>
        </is>
      </c>
      <c r="C351" t="inlineStr">
        <is>
          <t>Föryngringsavverkning</t>
        </is>
      </c>
      <c r="D351" s="1" t="n">
        <v>46062</v>
      </c>
      <c r="E351" s="1" t="n">
        <v>46306</v>
      </c>
      <c r="F351" t="inlineStr">
        <is>
          <t>DALARNAS LÄN</t>
        </is>
      </c>
      <c r="G351" t="inlineStr">
        <is>
          <t>HEDEMORA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886-2026</t>
        </is>
      </c>
      <c r="B352" t="inlineStr">
        <is>
          <t>avverkningsanmälan</t>
        </is>
      </c>
      <c r="C352" t="inlineStr">
        <is>
          <t>Föryngringsavverkning</t>
        </is>
      </c>
      <c r="D352" s="1" t="n">
        <v>46030</v>
      </c>
      <c r="E352" s="1" t="n">
        <v>46306</v>
      </c>
      <c r="F352" t="inlineStr">
        <is>
          <t>DALARNAS LÄN</t>
        </is>
      </c>
      <c r="G352" t="inlineStr">
        <is>
          <t>HEDEMORA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24955-2026</t>
        </is>
      </c>
      <c r="B353" t="inlineStr">
        <is>
          <t>avverkningsanmälan</t>
        </is>
      </c>
      <c r="C353" t="inlineStr">
        <is>
          <t>Föryngringsavverkning</t>
        </is>
      </c>
      <c r="D353" s="1" t="n">
        <v>46174</v>
      </c>
      <c r="E353" s="1" t="n">
        <v>46306</v>
      </c>
      <c r="F353" t="inlineStr">
        <is>
          <t>DALARNAS LÄN</t>
        </is>
      </c>
      <c r="G353" t="inlineStr">
        <is>
          <t>HEDEMORA</t>
        </is>
      </c>
      <c r="H353" t="inlineStr">
        <is>
          <t>Sveaskog</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24959-2026</t>
        </is>
      </c>
      <c r="B354" t="inlineStr">
        <is>
          <t>avverkningsanmälan</t>
        </is>
      </c>
      <c r="C354" t="inlineStr">
        <is>
          <t>Föryngringsavverkning</t>
        </is>
      </c>
      <c r="D354" s="1" t="n">
        <v>46174</v>
      </c>
      <c r="E354" s="1" t="n">
        <v>46306</v>
      </c>
      <c r="F354" t="inlineStr">
        <is>
          <t>DALARNAS LÄN</t>
        </is>
      </c>
      <c r="G354" t="inlineStr">
        <is>
          <t>HEDEMORA</t>
        </is>
      </c>
      <c r="H354" t="inlineStr">
        <is>
          <t>Sveaskog</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25419-2026</t>
        </is>
      </c>
      <c r="B355" t="inlineStr">
        <is>
          <t>avverkningsanmälan</t>
        </is>
      </c>
      <c r="C355" t="inlineStr">
        <is>
          <t>Föryngringsavverkning</t>
        </is>
      </c>
      <c r="D355" s="1" t="n">
        <v>46177</v>
      </c>
      <c r="E355" s="1" t="n">
        <v>46306</v>
      </c>
      <c r="F355" t="inlineStr">
        <is>
          <t>DALARNAS LÄN</t>
        </is>
      </c>
      <c r="G355" t="inlineStr">
        <is>
          <t>HEDEMORA</t>
        </is>
      </c>
      <c r="H355" t="inlineStr">
        <is>
          <t>Sveaskog</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25421-2026</t>
        </is>
      </c>
      <c r="B356" t="inlineStr">
        <is>
          <t>avverkningsanmälan</t>
        </is>
      </c>
      <c r="C356" t="inlineStr">
        <is>
          <t>Föryngringsavverkning</t>
        </is>
      </c>
      <c r="D356" s="1" t="n">
        <v>46177</v>
      </c>
      <c r="E356" s="1" t="n">
        <v>46306</v>
      </c>
      <c r="F356" t="inlineStr">
        <is>
          <t>DALARNAS LÄN</t>
        </is>
      </c>
      <c r="G356" t="inlineStr">
        <is>
          <t>HEDEMORA</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14239-2026</t>
        </is>
      </c>
      <c r="B357" t="inlineStr">
        <is>
          <t>avverkningsanmälan</t>
        </is>
      </c>
      <c r="C357" t="inlineStr">
        <is>
          <t>Föryngringsavverkning</t>
        </is>
      </c>
      <c r="D357" s="1" t="n">
        <v>46099</v>
      </c>
      <c r="E357" s="1" t="n">
        <v>46306</v>
      </c>
      <c r="F357" t="inlineStr">
        <is>
          <t>DALARNAS LÄN</t>
        </is>
      </c>
      <c r="G357" t="inlineStr">
        <is>
          <t>HEDEMORA</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25830-2026</t>
        </is>
      </c>
      <c r="B358" t="inlineStr">
        <is>
          <t>avverkningsanmälan</t>
        </is>
      </c>
      <c r="C358" t="inlineStr">
        <is>
          <t>Föryngringsavverkning</t>
        </is>
      </c>
      <c r="D358" s="1" t="n">
        <v>46178</v>
      </c>
      <c r="E358" s="1" t="n">
        <v>46306</v>
      </c>
      <c r="F358" t="inlineStr">
        <is>
          <t>DALARNAS LÄN</t>
        </is>
      </c>
      <c r="G358" t="inlineStr">
        <is>
          <t>HEDEMORA</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17148-2026</t>
        </is>
      </c>
      <c r="B359" t="inlineStr">
        <is>
          <t>avverkningsanmälan</t>
        </is>
      </c>
      <c r="C359" t="inlineStr">
        <is>
          <t>Föryngringsavverkning</t>
        </is>
      </c>
      <c r="D359" s="1" t="n">
        <v>46114</v>
      </c>
      <c r="E359" s="1" t="n">
        <v>46306</v>
      </c>
      <c r="F359" t="inlineStr">
        <is>
          <t>DALARNAS LÄN</t>
        </is>
      </c>
      <c r="G359" t="inlineStr">
        <is>
          <t>HEDEMORA</t>
        </is>
      </c>
      <c r="H359" t="inlineStr">
        <is>
          <t>Sveaskog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50040-2025</t>
        </is>
      </c>
      <c r="B360" t="inlineStr">
        <is>
          <t>avverkningsanmälan</t>
        </is>
      </c>
      <c r="C360" t="inlineStr">
        <is>
          <t>Föryngringsavverkning</t>
        </is>
      </c>
      <c r="D360" s="1" t="n">
        <v>45943</v>
      </c>
      <c r="E360" s="1" t="n">
        <v>46306</v>
      </c>
      <c r="F360" t="inlineStr">
        <is>
          <t>DALARNAS LÄN</t>
        </is>
      </c>
      <c r="G360" t="inlineStr">
        <is>
          <t>HEDEMORA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45097-2025</t>
        </is>
      </c>
      <c r="B361" t="inlineStr">
        <is>
          <t>avverkningsanmälan</t>
        </is>
      </c>
      <c r="C361" t="inlineStr">
        <is>
          <t>Föryngringsavverkning</t>
        </is>
      </c>
      <c r="D361" s="1" t="n">
        <v>45919</v>
      </c>
      <c r="E361" s="1" t="n">
        <v>46306</v>
      </c>
      <c r="F361" t="inlineStr">
        <is>
          <t>DALARNAS LÄN</t>
        </is>
      </c>
      <c r="G361" t="inlineStr">
        <is>
          <t>HEDEMORA</t>
        </is>
      </c>
      <c r="H361" t="inlineStr">
        <is>
          <t>Sveaskog</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25925-2026</t>
        </is>
      </c>
      <c r="B362" t="inlineStr">
        <is>
          <t>avverkningsanmälan</t>
        </is>
      </c>
      <c r="C362" t="inlineStr">
        <is>
          <t>Föryngringsavverkning</t>
        </is>
      </c>
      <c r="D362" s="1" t="n">
        <v>46178</v>
      </c>
      <c r="E362" s="1" t="n">
        <v>46306</v>
      </c>
      <c r="F362" t="inlineStr">
        <is>
          <t>DALARNAS LÄN</t>
        </is>
      </c>
      <c r="G362" t="inlineStr">
        <is>
          <t>HEDEMORA</t>
        </is>
      </c>
      <c r="H362" t="inlineStr">
        <is>
          <t>Sveaskog</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45290-2025</t>
        </is>
      </c>
      <c r="B363" t="inlineStr">
        <is>
          <t>avverkningsanmälan</t>
        </is>
      </c>
      <c r="C363" t="inlineStr">
        <is>
          <t>Föryngringsavverkning</t>
        </is>
      </c>
      <c r="D363" s="1" t="n">
        <v>45920</v>
      </c>
      <c r="E363" s="1" t="n">
        <v>46306</v>
      </c>
      <c r="F363" t="inlineStr">
        <is>
          <t>DALARNAS LÄN</t>
        </is>
      </c>
      <c r="G363" t="inlineStr">
        <is>
          <t>HEDEMORA</t>
        </is>
      </c>
      <c r="H363" t="inlineStr">
        <is>
          <t>Sveaskog</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49771-2025</t>
        </is>
      </c>
      <c r="B364" t="inlineStr">
        <is>
          <t>avverkningsanmälan</t>
        </is>
      </c>
      <c r="C364" t="inlineStr">
        <is>
          <t>Föryngringsavverkning</t>
        </is>
      </c>
      <c r="D364" s="1" t="n">
        <v>45940</v>
      </c>
      <c r="E364" s="1" t="n">
        <v>46306</v>
      </c>
      <c r="F364" t="inlineStr">
        <is>
          <t>DALARNAS LÄN</t>
        </is>
      </c>
      <c r="G364" t="inlineStr">
        <is>
          <t>HEDEMORA</t>
        </is>
      </c>
      <c r="H364" t="inlineStr">
        <is>
          <t>Sveaskog</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1449-2026</t>
        </is>
      </c>
      <c r="B365" t="inlineStr">
        <is>
          <t>avverkningsanmälan</t>
        </is>
      </c>
      <c r="C365" t="inlineStr">
        <is>
          <t>Föryngringsavverkning</t>
        </is>
      </c>
      <c r="D365" s="1" t="n">
        <v>46033</v>
      </c>
      <c r="E365" s="1" t="n">
        <v>46306</v>
      </c>
      <c r="F365" t="inlineStr">
        <is>
          <t>DALARNAS LÄN</t>
        </is>
      </c>
      <c r="G365" t="inlineStr">
        <is>
          <t>HEDEMORA</t>
        </is>
      </c>
      <c r="I365" t="n">
        <v>13.5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19938-2026</t>
        </is>
      </c>
      <c r="B366" t="inlineStr">
        <is>
          <t>avverkningsanmälan</t>
        </is>
      </c>
      <c r="C366" t="inlineStr">
        <is>
          <t>Föryngringsavverkning</t>
        </is>
      </c>
      <c r="D366" s="1" t="n">
        <v>46136</v>
      </c>
      <c r="E366" s="1" t="n">
        <v>46306</v>
      </c>
      <c r="F366" t="inlineStr">
        <is>
          <t>DALARNAS LÄN</t>
        </is>
      </c>
      <c r="G366" t="inlineStr">
        <is>
          <t>HEDEMORA</t>
        </is>
      </c>
      <c r="H366" t="inlineStr">
        <is>
          <t>Sveaskog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19929-2026</t>
        </is>
      </c>
      <c r="B367" t="inlineStr">
        <is>
          <t>avverkningsanmälan</t>
        </is>
      </c>
      <c r="C367" t="inlineStr">
        <is>
          <t>Föryngringsavverkning</t>
        </is>
      </c>
      <c r="D367" s="1" t="n">
        <v>46136</v>
      </c>
      <c r="E367" s="1" t="n">
        <v>46306</v>
      </c>
      <c r="F367" t="inlineStr">
        <is>
          <t>DALARNAS LÄN</t>
        </is>
      </c>
      <c r="G367" t="inlineStr">
        <is>
          <t>HEDEMORA</t>
        </is>
      </c>
      <c r="H367" t="inlineStr">
        <is>
          <t>Sveaskog</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19942-2026</t>
        </is>
      </c>
      <c r="B368" t="inlineStr">
        <is>
          <t>avverkningsanmälan</t>
        </is>
      </c>
      <c r="C368" t="inlineStr">
        <is>
          <t>Föryngringsavverkning</t>
        </is>
      </c>
      <c r="D368" s="1" t="n">
        <v>46136</v>
      </c>
      <c r="E368" s="1" t="n">
        <v>46306</v>
      </c>
      <c r="F368" t="inlineStr">
        <is>
          <t>DALARNAS LÄN</t>
        </is>
      </c>
      <c r="G368" t="inlineStr">
        <is>
          <t>HEDEMORA</t>
        </is>
      </c>
      <c r="H368" t="inlineStr">
        <is>
          <t>Sveaskog</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26395-2026</t>
        </is>
      </c>
      <c r="B369" t="inlineStr">
        <is>
          <t>avverkningsanmälan</t>
        </is>
      </c>
      <c r="C369" t="inlineStr">
        <is>
          <t>Föryngringsavverkning</t>
        </is>
      </c>
      <c r="D369" s="1" t="n">
        <v>46183</v>
      </c>
      <c r="E369" s="1" t="n">
        <v>46306</v>
      </c>
      <c r="F369" t="inlineStr">
        <is>
          <t>DALARNAS LÄN</t>
        </is>
      </c>
      <c r="G369" t="inlineStr">
        <is>
          <t>HEDEMORA</t>
        </is>
      </c>
      <c r="H369" t="inlineStr">
        <is>
          <t>Bergvik skog väst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26906-2026</t>
        </is>
      </c>
      <c r="B370" t="inlineStr">
        <is>
          <t>avverkningsanmälan</t>
        </is>
      </c>
      <c r="C370" t="inlineStr">
        <is>
          <t>Föryngringsavverkning</t>
        </is>
      </c>
      <c r="D370" s="1" t="n">
        <v>46185</v>
      </c>
      <c r="E370" s="1" t="n">
        <v>46306</v>
      </c>
      <c r="F370" t="inlineStr">
        <is>
          <t>DALARNAS LÄN</t>
        </is>
      </c>
      <c r="G370" t="inlineStr">
        <is>
          <t>HEDEMORA</t>
        </is>
      </c>
      <c r="H370" t="inlineStr">
        <is>
          <t>Sveaskog</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21581-2026</t>
        </is>
      </c>
      <c r="B371" t="inlineStr">
        <is>
          <t>avverkningsanmälan</t>
        </is>
      </c>
      <c r="C371" t="inlineStr">
        <is>
          <t>Föryngringsavverkning</t>
        </is>
      </c>
      <c r="D371" s="1" t="n">
        <v>46148</v>
      </c>
      <c r="E371" s="1" t="n">
        <v>46306</v>
      </c>
      <c r="F371" t="inlineStr">
        <is>
          <t>DALARNAS LÄN</t>
        </is>
      </c>
      <c r="G371" t="inlineStr">
        <is>
          <t>HEDEMORA</t>
        </is>
      </c>
      <c r="H371" t="inlineStr">
        <is>
          <t>Sveaskog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29522-2026</t>
        </is>
      </c>
      <c r="B372" t="inlineStr">
        <is>
          <t>avverkningsanmälan</t>
        </is>
      </c>
      <c r="C372" t="inlineStr">
        <is>
          <t>Föryngringsavverkning</t>
        </is>
      </c>
      <c r="D372" s="1" t="n">
        <v>46198</v>
      </c>
      <c r="E372" s="1" t="n">
        <v>46306</v>
      </c>
      <c r="F372" t="inlineStr">
        <is>
          <t>DALARNAS LÄN</t>
        </is>
      </c>
      <c r="G372" t="inlineStr">
        <is>
          <t>HEDEMORA</t>
        </is>
      </c>
      <c r="H372" t="inlineStr">
        <is>
          <t>Kyrkan</t>
        </is>
      </c>
      <c r="I372" t="n">
        <v>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25150-2023</t>
        </is>
      </c>
      <c r="B373" t="inlineStr">
        <is>
          <t>avverkningsanmälan</t>
        </is>
      </c>
      <c r="C373" t="inlineStr">
        <is>
          <t>Föryngringsavverkning</t>
        </is>
      </c>
      <c r="D373" s="1" t="n">
        <v>45086</v>
      </c>
      <c r="E373" s="1" t="n">
        <v>46306</v>
      </c>
      <c r="F373" t="inlineStr">
        <is>
          <t>DALARNAS LÄN</t>
        </is>
      </c>
      <c r="G373" t="inlineStr">
        <is>
          <t>HEDEMORA</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30878-2026</t>
        </is>
      </c>
      <c r="B374" t="inlineStr">
        <is>
          <t>avverkningsanmälan</t>
        </is>
      </c>
      <c r="C374" t="inlineStr">
        <is>
          <t>Föryngringsavverkning</t>
        </is>
      </c>
      <c r="D374" s="1" t="n">
        <v>46212</v>
      </c>
      <c r="E374" s="1" t="n">
        <v>46306</v>
      </c>
      <c r="F374" t="inlineStr">
        <is>
          <t>DALARNAS LÄN</t>
        </is>
      </c>
      <c r="G374" t="inlineStr">
        <is>
          <t>HEDEMORA</t>
        </is>
      </c>
      <c r="H374" t="inlineStr">
        <is>
          <t>Sveaskog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35967-2026</t>
        </is>
      </c>
      <c r="B375" t="inlineStr">
        <is>
          <t>avverkningsanmälan</t>
        </is>
      </c>
      <c r="C375" t="inlineStr">
        <is>
          <t>Föryngringsavverkning</t>
        </is>
      </c>
      <c r="D375" s="1" t="n">
        <v>46266</v>
      </c>
      <c r="E375" s="1" t="n">
        <v>46306</v>
      </c>
      <c r="F375" t="inlineStr">
        <is>
          <t>DALARNAS LÄN</t>
        </is>
      </c>
      <c r="G375" t="inlineStr">
        <is>
          <t>HEDEMORA</t>
        </is>
      </c>
      <c r="H375" t="inlineStr">
        <is>
          <t>Sveaskog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35972-2026</t>
        </is>
      </c>
      <c r="B376" t="inlineStr">
        <is>
          <t>avverkningsanmälan</t>
        </is>
      </c>
      <c r="C376" t="inlineStr">
        <is>
          <t>Föryngringsavverkning</t>
        </is>
      </c>
      <c r="D376" s="1" t="n">
        <v>46266</v>
      </c>
      <c r="E376" s="1" t="n">
        <v>46306</v>
      </c>
      <c r="F376" t="inlineStr">
        <is>
          <t>DALARNAS LÄN</t>
        </is>
      </c>
      <c r="G376" t="inlineStr">
        <is>
          <t>HEDEMORA</t>
        </is>
      </c>
      <c r="H376" t="inlineStr">
        <is>
          <t>Sveaskog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31647-2026</t>
        </is>
      </c>
      <c r="B377" t="inlineStr">
        <is>
          <t>avverkningsanmälan</t>
        </is>
      </c>
      <c r="C377" t="inlineStr">
        <is>
          <t>Föryngringsavverkning</t>
        </is>
      </c>
      <c r="D377" s="1" t="n">
        <v>46225</v>
      </c>
      <c r="E377" s="1" t="n">
        <v>46306</v>
      </c>
      <c r="F377" t="inlineStr">
        <is>
          <t>DALARNAS LÄN</t>
        </is>
      </c>
      <c r="G377" t="inlineStr">
        <is>
          <t>HEDEMORA</t>
        </is>
      </c>
      <c r="H377" t="inlineStr">
        <is>
          <t>Bergvik skog väst AB</t>
        </is>
      </c>
      <c r="I377" t="n">
        <v>37.7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37023-2026</t>
        </is>
      </c>
      <c r="B378" t="inlineStr">
        <is>
          <t>avverkningsanmälan</t>
        </is>
      </c>
      <c r="C378" t="inlineStr">
        <is>
          <t>Föryngringsavverkning</t>
        </is>
      </c>
      <c r="D378" s="1" t="n">
        <v>46273</v>
      </c>
      <c r="E378" s="1" t="n">
        <v>46306</v>
      </c>
      <c r="F378" t="inlineStr">
        <is>
          <t>DALARNAS LÄN</t>
        </is>
      </c>
      <c r="G378" t="inlineStr">
        <is>
          <t>HEDEMORA</t>
        </is>
      </c>
      <c r="H378" t="inlineStr">
        <is>
          <t>Bergvik skog väst AB</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23843-2026</t>
        </is>
      </c>
      <c r="B379" t="inlineStr">
        <is>
          <t>avverkningsanmälan</t>
        </is>
      </c>
      <c r="C379" t="inlineStr">
        <is>
          <t>Föryngringsavverkning</t>
        </is>
      </c>
      <c r="D379" s="1" t="n">
        <v>46167</v>
      </c>
      <c r="E379" s="1" t="n">
        <v>46306</v>
      </c>
      <c r="F379" t="inlineStr">
        <is>
          <t>DALARNAS LÄN</t>
        </is>
      </c>
      <c r="G379" t="inlineStr">
        <is>
          <t>HEDEMORA</t>
        </is>
      </c>
      <c r="H379" t="inlineStr">
        <is>
          <t>Sveaskog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37898-2026</t>
        </is>
      </c>
      <c r="B380" t="inlineStr">
        <is>
          <t>avverkningsanmälan</t>
        </is>
      </c>
      <c r="C380" t="inlineStr">
        <is>
          <t>Föryngringsavverkning</t>
        </is>
      </c>
      <c r="D380" s="1" t="n">
        <v>46279</v>
      </c>
      <c r="E380" s="1" t="n">
        <v>46306</v>
      </c>
      <c r="F380" t="inlineStr">
        <is>
          <t>DALARNAS LÄN</t>
        </is>
      </c>
      <c r="G380" t="inlineStr">
        <is>
          <t>HEDEMORA</t>
        </is>
      </c>
      <c r="H380" t="inlineStr">
        <is>
          <t>Bergvik skog väst AB</t>
        </is>
      </c>
      <c r="I380" t="n">
        <v>11.6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37894-2026</t>
        </is>
      </c>
      <c r="B381" t="inlineStr">
        <is>
          <t>avverkningsanmälan</t>
        </is>
      </c>
      <c r="C381" t="inlineStr">
        <is>
          <t>Föryngringsavverkning</t>
        </is>
      </c>
      <c r="D381" s="1" t="n">
        <v>46279</v>
      </c>
      <c r="E381" s="1" t="n">
        <v>46306</v>
      </c>
      <c r="F381" t="inlineStr">
        <is>
          <t>DALARNAS LÄN</t>
        </is>
      </c>
      <c r="G381" t="inlineStr">
        <is>
          <t>HEDEMORA</t>
        </is>
      </c>
      <c r="H381" t="inlineStr">
        <is>
          <t>Bergvik skog väst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37895-2026</t>
        </is>
      </c>
      <c r="B382" t="inlineStr">
        <is>
          <t>avverkningsanmälan</t>
        </is>
      </c>
      <c r="C382" t="inlineStr">
        <is>
          <t>Föryngringsavverkning</t>
        </is>
      </c>
      <c r="D382" s="1" t="n">
        <v>46279</v>
      </c>
      <c r="E382" s="1" t="n">
        <v>46306</v>
      </c>
      <c r="F382" t="inlineStr">
        <is>
          <t>DALARNAS LÄN</t>
        </is>
      </c>
      <c r="G382" t="inlineStr">
        <is>
          <t>HEDEMORA</t>
        </is>
      </c>
      <c r="H382" t="inlineStr">
        <is>
          <t>Bergvik skog väst AB</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38285-2026</t>
        </is>
      </c>
      <c r="B383" t="inlineStr">
        <is>
          <t>avverkningsanmälan</t>
        </is>
      </c>
      <c r="C383" t="inlineStr">
        <is>
          <t>Föryngringsavverkning</t>
        </is>
      </c>
      <c r="D383" s="1" t="n">
        <v>46281</v>
      </c>
      <c r="E383" s="1" t="n">
        <v>46306</v>
      </c>
      <c r="F383" t="inlineStr">
        <is>
          <t>DALARNAS LÄN</t>
        </is>
      </c>
      <c r="G383" t="inlineStr">
        <is>
          <t>HEDEMORA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38294-2026</t>
        </is>
      </c>
      <c r="B384" t="inlineStr">
        <is>
          <t>avverkningsanmälan</t>
        </is>
      </c>
      <c r="C384" t="inlineStr">
        <is>
          <t>Föryngringsavverkning</t>
        </is>
      </c>
      <c r="D384" s="1" t="n">
        <v>46282</v>
      </c>
      <c r="E384" s="1" t="n">
        <v>46306</v>
      </c>
      <c r="F384" t="inlineStr">
        <is>
          <t>DALARNAS LÄN</t>
        </is>
      </c>
      <c r="G384" t="inlineStr">
        <is>
          <t>HEDEMORA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38161-2026</t>
        </is>
      </c>
      <c r="B385" t="inlineStr">
        <is>
          <t>avverkningsanmälan</t>
        </is>
      </c>
      <c r="C385" t="inlineStr">
        <is>
          <t>Föryngringsavverkning</t>
        </is>
      </c>
      <c r="D385" s="1" t="n">
        <v>46281</v>
      </c>
      <c r="E385" s="1" t="n">
        <v>46306</v>
      </c>
      <c r="F385" t="inlineStr">
        <is>
          <t>DALARNAS LÄN</t>
        </is>
      </c>
      <c r="G385" t="inlineStr">
        <is>
          <t>HEDEMORA</t>
        </is>
      </c>
      <c r="H385" t="inlineStr">
        <is>
          <t>Sveaskog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38163-2026</t>
        </is>
      </c>
      <c r="B386" t="inlineStr">
        <is>
          <t>avverkningsanmälan</t>
        </is>
      </c>
      <c r="C386" t="inlineStr">
        <is>
          <t>Föryngringsavverkning</t>
        </is>
      </c>
      <c r="D386" s="1" t="n">
        <v>46281</v>
      </c>
      <c r="E386" s="1" t="n">
        <v>46306</v>
      </c>
      <c r="F386" t="inlineStr">
        <is>
          <t>DALARNAS LÄN</t>
        </is>
      </c>
      <c r="G386" t="inlineStr">
        <is>
          <t>HEDEMORA</t>
        </is>
      </c>
      <c r="H386" t="inlineStr">
        <is>
          <t>Sveaskog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32531-2026</t>
        </is>
      </c>
      <c r="B387" t="inlineStr">
        <is>
          <t>avverkningsanmälan</t>
        </is>
      </c>
      <c r="C387" t="inlineStr">
        <is>
          <t>Föryngringsavverkning</t>
        </is>
      </c>
      <c r="D387" s="1" t="n">
        <v>46239</v>
      </c>
      <c r="E387" s="1" t="n">
        <v>46306</v>
      </c>
      <c r="F387" t="inlineStr">
        <is>
          <t>DALARNAS LÄN</t>
        </is>
      </c>
      <c r="G387" t="inlineStr">
        <is>
          <t>HEDEMORA</t>
        </is>
      </c>
      <c r="H387" t="inlineStr">
        <is>
          <t>Sveaskog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38166-2026</t>
        </is>
      </c>
      <c r="B388" t="inlineStr">
        <is>
          <t>avverkningsanmälan</t>
        </is>
      </c>
      <c r="C388" t="inlineStr">
        <is>
          <t>Föryngringsavverkning</t>
        </is>
      </c>
      <c r="D388" s="1" t="n">
        <v>46281</v>
      </c>
      <c r="E388" s="1" t="n">
        <v>46306</v>
      </c>
      <c r="F388" t="inlineStr">
        <is>
          <t>DALARNAS LÄN</t>
        </is>
      </c>
      <c r="G388" t="inlineStr">
        <is>
          <t>HEDEMORA</t>
        </is>
      </c>
      <c r="H388" t="inlineStr">
        <is>
          <t>Sveaskog</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38169-2026</t>
        </is>
      </c>
      <c r="B389" t="inlineStr">
        <is>
          <t>avverkningsanmälan</t>
        </is>
      </c>
      <c r="C389" t="inlineStr">
        <is>
          <t>Föryngringsavverkning</t>
        </is>
      </c>
      <c r="D389" s="1" t="n">
        <v>46281</v>
      </c>
      <c r="E389" s="1" t="n">
        <v>46306</v>
      </c>
      <c r="F389" t="inlineStr">
        <is>
          <t>DALARNAS LÄN</t>
        </is>
      </c>
      <c r="G389" t="inlineStr">
        <is>
          <t>HEDEMORA</t>
        </is>
      </c>
      <c r="H389" t="inlineStr">
        <is>
          <t>Sveaskog</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32624-2026</t>
        </is>
      </c>
      <c r="B390" t="inlineStr">
        <is>
          <t>avverkningsanmälan</t>
        </is>
      </c>
      <c r="C390" t="inlineStr">
        <is>
          <t>Föryngringsavverkning</t>
        </is>
      </c>
      <c r="D390" s="1" t="n">
        <v>46240</v>
      </c>
      <c r="E390" s="1" t="n">
        <v>46306</v>
      </c>
      <c r="F390" t="inlineStr">
        <is>
          <t>DALARNAS LÄN</t>
        </is>
      </c>
      <c r="G390" t="inlineStr">
        <is>
          <t>HEDEMORA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32687-2026</t>
        </is>
      </c>
      <c r="B391" t="inlineStr">
        <is>
          <t>avverkningsanmälan</t>
        </is>
      </c>
      <c r="C391" t="inlineStr">
        <is>
          <t>Föryngringsavverkning</t>
        </is>
      </c>
      <c r="D391" s="1" t="n">
        <v>46240</v>
      </c>
      <c r="E391" s="1" t="n">
        <v>46306</v>
      </c>
      <c r="F391" t="inlineStr">
        <is>
          <t>DALARNAS LÄN</t>
        </is>
      </c>
      <c r="G391" t="inlineStr">
        <is>
          <t>HEDEMORA</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38680-2026</t>
        </is>
      </c>
      <c r="B392" t="inlineStr">
        <is>
          <t>avverkningsanmälan</t>
        </is>
      </c>
      <c r="C392" t="inlineStr">
        <is>
          <t>Föryngringsavverkning</t>
        </is>
      </c>
      <c r="D392" s="1" t="n">
        <v>46281</v>
      </c>
      <c r="E392" s="1" t="n">
        <v>46306</v>
      </c>
      <c r="F392" t="inlineStr">
        <is>
          <t>DALARNAS LÄN</t>
        </is>
      </c>
      <c r="G392" t="inlineStr">
        <is>
          <t>HEDEMORA</t>
        </is>
      </c>
      <c r="H392" t="inlineStr">
        <is>
          <t>Bergvik skog väst AB</t>
        </is>
      </c>
      <c r="I392" t="n">
        <v>7.3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38770-2026</t>
        </is>
      </c>
      <c r="B393" t="inlineStr">
        <is>
          <t>avverkningsanmälan</t>
        </is>
      </c>
      <c r="C393" t="inlineStr">
        <is>
          <t>Föryngringsavverkning</t>
        </is>
      </c>
      <c r="D393" s="1" t="n">
        <v>46286</v>
      </c>
      <c r="E393" s="1" t="n">
        <v>46306</v>
      </c>
      <c r="F393" t="inlineStr">
        <is>
          <t>DALARNAS LÄN</t>
        </is>
      </c>
      <c r="G393" t="inlineStr">
        <is>
          <t>HEDEMORA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38679-2026</t>
        </is>
      </c>
      <c r="B394" t="inlineStr">
        <is>
          <t>avverkningsanmälan</t>
        </is>
      </c>
      <c r="C394" t="inlineStr">
        <is>
          <t>Föryngringsavverkning</t>
        </is>
      </c>
      <c r="D394" s="1" t="n">
        <v>46281</v>
      </c>
      <c r="E394" s="1" t="n">
        <v>46306</v>
      </c>
      <c r="F394" t="inlineStr">
        <is>
          <t>DALARNAS LÄN</t>
        </is>
      </c>
      <c r="G394" t="inlineStr">
        <is>
          <t>HEDEMORA</t>
        </is>
      </c>
      <c r="H394" t="inlineStr">
        <is>
          <t>Bergvik skog väst AB</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7165-2026</t>
        </is>
      </c>
      <c r="B395" t="inlineStr">
        <is>
          <t>avverkningsanmälan</t>
        </is>
      </c>
      <c r="C395" t="inlineStr">
        <is>
          <t>Föryngringsavverkning</t>
        </is>
      </c>
      <c r="D395" s="1" t="n">
        <v>46058</v>
      </c>
      <c r="E395" s="1" t="n">
        <v>46306</v>
      </c>
      <c r="F395" t="inlineStr">
        <is>
          <t>DALARNAS LÄN</t>
        </is>
      </c>
      <c r="G395" t="inlineStr">
        <is>
          <t>HEDEMORA</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32986-2026</t>
        </is>
      </c>
      <c r="B396" t="inlineStr">
        <is>
          <t>avverkningsanmälan</t>
        </is>
      </c>
      <c r="C396" t="inlineStr">
        <is>
          <t>Föryngringsavverkning</t>
        </is>
      </c>
      <c r="D396" s="1" t="n">
        <v>46244</v>
      </c>
      <c r="E396" s="1" t="n">
        <v>46306</v>
      </c>
      <c r="F396" t="inlineStr">
        <is>
          <t>DALARNAS LÄN</t>
        </is>
      </c>
      <c r="G396" t="inlineStr">
        <is>
          <t>HEDEMORA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25924-2026</t>
        </is>
      </c>
      <c r="B397" t="inlineStr">
        <is>
          <t>avverkningsanmälan</t>
        </is>
      </c>
      <c r="C397" t="inlineStr">
        <is>
          <t>Föryngringsavverkning</t>
        </is>
      </c>
      <c r="D397" s="1" t="n">
        <v>46178</v>
      </c>
      <c r="E397" s="1" t="n">
        <v>46306</v>
      </c>
      <c r="F397" t="inlineStr">
        <is>
          <t>DALARNAS LÄN</t>
        </is>
      </c>
      <c r="G397" t="inlineStr">
        <is>
          <t>HEDEMORA</t>
        </is>
      </c>
      <c r="H397" t="inlineStr">
        <is>
          <t>Sveaskog</t>
        </is>
      </c>
      <c r="I397" t="n">
        <v>18.3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39909-2026</t>
        </is>
      </c>
      <c r="B398" t="inlineStr">
        <is>
          <t>avverkningsanmälan</t>
        </is>
      </c>
      <c r="C398" t="inlineStr">
        <is>
          <t>Föryngringsavverkning</t>
        </is>
      </c>
      <c r="D398" s="1" t="n">
        <v>46290</v>
      </c>
      <c r="E398" s="1" t="n">
        <v>46306</v>
      </c>
      <c r="F398" t="inlineStr">
        <is>
          <t>DALARNAS LÄN</t>
        </is>
      </c>
      <c r="G398" t="inlineStr">
        <is>
          <t>HEDEMORA</t>
        </is>
      </c>
      <c r="H398" t="inlineStr">
        <is>
          <t>Kommuner</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24949-2026</t>
        </is>
      </c>
      <c r="B399" t="inlineStr">
        <is>
          <t>avverkningsanmälan</t>
        </is>
      </c>
      <c r="C399" t="inlineStr">
        <is>
          <t>Föryngringsavverkning</t>
        </is>
      </c>
      <c r="D399" s="1" t="n">
        <v>46174</v>
      </c>
      <c r="E399" s="1" t="n">
        <v>46306</v>
      </c>
      <c r="F399" t="inlineStr">
        <is>
          <t>DALARNAS LÄN</t>
        </is>
      </c>
      <c r="G399" t="inlineStr">
        <is>
          <t>HEDEMORA</t>
        </is>
      </c>
      <c r="H399" t="inlineStr">
        <is>
          <t>Sveaskog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53040-2025</t>
        </is>
      </c>
      <c r="B400" t="inlineStr">
        <is>
          <t>avverkningsanmälan</t>
        </is>
      </c>
      <c r="C400" t="inlineStr">
        <is>
          <t>Föryngringsavverkning</t>
        </is>
      </c>
      <c r="D400" s="1" t="n">
        <v>45958</v>
      </c>
      <c r="E400" s="1" t="n">
        <v>46306</v>
      </c>
      <c r="F400" t="inlineStr">
        <is>
          <t>DALARNAS LÄN</t>
        </is>
      </c>
      <c r="G400" t="inlineStr">
        <is>
          <t>HEDEMORA</t>
        </is>
      </c>
      <c r="H400" t="inlineStr">
        <is>
          <t>Sveaskog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53044-2025</t>
        </is>
      </c>
      <c r="B401" t="inlineStr">
        <is>
          <t>avverkningsanmälan</t>
        </is>
      </c>
      <c r="C401" t="inlineStr">
        <is>
          <t>Föryngringsavverkning</t>
        </is>
      </c>
      <c r="D401" s="1" t="n">
        <v>45958</v>
      </c>
      <c r="E401" s="1" t="n">
        <v>46306</v>
      </c>
      <c r="F401" t="inlineStr">
        <is>
          <t>DALARNAS LÄN</t>
        </is>
      </c>
      <c r="G401" t="inlineStr">
        <is>
          <t>HEDEMORA</t>
        </is>
      </c>
      <c r="H401" t="inlineStr">
        <is>
          <t>Sveaskog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52853-2025</t>
        </is>
      </c>
      <c r="B402" t="inlineStr">
        <is>
          <t>avverkningsanmälan</t>
        </is>
      </c>
      <c r="C402" t="inlineStr">
        <is>
          <t>Föryngringsavverkning</t>
        </is>
      </c>
      <c r="D402" s="1" t="n">
        <v>45957</v>
      </c>
      <c r="E402" s="1" t="n">
        <v>46306</v>
      </c>
      <c r="F402" t="inlineStr">
        <is>
          <t>DALARNAS LÄN</t>
        </is>
      </c>
      <c r="G402" t="inlineStr">
        <is>
          <t>HEDEMORA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25155-2023</t>
        </is>
      </c>
      <c r="B403" t="inlineStr">
        <is>
          <t>avverkningsanmälan</t>
        </is>
      </c>
      <c r="C403" t="inlineStr">
        <is>
          <t>Föryngringsavverkning</t>
        </is>
      </c>
      <c r="D403" s="1" t="n">
        <v>45086</v>
      </c>
      <c r="E403" s="1" t="n">
        <v>46306</v>
      </c>
      <c r="F403" t="inlineStr">
        <is>
          <t>DALARNAS LÄN</t>
        </is>
      </c>
      <c r="G403" t="inlineStr">
        <is>
          <t>HEDEMORA</t>
        </is>
      </c>
      <c r="H403" t="inlineStr">
        <is>
          <t>Sveaskog</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40691-2026</t>
        </is>
      </c>
      <c r="B404" t="inlineStr">
        <is>
          <t>avverkningsanmälan</t>
        </is>
      </c>
      <c r="C404" t="inlineStr">
        <is>
          <t>Föryngringsavverkning</t>
        </is>
      </c>
      <c r="D404" s="1" t="n">
        <v>46296</v>
      </c>
      <c r="E404" s="1" t="n">
        <v>46306</v>
      </c>
      <c r="F404" t="inlineStr">
        <is>
          <t>DALARNAS LÄN</t>
        </is>
      </c>
      <c r="G404" t="inlineStr">
        <is>
          <t>HEDEMORA</t>
        </is>
      </c>
      <c r="H404" t="inlineStr">
        <is>
          <t>Sveaskog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9672-2026</t>
        </is>
      </c>
      <c r="B405" t="inlineStr">
        <is>
          <t>avverkningsanmälan</t>
        </is>
      </c>
      <c r="C405" t="inlineStr">
        <is>
          <t>Föryngringsavverkning</t>
        </is>
      </c>
      <c r="D405" s="1" t="n">
        <v>46072</v>
      </c>
      <c r="E405" s="1" t="n">
        <v>46306</v>
      </c>
      <c r="F405" t="inlineStr">
        <is>
          <t>DALARNAS LÄN</t>
        </is>
      </c>
      <c r="G405" t="inlineStr">
        <is>
          <t>HEDEMORA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9674-2026</t>
        </is>
      </c>
      <c r="B406" t="inlineStr">
        <is>
          <t>avverkningsanmälan</t>
        </is>
      </c>
      <c r="C406" t="inlineStr">
        <is>
          <t>Föryngringsavverkning</t>
        </is>
      </c>
      <c r="D406" s="1" t="n">
        <v>46072</v>
      </c>
      <c r="E406" s="1" t="n">
        <v>46306</v>
      </c>
      <c r="F406" t="inlineStr">
        <is>
          <t>DALARNAS LÄN</t>
        </is>
      </c>
      <c r="G406" t="inlineStr">
        <is>
          <t>HEDEMORA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34646-2026</t>
        </is>
      </c>
      <c r="B407" t="inlineStr">
        <is>
          <t>avverkningsanmälan</t>
        </is>
      </c>
      <c r="C407" t="inlineStr">
        <is>
          <t>Föryngringsavverkning</t>
        </is>
      </c>
      <c r="D407" s="1" t="n">
        <v>46255</v>
      </c>
      <c r="E407" s="1" t="n">
        <v>46306</v>
      </c>
      <c r="F407" t="inlineStr">
        <is>
          <t>DALARNAS LÄN</t>
        </is>
      </c>
      <c r="G407" t="inlineStr">
        <is>
          <t>HEDEMORA</t>
        </is>
      </c>
      <c r="H407" t="inlineStr">
        <is>
          <t>Sveaskog</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41172-2026</t>
        </is>
      </c>
      <c r="B408" t="inlineStr">
        <is>
          <t>avverkningsanmälan</t>
        </is>
      </c>
      <c r="C408" t="inlineStr">
        <is>
          <t>Föryngringsavverkning</t>
        </is>
      </c>
      <c r="D408" s="1" t="n">
        <v>46300</v>
      </c>
      <c r="E408" s="1" t="n">
        <v>46306</v>
      </c>
      <c r="F408" t="inlineStr">
        <is>
          <t>DALARNAS LÄN</t>
        </is>
      </c>
      <c r="G408" t="inlineStr">
        <is>
          <t>HEDEMORA</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41184-2026</t>
        </is>
      </c>
      <c r="B409" t="inlineStr">
        <is>
          <t>avverkningsanmälan</t>
        </is>
      </c>
      <c r="C409" t="inlineStr">
        <is>
          <t>Föryngringsavverkning</t>
        </is>
      </c>
      <c r="D409" s="1" t="n">
        <v>46300</v>
      </c>
      <c r="E409" s="1" t="n">
        <v>46306</v>
      </c>
      <c r="F409" t="inlineStr">
        <is>
          <t>DALARNAS LÄN</t>
        </is>
      </c>
      <c r="G409" t="inlineStr">
        <is>
          <t>HEDEMORA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34645-2026</t>
        </is>
      </c>
      <c r="B410" t="inlineStr">
        <is>
          <t>avverkningsanmälan</t>
        </is>
      </c>
      <c r="C410" t="inlineStr">
        <is>
          <t>Föryngringsavverkning</t>
        </is>
      </c>
      <c r="D410" s="1" t="n">
        <v>46255</v>
      </c>
      <c r="E410" s="1" t="n">
        <v>46306</v>
      </c>
      <c r="F410" t="inlineStr">
        <is>
          <t>DALARNAS LÄN</t>
        </is>
      </c>
      <c r="G410" t="inlineStr">
        <is>
          <t>HEDEMORA</t>
        </is>
      </c>
      <c r="H410" t="inlineStr">
        <is>
          <t>Sveaskog</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41173-2026</t>
        </is>
      </c>
      <c r="B411" t="inlineStr">
        <is>
          <t>avverkningsanmälan</t>
        </is>
      </c>
      <c r="C411" t="inlineStr">
        <is>
          <t>Föryngringsavverkning</t>
        </is>
      </c>
      <c r="D411" s="1" t="n">
        <v>46300</v>
      </c>
      <c r="E411" s="1" t="n">
        <v>46306</v>
      </c>
      <c r="F411" t="inlineStr">
        <is>
          <t>DALARNAS LÄN</t>
        </is>
      </c>
      <c r="G411" t="inlineStr">
        <is>
          <t>HEDEMORA</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34647-2026</t>
        </is>
      </c>
      <c r="B412" t="inlineStr">
        <is>
          <t>avverkningsanmälan</t>
        </is>
      </c>
      <c r="C412" t="inlineStr">
        <is>
          <t>Föryngringsavverkning</t>
        </is>
      </c>
      <c r="D412" s="1" t="n">
        <v>46255</v>
      </c>
      <c r="E412" s="1" t="n">
        <v>46306</v>
      </c>
      <c r="F412" t="inlineStr">
        <is>
          <t>DALARNAS LÄN</t>
        </is>
      </c>
      <c r="G412" t="inlineStr">
        <is>
          <t>HEDEMORA</t>
        </is>
      </c>
      <c r="H412" t="inlineStr">
        <is>
          <t>Sveaskog</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41420-2026</t>
        </is>
      </c>
      <c r="B413" t="inlineStr">
        <is>
          <t>avverkningsanmälan</t>
        </is>
      </c>
      <c r="C413" t="inlineStr">
        <is>
          <t>Föryngringsavverkning</t>
        </is>
      </c>
      <c r="D413" s="1" t="n">
        <v>46301</v>
      </c>
      <c r="E413" s="1" t="n">
        <v>46306</v>
      </c>
      <c r="F413" t="inlineStr">
        <is>
          <t>DALARNAS LÄN</t>
        </is>
      </c>
      <c r="G413" t="inlineStr">
        <is>
          <t>HEDEMORA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35505-2026</t>
        </is>
      </c>
      <c r="B414" t="inlineStr">
        <is>
          <t>avverkningsanmälan</t>
        </is>
      </c>
      <c r="C414" t="inlineStr">
        <is>
          <t>Föryngringsavverkning</t>
        </is>
      </c>
      <c r="D414" s="1" t="n">
        <v>46262</v>
      </c>
      <c r="E414" s="1" t="n">
        <v>46306</v>
      </c>
      <c r="F414" t="inlineStr">
        <is>
          <t>DALARNAS LÄN</t>
        </is>
      </c>
      <c r="G414" t="inlineStr">
        <is>
          <t>HEDEMORA</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30880-2026</t>
        </is>
      </c>
      <c r="B415" t="inlineStr">
        <is>
          <t>avverkningsanmälan</t>
        </is>
      </c>
      <c r="C415" t="inlineStr">
        <is>
          <t>Föryngringsavverkning</t>
        </is>
      </c>
      <c r="D415" s="1" t="n">
        <v>46212</v>
      </c>
      <c r="E415" s="1" t="n">
        <v>46306</v>
      </c>
      <c r="F415" t="inlineStr">
        <is>
          <t>DALARNAS LÄN</t>
        </is>
      </c>
      <c r="G415" t="inlineStr">
        <is>
          <t>HEDEMORA</t>
        </is>
      </c>
      <c r="H415" t="inlineStr">
        <is>
          <t>Sveaskog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2070-2020</t>
        </is>
      </c>
      <c r="B416" t="inlineStr">
        <is>
          <t>samrådsanmälan</t>
        </is>
      </c>
      <c r="C416" t="inlineStr">
        <is>
          <t>Askåterföring</t>
        </is>
      </c>
      <c r="D416" s="1" t="n">
        <v>44102</v>
      </c>
      <c r="E416" s="1" t="n">
        <v>46306</v>
      </c>
      <c r="F416" t="inlineStr">
        <is>
          <t>DALARNAS LÄN</t>
        </is>
      </c>
      <c r="G416" t="inlineStr">
        <is>
          <t>HEDEMORA</t>
        </is>
      </c>
      <c r="H416" t="inlineStr">
        <is>
          <t>Sveaskog</t>
        </is>
      </c>
      <c r="I416" t="n">
        <v>64.3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10365-2021</t>
        </is>
      </c>
      <c r="B417" t="inlineStr">
        <is>
          <t>samrådsanmälan</t>
        </is>
      </c>
      <c r="C417" t="inlineStr">
        <is>
          <t>Skogsgödsling</t>
        </is>
      </c>
      <c r="D417" s="1" t="n">
        <v>44550</v>
      </c>
      <c r="E417" s="1" t="n">
        <v>46306</v>
      </c>
      <c r="F417" t="inlineStr">
        <is>
          <t>DALARNAS LÄN</t>
        </is>
      </c>
      <c r="G417" t="inlineStr">
        <is>
          <t>HEDEMORA</t>
        </is>
      </c>
      <c r="H417" t="inlineStr">
        <is>
          <t>Sveaskog</t>
        </is>
      </c>
      <c r="I417" t="n">
        <v>121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2034-2022</t>
        </is>
      </c>
      <c r="B418" t="inlineStr">
        <is>
          <t>samrådsanmälan</t>
        </is>
      </c>
      <c r="C418" t="inlineStr">
        <is>
          <t>Skogsbilväg</t>
        </is>
      </c>
      <c r="D418" s="1" t="n">
        <v>44671</v>
      </c>
      <c r="E418" s="1" t="n">
        <v>46306</v>
      </c>
      <c r="F418" t="inlineStr">
        <is>
          <t>DALARNAS LÄN</t>
        </is>
      </c>
      <c r="G418" t="inlineStr">
        <is>
          <t>HEDEMORA</t>
        </is>
      </c>
      <c r="H418" t="inlineStr">
        <is>
          <t>Kommuner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435-2025</t>
        </is>
      </c>
      <c r="B419" t="inlineStr">
        <is>
          <t>samrådsanmälan</t>
        </is>
      </c>
      <c r="C419" t="inlineStr">
        <is>
          <t>Skogsgödsling</t>
        </is>
      </c>
      <c r="D419" s="1" t="n">
        <v>45700</v>
      </c>
      <c r="E419" s="1" t="n">
        <v>46306</v>
      </c>
      <c r="F419" t="inlineStr">
        <is>
          <t>DALARNAS LÄN</t>
        </is>
      </c>
      <c r="G419" t="inlineStr">
        <is>
          <t>HEDEMORA</t>
        </is>
      </c>
      <c r="H419" t="inlineStr">
        <is>
          <t>Sveaskog</t>
        </is>
      </c>
      <c r="I419" t="n">
        <v>41.9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433-2025</t>
        </is>
      </c>
      <c r="B420" t="inlineStr">
        <is>
          <t>samrådsanmälan</t>
        </is>
      </c>
      <c r="C420" t="inlineStr">
        <is>
          <t>Skogsgödsling</t>
        </is>
      </c>
      <c r="D420" s="1" t="n">
        <v>45700</v>
      </c>
      <c r="E420" s="1" t="n">
        <v>46306</v>
      </c>
      <c r="F420" t="inlineStr">
        <is>
          <t>DALARNAS LÄN</t>
        </is>
      </c>
      <c r="G420" t="inlineStr">
        <is>
          <t>HEDEMORA</t>
        </is>
      </c>
      <c r="H420" t="inlineStr">
        <is>
          <t>Sveaskog</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229-2024</t>
        </is>
      </c>
      <c r="B421" t="inlineStr">
        <is>
          <t>samrådsanmälan</t>
        </is>
      </c>
      <c r="C421" t="inlineStr">
        <is>
          <t>Skogsgödsling</t>
        </is>
      </c>
      <c r="D421" s="1" t="n">
        <v>45317</v>
      </c>
      <c r="E421" s="1" t="n">
        <v>46306</v>
      </c>
      <c r="F421" t="inlineStr">
        <is>
          <t>DALARNAS LÄN</t>
        </is>
      </c>
      <c r="G421" t="inlineStr">
        <is>
          <t>HEDEMORA</t>
        </is>
      </c>
      <c r="H421" t="inlineStr">
        <is>
          <t>Sveaskog</t>
        </is>
      </c>
      <c r="I421" t="n">
        <v>29.7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222-2024</t>
        </is>
      </c>
      <c r="B422" t="inlineStr">
        <is>
          <t>samrådsanmälan</t>
        </is>
      </c>
      <c r="C422" t="inlineStr">
        <is>
          <t>Skogsgödsling</t>
        </is>
      </c>
      <c r="D422" s="1" t="n">
        <v>45316</v>
      </c>
      <c r="E422" s="1" t="n">
        <v>46306</v>
      </c>
      <c r="F422" t="inlineStr">
        <is>
          <t>DALARNAS LÄN</t>
        </is>
      </c>
      <c r="G422" t="inlineStr">
        <is>
          <t>HEDEMORA</t>
        </is>
      </c>
      <c r="H422" t="inlineStr">
        <is>
          <t>Sveaskog</t>
        </is>
      </c>
      <c r="I422" t="n">
        <v>118.1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708-2025</t>
        </is>
      </c>
      <c r="B423" t="inlineStr">
        <is>
          <t>samrådsanmälan</t>
        </is>
      </c>
      <c r="C423" t="inlineStr">
        <is>
          <t>Skogsgödsling</t>
        </is>
      </c>
      <c r="D423" s="1" t="n">
        <v>45720</v>
      </c>
      <c r="E423" s="1" t="n">
        <v>46306</v>
      </c>
      <c r="F423" t="inlineStr">
        <is>
          <t>DALARNAS LÄN</t>
        </is>
      </c>
      <c r="G423" t="inlineStr">
        <is>
          <t>HEDEMORA</t>
        </is>
      </c>
      <c r="H423" t="inlineStr">
        <is>
          <t>Bergvik skog väst AB</t>
        </is>
      </c>
      <c r="I423" t="n">
        <v>77.09999999999999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503-2025</t>
        </is>
      </c>
      <c r="B424" t="inlineStr">
        <is>
          <t>samrådsanmälan</t>
        </is>
      </c>
      <c r="C424" t="inlineStr">
        <is>
          <t>Askåterföring</t>
        </is>
      </c>
      <c r="D424" s="1" t="n">
        <v>45706</v>
      </c>
      <c r="E424" s="1" t="n">
        <v>46306</v>
      </c>
      <c r="F424" t="inlineStr">
        <is>
          <t>DALARNAS LÄN</t>
        </is>
      </c>
      <c r="G424" t="inlineStr">
        <is>
          <t>HEDEMORA</t>
        </is>
      </c>
      <c r="H424" t="inlineStr">
        <is>
          <t>Sveaskog</t>
        </is>
      </c>
      <c r="I424" t="n">
        <v>21.9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2513-2025</t>
        </is>
      </c>
      <c r="B425" t="inlineStr">
        <is>
          <t>samrådsanmälan</t>
        </is>
      </c>
      <c r="C425" t="inlineStr">
        <is>
          <t>Annan skogsbruksåtgärd</t>
        </is>
      </c>
      <c r="D425" s="1" t="n">
        <v>45906</v>
      </c>
      <c r="E425" s="1" t="n">
        <v>46306</v>
      </c>
      <c r="F425" t="inlineStr">
        <is>
          <t>DALARNAS LÄN</t>
        </is>
      </c>
      <c r="G425" t="inlineStr">
        <is>
          <t>HEDEMORA</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3319-2025</t>
        </is>
      </c>
      <c r="B426" t="inlineStr">
        <is>
          <t>samrådsanmälan</t>
        </is>
      </c>
      <c r="C426" t="inlineStr">
        <is>
          <t>Annan skogsbruksåtgärd</t>
        </is>
      </c>
      <c r="D426" s="1" t="n">
        <v>45989</v>
      </c>
      <c r="E426" s="1" t="n">
        <v>46306</v>
      </c>
      <c r="F426" t="inlineStr">
        <is>
          <t>DALARNAS LÄN</t>
        </is>
      </c>
      <c r="G426" t="inlineStr">
        <is>
          <t>HEDEMORA</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3401-2025</t>
        </is>
      </c>
      <c r="B427" t="inlineStr">
        <is>
          <t>samrådsanmälan</t>
        </is>
      </c>
      <c r="C427" t="inlineStr">
        <is>
          <t>Annan skogsbruksåtgärd</t>
        </is>
      </c>
      <c r="D427" s="1" t="n">
        <v>45995</v>
      </c>
      <c r="E427" s="1" t="n">
        <v>46306</v>
      </c>
      <c r="F427" t="inlineStr">
        <is>
          <t>DALARNAS LÄN</t>
        </is>
      </c>
      <c r="G427" t="inlineStr">
        <is>
          <t>HEDEMORA</t>
        </is>
      </c>
      <c r="H427" t="inlineStr">
        <is>
          <t>Sveaskog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410-2026</t>
        </is>
      </c>
      <c r="B428" t="inlineStr">
        <is>
          <t>samrådsanmälan</t>
        </is>
      </c>
      <c r="C428" t="inlineStr">
        <is>
          <t>Skogsgödsling</t>
        </is>
      </c>
      <c r="D428" s="1" t="n">
        <v>46070</v>
      </c>
      <c r="E428" s="1" t="n">
        <v>46306</v>
      </c>
      <c r="F428" t="inlineStr">
        <is>
          <t>DALARNAS LÄN</t>
        </is>
      </c>
      <c r="G428" t="inlineStr">
        <is>
          <t>HEDEMORA</t>
        </is>
      </c>
      <c r="H428" t="inlineStr">
        <is>
          <t>Sveaskog</t>
        </is>
      </c>
      <c r="I428" t="n">
        <v>34.1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432-2025</t>
        </is>
      </c>
      <c r="B429" t="inlineStr">
        <is>
          <t>samrådsanmälan</t>
        </is>
      </c>
      <c r="C429" t="inlineStr">
        <is>
          <t>Skogsgödsling</t>
        </is>
      </c>
      <c r="D429" s="1" t="n">
        <v>45700</v>
      </c>
      <c r="E429" s="1" t="n">
        <v>46306</v>
      </c>
      <c r="F429" t="inlineStr">
        <is>
          <t>DALARNAS LÄN</t>
        </is>
      </c>
      <c r="G429" t="inlineStr">
        <is>
          <t>HEDEMORA</t>
        </is>
      </c>
      <c r="H429" t="inlineStr">
        <is>
          <t>Sveaskog</t>
        </is>
      </c>
      <c r="I429" t="n">
        <v>15.7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1271-2026</t>
        </is>
      </c>
      <c r="B430" t="inlineStr">
        <is>
          <t>samrådsanmälan</t>
        </is>
      </c>
      <c r="C430" t="inlineStr">
        <is>
          <t>Askåterföring</t>
        </is>
      </c>
      <c r="D430" s="1" t="n">
        <v>46142</v>
      </c>
      <c r="E430" s="1" t="n">
        <v>46306</v>
      </c>
      <c r="F430" t="inlineStr">
        <is>
          <t>DALARNAS LÄN</t>
        </is>
      </c>
      <c r="G430" t="inlineStr">
        <is>
          <t>HEDEMORA</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1039-2026</t>
        </is>
      </c>
      <c r="B431" t="inlineStr">
        <is>
          <t>samrådsanmälan</t>
        </is>
      </c>
      <c r="C431" t="inlineStr">
        <is>
          <t>Askåterföring</t>
        </is>
      </c>
      <c r="D431" s="1" t="n">
        <v>46125</v>
      </c>
      <c r="E431" s="1" t="n">
        <v>46306</v>
      </c>
      <c r="F431" t="inlineStr">
        <is>
          <t>DALARNAS LÄN</t>
        </is>
      </c>
      <c r="G431" t="inlineStr">
        <is>
          <t>HEDEMORA</t>
        </is>
      </c>
      <c r="H431" t="inlineStr">
        <is>
          <t>Sveaskog</t>
        </is>
      </c>
      <c r="I431" t="n">
        <v>51.6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3125-2025</t>
        </is>
      </c>
      <c r="B432" t="inlineStr">
        <is>
          <t>samrådsanmälan</t>
        </is>
      </c>
      <c r="C432" t="inlineStr">
        <is>
          <t>Annan skogsbruksåtgärd</t>
        </is>
      </c>
      <c r="D432" s="1" t="n">
        <v>45971</v>
      </c>
      <c r="E432" s="1" t="n">
        <v>46306</v>
      </c>
      <c r="F432" t="inlineStr">
        <is>
          <t>DALARNAS LÄN</t>
        </is>
      </c>
      <c r="G432" t="inlineStr">
        <is>
          <t>HEDEMORA</t>
        </is>
      </c>
      <c r="I432" t="n">
        <v>4.4</v>
      </c>
      <c r="J432" t="n">
        <v>0</v>
      </c>
      <c r="K432" t="n">
        <v>0</v>
      </c>
      <c r="L432" t="n">
        <v>0</v>
      </c>
      <c r="M432" t="n">
        <v>0</v>
      </c>
      <c r="N432" t="n">
        <v>0</v>
      </c>
      <c r="O432" t="n">
        <v>0</v>
      </c>
      <c r="P432" t="n">
        <v>0</v>
      </c>
      <c r="Q432" t="n">
        <v>0</v>
      </c>
      <c r="R432" t="n">
        <v>0</v>
      </c>
      <c r="S432" t="n">
        <v>0</v>
      </c>
      <c r="T432" t="n">
        <v>0</v>
      </c>
      <c r="U432" t="n">
        <v>0</v>
      </c>
      <c r="V432" s="2" t="inlineStr"/>
    </row>
    <row r="433">
      <c r="A433" t="inlineStr">
        <is>
          <t>S 601-2026</t>
        </is>
      </c>
      <c r="B433" t="inlineStr">
        <is>
          <t>samrådsanmälan</t>
        </is>
      </c>
      <c r="C433" t="inlineStr">
        <is>
          <t>Skogsgödsling</t>
        </is>
      </c>
      <c r="D433" s="1" t="n">
        <v>46085</v>
      </c>
      <c r="E433" s="1" t="n">
        <v>46306</v>
      </c>
      <c r="F433" t="inlineStr">
        <is>
          <t>DALARNAS LÄN</t>
        </is>
      </c>
      <c r="G433" t="inlineStr">
        <is>
          <t>HEDEMORA</t>
        </is>
      </c>
      <c r="H433" t="inlineStr">
        <is>
          <t>Bergvik skog väst AB</t>
        </is>
      </c>
      <c r="I433" t="n">
        <v>35.7</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2026-10-11T02:06:00Z</dcterms:created>
  <dcterms:modified xmlns:dcterms="http://purl.org/dc/terms/" xmlns:xsi="http://www.w3.org/2001/XMLSchema-instance" xsi:type="dcterms:W3CDTF">2026-10-11T02:06:00Z</dcterms:modified>
</cp:coreProperties>
</file>