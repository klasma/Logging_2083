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45659</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45659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45659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45659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45659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45659</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45659</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45659</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45659</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45659</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45659</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45659</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54380-2020</t>
        </is>
      </c>
      <c r="B14" s="1" t="n">
        <v>44126</v>
      </c>
      <c r="C14" s="1" t="n">
        <v>45659</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45659</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58943-2023</t>
        </is>
      </c>
      <c r="B16" s="1" t="n">
        <v>45250</v>
      </c>
      <c r="C16" s="1" t="n">
        <v>45659</v>
      </c>
      <c r="D16" t="inlineStr">
        <is>
          <t>DALARNAS LÄN</t>
        </is>
      </c>
      <c r="E16" t="inlineStr">
        <is>
          <t>HEDEMORA</t>
        </is>
      </c>
      <c r="G16" t="n">
        <v>5.4</v>
      </c>
      <c r="H16" t="n">
        <v>2</v>
      </c>
      <c r="I16" t="n">
        <v>2</v>
      </c>
      <c r="J16" t="n">
        <v>2</v>
      </c>
      <c r="K16" t="n">
        <v>2</v>
      </c>
      <c r="L16" t="n">
        <v>0</v>
      </c>
      <c r="M16" t="n">
        <v>0</v>
      </c>
      <c r="N16" t="n">
        <v>0</v>
      </c>
      <c r="O16" t="n">
        <v>4</v>
      </c>
      <c r="P16" t="n">
        <v>2</v>
      </c>
      <c r="Q16" t="n">
        <v>7</v>
      </c>
      <c r="R16" s="2" t="inlineStr">
        <is>
          <t>Knärot
Rynkskinn
Garnlav
Ullticka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59378-2023</t>
        </is>
      </c>
      <c r="B17" s="1" t="n">
        <v>45253</v>
      </c>
      <c r="C17" s="1" t="n">
        <v>45659</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45659</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45659</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45659</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45659</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45659</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45659</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45659</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45659</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45659</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45659</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45659</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45659</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45659</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45659</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45659</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45659</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45659</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45659</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45659</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45659</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45659</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45659</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45659</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45659</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45659</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45659</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45659</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45659</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45659</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45659</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45659</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45659</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45659</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45659</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45659</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45659</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45659</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45659</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45659</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45659</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45659</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8494-2020</t>
        </is>
      </c>
      <c r="B59" s="1" t="n">
        <v>43875</v>
      </c>
      <c r="C59" s="1" t="n">
        <v>45659</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8494-2020 artfynd.xlsx", "A 8494-2020")</f>
        <v/>
      </c>
      <c r="T59">
        <f>HYPERLINK("https://klasma.github.io/Logging_2083/kartor/A 8494-2020 karta.png", "A 8494-2020")</f>
        <v/>
      </c>
      <c r="U59">
        <f>HYPERLINK("https://klasma.github.io/Logging_2083/knärot/A 8494-2020 karta knärot.png", "A 8494-2020")</f>
        <v/>
      </c>
      <c r="V59">
        <f>HYPERLINK("https://klasma.github.io/Logging_2083/klagomål/A 8494-2020 FSC-klagomål.docx", "A 8494-2020")</f>
        <v/>
      </c>
      <c r="W59">
        <f>HYPERLINK("https://klasma.github.io/Logging_2083/klagomålsmail/A 8494-2020 FSC-klagomål mail.docx", "A 8494-2020")</f>
        <v/>
      </c>
      <c r="X59">
        <f>HYPERLINK("https://klasma.github.io/Logging_2083/tillsyn/A 8494-2020 tillsynsbegäran.docx", "A 8494-2020")</f>
        <v/>
      </c>
      <c r="Y59">
        <f>HYPERLINK("https://klasma.github.io/Logging_2083/tillsynsmail/A 8494-2020 tillsynsbegäran mail.docx", "A 8494-2020")</f>
        <v/>
      </c>
    </row>
    <row r="60" ht="15" customHeight="1">
      <c r="A60" t="inlineStr">
        <is>
          <t>A 9058-2020</t>
        </is>
      </c>
      <c r="B60" s="1" t="n">
        <v>43879</v>
      </c>
      <c r="C60" s="1" t="n">
        <v>45659</v>
      </c>
      <c r="D60" t="inlineStr">
        <is>
          <t>DALARNAS LÄN</t>
        </is>
      </c>
      <c r="E60" t="inlineStr">
        <is>
          <t>HEDEMORA</t>
        </is>
      </c>
      <c r="G60" t="n">
        <v>0.5</v>
      </c>
      <c r="H60" t="n">
        <v>0</v>
      </c>
      <c r="I60" t="n">
        <v>1</v>
      </c>
      <c r="J60" t="n">
        <v>0</v>
      </c>
      <c r="K60" t="n">
        <v>0</v>
      </c>
      <c r="L60" t="n">
        <v>0</v>
      </c>
      <c r="M60" t="n">
        <v>0</v>
      </c>
      <c r="N60" t="n">
        <v>0</v>
      </c>
      <c r="O60" t="n">
        <v>0</v>
      </c>
      <c r="P60" t="n">
        <v>0</v>
      </c>
      <c r="Q60" t="n">
        <v>1</v>
      </c>
      <c r="R60" s="2" t="inlineStr">
        <is>
          <t>Tibast</t>
        </is>
      </c>
      <c r="S60">
        <f>HYPERLINK("https://klasma.github.io/Logging_2083/artfynd/A 9058-2020 artfynd.xlsx", "A 9058-2020")</f>
        <v/>
      </c>
      <c r="T60">
        <f>HYPERLINK("https://klasma.github.io/Logging_2083/kartor/A 9058-2020 karta.png", "A 9058-2020")</f>
        <v/>
      </c>
      <c r="V60">
        <f>HYPERLINK("https://klasma.github.io/Logging_2083/klagomål/A 9058-2020 FSC-klagomål.docx", "A 9058-2020")</f>
        <v/>
      </c>
      <c r="W60">
        <f>HYPERLINK("https://klasma.github.io/Logging_2083/klagomålsmail/A 9058-2020 FSC-klagomål mail.docx", "A 9058-2020")</f>
        <v/>
      </c>
      <c r="X60">
        <f>HYPERLINK("https://klasma.github.io/Logging_2083/tillsyn/A 9058-2020 tillsynsbegäran.docx", "A 9058-2020")</f>
        <v/>
      </c>
      <c r="Y60">
        <f>HYPERLINK("https://klasma.github.io/Logging_2083/tillsynsmail/A 9058-2020 tillsynsbegäran mail.docx", "A 9058-2020")</f>
        <v/>
      </c>
    </row>
    <row r="61" ht="15" customHeight="1">
      <c r="A61" t="inlineStr">
        <is>
          <t>A 9056-2020</t>
        </is>
      </c>
      <c r="B61" s="1" t="n">
        <v>43879</v>
      </c>
      <c r="C61" s="1" t="n">
        <v>45659</v>
      </c>
      <c r="D61" t="inlineStr">
        <is>
          <t>DALARNAS LÄN</t>
        </is>
      </c>
      <c r="E61" t="inlineStr">
        <is>
          <t>HEDEMORA</t>
        </is>
      </c>
      <c r="G61" t="n">
        <v>1.4</v>
      </c>
      <c r="H61" t="n">
        <v>0</v>
      </c>
      <c r="I61" t="n">
        <v>0</v>
      </c>
      <c r="J61" t="n">
        <v>1</v>
      </c>
      <c r="K61" t="n">
        <v>0</v>
      </c>
      <c r="L61" t="n">
        <v>0</v>
      </c>
      <c r="M61" t="n">
        <v>0</v>
      </c>
      <c r="N61" t="n">
        <v>0</v>
      </c>
      <c r="O61" t="n">
        <v>1</v>
      </c>
      <c r="P61" t="n">
        <v>0</v>
      </c>
      <c r="Q61" t="n">
        <v>1</v>
      </c>
      <c r="R61" s="2" t="inlineStr">
        <is>
          <t>Garnlav</t>
        </is>
      </c>
      <c r="S61">
        <f>HYPERLINK("https://klasma.github.io/Logging_2083/artfynd/A 9056-2020 artfynd.xlsx", "A 9056-2020")</f>
        <v/>
      </c>
      <c r="T61">
        <f>HYPERLINK("https://klasma.github.io/Logging_2083/kartor/A 9056-2020 karta.png", "A 9056-2020")</f>
        <v/>
      </c>
      <c r="V61">
        <f>HYPERLINK("https://klasma.github.io/Logging_2083/klagomål/A 9056-2020 FSC-klagomål.docx", "A 9056-2020")</f>
        <v/>
      </c>
      <c r="W61">
        <f>HYPERLINK("https://klasma.github.io/Logging_2083/klagomålsmail/A 9056-2020 FSC-klagomål mail.docx", "A 9056-2020")</f>
        <v/>
      </c>
      <c r="X61">
        <f>HYPERLINK("https://klasma.github.io/Logging_2083/tillsyn/A 9056-2020 tillsynsbegäran.docx", "A 9056-2020")</f>
        <v/>
      </c>
      <c r="Y61">
        <f>HYPERLINK("https://klasma.github.io/Logging_2083/tillsynsmail/A 9056-2020 tillsynsbegäran mail.docx", "A 9056-2020")</f>
        <v/>
      </c>
    </row>
    <row r="62" ht="15" customHeight="1">
      <c r="A62" t="inlineStr">
        <is>
          <t>A 11129-2020</t>
        </is>
      </c>
      <c r="B62" s="1" t="n">
        <v>43889</v>
      </c>
      <c r="C62" s="1" t="n">
        <v>45659</v>
      </c>
      <c r="D62" t="inlineStr">
        <is>
          <t>DALARNAS LÄN</t>
        </is>
      </c>
      <c r="E62" t="inlineStr">
        <is>
          <t>HEDEMORA</t>
        </is>
      </c>
      <c r="G62" t="n">
        <v>2.1</v>
      </c>
      <c r="H62" t="n">
        <v>0</v>
      </c>
      <c r="I62" t="n">
        <v>1</v>
      </c>
      <c r="J62" t="n">
        <v>0</v>
      </c>
      <c r="K62" t="n">
        <v>0</v>
      </c>
      <c r="L62" t="n">
        <v>0</v>
      </c>
      <c r="M62" t="n">
        <v>0</v>
      </c>
      <c r="N62" t="n">
        <v>0</v>
      </c>
      <c r="O62" t="n">
        <v>0</v>
      </c>
      <c r="P62" t="n">
        <v>0</v>
      </c>
      <c r="Q62" t="n">
        <v>1</v>
      </c>
      <c r="R62" s="2" t="inlineStr">
        <is>
          <t>Bollvitmossa</t>
        </is>
      </c>
      <c r="S62">
        <f>HYPERLINK("https://klasma.github.io/Logging_2083/artfynd/A 11129-2020 artfynd.xlsx", "A 11129-2020")</f>
        <v/>
      </c>
      <c r="T62">
        <f>HYPERLINK("https://klasma.github.io/Logging_2083/kartor/A 11129-2020 karta.png", "A 11129-2020")</f>
        <v/>
      </c>
      <c r="V62">
        <f>HYPERLINK("https://klasma.github.io/Logging_2083/klagomål/A 11129-2020 FSC-klagomål.docx", "A 11129-2020")</f>
        <v/>
      </c>
      <c r="W62">
        <f>HYPERLINK("https://klasma.github.io/Logging_2083/klagomålsmail/A 11129-2020 FSC-klagomål mail.docx", "A 11129-2020")</f>
        <v/>
      </c>
      <c r="X62">
        <f>HYPERLINK("https://klasma.github.io/Logging_2083/tillsyn/A 11129-2020 tillsynsbegäran.docx", "A 11129-2020")</f>
        <v/>
      </c>
      <c r="Y62">
        <f>HYPERLINK("https://klasma.github.io/Logging_2083/tillsynsmail/A 11129-2020 tillsynsbegäran mail.docx", "A 11129-2020")</f>
        <v/>
      </c>
    </row>
    <row r="63" ht="15" customHeight="1">
      <c r="A63" t="inlineStr">
        <is>
          <t>A 17882-2020</t>
        </is>
      </c>
      <c r="B63" s="1" t="n">
        <v>43924</v>
      </c>
      <c r="C63" s="1" t="n">
        <v>45659</v>
      </c>
      <c r="D63" t="inlineStr">
        <is>
          <t>DALARNAS LÄN</t>
        </is>
      </c>
      <c r="E63" t="inlineStr">
        <is>
          <t>HEDEMORA</t>
        </is>
      </c>
      <c r="G63" t="n">
        <v>9.300000000000001</v>
      </c>
      <c r="H63" t="n">
        <v>1</v>
      </c>
      <c r="I63" t="n">
        <v>0</v>
      </c>
      <c r="J63" t="n">
        <v>0</v>
      </c>
      <c r="K63" t="n">
        <v>0</v>
      </c>
      <c r="L63" t="n">
        <v>0</v>
      </c>
      <c r="M63" t="n">
        <v>0</v>
      </c>
      <c r="N63" t="n">
        <v>0</v>
      </c>
      <c r="O63" t="n">
        <v>0</v>
      </c>
      <c r="P63" t="n">
        <v>0</v>
      </c>
      <c r="Q63" t="n">
        <v>1</v>
      </c>
      <c r="R63" s="2" t="inlineStr">
        <is>
          <t>Tjäder</t>
        </is>
      </c>
      <c r="S63">
        <f>HYPERLINK("https://klasma.github.io/Logging_2083/artfynd/A 17882-2020 artfynd.xlsx", "A 17882-2020")</f>
        <v/>
      </c>
      <c r="T63">
        <f>HYPERLINK("https://klasma.github.io/Logging_2083/kartor/A 17882-2020 karta.png", "A 17882-2020")</f>
        <v/>
      </c>
      <c r="V63">
        <f>HYPERLINK("https://klasma.github.io/Logging_2083/klagomål/A 17882-2020 FSC-klagomål.docx", "A 17882-2020")</f>
        <v/>
      </c>
      <c r="W63">
        <f>HYPERLINK("https://klasma.github.io/Logging_2083/klagomålsmail/A 17882-2020 FSC-klagomål mail.docx", "A 17882-2020")</f>
        <v/>
      </c>
      <c r="X63">
        <f>HYPERLINK("https://klasma.github.io/Logging_2083/tillsyn/A 17882-2020 tillsynsbegäran.docx", "A 17882-2020")</f>
        <v/>
      </c>
      <c r="Y63">
        <f>HYPERLINK("https://klasma.github.io/Logging_2083/tillsynsmail/A 17882-2020 tillsynsbegäran mail.docx", "A 17882-2020")</f>
        <v/>
      </c>
      <c r="Z63">
        <f>HYPERLINK("https://klasma.github.io/Logging_2083/fåglar/A 17882-2020 prioriterade fågelarter.docx", "A 17882-2020")</f>
        <v/>
      </c>
    </row>
    <row r="64" ht="15" customHeight="1">
      <c r="A64" t="inlineStr">
        <is>
          <t>A 24759-2020</t>
        </is>
      </c>
      <c r="B64" s="1" t="n">
        <v>43978</v>
      </c>
      <c r="C64" s="1" t="n">
        <v>45659</v>
      </c>
      <c r="D64" t="inlineStr">
        <is>
          <t>DALARNAS LÄN</t>
        </is>
      </c>
      <c r="E64" t="inlineStr">
        <is>
          <t>HEDEMORA</t>
        </is>
      </c>
      <c r="F64" t="inlineStr">
        <is>
          <t>Sveaskog</t>
        </is>
      </c>
      <c r="G64" t="n">
        <v>9.699999999999999</v>
      </c>
      <c r="H64" t="n">
        <v>1</v>
      </c>
      <c r="I64" t="n">
        <v>0</v>
      </c>
      <c r="J64" t="n">
        <v>0</v>
      </c>
      <c r="K64" t="n">
        <v>0</v>
      </c>
      <c r="L64" t="n">
        <v>0</v>
      </c>
      <c r="M64" t="n">
        <v>0</v>
      </c>
      <c r="N64" t="n">
        <v>0</v>
      </c>
      <c r="O64" t="n">
        <v>0</v>
      </c>
      <c r="P64" t="n">
        <v>0</v>
      </c>
      <c r="Q64" t="n">
        <v>1</v>
      </c>
      <c r="R64" s="2" t="inlineStr">
        <is>
          <t>Orre</t>
        </is>
      </c>
      <c r="S64">
        <f>HYPERLINK("https://klasma.github.io/Logging_2083/artfynd/A 24759-2020 artfynd.xlsx", "A 24759-2020")</f>
        <v/>
      </c>
      <c r="T64">
        <f>HYPERLINK("https://klasma.github.io/Logging_2083/kartor/A 24759-2020 karta.png", "A 24759-2020")</f>
        <v/>
      </c>
      <c r="V64">
        <f>HYPERLINK("https://klasma.github.io/Logging_2083/klagomål/A 24759-2020 FSC-klagomål.docx", "A 24759-2020")</f>
        <v/>
      </c>
      <c r="W64">
        <f>HYPERLINK("https://klasma.github.io/Logging_2083/klagomålsmail/A 24759-2020 FSC-klagomål mail.docx", "A 24759-2020")</f>
        <v/>
      </c>
      <c r="X64">
        <f>HYPERLINK("https://klasma.github.io/Logging_2083/tillsyn/A 24759-2020 tillsynsbegäran.docx", "A 24759-2020")</f>
        <v/>
      </c>
      <c r="Y64">
        <f>HYPERLINK("https://klasma.github.io/Logging_2083/tillsynsmail/A 24759-2020 tillsynsbegäran mail.docx", "A 24759-2020")</f>
        <v/>
      </c>
      <c r="Z64">
        <f>HYPERLINK("https://klasma.github.io/Logging_2083/fåglar/A 24759-2020 prioriterade fågelarter.docx", "A 24759-2020")</f>
        <v/>
      </c>
    </row>
    <row r="65" ht="15" customHeight="1">
      <c r="A65" t="inlineStr">
        <is>
          <t>A 29857-2020</t>
        </is>
      </c>
      <c r="B65" s="1" t="n">
        <v>44006</v>
      </c>
      <c r="C65" s="1" t="n">
        <v>45659</v>
      </c>
      <c r="D65" t="inlineStr">
        <is>
          <t>DALARNAS LÄN</t>
        </is>
      </c>
      <c r="E65" t="inlineStr">
        <is>
          <t>HEDEMORA</t>
        </is>
      </c>
      <c r="G65" t="n">
        <v>0.4</v>
      </c>
      <c r="H65" t="n">
        <v>1</v>
      </c>
      <c r="I65" t="n">
        <v>0</v>
      </c>
      <c r="J65" t="n">
        <v>1</v>
      </c>
      <c r="K65" t="n">
        <v>0</v>
      </c>
      <c r="L65" t="n">
        <v>0</v>
      </c>
      <c r="M65" t="n">
        <v>0</v>
      </c>
      <c r="N65" t="n">
        <v>0</v>
      </c>
      <c r="O65" t="n">
        <v>1</v>
      </c>
      <c r="P65" t="n">
        <v>0</v>
      </c>
      <c r="Q65" t="n">
        <v>1</v>
      </c>
      <c r="R65" s="2" t="inlineStr">
        <is>
          <t>Gulsparv</t>
        </is>
      </c>
      <c r="S65">
        <f>HYPERLINK("https://klasma.github.io/Logging_2083/artfynd/A 29857-2020 artfynd.xlsx", "A 29857-2020")</f>
        <v/>
      </c>
      <c r="T65">
        <f>HYPERLINK("https://klasma.github.io/Logging_2083/kartor/A 29857-2020 karta.png", "A 29857-2020")</f>
        <v/>
      </c>
      <c r="V65">
        <f>HYPERLINK("https://klasma.github.io/Logging_2083/klagomål/A 29857-2020 FSC-klagomål.docx", "A 29857-2020")</f>
        <v/>
      </c>
      <c r="W65">
        <f>HYPERLINK("https://klasma.github.io/Logging_2083/klagomålsmail/A 29857-2020 FSC-klagomål mail.docx", "A 29857-2020")</f>
        <v/>
      </c>
      <c r="X65">
        <f>HYPERLINK("https://klasma.github.io/Logging_2083/tillsyn/A 29857-2020 tillsynsbegäran.docx", "A 29857-2020")</f>
        <v/>
      </c>
      <c r="Y65">
        <f>HYPERLINK("https://klasma.github.io/Logging_2083/tillsynsmail/A 29857-2020 tillsynsbegäran mail.docx", "A 29857-2020")</f>
        <v/>
      </c>
      <c r="Z65">
        <f>HYPERLINK("https://klasma.github.io/Logging_2083/fåglar/A 29857-2020 prioriterade fågelarter.docx", "A 29857-2020")</f>
        <v/>
      </c>
    </row>
    <row r="66" ht="15" customHeight="1">
      <c r="A66" t="inlineStr">
        <is>
          <t>A 49767-2020</t>
        </is>
      </c>
      <c r="B66" s="1" t="n">
        <v>44106</v>
      </c>
      <c r="C66" s="1" t="n">
        <v>45659</v>
      </c>
      <c r="D66" t="inlineStr">
        <is>
          <t>DALARNAS LÄN</t>
        </is>
      </c>
      <c r="E66" t="inlineStr">
        <is>
          <t>HEDEMORA</t>
        </is>
      </c>
      <c r="F66" t="inlineStr">
        <is>
          <t>Sveaskog</t>
        </is>
      </c>
      <c r="G66" t="n">
        <v>6.1</v>
      </c>
      <c r="H66" t="n">
        <v>1</v>
      </c>
      <c r="I66" t="n">
        <v>0</v>
      </c>
      <c r="J66" t="n">
        <v>0</v>
      </c>
      <c r="K66" t="n">
        <v>1</v>
      </c>
      <c r="L66" t="n">
        <v>0</v>
      </c>
      <c r="M66" t="n">
        <v>0</v>
      </c>
      <c r="N66" t="n">
        <v>0</v>
      </c>
      <c r="O66" t="n">
        <v>1</v>
      </c>
      <c r="P66" t="n">
        <v>1</v>
      </c>
      <c r="Q66" t="n">
        <v>1</v>
      </c>
      <c r="R66" s="2" t="inlineStr">
        <is>
          <t>Knärot</t>
        </is>
      </c>
      <c r="S66">
        <f>HYPERLINK("https://klasma.github.io/Logging_2083/artfynd/A 49767-2020 artfynd.xlsx", "A 49767-2020")</f>
        <v/>
      </c>
      <c r="T66">
        <f>HYPERLINK("https://klasma.github.io/Logging_2083/kartor/A 49767-2020 karta.png", "A 49767-2020")</f>
        <v/>
      </c>
      <c r="U66">
        <f>HYPERLINK("https://klasma.github.io/Logging_2083/knärot/A 49767-2020 karta knärot.png", "A 49767-2020")</f>
        <v/>
      </c>
      <c r="V66">
        <f>HYPERLINK("https://klasma.github.io/Logging_2083/klagomål/A 49767-2020 FSC-klagomål.docx", "A 49767-2020")</f>
        <v/>
      </c>
      <c r="W66">
        <f>HYPERLINK("https://klasma.github.io/Logging_2083/klagomålsmail/A 49767-2020 FSC-klagomål mail.docx", "A 49767-2020")</f>
        <v/>
      </c>
      <c r="X66">
        <f>HYPERLINK("https://klasma.github.io/Logging_2083/tillsyn/A 49767-2020 tillsynsbegäran.docx", "A 49767-2020")</f>
        <v/>
      </c>
      <c r="Y66">
        <f>HYPERLINK("https://klasma.github.io/Logging_2083/tillsynsmail/A 49767-2020 tillsynsbegäran mail.docx", "A 49767-2020")</f>
        <v/>
      </c>
    </row>
    <row r="67" ht="15" customHeight="1">
      <c r="A67" t="inlineStr">
        <is>
          <t>A 49768-2020</t>
        </is>
      </c>
      <c r="B67" s="1" t="n">
        <v>44106</v>
      </c>
      <c r="C67" s="1" t="n">
        <v>45659</v>
      </c>
      <c r="D67" t="inlineStr">
        <is>
          <t>DALARNAS LÄN</t>
        </is>
      </c>
      <c r="E67" t="inlineStr">
        <is>
          <t>HEDEMORA</t>
        </is>
      </c>
      <c r="F67" t="inlineStr">
        <is>
          <t>Sveaskog</t>
        </is>
      </c>
      <c r="G67" t="n">
        <v>10</v>
      </c>
      <c r="H67" t="n">
        <v>1</v>
      </c>
      <c r="I67" t="n">
        <v>0</v>
      </c>
      <c r="J67" t="n">
        <v>0</v>
      </c>
      <c r="K67" t="n">
        <v>1</v>
      </c>
      <c r="L67" t="n">
        <v>0</v>
      </c>
      <c r="M67" t="n">
        <v>0</v>
      </c>
      <c r="N67" t="n">
        <v>0</v>
      </c>
      <c r="O67" t="n">
        <v>1</v>
      </c>
      <c r="P67" t="n">
        <v>1</v>
      </c>
      <c r="Q67" t="n">
        <v>1</v>
      </c>
      <c r="R67" s="2" t="inlineStr">
        <is>
          <t>Knärot</t>
        </is>
      </c>
      <c r="S67">
        <f>HYPERLINK("https://klasma.github.io/Logging_2083/artfynd/A 49768-2020 artfynd.xlsx", "A 49768-2020")</f>
        <v/>
      </c>
      <c r="T67">
        <f>HYPERLINK("https://klasma.github.io/Logging_2083/kartor/A 49768-2020 karta.png", "A 49768-2020")</f>
        <v/>
      </c>
      <c r="U67">
        <f>HYPERLINK("https://klasma.github.io/Logging_2083/knärot/A 49768-2020 karta knärot.png", "A 49768-2020")</f>
        <v/>
      </c>
      <c r="V67">
        <f>HYPERLINK("https://klasma.github.io/Logging_2083/klagomål/A 49768-2020 FSC-klagomål.docx", "A 49768-2020")</f>
        <v/>
      </c>
      <c r="W67">
        <f>HYPERLINK("https://klasma.github.io/Logging_2083/klagomålsmail/A 49768-2020 FSC-klagomål mail.docx", "A 49768-2020")</f>
        <v/>
      </c>
      <c r="X67">
        <f>HYPERLINK("https://klasma.github.io/Logging_2083/tillsyn/A 49768-2020 tillsynsbegäran.docx", "A 49768-2020")</f>
        <v/>
      </c>
      <c r="Y67">
        <f>HYPERLINK("https://klasma.github.io/Logging_2083/tillsynsmail/A 49768-2020 tillsynsbegäran mail.docx", "A 49768-2020")</f>
        <v/>
      </c>
    </row>
    <row r="68" ht="15" customHeight="1">
      <c r="A68" t="inlineStr">
        <is>
          <t>A 49765-2020</t>
        </is>
      </c>
      <c r="B68" s="1" t="n">
        <v>44106</v>
      </c>
      <c r="C68" s="1" t="n">
        <v>45659</v>
      </c>
      <c r="D68" t="inlineStr">
        <is>
          <t>DALARNAS LÄN</t>
        </is>
      </c>
      <c r="E68" t="inlineStr">
        <is>
          <t>HEDEMORA</t>
        </is>
      </c>
      <c r="F68" t="inlineStr">
        <is>
          <t>Sveaskog</t>
        </is>
      </c>
      <c r="G68" t="n">
        <v>5.8</v>
      </c>
      <c r="H68" t="n">
        <v>1</v>
      </c>
      <c r="I68" t="n">
        <v>0</v>
      </c>
      <c r="J68" t="n">
        <v>0</v>
      </c>
      <c r="K68" t="n">
        <v>1</v>
      </c>
      <c r="L68" t="n">
        <v>0</v>
      </c>
      <c r="M68" t="n">
        <v>0</v>
      </c>
      <c r="N68" t="n">
        <v>0</v>
      </c>
      <c r="O68" t="n">
        <v>1</v>
      </c>
      <c r="P68" t="n">
        <v>1</v>
      </c>
      <c r="Q68" t="n">
        <v>1</v>
      </c>
      <c r="R68" s="2" t="inlineStr">
        <is>
          <t>Knärot</t>
        </is>
      </c>
      <c r="S68">
        <f>HYPERLINK("https://klasma.github.io/Logging_2083/artfynd/A 49765-2020 artfynd.xlsx", "A 49765-2020")</f>
        <v/>
      </c>
      <c r="T68">
        <f>HYPERLINK("https://klasma.github.io/Logging_2083/kartor/A 49765-2020 karta.png", "A 49765-2020")</f>
        <v/>
      </c>
      <c r="U68">
        <f>HYPERLINK("https://klasma.github.io/Logging_2083/knärot/A 49765-2020 karta knärot.png", "A 49765-2020")</f>
        <v/>
      </c>
      <c r="V68">
        <f>HYPERLINK("https://klasma.github.io/Logging_2083/klagomål/A 49765-2020 FSC-klagomål.docx", "A 49765-2020")</f>
        <v/>
      </c>
      <c r="W68">
        <f>HYPERLINK("https://klasma.github.io/Logging_2083/klagomålsmail/A 49765-2020 FSC-klagomål mail.docx", "A 49765-2020")</f>
        <v/>
      </c>
      <c r="X68">
        <f>HYPERLINK("https://klasma.github.io/Logging_2083/tillsyn/A 49765-2020 tillsynsbegäran.docx", "A 49765-2020")</f>
        <v/>
      </c>
      <c r="Y68">
        <f>HYPERLINK("https://klasma.github.io/Logging_2083/tillsynsmail/A 49765-2020 tillsynsbegäran mail.docx", "A 49765-2020")</f>
        <v/>
      </c>
    </row>
    <row r="69" ht="15" customHeight="1">
      <c r="A69" t="inlineStr">
        <is>
          <t>A 9959-2021</t>
        </is>
      </c>
      <c r="B69" s="1" t="n">
        <v>44253</v>
      </c>
      <c r="C69" s="1" t="n">
        <v>45659</v>
      </c>
      <c r="D69" t="inlineStr">
        <is>
          <t>DALARNAS LÄN</t>
        </is>
      </c>
      <c r="E69" t="inlineStr">
        <is>
          <t>HEDEMORA</t>
        </is>
      </c>
      <c r="G69" t="n">
        <v>1.1</v>
      </c>
      <c r="H69" t="n">
        <v>1</v>
      </c>
      <c r="I69" t="n">
        <v>0</v>
      </c>
      <c r="J69" t="n">
        <v>0</v>
      </c>
      <c r="K69" t="n">
        <v>1</v>
      </c>
      <c r="L69" t="n">
        <v>0</v>
      </c>
      <c r="M69" t="n">
        <v>0</v>
      </c>
      <c r="N69" t="n">
        <v>0</v>
      </c>
      <c r="O69" t="n">
        <v>1</v>
      </c>
      <c r="P69" t="n">
        <v>1</v>
      </c>
      <c r="Q69" t="n">
        <v>1</v>
      </c>
      <c r="R69" s="2" t="inlineStr">
        <is>
          <t>Knärot</t>
        </is>
      </c>
      <c r="S69">
        <f>HYPERLINK("https://klasma.github.io/Logging_2083/artfynd/A 9959-2021 artfynd.xlsx", "A 9959-2021")</f>
        <v/>
      </c>
      <c r="T69">
        <f>HYPERLINK("https://klasma.github.io/Logging_2083/kartor/A 9959-2021 karta.png", "A 9959-2021")</f>
        <v/>
      </c>
      <c r="U69">
        <f>HYPERLINK("https://klasma.github.io/Logging_2083/knärot/A 9959-2021 karta knärot.png", "A 9959-2021")</f>
        <v/>
      </c>
      <c r="V69">
        <f>HYPERLINK("https://klasma.github.io/Logging_2083/klagomål/A 9959-2021 FSC-klagomål.docx", "A 9959-2021")</f>
        <v/>
      </c>
      <c r="W69">
        <f>HYPERLINK("https://klasma.github.io/Logging_2083/klagomålsmail/A 9959-2021 FSC-klagomål mail.docx", "A 9959-2021")</f>
        <v/>
      </c>
      <c r="X69">
        <f>HYPERLINK("https://klasma.github.io/Logging_2083/tillsyn/A 9959-2021 tillsynsbegäran.docx", "A 9959-2021")</f>
        <v/>
      </c>
      <c r="Y69">
        <f>HYPERLINK("https://klasma.github.io/Logging_2083/tillsynsmail/A 9959-2021 tillsynsbegäran mail.docx", "A 9959-2021")</f>
        <v/>
      </c>
    </row>
    <row r="70" ht="15" customHeight="1">
      <c r="A70" t="inlineStr">
        <is>
          <t>A 29214-2021</t>
        </is>
      </c>
      <c r="B70" s="1" t="n">
        <v>44359</v>
      </c>
      <c r="C70" s="1" t="n">
        <v>45659</v>
      </c>
      <c r="D70" t="inlineStr">
        <is>
          <t>DALARNAS LÄN</t>
        </is>
      </c>
      <c r="E70" t="inlineStr">
        <is>
          <t>HEDEMORA</t>
        </is>
      </c>
      <c r="F70" t="inlineStr">
        <is>
          <t>Sveaskog</t>
        </is>
      </c>
      <c r="G70" t="n">
        <v>1.2</v>
      </c>
      <c r="H70" t="n">
        <v>1</v>
      </c>
      <c r="I70" t="n">
        <v>0</v>
      </c>
      <c r="J70" t="n">
        <v>0</v>
      </c>
      <c r="K70" t="n">
        <v>0</v>
      </c>
      <c r="L70" t="n">
        <v>0</v>
      </c>
      <c r="M70" t="n">
        <v>0</v>
      </c>
      <c r="N70" t="n">
        <v>0</v>
      </c>
      <c r="O70" t="n">
        <v>0</v>
      </c>
      <c r="P70" t="n">
        <v>0</v>
      </c>
      <c r="Q70" t="n">
        <v>1</v>
      </c>
      <c r="R70" s="2" t="inlineStr">
        <is>
          <t>Vanlig groda</t>
        </is>
      </c>
      <c r="S70">
        <f>HYPERLINK("https://klasma.github.io/Logging_2083/artfynd/A 29214-2021 artfynd.xlsx", "A 29214-2021")</f>
        <v/>
      </c>
      <c r="T70">
        <f>HYPERLINK("https://klasma.github.io/Logging_2083/kartor/A 29214-2021 karta.png", "A 29214-2021")</f>
        <v/>
      </c>
      <c r="V70">
        <f>HYPERLINK("https://klasma.github.io/Logging_2083/klagomål/A 29214-2021 FSC-klagomål.docx", "A 29214-2021")</f>
        <v/>
      </c>
      <c r="W70">
        <f>HYPERLINK("https://klasma.github.io/Logging_2083/klagomålsmail/A 29214-2021 FSC-klagomål mail.docx", "A 29214-2021")</f>
        <v/>
      </c>
      <c r="X70">
        <f>HYPERLINK("https://klasma.github.io/Logging_2083/tillsyn/A 29214-2021 tillsynsbegäran.docx", "A 29214-2021")</f>
        <v/>
      </c>
      <c r="Y70">
        <f>HYPERLINK("https://klasma.github.io/Logging_2083/tillsynsmail/A 29214-2021 tillsynsbegäran mail.docx", "A 29214-2021")</f>
        <v/>
      </c>
    </row>
    <row r="71" ht="15" customHeight="1">
      <c r="A71" t="inlineStr">
        <is>
          <t>A 31539-2021</t>
        </is>
      </c>
      <c r="B71" s="1" t="n">
        <v>44369</v>
      </c>
      <c r="C71" s="1" t="n">
        <v>45659</v>
      </c>
      <c r="D71" t="inlineStr">
        <is>
          <t>DALARNAS LÄN</t>
        </is>
      </c>
      <c r="E71" t="inlineStr">
        <is>
          <t>HEDEMORA</t>
        </is>
      </c>
      <c r="F71" t="inlineStr">
        <is>
          <t>Sveaskog</t>
        </is>
      </c>
      <c r="G71" t="n">
        <v>13.5</v>
      </c>
      <c r="H71" t="n">
        <v>0</v>
      </c>
      <c r="I71" t="n">
        <v>1</v>
      </c>
      <c r="J71" t="n">
        <v>0</v>
      </c>
      <c r="K71" t="n">
        <v>0</v>
      </c>
      <c r="L71" t="n">
        <v>0</v>
      </c>
      <c r="M71" t="n">
        <v>0</v>
      </c>
      <c r="N71" t="n">
        <v>0</v>
      </c>
      <c r="O71" t="n">
        <v>0</v>
      </c>
      <c r="P71" t="n">
        <v>0</v>
      </c>
      <c r="Q71" t="n">
        <v>1</v>
      </c>
      <c r="R71" s="2" t="inlineStr">
        <is>
          <t>Brandticka</t>
        </is>
      </c>
      <c r="S71">
        <f>HYPERLINK("https://klasma.github.io/Logging_2083/artfynd/A 31539-2021 artfynd.xlsx", "A 31539-2021")</f>
        <v/>
      </c>
      <c r="T71">
        <f>HYPERLINK("https://klasma.github.io/Logging_2083/kartor/A 31539-2021 karta.png", "A 31539-2021")</f>
        <v/>
      </c>
      <c r="V71">
        <f>HYPERLINK("https://klasma.github.io/Logging_2083/klagomål/A 31539-2021 FSC-klagomål.docx", "A 31539-2021")</f>
        <v/>
      </c>
      <c r="W71">
        <f>HYPERLINK("https://klasma.github.io/Logging_2083/klagomålsmail/A 31539-2021 FSC-klagomål mail.docx", "A 31539-2021")</f>
        <v/>
      </c>
      <c r="X71">
        <f>HYPERLINK("https://klasma.github.io/Logging_2083/tillsyn/A 31539-2021 tillsynsbegäran.docx", "A 31539-2021")</f>
        <v/>
      </c>
      <c r="Y71">
        <f>HYPERLINK("https://klasma.github.io/Logging_2083/tillsynsmail/A 31539-2021 tillsynsbegäran mail.docx", "A 31539-2021")</f>
        <v/>
      </c>
    </row>
    <row r="72" ht="15" customHeight="1">
      <c r="A72" t="inlineStr">
        <is>
          <t>A 51111-2021</t>
        </is>
      </c>
      <c r="B72" s="1" t="n">
        <v>44461</v>
      </c>
      <c r="C72" s="1" t="n">
        <v>45659</v>
      </c>
      <c r="D72" t="inlineStr">
        <is>
          <t>DALARNAS LÄN</t>
        </is>
      </c>
      <c r="E72" t="inlineStr">
        <is>
          <t>HEDEMORA</t>
        </is>
      </c>
      <c r="G72" t="n">
        <v>0.9</v>
      </c>
      <c r="H72" t="n">
        <v>1</v>
      </c>
      <c r="I72" t="n">
        <v>0</v>
      </c>
      <c r="J72" t="n">
        <v>0</v>
      </c>
      <c r="K72" t="n">
        <v>1</v>
      </c>
      <c r="L72" t="n">
        <v>0</v>
      </c>
      <c r="M72" t="n">
        <v>0</v>
      </c>
      <c r="N72" t="n">
        <v>0</v>
      </c>
      <c r="O72" t="n">
        <v>1</v>
      </c>
      <c r="P72" t="n">
        <v>1</v>
      </c>
      <c r="Q72" t="n">
        <v>1</v>
      </c>
      <c r="R72" s="2" t="inlineStr">
        <is>
          <t>Knärot</t>
        </is>
      </c>
      <c r="S72">
        <f>HYPERLINK("https://klasma.github.io/Logging_2083/artfynd/A 51111-2021 artfynd.xlsx", "A 51111-2021")</f>
        <v/>
      </c>
      <c r="T72">
        <f>HYPERLINK("https://klasma.github.io/Logging_2083/kartor/A 51111-2021 karta.png", "A 51111-2021")</f>
        <v/>
      </c>
      <c r="U72">
        <f>HYPERLINK("https://klasma.github.io/Logging_2083/knärot/A 51111-2021 karta knärot.png", "A 51111-2021")</f>
        <v/>
      </c>
      <c r="V72">
        <f>HYPERLINK("https://klasma.github.io/Logging_2083/klagomål/A 51111-2021 FSC-klagomål.docx", "A 51111-2021")</f>
        <v/>
      </c>
      <c r="W72">
        <f>HYPERLINK("https://klasma.github.io/Logging_2083/klagomålsmail/A 51111-2021 FSC-klagomål mail.docx", "A 51111-2021")</f>
        <v/>
      </c>
      <c r="X72">
        <f>HYPERLINK("https://klasma.github.io/Logging_2083/tillsyn/A 51111-2021 tillsynsbegäran.docx", "A 51111-2021")</f>
        <v/>
      </c>
      <c r="Y72">
        <f>HYPERLINK("https://klasma.github.io/Logging_2083/tillsynsmail/A 51111-2021 tillsynsbegäran mail.docx", "A 51111-2021")</f>
        <v/>
      </c>
    </row>
    <row r="73" ht="15" customHeight="1">
      <c r="A73" t="inlineStr">
        <is>
          <t>A 48135-2022</t>
        </is>
      </c>
      <c r="B73" s="1" t="n">
        <v>44857</v>
      </c>
      <c r="C73" s="1" t="n">
        <v>45659</v>
      </c>
      <c r="D73" t="inlineStr">
        <is>
          <t>DALARNAS LÄN</t>
        </is>
      </c>
      <c r="E73" t="inlineStr">
        <is>
          <t>HEDEMORA</t>
        </is>
      </c>
      <c r="F73" t="inlineStr">
        <is>
          <t>Sveaskog</t>
        </is>
      </c>
      <c r="G73" t="n">
        <v>5.6</v>
      </c>
      <c r="H73" t="n">
        <v>0</v>
      </c>
      <c r="I73" t="n">
        <v>0</v>
      </c>
      <c r="J73" t="n">
        <v>1</v>
      </c>
      <c r="K73" t="n">
        <v>0</v>
      </c>
      <c r="L73" t="n">
        <v>0</v>
      </c>
      <c r="M73" t="n">
        <v>0</v>
      </c>
      <c r="N73" t="n">
        <v>0</v>
      </c>
      <c r="O73" t="n">
        <v>1</v>
      </c>
      <c r="P73" t="n">
        <v>0</v>
      </c>
      <c r="Q73" t="n">
        <v>1</v>
      </c>
      <c r="R73" s="2" t="inlineStr">
        <is>
          <t>Skrovellav</t>
        </is>
      </c>
      <c r="S73">
        <f>HYPERLINK("https://klasma.github.io/Logging_2083/artfynd/A 48135-2022 artfynd.xlsx", "A 48135-2022")</f>
        <v/>
      </c>
      <c r="T73">
        <f>HYPERLINK("https://klasma.github.io/Logging_2083/kartor/A 48135-2022 karta.png", "A 48135-2022")</f>
        <v/>
      </c>
      <c r="V73">
        <f>HYPERLINK("https://klasma.github.io/Logging_2083/klagomål/A 48135-2022 FSC-klagomål.docx", "A 48135-2022")</f>
        <v/>
      </c>
      <c r="W73">
        <f>HYPERLINK("https://klasma.github.io/Logging_2083/klagomålsmail/A 48135-2022 FSC-klagomål mail.docx", "A 48135-2022")</f>
        <v/>
      </c>
      <c r="X73">
        <f>HYPERLINK("https://klasma.github.io/Logging_2083/tillsyn/A 48135-2022 tillsynsbegäran.docx", "A 48135-2022")</f>
        <v/>
      </c>
      <c r="Y73">
        <f>HYPERLINK("https://klasma.github.io/Logging_2083/tillsynsmail/A 48135-2022 tillsynsbegäran mail.docx", "A 48135-2022")</f>
        <v/>
      </c>
    </row>
    <row r="74" ht="15" customHeight="1">
      <c r="A74" t="inlineStr">
        <is>
          <t>A 49889-2022</t>
        </is>
      </c>
      <c r="B74" s="1" t="n">
        <v>44864</v>
      </c>
      <c r="C74" s="1" t="n">
        <v>45659</v>
      </c>
      <c r="D74" t="inlineStr">
        <is>
          <t>DALARNAS LÄN</t>
        </is>
      </c>
      <c r="E74" t="inlineStr">
        <is>
          <t>HEDEMORA</t>
        </is>
      </c>
      <c r="F74" t="inlineStr">
        <is>
          <t>Sveaskog</t>
        </is>
      </c>
      <c r="G74" t="n">
        <v>6.8</v>
      </c>
      <c r="H74" t="n">
        <v>1</v>
      </c>
      <c r="I74" t="n">
        <v>0</v>
      </c>
      <c r="J74" t="n">
        <v>0</v>
      </c>
      <c r="K74" t="n">
        <v>1</v>
      </c>
      <c r="L74" t="n">
        <v>0</v>
      </c>
      <c r="M74" t="n">
        <v>0</v>
      </c>
      <c r="N74" t="n">
        <v>0</v>
      </c>
      <c r="O74" t="n">
        <v>1</v>
      </c>
      <c r="P74" t="n">
        <v>1</v>
      </c>
      <c r="Q74" t="n">
        <v>1</v>
      </c>
      <c r="R74" s="2" t="inlineStr">
        <is>
          <t>Knärot</t>
        </is>
      </c>
      <c r="S74">
        <f>HYPERLINK("https://klasma.github.io/Logging_2083/artfynd/A 49889-2022 artfynd.xlsx", "A 49889-2022")</f>
        <v/>
      </c>
      <c r="T74">
        <f>HYPERLINK("https://klasma.github.io/Logging_2083/kartor/A 49889-2022 karta.png", "A 49889-2022")</f>
        <v/>
      </c>
      <c r="U74">
        <f>HYPERLINK("https://klasma.github.io/Logging_2083/knärot/A 49889-2022 karta knärot.png", "A 49889-2022")</f>
        <v/>
      </c>
      <c r="V74">
        <f>HYPERLINK("https://klasma.github.io/Logging_2083/klagomål/A 49889-2022 FSC-klagomål.docx", "A 49889-2022")</f>
        <v/>
      </c>
      <c r="W74">
        <f>HYPERLINK("https://klasma.github.io/Logging_2083/klagomålsmail/A 49889-2022 FSC-klagomål mail.docx", "A 49889-2022")</f>
        <v/>
      </c>
      <c r="X74">
        <f>HYPERLINK("https://klasma.github.io/Logging_2083/tillsyn/A 49889-2022 tillsynsbegäran.docx", "A 49889-2022")</f>
        <v/>
      </c>
      <c r="Y74">
        <f>HYPERLINK("https://klasma.github.io/Logging_2083/tillsynsmail/A 49889-2022 tillsynsbegäran mail.docx", "A 49889-2022")</f>
        <v/>
      </c>
    </row>
    <row r="75" ht="15" customHeight="1">
      <c r="A75" t="inlineStr">
        <is>
          <t>A 51525-2022</t>
        </is>
      </c>
      <c r="B75" s="1" t="n">
        <v>44869</v>
      </c>
      <c r="C75" s="1" t="n">
        <v>45659</v>
      </c>
      <c r="D75" t="inlineStr">
        <is>
          <t>DALARNAS LÄN</t>
        </is>
      </c>
      <c r="E75" t="inlineStr">
        <is>
          <t>HEDEMORA</t>
        </is>
      </c>
      <c r="F75" t="inlineStr">
        <is>
          <t>Sveaskog</t>
        </is>
      </c>
      <c r="G75" t="n">
        <v>20.1</v>
      </c>
      <c r="H75" t="n">
        <v>1</v>
      </c>
      <c r="I75" t="n">
        <v>0</v>
      </c>
      <c r="J75" t="n">
        <v>0</v>
      </c>
      <c r="K75" t="n">
        <v>0</v>
      </c>
      <c r="L75" t="n">
        <v>0</v>
      </c>
      <c r="M75" t="n">
        <v>0</v>
      </c>
      <c r="N75" t="n">
        <v>0</v>
      </c>
      <c r="O75" t="n">
        <v>0</v>
      </c>
      <c r="P75" t="n">
        <v>0</v>
      </c>
      <c r="Q75" t="n">
        <v>1</v>
      </c>
      <c r="R75" s="2" t="inlineStr">
        <is>
          <t>Mattlummer</t>
        </is>
      </c>
      <c r="S75">
        <f>HYPERLINK("https://klasma.github.io/Logging_2083/artfynd/A 51525-2022 artfynd.xlsx", "A 51525-2022")</f>
        <v/>
      </c>
      <c r="T75">
        <f>HYPERLINK("https://klasma.github.io/Logging_2083/kartor/A 51525-2022 karta.png", "A 51525-2022")</f>
        <v/>
      </c>
      <c r="V75">
        <f>HYPERLINK("https://klasma.github.io/Logging_2083/klagomål/A 51525-2022 FSC-klagomål.docx", "A 51525-2022")</f>
        <v/>
      </c>
      <c r="W75">
        <f>HYPERLINK("https://klasma.github.io/Logging_2083/klagomålsmail/A 51525-2022 FSC-klagomål mail.docx", "A 51525-2022")</f>
        <v/>
      </c>
      <c r="X75">
        <f>HYPERLINK("https://klasma.github.io/Logging_2083/tillsyn/A 51525-2022 tillsynsbegäran.docx", "A 51525-2022")</f>
        <v/>
      </c>
      <c r="Y75">
        <f>HYPERLINK("https://klasma.github.io/Logging_2083/tillsynsmail/A 51525-2022 tillsynsbegäran mail.docx", "A 51525-2022")</f>
        <v/>
      </c>
    </row>
    <row r="76" ht="15" customHeight="1">
      <c r="A76" t="inlineStr">
        <is>
          <t>A 53916-2022</t>
        </is>
      </c>
      <c r="B76" s="1" t="n">
        <v>44880</v>
      </c>
      <c r="C76" s="1" t="n">
        <v>45659</v>
      </c>
      <c r="D76" t="inlineStr">
        <is>
          <t>DALARNAS LÄN</t>
        </is>
      </c>
      <c r="E76" t="inlineStr">
        <is>
          <t>HEDEMORA</t>
        </is>
      </c>
      <c r="F76" t="inlineStr">
        <is>
          <t>Sveaskog</t>
        </is>
      </c>
      <c r="G76" t="n">
        <v>12.1</v>
      </c>
      <c r="H76" t="n">
        <v>1</v>
      </c>
      <c r="I76" t="n">
        <v>0</v>
      </c>
      <c r="J76" t="n">
        <v>1</v>
      </c>
      <c r="K76" t="n">
        <v>0</v>
      </c>
      <c r="L76" t="n">
        <v>0</v>
      </c>
      <c r="M76" t="n">
        <v>0</v>
      </c>
      <c r="N76" t="n">
        <v>0</v>
      </c>
      <c r="O76" t="n">
        <v>1</v>
      </c>
      <c r="P76" t="n">
        <v>0</v>
      </c>
      <c r="Q76" t="n">
        <v>1</v>
      </c>
      <c r="R76" s="2" t="inlineStr">
        <is>
          <t>Spillkråka</t>
        </is>
      </c>
      <c r="S76">
        <f>HYPERLINK("https://klasma.github.io/Logging_2083/artfynd/A 53916-2022 artfynd.xlsx", "A 53916-2022")</f>
        <v/>
      </c>
      <c r="T76">
        <f>HYPERLINK("https://klasma.github.io/Logging_2083/kartor/A 53916-2022 karta.png", "A 53916-2022")</f>
        <v/>
      </c>
      <c r="V76">
        <f>HYPERLINK("https://klasma.github.io/Logging_2083/klagomål/A 53916-2022 FSC-klagomål.docx", "A 53916-2022")</f>
        <v/>
      </c>
      <c r="W76">
        <f>HYPERLINK("https://klasma.github.io/Logging_2083/klagomålsmail/A 53916-2022 FSC-klagomål mail.docx", "A 53916-2022")</f>
        <v/>
      </c>
      <c r="X76">
        <f>HYPERLINK("https://klasma.github.io/Logging_2083/tillsyn/A 53916-2022 tillsynsbegäran.docx", "A 53916-2022")</f>
        <v/>
      </c>
      <c r="Y76">
        <f>HYPERLINK("https://klasma.github.io/Logging_2083/tillsynsmail/A 53916-2022 tillsynsbegäran mail.docx", "A 53916-2022")</f>
        <v/>
      </c>
      <c r="Z76">
        <f>HYPERLINK("https://klasma.github.io/Logging_2083/fåglar/A 53916-2022 prioriterade fågelarter.docx", "A 53916-2022")</f>
        <v/>
      </c>
    </row>
    <row r="77" ht="15" customHeight="1">
      <c r="A77" t="inlineStr">
        <is>
          <t>A 53915-2022</t>
        </is>
      </c>
      <c r="B77" s="1" t="n">
        <v>44880</v>
      </c>
      <c r="C77" s="1" t="n">
        <v>45659</v>
      </c>
      <c r="D77" t="inlineStr">
        <is>
          <t>DALARNAS LÄN</t>
        </is>
      </c>
      <c r="E77" t="inlineStr">
        <is>
          <t>HEDEMORA</t>
        </is>
      </c>
      <c r="F77" t="inlineStr">
        <is>
          <t>Sveaskog</t>
        </is>
      </c>
      <c r="G77" t="n">
        <v>5.3</v>
      </c>
      <c r="H77" t="n">
        <v>1</v>
      </c>
      <c r="I77" t="n">
        <v>0</v>
      </c>
      <c r="J77" t="n">
        <v>1</v>
      </c>
      <c r="K77" t="n">
        <v>0</v>
      </c>
      <c r="L77" t="n">
        <v>0</v>
      </c>
      <c r="M77" t="n">
        <v>0</v>
      </c>
      <c r="N77" t="n">
        <v>0</v>
      </c>
      <c r="O77" t="n">
        <v>1</v>
      </c>
      <c r="P77" t="n">
        <v>0</v>
      </c>
      <c r="Q77" t="n">
        <v>1</v>
      </c>
      <c r="R77" s="2" t="inlineStr">
        <is>
          <t>Talltita</t>
        </is>
      </c>
      <c r="S77">
        <f>HYPERLINK("https://klasma.github.io/Logging_2083/artfynd/A 53915-2022 artfynd.xlsx", "A 53915-2022")</f>
        <v/>
      </c>
      <c r="T77">
        <f>HYPERLINK("https://klasma.github.io/Logging_2083/kartor/A 53915-2022 karta.png", "A 53915-2022")</f>
        <v/>
      </c>
      <c r="V77">
        <f>HYPERLINK("https://klasma.github.io/Logging_2083/klagomål/A 53915-2022 FSC-klagomål.docx", "A 53915-2022")</f>
        <v/>
      </c>
      <c r="W77">
        <f>HYPERLINK("https://klasma.github.io/Logging_2083/klagomålsmail/A 53915-2022 FSC-klagomål mail.docx", "A 53915-2022")</f>
        <v/>
      </c>
      <c r="X77">
        <f>HYPERLINK("https://klasma.github.io/Logging_2083/tillsyn/A 53915-2022 tillsynsbegäran.docx", "A 53915-2022")</f>
        <v/>
      </c>
      <c r="Y77">
        <f>HYPERLINK("https://klasma.github.io/Logging_2083/tillsynsmail/A 53915-2022 tillsynsbegäran mail.docx", "A 53915-2022")</f>
        <v/>
      </c>
      <c r="Z77">
        <f>HYPERLINK("https://klasma.github.io/Logging_2083/fåglar/A 53915-2022 prioriterade fågelarter.docx", "A 53915-2022")</f>
        <v/>
      </c>
    </row>
    <row r="78" ht="15" customHeight="1">
      <c r="A78" t="inlineStr">
        <is>
          <t>A 55144-2022</t>
        </is>
      </c>
      <c r="B78" s="1" t="n">
        <v>44886</v>
      </c>
      <c r="C78" s="1" t="n">
        <v>45659</v>
      </c>
      <c r="D78" t="inlineStr">
        <is>
          <t>DALARNAS LÄN</t>
        </is>
      </c>
      <c r="E78" t="inlineStr">
        <is>
          <t>HEDEMORA</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HYPERLINK("https://klasma.github.io/Logging_2083/artfynd/A 55144-2022 artfynd.xlsx", "A 55144-2022")</f>
        <v/>
      </c>
      <c r="T78">
        <f>HYPERLINK("https://klasma.github.io/Logging_2083/kartor/A 55144-2022 karta.png", "A 55144-2022")</f>
        <v/>
      </c>
      <c r="V78">
        <f>HYPERLINK("https://klasma.github.io/Logging_2083/klagomål/A 55144-2022 FSC-klagomål.docx", "A 55144-2022")</f>
        <v/>
      </c>
      <c r="W78">
        <f>HYPERLINK("https://klasma.github.io/Logging_2083/klagomålsmail/A 55144-2022 FSC-klagomål mail.docx", "A 55144-2022")</f>
        <v/>
      </c>
      <c r="X78">
        <f>HYPERLINK("https://klasma.github.io/Logging_2083/tillsyn/A 55144-2022 tillsynsbegäran.docx", "A 55144-2022")</f>
        <v/>
      </c>
      <c r="Y78">
        <f>HYPERLINK("https://klasma.github.io/Logging_2083/tillsynsmail/A 55144-2022 tillsynsbegäran mail.docx", "A 55144-2022")</f>
        <v/>
      </c>
    </row>
    <row r="79" ht="15" customHeight="1">
      <c r="A79" t="inlineStr">
        <is>
          <t>A 11742-2023</t>
        </is>
      </c>
      <c r="B79" s="1" t="n">
        <v>44994</v>
      </c>
      <c r="C79" s="1" t="n">
        <v>45659</v>
      </c>
      <c r="D79" t="inlineStr">
        <is>
          <t>DALARNAS LÄN</t>
        </is>
      </c>
      <c r="E79" t="inlineStr">
        <is>
          <t>HEDEMORA</t>
        </is>
      </c>
      <c r="G79" t="n">
        <v>6</v>
      </c>
      <c r="H79" t="n">
        <v>0</v>
      </c>
      <c r="I79" t="n">
        <v>0</v>
      </c>
      <c r="J79" t="n">
        <v>1</v>
      </c>
      <c r="K79" t="n">
        <v>0</v>
      </c>
      <c r="L79" t="n">
        <v>0</v>
      </c>
      <c r="M79" t="n">
        <v>0</v>
      </c>
      <c r="N79" t="n">
        <v>0</v>
      </c>
      <c r="O79" t="n">
        <v>1</v>
      </c>
      <c r="P79" t="n">
        <v>0</v>
      </c>
      <c r="Q79" t="n">
        <v>1</v>
      </c>
      <c r="R79" s="2" t="inlineStr">
        <is>
          <t>Tallticka</t>
        </is>
      </c>
      <c r="S79">
        <f>HYPERLINK("https://klasma.github.io/Logging_2083/artfynd/A 11742-2023 artfynd.xlsx", "A 11742-2023")</f>
        <v/>
      </c>
      <c r="T79">
        <f>HYPERLINK("https://klasma.github.io/Logging_2083/kartor/A 11742-2023 karta.png", "A 11742-2023")</f>
        <v/>
      </c>
      <c r="V79">
        <f>HYPERLINK("https://klasma.github.io/Logging_2083/klagomål/A 11742-2023 FSC-klagomål.docx", "A 11742-2023")</f>
        <v/>
      </c>
      <c r="W79">
        <f>HYPERLINK("https://klasma.github.io/Logging_2083/klagomålsmail/A 11742-2023 FSC-klagomål mail.docx", "A 11742-2023")</f>
        <v/>
      </c>
      <c r="X79">
        <f>HYPERLINK("https://klasma.github.io/Logging_2083/tillsyn/A 11742-2023 tillsynsbegäran.docx", "A 11742-2023")</f>
        <v/>
      </c>
      <c r="Y79">
        <f>HYPERLINK("https://klasma.github.io/Logging_2083/tillsynsmail/A 11742-2023 tillsynsbegäran mail.docx", "A 11742-2023")</f>
        <v/>
      </c>
    </row>
    <row r="80" ht="15" customHeight="1">
      <c r="A80" t="inlineStr">
        <is>
          <t>A 13986-2023</t>
        </is>
      </c>
      <c r="B80" s="1" t="n">
        <v>45008</v>
      </c>
      <c r="C80" s="1" t="n">
        <v>45659</v>
      </c>
      <c r="D80" t="inlineStr">
        <is>
          <t>DALARNAS LÄN</t>
        </is>
      </c>
      <c r="E80" t="inlineStr">
        <is>
          <t>HEDEMORA</t>
        </is>
      </c>
      <c r="G80" t="n">
        <v>0.8</v>
      </c>
      <c r="H80" t="n">
        <v>1</v>
      </c>
      <c r="I80" t="n">
        <v>0</v>
      </c>
      <c r="J80" t="n">
        <v>0</v>
      </c>
      <c r="K80" t="n">
        <v>1</v>
      </c>
      <c r="L80" t="n">
        <v>0</v>
      </c>
      <c r="M80" t="n">
        <v>0</v>
      </c>
      <c r="N80" t="n">
        <v>0</v>
      </c>
      <c r="O80" t="n">
        <v>1</v>
      </c>
      <c r="P80" t="n">
        <v>1</v>
      </c>
      <c r="Q80" t="n">
        <v>1</v>
      </c>
      <c r="R80" s="2" t="inlineStr">
        <is>
          <t>Knärot</t>
        </is>
      </c>
      <c r="S80">
        <f>HYPERLINK("https://klasma.github.io/Logging_2083/artfynd/A 13986-2023 artfynd.xlsx", "A 13986-2023")</f>
        <v/>
      </c>
      <c r="T80">
        <f>HYPERLINK("https://klasma.github.io/Logging_2083/kartor/A 13986-2023 karta.png", "A 13986-2023")</f>
        <v/>
      </c>
      <c r="U80">
        <f>HYPERLINK("https://klasma.github.io/Logging_2083/knärot/A 13986-2023 karta knärot.png", "A 13986-2023")</f>
        <v/>
      </c>
      <c r="V80">
        <f>HYPERLINK("https://klasma.github.io/Logging_2083/klagomål/A 13986-2023 FSC-klagomål.docx", "A 13986-2023")</f>
        <v/>
      </c>
      <c r="W80">
        <f>HYPERLINK("https://klasma.github.io/Logging_2083/klagomålsmail/A 13986-2023 FSC-klagomål mail.docx", "A 13986-2023")</f>
        <v/>
      </c>
      <c r="X80">
        <f>HYPERLINK("https://klasma.github.io/Logging_2083/tillsyn/A 13986-2023 tillsynsbegäran.docx", "A 13986-2023")</f>
        <v/>
      </c>
      <c r="Y80">
        <f>HYPERLINK("https://klasma.github.io/Logging_2083/tillsynsmail/A 13986-2023 tillsynsbegäran mail.docx", "A 13986-2023")</f>
        <v/>
      </c>
    </row>
    <row r="81" ht="15" customHeight="1">
      <c r="A81" t="inlineStr">
        <is>
          <t>A 20231-2023</t>
        </is>
      </c>
      <c r="B81" s="1" t="n">
        <v>45055</v>
      </c>
      <c r="C81" s="1" t="n">
        <v>45659</v>
      </c>
      <c r="D81" t="inlineStr">
        <is>
          <t>DALARNAS LÄN</t>
        </is>
      </c>
      <c r="E81" t="inlineStr">
        <is>
          <t>HEDEMORA</t>
        </is>
      </c>
      <c r="F81" t="inlineStr">
        <is>
          <t>Bergvik skog väst AB</t>
        </is>
      </c>
      <c r="G81" t="n">
        <v>3.9</v>
      </c>
      <c r="H81" t="n">
        <v>1</v>
      </c>
      <c r="I81" t="n">
        <v>0</v>
      </c>
      <c r="J81" t="n">
        <v>1</v>
      </c>
      <c r="K81" t="n">
        <v>0</v>
      </c>
      <c r="L81" t="n">
        <v>0</v>
      </c>
      <c r="M81" t="n">
        <v>0</v>
      </c>
      <c r="N81" t="n">
        <v>0</v>
      </c>
      <c r="O81" t="n">
        <v>1</v>
      </c>
      <c r="P81" t="n">
        <v>0</v>
      </c>
      <c r="Q81" t="n">
        <v>1</v>
      </c>
      <c r="R81" s="2" t="inlineStr">
        <is>
          <t>Tretåig hackspett</t>
        </is>
      </c>
      <c r="S81">
        <f>HYPERLINK("https://klasma.github.io/Logging_2083/artfynd/A 20231-2023 artfynd.xlsx", "A 20231-2023")</f>
        <v/>
      </c>
      <c r="T81">
        <f>HYPERLINK("https://klasma.github.io/Logging_2083/kartor/A 20231-2023 karta.png", "A 20231-2023")</f>
        <v/>
      </c>
      <c r="V81">
        <f>HYPERLINK("https://klasma.github.io/Logging_2083/klagomål/A 20231-2023 FSC-klagomål.docx", "A 20231-2023")</f>
        <v/>
      </c>
      <c r="W81">
        <f>HYPERLINK("https://klasma.github.io/Logging_2083/klagomålsmail/A 20231-2023 FSC-klagomål mail.docx", "A 20231-2023")</f>
        <v/>
      </c>
      <c r="X81">
        <f>HYPERLINK("https://klasma.github.io/Logging_2083/tillsyn/A 20231-2023 tillsynsbegäran.docx", "A 20231-2023")</f>
        <v/>
      </c>
      <c r="Y81">
        <f>HYPERLINK("https://klasma.github.io/Logging_2083/tillsynsmail/A 20231-2023 tillsynsbegäran mail.docx", "A 20231-2023")</f>
        <v/>
      </c>
      <c r="Z81">
        <f>HYPERLINK("https://klasma.github.io/Logging_2083/fåglar/A 20231-2023 prioriterade fågelarter.docx", "A 20231-2023")</f>
        <v/>
      </c>
    </row>
    <row r="82" ht="15" customHeight="1">
      <c r="A82" t="inlineStr">
        <is>
          <t>A 21147-2023</t>
        </is>
      </c>
      <c r="B82" s="1" t="n">
        <v>45057</v>
      </c>
      <c r="C82" s="1" t="n">
        <v>45659</v>
      </c>
      <c r="D82" t="inlineStr">
        <is>
          <t>DALARNAS LÄN</t>
        </is>
      </c>
      <c r="E82" t="inlineStr">
        <is>
          <t>HEDEMORA</t>
        </is>
      </c>
      <c r="G82" t="n">
        <v>10</v>
      </c>
      <c r="H82" t="n">
        <v>1</v>
      </c>
      <c r="I82" t="n">
        <v>0</v>
      </c>
      <c r="J82" t="n">
        <v>0</v>
      </c>
      <c r="K82" t="n">
        <v>0</v>
      </c>
      <c r="L82" t="n">
        <v>0</v>
      </c>
      <c r="M82" t="n">
        <v>0</v>
      </c>
      <c r="N82" t="n">
        <v>0</v>
      </c>
      <c r="O82" t="n">
        <v>0</v>
      </c>
      <c r="P82" t="n">
        <v>0</v>
      </c>
      <c r="Q82" t="n">
        <v>1</v>
      </c>
      <c r="R82" s="2" t="inlineStr">
        <is>
          <t>Blåsippa</t>
        </is>
      </c>
      <c r="S82">
        <f>HYPERLINK("https://klasma.github.io/Logging_2083/artfynd/A 21147-2023 artfynd.xlsx", "A 21147-2023")</f>
        <v/>
      </c>
      <c r="T82">
        <f>HYPERLINK("https://klasma.github.io/Logging_2083/kartor/A 21147-2023 karta.png", "A 21147-2023")</f>
        <v/>
      </c>
      <c r="V82">
        <f>HYPERLINK("https://klasma.github.io/Logging_2083/klagomål/A 21147-2023 FSC-klagomål.docx", "A 21147-2023")</f>
        <v/>
      </c>
      <c r="W82">
        <f>HYPERLINK("https://klasma.github.io/Logging_2083/klagomålsmail/A 21147-2023 FSC-klagomål mail.docx", "A 21147-2023")</f>
        <v/>
      </c>
      <c r="X82">
        <f>HYPERLINK("https://klasma.github.io/Logging_2083/tillsyn/A 21147-2023 tillsynsbegäran.docx", "A 21147-2023")</f>
        <v/>
      </c>
      <c r="Y82">
        <f>HYPERLINK("https://klasma.github.io/Logging_2083/tillsynsmail/A 21147-2023 tillsynsbegäran mail.docx", "A 21147-2023")</f>
        <v/>
      </c>
    </row>
    <row r="83" ht="15" customHeight="1">
      <c r="A83" t="inlineStr">
        <is>
          <t>A 23815-2023</t>
        </is>
      </c>
      <c r="B83" s="1" t="n">
        <v>45078</v>
      </c>
      <c r="C83" s="1" t="n">
        <v>45659</v>
      </c>
      <c r="D83" t="inlineStr">
        <is>
          <t>DALARNAS LÄN</t>
        </is>
      </c>
      <c r="E83" t="inlineStr">
        <is>
          <t>HEDEMORA</t>
        </is>
      </c>
      <c r="G83" t="n">
        <v>3.1</v>
      </c>
      <c r="H83" t="n">
        <v>1</v>
      </c>
      <c r="I83" t="n">
        <v>0</v>
      </c>
      <c r="J83" t="n">
        <v>0</v>
      </c>
      <c r="K83" t="n">
        <v>1</v>
      </c>
      <c r="L83" t="n">
        <v>0</v>
      </c>
      <c r="M83" t="n">
        <v>0</v>
      </c>
      <c r="N83" t="n">
        <v>0</v>
      </c>
      <c r="O83" t="n">
        <v>1</v>
      </c>
      <c r="P83" t="n">
        <v>1</v>
      </c>
      <c r="Q83" t="n">
        <v>1</v>
      </c>
      <c r="R83" s="2" t="inlineStr">
        <is>
          <t>Knärot</t>
        </is>
      </c>
      <c r="S83">
        <f>HYPERLINK("https://klasma.github.io/Logging_2083/artfynd/A 23815-2023 artfynd.xlsx", "A 23815-2023")</f>
        <v/>
      </c>
      <c r="T83">
        <f>HYPERLINK("https://klasma.github.io/Logging_2083/kartor/A 23815-2023 karta.png", "A 23815-2023")</f>
        <v/>
      </c>
      <c r="U83">
        <f>HYPERLINK("https://klasma.github.io/Logging_2083/knärot/A 23815-2023 karta knärot.png", "A 23815-2023")</f>
        <v/>
      </c>
      <c r="V83">
        <f>HYPERLINK("https://klasma.github.io/Logging_2083/klagomål/A 23815-2023 FSC-klagomål.docx", "A 23815-2023")</f>
        <v/>
      </c>
      <c r="W83">
        <f>HYPERLINK("https://klasma.github.io/Logging_2083/klagomålsmail/A 23815-2023 FSC-klagomål mail.docx", "A 23815-2023")</f>
        <v/>
      </c>
      <c r="X83">
        <f>HYPERLINK("https://klasma.github.io/Logging_2083/tillsyn/A 23815-2023 tillsynsbegäran.docx", "A 23815-2023")</f>
        <v/>
      </c>
      <c r="Y83">
        <f>HYPERLINK("https://klasma.github.io/Logging_2083/tillsynsmail/A 23815-2023 tillsynsbegäran mail.docx", "A 23815-2023")</f>
        <v/>
      </c>
    </row>
    <row r="84" ht="15" customHeight="1">
      <c r="A84" t="inlineStr">
        <is>
          <t>A 28028-2023</t>
        </is>
      </c>
      <c r="B84" s="1" t="n">
        <v>45099</v>
      </c>
      <c r="C84" s="1" t="n">
        <v>45659</v>
      </c>
      <c r="D84" t="inlineStr">
        <is>
          <t>DALARNAS LÄN</t>
        </is>
      </c>
      <c r="E84" t="inlineStr">
        <is>
          <t>HEDEMORA</t>
        </is>
      </c>
      <c r="G84" t="n">
        <v>0.8</v>
      </c>
      <c r="H84" t="n">
        <v>1</v>
      </c>
      <c r="I84" t="n">
        <v>0</v>
      </c>
      <c r="J84" t="n">
        <v>0</v>
      </c>
      <c r="K84" t="n">
        <v>0</v>
      </c>
      <c r="L84" t="n">
        <v>0</v>
      </c>
      <c r="M84" t="n">
        <v>0</v>
      </c>
      <c r="N84" t="n">
        <v>0</v>
      </c>
      <c r="O84" t="n">
        <v>0</v>
      </c>
      <c r="P84" t="n">
        <v>0</v>
      </c>
      <c r="Q84" t="n">
        <v>1</v>
      </c>
      <c r="R84" s="2" t="inlineStr">
        <is>
          <t>Blåsippa</t>
        </is>
      </c>
      <c r="S84">
        <f>HYPERLINK("https://klasma.github.io/Logging_2083/artfynd/A 28028-2023 artfynd.xlsx", "A 28028-2023")</f>
        <v/>
      </c>
      <c r="T84">
        <f>HYPERLINK("https://klasma.github.io/Logging_2083/kartor/A 28028-2023 karta.png", "A 28028-2023")</f>
        <v/>
      </c>
      <c r="V84">
        <f>HYPERLINK("https://klasma.github.io/Logging_2083/klagomål/A 28028-2023 FSC-klagomål.docx", "A 28028-2023")</f>
        <v/>
      </c>
      <c r="W84">
        <f>HYPERLINK("https://klasma.github.io/Logging_2083/klagomålsmail/A 28028-2023 FSC-klagomål mail.docx", "A 28028-2023")</f>
        <v/>
      </c>
      <c r="X84">
        <f>HYPERLINK("https://klasma.github.io/Logging_2083/tillsyn/A 28028-2023 tillsynsbegäran.docx", "A 28028-2023")</f>
        <v/>
      </c>
      <c r="Y84">
        <f>HYPERLINK("https://klasma.github.io/Logging_2083/tillsynsmail/A 28028-2023 tillsynsbegäran mail.docx", "A 28028-2023")</f>
        <v/>
      </c>
    </row>
    <row r="85" ht="15" customHeight="1">
      <c r="A85" t="inlineStr">
        <is>
          <t>A 30014-2023</t>
        </is>
      </c>
      <c r="B85" s="1" t="n">
        <v>45109</v>
      </c>
      <c r="C85" s="1" t="n">
        <v>45659</v>
      </c>
      <c r="D85" t="inlineStr">
        <is>
          <t>DALARNAS LÄN</t>
        </is>
      </c>
      <c r="E85" t="inlineStr">
        <is>
          <t>HEDEMORA</t>
        </is>
      </c>
      <c r="F85" t="inlineStr">
        <is>
          <t>Sveaskog</t>
        </is>
      </c>
      <c r="G85" t="n">
        <v>1.6</v>
      </c>
      <c r="H85" t="n">
        <v>1</v>
      </c>
      <c r="I85" t="n">
        <v>1</v>
      </c>
      <c r="J85" t="n">
        <v>0</v>
      </c>
      <c r="K85" t="n">
        <v>0</v>
      </c>
      <c r="L85" t="n">
        <v>0</v>
      </c>
      <c r="M85" t="n">
        <v>0</v>
      </c>
      <c r="N85" t="n">
        <v>0</v>
      </c>
      <c r="O85" t="n">
        <v>0</v>
      </c>
      <c r="P85" t="n">
        <v>0</v>
      </c>
      <c r="Q85" t="n">
        <v>1</v>
      </c>
      <c r="R85" s="2" t="inlineStr">
        <is>
          <t>Plattlummer</t>
        </is>
      </c>
      <c r="S85">
        <f>HYPERLINK("https://klasma.github.io/Logging_2083/artfynd/A 30014-2023 artfynd.xlsx", "A 30014-2023")</f>
        <v/>
      </c>
      <c r="T85">
        <f>HYPERLINK("https://klasma.github.io/Logging_2083/kartor/A 30014-2023 karta.png", "A 30014-2023")</f>
        <v/>
      </c>
      <c r="V85">
        <f>HYPERLINK("https://klasma.github.io/Logging_2083/klagomål/A 30014-2023 FSC-klagomål.docx", "A 30014-2023")</f>
        <v/>
      </c>
      <c r="W85">
        <f>HYPERLINK("https://klasma.github.io/Logging_2083/klagomålsmail/A 30014-2023 FSC-klagomål mail.docx", "A 30014-2023")</f>
        <v/>
      </c>
      <c r="X85">
        <f>HYPERLINK("https://klasma.github.io/Logging_2083/tillsyn/A 30014-2023 tillsynsbegäran.docx", "A 30014-2023")</f>
        <v/>
      </c>
      <c r="Y85">
        <f>HYPERLINK("https://klasma.github.io/Logging_2083/tillsynsmail/A 30014-2023 tillsynsbegäran mail.docx", "A 30014-2023")</f>
        <v/>
      </c>
    </row>
    <row r="86" ht="15" customHeight="1">
      <c r="A86" t="inlineStr">
        <is>
          <t>A 30936-2023</t>
        </is>
      </c>
      <c r="B86" s="1" t="n">
        <v>45113</v>
      </c>
      <c r="C86" s="1" t="n">
        <v>45659</v>
      </c>
      <c r="D86" t="inlineStr">
        <is>
          <t>DALARNAS LÄN</t>
        </is>
      </c>
      <c r="E86" t="inlineStr">
        <is>
          <t>HEDEMORA</t>
        </is>
      </c>
      <c r="F86" t="inlineStr">
        <is>
          <t>Sveaskog</t>
        </is>
      </c>
      <c r="G86" t="n">
        <v>9.199999999999999</v>
      </c>
      <c r="H86" t="n">
        <v>0</v>
      </c>
      <c r="I86" t="n">
        <v>0</v>
      </c>
      <c r="J86" t="n">
        <v>1</v>
      </c>
      <c r="K86" t="n">
        <v>0</v>
      </c>
      <c r="L86" t="n">
        <v>0</v>
      </c>
      <c r="M86" t="n">
        <v>0</v>
      </c>
      <c r="N86" t="n">
        <v>0</v>
      </c>
      <c r="O86" t="n">
        <v>1</v>
      </c>
      <c r="P86" t="n">
        <v>0</v>
      </c>
      <c r="Q86" t="n">
        <v>1</v>
      </c>
      <c r="R86" s="2" t="inlineStr">
        <is>
          <t>Kolflarnlav</t>
        </is>
      </c>
      <c r="S86">
        <f>HYPERLINK("https://klasma.github.io/Logging_2083/artfynd/A 30936-2023 artfynd.xlsx", "A 30936-2023")</f>
        <v/>
      </c>
      <c r="T86">
        <f>HYPERLINK("https://klasma.github.io/Logging_2083/kartor/A 30936-2023 karta.png", "A 30936-2023")</f>
        <v/>
      </c>
      <c r="V86">
        <f>HYPERLINK("https://klasma.github.io/Logging_2083/klagomål/A 30936-2023 FSC-klagomål.docx", "A 30936-2023")</f>
        <v/>
      </c>
      <c r="W86">
        <f>HYPERLINK("https://klasma.github.io/Logging_2083/klagomålsmail/A 30936-2023 FSC-klagomål mail.docx", "A 30936-2023")</f>
        <v/>
      </c>
      <c r="X86">
        <f>HYPERLINK("https://klasma.github.io/Logging_2083/tillsyn/A 30936-2023 tillsynsbegäran.docx", "A 30936-2023")</f>
        <v/>
      </c>
      <c r="Y86">
        <f>HYPERLINK("https://klasma.github.io/Logging_2083/tillsynsmail/A 30936-2023 tillsynsbegäran mail.docx", "A 30936-2023")</f>
        <v/>
      </c>
    </row>
    <row r="87" ht="15" customHeight="1">
      <c r="A87" t="inlineStr">
        <is>
          <t>A 33023-2023</t>
        </is>
      </c>
      <c r="B87" s="1" t="n">
        <v>45125</v>
      </c>
      <c r="C87" s="1" t="n">
        <v>45659</v>
      </c>
      <c r="D87" t="inlineStr">
        <is>
          <t>DALARNAS LÄN</t>
        </is>
      </c>
      <c r="E87" t="inlineStr">
        <is>
          <t>HEDEMORA</t>
        </is>
      </c>
      <c r="F87" t="inlineStr">
        <is>
          <t>Sveaskog</t>
        </is>
      </c>
      <c r="G87" t="n">
        <v>3.9</v>
      </c>
      <c r="H87" t="n">
        <v>1</v>
      </c>
      <c r="I87" t="n">
        <v>0</v>
      </c>
      <c r="J87" t="n">
        <v>0</v>
      </c>
      <c r="K87" t="n">
        <v>0</v>
      </c>
      <c r="L87" t="n">
        <v>0</v>
      </c>
      <c r="M87" t="n">
        <v>0</v>
      </c>
      <c r="N87" t="n">
        <v>0</v>
      </c>
      <c r="O87" t="n">
        <v>0</v>
      </c>
      <c r="P87" t="n">
        <v>0</v>
      </c>
      <c r="Q87" t="n">
        <v>1</v>
      </c>
      <c r="R87" s="2" t="inlineStr">
        <is>
          <t>Revlummer</t>
        </is>
      </c>
      <c r="S87">
        <f>HYPERLINK("https://klasma.github.io/Logging_2083/artfynd/A 33023-2023 artfynd.xlsx", "A 33023-2023")</f>
        <v/>
      </c>
      <c r="T87">
        <f>HYPERLINK("https://klasma.github.io/Logging_2083/kartor/A 33023-2023 karta.png", "A 33023-2023")</f>
        <v/>
      </c>
      <c r="V87">
        <f>HYPERLINK("https://klasma.github.io/Logging_2083/klagomål/A 33023-2023 FSC-klagomål.docx", "A 33023-2023")</f>
        <v/>
      </c>
      <c r="W87">
        <f>HYPERLINK("https://klasma.github.io/Logging_2083/klagomålsmail/A 33023-2023 FSC-klagomål mail.docx", "A 33023-2023")</f>
        <v/>
      </c>
      <c r="X87">
        <f>HYPERLINK("https://klasma.github.io/Logging_2083/tillsyn/A 33023-2023 tillsynsbegäran.docx", "A 33023-2023")</f>
        <v/>
      </c>
      <c r="Y87">
        <f>HYPERLINK("https://klasma.github.io/Logging_2083/tillsynsmail/A 33023-2023 tillsynsbegäran mail.docx", "A 33023-2023")</f>
        <v/>
      </c>
    </row>
    <row r="88" ht="15" customHeight="1">
      <c r="A88" t="inlineStr">
        <is>
          <t>A 35321-2023</t>
        </is>
      </c>
      <c r="B88" s="1" t="n">
        <v>45146</v>
      </c>
      <c r="C88" s="1" t="n">
        <v>45659</v>
      </c>
      <c r="D88" t="inlineStr">
        <is>
          <t>DALARNAS LÄN</t>
        </is>
      </c>
      <c r="E88" t="inlineStr">
        <is>
          <t>HEDEMORA</t>
        </is>
      </c>
      <c r="G88" t="n">
        <v>3.5</v>
      </c>
      <c r="H88" t="n">
        <v>1</v>
      </c>
      <c r="I88" t="n">
        <v>0</v>
      </c>
      <c r="J88" t="n">
        <v>1</v>
      </c>
      <c r="K88" t="n">
        <v>0</v>
      </c>
      <c r="L88" t="n">
        <v>0</v>
      </c>
      <c r="M88" t="n">
        <v>0</v>
      </c>
      <c r="N88" t="n">
        <v>0</v>
      </c>
      <c r="O88" t="n">
        <v>1</v>
      </c>
      <c r="P88" t="n">
        <v>0</v>
      </c>
      <c r="Q88" t="n">
        <v>1</v>
      </c>
      <c r="R88" s="2" t="inlineStr">
        <is>
          <t>Havsörn</t>
        </is>
      </c>
      <c r="S88">
        <f>HYPERLINK("https://klasma.github.io/Logging_2083/artfynd/A 35321-2023 artfynd.xlsx", "A 35321-2023")</f>
        <v/>
      </c>
      <c r="T88">
        <f>HYPERLINK("https://klasma.github.io/Logging_2083/kartor/A 35321-2023 karta.png", "A 35321-2023")</f>
        <v/>
      </c>
      <c r="V88">
        <f>HYPERLINK("https://klasma.github.io/Logging_2083/klagomål/A 35321-2023 FSC-klagomål.docx", "A 35321-2023")</f>
        <v/>
      </c>
      <c r="W88">
        <f>HYPERLINK("https://klasma.github.io/Logging_2083/klagomålsmail/A 35321-2023 FSC-klagomål mail.docx", "A 35321-2023")</f>
        <v/>
      </c>
      <c r="X88">
        <f>HYPERLINK("https://klasma.github.io/Logging_2083/tillsyn/A 35321-2023 tillsynsbegäran.docx", "A 35321-2023")</f>
        <v/>
      </c>
      <c r="Y88">
        <f>HYPERLINK("https://klasma.github.io/Logging_2083/tillsynsmail/A 35321-2023 tillsynsbegäran mail.docx", "A 35321-2023")</f>
        <v/>
      </c>
      <c r="Z88">
        <f>HYPERLINK("https://klasma.github.io/Logging_2083/fåglar/A 35321-2023 prioriterade fågelarter.docx", "A 35321-2023")</f>
        <v/>
      </c>
    </row>
    <row r="89" ht="15" customHeight="1">
      <c r="A89" t="inlineStr">
        <is>
          <t>A 36849-2023</t>
        </is>
      </c>
      <c r="B89" s="1" t="n">
        <v>45154</v>
      </c>
      <c r="C89" s="1" t="n">
        <v>45659</v>
      </c>
      <c r="D89" t="inlineStr">
        <is>
          <t>DALARNAS LÄN</t>
        </is>
      </c>
      <c r="E89" t="inlineStr">
        <is>
          <t>HEDEMORA</t>
        </is>
      </c>
      <c r="G89" t="n">
        <v>5.8</v>
      </c>
      <c r="H89" t="n">
        <v>1</v>
      </c>
      <c r="I89" t="n">
        <v>0</v>
      </c>
      <c r="J89" t="n">
        <v>0</v>
      </c>
      <c r="K89" t="n">
        <v>1</v>
      </c>
      <c r="L89" t="n">
        <v>0</v>
      </c>
      <c r="M89" t="n">
        <v>0</v>
      </c>
      <c r="N89" t="n">
        <v>0</v>
      </c>
      <c r="O89" t="n">
        <v>1</v>
      </c>
      <c r="P89" t="n">
        <v>1</v>
      </c>
      <c r="Q89" t="n">
        <v>1</v>
      </c>
      <c r="R89" s="2" t="inlineStr">
        <is>
          <t>Knärot</t>
        </is>
      </c>
      <c r="S89">
        <f>HYPERLINK("https://klasma.github.io/Logging_2083/artfynd/A 36849-2023 artfynd.xlsx", "A 36849-2023")</f>
        <v/>
      </c>
      <c r="T89">
        <f>HYPERLINK("https://klasma.github.io/Logging_2083/kartor/A 36849-2023 karta.png", "A 36849-2023")</f>
        <v/>
      </c>
      <c r="U89">
        <f>HYPERLINK("https://klasma.github.io/Logging_2083/knärot/A 36849-2023 karta knärot.png", "A 36849-2023")</f>
        <v/>
      </c>
      <c r="V89">
        <f>HYPERLINK("https://klasma.github.io/Logging_2083/klagomål/A 36849-2023 FSC-klagomål.docx", "A 36849-2023")</f>
        <v/>
      </c>
      <c r="W89">
        <f>HYPERLINK("https://klasma.github.io/Logging_2083/klagomålsmail/A 36849-2023 FSC-klagomål mail.docx", "A 36849-2023")</f>
        <v/>
      </c>
      <c r="X89">
        <f>HYPERLINK("https://klasma.github.io/Logging_2083/tillsyn/A 36849-2023 tillsynsbegäran.docx", "A 36849-2023")</f>
        <v/>
      </c>
      <c r="Y89">
        <f>HYPERLINK("https://klasma.github.io/Logging_2083/tillsynsmail/A 36849-2023 tillsynsbegäran mail.docx", "A 36849-2023")</f>
        <v/>
      </c>
    </row>
    <row r="90" ht="15" customHeight="1">
      <c r="A90" t="inlineStr">
        <is>
          <t>A 37654-2023</t>
        </is>
      </c>
      <c r="B90" s="1" t="n">
        <v>45159</v>
      </c>
      <c r="C90" s="1" t="n">
        <v>45659</v>
      </c>
      <c r="D90" t="inlineStr">
        <is>
          <t>DALARNAS LÄN</t>
        </is>
      </c>
      <c r="E90" t="inlineStr">
        <is>
          <t>HEDEMORA</t>
        </is>
      </c>
      <c r="G90" t="n">
        <v>6.2</v>
      </c>
      <c r="H90" t="n">
        <v>1</v>
      </c>
      <c r="I90" t="n">
        <v>0</v>
      </c>
      <c r="J90" t="n">
        <v>0</v>
      </c>
      <c r="K90" t="n">
        <v>1</v>
      </c>
      <c r="L90" t="n">
        <v>0</v>
      </c>
      <c r="M90" t="n">
        <v>0</v>
      </c>
      <c r="N90" t="n">
        <v>0</v>
      </c>
      <c r="O90" t="n">
        <v>1</v>
      </c>
      <c r="P90" t="n">
        <v>1</v>
      </c>
      <c r="Q90" t="n">
        <v>1</v>
      </c>
      <c r="R90" s="2" t="inlineStr">
        <is>
          <t>Knärot</t>
        </is>
      </c>
      <c r="S90">
        <f>HYPERLINK("https://klasma.github.io/Logging_2083/artfynd/A 37654-2023 artfynd.xlsx", "A 37654-2023")</f>
        <v/>
      </c>
      <c r="T90">
        <f>HYPERLINK("https://klasma.github.io/Logging_2083/kartor/A 37654-2023 karta.png", "A 37654-2023")</f>
        <v/>
      </c>
      <c r="U90">
        <f>HYPERLINK("https://klasma.github.io/Logging_2083/knärot/A 37654-2023 karta knärot.png", "A 37654-2023")</f>
        <v/>
      </c>
      <c r="V90">
        <f>HYPERLINK("https://klasma.github.io/Logging_2083/klagomål/A 37654-2023 FSC-klagomål.docx", "A 37654-2023")</f>
        <v/>
      </c>
      <c r="W90">
        <f>HYPERLINK("https://klasma.github.io/Logging_2083/klagomålsmail/A 37654-2023 FSC-klagomål mail.docx", "A 37654-2023")</f>
        <v/>
      </c>
      <c r="X90">
        <f>HYPERLINK("https://klasma.github.io/Logging_2083/tillsyn/A 37654-2023 tillsynsbegäran.docx", "A 37654-2023")</f>
        <v/>
      </c>
      <c r="Y90">
        <f>HYPERLINK("https://klasma.github.io/Logging_2083/tillsynsmail/A 37654-2023 tillsynsbegäran mail.docx", "A 37654-2023")</f>
        <v/>
      </c>
    </row>
    <row r="91" ht="15" customHeight="1">
      <c r="A91" t="inlineStr">
        <is>
          <t>A 41477-2023</t>
        </is>
      </c>
      <c r="B91" s="1" t="n">
        <v>45171</v>
      </c>
      <c r="C91" s="1" t="n">
        <v>45659</v>
      </c>
      <c r="D91" t="inlineStr">
        <is>
          <t>DALARNAS LÄN</t>
        </is>
      </c>
      <c r="E91" t="inlineStr">
        <is>
          <t>HEDEMORA</t>
        </is>
      </c>
      <c r="F91" t="inlineStr">
        <is>
          <t>Bergvik skog väst AB</t>
        </is>
      </c>
      <c r="G91" t="n">
        <v>9.1</v>
      </c>
      <c r="H91" t="n">
        <v>0</v>
      </c>
      <c r="I91" t="n">
        <v>1</v>
      </c>
      <c r="J91" t="n">
        <v>0</v>
      </c>
      <c r="K91" t="n">
        <v>0</v>
      </c>
      <c r="L91" t="n">
        <v>0</v>
      </c>
      <c r="M91" t="n">
        <v>0</v>
      </c>
      <c r="N91" t="n">
        <v>0</v>
      </c>
      <c r="O91" t="n">
        <v>0</v>
      </c>
      <c r="P91" t="n">
        <v>0</v>
      </c>
      <c r="Q91" t="n">
        <v>1</v>
      </c>
      <c r="R91" s="2" t="inlineStr">
        <is>
          <t>Ögonpyrola</t>
        </is>
      </c>
      <c r="S91">
        <f>HYPERLINK("https://klasma.github.io/Logging_2083/artfynd/A 41477-2023 artfynd.xlsx", "A 41477-2023")</f>
        <v/>
      </c>
      <c r="T91">
        <f>HYPERLINK("https://klasma.github.io/Logging_2083/kartor/A 41477-2023 karta.png", "A 41477-2023")</f>
        <v/>
      </c>
      <c r="V91">
        <f>HYPERLINK("https://klasma.github.io/Logging_2083/klagomål/A 41477-2023 FSC-klagomål.docx", "A 41477-2023")</f>
        <v/>
      </c>
      <c r="W91">
        <f>HYPERLINK("https://klasma.github.io/Logging_2083/klagomålsmail/A 41477-2023 FSC-klagomål mail.docx", "A 41477-2023")</f>
        <v/>
      </c>
      <c r="X91">
        <f>HYPERLINK("https://klasma.github.io/Logging_2083/tillsyn/A 41477-2023 tillsynsbegäran.docx", "A 41477-2023")</f>
        <v/>
      </c>
      <c r="Y91">
        <f>HYPERLINK("https://klasma.github.io/Logging_2083/tillsynsmail/A 41477-2023 tillsynsbegäran mail.docx", "A 41477-2023")</f>
        <v/>
      </c>
    </row>
    <row r="92" ht="15" customHeight="1">
      <c r="A92" t="inlineStr">
        <is>
          <t>A 41078-2023</t>
        </is>
      </c>
      <c r="B92" s="1" t="n">
        <v>45173</v>
      </c>
      <c r="C92" s="1" t="n">
        <v>45659</v>
      </c>
      <c r="D92" t="inlineStr">
        <is>
          <t>DALARNAS LÄN</t>
        </is>
      </c>
      <c r="E92" t="inlineStr">
        <is>
          <t>HEDEMORA</t>
        </is>
      </c>
      <c r="G92" t="n">
        <v>10.3</v>
      </c>
      <c r="H92" t="n">
        <v>0</v>
      </c>
      <c r="I92" t="n">
        <v>1</v>
      </c>
      <c r="J92" t="n">
        <v>0</v>
      </c>
      <c r="K92" t="n">
        <v>0</v>
      </c>
      <c r="L92" t="n">
        <v>0</v>
      </c>
      <c r="M92" t="n">
        <v>0</v>
      </c>
      <c r="N92" t="n">
        <v>0</v>
      </c>
      <c r="O92" t="n">
        <v>0</v>
      </c>
      <c r="P92" t="n">
        <v>0</v>
      </c>
      <c r="Q92" t="n">
        <v>1</v>
      </c>
      <c r="R92" s="2" t="inlineStr">
        <is>
          <t>Bronshjon</t>
        </is>
      </c>
      <c r="S92">
        <f>HYPERLINK("https://klasma.github.io/Logging_2083/artfynd/A 41078-2023 artfynd.xlsx", "A 41078-2023")</f>
        <v/>
      </c>
      <c r="T92">
        <f>HYPERLINK("https://klasma.github.io/Logging_2083/kartor/A 41078-2023 karta.png", "A 41078-2023")</f>
        <v/>
      </c>
      <c r="V92">
        <f>HYPERLINK("https://klasma.github.io/Logging_2083/klagomål/A 41078-2023 FSC-klagomål.docx", "A 41078-2023")</f>
        <v/>
      </c>
      <c r="W92">
        <f>HYPERLINK("https://klasma.github.io/Logging_2083/klagomålsmail/A 41078-2023 FSC-klagomål mail.docx", "A 41078-2023")</f>
        <v/>
      </c>
      <c r="X92">
        <f>HYPERLINK("https://klasma.github.io/Logging_2083/tillsyn/A 41078-2023 tillsynsbegäran.docx", "A 41078-2023")</f>
        <v/>
      </c>
      <c r="Y92">
        <f>HYPERLINK("https://klasma.github.io/Logging_2083/tillsynsmail/A 41078-2023 tillsynsbegäran mail.docx", "A 41078-2023")</f>
        <v/>
      </c>
    </row>
    <row r="93" ht="15" customHeight="1">
      <c r="A93" t="inlineStr">
        <is>
          <t>A 53031-2023</t>
        </is>
      </c>
      <c r="B93" s="1" t="n">
        <v>45226</v>
      </c>
      <c r="C93" s="1" t="n">
        <v>45659</v>
      </c>
      <c r="D93" t="inlineStr">
        <is>
          <t>DALARNAS LÄN</t>
        </is>
      </c>
      <c r="E93" t="inlineStr">
        <is>
          <t>HEDEMORA</t>
        </is>
      </c>
      <c r="F93" t="inlineStr">
        <is>
          <t>Sveaskog</t>
        </is>
      </c>
      <c r="G93" t="n">
        <v>6.9</v>
      </c>
      <c r="H93" t="n">
        <v>1</v>
      </c>
      <c r="I93" t="n">
        <v>0</v>
      </c>
      <c r="J93" t="n">
        <v>1</v>
      </c>
      <c r="K93" t="n">
        <v>0</v>
      </c>
      <c r="L93" t="n">
        <v>0</v>
      </c>
      <c r="M93" t="n">
        <v>0</v>
      </c>
      <c r="N93" t="n">
        <v>0</v>
      </c>
      <c r="O93" t="n">
        <v>1</v>
      </c>
      <c r="P93" t="n">
        <v>0</v>
      </c>
      <c r="Q93" t="n">
        <v>1</v>
      </c>
      <c r="R93" s="2" t="inlineStr">
        <is>
          <t>Talltita</t>
        </is>
      </c>
      <c r="S93">
        <f>HYPERLINK("https://klasma.github.io/Logging_2083/artfynd/A 53031-2023 artfynd.xlsx", "A 53031-2023")</f>
        <v/>
      </c>
      <c r="T93">
        <f>HYPERLINK("https://klasma.github.io/Logging_2083/kartor/A 53031-2023 karta.png", "A 53031-2023")</f>
        <v/>
      </c>
      <c r="V93">
        <f>HYPERLINK("https://klasma.github.io/Logging_2083/klagomål/A 53031-2023 FSC-klagomål.docx", "A 53031-2023")</f>
        <v/>
      </c>
      <c r="W93">
        <f>HYPERLINK("https://klasma.github.io/Logging_2083/klagomålsmail/A 53031-2023 FSC-klagomål mail.docx", "A 53031-2023")</f>
        <v/>
      </c>
      <c r="X93">
        <f>HYPERLINK("https://klasma.github.io/Logging_2083/tillsyn/A 53031-2023 tillsynsbegäran.docx", "A 53031-2023")</f>
        <v/>
      </c>
      <c r="Y93">
        <f>HYPERLINK("https://klasma.github.io/Logging_2083/tillsynsmail/A 53031-2023 tillsynsbegäran mail.docx", "A 53031-2023")</f>
        <v/>
      </c>
      <c r="Z93">
        <f>HYPERLINK("https://klasma.github.io/Logging_2083/fåglar/A 53031-2023 prioriterade fågelarter.docx", "A 53031-2023")</f>
        <v/>
      </c>
    </row>
    <row r="94" ht="15" customHeight="1">
      <c r="A94" t="inlineStr">
        <is>
          <t>A 59376-2023</t>
        </is>
      </c>
      <c r="B94" s="1" t="n">
        <v>45253</v>
      </c>
      <c r="C94" s="1" t="n">
        <v>45659</v>
      </c>
      <c r="D94" t="inlineStr">
        <is>
          <t>DALARNAS LÄN</t>
        </is>
      </c>
      <c r="E94" t="inlineStr">
        <is>
          <t>HEDEMORA</t>
        </is>
      </c>
      <c r="F94" t="inlineStr">
        <is>
          <t>Sveaskog</t>
        </is>
      </c>
      <c r="G94" t="n">
        <v>2.4</v>
      </c>
      <c r="H94" t="n">
        <v>1</v>
      </c>
      <c r="I94" t="n">
        <v>0</v>
      </c>
      <c r="J94" t="n">
        <v>1</v>
      </c>
      <c r="K94" t="n">
        <v>0</v>
      </c>
      <c r="L94" t="n">
        <v>0</v>
      </c>
      <c r="M94" t="n">
        <v>0</v>
      </c>
      <c r="N94" t="n">
        <v>0</v>
      </c>
      <c r="O94" t="n">
        <v>1</v>
      </c>
      <c r="P94" t="n">
        <v>0</v>
      </c>
      <c r="Q94" t="n">
        <v>1</v>
      </c>
      <c r="R94" s="2" t="inlineStr">
        <is>
          <t>Spillkråka</t>
        </is>
      </c>
      <c r="S94">
        <f>HYPERLINK("https://klasma.github.io/Logging_2083/artfynd/A 59376-2023 artfynd.xlsx", "A 59376-2023")</f>
        <v/>
      </c>
      <c r="T94">
        <f>HYPERLINK("https://klasma.github.io/Logging_2083/kartor/A 59376-2023 karta.png", "A 59376-2023")</f>
        <v/>
      </c>
      <c r="V94">
        <f>HYPERLINK("https://klasma.github.io/Logging_2083/klagomål/A 59376-2023 FSC-klagomål.docx", "A 59376-2023")</f>
        <v/>
      </c>
      <c r="W94">
        <f>HYPERLINK("https://klasma.github.io/Logging_2083/klagomålsmail/A 59376-2023 FSC-klagomål mail.docx", "A 59376-2023")</f>
        <v/>
      </c>
      <c r="X94">
        <f>HYPERLINK("https://klasma.github.io/Logging_2083/tillsyn/A 59376-2023 tillsynsbegäran.docx", "A 59376-2023")</f>
        <v/>
      </c>
      <c r="Y94">
        <f>HYPERLINK("https://klasma.github.io/Logging_2083/tillsynsmail/A 59376-2023 tillsynsbegäran mail.docx", "A 59376-2023")</f>
        <v/>
      </c>
      <c r="Z94">
        <f>HYPERLINK("https://klasma.github.io/Logging_2083/fåglar/A 59376-2023 prioriterade fågelarter.docx", "A 59376-2023")</f>
        <v/>
      </c>
    </row>
    <row r="95" ht="15" customHeight="1">
      <c r="A95" t="inlineStr">
        <is>
          <t>A 59377-2023</t>
        </is>
      </c>
      <c r="B95" s="1" t="n">
        <v>45253</v>
      </c>
      <c r="C95" s="1" t="n">
        <v>45659</v>
      </c>
      <c r="D95" t="inlineStr">
        <is>
          <t>DALARNAS LÄN</t>
        </is>
      </c>
      <c r="E95" t="inlineStr">
        <is>
          <t>HEDEMORA</t>
        </is>
      </c>
      <c r="F95" t="inlineStr">
        <is>
          <t>Sveaskog</t>
        </is>
      </c>
      <c r="G95" t="n">
        <v>4.6</v>
      </c>
      <c r="H95" t="n">
        <v>0</v>
      </c>
      <c r="I95" t="n">
        <v>0</v>
      </c>
      <c r="J95" t="n">
        <v>1</v>
      </c>
      <c r="K95" t="n">
        <v>0</v>
      </c>
      <c r="L95" t="n">
        <v>0</v>
      </c>
      <c r="M95" t="n">
        <v>0</v>
      </c>
      <c r="N95" t="n">
        <v>0</v>
      </c>
      <c r="O95" t="n">
        <v>1</v>
      </c>
      <c r="P95" t="n">
        <v>0</v>
      </c>
      <c r="Q95" t="n">
        <v>1</v>
      </c>
      <c r="R95" s="2" t="inlineStr">
        <is>
          <t>Ullticka</t>
        </is>
      </c>
      <c r="S95">
        <f>HYPERLINK("https://klasma.github.io/Logging_2083/artfynd/A 59377-2023 artfynd.xlsx", "A 59377-2023")</f>
        <v/>
      </c>
      <c r="T95">
        <f>HYPERLINK("https://klasma.github.io/Logging_2083/kartor/A 59377-2023 karta.png", "A 59377-2023")</f>
        <v/>
      </c>
      <c r="V95">
        <f>HYPERLINK("https://klasma.github.io/Logging_2083/klagomål/A 59377-2023 FSC-klagomål.docx", "A 59377-2023")</f>
        <v/>
      </c>
      <c r="W95">
        <f>HYPERLINK("https://klasma.github.io/Logging_2083/klagomålsmail/A 59377-2023 FSC-klagomål mail.docx", "A 59377-2023")</f>
        <v/>
      </c>
      <c r="X95">
        <f>HYPERLINK("https://klasma.github.io/Logging_2083/tillsyn/A 59377-2023 tillsynsbegäran.docx", "A 59377-2023")</f>
        <v/>
      </c>
      <c r="Y95">
        <f>HYPERLINK("https://klasma.github.io/Logging_2083/tillsynsmail/A 59377-2023 tillsynsbegäran mail.docx", "A 59377-2023")</f>
        <v/>
      </c>
    </row>
    <row r="96" ht="15" customHeight="1">
      <c r="A96" t="inlineStr">
        <is>
          <t>A 59751-2023</t>
        </is>
      </c>
      <c r="B96" s="1" t="n">
        <v>45257</v>
      </c>
      <c r="C96" s="1" t="n">
        <v>45659</v>
      </c>
      <c r="D96" t="inlineStr">
        <is>
          <t>DALARNAS LÄN</t>
        </is>
      </c>
      <c r="E96" t="inlineStr">
        <is>
          <t>HEDEMORA</t>
        </is>
      </c>
      <c r="F96" t="inlineStr">
        <is>
          <t>Sveaskog</t>
        </is>
      </c>
      <c r="G96" t="n">
        <v>0.7</v>
      </c>
      <c r="H96" t="n">
        <v>0</v>
      </c>
      <c r="I96" t="n">
        <v>1</v>
      </c>
      <c r="J96" t="n">
        <v>0</v>
      </c>
      <c r="K96" t="n">
        <v>0</v>
      </c>
      <c r="L96" t="n">
        <v>0</v>
      </c>
      <c r="M96" t="n">
        <v>0</v>
      </c>
      <c r="N96" t="n">
        <v>0</v>
      </c>
      <c r="O96" t="n">
        <v>0</v>
      </c>
      <c r="P96" t="n">
        <v>0</v>
      </c>
      <c r="Q96" t="n">
        <v>1</v>
      </c>
      <c r="R96" s="2" t="inlineStr">
        <is>
          <t>Svavelriska</t>
        </is>
      </c>
      <c r="S96">
        <f>HYPERLINK("https://klasma.github.io/Logging_2083/artfynd/A 59751-2023 artfynd.xlsx", "A 59751-2023")</f>
        <v/>
      </c>
      <c r="T96">
        <f>HYPERLINK("https://klasma.github.io/Logging_2083/kartor/A 59751-2023 karta.png", "A 59751-2023")</f>
        <v/>
      </c>
      <c r="V96">
        <f>HYPERLINK("https://klasma.github.io/Logging_2083/klagomål/A 59751-2023 FSC-klagomål.docx", "A 59751-2023")</f>
        <v/>
      </c>
      <c r="W96">
        <f>HYPERLINK("https://klasma.github.io/Logging_2083/klagomålsmail/A 59751-2023 FSC-klagomål mail.docx", "A 59751-2023")</f>
        <v/>
      </c>
      <c r="X96">
        <f>HYPERLINK("https://klasma.github.io/Logging_2083/tillsyn/A 59751-2023 tillsynsbegäran.docx", "A 59751-2023")</f>
        <v/>
      </c>
      <c r="Y96">
        <f>HYPERLINK("https://klasma.github.io/Logging_2083/tillsynsmail/A 59751-2023 tillsynsbegäran mail.docx", "A 59751-2023")</f>
        <v/>
      </c>
    </row>
    <row r="97" ht="15" customHeight="1">
      <c r="A97" t="inlineStr">
        <is>
          <t>A 63542-2023</t>
        </is>
      </c>
      <c r="B97" s="1" t="n">
        <v>45275</v>
      </c>
      <c r="C97" s="1" t="n">
        <v>45659</v>
      </c>
      <c r="D97" t="inlineStr">
        <is>
          <t>DALARNAS LÄN</t>
        </is>
      </c>
      <c r="E97" t="inlineStr">
        <is>
          <t>HEDEMORA</t>
        </is>
      </c>
      <c r="G97" t="n">
        <v>2.1</v>
      </c>
      <c r="H97" t="n">
        <v>1</v>
      </c>
      <c r="I97" t="n">
        <v>0</v>
      </c>
      <c r="J97" t="n">
        <v>1</v>
      </c>
      <c r="K97" t="n">
        <v>0</v>
      </c>
      <c r="L97" t="n">
        <v>0</v>
      </c>
      <c r="M97" t="n">
        <v>0</v>
      </c>
      <c r="N97" t="n">
        <v>0</v>
      </c>
      <c r="O97" t="n">
        <v>1</v>
      </c>
      <c r="P97" t="n">
        <v>0</v>
      </c>
      <c r="Q97" t="n">
        <v>1</v>
      </c>
      <c r="R97" s="2" t="inlineStr">
        <is>
          <t>Spillkråka</t>
        </is>
      </c>
      <c r="S97">
        <f>HYPERLINK("https://klasma.github.io/Logging_2083/artfynd/A 63542-2023 artfynd.xlsx", "A 63542-2023")</f>
        <v/>
      </c>
      <c r="T97">
        <f>HYPERLINK("https://klasma.github.io/Logging_2083/kartor/A 63542-2023 karta.png", "A 63542-2023")</f>
        <v/>
      </c>
      <c r="V97">
        <f>HYPERLINK("https://klasma.github.io/Logging_2083/klagomål/A 63542-2023 FSC-klagomål.docx", "A 63542-2023")</f>
        <v/>
      </c>
      <c r="W97">
        <f>HYPERLINK("https://klasma.github.io/Logging_2083/klagomålsmail/A 63542-2023 FSC-klagomål mail.docx", "A 63542-2023")</f>
        <v/>
      </c>
      <c r="X97">
        <f>HYPERLINK("https://klasma.github.io/Logging_2083/tillsyn/A 63542-2023 tillsynsbegäran.docx", "A 63542-2023")</f>
        <v/>
      </c>
      <c r="Y97">
        <f>HYPERLINK("https://klasma.github.io/Logging_2083/tillsynsmail/A 63542-2023 tillsynsbegäran mail.docx", "A 63542-2023")</f>
        <v/>
      </c>
      <c r="Z97">
        <f>HYPERLINK("https://klasma.github.io/Logging_2083/fåglar/A 63542-2023 prioriterade fågelarter.docx", "A 63542-2023")</f>
        <v/>
      </c>
    </row>
    <row r="98" ht="15" customHeight="1">
      <c r="A98" t="inlineStr">
        <is>
          <t>A 21535-2024</t>
        </is>
      </c>
      <c r="B98" s="1" t="n">
        <v>45441</v>
      </c>
      <c r="C98" s="1" t="n">
        <v>45659</v>
      </c>
      <c r="D98" t="inlineStr">
        <is>
          <t>DALARNAS LÄN</t>
        </is>
      </c>
      <c r="E98" t="inlineStr">
        <is>
          <t>HEDEMORA</t>
        </is>
      </c>
      <c r="F98" t="inlineStr">
        <is>
          <t>Sveaskog</t>
        </is>
      </c>
      <c r="G98" t="n">
        <v>3.4</v>
      </c>
      <c r="H98" t="n">
        <v>1</v>
      </c>
      <c r="I98" t="n">
        <v>0</v>
      </c>
      <c r="J98" t="n">
        <v>0</v>
      </c>
      <c r="K98" t="n">
        <v>1</v>
      </c>
      <c r="L98" t="n">
        <v>0</v>
      </c>
      <c r="M98" t="n">
        <v>0</v>
      </c>
      <c r="N98" t="n">
        <v>0</v>
      </c>
      <c r="O98" t="n">
        <v>1</v>
      </c>
      <c r="P98" t="n">
        <v>1</v>
      </c>
      <c r="Q98" t="n">
        <v>1</v>
      </c>
      <c r="R98" s="2" t="inlineStr">
        <is>
          <t>Knärot</t>
        </is>
      </c>
      <c r="S98">
        <f>HYPERLINK("https://klasma.github.io/Logging_2083/artfynd/A 21535-2024 artfynd.xlsx", "A 21535-2024")</f>
        <v/>
      </c>
      <c r="T98">
        <f>HYPERLINK("https://klasma.github.io/Logging_2083/kartor/A 21535-2024 karta.png", "A 21535-2024")</f>
        <v/>
      </c>
      <c r="U98">
        <f>HYPERLINK("https://klasma.github.io/Logging_2083/knärot/A 21535-2024 karta knärot.png", "A 21535-2024")</f>
        <v/>
      </c>
      <c r="V98">
        <f>HYPERLINK("https://klasma.github.io/Logging_2083/klagomål/A 21535-2024 FSC-klagomål.docx", "A 21535-2024")</f>
        <v/>
      </c>
      <c r="W98">
        <f>HYPERLINK("https://klasma.github.io/Logging_2083/klagomålsmail/A 21535-2024 FSC-klagomål mail.docx", "A 21535-2024")</f>
        <v/>
      </c>
      <c r="X98">
        <f>HYPERLINK("https://klasma.github.io/Logging_2083/tillsyn/A 21535-2024 tillsynsbegäran.docx", "A 21535-2024")</f>
        <v/>
      </c>
      <c r="Y98">
        <f>HYPERLINK("https://klasma.github.io/Logging_2083/tillsynsmail/A 21535-2024 tillsynsbegäran mail.docx", "A 21535-2024")</f>
        <v/>
      </c>
    </row>
    <row r="99" ht="15" customHeight="1">
      <c r="A99" t="inlineStr">
        <is>
          <t>A 42614-2024</t>
        </is>
      </c>
      <c r="B99" s="1" t="n">
        <v>45565</v>
      </c>
      <c r="C99" s="1" t="n">
        <v>45659</v>
      </c>
      <c r="D99" t="inlineStr">
        <is>
          <t>DALARNAS LÄN</t>
        </is>
      </c>
      <c r="E99" t="inlineStr">
        <is>
          <t>HEDEMORA</t>
        </is>
      </c>
      <c r="F99" t="inlineStr">
        <is>
          <t>Sveaskog</t>
        </is>
      </c>
      <c r="G99" t="n">
        <v>3</v>
      </c>
      <c r="H99" t="n">
        <v>1</v>
      </c>
      <c r="I99" t="n">
        <v>0</v>
      </c>
      <c r="J99" t="n">
        <v>1</v>
      </c>
      <c r="K99" t="n">
        <v>0</v>
      </c>
      <c r="L99" t="n">
        <v>0</v>
      </c>
      <c r="M99" t="n">
        <v>0</v>
      </c>
      <c r="N99" t="n">
        <v>0</v>
      </c>
      <c r="O99" t="n">
        <v>1</v>
      </c>
      <c r="P99" t="n">
        <v>0</v>
      </c>
      <c r="Q99" t="n">
        <v>1</v>
      </c>
      <c r="R99" s="2" t="inlineStr">
        <is>
          <t>Talltita</t>
        </is>
      </c>
      <c r="S99">
        <f>HYPERLINK("https://klasma.github.io/Logging_2083/artfynd/A 42614-2024 artfynd.xlsx", "A 42614-2024")</f>
        <v/>
      </c>
      <c r="T99">
        <f>HYPERLINK("https://klasma.github.io/Logging_2083/kartor/A 42614-2024 karta.png", "A 42614-2024")</f>
        <v/>
      </c>
      <c r="V99">
        <f>HYPERLINK("https://klasma.github.io/Logging_2083/klagomål/A 42614-2024 FSC-klagomål.docx", "A 42614-2024")</f>
        <v/>
      </c>
      <c r="W99">
        <f>HYPERLINK("https://klasma.github.io/Logging_2083/klagomålsmail/A 42614-2024 FSC-klagomål mail.docx", "A 42614-2024")</f>
        <v/>
      </c>
      <c r="X99">
        <f>HYPERLINK("https://klasma.github.io/Logging_2083/tillsyn/A 42614-2024 tillsynsbegäran.docx", "A 42614-2024")</f>
        <v/>
      </c>
      <c r="Y99">
        <f>HYPERLINK("https://klasma.github.io/Logging_2083/tillsynsmail/A 42614-2024 tillsynsbegäran mail.docx", "A 42614-2024")</f>
        <v/>
      </c>
      <c r="Z99">
        <f>HYPERLINK("https://klasma.github.io/Logging_2083/fåglar/A 42614-2024 prioriterade fågelarter.docx", "A 42614-2024")</f>
        <v/>
      </c>
    </row>
    <row r="100" ht="15" customHeight="1">
      <c r="A100" t="inlineStr">
        <is>
          <t>A 48323-2024</t>
        </is>
      </c>
      <c r="B100" s="1" t="n">
        <v>45590</v>
      </c>
      <c r="C100" s="1" t="n">
        <v>45659</v>
      </c>
      <c r="D100" t="inlineStr">
        <is>
          <t>DALARNAS LÄN</t>
        </is>
      </c>
      <c r="E100" t="inlineStr">
        <is>
          <t>HEDEMORA</t>
        </is>
      </c>
      <c r="F100" t="inlineStr">
        <is>
          <t>Sveaskog</t>
        </is>
      </c>
      <c r="G100" t="n">
        <v>3.8</v>
      </c>
      <c r="H100" t="n">
        <v>1</v>
      </c>
      <c r="I100" t="n">
        <v>0</v>
      </c>
      <c r="J100" t="n">
        <v>0</v>
      </c>
      <c r="K100" t="n">
        <v>0</v>
      </c>
      <c r="L100" t="n">
        <v>0</v>
      </c>
      <c r="M100" t="n">
        <v>0</v>
      </c>
      <c r="N100" t="n">
        <v>0</v>
      </c>
      <c r="O100" t="n">
        <v>0</v>
      </c>
      <c r="P100" t="n">
        <v>0</v>
      </c>
      <c r="Q100" t="n">
        <v>1</v>
      </c>
      <c r="R100" s="2" t="inlineStr">
        <is>
          <t>Blåsippa</t>
        </is>
      </c>
      <c r="S100">
        <f>HYPERLINK("https://klasma.github.io/Logging_2083/artfynd/A 48323-2024 artfynd.xlsx", "A 48323-2024")</f>
        <v/>
      </c>
      <c r="T100">
        <f>HYPERLINK("https://klasma.github.io/Logging_2083/kartor/A 48323-2024 karta.png", "A 48323-2024")</f>
        <v/>
      </c>
      <c r="V100">
        <f>HYPERLINK("https://klasma.github.io/Logging_2083/klagomål/A 48323-2024 FSC-klagomål.docx", "A 48323-2024")</f>
        <v/>
      </c>
      <c r="W100">
        <f>HYPERLINK("https://klasma.github.io/Logging_2083/klagomålsmail/A 48323-2024 FSC-klagomål mail.docx", "A 48323-2024")</f>
        <v/>
      </c>
      <c r="X100">
        <f>HYPERLINK("https://klasma.github.io/Logging_2083/tillsyn/A 48323-2024 tillsynsbegäran.docx", "A 48323-2024")</f>
        <v/>
      </c>
      <c r="Y100">
        <f>HYPERLINK("https://klasma.github.io/Logging_2083/tillsynsmail/A 48323-2024 tillsynsbegäran mail.docx", "A 48323-2024")</f>
        <v/>
      </c>
    </row>
    <row r="101" ht="15" customHeight="1">
      <c r="A101" t="inlineStr">
        <is>
          <t>A 52941-2024</t>
        </is>
      </c>
      <c r="B101" s="1" t="n">
        <v>45610</v>
      </c>
      <c r="C101" s="1" t="n">
        <v>45659</v>
      </c>
      <c r="D101" t="inlineStr">
        <is>
          <t>DALARNAS LÄN</t>
        </is>
      </c>
      <c r="E101" t="inlineStr">
        <is>
          <t>HEDEMORA</t>
        </is>
      </c>
      <c r="F101" t="inlineStr">
        <is>
          <t>Sveaskog</t>
        </is>
      </c>
      <c r="G101" t="n">
        <v>18.3</v>
      </c>
      <c r="H101" t="n">
        <v>1</v>
      </c>
      <c r="I101" t="n">
        <v>0</v>
      </c>
      <c r="J101" t="n">
        <v>0</v>
      </c>
      <c r="K101" t="n">
        <v>1</v>
      </c>
      <c r="L101" t="n">
        <v>0</v>
      </c>
      <c r="M101" t="n">
        <v>0</v>
      </c>
      <c r="N101" t="n">
        <v>0</v>
      </c>
      <c r="O101" t="n">
        <v>1</v>
      </c>
      <c r="P101" t="n">
        <v>1</v>
      </c>
      <c r="Q101" t="n">
        <v>1</v>
      </c>
      <c r="R101" s="2" t="inlineStr">
        <is>
          <t>Knärot</t>
        </is>
      </c>
      <c r="S101">
        <f>HYPERLINK("https://klasma.github.io/Logging_2083/artfynd/A 52941-2024 artfynd.xlsx", "A 52941-2024")</f>
        <v/>
      </c>
      <c r="T101">
        <f>HYPERLINK("https://klasma.github.io/Logging_2083/kartor/A 52941-2024 karta.png", "A 52941-2024")</f>
        <v/>
      </c>
      <c r="U101">
        <f>HYPERLINK("https://klasma.github.io/Logging_2083/knärot/A 52941-2024 karta knärot.png", "A 52941-2024")</f>
        <v/>
      </c>
      <c r="V101">
        <f>HYPERLINK("https://klasma.github.io/Logging_2083/klagomål/A 52941-2024 FSC-klagomål.docx", "A 52941-2024")</f>
        <v/>
      </c>
      <c r="W101">
        <f>HYPERLINK("https://klasma.github.io/Logging_2083/klagomålsmail/A 52941-2024 FSC-klagomål mail.docx", "A 52941-2024")</f>
        <v/>
      </c>
      <c r="X101">
        <f>HYPERLINK("https://klasma.github.io/Logging_2083/tillsyn/A 52941-2024 tillsynsbegäran.docx", "A 52941-2024")</f>
        <v/>
      </c>
      <c r="Y101">
        <f>HYPERLINK("https://klasma.github.io/Logging_2083/tillsynsmail/A 52941-2024 tillsynsbegäran mail.docx", "A 52941-2024")</f>
        <v/>
      </c>
    </row>
    <row r="102" ht="15" customHeight="1">
      <c r="A102" t="inlineStr">
        <is>
          <t>A 19016-2019</t>
        </is>
      </c>
      <c r="B102" s="1" t="n">
        <v>43563</v>
      </c>
      <c r="C102" s="1" t="n">
        <v>45659</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21235-2019</t>
        </is>
      </c>
      <c r="B103" s="1" t="n">
        <v>43579</v>
      </c>
      <c r="C103" s="1" t="n">
        <v>45659</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21212-2019</t>
        </is>
      </c>
      <c r="B104" s="1" t="n">
        <v>43579</v>
      </c>
      <c r="C104" s="1" t="n">
        <v>45659</v>
      </c>
      <c r="D104" t="inlineStr">
        <is>
          <t>DALARNAS LÄN</t>
        </is>
      </c>
      <c r="E104" t="inlineStr">
        <is>
          <t>HEDEMORA</t>
        </is>
      </c>
      <c r="G104" t="n">
        <v>0.9</v>
      </c>
      <c r="H104" t="n">
        <v>0</v>
      </c>
      <c r="I104" t="n">
        <v>0</v>
      </c>
      <c r="J104" t="n">
        <v>0</v>
      </c>
      <c r="K104" t="n">
        <v>0</v>
      </c>
      <c r="L104" t="n">
        <v>0</v>
      </c>
      <c r="M104" t="n">
        <v>0</v>
      </c>
      <c r="N104" t="n">
        <v>0</v>
      </c>
      <c r="O104" t="n">
        <v>0</v>
      </c>
      <c r="P104" t="n">
        <v>0</v>
      </c>
      <c r="Q104" t="n">
        <v>0</v>
      </c>
      <c r="R104" s="2" t="inlineStr"/>
    </row>
    <row r="105" ht="15" customHeight="1">
      <c r="A105" t="inlineStr">
        <is>
          <t>A 22494-2019</t>
        </is>
      </c>
      <c r="B105" s="1" t="n">
        <v>43587</v>
      </c>
      <c r="C105" s="1" t="n">
        <v>45659</v>
      </c>
      <c r="D105" t="inlineStr">
        <is>
          <t>DALARNAS LÄN</t>
        </is>
      </c>
      <c r="E105" t="inlineStr">
        <is>
          <t>HEDEMORA</t>
        </is>
      </c>
      <c r="G105" t="n">
        <v>5.3</v>
      </c>
      <c r="H105" t="n">
        <v>0</v>
      </c>
      <c r="I105" t="n">
        <v>0</v>
      </c>
      <c r="J105" t="n">
        <v>0</v>
      </c>
      <c r="K105" t="n">
        <v>0</v>
      </c>
      <c r="L105" t="n">
        <v>0</v>
      </c>
      <c r="M105" t="n">
        <v>0</v>
      </c>
      <c r="N105" t="n">
        <v>0</v>
      </c>
      <c r="O105" t="n">
        <v>0</v>
      </c>
      <c r="P105" t="n">
        <v>0</v>
      </c>
      <c r="Q105" t="n">
        <v>0</v>
      </c>
      <c r="R105" s="2" t="inlineStr"/>
    </row>
    <row r="106" ht="15" customHeight="1">
      <c r="A106" t="inlineStr">
        <is>
          <t>A 22810-2019</t>
        </is>
      </c>
      <c r="B106" s="1" t="n">
        <v>43590</v>
      </c>
      <c r="C106" s="1" t="n">
        <v>45659</v>
      </c>
      <c r="D106" t="inlineStr">
        <is>
          <t>DALARNAS LÄN</t>
        </is>
      </c>
      <c r="E106" t="inlineStr">
        <is>
          <t>HEDEMORA</t>
        </is>
      </c>
      <c r="G106" t="n">
        <v>0.5</v>
      </c>
      <c r="H106" t="n">
        <v>0</v>
      </c>
      <c r="I106" t="n">
        <v>0</v>
      </c>
      <c r="J106" t="n">
        <v>0</v>
      </c>
      <c r="K106" t="n">
        <v>0</v>
      </c>
      <c r="L106" t="n">
        <v>0</v>
      </c>
      <c r="M106" t="n">
        <v>0</v>
      </c>
      <c r="N106" t="n">
        <v>0</v>
      </c>
      <c r="O106" t="n">
        <v>0</v>
      </c>
      <c r="P106" t="n">
        <v>0</v>
      </c>
      <c r="Q106" t="n">
        <v>0</v>
      </c>
      <c r="R106" s="2" t="inlineStr"/>
    </row>
    <row r="107" ht="15" customHeight="1">
      <c r="A107" t="inlineStr">
        <is>
          <t>A 23492-2019</t>
        </is>
      </c>
      <c r="B107" s="1" t="n">
        <v>43594</v>
      </c>
      <c r="C107" s="1" t="n">
        <v>45659</v>
      </c>
      <c r="D107" t="inlineStr">
        <is>
          <t>DALARNAS LÄN</t>
        </is>
      </c>
      <c r="E107" t="inlineStr">
        <is>
          <t>HEDEMORA</t>
        </is>
      </c>
      <c r="G107" t="n">
        <v>3.2</v>
      </c>
      <c r="H107" t="n">
        <v>0</v>
      </c>
      <c r="I107" t="n">
        <v>0</v>
      </c>
      <c r="J107" t="n">
        <v>0</v>
      </c>
      <c r="K107" t="n">
        <v>0</v>
      </c>
      <c r="L107" t="n">
        <v>0</v>
      </c>
      <c r="M107" t="n">
        <v>0</v>
      </c>
      <c r="N107" t="n">
        <v>0</v>
      </c>
      <c r="O107" t="n">
        <v>0</v>
      </c>
      <c r="P107" t="n">
        <v>0</v>
      </c>
      <c r="Q107" t="n">
        <v>0</v>
      </c>
      <c r="R107" s="2" t="inlineStr"/>
    </row>
    <row r="108" ht="15" customHeight="1">
      <c r="A108" t="inlineStr">
        <is>
          <t>A 23804-2019</t>
        </is>
      </c>
      <c r="B108" s="1" t="n">
        <v>43595</v>
      </c>
      <c r="C108" s="1" t="n">
        <v>45659</v>
      </c>
      <c r="D108" t="inlineStr">
        <is>
          <t>DALARNAS LÄN</t>
        </is>
      </c>
      <c r="E108" t="inlineStr">
        <is>
          <t>HEDEMORA</t>
        </is>
      </c>
      <c r="G108" t="n">
        <v>1.3</v>
      </c>
      <c r="H108" t="n">
        <v>0</v>
      </c>
      <c r="I108" t="n">
        <v>0</v>
      </c>
      <c r="J108" t="n">
        <v>0</v>
      </c>
      <c r="K108" t="n">
        <v>0</v>
      </c>
      <c r="L108" t="n">
        <v>0</v>
      </c>
      <c r="M108" t="n">
        <v>0</v>
      </c>
      <c r="N108" t="n">
        <v>0</v>
      </c>
      <c r="O108" t="n">
        <v>0</v>
      </c>
      <c r="P108" t="n">
        <v>0</v>
      </c>
      <c r="Q108" t="n">
        <v>0</v>
      </c>
      <c r="R108" s="2" t="inlineStr"/>
    </row>
    <row r="109" ht="15" customHeight="1">
      <c r="A109" t="inlineStr">
        <is>
          <t>A 23808-2019</t>
        </is>
      </c>
      <c r="B109" s="1" t="n">
        <v>43595</v>
      </c>
      <c r="C109" s="1" t="n">
        <v>45659</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24904-2019</t>
        </is>
      </c>
      <c r="B110" s="1" t="n">
        <v>43602</v>
      </c>
      <c r="C110" s="1" t="n">
        <v>45659</v>
      </c>
      <c r="D110" t="inlineStr">
        <is>
          <t>DALARNAS LÄN</t>
        </is>
      </c>
      <c r="E110" t="inlineStr">
        <is>
          <t>HEDEMORA</t>
        </is>
      </c>
      <c r="G110" t="n">
        <v>1.3</v>
      </c>
      <c r="H110" t="n">
        <v>0</v>
      </c>
      <c r="I110" t="n">
        <v>0</v>
      </c>
      <c r="J110" t="n">
        <v>0</v>
      </c>
      <c r="K110" t="n">
        <v>0</v>
      </c>
      <c r="L110" t="n">
        <v>0</v>
      </c>
      <c r="M110" t="n">
        <v>0</v>
      </c>
      <c r="N110" t="n">
        <v>0</v>
      </c>
      <c r="O110" t="n">
        <v>0</v>
      </c>
      <c r="P110" t="n">
        <v>0</v>
      </c>
      <c r="Q110" t="n">
        <v>0</v>
      </c>
      <c r="R110" s="2" t="inlineStr"/>
    </row>
    <row r="111" ht="15" customHeight="1">
      <c r="A111" t="inlineStr">
        <is>
          <t>A 26162-2019</t>
        </is>
      </c>
      <c r="B111" s="1" t="n">
        <v>43609</v>
      </c>
      <c r="C111" s="1" t="n">
        <v>45659</v>
      </c>
      <c r="D111" t="inlineStr">
        <is>
          <t>DALARNAS LÄN</t>
        </is>
      </c>
      <c r="E111" t="inlineStr">
        <is>
          <t>HEDEMORA</t>
        </is>
      </c>
      <c r="F111" t="inlineStr">
        <is>
          <t>Sveaskog</t>
        </is>
      </c>
      <c r="G111" t="n">
        <v>12.8</v>
      </c>
      <c r="H111" t="n">
        <v>0</v>
      </c>
      <c r="I111" t="n">
        <v>0</v>
      </c>
      <c r="J111" t="n">
        <v>0</v>
      </c>
      <c r="K111" t="n">
        <v>0</v>
      </c>
      <c r="L111" t="n">
        <v>0</v>
      </c>
      <c r="M111" t="n">
        <v>0</v>
      </c>
      <c r="N111" t="n">
        <v>0</v>
      </c>
      <c r="O111" t="n">
        <v>0</v>
      </c>
      <c r="P111" t="n">
        <v>0</v>
      </c>
      <c r="Q111" t="n">
        <v>0</v>
      </c>
      <c r="R111" s="2" t="inlineStr"/>
    </row>
    <row r="112" ht="15" customHeight="1">
      <c r="A112" t="inlineStr">
        <is>
          <t>A 26167-2019</t>
        </is>
      </c>
      <c r="B112" s="1" t="n">
        <v>43609</v>
      </c>
      <c r="C112" s="1" t="n">
        <v>45659</v>
      </c>
      <c r="D112" t="inlineStr">
        <is>
          <t>DALARNAS LÄN</t>
        </is>
      </c>
      <c r="E112" t="inlineStr">
        <is>
          <t>HEDEMORA</t>
        </is>
      </c>
      <c r="F112" t="inlineStr">
        <is>
          <t>Sveaskog</t>
        </is>
      </c>
      <c r="G112" t="n">
        <v>7</v>
      </c>
      <c r="H112" t="n">
        <v>0</v>
      </c>
      <c r="I112" t="n">
        <v>0</v>
      </c>
      <c r="J112" t="n">
        <v>0</v>
      </c>
      <c r="K112" t="n">
        <v>0</v>
      </c>
      <c r="L112" t="n">
        <v>0</v>
      </c>
      <c r="M112" t="n">
        <v>0</v>
      </c>
      <c r="N112" t="n">
        <v>0</v>
      </c>
      <c r="O112" t="n">
        <v>0</v>
      </c>
      <c r="P112" t="n">
        <v>0</v>
      </c>
      <c r="Q112" t="n">
        <v>0</v>
      </c>
      <c r="R112" s="2" t="inlineStr"/>
    </row>
    <row r="113" ht="15" customHeight="1">
      <c r="A113" t="inlineStr">
        <is>
          <t>A 27393-2019</t>
        </is>
      </c>
      <c r="B113" s="1" t="n">
        <v>43616</v>
      </c>
      <c r="C113" s="1" t="n">
        <v>45659</v>
      </c>
      <c r="D113" t="inlineStr">
        <is>
          <t>DALARNAS LÄN</t>
        </is>
      </c>
      <c r="E113" t="inlineStr">
        <is>
          <t>HEDEMORA</t>
        </is>
      </c>
      <c r="G113" t="n">
        <v>1.4</v>
      </c>
      <c r="H113" t="n">
        <v>0</v>
      </c>
      <c r="I113" t="n">
        <v>0</v>
      </c>
      <c r="J113" t="n">
        <v>0</v>
      </c>
      <c r="K113" t="n">
        <v>0</v>
      </c>
      <c r="L113" t="n">
        <v>0</v>
      </c>
      <c r="M113" t="n">
        <v>0</v>
      </c>
      <c r="N113" t="n">
        <v>0</v>
      </c>
      <c r="O113" t="n">
        <v>0</v>
      </c>
      <c r="P113" t="n">
        <v>0</v>
      </c>
      <c r="Q113" t="n">
        <v>0</v>
      </c>
      <c r="R113" s="2" t="inlineStr"/>
    </row>
    <row r="114" ht="15" customHeight="1">
      <c r="A114" t="inlineStr">
        <is>
          <t>A 27949-2019</t>
        </is>
      </c>
      <c r="B114" s="1" t="n">
        <v>43620</v>
      </c>
      <c r="C114" s="1" t="n">
        <v>45659</v>
      </c>
      <c r="D114" t="inlineStr">
        <is>
          <t>DALARNAS LÄN</t>
        </is>
      </c>
      <c r="E114" t="inlineStr">
        <is>
          <t>HEDEMORA</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28696-2019</t>
        </is>
      </c>
      <c r="B115" s="1" t="n">
        <v>43627</v>
      </c>
      <c r="C115" s="1" t="n">
        <v>45659</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30497-2019</t>
        </is>
      </c>
      <c r="B116" s="1" t="n">
        <v>43635</v>
      </c>
      <c r="C116" s="1" t="n">
        <v>45659</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30687-2019</t>
        </is>
      </c>
      <c r="B117" s="1" t="n">
        <v>43636</v>
      </c>
      <c r="C117" s="1" t="n">
        <v>45659</v>
      </c>
      <c r="D117" t="inlineStr">
        <is>
          <t>DALARNAS LÄN</t>
        </is>
      </c>
      <c r="E117" t="inlineStr">
        <is>
          <t>HEDEMORA</t>
        </is>
      </c>
      <c r="G117" t="n">
        <v>0.6</v>
      </c>
      <c r="H117" t="n">
        <v>0</v>
      </c>
      <c r="I117" t="n">
        <v>0</v>
      </c>
      <c r="J117" t="n">
        <v>0</v>
      </c>
      <c r="K117" t="n">
        <v>0</v>
      </c>
      <c r="L117" t="n">
        <v>0</v>
      </c>
      <c r="M117" t="n">
        <v>0</v>
      </c>
      <c r="N117" t="n">
        <v>0</v>
      </c>
      <c r="O117" t="n">
        <v>0</v>
      </c>
      <c r="P117" t="n">
        <v>0</v>
      </c>
      <c r="Q117" t="n">
        <v>0</v>
      </c>
      <c r="R117" s="2" t="inlineStr"/>
    </row>
    <row r="118" ht="15" customHeight="1">
      <c r="A118" t="inlineStr">
        <is>
          <t>A 34027-2019</t>
        </is>
      </c>
      <c r="B118" s="1" t="n">
        <v>43654</v>
      </c>
      <c r="C118" s="1" t="n">
        <v>45659</v>
      </c>
      <c r="D118" t="inlineStr">
        <is>
          <t>DALARNAS LÄN</t>
        </is>
      </c>
      <c r="E118" t="inlineStr">
        <is>
          <t>HEDEMORA</t>
        </is>
      </c>
      <c r="G118" t="n">
        <v>3.7</v>
      </c>
      <c r="H118" t="n">
        <v>0</v>
      </c>
      <c r="I118" t="n">
        <v>0</v>
      </c>
      <c r="J118" t="n">
        <v>0</v>
      </c>
      <c r="K118" t="n">
        <v>0</v>
      </c>
      <c r="L118" t="n">
        <v>0</v>
      </c>
      <c r="M118" t="n">
        <v>0</v>
      </c>
      <c r="N118" t="n">
        <v>0</v>
      </c>
      <c r="O118" t="n">
        <v>0</v>
      </c>
      <c r="P118" t="n">
        <v>0</v>
      </c>
      <c r="Q118" t="n">
        <v>0</v>
      </c>
      <c r="R118" s="2" t="inlineStr"/>
    </row>
    <row r="119" ht="15" customHeight="1">
      <c r="A119" t="inlineStr">
        <is>
          <t>A 35855-2019</t>
        </is>
      </c>
      <c r="B119" s="1" t="n">
        <v>43665</v>
      </c>
      <c r="C119" s="1" t="n">
        <v>45659</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40919-2019</t>
        </is>
      </c>
      <c r="B120" s="1" t="n">
        <v>43697</v>
      </c>
      <c r="C120" s="1" t="n">
        <v>45659</v>
      </c>
      <c r="D120" t="inlineStr">
        <is>
          <t>DALARNAS LÄN</t>
        </is>
      </c>
      <c r="E120" t="inlineStr">
        <is>
          <t>HEDEMORA</t>
        </is>
      </c>
      <c r="G120" t="n">
        <v>2.1</v>
      </c>
      <c r="H120" t="n">
        <v>0</v>
      </c>
      <c r="I120" t="n">
        <v>0</v>
      </c>
      <c r="J120" t="n">
        <v>0</v>
      </c>
      <c r="K120" t="n">
        <v>0</v>
      </c>
      <c r="L120" t="n">
        <v>0</v>
      </c>
      <c r="M120" t="n">
        <v>0</v>
      </c>
      <c r="N120" t="n">
        <v>0</v>
      </c>
      <c r="O120" t="n">
        <v>0</v>
      </c>
      <c r="P120" t="n">
        <v>0</v>
      </c>
      <c r="Q120" t="n">
        <v>0</v>
      </c>
      <c r="R120" s="2" t="inlineStr"/>
    </row>
    <row r="121" ht="15" customHeight="1">
      <c r="A121" t="inlineStr">
        <is>
          <t>A 41399-2019</t>
        </is>
      </c>
      <c r="B121" s="1" t="n">
        <v>43698</v>
      </c>
      <c r="C121" s="1" t="n">
        <v>45659</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43530-2019</t>
        </is>
      </c>
      <c r="B122" s="1" t="n">
        <v>43706</v>
      </c>
      <c r="C122" s="1" t="n">
        <v>45659</v>
      </c>
      <c r="D122" t="inlineStr">
        <is>
          <t>DALARNAS LÄN</t>
        </is>
      </c>
      <c r="E122" t="inlineStr">
        <is>
          <t>HEDEMORA</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46775-2019</t>
        </is>
      </c>
      <c r="B123" s="1" t="n">
        <v>43720</v>
      </c>
      <c r="C123" s="1" t="n">
        <v>45659</v>
      </c>
      <c r="D123" t="inlineStr">
        <is>
          <t>DALARNAS LÄN</t>
        </is>
      </c>
      <c r="E123" t="inlineStr">
        <is>
          <t>HEDEMORA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46795-2019</t>
        </is>
      </c>
      <c r="B124" s="1" t="n">
        <v>43720</v>
      </c>
      <c r="C124" s="1" t="n">
        <v>45659</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47882-2019</t>
        </is>
      </c>
      <c r="B125" s="1" t="n">
        <v>43725</v>
      </c>
      <c r="C125" s="1" t="n">
        <v>45659</v>
      </c>
      <c r="D125" t="inlineStr">
        <is>
          <t>DALARNAS LÄN</t>
        </is>
      </c>
      <c r="E125" t="inlineStr">
        <is>
          <t>HEDEMORA</t>
        </is>
      </c>
      <c r="F125" t="inlineStr">
        <is>
          <t>Sveaskog</t>
        </is>
      </c>
      <c r="G125" t="n">
        <v>4.7</v>
      </c>
      <c r="H125" t="n">
        <v>0</v>
      </c>
      <c r="I125" t="n">
        <v>0</v>
      </c>
      <c r="J125" t="n">
        <v>0</v>
      </c>
      <c r="K125" t="n">
        <v>0</v>
      </c>
      <c r="L125" t="n">
        <v>0</v>
      </c>
      <c r="M125" t="n">
        <v>0</v>
      </c>
      <c r="N125" t="n">
        <v>0</v>
      </c>
      <c r="O125" t="n">
        <v>0</v>
      </c>
      <c r="P125" t="n">
        <v>0</v>
      </c>
      <c r="Q125" t="n">
        <v>0</v>
      </c>
      <c r="R125" s="2" t="inlineStr"/>
    </row>
    <row r="126" ht="15" customHeight="1">
      <c r="A126" t="inlineStr">
        <is>
          <t>A 49197-2019</t>
        </is>
      </c>
      <c r="B126" s="1" t="n">
        <v>43731</v>
      </c>
      <c r="C126" s="1" t="n">
        <v>45659</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49300-2019</t>
        </is>
      </c>
      <c r="B127" s="1" t="n">
        <v>43731</v>
      </c>
      <c r="C127" s="1" t="n">
        <v>45659</v>
      </c>
      <c r="D127" t="inlineStr">
        <is>
          <t>DALARNAS LÄN</t>
        </is>
      </c>
      <c r="E127" t="inlineStr">
        <is>
          <t>HEDEMORA</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49324-2019</t>
        </is>
      </c>
      <c r="B128" s="1" t="n">
        <v>43731</v>
      </c>
      <c r="C128" s="1" t="n">
        <v>45659</v>
      </c>
      <c r="D128" t="inlineStr">
        <is>
          <t>DALARNAS LÄN</t>
        </is>
      </c>
      <c r="E128" t="inlineStr">
        <is>
          <t>HEDEMORA</t>
        </is>
      </c>
      <c r="F128" t="inlineStr">
        <is>
          <t>Sveaskog</t>
        </is>
      </c>
      <c r="G128" t="n">
        <v>0.5</v>
      </c>
      <c r="H128" t="n">
        <v>0</v>
      </c>
      <c r="I128" t="n">
        <v>0</v>
      </c>
      <c r="J128" t="n">
        <v>0</v>
      </c>
      <c r="K128" t="n">
        <v>0</v>
      </c>
      <c r="L128" t="n">
        <v>0</v>
      </c>
      <c r="M128" t="n">
        <v>0</v>
      </c>
      <c r="N128" t="n">
        <v>0</v>
      </c>
      <c r="O128" t="n">
        <v>0</v>
      </c>
      <c r="P128" t="n">
        <v>0</v>
      </c>
      <c r="Q128" t="n">
        <v>0</v>
      </c>
      <c r="R128" s="2" t="inlineStr"/>
    </row>
    <row r="129" ht="15" customHeight="1">
      <c r="A129" t="inlineStr">
        <is>
          <t>A 50183-2019</t>
        </is>
      </c>
      <c r="B129" s="1" t="n">
        <v>43734</v>
      </c>
      <c r="C129" s="1" t="n">
        <v>45659</v>
      </c>
      <c r="D129" t="inlineStr">
        <is>
          <t>DALARNAS LÄN</t>
        </is>
      </c>
      <c r="E129" t="inlineStr">
        <is>
          <t>HEDEMORA</t>
        </is>
      </c>
      <c r="G129" t="n">
        <v>1.8</v>
      </c>
      <c r="H129" t="n">
        <v>0</v>
      </c>
      <c r="I129" t="n">
        <v>0</v>
      </c>
      <c r="J129" t="n">
        <v>0</v>
      </c>
      <c r="K129" t="n">
        <v>0</v>
      </c>
      <c r="L129" t="n">
        <v>0</v>
      </c>
      <c r="M129" t="n">
        <v>0</v>
      </c>
      <c r="N129" t="n">
        <v>0</v>
      </c>
      <c r="O129" t="n">
        <v>0</v>
      </c>
      <c r="P129" t="n">
        <v>0</v>
      </c>
      <c r="Q129" t="n">
        <v>0</v>
      </c>
      <c r="R129" s="2" t="inlineStr"/>
    </row>
    <row r="130" ht="15" customHeight="1">
      <c r="A130" t="inlineStr">
        <is>
          <t>A 51877-2019</t>
        </is>
      </c>
      <c r="B130" s="1" t="n">
        <v>43741</v>
      </c>
      <c r="C130" s="1" t="n">
        <v>45659</v>
      </c>
      <c r="D130" t="inlineStr">
        <is>
          <t>DALARNAS LÄN</t>
        </is>
      </c>
      <c r="E130" t="inlineStr">
        <is>
          <t>HEDEMORA</t>
        </is>
      </c>
      <c r="G130" t="n">
        <v>3.3</v>
      </c>
      <c r="H130" t="n">
        <v>0</v>
      </c>
      <c r="I130" t="n">
        <v>0</v>
      </c>
      <c r="J130" t="n">
        <v>0</v>
      </c>
      <c r="K130" t="n">
        <v>0</v>
      </c>
      <c r="L130" t="n">
        <v>0</v>
      </c>
      <c r="M130" t="n">
        <v>0</v>
      </c>
      <c r="N130" t="n">
        <v>0</v>
      </c>
      <c r="O130" t="n">
        <v>0</v>
      </c>
      <c r="P130" t="n">
        <v>0</v>
      </c>
      <c r="Q130" t="n">
        <v>0</v>
      </c>
      <c r="R130" s="2" t="inlineStr"/>
    </row>
    <row r="131" ht="15" customHeight="1">
      <c r="A131" t="inlineStr">
        <is>
          <t>A 53323-2019</t>
        </is>
      </c>
      <c r="B131" s="1" t="n">
        <v>43748</v>
      </c>
      <c r="C131" s="1" t="n">
        <v>45659</v>
      </c>
      <c r="D131" t="inlineStr">
        <is>
          <t>DALARNAS LÄN</t>
        </is>
      </c>
      <c r="E131" t="inlineStr">
        <is>
          <t>HEDEMORA</t>
        </is>
      </c>
      <c r="G131" t="n">
        <v>2.2</v>
      </c>
      <c r="H131" t="n">
        <v>0</v>
      </c>
      <c r="I131" t="n">
        <v>0</v>
      </c>
      <c r="J131" t="n">
        <v>0</v>
      </c>
      <c r="K131" t="n">
        <v>0</v>
      </c>
      <c r="L131" t="n">
        <v>0</v>
      </c>
      <c r="M131" t="n">
        <v>0</v>
      </c>
      <c r="N131" t="n">
        <v>0</v>
      </c>
      <c r="O131" t="n">
        <v>0</v>
      </c>
      <c r="P131" t="n">
        <v>0</v>
      </c>
      <c r="Q131" t="n">
        <v>0</v>
      </c>
      <c r="R131" s="2" t="inlineStr"/>
    </row>
    <row r="132" ht="15" customHeight="1">
      <c r="A132" t="inlineStr">
        <is>
          <t>A 54358-2019</t>
        </is>
      </c>
      <c r="B132" s="1" t="n">
        <v>43754</v>
      </c>
      <c r="C132" s="1" t="n">
        <v>45659</v>
      </c>
      <c r="D132" t="inlineStr">
        <is>
          <t>DALARNAS LÄN</t>
        </is>
      </c>
      <c r="E132" t="inlineStr">
        <is>
          <t>HEDEMORA</t>
        </is>
      </c>
      <c r="G132" t="n">
        <v>5.2</v>
      </c>
      <c r="H132" t="n">
        <v>0</v>
      </c>
      <c r="I132" t="n">
        <v>0</v>
      </c>
      <c r="J132" t="n">
        <v>0</v>
      </c>
      <c r="K132" t="n">
        <v>0</v>
      </c>
      <c r="L132" t="n">
        <v>0</v>
      </c>
      <c r="M132" t="n">
        <v>0</v>
      </c>
      <c r="N132" t="n">
        <v>0</v>
      </c>
      <c r="O132" t="n">
        <v>0</v>
      </c>
      <c r="P132" t="n">
        <v>0</v>
      </c>
      <c r="Q132" t="n">
        <v>0</v>
      </c>
      <c r="R132" s="2" t="inlineStr"/>
    </row>
    <row r="133" ht="15" customHeight="1">
      <c r="A133" t="inlineStr">
        <is>
          <t>A 60139-2019</t>
        </is>
      </c>
      <c r="B133" s="1" t="n">
        <v>43779</v>
      </c>
      <c r="C133" s="1" t="n">
        <v>45659</v>
      </c>
      <c r="D133" t="inlineStr">
        <is>
          <t>DALARNAS LÄN</t>
        </is>
      </c>
      <c r="E133" t="inlineStr">
        <is>
          <t>HEDEMORA</t>
        </is>
      </c>
      <c r="G133" t="n">
        <v>3.6</v>
      </c>
      <c r="H133" t="n">
        <v>0</v>
      </c>
      <c r="I133" t="n">
        <v>0</v>
      </c>
      <c r="J133" t="n">
        <v>0</v>
      </c>
      <c r="K133" t="n">
        <v>0</v>
      </c>
      <c r="L133" t="n">
        <v>0</v>
      </c>
      <c r="M133" t="n">
        <v>0</v>
      </c>
      <c r="N133" t="n">
        <v>0</v>
      </c>
      <c r="O133" t="n">
        <v>0</v>
      </c>
      <c r="P133" t="n">
        <v>0</v>
      </c>
      <c r="Q133" t="n">
        <v>0</v>
      </c>
      <c r="R133" s="2" t="inlineStr"/>
    </row>
    <row r="134" ht="15" customHeight="1">
      <c r="A134" t="inlineStr">
        <is>
          <t>A 60319-2019</t>
        </is>
      </c>
      <c r="B134" s="1" t="n">
        <v>43780</v>
      </c>
      <c r="C134" s="1" t="n">
        <v>45659</v>
      </c>
      <c r="D134" t="inlineStr">
        <is>
          <t>DALARNAS LÄN</t>
        </is>
      </c>
      <c r="E134" t="inlineStr">
        <is>
          <t>HEDEMORA</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60318-2019</t>
        </is>
      </c>
      <c r="B135" s="1" t="n">
        <v>43780</v>
      </c>
      <c r="C135" s="1" t="n">
        <v>45659</v>
      </c>
      <c r="D135" t="inlineStr">
        <is>
          <t>DALARNAS LÄN</t>
        </is>
      </c>
      <c r="E135" t="inlineStr">
        <is>
          <t>HEDEMORA</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60461-2019</t>
        </is>
      </c>
      <c r="B136" s="1" t="n">
        <v>43780</v>
      </c>
      <c r="C136" s="1" t="n">
        <v>45659</v>
      </c>
      <c r="D136" t="inlineStr">
        <is>
          <t>DALARNAS LÄN</t>
        </is>
      </c>
      <c r="E136" t="inlineStr">
        <is>
          <t>HEDEMORA</t>
        </is>
      </c>
      <c r="G136" t="n">
        <v>2.8</v>
      </c>
      <c r="H136" t="n">
        <v>0</v>
      </c>
      <c r="I136" t="n">
        <v>0</v>
      </c>
      <c r="J136" t="n">
        <v>0</v>
      </c>
      <c r="K136" t="n">
        <v>0</v>
      </c>
      <c r="L136" t="n">
        <v>0</v>
      </c>
      <c r="M136" t="n">
        <v>0</v>
      </c>
      <c r="N136" t="n">
        <v>0</v>
      </c>
      <c r="O136" t="n">
        <v>0</v>
      </c>
      <c r="P136" t="n">
        <v>0</v>
      </c>
      <c r="Q136" t="n">
        <v>0</v>
      </c>
      <c r="R136" s="2" t="inlineStr"/>
    </row>
    <row r="137" ht="15" customHeight="1">
      <c r="A137" t="inlineStr">
        <is>
          <t>A 60543-2019</t>
        </is>
      </c>
      <c r="B137" s="1" t="n">
        <v>43781</v>
      </c>
      <c r="C137" s="1" t="n">
        <v>45659</v>
      </c>
      <c r="D137" t="inlineStr">
        <is>
          <t>DALARNAS LÄN</t>
        </is>
      </c>
      <c r="E137" t="inlineStr">
        <is>
          <t>HEDEMORA</t>
        </is>
      </c>
      <c r="G137" t="n">
        <v>4.6</v>
      </c>
      <c r="H137" t="n">
        <v>0</v>
      </c>
      <c r="I137" t="n">
        <v>0</v>
      </c>
      <c r="J137" t="n">
        <v>0</v>
      </c>
      <c r="K137" t="n">
        <v>0</v>
      </c>
      <c r="L137" t="n">
        <v>0</v>
      </c>
      <c r="M137" t="n">
        <v>0</v>
      </c>
      <c r="N137" t="n">
        <v>0</v>
      </c>
      <c r="O137" t="n">
        <v>0</v>
      </c>
      <c r="P137" t="n">
        <v>0</v>
      </c>
      <c r="Q137" t="n">
        <v>0</v>
      </c>
      <c r="R137" s="2" t="inlineStr"/>
    </row>
    <row r="138" ht="15" customHeight="1">
      <c r="A138" t="inlineStr">
        <is>
          <t>A 60529-2019</t>
        </is>
      </c>
      <c r="B138" s="1" t="n">
        <v>43781</v>
      </c>
      <c r="C138" s="1" t="n">
        <v>45659</v>
      </c>
      <c r="D138" t="inlineStr">
        <is>
          <t>DALARNAS LÄN</t>
        </is>
      </c>
      <c r="E138" t="inlineStr">
        <is>
          <t>HEDEMORA</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60556-2019</t>
        </is>
      </c>
      <c r="B139" s="1" t="n">
        <v>43781</v>
      </c>
      <c r="C139" s="1" t="n">
        <v>45659</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61007-2019</t>
        </is>
      </c>
      <c r="B140" s="1" t="n">
        <v>43782</v>
      </c>
      <c r="C140" s="1" t="n">
        <v>45659</v>
      </c>
      <c r="D140" t="inlineStr">
        <is>
          <t>DALARNAS LÄN</t>
        </is>
      </c>
      <c r="E140" t="inlineStr">
        <is>
          <t>HEDEMORA</t>
        </is>
      </c>
      <c r="G140" t="n">
        <v>0.8</v>
      </c>
      <c r="H140" t="n">
        <v>0</v>
      </c>
      <c r="I140" t="n">
        <v>0</v>
      </c>
      <c r="J140" t="n">
        <v>0</v>
      </c>
      <c r="K140" t="n">
        <v>0</v>
      </c>
      <c r="L140" t="n">
        <v>0</v>
      </c>
      <c r="M140" t="n">
        <v>0</v>
      </c>
      <c r="N140" t="n">
        <v>0</v>
      </c>
      <c r="O140" t="n">
        <v>0</v>
      </c>
      <c r="P140" t="n">
        <v>0</v>
      </c>
      <c r="Q140" t="n">
        <v>0</v>
      </c>
      <c r="R140" s="2" t="inlineStr"/>
    </row>
    <row r="141" ht="15" customHeight="1">
      <c r="A141" t="inlineStr">
        <is>
          <t>A 61382-2019</t>
        </is>
      </c>
      <c r="B141" s="1" t="n">
        <v>43783</v>
      </c>
      <c r="C141" s="1" t="n">
        <v>45659</v>
      </c>
      <c r="D141" t="inlineStr">
        <is>
          <t>DALARNAS LÄN</t>
        </is>
      </c>
      <c r="E141" t="inlineStr">
        <is>
          <t>HEDEMORA</t>
        </is>
      </c>
      <c r="G141" t="n">
        <v>1.8</v>
      </c>
      <c r="H141" t="n">
        <v>0</v>
      </c>
      <c r="I141" t="n">
        <v>0</v>
      </c>
      <c r="J141" t="n">
        <v>0</v>
      </c>
      <c r="K141" t="n">
        <v>0</v>
      </c>
      <c r="L141" t="n">
        <v>0</v>
      </c>
      <c r="M141" t="n">
        <v>0</v>
      </c>
      <c r="N141" t="n">
        <v>0</v>
      </c>
      <c r="O141" t="n">
        <v>0</v>
      </c>
      <c r="P141" t="n">
        <v>0</v>
      </c>
      <c r="Q141" t="n">
        <v>0</v>
      </c>
      <c r="R141" s="2" t="inlineStr"/>
    </row>
    <row r="142" ht="15" customHeight="1">
      <c r="A142" t="inlineStr">
        <is>
          <t>A 63101-2019</t>
        </is>
      </c>
      <c r="B142" s="1" t="n">
        <v>43791</v>
      </c>
      <c r="C142" s="1" t="n">
        <v>45659</v>
      </c>
      <c r="D142" t="inlineStr">
        <is>
          <t>DALARNAS LÄN</t>
        </is>
      </c>
      <c r="E142" t="inlineStr">
        <is>
          <t>HEDEMORA</t>
        </is>
      </c>
      <c r="F142" t="inlineStr">
        <is>
          <t>Kommuner</t>
        </is>
      </c>
      <c r="G142" t="n">
        <v>3.3</v>
      </c>
      <c r="H142" t="n">
        <v>0</v>
      </c>
      <c r="I142" t="n">
        <v>0</v>
      </c>
      <c r="J142" t="n">
        <v>0</v>
      </c>
      <c r="K142" t="n">
        <v>0</v>
      </c>
      <c r="L142" t="n">
        <v>0</v>
      </c>
      <c r="M142" t="n">
        <v>0</v>
      </c>
      <c r="N142" t="n">
        <v>0</v>
      </c>
      <c r="O142" t="n">
        <v>0</v>
      </c>
      <c r="P142" t="n">
        <v>0</v>
      </c>
      <c r="Q142" t="n">
        <v>0</v>
      </c>
      <c r="R142" s="2" t="inlineStr"/>
    </row>
    <row r="143" ht="15" customHeight="1">
      <c r="A143" t="inlineStr">
        <is>
          <t>A 65308-2019</t>
        </is>
      </c>
      <c r="B143" s="1" t="n">
        <v>43802</v>
      </c>
      <c r="C143" s="1" t="n">
        <v>45659</v>
      </c>
      <c r="D143" t="inlineStr">
        <is>
          <t>DALARNAS LÄN</t>
        </is>
      </c>
      <c r="E143" t="inlineStr">
        <is>
          <t>HEDEMORA</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65315-2019</t>
        </is>
      </c>
      <c r="B144" s="1" t="n">
        <v>43802</v>
      </c>
      <c r="C144" s="1" t="n">
        <v>45659</v>
      </c>
      <c r="D144" t="inlineStr">
        <is>
          <t>DALARNAS LÄN</t>
        </is>
      </c>
      <c r="E144" t="inlineStr">
        <is>
          <t>HEDEMORA</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68856-2019</t>
        </is>
      </c>
      <c r="B145" s="1" t="n">
        <v>43820</v>
      </c>
      <c r="C145" s="1" t="n">
        <v>45659</v>
      </c>
      <c r="D145" t="inlineStr">
        <is>
          <t>DALARNAS LÄN</t>
        </is>
      </c>
      <c r="E145" t="inlineStr">
        <is>
          <t>HEDEMORA</t>
        </is>
      </c>
      <c r="G145" t="n">
        <v>17.6</v>
      </c>
      <c r="H145" t="n">
        <v>0</v>
      </c>
      <c r="I145" t="n">
        <v>0</v>
      </c>
      <c r="J145" t="n">
        <v>0</v>
      </c>
      <c r="K145" t="n">
        <v>0</v>
      </c>
      <c r="L145" t="n">
        <v>0</v>
      </c>
      <c r="M145" t="n">
        <v>0</v>
      </c>
      <c r="N145" t="n">
        <v>0</v>
      </c>
      <c r="O145" t="n">
        <v>0</v>
      </c>
      <c r="P145" t="n">
        <v>0</v>
      </c>
      <c r="Q145" t="n">
        <v>0</v>
      </c>
      <c r="R145" s="2" t="inlineStr"/>
    </row>
    <row r="146" ht="15" customHeight="1">
      <c r="A146" t="inlineStr">
        <is>
          <t>A 1215-2020</t>
        </is>
      </c>
      <c r="B146" s="1" t="n">
        <v>43840</v>
      </c>
      <c r="C146" s="1" t="n">
        <v>45659</v>
      </c>
      <c r="D146" t="inlineStr">
        <is>
          <t>DALARNAS LÄN</t>
        </is>
      </c>
      <c r="E146" t="inlineStr">
        <is>
          <t>HEDEMORA</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2390-2020</t>
        </is>
      </c>
      <c r="B147" s="1" t="n">
        <v>43847</v>
      </c>
      <c r="C147" s="1" t="n">
        <v>45659</v>
      </c>
      <c r="D147" t="inlineStr">
        <is>
          <t>DALARNAS LÄN</t>
        </is>
      </c>
      <c r="E147" t="inlineStr">
        <is>
          <t>HEDEMORA</t>
        </is>
      </c>
      <c r="G147" t="n">
        <v>0.9</v>
      </c>
      <c r="H147" t="n">
        <v>0</v>
      </c>
      <c r="I147" t="n">
        <v>0</v>
      </c>
      <c r="J147" t="n">
        <v>0</v>
      </c>
      <c r="K147" t="n">
        <v>0</v>
      </c>
      <c r="L147" t="n">
        <v>0</v>
      </c>
      <c r="M147" t="n">
        <v>0</v>
      </c>
      <c r="N147" t="n">
        <v>0</v>
      </c>
      <c r="O147" t="n">
        <v>0</v>
      </c>
      <c r="P147" t="n">
        <v>0</v>
      </c>
      <c r="Q147" t="n">
        <v>0</v>
      </c>
      <c r="R147" s="2" t="inlineStr"/>
    </row>
    <row r="148" ht="15" customHeight="1">
      <c r="A148" t="inlineStr">
        <is>
          <t>A 2846-2020</t>
        </is>
      </c>
      <c r="B148" s="1" t="n">
        <v>43850</v>
      </c>
      <c r="C148" s="1" t="n">
        <v>45659</v>
      </c>
      <c r="D148" t="inlineStr">
        <is>
          <t>DALARNAS LÄN</t>
        </is>
      </c>
      <c r="E148" t="inlineStr">
        <is>
          <t>HEDEMORA</t>
        </is>
      </c>
      <c r="G148" t="n">
        <v>4.2</v>
      </c>
      <c r="H148" t="n">
        <v>0</v>
      </c>
      <c r="I148" t="n">
        <v>0</v>
      </c>
      <c r="J148" t="n">
        <v>0</v>
      </c>
      <c r="K148" t="n">
        <v>0</v>
      </c>
      <c r="L148" t="n">
        <v>0</v>
      </c>
      <c r="M148" t="n">
        <v>0</v>
      </c>
      <c r="N148" t="n">
        <v>0</v>
      </c>
      <c r="O148" t="n">
        <v>0</v>
      </c>
      <c r="P148" t="n">
        <v>0</v>
      </c>
      <c r="Q148" t="n">
        <v>0</v>
      </c>
      <c r="R148" s="2" t="inlineStr"/>
    </row>
    <row r="149" ht="15" customHeight="1">
      <c r="A149" t="inlineStr">
        <is>
          <t>A 2915-2020</t>
        </is>
      </c>
      <c r="B149" s="1" t="n">
        <v>43850</v>
      </c>
      <c r="C149" s="1" t="n">
        <v>45659</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3127-2020</t>
        </is>
      </c>
      <c r="B150" s="1" t="n">
        <v>43851</v>
      </c>
      <c r="C150" s="1" t="n">
        <v>45659</v>
      </c>
      <c r="D150" t="inlineStr">
        <is>
          <t>DALARNAS LÄN</t>
        </is>
      </c>
      <c r="E150" t="inlineStr">
        <is>
          <t>HEDEMORA</t>
        </is>
      </c>
      <c r="G150" t="n">
        <v>1.5</v>
      </c>
      <c r="H150" t="n">
        <v>0</v>
      </c>
      <c r="I150" t="n">
        <v>0</v>
      </c>
      <c r="J150" t="n">
        <v>0</v>
      </c>
      <c r="K150" t="n">
        <v>0</v>
      </c>
      <c r="L150" t="n">
        <v>0</v>
      </c>
      <c r="M150" t="n">
        <v>0</v>
      </c>
      <c r="N150" t="n">
        <v>0</v>
      </c>
      <c r="O150" t="n">
        <v>0</v>
      </c>
      <c r="P150" t="n">
        <v>0</v>
      </c>
      <c r="Q150" t="n">
        <v>0</v>
      </c>
      <c r="R150" s="2" t="inlineStr"/>
    </row>
    <row r="151" ht="15" customHeight="1">
      <c r="A151" t="inlineStr">
        <is>
          <t>A 5353-2020</t>
        </is>
      </c>
      <c r="B151" s="1" t="n">
        <v>43860</v>
      </c>
      <c r="C151" s="1" t="n">
        <v>45659</v>
      </c>
      <c r="D151" t="inlineStr">
        <is>
          <t>DALARNAS LÄN</t>
        </is>
      </c>
      <c r="E151" t="inlineStr">
        <is>
          <t>HEDEMORA</t>
        </is>
      </c>
      <c r="G151" t="n">
        <v>2.4</v>
      </c>
      <c r="H151" t="n">
        <v>0</v>
      </c>
      <c r="I151" t="n">
        <v>0</v>
      </c>
      <c r="J151" t="n">
        <v>0</v>
      </c>
      <c r="K151" t="n">
        <v>0</v>
      </c>
      <c r="L151" t="n">
        <v>0</v>
      </c>
      <c r="M151" t="n">
        <v>0</v>
      </c>
      <c r="N151" t="n">
        <v>0</v>
      </c>
      <c r="O151" t="n">
        <v>0</v>
      </c>
      <c r="P151" t="n">
        <v>0</v>
      </c>
      <c r="Q151" t="n">
        <v>0</v>
      </c>
      <c r="R151" s="2" t="inlineStr"/>
    </row>
    <row r="152" ht="15" customHeight="1">
      <c r="A152" t="inlineStr">
        <is>
          <t>A 5752-2020</t>
        </is>
      </c>
      <c r="B152" s="1" t="n">
        <v>43864</v>
      </c>
      <c r="C152" s="1" t="n">
        <v>45659</v>
      </c>
      <c r="D152" t="inlineStr">
        <is>
          <t>DALARNAS LÄN</t>
        </is>
      </c>
      <c r="E152" t="inlineStr">
        <is>
          <t>HEDEMORA</t>
        </is>
      </c>
      <c r="G152" t="n">
        <v>2.6</v>
      </c>
      <c r="H152" t="n">
        <v>0</v>
      </c>
      <c r="I152" t="n">
        <v>0</v>
      </c>
      <c r="J152" t="n">
        <v>0</v>
      </c>
      <c r="K152" t="n">
        <v>0</v>
      </c>
      <c r="L152" t="n">
        <v>0</v>
      </c>
      <c r="M152" t="n">
        <v>0</v>
      </c>
      <c r="N152" t="n">
        <v>0</v>
      </c>
      <c r="O152" t="n">
        <v>0</v>
      </c>
      <c r="P152" t="n">
        <v>0</v>
      </c>
      <c r="Q152" t="n">
        <v>0</v>
      </c>
      <c r="R152" s="2" t="inlineStr"/>
    </row>
    <row r="153" ht="15" customHeight="1">
      <c r="A153" t="inlineStr">
        <is>
          <t>A 5763-2020</t>
        </is>
      </c>
      <c r="B153" s="1" t="n">
        <v>43864</v>
      </c>
      <c r="C153" s="1" t="n">
        <v>45659</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5950-2020</t>
        </is>
      </c>
      <c r="B154" s="1" t="n">
        <v>43864</v>
      </c>
      <c r="C154" s="1" t="n">
        <v>45659</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6795-2020</t>
        </is>
      </c>
      <c r="B155" s="1" t="n">
        <v>43867</v>
      </c>
      <c r="C155" s="1" t="n">
        <v>45659</v>
      </c>
      <c r="D155" t="inlineStr">
        <is>
          <t>DALARNAS LÄN</t>
        </is>
      </c>
      <c r="E155" t="inlineStr">
        <is>
          <t>HEDEMORA</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6794-2020</t>
        </is>
      </c>
      <c r="B156" s="1" t="n">
        <v>43867</v>
      </c>
      <c r="C156" s="1" t="n">
        <v>45659</v>
      </c>
      <c r="D156" t="inlineStr">
        <is>
          <t>DALARNAS LÄN</t>
        </is>
      </c>
      <c r="E156" t="inlineStr">
        <is>
          <t>HEDEMORA</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7209-2020</t>
        </is>
      </c>
      <c r="B157" s="1" t="n">
        <v>43871</v>
      </c>
      <c r="C157" s="1" t="n">
        <v>45659</v>
      </c>
      <c r="D157" t="inlineStr">
        <is>
          <t>DALARNAS LÄN</t>
        </is>
      </c>
      <c r="E157" t="inlineStr">
        <is>
          <t>HEDEMORA</t>
        </is>
      </c>
      <c r="G157" t="n">
        <v>1.1</v>
      </c>
      <c r="H157" t="n">
        <v>0</v>
      </c>
      <c r="I157" t="n">
        <v>0</v>
      </c>
      <c r="J157" t="n">
        <v>0</v>
      </c>
      <c r="K157" t="n">
        <v>0</v>
      </c>
      <c r="L157" t="n">
        <v>0</v>
      </c>
      <c r="M157" t="n">
        <v>0</v>
      </c>
      <c r="N157" t="n">
        <v>0</v>
      </c>
      <c r="O157" t="n">
        <v>0</v>
      </c>
      <c r="P157" t="n">
        <v>0</v>
      </c>
      <c r="Q157" t="n">
        <v>0</v>
      </c>
      <c r="R157" s="2" t="inlineStr"/>
    </row>
    <row r="158" ht="15" customHeight="1">
      <c r="A158" t="inlineStr">
        <is>
          <t>A 7434-2020</t>
        </is>
      </c>
      <c r="B158" s="1" t="n">
        <v>43871</v>
      </c>
      <c r="C158" s="1" t="n">
        <v>45659</v>
      </c>
      <c r="D158" t="inlineStr">
        <is>
          <t>DALARNAS LÄN</t>
        </is>
      </c>
      <c r="E158" t="inlineStr">
        <is>
          <t>HEDEMORA</t>
        </is>
      </c>
      <c r="G158" t="n">
        <v>4.3</v>
      </c>
      <c r="H158" t="n">
        <v>0</v>
      </c>
      <c r="I158" t="n">
        <v>0</v>
      </c>
      <c r="J158" t="n">
        <v>0</v>
      </c>
      <c r="K158" t="n">
        <v>0</v>
      </c>
      <c r="L158" t="n">
        <v>0</v>
      </c>
      <c r="M158" t="n">
        <v>0</v>
      </c>
      <c r="N158" t="n">
        <v>0</v>
      </c>
      <c r="O158" t="n">
        <v>0</v>
      </c>
      <c r="P158" t="n">
        <v>0</v>
      </c>
      <c r="Q158" t="n">
        <v>0</v>
      </c>
      <c r="R158" s="2" t="inlineStr"/>
    </row>
    <row r="159" ht="15" customHeight="1">
      <c r="A159" t="inlineStr">
        <is>
          <t>A 8181-2020</t>
        </is>
      </c>
      <c r="B159" s="1" t="n">
        <v>43874</v>
      </c>
      <c r="C159" s="1" t="n">
        <v>45659</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8489-2020</t>
        </is>
      </c>
      <c r="B160" s="1" t="n">
        <v>43875</v>
      </c>
      <c r="C160" s="1" t="n">
        <v>45659</v>
      </c>
      <c r="D160" t="inlineStr">
        <is>
          <t>DALARNAS LÄN</t>
        </is>
      </c>
      <c r="E160" t="inlineStr">
        <is>
          <t>HEDEMORA</t>
        </is>
      </c>
      <c r="G160" t="n">
        <v>0.5</v>
      </c>
      <c r="H160" t="n">
        <v>0</v>
      </c>
      <c r="I160" t="n">
        <v>0</v>
      </c>
      <c r="J160" t="n">
        <v>0</v>
      </c>
      <c r="K160" t="n">
        <v>0</v>
      </c>
      <c r="L160" t="n">
        <v>0</v>
      </c>
      <c r="M160" t="n">
        <v>0</v>
      </c>
      <c r="N160" t="n">
        <v>0</v>
      </c>
      <c r="O160" t="n">
        <v>0</v>
      </c>
      <c r="P160" t="n">
        <v>0</v>
      </c>
      <c r="Q160" t="n">
        <v>0</v>
      </c>
      <c r="R160" s="2" t="inlineStr"/>
    </row>
    <row r="161" ht="15" customHeight="1">
      <c r="A161" t="inlineStr">
        <is>
          <t>A 9042-2020</t>
        </is>
      </c>
      <c r="B161" s="1" t="n">
        <v>43879</v>
      </c>
      <c r="C161" s="1" t="n">
        <v>45659</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9054-2020</t>
        </is>
      </c>
      <c r="B162" s="1" t="n">
        <v>43879</v>
      </c>
      <c r="C162" s="1" t="n">
        <v>45659</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9491-2020</t>
        </is>
      </c>
      <c r="B163" s="1" t="n">
        <v>43880</v>
      </c>
      <c r="C163" s="1" t="n">
        <v>45659</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9714-2020</t>
        </is>
      </c>
      <c r="B164" s="1" t="n">
        <v>43881</v>
      </c>
      <c r="C164" s="1" t="n">
        <v>45659</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10507-2020</t>
        </is>
      </c>
      <c r="B165" s="1" t="n">
        <v>43886</v>
      </c>
      <c r="C165" s="1" t="n">
        <v>45659</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11894-2020</t>
        </is>
      </c>
      <c r="B166" s="1" t="n">
        <v>43894</v>
      </c>
      <c r="C166" s="1" t="n">
        <v>45659</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13872-2020</t>
        </is>
      </c>
      <c r="B167" s="1" t="n">
        <v>43906</v>
      </c>
      <c r="C167" s="1" t="n">
        <v>45659</v>
      </c>
      <c r="D167" t="inlineStr">
        <is>
          <t>DALARNAS LÄN</t>
        </is>
      </c>
      <c r="E167" t="inlineStr">
        <is>
          <t>HEDEMORA</t>
        </is>
      </c>
      <c r="F167" t="inlineStr">
        <is>
          <t>Övriga Aktiebolag</t>
        </is>
      </c>
      <c r="G167" t="n">
        <v>5.4</v>
      </c>
      <c r="H167" t="n">
        <v>0</v>
      </c>
      <c r="I167" t="n">
        <v>0</v>
      </c>
      <c r="J167" t="n">
        <v>0</v>
      </c>
      <c r="K167" t="n">
        <v>0</v>
      </c>
      <c r="L167" t="n">
        <v>0</v>
      </c>
      <c r="M167" t="n">
        <v>0</v>
      </c>
      <c r="N167" t="n">
        <v>0</v>
      </c>
      <c r="O167" t="n">
        <v>0</v>
      </c>
      <c r="P167" t="n">
        <v>0</v>
      </c>
      <c r="Q167" t="n">
        <v>0</v>
      </c>
      <c r="R167" s="2" t="inlineStr"/>
    </row>
    <row r="168" ht="15" customHeight="1">
      <c r="A168" t="inlineStr">
        <is>
          <t>A 14117-2020</t>
        </is>
      </c>
      <c r="B168" s="1" t="n">
        <v>43907</v>
      </c>
      <c r="C168" s="1" t="n">
        <v>45659</v>
      </c>
      <c r="D168" t="inlineStr">
        <is>
          <t>DALARNAS LÄN</t>
        </is>
      </c>
      <c r="E168" t="inlineStr">
        <is>
          <t>HEDEMORA</t>
        </is>
      </c>
      <c r="G168" t="n">
        <v>1.6</v>
      </c>
      <c r="H168" t="n">
        <v>0</v>
      </c>
      <c r="I168" t="n">
        <v>0</v>
      </c>
      <c r="J168" t="n">
        <v>0</v>
      </c>
      <c r="K168" t="n">
        <v>0</v>
      </c>
      <c r="L168" t="n">
        <v>0</v>
      </c>
      <c r="M168" t="n">
        <v>0</v>
      </c>
      <c r="N168" t="n">
        <v>0</v>
      </c>
      <c r="O168" t="n">
        <v>0</v>
      </c>
      <c r="P168" t="n">
        <v>0</v>
      </c>
      <c r="Q168" t="n">
        <v>0</v>
      </c>
      <c r="R168" s="2" t="inlineStr"/>
    </row>
    <row r="169" ht="15" customHeight="1">
      <c r="A169" t="inlineStr">
        <is>
          <t>A 14554-2020</t>
        </is>
      </c>
      <c r="B169" s="1" t="n">
        <v>43908</v>
      </c>
      <c r="C169" s="1" t="n">
        <v>45659</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c r="U169">
        <f>HYPERLINK("https://klasma.github.io/Logging_2083/knärot/A 14554-2020 karta knärot.png", "A 14554-2020")</f>
        <v/>
      </c>
      <c r="V169">
        <f>HYPERLINK("https://klasma.github.io/Logging_2083/klagomål/A 14554-2020 FSC-klagomål.docx", "A 14554-2020")</f>
        <v/>
      </c>
      <c r="W169">
        <f>HYPERLINK("https://klasma.github.io/Logging_2083/klagomålsmail/A 14554-2020 FSC-klagomål mail.docx", "A 14554-2020")</f>
        <v/>
      </c>
      <c r="X169">
        <f>HYPERLINK("https://klasma.github.io/Logging_2083/tillsyn/A 14554-2020 tillsynsbegäran.docx", "A 14554-2020")</f>
        <v/>
      </c>
      <c r="Y169">
        <f>HYPERLINK("https://klasma.github.io/Logging_2083/tillsynsmail/A 14554-2020 tillsynsbegäran mail.docx", "A 14554-2020")</f>
        <v/>
      </c>
    </row>
    <row r="170" ht="15" customHeight="1">
      <c r="A170" t="inlineStr">
        <is>
          <t>A 16641-2020</t>
        </is>
      </c>
      <c r="B170" s="1" t="n">
        <v>43910</v>
      </c>
      <c r="C170" s="1" t="n">
        <v>45659</v>
      </c>
      <c r="D170" t="inlineStr">
        <is>
          <t>DALARNAS LÄN</t>
        </is>
      </c>
      <c r="E170" t="inlineStr">
        <is>
          <t>HEDEMORA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17585-2020</t>
        </is>
      </c>
      <c r="B171" s="1" t="n">
        <v>43923</v>
      </c>
      <c r="C171" s="1" t="n">
        <v>45659</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18955-2020</t>
        </is>
      </c>
      <c r="B172" s="1" t="n">
        <v>43935</v>
      </c>
      <c r="C172" s="1" t="n">
        <v>45659</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18824-2020</t>
        </is>
      </c>
      <c r="B173" s="1" t="n">
        <v>43935</v>
      </c>
      <c r="C173" s="1" t="n">
        <v>45659</v>
      </c>
      <c r="D173" t="inlineStr">
        <is>
          <t>DALARNAS LÄN</t>
        </is>
      </c>
      <c r="E173" t="inlineStr">
        <is>
          <t>HEDEMORA</t>
        </is>
      </c>
      <c r="F173" t="inlineStr">
        <is>
          <t>Sveaskog</t>
        </is>
      </c>
      <c r="G173" t="n">
        <v>22.7</v>
      </c>
      <c r="H173" t="n">
        <v>0</v>
      </c>
      <c r="I173" t="n">
        <v>0</v>
      </c>
      <c r="J173" t="n">
        <v>0</v>
      </c>
      <c r="K173" t="n">
        <v>0</v>
      </c>
      <c r="L173" t="n">
        <v>0</v>
      </c>
      <c r="M173" t="n">
        <v>0</v>
      </c>
      <c r="N173" t="n">
        <v>0</v>
      </c>
      <c r="O173" t="n">
        <v>0</v>
      </c>
      <c r="P173" t="n">
        <v>0</v>
      </c>
      <c r="Q173" t="n">
        <v>0</v>
      </c>
      <c r="R173" s="2" t="inlineStr"/>
    </row>
    <row r="174" ht="15" customHeight="1">
      <c r="A174" t="inlineStr">
        <is>
          <t>A 20804-2020</t>
        </is>
      </c>
      <c r="B174" s="1" t="n">
        <v>43949</v>
      </c>
      <c r="C174" s="1" t="n">
        <v>45659</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21254-2020</t>
        </is>
      </c>
      <c r="B175" s="1" t="n">
        <v>43955</v>
      </c>
      <c r="C175" s="1" t="n">
        <v>45659</v>
      </c>
      <c r="D175" t="inlineStr">
        <is>
          <t>DALARNAS LÄN</t>
        </is>
      </c>
      <c r="E175" t="inlineStr">
        <is>
          <t>HEDEMORA</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21252-2020</t>
        </is>
      </c>
      <c r="B176" s="1" t="n">
        <v>43955</v>
      </c>
      <c r="C176" s="1" t="n">
        <v>45659</v>
      </c>
      <c r="D176" t="inlineStr">
        <is>
          <t>DALARNAS LÄN</t>
        </is>
      </c>
      <c r="E176" t="inlineStr">
        <is>
          <t>HEDEMORA</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21458-2020</t>
        </is>
      </c>
      <c r="B177" s="1" t="n">
        <v>43956</v>
      </c>
      <c r="C177" s="1" t="n">
        <v>45659</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22374-2020</t>
        </is>
      </c>
      <c r="B178" s="1" t="n">
        <v>43962</v>
      </c>
      <c r="C178" s="1" t="n">
        <v>45659</v>
      </c>
      <c r="D178" t="inlineStr">
        <is>
          <t>DALARNAS LÄN</t>
        </is>
      </c>
      <c r="E178" t="inlineStr">
        <is>
          <t>HEDEMORA</t>
        </is>
      </c>
      <c r="F178" t="inlineStr">
        <is>
          <t>Kommuner</t>
        </is>
      </c>
      <c r="G178" t="n">
        <v>9.1</v>
      </c>
      <c r="H178" t="n">
        <v>0</v>
      </c>
      <c r="I178" t="n">
        <v>0</v>
      </c>
      <c r="J178" t="n">
        <v>0</v>
      </c>
      <c r="K178" t="n">
        <v>0</v>
      </c>
      <c r="L178" t="n">
        <v>0</v>
      </c>
      <c r="M178" t="n">
        <v>0</v>
      </c>
      <c r="N178" t="n">
        <v>0</v>
      </c>
      <c r="O178" t="n">
        <v>0</v>
      </c>
      <c r="P178" t="n">
        <v>0</v>
      </c>
      <c r="Q178" t="n">
        <v>0</v>
      </c>
      <c r="R178" s="2" t="inlineStr"/>
    </row>
    <row r="179" ht="15" customHeight="1">
      <c r="A179" t="inlineStr">
        <is>
          <t>A 23402-2020</t>
        </is>
      </c>
      <c r="B179" s="1" t="n">
        <v>43968</v>
      </c>
      <c r="C179" s="1" t="n">
        <v>45659</v>
      </c>
      <c r="D179" t="inlineStr">
        <is>
          <t>DALARNAS LÄN</t>
        </is>
      </c>
      <c r="E179" t="inlineStr">
        <is>
          <t>HEDEMORA</t>
        </is>
      </c>
      <c r="G179" t="n">
        <v>2.9</v>
      </c>
      <c r="H179" t="n">
        <v>0</v>
      </c>
      <c r="I179" t="n">
        <v>0</v>
      </c>
      <c r="J179" t="n">
        <v>0</v>
      </c>
      <c r="K179" t="n">
        <v>0</v>
      </c>
      <c r="L179" t="n">
        <v>0</v>
      </c>
      <c r="M179" t="n">
        <v>0</v>
      </c>
      <c r="N179" t="n">
        <v>0</v>
      </c>
      <c r="O179" t="n">
        <v>0</v>
      </c>
      <c r="P179" t="n">
        <v>0</v>
      </c>
      <c r="Q179" t="n">
        <v>0</v>
      </c>
      <c r="R179" s="2" t="inlineStr"/>
    </row>
    <row r="180" ht="15" customHeight="1">
      <c r="A180" t="inlineStr">
        <is>
          <t>A 23401-2020</t>
        </is>
      </c>
      <c r="B180" s="1" t="n">
        <v>43968</v>
      </c>
      <c r="C180" s="1" t="n">
        <v>45659</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23872-2020</t>
        </is>
      </c>
      <c r="B181" s="1" t="n">
        <v>43971</v>
      </c>
      <c r="C181" s="1" t="n">
        <v>45659</v>
      </c>
      <c r="D181" t="inlineStr">
        <is>
          <t>DALARNAS LÄN</t>
        </is>
      </c>
      <c r="E181" t="inlineStr">
        <is>
          <t>HEDEMORA</t>
        </is>
      </c>
      <c r="G181" t="n">
        <v>3.5</v>
      </c>
      <c r="H181" t="n">
        <v>0</v>
      </c>
      <c r="I181" t="n">
        <v>0</v>
      </c>
      <c r="J181" t="n">
        <v>0</v>
      </c>
      <c r="K181" t="n">
        <v>0</v>
      </c>
      <c r="L181" t="n">
        <v>0</v>
      </c>
      <c r="M181" t="n">
        <v>0</v>
      </c>
      <c r="N181" t="n">
        <v>0</v>
      </c>
      <c r="O181" t="n">
        <v>0</v>
      </c>
      <c r="P181" t="n">
        <v>0</v>
      </c>
      <c r="Q181" t="n">
        <v>0</v>
      </c>
      <c r="R181" s="2" t="inlineStr"/>
    </row>
    <row r="182" ht="15" customHeight="1">
      <c r="A182" t="inlineStr">
        <is>
          <t>A 25623-2020</t>
        </is>
      </c>
      <c r="B182" s="1" t="n">
        <v>43983</v>
      </c>
      <c r="C182" s="1" t="n">
        <v>45659</v>
      </c>
      <c r="D182" t="inlineStr">
        <is>
          <t>DALARNAS LÄN</t>
        </is>
      </c>
      <c r="E182" t="inlineStr">
        <is>
          <t>HEDEMORA</t>
        </is>
      </c>
      <c r="G182" t="n">
        <v>1.5</v>
      </c>
      <c r="H182" t="n">
        <v>0</v>
      </c>
      <c r="I182" t="n">
        <v>0</v>
      </c>
      <c r="J182" t="n">
        <v>0</v>
      </c>
      <c r="K182" t="n">
        <v>0</v>
      </c>
      <c r="L182" t="n">
        <v>0</v>
      </c>
      <c r="M182" t="n">
        <v>0</v>
      </c>
      <c r="N182" t="n">
        <v>0</v>
      </c>
      <c r="O182" t="n">
        <v>0</v>
      </c>
      <c r="P182" t="n">
        <v>0</v>
      </c>
      <c r="Q182" t="n">
        <v>0</v>
      </c>
      <c r="R182" s="2" t="inlineStr"/>
    </row>
    <row r="183" ht="15" customHeight="1">
      <c r="A183" t="inlineStr">
        <is>
          <t>A 25657-2020</t>
        </is>
      </c>
      <c r="B183" s="1" t="n">
        <v>43983</v>
      </c>
      <c r="C183" s="1" t="n">
        <v>45659</v>
      </c>
      <c r="D183" t="inlineStr">
        <is>
          <t>DALARNAS LÄN</t>
        </is>
      </c>
      <c r="E183" t="inlineStr">
        <is>
          <t>HEDEMORA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27050-2020</t>
        </is>
      </c>
      <c r="B184" s="1" t="n">
        <v>43991</v>
      </c>
      <c r="C184" s="1" t="n">
        <v>45659</v>
      </c>
      <c r="D184" t="inlineStr">
        <is>
          <t>DALARNAS LÄN</t>
        </is>
      </c>
      <c r="E184" t="inlineStr">
        <is>
          <t>HEDEMORA</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27076-2020</t>
        </is>
      </c>
      <c r="B185" s="1" t="n">
        <v>43991</v>
      </c>
      <c r="C185" s="1" t="n">
        <v>45659</v>
      </c>
      <c r="D185" t="inlineStr">
        <is>
          <t>DALARNAS LÄN</t>
        </is>
      </c>
      <c r="E185" t="inlineStr">
        <is>
          <t>HEDEMORA</t>
        </is>
      </c>
      <c r="F185" t="inlineStr">
        <is>
          <t>Övriga Aktiebolag</t>
        </is>
      </c>
      <c r="G185" t="n">
        <v>10.4</v>
      </c>
      <c r="H185" t="n">
        <v>0</v>
      </c>
      <c r="I185" t="n">
        <v>0</v>
      </c>
      <c r="J185" t="n">
        <v>0</v>
      </c>
      <c r="K185" t="n">
        <v>0</v>
      </c>
      <c r="L185" t="n">
        <v>0</v>
      </c>
      <c r="M185" t="n">
        <v>0</v>
      </c>
      <c r="N185" t="n">
        <v>0</v>
      </c>
      <c r="O185" t="n">
        <v>0</v>
      </c>
      <c r="P185" t="n">
        <v>0</v>
      </c>
      <c r="Q185" t="n">
        <v>0</v>
      </c>
      <c r="R185" s="2" t="inlineStr"/>
    </row>
    <row r="186" ht="15" customHeight="1">
      <c r="A186" t="inlineStr">
        <is>
          <t>A 31502-2020</t>
        </is>
      </c>
      <c r="B186" s="1" t="n">
        <v>44013</v>
      </c>
      <c r="C186" s="1" t="n">
        <v>45659</v>
      </c>
      <c r="D186" t="inlineStr">
        <is>
          <t>DALARNAS LÄN</t>
        </is>
      </c>
      <c r="E186" t="inlineStr">
        <is>
          <t>HEDEMORA</t>
        </is>
      </c>
      <c r="F186" t="inlineStr">
        <is>
          <t>Bergvik skog väst AB</t>
        </is>
      </c>
      <c r="G186" t="n">
        <v>10.2</v>
      </c>
      <c r="H186" t="n">
        <v>0</v>
      </c>
      <c r="I186" t="n">
        <v>0</v>
      </c>
      <c r="J186" t="n">
        <v>0</v>
      </c>
      <c r="K186" t="n">
        <v>0</v>
      </c>
      <c r="L186" t="n">
        <v>0</v>
      </c>
      <c r="M186" t="n">
        <v>0</v>
      </c>
      <c r="N186" t="n">
        <v>0</v>
      </c>
      <c r="O186" t="n">
        <v>0</v>
      </c>
      <c r="P186" t="n">
        <v>0</v>
      </c>
      <c r="Q186" t="n">
        <v>0</v>
      </c>
      <c r="R186" s="2" t="inlineStr"/>
    </row>
    <row r="187" ht="15" customHeight="1">
      <c r="A187" t="inlineStr">
        <is>
          <t>A 31579-2020</t>
        </is>
      </c>
      <c r="B187" s="1" t="n">
        <v>44013</v>
      </c>
      <c r="C187" s="1" t="n">
        <v>45659</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32508-2020</t>
        </is>
      </c>
      <c r="B188" s="1" t="n">
        <v>44018</v>
      </c>
      <c r="C188" s="1" t="n">
        <v>45659</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35786-2020</t>
        </is>
      </c>
      <c r="B189" s="1" t="n">
        <v>44046</v>
      </c>
      <c r="C189" s="1" t="n">
        <v>45659</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40865-2020</t>
        </is>
      </c>
      <c r="B190" s="1" t="n">
        <v>44070</v>
      </c>
      <c r="C190" s="1" t="n">
        <v>45659</v>
      </c>
      <c r="D190" t="inlineStr">
        <is>
          <t>DALARNAS LÄN</t>
        </is>
      </c>
      <c r="E190" t="inlineStr">
        <is>
          <t>HEDEMORA</t>
        </is>
      </c>
      <c r="G190" t="n">
        <v>6.1</v>
      </c>
      <c r="H190" t="n">
        <v>0</v>
      </c>
      <c r="I190" t="n">
        <v>0</v>
      </c>
      <c r="J190" t="n">
        <v>0</v>
      </c>
      <c r="K190" t="n">
        <v>0</v>
      </c>
      <c r="L190" t="n">
        <v>0</v>
      </c>
      <c r="M190" t="n">
        <v>0</v>
      </c>
      <c r="N190" t="n">
        <v>0</v>
      </c>
      <c r="O190" t="n">
        <v>0</v>
      </c>
      <c r="P190" t="n">
        <v>0</v>
      </c>
      <c r="Q190" t="n">
        <v>0</v>
      </c>
      <c r="R190" s="2" t="inlineStr"/>
    </row>
    <row r="191" ht="15" customHeight="1">
      <c r="A191" t="inlineStr">
        <is>
          <t>A 40868-2020</t>
        </is>
      </c>
      <c r="B191" s="1" t="n">
        <v>44070</v>
      </c>
      <c r="C191" s="1" t="n">
        <v>45659</v>
      </c>
      <c r="D191" t="inlineStr">
        <is>
          <t>DALARNAS LÄN</t>
        </is>
      </c>
      <c r="E191" t="inlineStr">
        <is>
          <t>HEDEMORA</t>
        </is>
      </c>
      <c r="G191" t="n">
        <v>1.7</v>
      </c>
      <c r="H191" t="n">
        <v>0</v>
      </c>
      <c r="I191" t="n">
        <v>0</v>
      </c>
      <c r="J191" t="n">
        <v>0</v>
      </c>
      <c r="K191" t="n">
        <v>0</v>
      </c>
      <c r="L191" t="n">
        <v>0</v>
      </c>
      <c r="M191" t="n">
        <v>0</v>
      </c>
      <c r="N191" t="n">
        <v>0</v>
      </c>
      <c r="O191" t="n">
        <v>0</v>
      </c>
      <c r="P191" t="n">
        <v>0</v>
      </c>
      <c r="Q191" t="n">
        <v>0</v>
      </c>
      <c r="R191" s="2" t="inlineStr"/>
    </row>
    <row r="192" ht="15" customHeight="1">
      <c r="A192" t="inlineStr">
        <is>
          <t>A 42929-2020</t>
        </is>
      </c>
      <c r="B192" s="1" t="n">
        <v>44078</v>
      </c>
      <c r="C192" s="1" t="n">
        <v>45659</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44110-2020</t>
        </is>
      </c>
      <c r="B193" s="1" t="n">
        <v>44083</v>
      </c>
      <c r="C193" s="1" t="n">
        <v>45659</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44098-2020</t>
        </is>
      </c>
      <c r="B194" s="1" t="n">
        <v>44083</v>
      </c>
      <c r="C194" s="1" t="n">
        <v>45659</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45616-2020</t>
        </is>
      </c>
      <c r="B195" s="1" t="n">
        <v>44084</v>
      </c>
      <c r="C195" s="1" t="n">
        <v>45659</v>
      </c>
      <c r="D195" t="inlineStr">
        <is>
          <t>DALARNAS LÄN</t>
        </is>
      </c>
      <c r="E195" t="inlineStr">
        <is>
          <t>HEDEMORA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45392-2020</t>
        </is>
      </c>
      <c r="B196" s="1" t="n">
        <v>44085</v>
      </c>
      <c r="C196" s="1" t="n">
        <v>45659</v>
      </c>
      <c r="D196" t="inlineStr">
        <is>
          <t>DALARNAS LÄN</t>
        </is>
      </c>
      <c r="E196" t="inlineStr">
        <is>
          <t>HEDEMORA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46393-2020</t>
        </is>
      </c>
      <c r="B197" s="1" t="n">
        <v>44093</v>
      </c>
      <c r="C197" s="1" t="n">
        <v>45659</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46391-2020</t>
        </is>
      </c>
      <c r="B198" s="1" t="n">
        <v>44093</v>
      </c>
      <c r="C198" s="1" t="n">
        <v>45659</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46392-2020</t>
        </is>
      </c>
      <c r="B199" s="1" t="n">
        <v>44093</v>
      </c>
      <c r="C199" s="1" t="n">
        <v>45659</v>
      </c>
      <c r="D199" t="inlineStr">
        <is>
          <t>DALARNAS LÄN</t>
        </is>
      </c>
      <c r="E199" t="inlineStr">
        <is>
          <t>HEDEMORA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49271-2020</t>
        </is>
      </c>
      <c r="B200" s="1" t="n">
        <v>44105</v>
      </c>
      <c r="C200" s="1" t="n">
        <v>45659</v>
      </c>
      <c r="D200" t="inlineStr">
        <is>
          <t>DALARNAS LÄN</t>
        </is>
      </c>
      <c r="E200" t="inlineStr">
        <is>
          <t>HEDEMORA</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49760-2020</t>
        </is>
      </c>
      <c r="B201" s="1" t="n">
        <v>44106</v>
      </c>
      <c r="C201" s="1" t="n">
        <v>45659</v>
      </c>
      <c r="D201" t="inlineStr">
        <is>
          <t>DALARNAS LÄN</t>
        </is>
      </c>
      <c r="E201" t="inlineStr">
        <is>
          <t>HEDEMORA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49758-2020</t>
        </is>
      </c>
      <c r="B202" s="1" t="n">
        <v>44106</v>
      </c>
      <c r="C202" s="1" t="n">
        <v>45659</v>
      </c>
      <c r="D202" t="inlineStr">
        <is>
          <t>DALARNAS LÄN</t>
        </is>
      </c>
      <c r="E202" t="inlineStr">
        <is>
          <t>HEDEMORA</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51495-2020</t>
        </is>
      </c>
      <c r="B203" s="1" t="n">
        <v>44113</v>
      </c>
      <c r="C203" s="1" t="n">
        <v>45659</v>
      </c>
      <c r="D203" t="inlineStr">
        <is>
          <t>DALARNAS LÄN</t>
        </is>
      </c>
      <c r="E203" t="inlineStr">
        <is>
          <t>HEDEMORA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54347-2020</t>
        </is>
      </c>
      <c r="B204" s="1" t="n">
        <v>44126</v>
      </c>
      <c r="C204" s="1" t="n">
        <v>45659</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57071-2020</t>
        </is>
      </c>
      <c r="B205" s="1" t="n">
        <v>44138</v>
      </c>
      <c r="C205" s="1" t="n">
        <v>45659</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57781-2020</t>
        </is>
      </c>
      <c r="B206" s="1" t="n">
        <v>44141</v>
      </c>
      <c r="C206" s="1" t="n">
        <v>45659</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57936-2020</t>
        </is>
      </c>
      <c r="B207" s="1" t="n">
        <v>44141</v>
      </c>
      <c r="C207" s="1" t="n">
        <v>45659</v>
      </c>
      <c r="D207" t="inlineStr">
        <is>
          <t>DALARNAS LÄN</t>
        </is>
      </c>
      <c r="E207" t="inlineStr">
        <is>
          <t>HEDEMORA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57779-2020</t>
        </is>
      </c>
      <c r="B208" s="1" t="n">
        <v>44141</v>
      </c>
      <c r="C208" s="1" t="n">
        <v>45659</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58111-2020</t>
        </is>
      </c>
      <c r="B209" s="1" t="n">
        <v>44144</v>
      </c>
      <c r="C209" s="1" t="n">
        <v>45659</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45659</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62373-2020</t>
        </is>
      </c>
      <c r="B211" s="1" t="n">
        <v>44160</v>
      </c>
      <c r="C211" s="1" t="n">
        <v>45659</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c r="U211">
        <f>HYPERLINK("https://klasma.github.io/Logging_2083/knärot/A 62373-2020 karta knärot.png", "A 62373-2020")</f>
        <v/>
      </c>
      <c r="V211">
        <f>HYPERLINK("https://klasma.github.io/Logging_2083/klagomål/A 62373-2020 FSC-klagomål.docx", "A 62373-2020")</f>
        <v/>
      </c>
      <c r="W211">
        <f>HYPERLINK("https://klasma.github.io/Logging_2083/klagomålsmail/A 62373-2020 FSC-klagomål mail.docx", "A 62373-2020")</f>
        <v/>
      </c>
      <c r="X211">
        <f>HYPERLINK("https://klasma.github.io/Logging_2083/tillsyn/A 62373-2020 tillsynsbegäran.docx", "A 62373-2020")</f>
        <v/>
      </c>
      <c r="Y211">
        <f>HYPERLINK("https://klasma.github.io/Logging_2083/tillsynsmail/A 62373-2020 tillsynsbegäran mail.docx", "A 62373-2020")</f>
        <v/>
      </c>
    </row>
    <row r="212" ht="15" customHeight="1">
      <c r="A212" t="inlineStr">
        <is>
          <t>A 62412-2020</t>
        </is>
      </c>
      <c r="B212" s="1" t="n">
        <v>44160</v>
      </c>
      <c r="C212" s="1" t="n">
        <v>45659</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66064-2020</t>
        </is>
      </c>
      <c r="B213" s="1" t="n">
        <v>44175</v>
      </c>
      <c r="C213" s="1" t="n">
        <v>45659</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67062-2020</t>
        </is>
      </c>
      <c r="B214" s="1" t="n">
        <v>44180</v>
      </c>
      <c r="C214" s="1" t="n">
        <v>45659</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653-2021</t>
        </is>
      </c>
      <c r="B215" s="1" t="n">
        <v>44203</v>
      </c>
      <c r="C215" s="1" t="n">
        <v>45659</v>
      </c>
      <c r="D215" t="inlineStr">
        <is>
          <t>DALARNAS LÄN</t>
        </is>
      </c>
      <c r="E215" t="inlineStr">
        <is>
          <t>HEDEMORA</t>
        </is>
      </c>
      <c r="G215" t="n">
        <v>3.8</v>
      </c>
      <c r="H215" t="n">
        <v>0</v>
      </c>
      <c r="I215" t="n">
        <v>0</v>
      </c>
      <c r="J215" t="n">
        <v>0</v>
      </c>
      <c r="K215" t="n">
        <v>0</v>
      </c>
      <c r="L215" t="n">
        <v>0</v>
      </c>
      <c r="M215" t="n">
        <v>0</v>
      </c>
      <c r="N215" t="n">
        <v>0</v>
      </c>
      <c r="O215" t="n">
        <v>0</v>
      </c>
      <c r="P215" t="n">
        <v>0</v>
      </c>
      <c r="Q215" t="n">
        <v>0</v>
      </c>
      <c r="R215" s="2" t="inlineStr"/>
    </row>
    <row r="216" ht="15" customHeight="1">
      <c r="A216" t="inlineStr">
        <is>
          <t>A 1916-2021</t>
        </is>
      </c>
      <c r="B216" s="1" t="n">
        <v>44210</v>
      </c>
      <c r="C216" s="1" t="n">
        <v>45659</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1973-2021</t>
        </is>
      </c>
      <c r="B217" s="1" t="n">
        <v>44210</v>
      </c>
      <c r="C217" s="1" t="n">
        <v>45659</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v>
      </c>
      <c r="C218" s="1" t="n">
        <v>45659</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3314-2021</t>
        </is>
      </c>
      <c r="B219" s="1" t="n">
        <v>44217</v>
      </c>
      <c r="C219" s="1" t="n">
        <v>45659</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6185-2021</t>
        </is>
      </c>
      <c r="B220" s="1" t="n">
        <v>44233</v>
      </c>
      <c r="C220" s="1" t="n">
        <v>45659</v>
      </c>
      <c r="D220" t="inlineStr">
        <is>
          <t>DALARNAS LÄN</t>
        </is>
      </c>
      <c r="E220" t="inlineStr">
        <is>
          <t>HEDEMORA</t>
        </is>
      </c>
      <c r="G220" t="n">
        <v>3.3</v>
      </c>
      <c r="H220" t="n">
        <v>0</v>
      </c>
      <c r="I220" t="n">
        <v>0</v>
      </c>
      <c r="J220" t="n">
        <v>0</v>
      </c>
      <c r="K220" t="n">
        <v>0</v>
      </c>
      <c r="L220" t="n">
        <v>0</v>
      </c>
      <c r="M220" t="n">
        <v>0</v>
      </c>
      <c r="N220" t="n">
        <v>0</v>
      </c>
      <c r="O220" t="n">
        <v>0</v>
      </c>
      <c r="P220" t="n">
        <v>0</v>
      </c>
      <c r="Q220" t="n">
        <v>0</v>
      </c>
      <c r="R220" s="2" t="inlineStr"/>
    </row>
    <row r="221" ht="15" customHeight="1">
      <c r="A221" t="inlineStr">
        <is>
          <t>A 6441-2021</t>
        </is>
      </c>
      <c r="B221" s="1" t="n">
        <v>44235</v>
      </c>
      <c r="C221" s="1" t="n">
        <v>45659</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v>
      </c>
      <c r="C222" s="1" t="n">
        <v>45659</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15125-2021</t>
        </is>
      </c>
      <c r="B223" s="1" t="n">
        <v>44283</v>
      </c>
      <c r="C223" s="1" t="n">
        <v>45659</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15290-2021</t>
        </is>
      </c>
      <c r="B224" s="1" t="n">
        <v>44284</v>
      </c>
      <c r="C224" s="1" t="n">
        <v>45659</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17464-2021</t>
        </is>
      </c>
      <c r="B225" s="1" t="n">
        <v>44299</v>
      </c>
      <c r="C225" s="1" t="n">
        <v>45659</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v>
      </c>
      <c r="C226" s="1" t="n">
        <v>45659</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20330-2021</t>
        </is>
      </c>
      <c r="B227" s="1" t="n">
        <v>44315</v>
      </c>
      <c r="C227" s="1" t="n">
        <v>45659</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20353-2021</t>
        </is>
      </c>
      <c r="B228" s="1" t="n">
        <v>44315</v>
      </c>
      <c r="C228" s="1" t="n">
        <v>45659</v>
      </c>
      <c r="D228" t="inlineStr">
        <is>
          <t>DALARNAS LÄN</t>
        </is>
      </c>
      <c r="E228" t="inlineStr">
        <is>
          <t>HEDEMORA</t>
        </is>
      </c>
      <c r="G228" t="n">
        <v>0.5</v>
      </c>
      <c r="H228" t="n">
        <v>0</v>
      </c>
      <c r="I228" t="n">
        <v>0</v>
      </c>
      <c r="J228" t="n">
        <v>0</v>
      </c>
      <c r="K228" t="n">
        <v>0</v>
      </c>
      <c r="L228" t="n">
        <v>0</v>
      </c>
      <c r="M228" t="n">
        <v>0</v>
      </c>
      <c r="N228" t="n">
        <v>0</v>
      </c>
      <c r="O228" t="n">
        <v>0</v>
      </c>
      <c r="P228" t="n">
        <v>0</v>
      </c>
      <c r="Q228" t="n">
        <v>0</v>
      </c>
      <c r="R228" s="2" t="inlineStr"/>
    </row>
    <row r="229" ht="15" customHeight="1">
      <c r="A229" t="inlineStr">
        <is>
          <t>A 21171-2021</t>
        </is>
      </c>
      <c r="B229" s="1" t="n">
        <v>44320</v>
      </c>
      <c r="C229" s="1" t="n">
        <v>45659</v>
      </c>
      <c r="D229" t="inlineStr">
        <is>
          <t>DALARNAS LÄN</t>
        </is>
      </c>
      <c r="E229" t="inlineStr">
        <is>
          <t>HEDEMORA</t>
        </is>
      </c>
      <c r="G229" t="n">
        <v>2.8</v>
      </c>
      <c r="H229" t="n">
        <v>0</v>
      </c>
      <c r="I229" t="n">
        <v>0</v>
      </c>
      <c r="J229" t="n">
        <v>0</v>
      </c>
      <c r="K229" t="n">
        <v>0</v>
      </c>
      <c r="L229" t="n">
        <v>0</v>
      </c>
      <c r="M229" t="n">
        <v>0</v>
      </c>
      <c r="N229" t="n">
        <v>0</v>
      </c>
      <c r="O229" t="n">
        <v>0</v>
      </c>
      <c r="P229" t="n">
        <v>0</v>
      </c>
      <c r="Q229" t="n">
        <v>0</v>
      </c>
      <c r="R229" s="2" t="inlineStr"/>
    </row>
    <row r="230" ht="15" customHeight="1">
      <c r="A230" t="inlineStr">
        <is>
          <t>A 21408-2021</t>
        </is>
      </c>
      <c r="B230" s="1" t="n">
        <v>44321</v>
      </c>
      <c r="C230" s="1" t="n">
        <v>45659</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25641-2021</t>
        </is>
      </c>
      <c r="B231" s="1" t="n">
        <v>44343</v>
      </c>
      <c r="C231" s="1" t="n">
        <v>45659</v>
      </c>
      <c r="D231" t="inlineStr">
        <is>
          <t>DALARNAS LÄN</t>
        </is>
      </c>
      <c r="E231" t="inlineStr">
        <is>
          <t>HEDEMORA</t>
        </is>
      </c>
      <c r="G231" t="n">
        <v>11.2</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v>
      </c>
      <c r="C232" s="1" t="n">
        <v>45659</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28067-2021</t>
        </is>
      </c>
      <c r="B233" s="1" t="n">
        <v>44355</v>
      </c>
      <c r="C233" s="1" t="n">
        <v>45659</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29123-2021</t>
        </is>
      </c>
      <c r="B234" s="1" t="n">
        <v>44358</v>
      </c>
      <c r="C234" s="1" t="n">
        <v>45659</v>
      </c>
      <c r="D234" t="inlineStr">
        <is>
          <t>DALARNAS LÄN</t>
        </is>
      </c>
      <c r="E234" t="inlineStr">
        <is>
          <t>HEDEMORA</t>
        </is>
      </c>
      <c r="G234" t="n">
        <v>5.6</v>
      </c>
      <c r="H234" t="n">
        <v>0</v>
      </c>
      <c r="I234" t="n">
        <v>0</v>
      </c>
      <c r="J234" t="n">
        <v>0</v>
      </c>
      <c r="K234" t="n">
        <v>0</v>
      </c>
      <c r="L234" t="n">
        <v>0</v>
      </c>
      <c r="M234" t="n">
        <v>0</v>
      </c>
      <c r="N234" t="n">
        <v>0</v>
      </c>
      <c r="O234" t="n">
        <v>0</v>
      </c>
      <c r="P234" t="n">
        <v>0</v>
      </c>
      <c r="Q234" t="n">
        <v>0</v>
      </c>
      <c r="R234" s="2" t="inlineStr"/>
    </row>
    <row r="235" ht="15" customHeight="1">
      <c r="A235" t="inlineStr">
        <is>
          <t>A 29208-2021</t>
        </is>
      </c>
      <c r="B235" s="1" t="n">
        <v>44359</v>
      </c>
      <c r="C235" s="1" t="n">
        <v>45659</v>
      </c>
      <c r="D235" t="inlineStr">
        <is>
          <t>DALARNAS LÄN</t>
        </is>
      </c>
      <c r="E235" t="inlineStr">
        <is>
          <t>HEDEMORA</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30571-2021</t>
        </is>
      </c>
      <c r="B236" s="1" t="n">
        <v>44364</v>
      </c>
      <c r="C236" s="1" t="n">
        <v>45659</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30572-2021</t>
        </is>
      </c>
      <c r="B237" s="1" t="n">
        <v>44364</v>
      </c>
      <c r="C237" s="1" t="n">
        <v>45659</v>
      </c>
      <c r="D237" t="inlineStr">
        <is>
          <t>DALARNAS LÄN</t>
        </is>
      </c>
      <c r="E237" t="inlineStr">
        <is>
          <t>HEDEMORA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30573-2021</t>
        </is>
      </c>
      <c r="B238" s="1" t="n">
        <v>44364</v>
      </c>
      <c r="C238" s="1" t="n">
        <v>45659</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30574-2021</t>
        </is>
      </c>
      <c r="B239" s="1" t="n">
        <v>44364</v>
      </c>
      <c r="C239" s="1" t="n">
        <v>45659</v>
      </c>
      <c r="D239" t="inlineStr">
        <is>
          <t>DALARNAS LÄN</t>
        </is>
      </c>
      <c r="E239" t="inlineStr">
        <is>
          <t>HEDEMORA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32071-2021</t>
        </is>
      </c>
      <c r="B240" s="1" t="n">
        <v>44370</v>
      </c>
      <c r="C240" s="1" t="n">
        <v>45659</v>
      </c>
      <c r="D240" t="inlineStr">
        <is>
          <t>DALARNAS LÄN</t>
        </is>
      </c>
      <c r="E240" t="inlineStr">
        <is>
          <t>HEDEMORA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32073-2021</t>
        </is>
      </c>
      <c r="B241" s="1" t="n">
        <v>44370</v>
      </c>
      <c r="C241" s="1" t="n">
        <v>45659</v>
      </c>
      <c r="D241" t="inlineStr">
        <is>
          <t>DALARNAS LÄN</t>
        </is>
      </c>
      <c r="E241" t="inlineStr">
        <is>
          <t>HEDEMORA</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35792-2021</t>
        </is>
      </c>
      <c r="B242" s="1" t="n">
        <v>44386</v>
      </c>
      <c r="C242" s="1" t="n">
        <v>45659</v>
      </c>
      <c r="D242" t="inlineStr">
        <is>
          <t>DALARNAS LÄN</t>
        </is>
      </c>
      <c r="E242" t="inlineStr">
        <is>
          <t>HEDEMORA</t>
        </is>
      </c>
      <c r="F242" t="inlineStr">
        <is>
          <t>Bergvik skog väst AB</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36943-2021</t>
        </is>
      </c>
      <c r="B243" s="1" t="n">
        <v>44393</v>
      </c>
      <c r="C243" s="1" t="n">
        <v>45659</v>
      </c>
      <c r="D243" t="inlineStr">
        <is>
          <t>DALARNAS LÄN</t>
        </is>
      </c>
      <c r="E243" t="inlineStr">
        <is>
          <t>HEDEMORA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39411-2021</t>
        </is>
      </c>
      <c r="B244" s="1" t="n">
        <v>44414</v>
      </c>
      <c r="C244" s="1" t="n">
        <v>45659</v>
      </c>
      <c r="D244" t="inlineStr">
        <is>
          <t>DALARNAS LÄN</t>
        </is>
      </c>
      <c r="E244" t="inlineStr">
        <is>
          <t>HEDEMORA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40930-2021</t>
        </is>
      </c>
      <c r="B245" s="1" t="n">
        <v>44421</v>
      </c>
      <c r="C245" s="1" t="n">
        <v>45659</v>
      </c>
      <c r="D245" t="inlineStr">
        <is>
          <t>DALARNAS LÄN</t>
        </is>
      </c>
      <c r="E245" t="inlineStr">
        <is>
          <t>HEDEMORA</t>
        </is>
      </c>
      <c r="G245" t="n">
        <v>6.5</v>
      </c>
      <c r="H245" t="n">
        <v>0</v>
      </c>
      <c r="I245" t="n">
        <v>0</v>
      </c>
      <c r="J245" t="n">
        <v>0</v>
      </c>
      <c r="K245" t="n">
        <v>0</v>
      </c>
      <c r="L245" t="n">
        <v>0</v>
      </c>
      <c r="M245" t="n">
        <v>0</v>
      </c>
      <c r="N245" t="n">
        <v>0</v>
      </c>
      <c r="O245" t="n">
        <v>0</v>
      </c>
      <c r="P245" t="n">
        <v>0</v>
      </c>
      <c r="Q245" t="n">
        <v>0</v>
      </c>
      <c r="R245" s="2" t="inlineStr"/>
    </row>
    <row r="246" ht="15" customHeight="1">
      <c r="A246" t="inlineStr">
        <is>
          <t>A 40938-2021</t>
        </is>
      </c>
      <c r="B246" s="1" t="n">
        <v>44421</v>
      </c>
      <c r="C246" s="1" t="n">
        <v>45659</v>
      </c>
      <c r="D246" t="inlineStr">
        <is>
          <t>DALARNAS LÄN</t>
        </is>
      </c>
      <c r="E246" t="inlineStr">
        <is>
          <t>HEDEMORA</t>
        </is>
      </c>
      <c r="G246" t="n">
        <v>1</v>
      </c>
      <c r="H246" t="n">
        <v>0</v>
      </c>
      <c r="I246" t="n">
        <v>0</v>
      </c>
      <c r="J246" t="n">
        <v>0</v>
      </c>
      <c r="K246" t="n">
        <v>0</v>
      </c>
      <c r="L246" t="n">
        <v>0</v>
      </c>
      <c r="M246" t="n">
        <v>0</v>
      </c>
      <c r="N246" t="n">
        <v>0</v>
      </c>
      <c r="O246" t="n">
        <v>0</v>
      </c>
      <c r="P246" t="n">
        <v>0</v>
      </c>
      <c r="Q246" t="n">
        <v>0</v>
      </c>
      <c r="R246" s="2" t="inlineStr"/>
    </row>
    <row r="247" ht="15" customHeight="1">
      <c r="A247" t="inlineStr">
        <is>
          <t>A 41047-2021</t>
        </is>
      </c>
      <c r="B247" s="1" t="n">
        <v>44421</v>
      </c>
      <c r="C247" s="1" t="n">
        <v>45659</v>
      </c>
      <c r="D247" t="inlineStr">
        <is>
          <t>DALARNAS LÄN</t>
        </is>
      </c>
      <c r="E247" t="inlineStr">
        <is>
          <t>HEDEMORA</t>
        </is>
      </c>
      <c r="F247" t="inlineStr">
        <is>
          <t>Sveaskog</t>
        </is>
      </c>
      <c r="G247" t="n">
        <v>3.2</v>
      </c>
      <c r="H247" t="n">
        <v>0</v>
      </c>
      <c r="I247" t="n">
        <v>0</v>
      </c>
      <c r="J247" t="n">
        <v>0</v>
      </c>
      <c r="K247" t="n">
        <v>0</v>
      </c>
      <c r="L247" t="n">
        <v>0</v>
      </c>
      <c r="M247" t="n">
        <v>0</v>
      </c>
      <c r="N247" t="n">
        <v>0</v>
      </c>
      <c r="O247" t="n">
        <v>0</v>
      </c>
      <c r="P247" t="n">
        <v>0</v>
      </c>
      <c r="Q247" t="n">
        <v>0</v>
      </c>
      <c r="R247" s="2" t="inlineStr"/>
      <c r="U247">
        <f>HYPERLINK("https://klasma.github.io/Logging_2083/knärot/A 41047-2021 karta knärot.png", "A 41047-2021")</f>
        <v/>
      </c>
      <c r="V247">
        <f>HYPERLINK("https://klasma.github.io/Logging_2083/klagomål/A 41047-2021 FSC-klagomål.docx", "A 41047-2021")</f>
        <v/>
      </c>
      <c r="W247">
        <f>HYPERLINK("https://klasma.github.io/Logging_2083/klagomålsmail/A 41047-2021 FSC-klagomål mail.docx", "A 41047-2021")</f>
        <v/>
      </c>
      <c r="X247">
        <f>HYPERLINK("https://klasma.github.io/Logging_2083/tillsyn/A 41047-2021 tillsynsbegäran.docx", "A 41047-2021")</f>
        <v/>
      </c>
      <c r="Y247">
        <f>HYPERLINK("https://klasma.github.io/Logging_2083/tillsynsmail/A 41047-2021 tillsynsbegäran mail.docx", "A 41047-2021")</f>
        <v/>
      </c>
    </row>
    <row r="248" ht="15" customHeight="1">
      <c r="A248" t="inlineStr">
        <is>
          <t>A 44065-2021</t>
        </is>
      </c>
      <c r="B248" s="1" t="n">
        <v>44434</v>
      </c>
      <c r="C248" s="1" t="n">
        <v>45659</v>
      </c>
      <c r="D248" t="inlineStr">
        <is>
          <t>DALARNAS LÄN</t>
        </is>
      </c>
      <c r="E248" t="inlineStr">
        <is>
          <t>HEDEMORA</t>
        </is>
      </c>
      <c r="F248" t="inlineStr">
        <is>
          <t>Bergvik skog väst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v>
      </c>
      <c r="C249" s="1" t="n">
        <v>45659</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44957-2021</t>
        </is>
      </c>
      <c r="B250" s="1" t="n">
        <v>44438</v>
      </c>
      <c r="C250" s="1" t="n">
        <v>45659</v>
      </c>
      <c r="D250" t="inlineStr">
        <is>
          <t>DALARNAS LÄN</t>
        </is>
      </c>
      <c r="E250" t="inlineStr">
        <is>
          <t>HEDEMORA</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44966-2021</t>
        </is>
      </c>
      <c r="B251" s="1" t="n">
        <v>44438</v>
      </c>
      <c r="C251" s="1" t="n">
        <v>45659</v>
      </c>
      <c r="D251" t="inlineStr">
        <is>
          <t>DALARNAS LÄN</t>
        </is>
      </c>
      <c r="E251" t="inlineStr">
        <is>
          <t>HEDEMORA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46235-2021</t>
        </is>
      </c>
      <c r="B252" s="1" t="n">
        <v>44442</v>
      </c>
      <c r="C252" s="1" t="n">
        <v>45659</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48323-2021</t>
        </is>
      </c>
      <c r="B253" s="1" t="n">
        <v>44450</v>
      </c>
      <c r="C253" s="1" t="n">
        <v>45659</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49636-2021</t>
        </is>
      </c>
      <c r="B254" s="1" t="n">
        <v>44455</v>
      </c>
      <c r="C254" s="1" t="n">
        <v>45659</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50441-2021</t>
        </is>
      </c>
      <c r="B255" s="1" t="n">
        <v>44456</v>
      </c>
      <c r="C255" s="1" t="n">
        <v>45659</v>
      </c>
      <c r="D255" t="inlineStr">
        <is>
          <t>DALARNAS LÄN</t>
        </is>
      </c>
      <c r="E255" t="inlineStr">
        <is>
          <t>HEDEMORA</t>
        </is>
      </c>
      <c r="F255" t="inlineStr">
        <is>
          <t>Bergvik skog väst AB</t>
        </is>
      </c>
      <c r="G255" t="n">
        <v>6.4</v>
      </c>
      <c r="H255" t="n">
        <v>0</v>
      </c>
      <c r="I255" t="n">
        <v>0</v>
      </c>
      <c r="J255" t="n">
        <v>0</v>
      </c>
      <c r="K255" t="n">
        <v>0</v>
      </c>
      <c r="L255" t="n">
        <v>0</v>
      </c>
      <c r="M255" t="n">
        <v>0</v>
      </c>
      <c r="N255" t="n">
        <v>0</v>
      </c>
      <c r="O255" t="n">
        <v>0</v>
      </c>
      <c r="P255" t="n">
        <v>0</v>
      </c>
      <c r="Q255" t="n">
        <v>0</v>
      </c>
      <c r="R255" s="2" t="inlineStr"/>
    </row>
    <row r="256" ht="15" customHeight="1">
      <c r="A256" t="inlineStr">
        <is>
          <t>A 51106-2021</t>
        </is>
      </c>
      <c r="B256" s="1" t="n">
        <v>44461</v>
      </c>
      <c r="C256" s="1" t="n">
        <v>45659</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52199-2021</t>
        </is>
      </c>
      <c r="B257" s="1" t="n">
        <v>44462</v>
      </c>
      <c r="C257" s="1" t="n">
        <v>45659</v>
      </c>
      <c r="D257" t="inlineStr">
        <is>
          <t>DALARNAS LÄN</t>
        </is>
      </c>
      <c r="E257" t="inlineStr">
        <is>
          <t>HEDEMORA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52215-2021</t>
        </is>
      </c>
      <c r="B258" s="1" t="n">
        <v>44462</v>
      </c>
      <c r="C258" s="1" t="n">
        <v>45659</v>
      </c>
      <c r="D258" t="inlineStr">
        <is>
          <t>DALARNAS LÄN</t>
        </is>
      </c>
      <c r="E258" t="inlineStr">
        <is>
          <t>HEDEMORA</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52221-2021</t>
        </is>
      </c>
      <c r="B259" s="1" t="n">
        <v>44462</v>
      </c>
      <c r="C259" s="1" t="n">
        <v>45659</v>
      </c>
      <c r="D259" t="inlineStr">
        <is>
          <t>DALARNAS LÄN</t>
        </is>
      </c>
      <c r="E259" t="inlineStr">
        <is>
          <t>HEDEMORA</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52425-2021</t>
        </is>
      </c>
      <c r="B260" s="1" t="n">
        <v>44466</v>
      </c>
      <c r="C260" s="1" t="n">
        <v>45659</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52511-2021</t>
        </is>
      </c>
      <c r="B261" s="1" t="n">
        <v>44466</v>
      </c>
      <c r="C261" s="1" t="n">
        <v>45659</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53443-2021</t>
        </is>
      </c>
      <c r="B262" s="1" t="n">
        <v>44468</v>
      </c>
      <c r="C262" s="1" t="n">
        <v>45659</v>
      </c>
      <c r="D262" t="inlineStr">
        <is>
          <t>DALARNAS LÄN</t>
        </is>
      </c>
      <c r="E262" t="inlineStr">
        <is>
          <t>HEDEMORA</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54310-2021</t>
        </is>
      </c>
      <c r="B263" s="1" t="n">
        <v>44472</v>
      </c>
      <c r="C263" s="1" t="n">
        <v>45659</v>
      </c>
      <c r="D263" t="inlineStr">
        <is>
          <t>DALARNAS LÄN</t>
        </is>
      </c>
      <c r="E263" t="inlineStr">
        <is>
          <t>HEDEMORA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55195-2021</t>
        </is>
      </c>
      <c r="B264" s="1" t="n">
        <v>44475</v>
      </c>
      <c r="C264" s="1" t="n">
        <v>45659</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57117-2021</t>
        </is>
      </c>
      <c r="B265" s="1" t="n">
        <v>44482</v>
      </c>
      <c r="C265" s="1" t="n">
        <v>45659</v>
      </c>
      <c r="D265" t="inlineStr">
        <is>
          <t>DALARNAS LÄN</t>
        </is>
      </c>
      <c r="E265" t="inlineStr">
        <is>
          <t>HEDEMORA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59491-2021</t>
        </is>
      </c>
      <c r="B266" s="1" t="n">
        <v>44491</v>
      </c>
      <c r="C266" s="1" t="n">
        <v>45659</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59495-2021</t>
        </is>
      </c>
      <c r="B267" s="1" t="n">
        <v>44491</v>
      </c>
      <c r="C267" s="1" t="n">
        <v>45659</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60418-2021</t>
        </is>
      </c>
      <c r="B268" s="1" t="n">
        <v>44495</v>
      </c>
      <c r="C268" s="1" t="n">
        <v>45659</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61533-2021</t>
        </is>
      </c>
      <c r="B269" s="1" t="n">
        <v>44501</v>
      </c>
      <c r="C269" s="1" t="n">
        <v>45659</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62305-2021</t>
        </is>
      </c>
      <c r="B270" s="1" t="n">
        <v>44502</v>
      </c>
      <c r="C270" s="1" t="n">
        <v>45659</v>
      </c>
      <c r="D270" t="inlineStr">
        <is>
          <t>DALARNAS LÄN</t>
        </is>
      </c>
      <c r="E270" t="inlineStr">
        <is>
          <t>HEDEMORA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v>
      </c>
      <c r="C271" s="1" t="n">
        <v>45659</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64473-2021</t>
        </is>
      </c>
      <c r="B272" s="1" t="n">
        <v>44511</v>
      </c>
      <c r="C272" s="1" t="n">
        <v>45659</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67282-2021</t>
        </is>
      </c>
      <c r="B273" s="1" t="n">
        <v>44523</v>
      </c>
      <c r="C273" s="1" t="n">
        <v>45659</v>
      </c>
      <c r="D273" t="inlineStr">
        <is>
          <t>DALARNAS LÄN</t>
        </is>
      </c>
      <c r="E273" t="inlineStr">
        <is>
          <t>HEDEMORA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67288-2021</t>
        </is>
      </c>
      <c r="B274" s="1" t="n">
        <v>44523</v>
      </c>
      <c r="C274" s="1" t="n">
        <v>45659</v>
      </c>
      <c r="D274" t="inlineStr">
        <is>
          <t>DALARNAS LÄN</t>
        </is>
      </c>
      <c r="E274" t="inlineStr">
        <is>
          <t>HEDEMORA</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68553-2021</t>
        </is>
      </c>
      <c r="B275" s="1" t="n">
        <v>44529</v>
      </c>
      <c r="C275" s="1" t="n">
        <v>45659</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68457-2021</t>
        </is>
      </c>
      <c r="B276" s="1" t="n">
        <v>44529</v>
      </c>
      <c r="C276" s="1" t="n">
        <v>45659</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69624-2021</t>
        </is>
      </c>
      <c r="B277" s="1" t="n">
        <v>44532</v>
      </c>
      <c r="C277" s="1" t="n">
        <v>45659</v>
      </c>
      <c r="D277" t="inlineStr">
        <is>
          <t>DALARNAS LÄN</t>
        </is>
      </c>
      <c r="E277" t="inlineStr">
        <is>
          <t>HEDEMORA</t>
        </is>
      </c>
      <c r="G277" t="n">
        <v>0.4</v>
      </c>
      <c r="H277" t="n">
        <v>0</v>
      </c>
      <c r="I277" t="n">
        <v>0</v>
      </c>
      <c r="J277" t="n">
        <v>0</v>
      </c>
      <c r="K277" t="n">
        <v>0</v>
      </c>
      <c r="L277" t="n">
        <v>0</v>
      </c>
      <c r="M277" t="n">
        <v>0</v>
      </c>
      <c r="N277" t="n">
        <v>0</v>
      </c>
      <c r="O277" t="n">
        <v>0</v>
      </c>
      <c r="P277" t="n">
        <v>0</v>
      </c>
      <c r="Q277" t="n">
        <v>0</v>
      </c>
      <c r="R277" s="2" t="inlineStr"/>
    </row>
    <row r="278" ht="15" customHeight="1">
      <c r="A278" t="inlineStr">
        <is>
          <t>A 73099-2021</t>
        </is>
      </c>
      <c r="B278" s="1" t="n">
        <v>44546</v>
      </c>
      <c r="C278" s="1" t="n">
        <v>45659</v>
      </c>
      <c r="D278" t="inlineStr">
        <is>
          <t>DALARNAS LÄN</t>
        </is>
      </c>
      <c r="E278" t="inlineStr">
        <is>
          <t>HEDEMORA</t>
        </is>
      </c>
      <c r="G278" t="n">
        <v>4.5</v>
      </c>
      <c r="H278" t="n">
        <v>0</v>
      </c>
      <c r="I278" t="n">
        <v>0</v>
      </c>
      <c r="J278" t="n">
        <v>0</v>
      </c>
      <c r="K278" t="n">
        <v>0</v>
      </c>
      <c r="L278" t="n">
        <v>0</v>
      </c>
      <c r="M278" t="n">
        <v>0</v>
      </c>
      <c r="N278" t="n">
        <v>0</v>
      </c>
      <c r="O278" t="n">
        <v>0</v>
      </c>
      <c r="P278" t="n">
        <v>0</v>
      </c>
      <c r="Q278" t="n">
        <v>0</v>
      </c>
      <c r="R278" s="2" t="inlineStr"/>
    </row>
    <row r="279" ht="15" customHeight="1">
      <c r="A279" t="inlineStr">
        <is>
          <t>A 73464-2021</t>
        </is>
      </c>
      <c r="B279" s="1" t="n">
        <v>44551</v>
      </c>
      <c r="C279" s="1" t="n">
        <v>45659</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295-2022</t>
        </is>
      </c>
      <c r="B280" s="1" t="n">
        <v>44565</v>
      </c>
      <c r="C280" s="1" t="n">
        <v>45659</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769-2022</t>
        </is>
      </c>
      <c r="B281" s="1" t="n">
        <v>44570</v>
      </c>
      <c r="C281" s="1" t="n">
        <v>45659</v>
      </c>
      <c r="D281" t="inlineStr">
        <is>
          <t>DALARNAS LÄN</t>
        </is>
      </c>
      <c r="E281" t="inlineStr">
        <is>
          <t>HEDEMORA</t>
        </is>
      </c>
      <c r="G281" t="n">
        <v>5.9</v>
      </c>
      <c r="H281" t="n">
        <v>0</v>
      </c>
      <c r="I281" t="n">
        <v>0</v>
      </c>
      <c r="J281" t="n">
        <v>0</v>
      </c>
      <c r="K281" t="n">
        <v>0</v>
      </c>
      <c r="L281" t="n">
        <v>0</v>
      </c>
      <c r="M281" t="n">
        <v>0</v>
      </c>
      <c r="N281" t="n">
        <v>0</v>
      </c>
      <c r="O281" t="n">
        <v>0</v>
      </c>
      <c r="P281" t="n">
        <v>0</v>
      </c>
      <c r="Q281" t="n">
        <v>0</v>
      </c>
      <c r="R281" s="2" t="inlineStr"/>
    </row>
    <row r="282" ht="15" customHeight="1">
      <c r="A282" t="inlineStr">
        <is>
          <t>A 1666-2022</t>
        </is>
      </c>
      <c r="B282" s="1" t="n">
        <v>44574</v>
      </c>
      <c r="C282" s="1" t="n">
        <v>45659</v>
      </c>
      <c r="D282" t="inlineStr">
        <is>
          <t>DALARNAS LÄN</t>
        </is>
      </c>
      <c r="E282" t="inlineStr">
        <is>
          <t>HEDEMORA</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45659</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1973-2022</t>
        </is>
      </c>
      <c r="B284" s="1" t="n">
        <v>44575</v>
      </c>
      <c r="C284" s="1" t="n">
        <v>45659</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1976-2022</t>
        </is>
      </c>
      <c r="B285" s="1" t="n">
        <v>44575</v>
      </c>
      <c r="C285" s="1" t="n">
        <v>45659</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4030-2022</t>
        </is>
      </c>
      <c r="B286" s="1" t="n">
        <v>44588</v>
      </c>
      <c r="C286" s="1" t="n">
        <v>45659</v>
      </c>
      <c r="D286" t="inlineStr">
        <is>
          <t>DALARNAS LÄN</t>
        </is>
      </c>
      <c r="E286" t="inlineStr">
        <is>
          <t>HEDEMORA</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7515-2022</t>
        </is>
      </c>
      <c r="B287" s="1" t="n">
        <v>44607</v>
      </c>
      <c r="C287" s="1" t="n">
        <v>45659</v>
      </c>
      <c r="D287" t="inlineStr">
        <is>
          <t>DALARNAS LÄN</t>
        </is>
      </c>
      <c r="E287" t="inlineStr">
        <is>
          <t>HEDEMORA</t>
        </is>
      </c>
      <c r="G287" t="n">
        <v>3.8</v>
      </c>
      <c r="H287" t="n">
        <v>0</v>
      </c>
      <c r="I287" t="n">
        <v>0</v>
      </c>
      <c r="J287" t="n">
        <v>0</v>
      </c>
      <c r="K287" t="n">
        <v>0</v>
      </c>
      <c r="L287" t="n">
        <v>0</v>
      </c>
      <c r="M287" t="n">
        <v>0</v>
      </c>
      <c r="N287" t="n">
        <v>0</v>
      </c>
      <c r="O287" t="n">
        <v>0</v>
      </c>
      <c r="P287" t="n">
        <v>0</v>
      </c>
      <c r="Q287" t="n">
        <v>0</v>
      </c>
      <c r="R287" s="2" t="inlineStr"/>
    </row>
    <row r="288" ht="15" customHeight="1">
      <c r="A288" t="inlineStr">
        <is>
          <t>A 10408-2022</t>
        </is>
      </c>
      <c r="B288" s="1" t="n">
        <v>44623</v>
      </c>
      <c r="C288" s="1" t="n">
        <v>45659</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11046-2022</t>
        </is>
      </c>
      <c r="B289" s="1" t="n">
        <v>44628</v>
      </c>
      <c r="C289" s="1" t="n">
        <v>45659</v>
      </c>
      <c r="D289" t="inlineStr">
        <is>
          <t>DALARNAS LÄN</t>
        </is>
      </c>
      <c r="E289" t="inlineStr">
        <is>
          <t>HEDEMORA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15635-2022</t>
        </is>
      </c>
      <c r="B290" s="1" t="n">
        <v>44662</v>
      </c>
      <c r="C290" s="1" t="n">
        <v>45659</v>
      </c>
      <c r="D290" t="inlineStr">
        <is>
          <t>DALARNAS LÄN</t>
        </is>
      </c>
      <c r="E290" t="inlineStr">
        <is>
          <t>HEDEMORA</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16122-2022</t>
        </is>
      </c>
      <c r="B291" s="1" t="n">
        <v>44665</v>
      </c>
      <c r="C291" s="1" t="n">
        <v>45659</v>
      </c>
      <c r="D291" t="inlineStr">
        <is>
          <t>DALARNAS LÄN</t>
        </is>
      </c>
      <c r="E291" t="inlineStr">
        <is>
          <t>HEDEMORA</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16779-2022</t>
        </is>
      </c>
      <c r="B292" s="1" t="n">
        <v>44673</v>
      </c>
      <c r="C292" s="1" t="n">
        <v>45659</v>
      </c>
      <c r="D292" t="inlineStr">
        <is>
          <t>DALARNAS LÄN</t>
        </is>
      </c>
      <c r="E292" t="inlineStr">
        <is>
          <t>HEDEMORA</t>
        </is>
      </c>
      <c r="G292" t="n">
        <v>1.8</v>
      </c>
      <c r="H292" t="n">
        <v>0</v>
      </c>
      <c r="I292" t="n">
        <v>0</v>
      </c>
      <c r="J292" t="n">
        <v>0</v>
      </c>
      <c r="K292" t="n">
        <v>0</v>
      </c>
      <c r="L292" t="n">
        <v>0</v>
      </c>
      <c r="M292" t="n">
        <v>0</v>
      </c>
      <c r="N292" t="n">
        <v>0</v>
      </c>
      <c r="O292" t="n">
        <v>0</v>
      </c>
      <c r="P292" t="n">
        <v>0</v>
      </c>
      <c r="Q292" t="n">
        <v>0</v>
      </c>
      <c r="R292" s="2" t="inlineStr"/>
    </row>
    <row r="293" ht="15" customHeight="1">
      <c r="A293" t="inlineStr">
        <is>
          <t>A 17645-2022</t>
        </is>
      </c>
      <c r="B293" s="1" t="n">
        <v>44680</v>
      </c>
      <c r="C293" s="1" t="n">
        <v>45659</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18098-2022</t>
        </is>
      </c>
      <c r="B294" s="1" t="n">
        <v>44684</v>
      </c>
      <c r="C294" s="1" t="n">
        <v>45659</v>
      </c>
      <c r="D294" t="inlineStr">
        <is>
          <t>DALARNAS LÄN</t>
        </is>
      </c>
      <c r="E294" t="inlineStr">
        <is>
          <t>HEDEMORA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20177-2022</t>
        </is>
      </c>
      <c r="B295" s="1" t="n">
        <v>44698</v>
      </c>
      <c r="C295" s="1" t="n">
        <v>45659</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21520-2022</t>
        </is>
      </c>
      <c r="B296" s="1" t="n">
        <v>44706</v>
      </c>
      <c r="C296" s="1" t="n">
        <v>45659</v>
      </c>
      <c r="D296" t="inlineStr">
        <is>
          <t>DALARNAS LÄN</t>
        </is>
      </c>
      <c r="E296" t="inlineStr">
        <is>
          <t>HEDEMORA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22968-2022</t>
        </is>
      </c>
      <c r="B297" s="1" t="n">
        <v>44716</v>
      </c>
      <c r="C297" s="1" t="n">
        <v>45659</v>
      </c>
      <c r="D297" t="inlineStr">
        <is>
          <t>DALARNAS LÄN</t>
        </is>
      </c>
      <c r="E297" t="inlineStr">
        <is>
          <t>HEDEMORA</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22970-2022</t>
        </is>
      </c>
      <c r="B298" s="1" t="n">
        <v>44716</v>
      </c>
      <c r="C298" s="1" t="n">
        <v>45659</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22969-2022</t>
        </is>
      </c>
      <c r="B299" s="1" t="n">
        <v>44716</v>
      </c>
      <c r="C299" s="1" t="n">
        <v>45659</v>
      </c>
      <c r="D299" t="inlineStr">
        <is>
          <t>DALARNAS LÄN</t>
        </is>
      </c>
      <c r="E299" t="inlineStr">
        <is>
          <t>HEDEMORA</t>
        </is>
      </c>
      <c r="F299" t="inlineStr">
        <is>
          <t>Sveaskog</t>
        </is>
      </c>
      <c r="G299" t="n">
        <v>9</v>
      </c>
      <c r="H299" t="n">
        <v>0</v>
      </c>
      <c r="I299" t="n">
        <v>0</v>
      </c>
      <c r="J299" t="n">
        <v>0</v>
      </c>
      <c r="K299" t="n">
        <v>0</v>
      </c>
      <c r="L299" t="n">
        <v>0</v>
      </c>
      <c r="M299" t="n">
        <v>0</v>
      </c>
      <c r="N299" t="n">
        <v>0</v>
      </c>
      <c r="O299" t="n">
        <v>0</v>
      </c>
      <c r="P299" t="n">
        <v>0</v>
      </c>
      <c r="Q299" t="n">
        <v>0</v>
      </c>
      <c r="R299" s="2" t="inlineStr"/>
    </row>
    <row r="300" ht="15" customHeight="1">
      <c r="A300" t="inlineStr">
        <is>
          <t>A 23329-2022</t>
        </is>
      </c>
      <c r="B300" s="1" t="n">
        <v>44720</v>
      </c>
      <c r="C300" s="1" t="n">
        <v>45659</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23843-2022</t>
        </is>
      </c>
      <c r="B301" s="1" t="n">
        <v>44722</v>
      </c>
      <c r="C301" s="1" t="n">
        <v>45659</v>
      </c>
      <c r="D301" t="inlineStr">
        <is>
          <t>DALARNAS LÄN</t>
        </is>
      </c>
      <c r="E301" t="inlineStr">
        <is>
          <t>HEDEMORA</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23839-2022</t>
        </is>
      </c>
      <c r="B302" s="1" t="n">
        <v>44722</v>
      </c>
      <c r="C302" s="1" t="n">
        <v>45659</v>
      </c>
      <c r="D302" t="inlineStr">
        <is>
          <t>DALARNAS LÄN</t>
        </is>
      </c>
      <c r="E302" t="inlineStr">
        <is>
          <t>HEDEMORA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24427-2022</t>
        </is>
      </c>
      <c r="B303" s="1" t="n">
        <v>44726</v>
      </c>
      <c r="C303" s="1" t="n">
        <v>45659</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24446-2022</t>
        </is>
      </c>
      <c r="B304" s="1" t="n">
        <v>44726</v>
      </c>
      <c r="C304" s="1" t="n">
        <v>45659</v>
      </c>
      <c r="D304" t="inlineStr">
        <is>
          <t>DALARNAS LÄN</t>
        </is>
      </c>
      <c r="E304" t="inlineStr">
        <is>
          <t>HEDEMORA</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24706-2022</t>
        </is>
      </c>
      <c r="B305" s="1" t="n">
        <v>44727</v>
      </c>
      <c r="C305" s="1" t="n">
        <v>45659</v>
      </c>
      <c r="D305" t="inlineStr">
        <is>
          <t>DALARNAS LÄN</t>
        </is>
      </c>
      <c r="E305" t="inlineStr">
        <is>
          <t>HEDEMORA</t>
        </is>
      </c>
      <c r="G305" t="n">
        <v>25.4</v>
      </c>
      <c r="H305" t="n">
        <v>0</v>
      </c>
      <c r="I305" t="n">
        <v>0</v>
      </c>
      <c r="J305" t="n">
        <v>0</v>
      </c>
      <c r="K305" t="n">
        <v>0</v>
      </c>
      <c r="L305" t="n">
        <v>0</v>
      </c>
      <c r="M305" t="n">
        <v>0</v>
      </c>
      <c r="N305" t="n">
        <v>0</v>
      </c>
      <c r="O305" t="n">
        <v>0</v>
      </c>
      <c r="P305" t="n">
        <v>0</v>
      </c>
      <c r="Q305" t="n">
        <v>0</v>
      </c>
      <c r="R305" s="2" t="inlineStr"/>
    </row>
    <row r="306" ht="15" customHeight="1">
      <c r="A306" t="inlineStr">
        <is>
          <t>A 25754-2022</t>
        </is>
      </c>
      <c r="B306" s="1" t="n">
        <v>44732</v>
      </c>
      <c r="C306" s="1" t="n">
        <v>45659</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25567-2022</t>
        </is>
      </c>
      <c r="B307" s="1" t="n">
        <v>44732</v>
      </c>
      <c r="C307" s="1" t="n">
        <v>45659</v>
      </c>
      <c r="D307" t="inlineStr">
        <is>
          <t>DALARNAS LÄN</t>
        </is>
      </c>
      <c r="E307" t="inlineStr">
        <is>
          <t>HEDEMORA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25577-2022</t>
        </is>
      </c>
      <c r="B308" s="1" t="n">
        <v>44732</v>
      </c>
      <c r="C308" s="1" t="n">
        <v>45659</v>
      </c>
      <c r="D308" t="inlineStr">
        <is>
          <t>DALARNAS LÄN</t>
        </is>
      </c>
      <c r="E308" t="inlineStr">
        <is>
          <t>HEDEMORA</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25692-2022</t>
        </is>
      </c>
      <c r="B309" s="1" t="n">
        <v>44732</v>
      </c>
      <c r="C309" s="1" t="n">
        <v>45659</v>
      </c>
      <c r="D309" t="inlineStr">
        <is>
          <t>DALARNAS LÄN</t>
        </is>
      </c>
      <c r="E309" t="inlineStr">
        <is>
          <t>HEDEMORA</t>
        </is>
      </c>
      <c r="F309" t="inlineStr">
        <is>
          <t>Bergvik skog väst AB</t>
        </is>
      </c>
      <c r="G309" t="n">
        <v>22.3</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45659</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27238-2022</t>
        </is>
      </c>
      <c r="B311" s="1" t="n">
        <v>44741</v>
      </c>
      <c r="C311" s="1" t="n">
        <v>45659</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28173-2022</t>
        </is>
      </c>
      <c r="B312" s="1" t="n">
        <v>44746</v>
      </c>
      <c r="C312" s="1" t="n">
        <v>45659</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28105-2022</t>
        </is>
      </c>
      <c r="B313" s="1" t="n">
        <v>44746</v>
      </c>
      <c r="C313" s="1" t="n">
        <v>45659</v>
      </c>
      <c r="D313" t="inlineStr">
        <is>
          <t>DALARNAS LÄN</t>
        </is>
      </c>
      <c r="E313" t="inlineStr">
        <is>
          <t>HEDEMORA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29284-2022</t>
        </is>
      </c>
      <c r="B314" s="1" t="n">
        <v>44750</v>
      </c>
      <c r="C314" s="1" t="n">
        <v>45659</v>
      </c>
      <c r="D314" t="inlineStr">
        <is>
          <t>DALARNAS LÄN</t>
        </is>
      </c>
      <c r="E314" t="inlineStr">
        <is>
          <t>HEDEMORA</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29283-2022</t>
        </is>
      </c>
      <c r="B315" s="1" t="n">
        <v>44750</v>
      </c>
      <c r="C315" s="1" t="n">
        <v>45659</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30163-2022</t>
        </is>
      </c>
      <c r="B316" s="1" t="n">
        <v>44757</v>
      </c>
      <c r="C316" s="1" t="n">
        <v>45659</v>
      </c>
      <c r="D316" t="inlineStr">
        <is>
          <t>DALARNAS LÄN</t>
        </is>
      </c>
      <c r="E316" t="inlineStr">
        <is>
          <t>HEDEMORA</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30162-2022</t>
        </is>
      </c>
      <c r="B317" s="1" t="n">
        <v>44757</v>
      </c>
      <c r="C317" s="1" t="n">
        <v>45659</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30205-2022</t>
        </is>
      </c>
      <c r="B318" s="1" t="n">
        <v>44757</v>
      </c>
      <c r="C318" s="1" t="n">
        <v>45659</v>
      </c>
      <c r="D318" t="inlineStr">
        <is>
          <t>DALARNAS LÄN</t>
        </is>
      </c>
      <c r="E318" t="inlineStr">
        <is>
          <t>HEDEMORA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32731-2022</t>
        </is>
      </c>
      <c r="B319" s="1" t="n">
        <v>44783</v>
      </c>
      <c r="C319" s="1" t="n">
        <v>45659</v>
      </c>
      <c r="D319" t="inlineStr">
        <is>
          <t>DALARNAS LÄN</t>
        </is>
      </c>
      <c r="E319" t="inlineStr">
        <is>
          <t>HEDEMORA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32738-2022</t>
        </is>
      </c>
      <c r="B320" s="1" t="n">
        <v>44783</v>
      </c>
      <c r="C320" s="1" t="n">
        <v>45659</v>
      </c>
      <c r="D320" t="inlineStr">
        <is>
          <t>DALARNAS LÄN</t>
        </is>
      </c>
      <c r="E320" t="inlineStr">
        <is>
          <t>HEDEMORA</t>
        </is>
      </c>
      <c r="G320" t="n">
        <v>2.6</v>
      </c>
      <c r="H320" t="n">
        <v>0</v>
      </c>
      <c r="I320" t="n">
        <v>0</v>
      </c>
      <c r="J320" t="n">
        <v>0</v>
      </c>
      <c r="K320" t="n">
        <v>0</v>
      </c>
      <c r="L320" t="n">
        <v>0</v>
      </c>
      <c r="M320" t="n">
        <v>0</v>
      </c>
      <c r="N320" t="n">
        <v>0</v>
      </c>
      <c r="O320" t="n">
        <v>0</v>
      </c>
      <c r="P320" t="n">
        <v>0</v>
      </c>
      <c r="Q320" t="n">
        <v>0</v>
      </c>
      <c r="R320" s="2" t="inlineStr"/>
    </row>
    <row r="321" ht="15" customHeight="1">
      <c r="A321" t="inlineStr">
        <is>
          <t>A 32748-2022</t>
        </is>
      </c>
      <c r="B321" s="1" t="n">
        <v>44783</v>
      </c>
      <c r="C321" s="1" t="n">
        <v>45659</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33071-2022</t>
        </is>
      </c>
      <c r="B322" s="1" t="n">
        <v>44785</v>
      </c>
      <c r="C322" s="1" t="n">
        <v>45659</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34237-2022</t>
        </is>
      </c>
      <c r="B323" s="1" t="n">
        <v>44791</v>
      </c>
      <c r="C323" s="1" t="n">
        <v>45659</v>
      </c>
      <c r="D323" t="inlineStr">
        <is>
          <t>DALARNAS LÄN</t>
        </is>
      </c>
      <c r="E323" t="inlineStr">
        <is>
          <t>HEDEMORA</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34409-2022</t>
        </is>
      </c>
      <c r="B324" s="1" t="n">
        <v>44792</v>
      </c>
      <c r="C324" s="1" t="n">
        <v>45659</v>
      </c>
      <c r="D324" t="inlineStr">
        <is>
          <t>DALARNAS LÄN</t>
        </is>
      </c>
      <c r="E324" t="inlineStr">
        <is>
          <t>HEDEMORA</t>
        </is>
      </c>
      <c r="G324" t="n">
        <v>13.7</v>
      </c>
      <c r="H324" t="n">
        <v>0</v>
      </c>
      <c r="I324" t="n">
        <v>0</v>
      </c>
      <c r="J324" t="n">
        <v>0</v>
      </c>
      <c r="K324" t="n">
        <v>0</v>
      </c>
      <c r="L324" t="n">
        <v>0</v>
      </c>
      <c r="M324" t="n">
        <v>0</v>
      </c>
      <c r="N324" t="n">
        <v>0</v>
      </c>
      <c r="O324" t="n">
        <v>0</v>
      </c>
      <c r="P324" t="n">
        <v>0</v>
      </c>
      <c r="Q324" t="n">
        <v>0</v>
      </c>
      <c r="R324" s="2" t="inlineStr"/>
    </row>
    <row r="325" ht="15" customHeight="1">
      <c r="A325" t="inlineStr">
        <is>
          <t>A 35806-2022</t>
        </is>
      </c>
      <c r="B325" s="1" t="n">
        <v>44802</v>
      </c>
      <c r="C325" s="1" t="n">
        <v>45659</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36865-2022</t>
        </is>
      </c>
      <c r="B326" s="1" t="n">
        <v>44805</v>
      </c>
      <c r="C326" s="1" t="n">
        <v>45659</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36900-2022</t>
        </is>
      </c>
      <c r="B327" s="1" t="n">
        <v>44805</v>
      </c>
      <c r="C327" s="1" t="n">
        <v>45659</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39046-2022</t>
        </is>
      </c>
      <c r="B328" s="1" t="n">
        <v>44817</v>
      </c>
      <c r="C328" s="1" t="n">
        <v>45659</v>
      </c>
      <c r="D328" t="inlineStr">
        <is>
          <t>DALARNAS LÄN</t>
        </is>
      </c>
      <c r="E328" t="inlineStr">
        <is>
          <t>HEDEMORA</t>
        </is>
      </c>
      <c r="F328" t="inlineStr">
        <is>
          <t>Sveaskog</t>
        </is>
      </c>
      <c r="G328" t="n">
        <v>14.8</v>
      </c>
      <c r="H328" t="n">
        <v>0</v>
      </c>
      <c r="I328" t="n">
        <v>0</v>
      </c>
      <c r="J328" t="n">
        <v>0</v>
      </c>
      <c r="K328" t="n">
        <v>0</v>
      </c>
      <c r="L328" t="n">
        <v>0</v>
      </c>
      <c r="M328" t="n">
        <v>0</v>
      </c>
      <c r="N328" t="n">
        <v>0</v>
      </c>
      <c r="O328" t="n">
        <v>0</v>
      </c>
      <c r="P328" t="n">
        <v>0</v>
      </c>
      <c r="Q328" t="n">
        <v>0</v>
      </c>
      <c r="R328" s="2" t="inlineStr"/>
    </row>
    <row r="329" ht="15" customHeight="1">
      <c r="A329" t="inlineStr">
        <is>
          <t>A 39497-2022</t>
        </is>
      </c>
      <c r="B329" s="1" t="n">
        <v>44817</v>
      </c>
      <c r="C329" s="1" t="n">
        <v>45659</v>
      </c>
      <c r="D329" t="inlineStr">
        <is>
          <t>DALARNAS LÄN</t>
        </is>
      </c>
      <c r="E329" t="inlineStr">
        <is>
          <t>HEDEMORA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39511-2022</t>
        </is>
      </c>
      <c r="B330" s="1" t="n">
        <v>44817</v>
      </c>
      <c r="C330" s="1" t="n">
        <v>45659</v>
      </c>
      <c r="D330" t="inlineStr">
        <is>
          <t>DALARNAS LÄN</t>
        </is>
      </c>
      <c r="E330" t="inlineStr">
        <is>
          <t>HEDEMORA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39506-2022</t>
        </is>
      </c>
      <c r="B331" s="1" t="n">
        <v>44817</v>
      </c>
      <c r="C331" s="1" t="n">
        <v>45659</v>
      </c>
      <c r="D331" t="inlineStr">
        <is>
          <t>DALARNAS LÄN</t>
        </is>
      </c>
      <c r="E331" t="inlineStr">
        <is>
          <t>HEDEMORA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39667-2022</t>
        </is>
      </c>
      <c r="B332" s="1" t="n">
        <v>44818</v>
      </c>
      <c r="C332" s="1" t="n">
        <v>45659</v>
      </c>
      <c r="D332" t="inlineStr">
        <is>
          <t>DALARNAS LÄN</t>
        </is>
      </c>
      <c r="E332" t="inlineStr">
        <is>
          <t>HEDEMORA</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40030-2022</t>
        </is>
      </c>
      <c r="B333" s="1" t="n">
        <v>44820</v>
      </c>
      <c r="C333" s="1" t="n">
        <v>45659</v>
      </c>
      <c r="D333" t="inlineStr">
        <is>
          <t>DALARNAS LÄN</t>
        </is>
      </c>
      <c r="E333" t="inlineStr">
        <is>
          <t>HEDEMORA</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40025-2022</t>
        </is>
      </c>
      <c r="B334" s="1" t="n">
        <v>44820</v>
      </c>
      <c r="C334" s="1" t="n">
        <v>45659</v>
      </c>
      <c r="D334" t="inlineStr">
        <is>
          <t>DALARNAS LÄN</t>
        </is>
      </c>
      <c r="E334" t="inlineStr">
        <is>
          <t>HEDEMORA</t>
        </is>
      </c>
      <c r="F334" t="inlineStr">
        <is>
          <t>Sveaskog</t>
        </is>
      </c>
      <c r="G334" t="n">
        <v>8.4</v>
      </c>
      <c r="H334" t="n">
        <v>0</v>
      </c>
      <c r="I334" t="n">
        <v>0</v>
      </c>
      <c r="J334" t="n">
        <v>0</v>
      </c>
      <c r="K334" t="n">
        <v>0</v>
      </c>
      <c r="L334" t="n">
        <v>0</v>
      </c>
      <c r="M334" t="n">
        <v>0</v>
      </c>
      <c r="N334" t="n">
        <v>0</v>
      </c>
      <c r="O334" t="n">
        <v>0</v>
      </c>
      <c r="P334" t="n">
        <v>0</v>
      </c>
      <c r="Q334" t="n">
        <v>0</v>
      </c>
      <c r="R334" s="2" t="inlineStr"/>
    </row>
    <row r="335" ht="15" customHeight="1">
      <c r="A335" t="inlineStr">
        <is>
          <t>A 41845-2022</t>
        </is>
      </c>
      <c r="B335" s="1" t="n">
        <v>44828</v>
      </c>
      <c r="C335" s="1" t="n">
        <v>45659</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45276-2022</t>
        </is>
      </c>
      <c r="B336" s="1" t="n">
        <v>44844</v>
      </c>
      <c r="C336" s="1" t="n">
        <v>45659</v>
      </c>
      <c r="D336" t="inlineStr">
        <is>
          <t>DALARNAS LÄN</t>
        </is>
      </c>
      <c r="E336" t="inlineStr">
        <is>
          <t>HEDEMORA</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45741-2022</t>
        </is>
      </c>
      <c r="B337" s="1" t="n">
        <v>44846</v>
      </c>
      <c r="C337" s="1" t="n">
        <v>45659</v>
      </c>
      <c r="D337" t="inlineStr">
        <is>
          <t>DALARNAS LÄN</t>
        </is>
      </c>
      <c r="E337" t="inlineStr">
        <is>
          <t>HEDEMORA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48639-2022</t>
        </is>
      </c>
      <c r="B338" s="1" t="n">
        <v>44859</v>
      </c>
      <c r="C338" s="1" t="n">
        <v>45659</v>
      </c>
      <c r="D338" t="inlineStr">
        <is>
          <t>DALARNAS LÄN</t>
        </is>
      </c>
      <c r="E338" t="inlineStr">
        <is>
          <t>HEDEMORA</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49160-2022</t>
        </is>
      </c>
      <c r="B339" s="1" t="n">
        <v>44860</v>
      </c>
      <c r="C339" s="1" t="n">
        <v>45659</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49768-2022</t>
        </is>
      </c>
      <c r="B340" s="1" t="n">
        <v>44862</v>
      </c>
      <c r="C340" s="1" t="n">
        <v>45659</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49890-2022</t>
        </is>
      </c>
      <c r="B341" s="1" t="n">
        <v>44864</v>
      </c>
      <c r="C341" s="1" t="n">
        <v>45659</v>
      </c>
      <c r="D341" t="inlineStr">
        <is>
          <t>DALARNAS LÄN</t>
        </is>
      </c>
      <c r="E341" t="inlineStr">
        <is>
          <t>HEDEMORA</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51181-2022</t>
        </is>
      </c>
      <c r="B342" s="1" t="n">
        <v>44868</v>
      </c>
      <c r="C342" s="1" t="n">
        <v>45659</v>
      </c>
      <c r="D342" t="inlineStr">
        <is>
          <t>DALARNAS LÄN</t>
        </is>
      </c>
      <c r="E342" t="inlineStr">
        <is>
          <t>HEDEMORA</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51167-2022</t>
        </is>
      </c>
      <c r="B343" s="1" t="n">
        <v>44868</v>
      </c>
      <c r="C343" s="1" t="n">
        <v>45659</v>
      </c>
      <c r="D343" t="inlineStr">
        <is>
          <t>DALARNAS LÄN</t>
        </is>
      </c>
      <c r="E343" t="inlineStr">
        <is>
          <t>HEDEMORA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51520-2022</t>
        </is>
      </c>
      <c r="B344" s="1" t="n">
        <v>44869</v>
      </c>
      <c r="C344" s="1" t="n">
        <v>45659</v>
      </c>
      <c r="D344" t="inlineStr">
        <is>
          <t>DALARNAS LÄN</t>
        </is>
      </c>
      <c r="E344" t="inlineStr">
        <is>
          <t>HEDEMORA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52822-2022</t>
        </is>
      </c>
      <c r="B345" s="1" t="n">
        <v>44875</v>
      </c>
      <c r="C345" s="1" t="n">
        <v>45659</v>
      </c>
      <c r="D345" t="inlineStr">
        <is>
          <t>DALARNAS LÄN</t>
        </is>
      </c>
      <c r="E345" t="inlineStr">
        <is>
          <t>HEDEMORA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53875-2022</t>
        </is>
      </c>
      <c r="B346" s="1" t="n">
        <v>44880</v>
      </c>
      <c r="C346" s="1" t="n">
        <v>45659</v>
      </c>
      <c r="D346" t="inlineStr">
        <is>
          <t>DALARNAS LÄN</t>
        </is>
      </c>
      <c r="E346" t="inlineStr">
        <is>
          <t>HEDEMORA</t>
        </is>
      </c>
      <c r="F346" t="inlineStr">
        <is>
          <t>Bergvik skog väst AB</t>
        </is>
      </c>
      <c r="G346" t="n">
        <v>6.8</v>
      </c>
      <c r="H346" t="n">
        <v>0</v>
      </c>
      <c r="I346" t="n">
        <v>0</v>
      </c>
      <c r="J346" t="n">
        <v>0</v>
      </c>
      <c r="K346" t="n">
        <v>0</v>
      </c>
      <c r="L346" t="n">
        <v>0</v>
      </c>
      <c r="M346" t="n">
        <v>0</v>
      </c>
      <c r="N346" t="n">
        <v>0</v>
      </c>
      <c r="O346" t="n">
        <v>0</v>
      </c>
      <c r="P346" t="n">
        <v>0</v>
      </c>
      <c r="Q346" t="n">
        <v>0</v>
      </c>
      <c r="R346" s="2" t="inlineStr"/>
    </row>
    <row r="347" ht="15" customHeight="1">
      <c r="A347" t="inlineStr">
        <is>
          <t>A 53894-2022</t>
        </is>
      </c>
      <c r="B347" s="1" t="n">
        <v>44880</v>
      </c>
      <c r="C347" s="1" t="n">
        <v>45659</v>
      </c>
      <c r="D347" t="inlineStr">
        <is>
          <t>DALARNAS LÄN</t>
        </is>
      </c>
      <c r="E347" t="inlineStr">
        <is>
          <t>HEDEMORA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53896-2022</t>
        </is>
      </c>
      <c r="B348" s="1" t="n">
        <v>44880</v>
      </c>
      <c r="C348" s="1" t="n">
        <v>45659</v>
      </c>
      <c r="D348" t="inlineStr">
        <is>
          <t>DALARNAS LÄN</t>
        </is>
      </c>
      <c r="E348" t="inlineStr">
        <is>
          <t>HEDEMORA</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53895-2022</t>
        </is>
      </c>
      <c r="B349" s="1" t="n">
        <v>44880</v>
      </c>
      <c r="C349" s="1" t="n">
        <v>45659</v>
      </c>
      <c r="D349" t="inlineStr">
        <is>
          <t>DALARNAS LÄN</t>
        </is>
      </c>
      <c r="E349" t="inlineStr">
        <is>
          <t>HEDEMORA</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54198-2022</t>
        </is>
      </c>
      <c r="B350" s="1" t="n">
        <v>44881</v>
      </c>
      <c r="C350" s="1" t="n">
        <v>45659</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54197-2022</t>
        </is>
      </c>
      <c r="B351" s="1" t="n">
        <v>44881</v>
      </c>
      <c r="C351" s="1" t="n">
        <v>45659</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45659</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45659</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45659</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45659</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45659</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45659</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45659</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45659</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45659</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45659</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45659</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45659</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45659</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45659</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45659</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45659</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45659</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45659</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45659</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45659</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45659</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45659</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45659</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45659</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45659</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45659</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45659</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45659</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45659</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45659</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45659</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45659</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45659</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45659</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45659</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45659</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45659</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45659</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45659</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45659</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45659</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45659</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45659</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45659</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45659</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45659</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45659</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45659</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45659</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45659</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45659</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45659</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45659</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45659</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45659</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45659</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45659</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45659</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45659</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45659</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45659</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45659</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45659</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45659</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45659</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45659</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45659</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45659</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45659</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45659</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45659</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45659</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45659</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45659</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45659</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45659</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45659</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45659</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45659</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45659</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45659</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45659</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45659</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45659</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45659</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45659</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45659</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45659</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45659</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45659</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45659</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45659</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45659</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45659</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45659</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45659</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45659</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45659</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45659</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45659</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45659</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45659</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45659</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45659</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45659</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45659</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45659</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45659</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45659</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45659</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45659</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45659</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45659</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45659</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45659</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45659</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45659</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45659</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45659</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45659</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45659</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45659</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45659</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45659</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45659</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45659</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45659</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45659</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45659</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45659</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45659</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45659</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45659</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45659</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45659</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45659</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45659</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45659</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45659</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45659</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45659</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45659</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45659</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45659</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45659</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45659</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45659</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45659</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45659</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45659</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45659</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45659</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45659</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45659</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45659</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45659</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45659</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45659</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45659</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45659</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45659</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45659</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45659</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45659</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45659</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45659</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45659</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45659</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45659</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45659</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45659</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45659</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45659</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45659</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45659</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45659</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45659</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45659</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45659</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45659</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45659</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45659</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45659</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45659</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45659</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45659</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45659</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45659</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45659</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45659</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45659</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45659</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45659</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45659</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45659</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45659</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45659</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45659</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45659</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45659</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45659</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45659</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45659</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45659</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45659</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45659</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45659</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45659</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45659</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45659</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45659</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45659</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45659</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45659</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45659</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45659</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45659</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45659</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45659</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45659</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45659</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45659</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45659</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45659</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45659</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45659</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45659</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45659</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45659</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45659</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45659</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45659</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45659</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45659</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45659</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45659</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45659</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45659</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45659</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45659</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45659</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45659</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45659</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45659</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45659</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45659</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45659</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45659</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45659</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45659</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45659</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45659</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45659</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45659</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45659</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45659</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45659</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45659</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45659</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45659</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45659</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45659</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45659</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45659</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45659</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45659</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45659</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45659</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45659</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45659</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45659</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45659</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45659</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45659</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45659</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45659</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45659</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45659</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45659</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45659</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45659</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45659</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45659</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45659</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45659</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45659</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45659</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45659</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45659</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45659</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45659</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45659</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45659</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45659</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45659</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45659</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45659</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45659</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45659</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45659</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45659</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45659</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45659</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45659</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45659</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52945-2024</t>
        </is>
      </c>
      <c r="B657" s="1" t="n">
        <v>45610</v>
      </c>
      <c r="C657" s="1" t="n">
        <v>45659</v>
      </c>
      <c r="D657" t="inlineStr">
        <is>
          <t>DALARNAS LÄN</t>
        </is>
      </c>
      <c r="E657" t="inlineStr">
        <is>
          <t>HEDEMORA</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45659</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45659</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53922-2024</t>
        </is>
      </c>
      <c r="B660" s="1" t="n">
        <v>45615</v>
      </c>
      <c r="C660" s="1" t="n">
        <v>45659</v>
      </c>
      <c r="D660" t="inlineStr">
        <is>
          <t>DALARNAS LÄN</t>
        </is>
      </c>
      <c r="E660" t="inlineStr">
        <is>
          <t>HEDEMORA</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53923-2024</t>
        </is>
      </c>
      <c r="B661" s="1" t="n">
        <v>45615</v>
      </c>
      <c r="C661" s="1" t="n">
        <v>45659</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53924-2024</t>
        </is>
      </c>
      <c r="B662" s="1" t="n">
        <v>45615</v>
      </c>
      <c r="C662" s="1" t="n">
        <v>45659</v>
      </c>
      <c r="D662" t="inlineStr">
        <is>
          <t>DALARNAS LÄN</t>
        </is>
      </c>
      <c r="E662" t="inlineStr">
        <is>
          <t>HEDEMORA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45659</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45659</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45659</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45659</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45659</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45659</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45659</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ht="15" customHeight="1">
      <c r="A670" t="inlineStr">
        <is>
          <t>A 57745-2024</t>
        </is>
      </c>
      <c r="B670" s="1" t="n">
        <v>45630</v>
      </c>
      <c r="C670" s="1" t="n">
        <v>45659</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row r="671" ht="15" customHeight="1">
      <c r="A671" t="inlineStr">
        <is>
          <t>A 60017-2024</t>
        </is>
      </c>
      <c r="B671" s="1" t="n">
        <v>45642</v>
      </c>
      <c r="C671" s="1" t="n">
        <v>45659</v>
      </c>
      <c r="D671" t="inlineStr">
        <is>
          <t>DALARNAS LÄN</t>
        </is>
      </c>
      <c r="E671" t="inlineStr">
        <is>
          <t>HEDEMORA</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60780-2024</t>
        </is>
      </c>
      <c r="B672" s="1" t="n">
        <v>45644</v>
      </c>
      <c r="C672" s="1" t="n">
        <v>45659</v>
      </c>
      <c r="D672" t="inlineStr">
        <is>
          <t>DALARNAS LÄN</t>
        </is>
      </c>
      <c r="E672" t="inlineStr">
        <is>
          <t>HEDEMORA</t>
        </is>
      </c>
      <c r="F672" t="inlineStr">
        <is>
          <t>Sveaskog</t>
        </is>
      </c>
      <c r="G672" t="n">
        <v>4.3</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45659</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c r="A674" t="inlineStr">
        <is>
          <t>A 61519-2024</t>
        </is>
      </c>
      <c r="B674" s="1" t="n">
        <v>45646</v>
      </c>
      <c r="C674" s="1" t="n">
        <v>45659</v>
      </c>
      <c r="D674" t="inlineStr">
        <is>
          <t>DALARNAS LÄN</t>
        </is>
      </c>
      <c r="E674" t="inlineStr">
        <is>
          <t>HEDEMORA</t>
        </is>
      </c>
      <c r="G674" t="n">
        <v>4</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2025-01-02T16:31:31Z</dcterms:created>
  <dcterms:modified xmlns:dcterms="http://purl.org/dc/terms/" xmlns:xsi="http://www.w3.org/2001/XMLSchema-instance" xsi:type="dcterms:W3CDTF">2025-01-02T16:31:32Z</dcterms:modified>
</cp:coreProperties>
</file>