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45667</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45667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45667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45667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45667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45667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45667</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45667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45667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45667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45667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45667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45667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45667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45667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45667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45667</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45667</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45667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45667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45667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45667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45667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45667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45667</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45667</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45667</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45667</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45667</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45667</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45667</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45667</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45667</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45667</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45667</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45667</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45667</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45667</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45667</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45667</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45667</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45667</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45667</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45667</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45667</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45667</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45667</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45667</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45667</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45667</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45667</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45667</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45667</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45667</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45667</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45667</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45667</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45667</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45667</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45667</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45667</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45667</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45667</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45667</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45667</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45667</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45667</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45667</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45667</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45667</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45667</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45667</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45667</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45667</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45667</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45667</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54197-2022</t>
        </is>
      </c>
      <c r="B78" s="1" t="n">
        <v>44881</v>
      </c>
      <c r="C78" s="1" t="n">
        <v>45667</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54197-2022 artfynd.xlsx", "A 54197-2022")</f>
        <v/>
      </c>
      <c r="T78">
        <f>HYPERLINK("https://klasma.github.io/Logging_2083/kartor/A 54197-2022 karta.png", "A 54197-2022")</f>
        <v/>
      </c>
      <c r="V78">
        <f>HYPERLINK("https://klasma.github.io/Logging_2083/klagomål/A 54197-2022 FSC-klagomål.docx", "A 54197-2022")</f>
        <v/>
      </c>
      <c r="W78">
        <f>HYPERLINK("https://klasma.github.io/Logging_2083/klagomålsmail/A 54197-2022 FSC-klagomål mail.docx", "A 54197-2022")</f>
        <v/>
      </c>
      <c r="X78">
        <f>HYPERLINK("https://klasma.github.io/Logging_2083/tillsyn/A 54197-2022 tillsynsbegäran.docx", "A 54197-2022")</f>
        <v/>
      </c>
      <c r="Y78">
        <f>HYPERLINK("https://klasma.github.io/Logging_2083/tillsynsmail/A 54197-2022 tillsynsbegäran mail.docx", "A 54197-2022")</f>
        <v/>
      </c>
    </row>
    <row r="79" ht="15" customHeight="1">
      <c r="A79" t="inlineStr">
        <is>
          <t>A 55144-2022</t>
        </is>
      </c>
      <c r="B79" s="1" t="n">
        <v>44886</v>
      </c>
      <c r="C79" s="1" t="n">
        <v>45667</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55144-2022 artfynd.xlsx", "A 55144-2022")</f>
        <v/>
      </c>
      <c r="T79">
        <f>HYPERLINK("https://klasma.github.io/Logging_2083/kartor/A 55144-2022 karta.png", "A 55144-2022")</f>
        <v/>
      </c>
      <c r="V79">
        <f>HYPERLINK("https://klasma.github.io/Logging_2083/klagomål/A 55144-2022 FSC-klagomål.docx", "A 55144-2022")</f>
        <v/>
      </c>
      <c r="W79">
        <f>HYPERLINK("https://klasma.github.io/Logging_2083/klagomålsmail/A 55144-2022 FSC-klagomål mail.docx", "A 55144-2022")</f>
        <v/>
      </c>
      <c r="X79">
        <f>HYPERLINK("https://klasma.github.io/Logging_2083/tillsyn/A 55144-2022 tillsynsbegäran.docx", "A 55144-2022")</f>
        <v/>
      </c>
      <c r="Y79">
        <f>HYPERLINK("https://klasma.github.io/Logging_2083/tillsynsmail/A 55144-2022 tillsynsbegäran mail.docx", "A 55144-2022")</f>
        <v/>
      </c>
    </row>
    <row r="80" ht="15" customHeight="1">
      <c r="A80" t="inlineStr">
        <is>
          <t>A 11742-2023</t>
        </is>
      </c>
      <c r="B80" s="1" t="n">
        <v>44994</v>
      </c>
      <c r="C80" s="1" t="n">
        <v>45667</v>
      </c>
      <c r="D80" t="inlineStr">
        <is>
          <t>DALARNAS LÄN</t>
        </is>
      </c>
      <c r="E80" t="inlineStr">
        <is>
          <t>HEDEMORA</t>
        </is>
      </c>
      <c r="G80" t="n">
        <v>6</v>
      </c>
      <c r="H80" t="n">
        <v>0</v>
      </c>
      <c r="I80" t="n">
        <v>0</v>
      </c>
      <c r="J80" t="n">
        <v>1</v>
      </c>
      <c r="K80" t="n">
        <v>0</v>
      </c>
      <c r="L80" t="n">
        <v>0</v>
      </c>
      <c r="M80" t="n">
        <v>0</v>
      </c>
      <c r="N80" t="n">
        <v>0</v>
      </c>
      <c r="O80" t="n">
        <v>1</v>
      </c>
      <c r="P80" t="n">
        <v>0</v>
      </c>
      <c r="Q80" t="n">
        <v>1</v>
      </c>
      <c r="R80" s="2" t="inlineStr">
        <is>
          <t>Tallticka</t>
        </is>
      </c>
      <c r="S80">
        <f>HYPERLINK("https://klasma.github.io/Logging_2083/artfynd/A 11742-2023 artfynd.xlsx", "A 11742-2023")</f>
        <v/>
      </c>
      <c r="T80">
        <f>HYPERLINK("https://klasma.github.io/Logging_2083/kartor/A 11742-2023 karta.png", "A 11742-2023")</f>
        <v/>
      </c>
      <c r="V80">
        <f>HYPERLINK("https://klasma.github.io/Logging_2083/klagomål/A 11742-2023 FSC-klagomål.docx", "A 11742-2023")</f>
        <v/>
      </c>
      <c r="W80">
        <f>HYPERLINK("https://klasma.github.io/Logging_2083/klagomålsmail/A 11742-2023 FSC-klagomål mail.docx", "A 11742-2023")</f>
        <v/>
      </c>
      <c r="X80">
        <f>HYPERLINK("https://klasma.github.io/Logging_2083/tillsyn/A 11742-2023 tillsynsbegäran.docx", "A 11742-2023")</f>
        <v/>
      </c>
      <c r="Y80">
        <f>HYPERLINK("https://klasma.github.io/Logging_2083/tillsynsmail/A 11742-2023 tillsynsbegäran mail.docx", "A 11742-2023")</f>
        <v/>
      </c>
    </row>
    <row r="81" ht="15" customHeight="1">
      <c r="A81" t="inlineStr">
        <is>
          <t>A 13986-2023</t>
        </is>
      </c>
      <c r="B81" s="1" t="n">
        <v>45008</v>
      </c>
      <c r="C81" s="1" t="n">
        <v>45667</v>
      </c>
      <c r="D81" t="inlineStr">
        <is>
          <t>DALARNAS LÄN</t>
        </is>
      </c>
      <c r="E81" t="inlineStr">
        <is>
          <t>HEDEMORA</t>
        </is>
      </c>
      <c r="G81" t="n">
        <v>0.8</v>
      </c>
      <c r="H81" t="n">
        <v>1</v>
      </c>
      <c r="I81" t="n">
        <v>0</v>
      </c>
      <c r="J81" t="n">
        <v>0</v>
      </c>
      <c r="K81" t="n">
        <v>1</v>
      </c>
      <c r="L81" t="n">
        <v>0</v>
      </c>
      <c r="M81" t="n">
        <v>0</v>
      </c>
      <c r="N81" t="n">
        <v>0</v>
      </c>
      <c r="O81" t="n">
        <v>1</v>
      </c>
      <c r="P81" t="n">
        <v>1</v>
      </c>
      <c r="Q81" t="n">
        <v>1</v>
      </c>
      <c r="R81" s="2" t="inlineStr">
        <is>
          <t>Knärot</t>
        </is>
      </c>
      <c r="S81">
        <f>HYPERLINK("https://klasma.github.io/Logging_2083/artfynd/A 13986-2023 artfynd.xlsx", "A 13986-2023")</f>
        <v/>
      </c>
      <c r="T81">
        <f>HYPERLINK("https://klasma.github.io/Logging_2083/kartor/A 13986-2023 karta.png", "A 13986-2023")</f>
        <v/>
      </c>
      <c r="U81">
        <f>HYPERLINK("https://klasma.github.io/Logging_2083/knärot/A 13986-2023 karta knärot.png", "A 13986-2023")</f>
        <v/>
      </c>
      <c r="V81">
        <f>HYPERLINK("https://klasma.github.io/Logging_2083/klagomål/A 13986-2023 FSC-klagomål.docx", "A 13986-2023")</f>
        <v/>
      </c>
      <c r="W81">
        <f>HYPERLINK("https://klasma.github.io/Logging_2083/klagomålsmail/A 13986-2023 FSC-klagomål mail.docx", "A 13986-2023")</f>
        <v/>
      </c>
      <c r="X81">
        <f>HYPERLINK("https://klasma.github.io/Logging_2083/tillsyn/A 13986-2023 tillsynsbegäran.docx", "A 13986-2023")</f>
        <v/>
      </c>
      <c r="Y81">
        <f>HYPERLINK("https://klasma.github.io/Logging_2083/tillsynsmail/A 13986-2023 tillsynsbegäran mail.docx", "A 13986-2023")</f>
        <v/>
      </c>
    </row>
    <row r="82" ht="15" customHeight="1">
      <c r="A82" t="inlineStr">
        <is>
          <t>A 20231-2023</t>
        </is>
      </c>
      <c r="B82" s="1" t="n">
        <v>45055</v>
      </c>
      <c r="C82" s="1" t="n">
        <v>45667</v>
      </c>
      <c r="D82" t="inlineStr">
        <is>
          <t>DALARNAS LÄN</t>
        </is>
      </c>
      <c r="E82" t="inlineStr">
        <is>
          <t>HEDEMORA</t>
        </is>
      </c>
      <c r="F82" t="inlineStr">
        <is>
          <t>Bergvik skog väst AB</t>
        </is>
      </c>
      <c r="G82" t="n">
        <v>3.9</v>
      </c>
      <c r="H82" t="n">
        <v>1</v>
      </c>
      <c r="I82" t="n">
        <v>0</v>
      </c>
      <c r="J82" t="n">
        <v>1</v>
      </c>
      <c r="K82" t="n">
        <v>0</v>
      </c>
      <c r="L82" t="n">
        <v>0</v>
      </c>
      <c r="M82" t="n">
        <v>0</v>
      </c>
      <c r="N82" t="n">
        <v>0</v>
      </c>
      <c r="O82" t="n">
        <v>1</v>
      </c>
      <c r="P82" t="n">
        <v>0</v>
      </c>
      <c r="Q82" t="n">
        <v>1</v>
      </c>
      <c r="R82" s="2" t="inlineStr">
        <is>
          <t>Tretåig hackspett</t>
        </is>
      </c>
      <c r="S82">
        <f>HYPERLINK("https://klasma.github.io/Logging_2083/artfynd/A 20231-2023 artfynd.xlsx", "A 20231-2023")</f>
        <v/>
      </c>
      <c r="T82">
        <f>HYPERLINK("https://klasma.github.io/Logging_2083/kartor/A 20231-2023 karta.png", "A 20231-2023")</f>
        <v/>
      </c>
      <c r="V82">
        <f>HYPERLINK("https://klasma.github.io/Logging_2083/klagomål/A 20231-2023 FSC-klagomål.docx", "A 20231-2023")</f>
        <v/>
      </c>
      <c r="W82">
        <f>HYPERLINK("https://klasma.github.io/Logging_2083/klagomålsmail/A 20231-2023 FSC-klagomål mail.docx", "A 20231-2023")</f>
        <v/>
      </c>
      <c r="X82">
        <f>HYPERLINK("https://klasma.github.io/Logging_2083/tillsyn/A 20231-2023 tillsynsbegäran.docx", "A 20231-2023")</f>
        <v/>
      </c>
      <c r="Y82">
        <f>HYPERLINK("https://klasma.github.io/Logging_2083/tillsynsmail/A 20231-2023 tillsynsbegäran mail.docx", "A 20231-2023")</f>
        <v/>
      </c>
      <c r="Z82">
        <f>HYPERLINK("https://klasma.github.io/Logging_2083/fåglar/A 20231-2023 prioriterade fågelarter.docx", "A 20231-2023")</f>
        <v/>
      </c>
    </row>
    <row r="83" ht="15" customHeight="1">
      <c r="A83" t="inlineStr">
        <is>
          <t>A 21147-2023</t>
        </is>
      </c>
      <c r="B83" s="1" t="n">
        <v>45057</v>
      </c>
      <c r="C83" s="1" t="n">
        <v>45667</v>
      </c>
      <c r="D83" t="inlineStr">
        <is>
          <t>DALARNAS LÄN</t>
        </is>
      </c>
      <c r="E83" t="inlineStr">
        <is>
          <t>HEDEMORA</t>
        </is>
      </c>
      <c r="G83" t="n">
        <v>10</v>
      </c>
      <c r="H83" t="n">
        <v>1</v>
      </c>
      <c r="I83" t="n">
        <v>0</v>
      </c>
      <c r="J83" t="n">
        <v>0</v>
      </c>
      <c r="K83" t="n">
        <v>0</v>
      </c>
      <c r="L83" t="n">
        <v>0</v>
      </c>
      <c r="M83" t="n">
        <v>0</v>
      </c>
      <c r="N83" t="n">
        <v>0</v>
      </c>
      <c r="O83" t="n">
        <v>0</v>
      </c>
      <c r="P83" t="n">
        <v>0</v>
      </c>
      <c r="Q83" t="n">
        <v>1</v>
      </c>
      <c r="R83" s="2" t="inlineStr">
        <is>
          <t>Blåsippa</t>
        </is>
      </c>
      <c r="S83">
        <f>HYPERLINK("https://klasma.github.io/Logging_2083/artfynd/A 21147-2023 artfynd.xlsx", "A 21147-2023")</f>
        <v/>
      </c>
      <c r="T83">
        <f>HYPERLINK("https://klasma.github.io/Logging_2083/kartor/A 21147-2023 karta.png", "A 21147-2023")</f>
        <v/>
      </c>
      <c r="V83">
        <f>HYPERLINK("https://klasma.github.io/Logging_2083/klagomål/A 21147-2023 FSC-klagomål.docx", "A 21147-2023")</f>
        <v/>
      </c>
      <c r="W83">
        <f>HYPERLINK("https://klasma.github.io/Logging_2083/klagomålsmail/A 21147-2023 FSC-klagomål mail.docx", "A 21147-2023")</f>
        <v/>
      </c>
      <c r="X83">
        <f>HYPERLINK("https://klasma.github.io/Logging_2083/tillsyn/A 21147-2023 tillsynsbegäran.docx", "A 21147-2023")</f>
        <v/>
      </c>
      <c r="Y83">
        <f>HYPERLINK("https://klasma.github.io/Logging_2083/tillsynsmail/A 21147-2023 tillsynsbegäran mail.docx", "A 21147-2023")</f>
        <v/>
      </c>
    </row>
    <row r="84" ht="15" customHeight="1">
      <c r="A84" t="inlineStr">
        <is>
          <t>A 23815-2023</t>
        </is>
      </c>
      <c r="B84" s="1" t="n">
        <v>45078</v>
      </c>
      <c r="C84" s="1" t="n">
        <v>45667</v>
      </c>
      <c r="D84" t="inlineStr">
        <is>
          <t>DALARNAS LÄN</t>
        </is>
      </c>
      <c r="E84" t="inlineStr">
        <is>
          <t>HEDEMORA</t>
        </is>
      </c>
      <c r="G84" t="n">
        <v>3.1</v>
      </c>
      <c r="H84" t="n">
        <v>1</v>
      </c>
      <c r="I84" t="n">
        <v>0</v>
      </c>
      <c r="J84" t="n">
        <v>0</v>
      </c>
      <c r="K84" t="n">
        <v>1</v>
      </c>
      <c r="L84" t="n">
        <v>0</v>
      </c>
      <c r="M84" t="n">
        <v>0</v>
      </c>
      <c r="N84" t="n">
        <v>0</v>
      </c>
      <c r="O84" t="n">
        <v>1</v>
      </c>
      <c r="P84" t="n">
        <v>1</v>
      </c>
      <c r="Q84" t="n">
        <v>1</v>
      </c>
      <c r="R84" s="2" t="inlineStr">
        <is>
          <t>Knärot</t>
        </is>
      </c>
      <c r="S84">
        <f>HYPERLINK("https://klasma.github.io/Logging_2083/artfynd/A 23815-2023 artfynd.xlsx", "A 23815-2023")</f>
        <v/>
      </c>
      <c r="T84">
        <f>HYPERLINK("https://klasma.github.io/Logging_2083/kartor/A 23815-2023 karta.png", "A 23815-2023")</f>
        <v/>
      </c>
      <c r="U84">
        <f>HYPERLINK("https://klasma.github.io/Logging_2083/knärot/A 23815-2023 karta knärot.png", "A 23815-2023")</f>
        <v/>
      </c>
      <c r="V84">
        <f>HYPERLINK("https://klasma.github.io/Logging_2083/klagomål/A 23815-2023 FSC-klagomål.docx", "A 23815-2023")</f>
        <v/>
      </c>
      <c r="W84">
        <f>HYPERLINK("https://klasma.github.io/Logging_2083/klagomålsmail/A 23815-2023 FSC-klagomål mail.docx", "A 23815-2023")</f>
        <v/>
      </c>
      <c r="X84">
        <f>HYPERLINK("https://klasma.github.io/Logging_2083/tillsyn/A 23815-2023 tillsynsbegäran.docx", "A 23815-2023")</f>
        <v/>
      </c>
      <c r="Y84">
        <f>HYPERLINK("https://klasma.github.io/Logging_2083/tillsynsmail/A 23815-2023 tillsynsbegäran mail.docx", "A 23815-2023")</f>
        <v/>
      </c>
    </row>
    <row r="85" ht="15" customHeight="1">
      <c r="A85" t="inlineStr">
        <is>
          <t>A 28028-2023</t>
        </is>
      </c>
      <c r="B85" s="1" t="n">
        <v>45099</v>
      </c>
      <c r="C85" s="1" t="n">
        <v>45667</v>
      </c>
      <c r="D85" t="inlineStr">
        <is>
          <t>DALARNAS LÄN</t>
        </is>
      </c>
      <c r="E85" t="inlineStr">
        <is>
          <t>HEDEMORA</t>
        </is>
      </c>
      <c r="G85" t="n">
        <v>0.8</v>
      </c>
      <c r="H85" t="n">
        <v>1</v>
      </c>
      <c r="I85" t="n">
        <v>0</v>
      </c>
      <c r="J85" t="n">
        <v>0</v>
      </c>
      <c r="K85" t="n">
        <v>0</v>
      </c>
      <c r="L85" t="n">
        <v>0</v>
      </c>
      <c r="M85" t="n">
        <v>0</v>
      </c>
      <c r="N85" t="n">
        <v>0</v>
      </c>
      <c r="O85" t="n">
        <v>0</v>
      </c>
      <c r="P85" t="n">
        <v>0</v>
      </c>
      <c r="Q85" t="n">
        <v>1</v>
      </c>
      <c r="R85" s="2" t="inlineStr">
        <is>
          <t>Blåsippa</t>
        </is>
      </c>
      <c r="S85">
        <f>HYPERLINK("https://klasma.github.io/Logging_2083/artfynd/A 28028-2023 artfynd.xlsx", "A 28028-2023")</f>
        <v/>
      </c>
      <c r="T85">
        <f>HYPERLINK("https://klasma.github.io/Logging_2083/kartor/A 28028-2023 karta.png", "A 28028-2023")</f>
        <v/>
      </c>
      <c r="V85">
        <f>HYPERLINK("https://klasma.github.io/Logging_2083/klagomål/A 28028-2023 FSC-klagomål.docx", "A 28028-2023")</f>
        <v/>
      </c>
      <c r="W85">
        <f>HYPERLINK("https://klasma.github.io/Logging_2083/klagomålsmail/A 28028-2023 FSC-klagomål mail.docx", "A 28028-2023")</f>
        <v/>
      </c>
      <c r="X85">
        <f>HYPERLINK("https://klasma.github.io/Logging_2083/tillsyn/A 28028-2023 tillsynsbegäran.docx", "A 28028-2023")</f>
        <v/>
      </c>
      <c r="Y85">
        <f>HYPERLINK("https://klasma.github.io/Logging_2083/tillsynsmail/A 28028-2023 tillsynsbegäran mail.docx", "A 28028-2023")</f>
        <v/>
      </c>
    </row>
    <row r="86" ht="15" customHeight="1">
      <c r="A86" t="inlineStr">
        <is>
          <t>A 30014-2023</t>
        </is>
      </c>
      <c r="B86" s="1" t="n">
        <v>45109</v>
      </c>
      <c r="C86" s="1" t="n">
        <v>45667</v>
      </c>
      <c r="D86" t="inlineStr">
        <is>
          <t>DALARNAS LÄN</t>
        </is>
      </c>
      <c r="E86" t="inlineStr">
        <is>
          <t>HEDEMORA</t>
        </is>
      </c>
      <c r="F86" t="inlineStr">
        <is>
          <t>Sveaskog</t>
        </is>
      </c>
      <c r="G86" t="n">
        <v>1.6</v>
      </c>
      <c r="H86" t="n">
        <v>1</v>
      </c>
      <c r="I86" t="n">
        <v>1</v>
      </c>
      <c r="J86" t="n">
        <v>0</v>
      </c>
      <c r="K86" t="n">
        <v>0</v>
      </c>
      <c r="L86" t="n">
        <v>0</v>
      </c>
      <c r="M86" t="n">
        <v>0</v>
      </c>
      <c r="N86" t="n">
        <v>0</v>
      </c>
      <c r="O86" t="n">
        <v>0</v>
      </c>
      <c r="P86" t="n">
        <v>0</v>
      </c>
      <c r="Q86" t="n">
        <v>1</v>
      </c>
      <c r="R86" s="2" t="inlineStr">
        <is>
          <t>Plattlummer</t>
        </is>
      </c>
      <c r="S86">
        <f>HYPERLINK("https://klasma.github.io/Logging_2083/artfynd/A 30014-2023 artfynd.xlsx", "A 30014-2023")</f>
        <v/>
      </c>
      <c r="T86">
        <f>HYPERLINK("https://klasma.github.io/Logging_2083/kartor/A 30014-2023 karta.png", "A 30014-2023")</f>
        <v/>
      </c>
      <c r="V86">
        <f>HYPERLINK("https://klasma.github.io/Logging_2083/klagomål/A 30014-2023 FSC-klagomål.docx", "A 30014-2023")</f>
        <v/>
      </c>
      <c r="W86">
        <f>HYPERLINK("https://klasma.github.io/Logging_2083/klagomålsmail/A 30014-2023 FSC-klagomål mail.docx", "A 30014-2023")</f>
        <v/>
      </c>
      <c r="X86">
        <f>HYPERLINK("https://klasma.github.io/Logging_2083/tillsyn/A 30014-2023 tillsynsbegäran.docx", "A 30014-2023")</f>
        <v/>
      </c>
      <c r="Y86">
        <f>HYPERLINK("https://klasma.github.io/Logging_2083/tillsynsmail/A 30014-2023 tillsynsbegäran mail.docx", "A 30014-2023")</f>
        <v/>
      </c>
    </row>
    <row r="87" ht="15" customHeight="1">
      <c r="A87" t="inlineStr">
        <is>
          <t>A 30936-2023</t>
        </is>
      </c>
      <c r="B87" s="1" t="n">
        <v>45113</v>
      </c>
      <c r="C87" s="1" t="n">
        <v>45667</v>
      </c>
      <c r="D87" t="inlineStr">
        <is>
          <t>DALARNAS LÄN</t>
        </is>
      </c>
      <c r="E87" t="inlineStr">
        <is>
          <t>HEDEMORA</t>
        </is>
      </c>
      <c r="F87" t="inlineStr">
        <is>
          <t>Sveaskog</t>
        </is>
      </c>
      <c r="G87" t="n">
        <v>9.199999999999999</v>
      </c>
      <c r="H87" t="n">
        <v>0</v>
      </c>
      <c r="I87" t="n">
        <v>0</v>
      </c>
      <c r="J87" t="n">
        <v>1</v>
      </c>
      <c r="K87" t="n">
        <v>0</v>
      </c>
      <c r="L87" t="n">
        <v>0</v>
      </c>
      <c r="M87" t="n">
        <v>0</v>
      </c>
      <c r="N87" t="n">
        <v>0</v>
      </c>
      <c r="O87" t="n">
        <v>1</v>
      </c>
      <c r="P87" t="n">
        <v>0</v>
      </c>
      <c r="Q87" t="n">
        <v>1</v>
      </c>
      <c r="R87" s="2" t="inlineStr">
        <is>
          <t>Kolflarnlav</t>
        </is>
      </c>
      <c r="S87">
        <f>HYPERLINK("https://klasma.github.io/Logging_2083/artfynd/A 30936-2023 artfynd.xlsx", "A 30936-2023")</f>
        <v/>
      </c>
      <c r="T87">
        <f>HYPERLINK("https://klasma.github.io/Logging_2083/kartor/A 30936-2023 karta.png", "A 30936-2023")</f>
        <v/>
      </c>
      <c r="V87">
        <f>HYPERLINK("https://klasma.github.io/Logging_2083/klagomål/A 30936-2023 FSC-klagomål.docx", "A 30936-2023")</f>
        <v/>
      </c>
      <c r="W87">
        <f>HYPERLINK("https://klasma.github.io/Logging_2083/klagomålsmail/A 30936-2023 FSC-klagomål mail.docx", "A 30936-2023")</f>
        <v/>
      </c>
      <c r="X87">
        <f>HYPERLINK("https://klasma.github.io/Logging_2083/tillsyn/A 30936-2023 tillsynsbegäran.docx", "A 30936-2023")</f>
        <v/>
      </c>
      <c r="Y87">
        <f>HYPERLINK("https://klasma.github.io/Logging_2083/tillsynsmail/A 30936-2023 tillsynsbegäran mail.docx", "A 30936-2023")</f>
        <v/>
      </c>
    </row>
    <row r="88" ht="15" customHeight="1">
      <c r="A88" t="inlineStr">
        <is>
          <t>A 33023-2023</t>
        </is>
      </c>
      <c r="B88" s="1" t="n">
        <v>45125</v>
      </c>
      <c r="C88" s="1" t="n">
        <v>45667</v>
      </c>
      <c r="D88" t="inlineStr">
        <is>
          <t>DALARNAS LÄN</t>
        </is>
      </c>
      <c r="E88" t="inlineStr">
        <is>
          <t>HEDEMORA</t>
        </is>
      </c>
      <c r="F88" t="inlineStr">
        <is>
          <t>Sveaskog</t>
        </is>
      </c>
      <c r="G88" t="n">
        <v>3.9</v>
      </c>
      <c r="H88" t="n">
        <v>1</v>
      </c>
      <c r="I88" t="n">
        <v>0</v>
      </c>
      <c r="J88" t="n">
        <v>0</v>
      </c>
      <c r="K88" t="n">
        <v>0</v>
      </c>
      <c r="L88" t="n">
        <v>0</v>
      </c>
      <c r="M88" t="n">
        <v>0</v>
      </c>
      <c r="N88" t="n">
        <v>0</v>
      </c>
      <c r="O88" t="n">
        <v>0</v>
      </c>
      <c r="P88" t="n">
        <v>0</v>
      </c>
      <c r="Q88" t="n">
        <v>1</v>
      </c>
      <c r="R88" s="2" t="inlineStr">
        <is>
          <t>Revlummer</t>
        </is>
      </c>
      <c r="S88">
        <f>HYPERLINK("https://klasma.github.io/Logging_2083/artfynd/A 33023-2023 artfynd.xlsx", "A 33023-2023")</f>
        <v/>
      </c>
      <c r="T88">
        <f>HYPERLINK("https://klasma.github.io/Logging_2083/kartor/A 33023-2023 karta.png", "A 33023-2023")</f>
        <v/>
      </c>
      <c r="V88">
        <f>HYPERLINK("https://klasma.github.io/Logging_2083/klagomål/A 33023-2023 FSC-klagomål.docx", "A 33023-2023")</f>
        <v/>
      </c>
      <c r="W88">
        <f>HYPERLINK("https://klasma.github.io/Logging_2083/klagomålsmail/A 33023-2023 FSC-klagomål mail.docx", "A 33023-2023")</f>
        <v/>
      </c>
      <c r="X88">
        <f>HYPERLINK("https://klasma.github.io/Logging_2083/tillsyn/A 33023-2023 tillsynsbegäran.docx", "A 33023-2023")</f>
        <v/>
      </c>
      <c r="Y88">
        <f>HYPERLINK("https://klasma.github.io/Logging_2083/tillsynsmail/A 33023-2023 tillsynsbegäran mail.docx", "A 33023-2023")</f>
        <v/>
      </c>
    </row>
    <row r="89" ht="15" customHeight="1">
      <c r="A89" t="inlineStr">
        <is>
          <t>A 35321-2023</t>
        </is>
      </c>
      <c r="B89" s="1" t="n">
        <v>45146</v>
      </c>
      <c r="C89" s="1" t="n">
        <v>45667</v>
      </c>
      <c r="D89" t="inlineStr">
        <is>
          <t>DALARNAS LÄN</t>
        </is>
      </c>
      <c r="E89" t="inlineStr">
        <is>
          <t>HEDEMORA</t>
        </is>
      </c>
      <c r="G89" t="n">
        <v>3.5</v>
      </c>
      <c r="H89" t="n">
        <v>1</v>
      </c>
      <c r="I89" t="n">
        <v>0</v>
      </c>
      <c r="J89" t="n">
        <v>1</v>
      </c>
      <c r="K89" t="n">
        <v>0</v>
      </c>
      <c r="L89" t="n">
        <v>0</v>
      </c>
      <c r="M89" t="n">
        <v>0</v>
      </c>
      <c r="N89" t="n">
        <v>0</v>
      </c>
      <c r="O89" t="n">
        <v>1</v>
      </c>
      <c r="P89" t="n">
        <v>0</v>
      </c>
      <c r="Q89" t="n">
        <v>1</v>
      </c>
      <c r="R89" s="2" t="inlineStr">
        <is>
          <t>Havsörn</t>
        </is>
      </c>
      <c r="S89">
        <f>HYPERLINK("https://klasma.github.io/Logging_2083/artfynd/A 35321-2023 artfynd.xlsx", "A 35321-2023")</f>
        <v/>
      </c>
      <c r="T89">
        <f>HYPERLINK("https://klasma.github.io/Logging_2083/kartor/A 35321-2023 karta.png", "A 35321-2023")</f>
        <v/>
      </c>
      <c r="V89">
        <f>HYPERLINK("https://klasma.github.io/Logging_2083/klagomål/A 35321-2023 FSC-klagomål.docx", "A 35321-2023")</f>
        <v/>
      </c>
      <c r="W89">
        <f>HYPERLINK("https://klasma.github.io/Logging_2083/klagomålsmail/A 35321-2023 FSC-klagomål mail.docx", "A 35321-2023")</f>
        <v/>
      </c>
      <c r="X89">
        <f>HYPERLINK("https://klasma.github.io/Logging_2083/tillsyn/A 35321-2023 tillsynsbegäran.docx", "A 35321-2023")</f>
        <v/>
      </c>
      <c r="Y89">
        <f>HYPERLINK("https://klasma.github.io/Logging_2083/tillsynsmail/A 35321-2023 tillsynsbegäran mail.docx", "A 35321-2023")</f>
        <v/>
      </c>
      <c r="Z89">
        <f>HYPERLINK("https://klasma.github.io/Logging_2083/fåglar/A 35321-2023 prioriterade fågelarter.docx", "A 35321-2023")</f>
        <v/>
      </c>
    </row>
    <row r="90" ht="15" customHeight="1">
      <c r="A90" t="inlineStr">
        <is>
          <t>A 36849-2023</t>
        </is>
      </c>
      <c r="B90" s="1" t="n">
        <v>45154</v>
      </c>
      <c r="C90" s="1" t="n">
        <v>45667</v>
      </c>
      <c r="D90" t="inlineStr">
        <is>
          <t>DALARNAS LÄN</t>
        </is>
      </c>
      <c r="E90" t="inlineStr">
        <is>
          <t>HEDEMORA</t>
        </is>
      </c>
      <c r="G90" t="n">
        <v>5.8</v>
      </c>
      <c r="H90" t="n">
        <v>1</v>
      </c>
      <c r="I90" t="n">
        <v>0</v>
      </c>
      <c r="J90" t="n">
        <v>0</v>
      </c>
      <c r="K90" t="n">
        <v>1</v>
      </c>
      <c r="L90" t="n">
        <v>0</v>
      </c>
      <c r="M90" t="n">
        <v>0</v>
      </c>
      <c r="N90" t="n">
        <v>0</v>
      </c>
      <c r="O90" t="n">
        <v>1</v>
      </c>
      <c r="P90" t="n">
        <v>1</v>
      </c>
      <c r="Q90" t="n">
        <v>1</v>
      </c>
      <c r="R90" s="2" t="inlineStr">
        <is>
          <t>Knärot</t>
        </is>
      </c>
      <c r="S90">
        <f>HYPERLINK("https://klasma.github.io/Logging_2083/artfynd/A 36849-2023 artfynd.xlsx", "A 36849-2023")</f>
        <v/>
      </c>
      <c r="T90">
        <f>HYPERLINK("https://klasma.github.io/Logging_2083/kartor/A 36849-2023 karta.png", "A 36849-2023")</f>
        <v/>
      </c>
      <c r="U90">
        <f>HYPERLINK("https://klasma.github.io/Logging_2083/knärot/A 36849-2023 karta knärot.png", "A 36849-2023")</f>
        <v/>
      </c>
      <c r="V90">
        <f>HYPERLINK("https://klasma.github.io/Logging_2083/klagomål/A 36849-2023 FSC-klagomål.docx", "A 36849-2023")</f>
        <v/>
      </c>
      <c r="W90">
        <f>HYPERLINK("https://klasma.github.io/Logging_2083/klagomålsmail/A 36849-2023 FSC-klagomål mail.docx", "A 36849-2023")</f>
        <v/>
      </c>
      <c r="X90">
        <f>HYPERLINK("https://klasma.github.io/Logging_2083/tillsyn/A 36849-2023 tillsynsbegäran.docx", "A 36849-2023")</f>
        <v/>
      </c>
      <c r="Y90">
        <f>HYPERLINK("https://klasma.github.io/Logging_2083/tillsynsmail/A 36849-2023 tillsynsbegäran mail.docx", "A 36849-2023")</f>
        <v/>
      </c>
    </row>
    <row r="91" ht="15" customHeight="1">
      <c r="A91" t="inlineStr">
        <is>
          <t>A 37654-2023</t>
        </is>
      </c>
      <c r="B91" s="1" t="n">
        <v>45159</v>
      </c>
      <c r="C91" s="1" t="n">
        <v>45667</v>
      </c>
      <c r="D91" t="inlineStr">
        <is>
          <t>DALARNAS LÄN</t>
        </is>
      </c>
      <c r="E91" t="inlineStr">
        <is>
          <t>HEDEMORA</t>
        </is>
      </c>
      <c r="G91" t="n">
        <v>6.2</v>
      </c>
      <c r="H91" t="n">
        <v>1</v>
      </c>
      <c r="I91" t="n">
        <v>0</v>
      </c>
      <c r="J91" t="n">
        <v>0</v>
      </c>
      <c r="K91" t="n">
        <v>1</v>
      </c>
      <c r="L91" t="n">
        <v>0</v>
      </c>
      <c r="M91" t="n">
        <v>0</v>
      </c>
      <c r="N91" t="n">
        <v>0</v>
      </c>
      <c r="O91" t="n">
        <v>1</v>
      </c>
      <c r="P91" t="n">
        <v>1</v>
      </c>
      <c r="Q91" t="n">
        <v>1</v>
      </c>
      <c r="R91" s="2" t="inlineStr">
        <is>
          <t>Knärot</t>
        </is>
      </c>
      <c r="S91">
        <f>HYPERLINK("https://klasma.github.io/Logging_2083/artfynd/A 37654-2023 artfynd.xlsx", "A 37654-2023")</f>
        <v/>
      </c>
      <c r="T91">
        <f>HYPERLINK("https://klasma.github.io/Logging_2083/kartor/A 37654-2023 karta.png", "A 37654-2023")</f>
        <v/>
      </c>
      <c r="U91">
        <f>HYPERLINK("https://klasma.github.io/Logging_2083/knärot/A 37654-2023 karta knärot.png", "A 37654-2023")</f>
        <v/>
      </c>
      <c r="V91">
        <f>HYPERLINK("https://klasma.github.io/Logging_2083/klagomål/A 37654-2023 FSC-klagomål.docx", "A 37654-2023")</f>
        <v/>
      </c>
      <c r="W91">
        <f>HYPERLINK("https://klasma.github.io/Logging_2083/klagomålsmail/A 37654-2023 FSC-klagomål mail.docx", "A 37654-2023")</f>
        <v/>
      </c>
      <c r="X91">
        <f>HYPERLINK("https://klasma.github.io/Logging_2083/tillsyn/A 37654-2023 tillsynsbegäran.docx", "A 37654-2023")</f>
        <v/>
      </c>
      <c r="Y91">
        <f>HYPERLINK("https://klasma.github.io/Logging_2083/tillsynsmail/A 37654-2023 tillsynsbegäran mail.docx", "A 37654-2023")</f>
        <v/>
      </c>
    </row>
    <row r="92" ht="15" customHeight="1">
      <c r="A92" t="inlineStr">
        <is>
          <t>A 41477-2023</t>
        </is>
      </c>
      <c r="B92" s="1" t="n">
        <v>45171</v>
      </c>
      <c r="C92" s="1" t="n">
        <v>45667</v>
      </c>
      <c r="D92" t="inlineStr">
        <is>
          <t>DALARNAS LÄN</t>
        </is>
      </c>
      <c r="E92" t="inlineStr">
        <is>
          <t>HEDEMORA</t>
        </is>
      </c>
      <c r="F92" t="inlineStr">
        <is>
          <t>Bergvik skog väst AB</t>
        </is>
      </c>
      <c r="G92" t="n">
        <v>9.1</v>
      </c>
      <c r="H92" t="n">
        <v>0</v>
      </c>
      <c r="I92" t="n">
        <v>1</v>
      </c>
      <c r="J92" t="n">
        <v>0</v>
      </c>
      <c r="K92" t="n">
        <v>0</v>
      </c>
      <c r="L92" t="n">
        <v>0</v>
      </c>
      <c r="M92" t="n">
        <v>0</v>
      </c>
      <c r="N92" t="n">
        <v>0</v>
      </c>
      <c r="O92" t="n">
        <v>0</v>
      </c>
      <c r="P92" t="n">
        <v>0</v>
      </c>
      <c r="Q92" t="n">
        <v>1</v>
      </c>
      <c r="R92" s="2" t="inlineStr">
        <is>
          <t>Ögonpyrola</t>
        </is>
      </c>
      <c r="S92">
        <f>HYPERLINK("https://klasma.github.io/Logging_2083/artfynd/A 41477-2023 artfynd.xlsx", "A 41477-2023")</f>
        <v/>
      </c>
      <c r="T92">
        <f>HYPERLINK("https://klasma.github.io/Logging_2083/kartor/A 41477-2023 karta.png", "A 41477-2023")</f>
        <v/>
      </c>
      <c r="V92">
        <f>HYPERLINK("https://klasma.github.io/Logging_2083/klagomål/A 41477-2023 FSC-klagomål.docx", "A 41477-2023")</f>
        <v/>
      </c>
      <c r="W92">
        <f>HYPERLINK("https://klasma.github.io/Logging_2083/klagomålsmail/A 41477-2023 FSC-klagomål mail.docx", "A 41477-2023")</f>
        <v/>
      </c>
      <c r="X92">
        <f>HYPERLINK("https://klasma.github.io/Logging_2083/tillsyn/A 41477-2023 tillsynsbegäran.docx", "A 41477-2023")</f>
        <v/>
      </c>
      <c r="Y92">
        <f>HYPERLINK("https://klasma.github.io/Logging_2083/tillsynsmail/A 41477-2023 tillsynsbegäran mail.docx", "A 41477-2023")</f>
        <v/>
      </c>
    </row>
    <row r="93" ht="15" customHeight="1">
      <c r="A93" t="inlineStr">
        <is>
          <t>A 41078-2023</t>
        </is>
      </c>
      <c r="B93" s="1" t="n">
        <v>45173</v>
      </c>
      <c r="C93" s="1" t="n">
        <v>45667</v>
      </c>
      <c r="D93" t="inlineStr">
        <is>
          <t>DALARNAS LÄN</t>
        </is>
      </c>
      <c r="E93" t="inlineStr">
        <is>
          <t>HEDEMORA</t>
        </is>
      </c>
      <c r="G93" t="n">
        <v>10.3</v>
      </c>
      <c r="H93" t="n">
        <v>0</v>
      </c>
      <c r="I93" t="n">
        <v>1</v>
      </c>
      <c r="J93" t="n">
        <v>0</v>
      </c>
      <c r="K93" t="n">
        <v>0</v>
      </c>
      <c r="L93" t="n">
        <v>0</v>
      </c>
      <c r="M93" t="n">
        <v>0</v>
      </c>
      <c r="N93" t="n">
        <v>0</v>
      </c>
      <c r="O93" t="n">
        <v>0</v>
      </c>
      <c r="P93" t="n">
        <v>0</v>
      </c>
      <c r="Q93" t="n">
        <v>1</v>
      </c>
      <c r="R93" s="2" t="inlineStr">
        <is>
          <t>Bronshjon</t>
        </is>
      </c>
      <c r="S93">
        <f>HYPERLINK("https://klasma.github.io/Logging_2083/artfynd/A 41078-2023 artfynd.xlsx", "A 41078-2023")</f>
        <v/>
      </c>
      <c r="T93">
        <f>HYPERLINK("https://klasma.github.io/Logging_2083/kartor/A 41078-2023 karta.png", "A 41078-2023")</f>
        <v/>
      </c>
      <c r="V93">
        <f>HYPERLINK("https://klasma.github.io/Logging_2083/klagomål/A 41078-2023 FSC-klagomål.docx", "A 41078-2023")</f>
        <v/>
      </c>
      <c r="W93">
        <f>HYPERLINK("https://klasma.github.io/Logging_2083/klagomålsmail/A 41078-2023 FSC-klagomål mail.docx", "A 41078-2023")</f>
        <v/>
      </c>
      <c r="X93">
        <f>HYPERLINK("https://klasma.github.io/Logging_2083/tillsyn/A 41078-2023 tillsynsbegäran.docx", "A 41078-2023")</f>
        <v/>
      </c>
      <c r="Y93">
        <f>HYPERLINK("https://klasma.github.io/Logging_2083/tillsynsmail/A 41078-2023 tillsynsbegäran mail.docx", "A 41078-2023")</f>
        <v/>
      </c>
    </row>
    <row r="94" ht="15" customHeight="1">
      <c r="A94" t="inlineStr">
        <is>
          <t>A 53031-2023</t>
        </is>
      </c>
      <c r="B94" s="1" t="n">
        <v>45226</v>
      </c>
      <c r="C94" s="1" t="n">
        <v>45667</v>
      </c>
      <c r="D94" t="inlineStr">
        <is>
          <t>DALARNAS LÄN</t>
        </is>
      </c>
      <c r="E94" t="inlineStr">
        <is>
          <t>HEDEMORA</t>
        </is>
      </c>
      <c r="F94" t="inlineStr">
        <is>
          <t>Sveaskog</t>
        </is>
      </c>
      <c r="G94" t="n">
        <v>6.9</v>
      </c>
      <c r="H94" t="n">
        <v>1</v>
      </c>
      <c r="I94" t="n">
        <v>0</v>
      </c>
      <c r="J94" t="n">
        <v>1</v>
      </c>
      <c r="K94" t="n">
        <v>0</v>
      </c>
      <c r="L94" t="n">
        <v>0</v>
      </c>
      <c r="M94" t="n">
        <v>0</v>
      </c>
      <c r="N94" t="n">
        <v>0</v>
      </c>
      <c r="O94" t="n">
        <v>1</v>
      </c>
      <c r="P94" t="n">
        <v>0</v>
      </c>
      <c r="Q94" t="n">
        <v>1</v>
      </c>
      <c r="R94" s="2" t="inlineStr">
        <is>
          <t>Talltita</t>
        </is>
      </c>
      <c r="S94">
        <f>HYPERLINK("https://klasma.github.io/Logging_2083/artfynd/A 53031-2023 artfynd.xlsx", "A 53031-2023")</f>
        <v/>
      </c>
      <c r="T94">
        <f>HYPERLINK("https://klasma.github.io/Logging_2083/kartor/A 53031-2023 karta.png", "A 53031-2023")</f>
        <v/>
      </c>
      <c r="V94">
        <f>HYPERLINK("https://klasma.github.io/Logging_2083/klagomål/A 53031-2023 FSC-klagomål.docx", "A 53031-2023")</f>
        <v/>
      </c>
      <c r="W94">
        <f>HYPERLINK("https://klasma.github.io/Logging_2083/klagomålsmail/A 53031-2023 FSC-klagomål mail.docx", "A 53031-2023")</f>
        <v/>
      </c>
      <c r="X94">
        <f>HYPERLINK("https://klasma.github.io/Logging_2083/tillsyn/A 53031-2023 tillsynsbegäran.docx", "A 53031-2023")</f>
        <v/>
      </c>
      <c r="Y94">
        <f>HYPERLINK("https://klasma.github.io/Logging_2083/tillsynsmail/A 53031-2023 tillsynsbegäran mail.docx", "A 53031-2023")</f>
        <v/>
      </c>
      <c r="Z94">
        <f>HYPERLINK("https://klasma.github.io/Logging_2083/fåglar/A 53031-2023 prioriterade fågelarter.docx", "A 53031-2023")</f>
        <v/>
      </c>
    </row>
    <row r="95" ht="15" customHeight="1">
      <c r="A95" t="inlineStr">
        <is>
          <t>A 59376-2023</t>
        </is>
      </c>
      <c r="B95" s="1" t="n">
        <v>45253</v>
      </c>
      <c r="C95" s="1" t="n">
        <v>45667</v>
      </c>
      <c r="D95" t="inlineStr">
        <is>
          <t>DALARNAS LÄN</t>
        </is>
      </c>
      <c r="E95" t="inlineStr">
        <is>
          <t>HEDEMORA</t>
        </is>
      </c>
      <c r="F95" t="inlineStr">
        <is>
          <t>Sveaskog</t>
        </is>
      </c>
      <c r="G95" t="n">
        <v>2.4</v>
      </c>
      <c r="H95" t="n">
        <v>1</v>
      </c>
      <c r="I95" t="n">
        <v>0</v>
      </c>
      <c r="J95" t="n">
        <v>1</v>
      </c>
      <c r="K95" t="n">
        <v>0</v>
      </c>
      <c r="L95" t="n">
        <v>0</v>
      </c>
      <c r="M95" t="n">
        <v>0</v>
      </c>
      <c r="N95" t="n">
        <v>0</v>
      </c>
      <c r="O95" t="n">
        <v>1</v>
      </c>
      <c r="P95" t="n">
        <v>0</v>
      </c>
      <c r="Q95" t="n">
        <v>1</v>
      </c>
      <c r="R95" s="2" t="inlineStr">
        <is>
          <t>Spillkråka</t>
        </is>
      </c>
      <c r="S95">
        <f>HYPERLINK("https://klasma.github.io/Logging_2083/artfynd/A 59376-2023 artfynd.xlsx", "A 59376-2023")</f>
        <v/>
      </c>
      <c r="T95">
        <f>HYPERLINK("https://klasma.github.io/Logging_2083/kartor/A 59376-2023 karta.png", "A 59376-2023")</f>
        <v/>
      </c>
      <c r="V95">
        <f>HYPERLINK("https://klasma.github.io/Logging_2083/klagomål/A 59376-2023 FSC-klagomål.docx", "A 59376-2023")</f>
        <v/>
      </c>
      <c r="W95">
        <f>HYPERLINK("https://klasma.github.io/Logging_2083/klagomålsmail/A 59376-2023 FSC-klagomål mail.docx", "A 59376-2023")</f>
        <v/>
      </c>
      <c r="X95">
        <f>HYPERLINK("https://klasma.github.io/Logging_2083/tillsyn/A 59376-2023 tillsynsbegäran.docx", "A 59376-2023")</f>
        <v/>
      </c>
      <c r="Y95">
        <f>HYPERLINK("https://klasma.github.io/Logging_2083/tillsynsmail/A 59376-2023 tillsynsbegäran mail.docx", "A 59376-2023")</f>
        <v/>
      </c>
      <c r="Z95">
        <f>HYPERLINK("https://klasma.github.io/Logging_2083/fåglar/A 59376-2023 prioriterade fågelarter.docx", "A 59376-2023")</f>
        <v/>
      </c>
    </row>
    <row r="96" ht="15" customHeight="1">
      <c r="A96" t="inlineStr">
        <is>
          <t>A 59377-2023</t>
        </is>
      </c>
      <c r="B96" s="1" t="n">
        <v>45253</v>
      </c>
      <c r="C96" s="1" t="n">
        <v>45667</v>
      </c>
      <c r="D96" t="inlineStr">
        <is>
          <t>DALARNAS LÄN</t>
        </is>
      </c>
      <c r="E96" t="inlineStr">
        <is>
          <t>HEDEMORA</t>
        </is>
      </c>
      <c r="F96" t="inlineStr">
        <is>
          <t>Sveaskog</t>
        </is>
      </c>
      <c r="G96" t="n">
        <v>4.6</v>
      </c>
      <c r="H96" t="n">
        <v>0</v>
      </c>
      <c r="I96" t="n">
        <v>0</v>
      </c>
      <c r="J96" t="n">
        <v>1</v>
      </c>
      <c r="K96" t="n">
        <v>0</v>
      </c>
      <c r="L96" t="n">
        <v>0</v>
      </c>
      <c r="M96" t="n">
        <v>0</v>
      </c>
      <c r="N96" t="n">
        <v>0</v>
      </c>
      <c r="O96" t="n">
        <v>1</v>
      </c>
      <c r="P96" t="n">
        <v>0</v>
      </c>
      <c r="Q96" t="n">
        <v>1</v>
      </c>
      <c r="R96" s="2" t="inlineStr">
        <is>
          <t>Ullticka</t>
        </is>
      </c>
      <c r="S96">
        <f>HYPERLINK("https://klasma.github.io/Logging_2083/artfynd/A 59377-2023 artfynd.xlsx", "A 59377-2023")</f>
        <v/>
      </c>
      <c r="T96">
        <f>HYPERLINK("https://klasma.github.io/Logging_2083/kartor/A 59377-2023 karta.png", "A 59377-2023")</f>
        <v/>
      </c>
      <c r="V96">
        <f>HYPERLINK("https://klasma.github.io/Logging_2083/klagomål/A 59377-2023 FSC-klagomål.docx", "A 59377-2023")</f>
        <v/>
      </c>
      <c r="W96">
        <f>HYPERLINK("https://klasma.github.io/Logging_2083/klagomålsmail/A 59377-2023 FSC-klagomål mail.docx", "A 59377-2023")</f>
        <v/>
      </c>
      <c r="X96">
        <f>HYPERLINK("https://klasma.github.io/Logging_2083/tillsyn/A 59377-2023 tillsynsbegäran.docx", "A 59377-2023")</f>
        <v/>
      </c>
      <c r="Y96">
        <f>HYPERLINK("https://klasma.github.io/Logging_2083/tillsynsmail/A 59377-2023 tillsynsbegäran mail.docx", "A 59377-2023")</f>
        <v/>
      </c>
    </row>
    <row r="97" ht="15" customHeight="1">
      <c r="A97" t="inlineStr">
        <is>
          <t>A 59751-2023</t>
        </is>
      </c>
      <c r="B97" s="1" t="n">
        <v>45257</v>
      </c>
      <c r="C97" s="1" t="n">
        <v>45667</v>
      </c>
      <c r="D97" t="inlineStr">
        <is>
          <t>DALARNAS LÄN</t>
        </is>
      </c>
      <c r="E97" t="inlineStr">
        <is>
          <t>HEDEMORA</t>
        </is>
      </c>
      <c r="F97" t="inlineStr">
        <is>
          <t>Sveaskog</t>
        </is>
      </c>
      <c r="G97" t="n">
        <v>0.7</v>
      </c>
      <c r="H97" t="n">
        <v>0</v>
      </c>
      <c r="I97" t="n">
        <v>1</v>
      </c>
      <c r="J97" t="n">
        <v>0</v>
      </c>
      <c r="K97" t="n">
        <v>0</v>
      </c>
      <c r="L97" t="n">
        <v>0</v>
      </c>
      <c r="M97" t="n">
        <v>0</v>
      </c>
      <c r="N97" t="n">
        <v>0</v>
      </c>
      <c r="O97" t="n">
        <v>0</v>
      </c>
      <c r="P97" t="n">
        <v>0</v>
      </c>
      <c r="Q97" t="n">
        <v>1</v>
      </c>
      <c r="R97" s="2" t="inlineStr">
        <is>
          <t>Svavelriska</t>
        </is>
      </c>
      <c r="S97">
        <f>HYPERLINK("https://klasma.github.io/Logging_2083/artfynd/A 59751-2023 artfynd.xlsx", "A 59751-2023")</f>
        <v/>
      </c>
      <c r="T97">
        <f>HYPERLINK("https://klasma.github.io/Logging_2083/kartor/A 59751-2023 karta.png", "A 59751-2023")</f>
        <v/>
      </c>
      <c r="V97">
        <f>HYPERLINK("https://klasma.github.io/Logging_2083/klagomål/A 59751-2023 FSC-klagomål.docx", "A 59751-2023")</f>
        <v/>
      </c>
      <c r="W97">
        <f>HYPERLINK("https://klasma.github.io/Logging_2083/klagomålsmail/A 59751-2023 FSC-klagomål mail.docx", "A 59751-2023")</f>
        <v/>
      </c>
      <c r="X97">
        <f>HYPERLINK("https://klasma.github.io/Logging_2083/tillsyn/A 59751-2023 tillsynsbegäran.docx", "A 59751-2023")</f>
        <v/>
      </c>
      <c r="Y97">
        <f>HYPERLINK("https://klasma.github.io/Logging_2083/tillsynsmail/A 59751-2023 tillsynsbegäran mail.docx", "A 59751-2023")</f>
        <v/>
      </c>
    </row>
    <row r="98" ht="15" customHeight="1">
      <c r="A98" t="inlineStr">
        <is>
          <t>A 63542-2023</t>
        </is>
      </c>
      <c r="B98" s="1" t="n">
        <v>45275</v>
      </c>
      <c r="C98" s="1" t="n">
        <v>45667</v>
      </c>
      <c r="D98" t="inlineStr">
        <is>
          <t>DALARNAS LÄN</t>
        </is>
      </c>
      <c r="E98" t="inlineStr">
        <is>
          <t>HEDEMORA</t>
        </is>
      </c>
      <c r="G98" t="n">
        <v>2.1</v>
      </c>
      <c r="H98" t="n">
        <v>1</v>
      </c>
      <c r="I98" t="n">
        <v>0</v>
      </c>
      <c r="J98" t="n">
        <v>1</v>
      </c>
      <c r="K98" t="n">
        <v>0</v>
      </c>
      <c r="L98" t="n">
        <v>0</v>
      </c>
      <c r="M98" t="n">
        <v>0</v>
      </c>
      <c r="N98" t="n">
        <v>0</v>
      </c>
      <c r="O98" t="n">
        <v>1</v>
      </c>
      <c r="P98" t="n">
        <v>0</v>
      </c>
      <c r="Q98" t="n">
        <v>1</v>
      </c>
      <c r="R98" s="2" t="inlineStr">
        <is>
          <t>Spillkråka</t>
        </is>
      </c>
      <c r="S98">
        <f>HYPERLINK("https://klasma.github.io/Logging_2083/artfynd/A 63542-2023 artfynd.xlsx", "A 63542-2023")</f>
        <v/>
      </c>
      <c r="T98">
        <f>HYPERLINK("https://klasma.github.io/Logging_2083/kartor/A 63542-2023 karta.png", "A 63542-2023")</f>
        <v/>
      </c>
      <c r="V98">
        <f>HYPERLINK("https://klasma.github.io/Logging_2083/klagomål/A 63542-2023 FSC-klagomål.docx", "A 63542-2023")</f>
        <v/>
      </c>
      <c r="W98">
        <f>HYPERLINK("https://klasma.github.io/Logging_2083/klagomålsmail/A 63542-2023 FSC-klagomål mail.docx", "A 63542-2023")</f>
        <v/>
      </c>
      <c r="X98">
        <f>HYPERLINK("https://klasma.github.io/Logging_2083/tillsyn/A 63542-2023 tillsynsbegäran.docx", "A 63542-2023")</f>
        <v/>
      </c>
      <c r="Y98">
        <f>HYPERLINK("https://klasma.github.io/Logging_2083/tillsynsmail/A 63542-2023 tillsynsbegäran mail.docx", "A 63542-2023")</f>
        <v/>
      </c>
      <c r="Z98">
        <f>HYPERLINK("https://klasma.github.io/Logging_2083/fåglar/A 63542-2023 prioriterade fågelarter.docx", "A 63542-2023")</f>
        <v/>
      </c>
    </row>
    <row r="99" ht="15" customHeight="1">
      <c r="A99" t="inlineStr">
        <is>
          <t>A 21535-2024</t>
        </is>
      </c>
      <c r="B99" s="1" t="n">
        <v>45441</v>
      </c>
      <c r="C99" s="1" t="n">
        <v>45667</v>
      </c>
      <c r="D99" t="inlineStr">
        <is>
          <t>DALARNAS LÄN</t>
        </is>
      </c>
      <c r="E99" t="inlineStr">
        <is>
          <t>HEDEMORA</t>
        </is>
      </c>
      <c r="F99" t="inlineStr">
        <is>
          <t>Sveaskog</t>
        </is>
      </c>
      <c r="G99" t="n">
        <v>3.4</v>
      </c>
      <c r="H99" t="n">
        <v>1</v>
      </c>
      <c r="I99" t="n">
        <v>0</v>
      </c>
      <c r="J99" t="n">
        <v>0</v>
      </c>
      <c r="K99" t="n">
        <v>1</v>
      </c>
      <c r="L99" t="n">
        <v>0</v>
      </c>
      <c r="M99" t="n">
        <v>0</v>
      </c>
      <c r="N99" t="n">
        <v>0</v>
      </c>
      <c r="O99" t="n">
        <v>1</v>
      </c>
      <c r="P99" t="n">
        <v>1</v>
      </c>
      <c r="Q99" t="n">
        <v>1</v>
      </c>
      <c r="R99" s="2" t="inlineStr">
        <is>
          <t>Knärot</t>
        </is>
      </c>
      <c r="S99">
        <f>HYPERLINK("https://klasma.github.io/Logging_2083/artfynd/A 21535-2024 artfynd.xlsx", "A 21535-2024")</f>
        <v/>
      </c>
      <c r="T99">
        <f>HYPERLINK("https://klasma.github.io/Logging_2083/kartor/A 21535-2024 karta.png", "A 21535-2024")</f>
        <v/>
      </c>
      <c r="U99">
        <f>HYPERLINK("https://klasma.github.io/Logging_2083/knärot/A 21535-2024 karta knärot.png", "A 21535-2024")</f>
        <v/>
      </c>
      <c r="V99">
        <f>HYPERLINK("https://klasma.github.io/Logging_2083/klagomål/A 21535-2024 FSC-klagomål.docx", "A 21535-2024")</f>
        <v/>
      </c>
      <c r="W99">
        <f>HYPERLINK("https://klasma.github.io/Logging_2083/klagomålsmail/A 21535-2024 FSC-klagomål mail.docx", "A 21535-2024")</f>
        <v/>
      </c>
      <c r="X99">
        <f>HYPERLINK("https://klasma.github.io/Logging_2083/tillsyn/A 21535-2024 tillsynsbegäran.docx", "A 21535-2024")</f>
        <v/>
      </c>
      <c r="Y99">
        <f>HYPERLINK("https://klasma.github.io/Logging_2083/tillsynsmail/A 21535-2024 tillsynsbegäran mail.docx", "A 21535-2024")</f>
        <v/>
      </c>
    </row>
    <row r="100" ht="15" customHeight="1">
      <c r="A100" t="inlineStr">
        <is>
          <t>A 42614-2024</t>
        </is>
      </c>
      <c r="B100" s="1" t="n">
        <v>45565</v>
      </c>
      <c r="C100" s="1" t="n">
        <v>45667</v>
      </c>
      <c r="D100" t="inlineStr">
        <is>
          <t>DALARNAS LÄN</t>
        </is>
      </c>
      <c r="E100" t="inlineStr">
        <is>
          <t>HEDEMORA</t>
        </is>
      </c>
      <c r="F100" t="inlineStr">
        <is>
          <t>Sveaskog</t>
        </is>
      </c>
      <c r="G100" t="n">
        <v>3</v>
      </c>
      <c r="H100" t="n">
        <v>1</v>
      </c>
      <c r="I100" t="n">
        <v>0</v>
      </c>
      <c r="J100" t="n">
        <v>1</v>
      </c>
      <c r="K100" t="n">
        <v>0</v>
      </c>
      <c r="L100" t="n">
        <v>0</v>
      </c>
      <c r="M100" t="n">
        <v>0</v>
      </c>
      <c r="N100" t="n">
        <v>0</v>
      </c>
      <c r="O100" t="n">
        <v>1</v>
      </c>
      <c r="P100" t="n">
        <v>0</v>
      </c>
      <c r="Q100" t="n">
        <v>1</v>
      </c>
      <c r="R100" s="2" t="inlineStr">
        <is>
          <t>Talltita</t>
        </is>
      </c>
      <c r="S100">
        <f>HYPERLINK("https://klasma.github.io/Logging_2083/artfynd/A 42614-2024 artfynd.xlsx", "A 42614-2024")</f>
        <v/>
      </c>
      <c r="T100">
        <f>HYPERLINK("https://klasma.github.io/Logging_2083/kartor/A 42614-2024 karta.png", "A 42614-2024")</f>
        <v/>
      </c>
      <c r="V100">
        <f>HYPERLINK("https://klasma.github.io/Logging_2083/klagomål/A 42614-2024 FSC-klagomål.docx", "A 42614-2024")</f>
        <v/>
      </c>
      <c r="W100">
        <f>HYPERLINK("https://klasma.github.io/Logging_2083/klagomålsmail/A 42614-2024 FSC-klagomål mail.docx", "A 42614-2024")</f>
        <v/>
      </c>
      <c r="X100">
        <f>HYPERLINK("https://klasma.github.io/Logging_2083/tillsyn/A 42614-2024 tillsynsbegäran.docx", "A 42614-2024")</f>
        <v/>
      </c>
      <c r="Y100">
        <f>HYPERLINK("https://klasma.github.io/Logging_2083/tillsynsmail/A 42614-2024 tillsynsbegäran mail.docx", "A 42614-2024")</f>
        <v/>
      </c>
      <c r="Z100">
        <f>HYPERLINK("https://klasma.github.io/Logging_2083/fåglar/A 42614-2024 prioriterade fågelarter.docx", "A 42614-2024")</f>
        <v/>
      </c>
    </row>
    <row r="101" ht="15" customHeight="1">
      <c r="A101" t="inlineStr">
        <is>
          <t>A 48323-2024</t>
        </is>
      </c>
      <c r="B101" s="1" t="n">
        <v>45590</v>
      </c>
      <c r="C101" s="1" t="n">
        <v>45667</v>
      </c>
      <c r="D101" t="inlineStr">
        <is>
          <t>DALARNAS LÄN</t>
        </is>
      </c>
      <c r="E101" t="inlineStr">
        <is>
          <t>HEDEMORA</t>
        </is>
      </c>
      <c r="F101" t="inlineStr">
        <is>
          <t>Sveaskog</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HYPERLINK("https://klasma.github.io/Logging_2083/artfynd/A 48323-2024 artfynd.xlsx", "A 48323-2024")</f>
        <v/>
      </c>
      <c r="T101">
        <f>HYPERLINK("https://klasma.github.io/Logging_2083/kartor/A 48323-2024 karta.png", "A 48323-2024")</f>
        <v/>
      </c>
      <c r="V101">
        <f>HYPERLINK("https://klasma.github.io/Logging_2083/klagomål/A 48323-2024 FSC-klagomål.docx", "A 48323-2024")</f>
        <v/>
      </c>
      <c r="W101">
        <f>HYPERLINK("https://klasma.github.io/Logging_2083/klagomålsmail/A 48323-2024 FSC-klagomål mail.docx", "A 48323-2024")</f>
        <v/>
      </c>
      <c r="X101">
        <f>HYPERLINK("https://klasma.github.io/Logging_2083/tillsyn/A 48323-2024 tillsynsbegäran.docx", "A 48323-2024")</f>
        <v/>
      </c>
      <c r="Y101">
        <f>HYPERLINK("https://klasma.github.io/Logging_2083/tillsynsmail/A 48323-2024 tillsynsbegäran mail.docx", "A 48323-2024")</f>
        <v/>
      </c>
    </row>
    <row r="102" ht="15" customHeight="1">
      <c r="A102" t="inlineStr">
        <is>
          <t>A 52941-2024</t>
        </is>
      </c>
      <c r="B102" s="1" t="n">
        <v>45610</v>
      </c>
      <c r="C102" s="1" t="n">
        <v>45667</v>
      </c>
      <c r="D102" t="inlineStr">
        <is>
          <t>DALARNAS LÄN</t>
        </is>
      </c>
      <c r="E102" t="inlineStr">
        <is>
          <t>HEDEMORA</t>
        </is>
      </c>
      <c r="F102" t="inlineStr">
        <is>
          <t>Sveaskog</t>
        </is>
      </c>
      <c r="G102" t="n">
        <v>18.3</v>
      </c>
      <c r="H102" t="n">
        <v>1</v>
      </c>
      <c r="I102" t="n">
        <v>0</v>
      </c>
      <c r="J102" t="n">
        <v>0</v>
      </c>
      <c r="K102" t="n">
        <v>1</v>
      </c>
      <c r="L102" t="n">
        <v>0</v>
      </c>
      <c r="M102" t="n">
        <v>0</v>
      </c>
      <c r="N102" t="n">
        <v>0</v>
      </c>
      <c r="O102" t="n">
        <v>1</v>
      </c>
      <c r="P102" t="n">
        <v>1</v>
      </c>
      <c r="Q102" t="n">
        <v>1</v>
      </c>
      <c r="R102" s="2" t="inlineStr">
        <is>
          <t>Knärot</t>
        </is>
      </c>
      <c r="S102">
        <f>HYPERLINK("https://klasma.github.io/Logging_2083/artfynd/A 52941-2024 artfynd.xlsx", "A 52941-2024")</f>
        <v/>
      </c>
      <c r="T102">
        <f>HYPERLINK("https://klasma.github.io/Logging_2083/kartor/A 52941-2024 karta.png", "A 52941-2024")</f>
        <v/>
      </c>
      <c r="U102">
        <f>HYPERLINK("https://klasma.github.io/Logging_2083/knärot/A 52941-2024 karta knärot.png", "A 52941-2024")</f>
        <v/>
      </c>
      <c r="V102">
        <f>HYPERLINK("https://klasma.github.io/Logging_2083/klagomål/A 52941-2024 FSC-klagomål.docx", "A 52941-2024")</f>
        <v/>
      </c>
      <c r="W102">
        <f>HYPERLINK("https://klasma.github.io/Logging_2083/klagomålsmail/A 52941-2024 FSC-klagomål mail.docx", "A 52941-2024")</f>
        <v/>
      </c>
      <c r="X102">
        <f>HYPERLINK("https://klasma.github.io/Logging_2083/tillsyn/A 52941-2024 tillsynsbegäran.docx", "A 52941-2024")</f>
        <v/>
      </c>
      <c r="Y102">
        <f>HYPERLINK("https://klasma.github.io/Logging_2083/tillsynsmail/A 52941-2024 tillsynsbegäran mail.docx", "A 52941-2024")</f>
        <v/>
      </c>
    </row>
    <row r="103" ht="15" customHeight="1">
      <c r="A103" t="inlineStr">
        <is>
          <t>A 19016-2019</t>
        </is>
      </c>
      <c r="B103" s="1" t="n">
        <v>43563</v>
      </c>
      <c r="C103" s="1" t="n">
        <v>45667</v>
      </c>
      <c r="D103" t="inlineStr">
        <is>
          <t>DALARNAS LÄN</t>
        </is>
      </c>
      <c r="E103" t="inlineStr">
        <is>
          <t>HEDEMORA</t>
        </is>
      </c>
      <c r="G103" t="n">
        <v>1</v>
      </c>
      <c r="H103" t="n">
        <v>0</v>
      </c>
      <c r="I103" t="n">
        <v>0</v>
      </c>
      <c r="J103" t="n">
        <v>0</v>
      </c>
      <c r="K103" t="n">
        <v>0</v>
      </c>
      <c r="L103" t="n">
        <v>0</v>
      </c>
      <c r="M103" t="n">
        <v>0</v>
      </c>
      <c r="N103" t="n">
        <v>0</v>
      </c>
      <c r="O103" t="n">
        <v>0</v>
      </c>
      <c r="P103" t="n">
        <v>0</v>
      </c>
      <c r="Q103" t="n">
        <v>0</v>
      </c>
      <c r="R103" s="2" t="inlineStr"/>
    </row>
    <row r="104" ht="15" customHeight="1">
      <c r="A104" t="inlineStr">
        <is>
          <t>A 21235-2019</t>
        </is>
      </c>
      <c r="B104" s="1" t="n">
        <v>43579</v>
      </c>
      <c r="C104" s="1" t="n">
        <v>45667</v>
      </c>
      <c r="D104" t="inlineStr">
        <is>
          <t>DALARNAS LÄN</t>
        </is>
      </c>
      <c r="E104" t="inlineStr">
        <is>
          <t>HEDEMORA</t>
        </is>
      </c>
      <c r="G104" t="n">
        <v>3.7</v>
      </c>
      <c r="H104" t="n">
        <v>0</v>
      </c>
      <c r="I104" t="n">
        <v>0</v>
      </c>
      <c r="J104" t="n">
        <v>0</v>
      </c>
      <c r="K104" t="n">
        <v>0</v>
      </c>
      <c r="L104" t="n">
        <v>0</v>
      </c>
      <c r="M104" t="n">
        <v>0</v>
      </c>
      <c r="N104" t="n">
        <v>0</v>
      </c>
      <c r="O104" t="n">
        <v>0</v>
      </c>
      <c r="P104" t="n">
        <v>0</v>
      </c>
      <c r="Q104" t="n">
        <v>0</v>
      </c>
      <c r="R104" s="2" t="inlineStr"/>
    </row>
    <row r="105" ht="15" customHeight="1">
      <c r="A105" t="inlineStr">
        <is>
          <t>A 21212-2019</t>
        </is>
      </c>
      <c r="B105" s="1" t="n">
        <v>43579</v>
      </c>
      <c r="C105" s="1" t="n">
        <v>45667</v>
      </c>
      <c r="D105" t="inlineStr">
        <is>
          <t>DALARNAS LÄN</t>
        </is>
      </c>
      <c r="E105" t="inlineStr">
        <is>
          <t>HEDEMORA</t>
        </is>
      </c>
      <c r="G105" t="n">
        <v>0.9</v>
      </c>
      <c r="H105" t="n">
        <v>0</v>
      </c>
      <c r="I105" t="n">
        <v>0</v>
      </c>
      <c r="J105" t="n">
        <v>0</v>
      </c>
      <c r="K105" t="n">
        <v>0</v>
      </c>
      <c r="L105" t="n">
        <v>0</v>
      </c>
      <c r="M105" t="n">
        <v>0</v>
      </c>
      <c r="N105" t="n">
        <v>0</v>
      </c>
      <c r="O105" t="n">
        <v>0</v>
      </c>
      <c r="P105" t="n">
        <v>0</v>
      </c>
      <c r="Q105" t="n">
        <v>0</v>
      </c>
      <c r="R105" s="2" t="inlineStr"/>
    </row>
    <row r="106" ht="15" customHeight="1">
      <c r="A106" t="inlineStr">
        <is>
          <t>A 22494-2019</t>
        </is>
      </c>
      <c r="B106" s="1" t="n">
        <v>43587</v>
      </c>
      <c r="C106" s="1" t="n">
        <v>45667</v>
      </c>
      <c r="D106" t="inlineStr">
        <is>
          <t>DALARNAS LÄN</t>
        </is>
      </c>
      <c r="E106" t="inlineStr">
        <is>
          <t>HEDEMORA</t>
        </is>
      </c>
      <c r="G106" t="n">
        <v>5.3</v>
      </c>
      <c r="H106" t="n">
        <v>0</v>
      </c>
      <c r="I106" t="n">
        <v>0</v>
      </c>
      <c r="J106" t="n">
        <v>0</v>
      </c>
      <c r="K106" t="n">
        <v>0</v>
      </c>
      <c r="L106" t="n">
        <v>0</v>
      </c>
      <c r="M106" t="n">
        <v>0</v>
      </c>
      <c r="N106" t="n">
        <v>0</v>
      </c>
      <c r="O106" t="n">
        <v>0</v>
      </c>
      <c r="P106" t="n">
        <v>0</v>
      </c>
      <c r="Q106" t="n">
        <v>0</v>
      </c>
      <c r="R106" s="2" t="inlineStr"/>
    </row>
    <row r="107" ht="15" customHeight="1">
      <c r="A107" t="inlineStr">
        <is>
          <t>A 22810-2019</t>
        </is>
      </c>
      <c r="B107" s="1" t="n">
        <v>43590</v>
      </c>
      <c r="C107" s="1" t="n">
        <v>45667</v>
      </c>
      <c r="D107" t="inlineStr">
        <is>
          <t>DALARNAS LÄN</t>
        </is>
      </c>
      <c r="E107" t="inlineStr">
        <is>
          <t>HEDEMORA</t>
        </is>
      </c>
      <c r="G107" t="n">
        <v>0.5</v>
      </c>
      <c r="H107" t="n">
        <v>0</v>
      </c>
      <c r="I107" t="n">
        <v>0</v>
      </c>
      <c r="J107" t="n">
        <v>0</v>
      </c>
      <c r="K107" t="n">
        <v>0</v>
      </c>
      <c r="L107" t="n">
        <v>0</v>
      </c>
      <c r="M107" t="n">
        <v>0</v>
      </c>
      <c r="N107" t="n">
        <v>0</v>
      </c>
      <c r="O107" t="n">
        <v>0</v>
      </c>
      <c r="P107" t="n">
        <v>0</v>
      </c>
      <c r="Q107" t="n">
        <v>0</v>
      </c>
      <c r="R107" s="2" t="inlineStr"/>
    </row>
    <row r="108" ht="15" customHeight="1">
      <c r="A108" t="inlineStr">
        <is>
          <t>A 23492-2019</t>
        </is>
      </c>
      <c r="B108" s="1" t="n">
        <v>43594</v>
      </c>
      <c r="C108" s="1" t="n">
        <v>45667</v>
      </c>
      <c r="D108" t="inlineStr">
        <is>
          <t>DALARNAS LÄN</t>
        </is>
      </c>
      <c r="E108" t="inlineStr">
        <is>
          <t>HEDEMORA</t>
        </is>
      </c>
      <c r="G108" t="n">
        <v>3.2</v>
      </c>
      <c r="H108" t="n">
        <v>0</v>
      </c>
      <c r="I108" t="n">
        <v>0</v>
      </c>
      <c r="J108" t="n">
        <v>0</v>
      </c>
      <c r="K108" t="n">
        <v>0</v>
      </c>
      <c r="L108" t="n">
        <v>0</v>
      </c>
      <c r="M108" t="n">
        <v>0</v>
      </c>
      <c r="N108" t="n">
        <v>0</v>
      </c>
      <c r="O108" t="n">
        <v>0</v>
      </c>
      <c r="P108" t="n">
        <v>0</v>
      </c>
      <c r="Q108" t="n">
        <v>0</v>
      </c>
      <c r="R108" s="2" t="inlineStr"/>
    </row>
    <row r="109" ht="15" customHeight="1">
      <c r="A109" t="inlineStr">
        <is>
          <t>A 23804-2019</t>
        </is>
      </c>
      <c r="B109" s="1" t="n">
        <v>43595</v>
      </c>
      <c r="C109" s="1" t="n">
        <v>45667</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23808-2019</t>
        </is>
      </c>
      <c r="B110" s="1" t="n">
        <v>43595</v>
      </c>
      <c r="C110" s="1" t="n">
        <v>45667</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24904-2019</t>
        </is>
      </c>
      <c r="B111" s="1" t="n">
        <v>43602</v>
      </c>
      <c r="C111" s="1" t="n">
        <v>45667</v>
      </c>
      <c r="D111" t="inlineStr">
        <is>
          <t>DALARNAS LÄN</t>
        </is>
      </c>
      <c r="E111" t="inlineStr">
        <is>
          <t>HEDEMORA</t>
        </is>
      </c>
      <c r="G111" t="n">
        <v>1.3</v>
      </c>
      <c r="H111" t="n">
        <v>0</v>
      </c>
      <c r="I111" t="n">
        <v>0</v>
      </c>
      <c r="J111" t="n">
        <v>0</v>
      </c>
      <c r="K111" t="n">
        <v>0</v>
      </c>
      <c r="L111" t="n">
        <v>0</v>
      </c>
      <c r="M111" t="n">
        <v>0</v>
      </c>
      <c r="N111" t="n">
        <v>0</v>
      </c>
      <c r="O111" t="n">
        <v>0</v>
      </c>
      <c r="P111" t="n">
        <v>0</v>
      </c>
      <c r="Q111" t="n">
        <v>0</v>
      </c>
      <c r="R111" s="2" t="inlineStr"/>
    </row>
    <row r="112" ht="15" customHeight="1">
      <c r="A112" t="inlineStr">
        <is>
          <t>A 26162-2019</t>
        </is>
      </c>
      <c r="B112" s="1" t="n">
        <v>43609</v>
      </c>
      <c r="C112" s="1" t="n">
        <v>45667</v>
      </c>
      <c r="D112" t="inlineStr">
        <is>
          <t>DALARNAS LÄN</t>
        </is>
      </c>
      <c r="E112" t="inlineStr">
        <is>
          <t>HEDEMORA</t>
        </is>
      </c>
      <c r="F112" t="inlineStr">
        <is>
          <t>Sveaskog</t>
        </is>
      </c>
      <c r="G112" t="n">
        <v>12.8</v>
      </c>
      <c r="H112" t="n">
        <v>0</v>
      </c>
      <c r="I112" t="n">
        <v>0</v>
      </c>
      <c r="J112" t="n">
        <v>0</v>
      </c>
      <c r="K112" t="n">
        <v>0</v>
      </c>
      <c r="L112" t="n">
        <v>0</v>
      </c>
      <c r="M112" t="n">
        <v>0</v>
      </c>
      <c r="N112" t="n">
        <v>0</v>
      </c>
      <c r="O112" t="n">
        <v>0</v>
      </c>
      <c r="P112" t="n">
        <v>0</v>
      </c>
      <c r="Q112" t="n">
        <v>0</v>
      </c>
      <c r="R112" s="2" t="inlineStr"/>
    </row>
    <row r="113" ht="15" customHeight="1">
      <c r="A113" t="inlineStr">
        <is>
          <t>A 26167-2019</t>
        </is>
      </c>
      <c r="B113" s="1" t="n">
        <v>43609</v>
      </c>
      <c r="C113" s="1" t="n">
        <v>45667</v>
      </c>
      <c r="D113" t="inlineStr">
        <is>
          <t>DALARNAS LÄN</t>
        </is>
      </c>
      <c r="E113" t="inlineStr">
        <is>
          <t>HEDEMORA</t>
        </is>
      </c>
      <c r="F113" t="inlineStr">
        <is>
          <t>Sveaskog</t>
        </is>
      </c>
      <c r="G113" t="n">
        <v>7</v>
      </c>
      <c r="H113" t="n">
        <v>0</v>
      </c>
      <c r="I113" t="n">
        <v>0</v>
      </c>
      <c r="J113" t="n">
        <v>0</v>
      </c>
      <c r="K113" t="n">
        <v>0</v>
      </c>
      <c r="L113" t="n">
        <v>0</v>
      </c>
      <c r="M113" t="n">
        <v>0</v>
      </c>
      <c r="N113" t="n">
        <v>0</v>
      </c>
      <c r="O113" t="n">
        <v>0</v>
      </c>
      <c r="P113" t="n">
        <v>0</v>
      </c>
      <c r="Q113" t="n">
        <v>0</v>
      </c>
      <c r="R113" s="2" t="inlineStr"/>
    </row>
    <row r="114" ht="15" customHeight="1">
      <c r="A114" t="inlineStr">
        <is>
          <t>A 27393-2019</t>
        </is>
      </c>
      <c r="B114" s="1" t="n">
        <v>43616</v>
      </c>
      <c r="C114" s="1" t="n">
        <v>45667</v>
      </c>
      <c r="D114" t="inlineStr">
        <is>
          <t>DALARNAS LÄN</t>
        </is>
      </c>
      <c r="E114" t="inlineStr">
        <is>
          <t>HEDEMORA</t>
        </is>
      </c>
      <c r="G114" t="n">
        <v>1.4</v>
      </c>
      <c r="H114" t="n">
        <v>0</v>
      </c>
      <c r="I114" t="n">
        <v>0</v>
      </c>
      <c r="J114" t="n">
        <v>0</v>
      </c>
      <c r="K114" t="n">
        <v>0</v>
      </c>
      <c r="L114" t="n">
        <v>0</v>
      </c>
      <c r="M114" t="n">
        <v>0</v>
      </c>
      <c r="N114" t="n">
        <v>0</v>
      </c>
      <c r="O114" t="n">
        <v>0</v>
      </c>
      <c r="P114" t="n">
        <v>0</v>
      </c>
      <c r="Q114" t="n">
        <v>0</v>
      </c>
      <c r="R114" s="2" t="inlineStr"/>
    </row>
    <row r="115" ht="15" customHeight="1">
      <c r="A115" t="inlineStr">
        <is>
          <t>A 27949-2019</t>
        </is>
      </c>
      <c r="B115" s="1" t="n">
        <v>43620</v>
      </c>
      <c r="C115" s="1" t="n">
        <v>45667</v>
      </c>
      <c r="D115" t="inlineStr">
        <is>
          <t>DALARNAS LÄN</t>
        </is>
      </c>
      <c r="E115" t="inlineStr">
        <is>
          <t>HEDEMORA</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28696-2019</t>
        </is>
      </c>
      <c r="B116" s="1" t="n">
        <v>43627</v>
      </c>
      <c r="C116" s="1" t="n">
        <v>45667</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30497-2019</t>
        </is>
      </c>
      <c r="B117" s="1" t="n">
        <v>43635</v>
      </c>
      <c r="C117" s="1" t="n">
        <v>45667</v>
      </c>
      <c r="D117" t="inlineStr">
        <is>
          <t>DALARNAS LÄN</t>
        </is>
      </c>
      <c r="E117" t="inlineStr">
        <is>
          <t>HEDEMORA</t>
        </is>
      </c>
      <c r="G117" t="n">
        <v>2.2</v>
      </c>
      <c r="H117" t="n">
        <v>0</v>
      </c>
      <c r="I117" t="n">
        <v>0</v>
      </c>
      <c r="J117" t="n">
        <v>0</v>
      </c>
      <c r="K117" t="n">
        <v>0</v>
      </c>
      <c r="L117" t="n">
        <v>0</v>
      </c>
      <c r="M117" t="n">
        <v>0</v>
      </c>
      <c r="N117" t="n">
        <v>0</v>
      </c>
      <c r="O117" t="n">
        <v>0</v>
      </c>
      <c r="P117" t="n">
        <v>0</v>
      </c>
      <c r="Q117" t="n">
        <v>0</v>
      </c>
      <c r="R117" s="2" t="inlineStr"/>
    </row>
    <row r="118" ht="15" customHeight="1">
      <c r="A118" t="inlineStr">
        <is>
          <t>A 30687-2019</t>
        </is>
      </c>
      <c r="B118" s="1" t="n">
        <v>43636</v>
      </c>
      <c r="C118" s="1" t="n">
        <v>45667</v>
      </c>
      <c r="D118" t="inlineStr">
        <is>
          <t>DALARNAS LÄN</t>
        </is>
      </c>
      <c r="E118" t="inlineStr">
        <is>
          <t>HEDEMORA</t>
        </is>
      </c>
      <c r="G118" t="n">
        <v>0.6</v>
      </c>
      <c r="H118" t="n">
        <v>0</v>
      </c>
      <c r="I118" t="n">
        <v>0</v>
      </c>
      <c r="J118" t="n">
        <v>0</v>
      </c>
      <c r="K118" t="n">
        <v>0</v>
      </c>
      <c r="L118" t="n">
        <v>0</v>
      </c>
      <c r="M118" t="n">
        <v>0</v>
      </c>
      <c r="N118" t="n">
        <v>0</v>
      </c>
      <c r="O118" t="n">
        <v>0</v>
      </c>
      <c r="P118" t="n">
        <v>0</v>
      </c>
      <c r="Q118" t="n">
        <v>0</v>
      </c>
      <c r="R118" s="2" t="inlineStr"/>
    </row>
    <row r="119" ht="15" customHeight="1">
      <c r="A119" t="inlineStr">
        <is>
          <t>A 34027-2019</t>
        </is>
      </c>
      <c r="B119" s="1" t="n">
        <v>43654</v>
      </c>
      <c r="C119" s="1" t="n">
        <v>45667</v>
      </c>
      <c r="D119" t="inlineStr">
        <is>
          <t>DALARNAS LÄN</t>
        </is>
      </c>
      <c r="E119" t="inlineStr">
        <is>
          <t>HEDEMORA</t>
        </is>
      </c>
      <c r="G119" t="n">
        <v>3.7</v>
      </c>
      <c r="H119" t="n">
        <v>0</v>
      </c>
      <c r="I119" t="n">
        <v>0</v>
      </c>
      <c r="J119" t="n">
        <v>0</v>
      </c>
      <c r="K119" t="n">
        <v>0</v>
      </c>
      <c r="L119" t="n">
        <v>0</v>
      </c>
      <c r="M119" t="n">
        <v>0</v>
      </c>
      <c r="N119" t="n">
        <v>0</v>
      </c>
      <c r="O119" t="n">
        <v>0</v>
      </c>
      <c r="P119" t="n">
        <v>0</v>
      </c>
      <c r="Q119" t="n">
        <v>0</v>
      </c>
      <c r="R119" s="2" t="inlineStr"/>
    </row>
    <row r="120" ht="15" customHeight="1">
      <c r="A120" t="inlineStr">
        <is>
          <t>A 35855-2019</t>
        </is>
      </c>
      <c r="B120" s="1" t="n">
        <v>43665</v>
      </c>
      <c r="C120" s="1" t="n">
        <v>45667</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40919-2019</t>
        </is>
      </c>
      <c r="B121" s="1" t="n">
        <v>43697</v>
      </c>
      <c r="C121" s="1" t="n">
        <v>45667</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41399-2019</t>
        </is>
      </c>
      <c r="B122" s="1" t="n">
        <v>43698</v>
      </c>
      <c r="C122" s="1" t="n">
        <v>45667</v>
      </c>
      <c r="D122" t="inlineStr">
        <is>
          <t>DALARNAS LÄN</t>
        </is>
      </c>
      <c r="E122" t="inlineStr">
        <is>
          <t>HEDEMORA</t>
        </is>
      </c>
      <c r="G122" t="n">
        <v>2.1</v>
      </c>
      <c r="H122" t="n">
        <v>0</v>
      </c>
      <c r="I122" t="n">
        <v>0</v>
      </c>
      <c r="J122" t="n">
        <v>0</v>
      </c>
      <c r="K122" t="n">
        <v>0</v>
      </c>
      <c r="L122" t="n">
        <v>0</v>
      </c>
      <c r="M122" t="n">
        <v>0</v>
      </c>
      <c r="N122" t="n">
        <v>0</v>
      </c>
      <c r="O122" t="n">
        <v>0</v>
      </c>
      <c r="P122" t="n">
        <v>0</v>
      </c>
      <c r="Q122" t="n">
        <v>0</v>
      </c>
      <c r="R122" s="2" t="inlineStr"/>
    </row>
    <row r="123" ht="15" customHeight="1">
      <c r="A123" t="inlineStr">
        <is>
          <t>A 43530-2019</t>
        </is>
      </c>
      <c r="B123" s="1" t="n">
        <v>43706</v>
      </c>
      <c r="C123" s="1" t="n">
        <v>45667</v>
      </c>
      <c r="D123" t="inlineStr">
        <is>
          <t>DALARNAS LÄN</t>
        </is>
      </c>
      <c r="E123" t="inlineStr">
        <is>
          <t>HEDEMORA</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46775-2019</t>
        </is>
      </c>
      <c r="B124" s="1" t="n">
        <v>43720</v>
      </c>
      <c r="C124" s="1" t="n">
        <v>45667</v>
      </c>
      <c r="D124" t="inlineStr">
        <is>
          <t>DALARNAS LÄN</t>
        </is>
      </c>
      <c r="E124" t="inlineStr">
        <is>
          <t>HEDEMORA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46795-2019</t>
        </is>
      </c>
      <c r="B125" s="1" t="n">
        <v>43720</v>
      </c>
      <c r="C125" s="1" t="n">
        <v>45667</v>
      </c>
      <c r="D125" t="inlineStr">
        <is>
          <t>DALARNAS LÄN</t>
        </is>
      </c>
      <c r="E125" t="inlineStr">
        <is>
          <t>HEDEMORA</t>
        </is>
      </c>
      <c r="F125" t="inlineStr">
        <is>
          <t>Sveaskog</t>
        </is>
      </c>
      <c r="G125" t="n">
        <v>0.9</v>
      </c>
      <c r="H125" t="n">
        <v>0</v>
      </c>
      <c r="I125" t="n">
        <v>0</v>
      </c>
      <c r="J125" t="n">
        <v>0</v>
      </c>
      <c r="K125" t="n">
        <v>0</v>
      </c>
      <c r="L125" t="n">
        <v>0</v>
      </c>
      <c r="M125" t="n">
        <v>0</v>
      </c>
      <c r="N125" t="n">
        <v>0</v>
      </c>
      <c r="O125" t="n">
        <v>0</v>
      </c>
      <c r="P125" t="n">
        <v>0</v>
      </c>
      <c r="Q125" t="n">
        <v>0</v>
      </c>
      <c r="R125" s="2" t="inlineStr"/>
    </row>
    <row r="126" ht="15" customHeight="1">
      <c r="A126" t="inlineStr">
        <is>
          <t>A 47882-2019</t>
        </is>
      </c>
      <c r="B126" s="1" t="n">
        <v>43725</v>
      </c>
      <c r="C126" s="1" t="n">
        <v>45667</v>
      </c>
      <c r="D126" t="inlineStr">
        <is>
          <t>DALARNAS LÄN</t>
        </is>
      </c>
      <c r="E126" t="inlineStr">
        <is>
          <t>HEDEMORA</t>
        </is>
      </c>
      <c r="F126" t="inlineStr">
        <is>
          <t>Sveaskog</t>
        </is>
      </c>
      <c r="G126" t="n">
        <v>4.7</v>
      </c>
      <c r="H126" t="n">
        <v>0</v>
      </c>
      <c r="I126" t="n">
        <v>0</v>
      </c>
      <c r="J126" t="n">
        <v>0</v>
      </c>
      <c r="K126" t="n">
        <v>0</v>
      </c>
      <c r="L126" t="n">
        <v>0</v>
      </c>
      <c r="M126" t="n">
        <v>0</v>
      </c>
      <c r="N126" t="n">
        <v>0</v>
      </c>
      <c r="O126" t="n">
        <v>0</v>
      </c>
      <c r="P126" t="n">
        <v>0</v>
      </c>
      <c r="Q126" t="n">
        <v>0</v>
      </c>
      <c r="R126" s="2" t="inlineStr"/>
    </row>
    <row r="127" ht="15" customHeight="1">
      <c r="A127" t="inlineStr">
        <is>
          <t>A 49197-2019</t>
        </is>
      </c>
      <c r="B127" s="1" t="n">
        <v>43731</v>
      </c>
      <c r="C127" s="1" t="n">
        <v>45667</v>
      </c>
      <c r="D127" t="inlineStr">
        <is>
          <t>DALARNAS LÄN</t>
        </is>
      </c>
      <c r="E127" t="inlineStr">
        <is>
          <t>HEDEMORA</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49300-2019</t>
        </is>
      </c>
      <c r="B128" s="1" t="n">
        <v>43731</v>
      </c>
      <c r="C128" s="1" t="n">
        <v>45667</v>
      </c>
      <c r="D128" t="inlineStr">
        <is>
          <t>DALARNAS LÄN</t>
        </is>
      </c>
      <c r="E128" t="inlineStr">
        <is>
          <t>HEDEMORA</t>
        </is>
      </c>
      <c r="F128" t="inlineStr">
        <is>
          <t>Sveaskog</t>
        </is>
      </c>
      <c r="G128" t="n">
        <v>2.2</v>
      </c>
      <c r="H128" t="n">
        <v>0</v>
      </c>
      <c r="I128" t="n">
        <v>0</v>
      </c>
      <c r="J128" t="n">
        <v>0</v>
      </c>
      <c r="K128" t="n">
        <v>0</v>
      </c>
      <c r="L128" t="n">
        <v>0</v>
      </c>
      <c r="M128" t="n">
        <v>0</v>
      </c>
      <c r="N128" t="n">
        <v>0</v>
      </c>
      <c r="O128" t="n">
        <v>0</v>
      </c>
      <c r="P128" t="n">
        <v>0</v>
      </c>
      <c r="Q128" t="n">
        <v>0</v>
      </c>
      <c r="R128" s="2" t="inlineStr"/>
    </row>
    <row r="129" ht="15" customHeight="1">
      <c r="A129" t="inlineStr">
        <is>
          <t>A 49324-2019</t>
        </is>
      </c>
      <c r="B129" s="1" t="n">
        <v>43731</v>
      </c>
      <c r="C129" s="1" t="n">
        <v>45667</v>
      </c>
      <c r="D129" t="inlineStr">
        <is>
          <t>DALARNAS LÄN</t>
        </is>
      </c>
      <c r="E129" t="inlineStr">
        <is>
          <t>HEDEMORA</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50183-2019</t>
        </is>
      </c>
      <c r="B130" s="1" t="n">
        <v>43734</v>
      </c>
      <c r="C130" s="1" t="n">
        <v>45667</v>
      </c>
      <c r="D130" t="inlineStr">
        <is>
          <t>DALARNAS LÄN</t>
        </is>
      </c>
      <c r="E130" t="inlineStr">
        <is>
          <t>HEDEMORA</t>
        </is>
      </c>
      <c r="G130" t="n">
        <v>1.8</v>
      </c>
      <c r="H130" t="n">
        <v>0</v>
      </c>
      <c r="I130" t="n">
        <v>0</v>
      </c>
      <c r="J130" t="n">
        <v>0</v>
      </c>
      <c r="K130" t="n">
        <v>0</v>
      </c>
      <c r="L130" t="n">
        <v>0</v>
      </c>
      <c r="M130" t="n">
        <v>0</v>
      </c>
      <c r="N130" t="n">
        <v>0</v>
      </c>
      <c r="O130" t="n">
        <v>0</v>
      </c>
      <c r="P130" t="n">
        <v>0</v>
      </c>
      <c r="Q130" t="n">
        <v>0</v>
      </c>
      <c r="R130" s="2" t="inlineStr"/>
    </row>
    <row r="131" ht="15" customHeight="1">
      <c r="A131" t="inlineStr">
        <is>
          <t>A 51877-2019</t>
        </is>
      </c>
      <c r="B131" s="1" t="n">
        <v>43741</v>
      </c>
      <c r="C131" s="1" t="n">
        <v>45667</v>
      </c>
      <c r="D131" t="inlineStr">
        <is>
          <t>DALARNAS LÄN</t>
        </is>
      </c>
      <c r="E131" t="inlineStr">
        <is>
          <t>HEDEMORA</t>
        </is>
      </c>
      <c r="G131" t="n">
        <v>3.3</v>
      </c>
      <c r="H131" t="n">
        <v>0</v>
      </c>
      <c r="I131" t="n">
        <v>0</v>
      </c>
      <c r="J131" t="n">
        <v>0</v>
      </c>
      <c r="K131" t="n">
        <v>0</v>
      </c>
      <c r="L131" t="n">
        <v>0</v>
      </c>
      <c r="M131" t="n">
        <v>0</v>
      </c>
      <c r="N131" t="n">
        <v>0</v>
      </c>
      <c r="O131" t="n">
        <v>0</v>
      </c>
      <c r="P131" t="n">
        <v>0</v>
      </c>
      <c r="Q131" t="n">
        <v>0</v>
      </c>
      <c r="R131" s="2" t="inlineStr"/>
    </row>
    <row r="132" ht="15" customHeight="1">
      <c r="A132" t="inlineStr">
        <is>
          <t>A 53323-2019</t>
        </is>
      </c>
      <c r="B132" s="1" t="n">
        <v>43748</v>
      </c>
      <c r="C132" s="1" t="n">
        <v>45667</v>
      </c>
      <c r="D132" t="inlineStr">
        <is>
          <t>DALARNAS LÄN</t>
        </is>
      </c>
      <c r="E132" t="inlineStr">
        <is>
          <t>HEDEMORA</t>
        </is>
      </c>
      <c r="G132" t="n">
        <v>2.2</v>
      </c>
      <c r="H132" t="n">
        <v>0</v>
      </c>
      <c r="I132" t="n">
        <v>0</v>
      </c>
      <c r="J132" t="n">
        <v>0</v>
      </c>
      <c r="K132" t="n">
        <v>0</v>
      </c>
      <c r="L132" t="n">
        <v>0</v>
      </c>
      <c r="M132" t="n">
        <v>0</v>
      </c>
      <c r="N132" t="n">
        <v>0</v>
      </c>
      <c r="O132" t="n">
        <v>0</v>
      </c>
      <c r="P132" t="n">
        <v>0</v>
      </c>
      <c r="Q132" t="n">
        <v>0</v>
      </c>
      <c r="R132" s="2" t="inlineStr"/>
    </row>
    <row r="133" ht="15" customHeight="1">
      <c r="A133" t="inlineStr">
        <is>
          <t>A 54358-2019</t>
        </is>
      </c>
      <c r="B133" s="1" t="n">
        <v>43754</v>
      </c>
      <c r="C133" s="1" t="n">
        <v>45667</v>
      </c>
      <c r="D133" t="inlineStr">
        <is>
          <t>DALARNAS LÄN</t>
        </is>
      </c>
      <c r="E133" t="inlineStr">
        <is>
          <t>HEDEMORA</t>
        </is>
      </c>
      <c r="G133" t="n">
        <v>5.2</v>
      </c>
      <c r="H133" t="n">
        <v>0</v>
      </c>
      <c r="I133" t="n">
        <v>0</v>
      </c>
      <c r="J133" t="n">
        <v>0</v>
      </c>
      <c r="K133" t="n">
        <v>0</v>
      </c>
      <c r="L133" t="n">
        <v>0</v>
      </c>
      <c r="M133" t="n">
        <v>0</v>
      </c>
      <c r="N133" t="n">
        <v>0</v>
      </c>
      <c r="O133" t="n">
        <v>0</v>
      </c>
      <c r="P133" t="n">
        <v>0</v>
      </c>
      <c r="Q133" t="n">
        <v>0</v>
      </c>
      <c r="R133" s="2" t="inlineStr"/>
    </row>
    <row r="134" ht="15" customHeight="1">
      <c r="A134" t="inlineStr">
        <is>
          <t>A 60139-2019</t>
        </is>
      </c>
      <c r="B134" s="1" t="n">
        <v>43779</v>
      </c>
      <c r="C134" s="1" t="n">
        <v>45667</v>
      </c>
      <c r="D134" t="inlineStr">
        <is>
          <t>DALARNAS LÄN</t>
        </is>
      </c>
      <c r="E134" t="inlineStr">
        <is>
          <t>HEDEMORA</t>
        </is>
      </c>
      <c r="G134" t="n">
        <v>3.6</v>
      </c>
      <c r="H134" t="n">
        <v>0</v>
      </c>
      <c r="I134" t="n">
        <v>0</v>
      </c>
      <c r="J134" t="n">
        <v>0</v>
      </c>
      <c r="K134" t="n">
        <v>0</v>
      </c>
      <c r="L134" t="n">
        <v>0</v>
      </c>
      <c r="M134" t="n">
        <v>0</v>
      </c>
      <c r="N134" t="n">
        <v>0</v>
      </c>
      <c r="O134" t="n">
        <v>0</v>
      </c>
      <c r="P134" t="n">
        <v>0</v>
      </c>
      <c r="Q134" t="n">
        <v>0</v>
      </c>
      <c r="R134" s="2" t="inlineStr"/>
    </row>
    <row r="135" ht="15" customHeight="1">
      <c r="A135" t="inlineStr">
        <is>
          <t>A 60319-2019</t>
        </is>
      </c>
      <c r="B135" s="1" t="n">
        <v>43780</v>
      </c>
      <c r="C135" s="1" t="n">
        <v>45667</v>
      </c>
      <c r="D135" t="inlineStr">
        <is>
          <t>DALARNAS LÄN</t>
        </is>
      </c>
      <c r="E135" t="inlineStr">
        <is>
          <t>HEDEMORA</t>
        </is>
      </c>
      <c r="F135" t="inlineStr">
        <is>
          <t>Bergvik skog väst AB</t>
        </is>
      </c>
      <c r="G135" t="n">
        <v>2.5</v>
      </c>
      <c r="H135" t="n">
        <v>0</v>
      </c>
      <c r="I135" t="n">
        <v>0</v>
      </c>
      <c r="J135" t="n">
        <v>0</v>
      </c>
      <c r="K135" t="n">
        <v>0</v>
      </c>
      <c r="L135" t="n">
        <v>0</v>
      </c>
      <c r="M135" t="n">
        <v>0</v>
      </c>
      <c r="N135" t="n">
        <v>0</v>
      </c>
      <c r="O135" t="n">
        <v>0</v>
      </c>
      <c r="P135" t="n">
        <v>0</v>
      </c>
      <c r="Q135" t="n">
        <v>0</v>
      </c>
      <c r="R135" s="2" t="inlineStr"/>
    </row>
    <row r="136" ht="15" customHeight="1">
      <c r="A136" t="inlineStr">
        <is>
          <t>A 60318-2019</t>
        </is>
      </c>
      <c r="B136" s="1" t="n">
        <v>43780</v>
      </c>
      <c r="C136" s="1" t="n">
        <v>45667</v>
      </c>
      <c r="D136" t="inlineStr">
        <is>
          <t>DALARNAS LÄN</t>
        </is>
      </c>
      <c r="E136" t="inlineStr">
        <is>
          <t>HEDEMORA</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60461-2019</t>
        </is>
      </c>
      <c r="B137" s="1" t="n">
        <v>43780</v>
      </c>
      <c r="C137" s="1" t="n">
        <v>45667</v>
      </c>
      <c r="D137" t="inlineStr">
        <is>
          <t>DALARNAS LÄN</t>
        </is>
      </c>
      <c r="E137" t="inlineStr">
        <is>
          <t>HEDEMORA</t>
        </is>
      </c>
      <c r="G137" t="n">
        <v>2.8</v>
      </c>
      <c r="H137" t="n">
        <v>0</v>
      </c>
      <c r="I137" t="n">
        <v>0</v>
      </c>
      <c r="J137" t="n">
        <v>0</v>
      </c>
      <c r="K137" t="n">
        <v>0</v>
      </c>
      <c r="L137" t="n">
        <v>0</v>
      </c>
      <c r="M137" t="n">
        <v>0</v>
      </c>
      <c r="N137" t="n">
        <v>0</v>
      </c>
      <c r="O137" t="n">
        <v>0</v>
      </c>
      <c r="P137" t="n">
        <v>0</v>
      </c>
      <c r="Q137" t="n">
        <v>0</v>
      </c>
      <c r="R137" s="2" t="inlineStr"/>
    </row>
    <row r="138" ht="15" customHeight="1">
      <c r="A138" t="inlineStr">
        <is>
          <t>A 60543-2019</t>
        </is>
      </c>
      <c r="B138" s="1" t="n">
        <v>43781</v>
      </c>
      <c r="C138" s="1" t="n">
        <v>45667</v>
      </c>
      <c r="D138" t="inlineStr">
        <is>
          <t>DALARNAS LÄN</t>
        </is>
      </c>
      <c r="E138" t="inlineStr">
        <is>
          <t>HEDEMORA</t>
        </is>
      </c>
      <c r="G138" t="n">
        <v>4.6</v>
      </c>
      <c r="H138" t="n">
        <v>0</v>
      </c>
      <c r="I138" t="n">
        <v>0</v>
      </c>
      <c r="J138" t="n">
        <v>0</v>
      </c>
      <c r="K138" t="n">
        <v>0</v>
      </c>
      <c r="L138" t="n">
        <v>0</v>
      </c>
      <c r="M138" t="n">
        <v>0</v>
      </c>
      <c r="N138" t="n">
        <v>0</v>
      </c>
      <c r="O138" t="n">
        <v>0</v>
      </c>
      <c r="P138" t="n">
        <v>0</v>
      </c>
      <c r="Q138" t="n">
        <v>0</v>
      </c>
      <c r="R138" s="2" t="inlineStr"/>
    </row>
    <row r="139" ht="15" customHeight="1">
      <c r="A139" t="inlineStr">
        <is>
          <t>A 60529-2019</t>
        </is>
      </c>
      <c r="B139" s="1" t="n">
        <v>43781</v>
      </c>
      <c r="C139" s="1" t="n">
        <v>45667</v>
      </c>
      <c r="D139" t="inlineStr">
        <is>
          <t>DALARNAS LÄN</t>
        </is>
      </c>
      <c r="E139" t="inlineStr">
        <is>
          <t>HEDEMORA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60556-2019</t>
        </is>
      </c>
      <c r="B140" s="1" t="n">
        <v>43781</v>
      </c>
      <c r="C140" s="1" t="n">
        <v>45667</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61007-2019</t>
        </is>
      </c>
      <c r="B141" s="1" t="n">
        <v>43782</v>
      </c>
      <c r="C141" s="1" t="n">
        <v>45667</v>
      </c>
      <c r="D141" t="inlineStr">
        <is>
          <t>DALARNAS LÄN</t>
        </is>
      </c>
      <c r="E141" t="inlineStr">
        <is>
          <t>HEDEMORA</t>
        </is>
      </c>
      <c r="G141" t="n">
        <v>0.8</v>
      </c>
      <c r="H141" t="n">
        <v>0</v>
      </c>
      <c r="I141" t="n">
        <v>0</v>
      </c>
      <c r="J141" t="n">
        <v>0</v>
      </c>
      <c r="K141" t="n">
        <v>0</v>
      </c>
      <c r="L141" t="n">
        <v>0</v>
      </c>
      <c r="M141" t="n">
        <v>0</v>
      </c>
      <c r="N141" t="n">
        <v>0</v>
      </c>
      <c r="O141" t="n">
        <v>0</v>
      </c>
      <c r="P141" t="n">
        <v>0</v>
      </c>
      <c r="Q141" t="n">
        <v>0</v>
      </c>
      <c r="R141" s="2" t="inlineStr"/>
    </row>
    <row r="142" ht="15" customHeight="1">
      <c r="A142" t="inlineStr">
        <is>
          <t>A 61382-2019</t>
        </is>
      </c>
      <c r="B142" s="1" t="n">
        <v>43783</v>
      </c>
      <c r="C142" s="1" t="n">
        <v>45667</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63101-2019</t>
        </is>
      </c>
      <c r="B143" s="1" t="n">
        <v>43791</v>
      </c>
      <c r="C143" s="1" t="n">
        <v>45667</v>
      </c>
      <c r="D143" t="inlineStr">
        <is>
          <t>DALARNAS LÄN</t>
        </is>
      </c>
      <c r="E143" t="inlineStr">
        <is>
          <t>HEDEMORA</t>
        </is>
      </c>
      <c r="F143" t="inlineStr">
        <is>
          <t>Kommuner</t>
        </is>
      </c>
      <c r="G143" t="n">
        <v>3.3</v>
      </c>
      <c r="H143" t="n">
        <v>0</v>
      </c>
      <c r="I143" t="n">
        <v>0</v>
      </c>
      <c r="J143" t="n">
        <v>0</v>
      </c>
      <c r="K143" t="n">
        <v>0</v>
      </c>
      <c r="L143" t="n">
        <v>0</v>
      </c>
      <c r="M143" t="n">
        <v>0</v>
      </c>
      <c r="N143" t="n">
        <v>0</v>
      </c>
      <c r="O143" t="n">
        <v>0</v>
      </c>
      <c r="P143" t="n">
        <v>0</v>
      </c>
      <c r="Q143" t="n">
        <v>0</v>
      </c>
      <c r="R143" s="2" t="inlineStr"/>
    </row>
    <row r="144" ht="15" customHeight="1">
      <c r="A144" t="inlineStr">
        <is>
          <t>A 65308-2019</t>
        </is>
      </c>
      <c r="B144" s="1" t="n">
        <v>43802</v>
      </c>
      <c r="C144" s="1" t="n">
        <v>45667</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65315-2019</t>
        </is>
      </c>
      <c r="B145" s="1" t="n">
        <v>43802</v>
      </c>
      <c r="C145" s="1" t="n">
        <v>45667</v>
      </c>
      <c r="D145" t="inlineStr">
        <is>
          <t>DALARNAS LÄN</t>
        </is>
      </c>
      <c r="E145" t="inlineStr">
        <is>
          <t>HEDEMORA</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68856-2019</t>
        </is>
      </c>
      <c r="B146" s="1" t="n">
        <v>43820</v>
      </c>
      <c r="C146" s="1" t="n">
        <v>45667</v>
      </c>
      <c r="D146" t="inlineStr">
        <is>
          <t>DALARNAS LÄN</t>
        </is>
      </c>
      <c r="E146" t="inlineStr">
        <is>
          <t>HEDEMORA</t>
        </is>
      </c>
      <c r="G146" t="n">
        <v>17.6</v>
      </c>
      <c r="H146" t="n">
        <v>0</v>
      </c>
      <c r="I146" t="n">
        <v>0</v>
      </c>
      <c r="J146" t="n">
        <v>0</v>
      </c>
      <c r="K146" t="n">
        <v>0</v>
      </c>
      <c r="L146" t="n">
        <v>0</v>
      </c>
      <c r="M146" t="n">
        <v>0</v>
      </c>
      <c r="N146" t="n">
        <v>0</v>
      </c>
      <c r="O146" t="n">
        <v>0</v>
      </c>
      <c r="P146" t="n">
        <v>0</v>
      </c>
      <c r="Q146" t="n">
        <v>0</v>
      </c>
      <c r="R146" s="2" t="inlineStr"/>
    </row>
    <row r="147" ht="15" customHeight="1">
      <c r="A147" t="inlineStr">
        <is>
          <t>A 1215-2020</t>
        </is>
      </c>
      <c r="B147" s="1" t="n">
        <v>43840</v>
      </c>
      <c r="C147" s="1" t="n">
        <v>45667</v>
      </c>
      <c r="D147" t="inlineStr">
        <is>
          <t>DALARNAS LÄN</t>
        </is>
      </c>
      <c r="E147" t="inlineStr">
        <is>
          <t>HEDEMORA</t>
        </is>
      </c>
      <c r="F147" t="inlineStr">
        <is>
          <t>Sveaskog</t>
        </is>
      </c>
      <c r="G147" t="n">
        <v>7</v>
      </c>
      <c r="H147" t="n">
        <v>0</v>
      </c>
      <c r="I147" t="n">
        <v>0</v>
      </c>
      <c r="J147" t="n">
        <v>0</v>
      </c>
      <c r="K147" t="n">
        <v>0</v>
      </c>
      <c r="L147" t="n">
        <v>0</v>
      </c>
      <c r="M147" t="n">
        <v>0</v>
      </c>
      <c r="N147" t="n">
        <v>0</v>
      </c>
      <c r="O147" t="n">
        <v>0</v>
      </c>
      <c r="P147" t="n">
        <v>0</v>
      </c>
      <c r="Q147" t="n">
        <v>0</v>
      </c>
      <c r="R147" s="2" t="inlineStr"/>
    </row>
    <row r="148" ht="15" customHeight="1">
      <c r="A148" t="inlineStr">
        <is>
          <t>A 2390-2020</t>
        </is>
      </c>
      <c r="B148" s="1" t="n">
        <v>43847</v>
      </c>
      <c r="C148" s="1" t="n">
        <v>45667</v>
      </c>
      <c r="D148" t="inlineStr">
        <is>
          <t>DALARNAS LÄN</t>
        </is>
      </c>
      <c r="E148" t="inlineStr">
        <is>
          <t>HEDEMORA</t>
        </is>
      </c>
      <c r="G148" t="n">
        <v>0.9</v>
      </c>
      <c r="H148" t="n">
        <v>0</v>
      </c>
      <c r="I148" t="n">
        <v>0</v>
      </c>
      <c r="J148" t="n">
        <v>0</v>
      </c>
      <c r="K148" t="n">
        <v>0</v>
      </c>
      <c r="L148" t="n">
        <v>0</v>
      </c>
      <c r="M148" t="n">
        <v>0</v>
      </c>
      <c r="N148" t="n">
        <v>0</v>
      </c>
      <c r="O148" t="n">
        <v>0</v>
      </c>
      <c r="P148" t="n">
        <v>0</v>
      </c>
      <c r="Q148" t="n">
        <v>0</v>
      </c>
      <c r="R148" s="2" t="inlineStr"/>
    </row>
    <row r="149" ht="15" customHeight="1">
      <c r="A149" t="inlineStr">
        <is>
          <t>A 2846-2020</t>
        </is>
      </c>
      <c r="B149" s="1" t="n">
        <v>43850</v>
      </c>
      <c r="C149" s="1" t="n">
        <v>45667</v>
      </c>
      <c r="D149" t="inlineStr">
        <is>
          <t>DALARNAS LÄN</t>
        </is>
      </c>
      <c r="E149" t="inlineStr">
        <is>
          <t>HEDEMORA</t>
        </is>
      </c>
      <c r="G149" t="n">
        <v>4.2</v>
      </c>
      <c r="H149" t="n">
        <v>0</v>
      </c>
      <c r="I149" t="n">
        <v>0</v>
      </c>
      <c r="J149" t="n">
        <v>0</v>
      </c>
      <c r="K149" t="n">
        <v>0</v>
      </c>
      <c r="L149" t="n">
        <v>0</v>
      </c>
      <c r="M149" t="n">
        <v>0</v>
      </c>
      <c r="N149" t="n">
        <v>0</v>
      </c>
      <c r="O149" t="n">
        <v>0</v>
      </c>
      <c r="P149" t="n">
        <v>0</v>
      </c>
      <c r="Q149" t="n">
        <v>0</v>
      </c>
      <c r="R149" s="2" t="inlineStr"/>
    </row>
    <row r="150" ht="15" customHeight="1">
      <c r="A150" t="inlineStr">
        <is>
          <t>A 2915-2020</t>
        </is>
      </c>
      <c r="B150" s="1" t="n">
        <v>43850</v>
      </c>
      <c r="C150" s="1" t="n">
        <v>45667</v>
      </c>
      <c r="D150" t="inlineStr">
        <is>
          <t>DALARNAS LÄN</t>
        </is>
      </c>
      <c r="E150" t="inlineStr">
        <is>
          <t>HEDEMORA</t>
        </is>
      </c>
      <c r="G150" t="n">
        <v>0.8</v>
      </c>
      <c r="H150" t="n">
        <v>0</v>
      </c>
      <c r="I150" t="n">
        <v>0</v>
      </c>
      <c r="J150" t="n">
        <v>0</v>
      </c>
      <c r="K150" t="n">
        <v>0</v>
      </c>
      <c r="L150" t="n">
        <v>0</v>
      </c>
      <c r="M150" t="n">
        <v>0</v>
      </c>
      <c r="N150" t="n">
        <v>0</v>
      </c>
      <c r="O150" t="n">
        <v>0</v>
      </c>
      <c r="P150" t="n">
        <v>0</v>
      </c>
      <c r="Q150" t="n">
        <v>0</v>
      </c>
      <c r="R150" s="2" t="inlineStr"/>
    </row>
    <row r="151" ht="15" customHeight="1">
      <c r="A151" t="inlineStr">
        <is>
          <t>A 3127-2020</t>
        </is>
      </c>
      <c r="B151" s="1" t="n">
        <v>43851</v>
      </c>
      <c r="C151" s="1" t="n">
        <v>45667</v>
      </c>
      <c r="D151" t="inlineStr">
        <is>
          <t>DALARNAS LÄN</t>
        </is>
      </c>
      <c r="E151" t="inlineStr">
        <is>
          <t>HEDEMORA</t>
        </is>
      </c>
      <c r="G151" t="n">
        <v>1.5</v>
      </c>
      <c r="H151" t="n">
        <v>0</v>
      </c>
      <c r="I151" t="n">
        <v>0</v>
      </c>
      <c r="J151" t="n">
        <v>0</v>
      </c>
      <c r="K151" t="n">
        <v>0</v>
      </c>
      <c r="L151" t="n">
        <v>0</v>
      </c>
      <c r="M151" t="n">
        <v>0</v>
      </c>
      <c r="N151" t="n">
        <v>0</v>
      </c>
      <c r="O151" t="n">
        <v>0</v>
      </c>
      <c r="P151" t="n">
        <v>0</v>
      </c>
      <c r="Q151" t="n">
        <v>0</v>
      </c>
      <c r="R151" s="2" t="inlineStr"/>
    </row>
    <row r="152" ht="15" customHeight="1">
      <c r="A152" t="inlineStr">
        <is>
          <t>A 5353-2020</t>
        </is>
      </c>
      <c r="B152" s="1" t="n">
        <v>43860</v>
      </c>
      <c r="C152" s="1" t="n">
        <v>45667</v>
      </c>
      <c r="D152" t="inlineStr">
        <is>
          <t>DALARNAS LÄN</t>
        </is>
      </c>
      <c r="E152" t="inlineStr">
        <is>
          <t>HEDEMORA</t>
        </is>
      </c>
      <c r="G152" t="n">
        <v>2.4</v>
      </c>
      <c r="H152" t="n">
        <v>0</v>
      </c>
      <c r="I152" t="n">
        <v>0</v>
      </c>
      <c r="J152" t="n">
        <v>0</v>
      </c>
      <c r="K152" t="n">
        <v>0</v>
      </c>
      <c r="L152" t="n">
        <v>0</v>
      </c>
      <c r="M152" t="n">
        <v>0</v>
      </c>
      <c r="N152" t="n">
        <v>0</v>
      </c>
      <c r="O152" t="n">
        <v>0</v>
      </c>
      <c r="P152" t="n">
        <v>0</v>
      </c>
      <c r="Q152" t="n">
        <v>0</v>
      </c>
      <c r="R152" s="2" t="inlineStr"/>
    </row>
    <row r="153" ht="15" customHeight="1">
      <c r="A153" t="inlineStr">
        <is>
          <t>A 5752-2020</t>
        </is>
      </c>
      <c r="B153" s="1" t="n">
        <v>43864</v>
      </c>
      <c r="C153" s="1" t="n">
        <v>45667</v>
      </c>
      <c r="D153" t="inlineStr">
        <is>
          <t>DALARNAS LÄN</t>
        </is>
      </c>
      <c r="E153" t="inlineStr">
        <is>
          <t>HEDEMORA</t>
        </is>
      </c>
      <c r="G153" t="n">
        <v>2.6</v>
      </c>
      <c r="H153" t="n">
        <v>0</v>
      </c>
      <c r="I153" t="n">
        <v>0</v>
      </c>
      <c r="J153" t="n">
        <v>0</v>
      </c>
      <c r="K153" t="n">
        <v>0</v>
      </c>
      <c r="L153" t="n">
        <v>0</v>
      </c>
      <c r="M153" t="n">
        <v>0</v>
      </c>
      <c r="N153" t="n">
        <v>0</v>
      </c>
      <c r="O153" t="n">
        <v>0</v>
      </c>
      <c r="P153" t="n">
        <v>0</v>
      </c>
      <c r="Q153" t="n">
        <v>0</v>
      </c>
      <c r="R153" s="2" t="inlineStr"/>
    </row>
    <row r="154" ht="15" customHeight="1">
      <c r="A154" t="inlineStr">
        <is>
          <t>A 5763-2020</t>
        </is>
      </c>
      <c r="B154" s="1" t="n">
        <v>43864</v>
      </c>
      <c r="C154" s="1" t="n">
        <v>45667</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5950-2020</t>
        </is>
      </c>
      <c r="B155" s="1" t="n">
        <v>43864</v>
      </c>
      <c r="C155" s="1" t="n">
        <v>45667</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6795-2020</t>
        </is>
      </c>
      <c r="B156" s="1" t="n">
        <v>43867</v>
      </c>
      <c r="C156" s="1" t="n">
        <v>45667</v>
      </c>
      <c r="D156" t="inlineStr">
        <is>
          <t>DALARNAS LÄN</t>
        </is>
      </c>
      <c r="E156" t="inlineStr">
        <is>
          <t>HEDEMORA</t>
        </is>
      </c>
      <c r="F156" t="inlineStr">
        <is>
          <t>Sveaskog</t>
        </is>
      </c>
      <c r="G156" t="n">
        <v>0.3</v>
      </c>
      <c r="H156" t="n">
        <v>0</v>
      </c>
      <c r="I156" t="n">
        <v>0</v>
      </c>
      <c r="J156" t="n">
        <v>0</v>
      </c>
      <c r="K156" t="n">
        <v>0</v>
      </c>
      <c r="L156" t="n">
        <v>0</v>
      </c>
      <c r="M156" t="n">
        <v>0</v>
      </c>
      <c r="N156" t="n">
        <v>0</v>
      </c>
      <c r="O156" t="n">
        <v>0</v>
      </c>
      <c r="P156" t="n">
        <v>0</v>
      </c>
      <c r="Q156" t="n">
        <v>0</v>
      </c>
      <c r="R156" s="2" t="inlineStr"/>
    </row>
    <row r="157" ht="15" customHeight="1">
      <c r="A157" t="inlineStr">
        <is>
          <t>A 6794-2020</t>
        </is>
      </c>
      <c r="B157" s="1" t="n">
        <v>43867</v>
      </c>
      <c r="C157" s="1" t="n">
        <v>45667</v>
      </c>
      <c r="D157" t="inlineStr">
        <is>
          <t>DALARNAS LÄN</t>
        </is>
      </c>
      <c r="E157" t="inlineStr">
        <is>
          <t>HEDEMORA</t>
        </is>
      </c>
      <c r="F157" t="inlineStr">
        <is>
          <t>Sveaskog</t>
        </is>
      </c>
      <c r="G157" t="n">
        <v>0.4</v>
      </c>
      <c r="H157" t="n">
        <v>0</v>
      </c>
      <c r="I157" t="n">
        <v>0</v>
      </c>
      <c r="J157" t="n">
        <v>0</v>
      </c>
      <c r="K157" t="n">
        <v>0</v>
      </c>
      <c r="L157" t="n">
        <v>0</v>
      </c>
      <c r="M157" t="n">
        <v>0</v>
      </c>
      <c r="N157" t="n">
        <v>0</v>
      </c>
      <c r="O157" t="n">
        <v>0</v>
      </c>
      <c r="P157" t="n">
        <v>0</v>
      </c>
      <c r="Q157" t="n">
        <v>0</v>
      </c>
      <c r="R157" s="2" t="inlineStr"/>
    </row>
    <row r="158" ht="15" customHeight="1">
      <c r="A158" t="inlineStr">
        <is>
          <t>A 7209-2020</t>
        </is>
      </c>
      <c r="B158" s="1" t="n">
        <v>43871</v>
      </c>
      <c r="C158" s="1" t="n">
        <v>45667</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7434-2020</t>
        </is>
      </c>
      <c r="B159" s="1" t="n">
        <v>43871</v>
      </c>
      <c r="C159" s="1" t="n">
        <v>45667</v>
      </c>
      <c r="D159" t="inlineStr">
        <is>
          <t>DALARNAS LÄN</t>
        </is>
      </c>
      <c r="E159" t="inlineStr">
        <is>
          <t>HEDEMORA</t>
        </is>
      </c>
      <c r="G159" t="n">
        <v>4.3</v>
      </c>
      <c r="H159" t="n">
        <v>0</v>
      </c>
      <c r="I159" t="n">
        <v>0</v>
      </c>
      <c r="J159" t="n">
        <v>0</v>
      </c>
      <c r="K159" t="n">
        <v>0</v>
      </c>
      <c r="L159" t="n">
        <v>0</v>
      </c>
      <c r="M159" t="n">
        <v>0</v>
      </c>
      <c r="N159" t="n">
        <v>0</v>
      </c>
      <c r="O159" t="n">
        <v>0</v>
      </c>
      <c r="P159" t="n">
        <v>0</v>
      </c>
      <c r="Q159" t="n">
        <v>0</v>
      </c>
      <c r="R159" s="2" t="inlineStr"/>
    </row>
    <row r="160" ht="15" customHeight="1">
      <c r="A160" t="inlineStr">
        <is>
          <t>A 8181-2020</t>
        </is>
      </c>
      <c r="B160" s="1" t="n">
        <v>43874</v>
      </c>
      <c r="C160" s="1" t="n">
        <v>45667</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8489-2020</t>
        </is>
      </c>
      <c r="B161" s="1" t="n">
        <v>43875</v>
      </c>
      <c r="C161" s="1" t="n">
        <v>45667</v>
      </c>
      <c r="D161" t="inlineStr">
        <is>
          <t>DALARNAS LÄN</t>
        </is>
      </c>
      <c r="E161" t="inlineStr">
        <is>
          <t>HEDEMORA</t>
        </is>
      </c>
      <c r="G161" t="n">
        <v>0.5</v>
      </c>
      <c r="H161" t="n">
        <v>0</v>
      </c>
      <c r="I161" t="n">
        <v>0</v>
      </c>
      <c r="J161" t="n">
        <v>0</v>
      </c>
      <c r="K161" t="n">
        <v>0</v>
      </c>
      <c r="L161" t="n">
        <v>0</v>
      </c>
      <c r="M161" t="n">
        <v>0</v>
      </c>
      <c r="N161" t="n">
        <v>0</v>
      </c>
      <c r="O161" t="n">
        <v>0</v>
      </c>
      <c r="P161" t="n">
        <v>0</v>
      </c>
      <c r="Q161" t="n">
        <v>0</v>
      </c>
      <c r="R161" s="2" t="inlineStr"/>
    </row>
    <row r="162" ht="15" customHeight="1">
      <c r="A162" t="inlineStr">
        <is>
          <t>A 9042-2020</t>
        </is>
      </c>
      <c r="B162" s="1" t="n">
        <v>43879</v>
      </c>
      <c r="C162" s="1" t="n">
        <v>45667</v>
      </c>
      <c r="D162" t="inlineStr">
        <is>
          <t>DALARNAS LÄN</t>
        </is>
      </c>
      <c r="E162" t="inlineStr">
        <is>
          <t>HEDEMORA</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9054-2020</t>
        </is>
      </c>
      <c r="B163" s="1" t="n">
        <v>43879</v>
      </c>
      <c r="C163" s="1" t="n">
        <v>45667</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9491-2020</t>
        </is>
      </c>
      <c r="B164" s="1" t="n">
        <v>43880</v>
      </c>
      <c r="C164" s="1" t="n">
        <v>45667</v>
      </c>
      <c r="D164" t="inlineStr">
        <is>
          <t>DALARNAS LÄN</t>
        </is>
      </c>
      <c r="E164" t="inlineStr">
        <is>
          <t>HEDEMORA</t>
        </is>
      </c>
      <c r="G164" t="n">
        <v>1.9</v>
      </c>
      <c r="H164" t="n">
        <v>0</v>
      </c>
      <c r="I164" t="n">
        <v>0</v>
      </c>
      <c r="J164" t="n">
        <v>0</v>
      </c>
      <c r="K164" t="n">
        <v>0</v>
      </c>
      <c r="L164" t="n">
        <v>0</v>
      </c>
      <c r="M164" t="n">
        <v>0</v>
      </c>
      <c r="N164" t="n">
        <v>0</v>
      </c>
      <c r="O164" t="n">
        <v>0</v>
      </c>
      <c r="P164" t="n">
        <v>0</v>
      </c>
      <c r="Q164" t="n">
        <v>0</v>
      </c>
      <c r="R164" s="2" t="inlineStr"/>
    </row>
    <row r="165" ht="15" customHeight="1">
      <c r="A165" t="inlineStr">
        <is>
          <t>A 9714-2020</t>
        </is>
      </c>
      <c r="B165" s="1" t="n">
        <v>43881</v>
      </c>
      <c r="C165" s="1" t="n">
        <v>45667</v>
      </c>
      <c r="D165" t="inlineStr">
        <is>
          <t>DALARNAS LÄN</t>
        </is>
      </c>
      <c r="E165" t="inlineStr">
        <is>
          <t>HEDEMORA</t>
        </is>
      </c>
      <c r="G165" t="n">
        <v>0.6</v>
      </c>
      <c r="H165" t="n">
        <v>0</v>
      </c>
      <c r="I165" t="n">
        <v>0</v>
      </c>
      <c r="J165" t="n">
        <v>0</v>
      </c>
      <c r="K165" t="n">
        <v>0</v>
      </c>
      <c r="L165" t="n">
        <v>0</v>
      </c>
      <c r="M165" t="n">
        <v>0</v>
      </c>
      <c r="N165" t="n">
        <v>0</v>
      </c>
      <c r="O165" t="n">
        <v>0</v>
      </c>
      <c r="P165" t="n">
        <v>0</v>
      </c>
      <c r="Q165" t="n">
        <v>0</v>
      </c>
      <c r="R165" s="2" t="inlineStr"/>
    </row>
    <row r="166" ht="15" customHeight="1">
      <c r="A166" t="inlineStr">
        <is>
          <t>A 10507-2020</t>
        </is>
      </c>
      <c r="B166" s="1" t="n">
        <v>43886</v>
      </c>
      <c r="C166" s="1" t="n">
        <v>45667</v>
      </c>
      <c r="D166" t="inlineStr">
        <is>
          <t>DALARNAS LÄN</t>
        </is>
      </c>
      <c r="E166" t="inlineStr">
        <is>
          <t>HEDEMORA</t>
        </is>
      </c>
      <c r="G166" t="n">
        <v>1.7</v>
      </c>
      <c r="H166" t="n">
        <v>0</v>
      </c>
      <c r="I166" t="n">
        <v>0</v>
      </c>
      <c r="J166" t="n">
        <v>0</v>
      </c>
      <c r="K166" t="n">
        <v>0</v>
      </c>
      <c r="L166" t="n">
        <v>0</v>
      </c>
      <c r="M166" t="n">
        <v>0</v>
      </c>
      <c r="N166" t="n">
        <v>0</v>
      </c>
      <c r="O166" t="n">
        <v>0</v>
      </c>
      <c r="P166" t="n">
        <v>0</v>
      </c>
      <c r="Q166" t="n">
        <v>0</v>
      </c>
      <c r="R166" s="2" t="inlineStr"/>
    </row>
    <row r="167" ht="15" customHeight="1">
      <c r="A167" t="inlineStr">
        <is>
          <t>A 11894-2020</t>
        </is>
      </c>
      <c r="B167" s="1" t="n">
        <v>43894</v>
      </c>
      <c r="C167" s="1" t="n">
        <v>45667</v>
      </c>
      <c r="D167" t="inlineStr">
        <is>
          <t>DALARNAS LÄN</t>
        </is>
      </c>
      <c r="E167" t="inlineStr">
        <is>
          <t>HEDEMORA</t>
        </is>
      </c>
      <c r="F167" t="inlineStr">
        <is>
          <t>Sveaskog</t>
        </is>
      </c>
      <c r="G167" t="n">
        <v>5.7</v>
      </c>
      <c r="H167" t="n">
        <v>0</v>
      </c>
      <c r="I167" t="n">
        <v>0</v>
      </c>
      <c r="J167" t="n">
        <v>0</v>
      </c>
      <c r="K167" t="n">
        <v>0</v>
      </c>
      <c r="L167" t="n">
        <v>0</v>
      </c>
      <c r="M167" t="n">
        <v>0</v>
      </c>
      <c r="N167" t="n">
        <v>0</v>
      </c>
      <c r="O167" t="n">
        <v>0</v>
      </c>
      <c r="P167" t="n">
        <v>0</v>
      </c>
      <c r="Q167" t="n">
        <v>0</v>
      </c>
      <c r="R167" s="2" t="inlineStr"/>
    </row>
    <row r="168" ht="15" customHeight="1">
      <c r="A168" t="inlineStr">
        <is>
          <t>A 13872-2020</t>
        </is>
      </c>
      <c r="B168" s="1" t="n">
        <v>43906</v>
      </c>
      <c r="C168" s="1" t="n">
        <v>45667</v>
      </c>
      <c r="D168" t="inlineStr">
        <is>
          <t>DALARNAS LÄN</t>
        </is>
      </c>
      <c r="E168" t="inlineStr">
        <is>
          <t>HEDEMORA</t>
        </is>
      </c>
      <c r="F168" t="inlineStr">
        <is>
          <t>Övriga Aktiebolag</t>
        </is>
      </c>
      <c r="G168" t="n">
        <v>5.4</v>
      </c>
      <c r="H168" t="n">
        <v>0</v>
      </c>
      <c r="I168" t="n">
        <v>0</v>
      </c>
      <c r="J168" t="n">
        <v>0</v>
      </c>
      <c r="K168" t="n">
        <v>0</v>
      </c>
      <c r="L168" t="n">
        <v>0</v>
      </c>
      <c r="M168" t="n">
        <v>0</v>
      </c>
      <c r="N168" t="n">
        <v>0</v>
      </c>
      <c r="O168" t="n">
        <v>0</v>
      </c>
      <c r="P168" t="n">
        <v>0</v>
      </c>
      <c r="Q168" t="n">
        <v>0</v>
      </c>
      <c r="R168" s="2" t="inlineStr"/>
    </row>
    <row r="169" ht="15" customHeight="1">
      <c r="A169" t="inlineStr">
        <is>
          <t>A 14117-2020</t>
        </is>
      </c>
      <c r="B169" s="1" t="n">
        <v>43907</v>
      </c>
      <c r="C169" s="1" t="n">
        <v>45667</v>
      </c>
      <c r="D169" t="inlineStr">
        <is>
          <t>DALARNAS LÄN</t>
        </is>
      </c>
      <c r="E169" t="inlineStr">
        <is>
          <t>HEDEMORA</t>
        </is>
      </c>
      <c r="G169" t="n">
        <v>1.6</v>
      </c>
      <c r="H169" t="n">
        <v>0</v>
      </c>
      <c r="I169" t="n">
        <v>0</v>
      </c>
      <c r="J169" t="n">
        <v>0</v>
      </c>
      <c r="K169" t="n">
        <v>0</v>
      </c>
      <c r="L169" t="n">
        <v>0</v>
      </c>
      <c r="M169" t="n">
        <v>0</v>
      </c>
      <c r="N169" t="n">
        <v>0</v>
      </c>
      <c r="O169" t="n">
        <v>0</v>
      </c>
      <c r="P169" t="n">
        <v>0</v>
      </c>
      <c r="Q169" t="n">
        <v>0</v>
      </c>
      <c r="R169" s="2" t="inlineStr"/>
    </row>
    <row r="170" ht="15" customHeight="1">
      <c r="A170" t="inlineStr">
        <is>
          <t>A 14554-2020</t>
        </is>
      </c>
      <c r="B170" s="1" t="n">
        <v>43908</v>
      </c>
      <c r="C170" s="1" t="n">
        <v>45667</v>
      </c>
      <c r="D170" t="inlineStr">
        <is>
          <t>DALARNAS LÄN</t>
        </is>
      </c>
      <c r="E170" t="inlineStr">
        <is>
          <t>HEDEMORA</t>
        </is>
      </c>
      <c r="G170" t="n">
        <v>0.8</v>
      </c>
      <c r="H170" t="n">
        <v>0</v>
      </c>
      <c r="I170" t="n">
        <v>0</v>
      </c>
      <c r="J170" t="n">
        <v>0</v>
      </c>
      <c r="K170" t="n">
        <v>0</v>
      </c>
      <c r="L170" t="n">
        <v>0</v>
      </c>
      <c r="M170" t="n">
        <v>0</v>
      </c>
      <c r="N170" t="n">
        <v>0</v>
      </c>
      <c r="O170" t="n">
        <v>0</v>
      </c>
      <c r="P170" t="n">
        <v>0</v>
      </c>
      <c r="Q170" t="n">
        <v>0</v>
      </c>
      <c r="R170" s="2" t="inlineStr"/>
      <c r="U170">
        <f>HYPERLINK("https://klasma.github.io/Logging_2083/knärot/A 14554-2020 karta knärot.png", "A 14554-2020")</f>
        <v/>
      </c>
      <c r="V170">
        <f>HYPERLINK("https://klasma.github.io/Logging_2083/klagomål/A 14554-2020 FSC-klagomål.docx", "A 14554-2020")</f>
        <v/>
      </c>
      <c r="W170">
        <f>HYPERLINK("https://klasma.github.io/Logging_2083/klagomålsmail/A 14554-2020 FSC-klagomål mail.docx", "A 14554-2020")</f>
        <v/>
      </c>
      <c r="X170">
        <f>HYPERLINK("https://klasma.github.io/Logging_2083/tillsyn/A 14554-2020 tillsynsbegäran.docx", "A 14554-2020")</f>
        <v/>
      </c>
      <c r="Y170">
        <f>HYPERLINK("https://klasma.github.io/Logging_2083/tillsynsmail/A 14554-2020 tillsynsbegäran mail.docx", "A 14554-2020")</f>
        <v/>
      </c>
    </row>
    <row r="171" ht="15" customHeight="1">
      <c r="A171" t="inlineStr">
        <is>
          <t>A 16641-2020</t>
        </is>
      </c>
      <c r="B171" s="1" t="n">
        <v>43910</v>
      </c>
      <c r="C171" s="1" t="n">
        <v>45667</v>
      </c>
      <c r="D171" t="inlineStr">
        <is>
          <t>DALARNAS LÄN</t>
        </is>
      </c>
      <c r="E171" t="inlineStr">
        <is>
          <t>HEDEMORA</t>
        </is>
      </c>
      <c r="G171" t="n">
        <v>3.3</v>
      </c>
      <c r="H171" t="n">
        <v>0</v>
      </c>
      <c r="I171" t="n">
        <v>0</v>
      </c>
      <c r="J171" t="n">
        <v>0</v>
      </c>
      <c r="K171" t="n">
        <v>0</v>
      </c>
      <c r="L171" t="n">
        <v>0</v>
      </c>
      <c r="M171" t="n">
        <v>0</v>
      </c>
      <c r="N171" t="n">
        <v>0</v>
      </c>
      <c r="O171" t="n">
        <v>0</v>
      </c>
      <c r="P171" t="n">
        <v>0</v>
      </c>
      <c r="Q171" t="n">
        <v>0</v>
      </c>
      <c r="R171" s="2" t="inlineStr"/>
    </row>
    <row r="172" ht="15" customHeight="1">
      <c r="A172" t="inlineStr">
        <is>
          <t>A 17585-2020</t>
        </is>
      </c>
      <c r="B172" s="1" t="n">
        <v>43923</v>
      </c>
      <c r="C172" s="1" t="n">
        <v>45667</v>
      </c>
      <c r="D172" t="inlineStr">
        <is>
          <t>DALARNAS LÄN</t>
        </is>
      </c>
      <c r="E172" t="inlineStr">
        <is>
          <t>HEDEMORA</t>
        </is>
      </c>
      <c r="G172" t="n">
        <v>0.7</v>
      </c>
      <c r="H172" t="n">
        <v>0</v>
      </c>
      <c r="I172" t="n">
        <v>0</v>
      </c>
      <c r="J172" t="n">
        <v>0</v>
      </c>
      <c r="K172" t="n">
        <v>0</v>
      </c>
      <c r="L172" t="n">
        <v>0</v>
      </c>
      <c r="M172" t="n">
        <v>0</v>
      </c>
      <c r="N172" t="n">
        <v>0</v>
      </c>
      <c r="O172" t="n">
        <v>0</v>
      </c>
      <c r="P172" t="n">
        <v>0</v>
      </c>
      <c r="Q172" t="n">
        <v>0</v>
      </c>
      <c r="R172" s="2" t="inlineStr"/>
    </row>
    <row r="173" ht="15" customHeight="1">
      <c r="A173" t="inlineStr">
        <is>
          <t>A 18955-2020</t>
        </is>
      </c>
      <c r="B173" s="1" t="n">
        <v>43935</v>
      </c>
      <c r="C173" s="1" t="n">
        <v>45667</v>
      </c>
      <c r="D173" t="inlineStr">
        <is>
          <t>DALARNAS LÄN</t>
        </is>
      </c>
      <c r="E173" t="inlineStr">
        <is>
          <t>HEDEMORA</t>
        </is>
      </c>
      <c r="G173" t="n">
        <v>1.4</v>
      </c>
      <c r="H173" t="n">
        <v>0</v>
      </c>
      <c r="I173" t="n">
        <v>0</v>
      </c>
      <c r="J173" t="n">
        <v>0</v>
      </c>
      <c r="K173" t="n">
        <v>0</v>
      </c>
      <c r="L173" t="n">
        <v>0</v>
      </c>
      <c r="M173" t="n">
        <v>0</v>
      </c>
      <c r="N173" t="n">
        <v>0</v>
      </c>
      <c r="O173" t="n">
        <v>0</v>
      </c>
      <c r="P173" t="n">
        <v>0</v>
      </c>
      <c r="Q173" t="n">
        <v>0</v>
      </c>
      <c r="R173" s="2" t="inlineStr"/>
    </row>
    <row r="174" ht="15" customHeight="1">
      <c r="A174" t="inlineStr">
        <is>
          <t>A 18824-2020</t>
        </is>
      </c>
      <c r="B174" s="1" t="n">
        <v>43935</v>
      </c>
      <c r="C174" s="1" t="n">
        <v>45667</v>
      </c>
      <c r="D174" t="inlineStr">
        <is>
          <t>DALARNAS LÄN</t>
        </is>
      </c>
      <c r="E174" t="inlineStr">
        <is>
          <t>HEDEMORA</t>
        </is>
      </c>
      <c r="F174" t="inlineStr">
        <is>
          <t>Sveaskog</t>
        </is>
      </c>
      <c r="G174" t="n">
        <v>22.7</v>
      </c>
      <c r="H174" t="n">
        <v>0</v>
      </c>
      <c r="I174" t="n">
        <v>0</v>
      </c>
      <c r="J174" t="n">
        <v>0</v>
      </c>
      <c r="K174" t="n">
        <v>0</v>
      </c>
      <c r="L174" t="n">
        <v>0</v>
      </c>
      <c r="M174" t="n">
        <v>0</v>
      </c>
      <c r="N174" t="n">
        <v>0</v>
      </c>
      <c r="O174" t="n">
        <v>0</v>
      </c>
      <c r="P174" t="n">
        <v>0</v>
      </c>
      <c r="Q174" t="n">
        <v>0</v>
      </c>
      <c r="R174" s="2" t="inlineStr"/>
    </row>
    <row r="175" ht="15" customHeight="1">
      <c r="A175" t="inlineStr">
        <is>
          <t>A 20804-2020</t>
        </is>
      </c>
      <c r="B175" s="1" t="n">
        <v>43949</v>
      </c>
      <c r="C175" s="1" t="n">
        <v>45667</v>
      </c>
      <c r="D175" t="inlineStr">
        <is>
          <t>DALARNAS LÄN</t>
        </is>
      </c>
      <c r="E175" t="inlineStr">
        <is>
          <t>HEDEMORA</t>
        </is>
      </c>
      <c r="G175" t="n">
        <v>4.7</v>
      </c>
      <c r="H175" t="n">
        <v>0</v>
      </c>
      <c r="I175" t="n">
        <v>0</v>
      </c>
      <c r="J175" t="n">
        <v>0</v>
      </c>
      <c r="K175" t="n">
        <v>0</v>
      </c>
      <c r="L175" t="n">
        <v>0</v>
      </c>
      <c r="M175" t="n">
        <v>0</v>
      </c>
      <c r="N175" t="n">
        <v>0</v>
      </c>
      <c r="O175" t="n">
        <v>0</v>
      </c>
      <c r="P175" t="n">
        <v>0</v>
      </c>
      <c r="Q175" t="n">
        <v>0</v>
      </c>
      <c r="R175" s="2" t="inlineStr"/>
    </row>
    <row r="176" ht="15" customHeight="1">
      <c r="A176" t="inlineStr">
        <is>
          <t>A 21254-2020</t>
        </is>
      </c>
      <c r="B176" s="1" t="n">
        <v>43955</v>
      </c>
      <c r="C176" s="1" t="n">
        <v>45667</v>
      </c>
      <c r="D176" t="inlineStr">
        <is>
          <t>DALARNAS LÄN</t>
        </is>
      </c>
      <c r="E176" t="inlineStr">
        <is>
          <t>HEDEMORA</t>
        </is>
      </c>
      <c r="F176" t="inlineStr">
        <is>
          <t>Sveaskog</t>
        </is>
      </c>
      <c r="G176" t="n">
        <v>8.4</v>
      </c>
      <c r="H176" t="n">
        <v>0</v>
      </c>
      <c r="I176" t="n">
        <v>0</v>
      </c>
      <c r="J176" t="n">
        <v>0</v>
      </c>
      <c r="K176" t="n">
        <v>0</v>
      </c>
      <c r="L176" t="n">
        <v>0</v>
      </c>
      <c r="M176" t="n">
        <v>0</v>
      </c>
      <c r="N176" t="n">
        <v>0</v>
      </c>
      <c r="O176" t="n">
        <v>0</v>
      </c>
      <c r="P176" t="n">
        <v>0</v>
      </c>
      <c r="Q176" t="n">
        <v>0</v>
      </c>
      <c r="R176" s="2" t="inlineStr"/>
    </row>
    <row r="177" ht="15" customHeight="1">
      <c r="A177" t="inlineStr">
        <is>
          <t>A 21252-2020</t>
        </is>
      </c>
      <c r="B177" s="1" t="n">
        <v>43955</v>
      </c>
      <c r="C177" s="1" t="n">
        <v>45667</v>
      </c>
      <c r="D177" t="inlineStr">
        <is>
          <t>DALARNAS LÄN</t>
        </is>
      </c>
      <c r="E177" t="inlineStr">
        <is>
          <t>HEDEMORA</t>
        </is>
      </c>
      <c r="F177" t="inlineStr">
        <is>
          <t>Sveaskog</t>
        </is>
      </c>
      <c r="G177" t="n">
        <v>4.8</v>
      </c>
      <c r="H177" t="n">
        <v>0</v>
      </c>
      <c r="I177" t="n">
        <v>0</v>
      </c>
      <c r="J177" t="n">
        <v>0</v>
      </c>
      <c r="K177" t="n">
        <v>0</v>
      </c>
      <c r="L177" t="n">
        <v>0</v>
      </c>
      <c r="M177" t="n">
        <v>0</v>
      </c>
      <c r="N177" t="n">
        <v>0</v>
      </c>
      <c r="O177" t="n">
        <v>0</v>
      </c>
      <c r="P177" t="n">
        <v>0</v>
      </c>
      <c r="Q177" t="n">
        <v>0</v>
      </c>
      <c r="R177" s="2" t="inlineStr"/>
    </row>
    <row r="178" ht="15" customHeight="1">
      <c r="A178" t="inlineStr">
        <is>
          <t>A 21458-2020</t>
        </is>
      </c>
      <c r="B178" s="1" t="n">
        <v>43956</v>
      </c>
      <c r="C178" s="1" t="n">
        <v>45667</v>
      </c>
      <c r="D178" t="inlineStr">
        <is>
          <t>DALARNAS LÄN</t>
        </is>
      </c>
      <c r="E178" t="inlineStr">
        <is>
          <t>HEDEMORA</t>
        </is>
      </c>
      <c r="G178" t="n">
        <v>3.4</v>
      </c>
      <c r="H178" t="n">
        <v>0</v>
      </c>
      <c r="I178" t="n">
        <v>0</v>
      </c>
      <c r="J178" t="n">
        <v>0</v>
      </c>
      <c r="K178" t="n">
        <v>0</v>
      </c>
      <c r="L178" t="n">
        <v>0</v>
      </c>
      <c r="M178" t="n">
        <v>0</v>
      </c>
      <c r="N178" t="n">
        <v>0</v>
      </c>
      <c r="O178" t="n">
        <v>0</v>
      </c>
      <c r="P178" t="n">
        <v>0</v>
      </c>
      <c r="Q178" t="n">
        <v>0</v>
      </c>
      <c r="R178" s="2" t="inlineStr"/>
    </row>
    <row r="179" ht="15" customHeight="1">
      <c r="A179" t="inlineStr">
        <is>
          <t>A 22374-2020</t>
        </is>
      </c>
      <c r="B179" s="1" t="n">
        <v>43962</v>
      </c>
      <c r="C179" s="1" t="n">
        <v>45667</v>
      </c>
      <c r="D179" t="inlineStr">
        <is>
          <t>DALARNAS LÄN</t>
        </is>
      </c>
      <c r="E179" t="inlineStr">
        <is>
          <t>HEDEMORA</t>
        </is>
      </c>
      <c r="F179" t="inlineStr">
        <is>
          <t>Kommuner</t>
        </is>
      </c>
      <c r="G179" t="n">
        <v>9.1</v>
      </c>
      <c r="H179" t="n">
        <v>0</v>
      </c>
      <c r="I179" t="n">
        <v>0</v>
      </c>
      <c r="J179" t="n">
        <v>0</v>
      </c>
      <c r="K179" t="n">
        <v>0</v>
      </c>
      <c r="L179" t="n">
        <v>0</v>
      </c>
      <c r="M179" t="n">
        <v>0</v>
      </c>
      <c r="N179" t="n">
        <v>0</v>
      </c>
      <c r="O179" t="n">
        <v>0</v>
      </c>
      <c r="P179" t="n">
        <v>0</v>
      </c>
      <c r="Q179" t="n">
        <v>0</v>
      </c>
      <c r="R179" s="2" t="inlineStr"/>
    </row>
    <row r="180" ht="15" customHeight="1">
      <c r="A180" t="inlineStr">
        <is>
          <t>A 23402-2020</t>
        </is>
      </c>
      <c r="B180" s="1" t="n">
        <v>43968</v>
      </c>
      <c r="C180" s="1" t="n">
        <v>45667</v>
      </c>
      <c r="D180" t="inlineStr">
        <is>
          <t>DALARNAS LÄN</t>
        </is>
      </c>
      <c r="E180" t="inlineStr">
        <is>
          <t>HEDEMORA</t>
        </is>
      </c>
      <c r="G180" t="n">
        <v>2.9</v>
      </c>
      <c r="H180" t="n">
        <v>0</v>
      </c>
      <c r="I180" t="n">
        <v>0</v>
      </c>
      <c r="J180" t="n">
        <v>0</v>
      </c>
      <c r="K180" t="n">
        <v>0</v>
      </c>
      <c r="L180" t="n">
        <v>0</v>
      </c>
      <c r="M180" t="n">
        <v>0</v>
      </c>
      <c r="N180" t="n">
        <v>0</v>
      </c>
      <c r="O180" t="n">
        <v>0</v>
      </c>
      <c r="P180" t="n">
        <v>0</v>
      </c>
      <c r="Q180" t="n">
        <v>0</v>
      </c>
      <c r="R180" s="2" t="inlineStr"/>
    </row>
    <row r="181" ht="15" customHeight="1">
      <c r="A181" t="inlineStr">
        <is>
          <t>A 23401-2020</t>
        </is>
      </c>
      <c r="B181" s="1" t="n">
        <v>43968</v>
      </c>
      <c r="C181" s="1" t="n">
        <v>45667</v>
      </c>
      <c r="D181" t="inlineStr">
        <is>
          <t>DALARNAS LÄN</t>
        </is>
      </c>
      <c r="E181" t="inlineStr">
        <is>
          <t>HEDEMORA</t>
        </is>
      </c>
      <c r="G181" t="n">
        <v>2.5</v>
      </c>
      <c r="H181" t="n">
        <v>0</v>
      </c>
      <c r="I181" t="n">
        <v>0</v>
      </c>
      <c r="J181" t="n">
        <v>0</v>
      </c>
      <c r="K181" t="n">
        <v>0</v>
      </c>
      <c r="L181" t="n">
        <v>0</v>
      </c>
      <c r="M181" t="n">
        <v>0</v>
      </c>
      <c r="N181" t="n">
        <v>0</v>
      </c>
      <c r="O181" t="n">
        <v>0</v>
      </c>
      <c r="P181" t="n">
        <v>0</v>
      </c>
      <c r="Q181" t="n">
        <v>0</v>
      </c>
      <c r="R181" s="2" t="inlineStr"/>
    </row>
    <row r="182" ht="15" customHeight="1">
      <c r="A182" t="inlineStr">
        <is>
          <t>A 23872-2020</t>
        </is>
      </c>
      <c r="B182" s="1" t="n">
        <v>43971</v>
      </c>
      <c r="C182" s="1" t="n">
        <v>45667</v>
      </c>
      <c r="D182" t="inlineStr">
        <is>
          <t>DALARNAS LÄN</t>
        </is>
      </c>
      <c r="E182" t="inlineStr">
        <is>
          <t>HEDEMORA</t>
        </is>
      </c>
      <c r="G182" t="n">
        <v>3.5</v>
      </c>
      <c r="H182" t="n">
        <v>0</v>
      </c>
      <c r="I182" t="n">
        <v>0</v>
      </c>
      <c r="J182" t="n">
        <v>0</v>
      </c>
      <c r="K182" t="n">
        <v>0</v>
      </c>
      <c r="L182" t="n">
        <v>0</v>
      </c>
      <c r="M182" t="n">
        <v>0</v>
      </c>
      <c r="N182" t="n">
        <v>0</v>
      </c>
      <c r="O182" t="n">
        <v>0</v>
      </c>
      <c r="P182" t="n">
        <v>0</v>
      </c>
      <c r="Q182" t="n">
        <v>0</v>
      </c>
      <c r="R182" s="2" t="inlineStr"/>
    </row>
    <row r="183" ht="15" customHeight="1">
      <c r="A183" t="inlineStr">
        <is>
          <t>A 25623-2020</t>
        </is>
      </c>
      <c r="B183" s="1" t="n">
        <v>43983</v>
      </c>
      <c r="C183" s="1" t="n">
        <v>45667</v>
      </c>
      <c r="D183" t="inlineStr">
        <is>
          <t>DALARNAS LÄN</t>
        </is>
      </c>
      <c r="E183" t="inlineStr">
        <is>
          <t>HEDEMORA</t>
        </is>
      </c>
      <c r="G183" t="n">
        <v>1.5</v>
      </c>
      <c r="H183" t="n">
        <v>0</v>
      </c>
      <c r="I183" t="n">
        <v>0</v>
      </c>
      <c r="J183" t="n">
        <v>0</v>
      </c>
      <c r="K183" t="n">
        <v>0</v>
      </c>
      <c r="L183" t="n">
        <v>0</v>
      </c>
      <c r="M183" t="n">
        <v>0</v>
      </c>
      <c r="N183" t="n">
        <v>0</v>
      </c>
      <c r="O183" t="n">
        <v>0</v>
      </c>
      <c r="P183" t="n">
        <v>0</v>
      </c>
      <c r="Q183" t="n">
        <v>0</v>
      </c>
      <c r="R183" s="2" t="inlineStr"/>
    </row>
    <row r="184" ht="15" customHeight="1">
      <c r="A184" t="inlineStr">
        <is>
          <t>A 25657-2020</t>
        </is>
      </c>
      <c r="B184" s="1" t="n">
        <v>43983</v>
      </c>
      <c r="C184" s="1" t="n">
        <v>45667</v>
      </c>
      <c r="D184" t="inlineStr">
        <is>
          <t>DALARNAS LÄN</t>
        </is>
      </c>
      <c r="E184" t="inlineStr">
        <is>
          <t>HEDEMORA</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27050-2020</t>
        </is>
      </c>
      <c r="B185" s="1" t="n">
        <v>43991</v>
      </c>
      <c r="C185" s="1" t="n">
        <v>45667</v>
      </c>
      <c r="D185" t="inlineStr">
        <is>
          <t>DALARNAS LÄN</t>
        </is>
      </c>
      <c r="E185" t="inlineStr">
        <is>
          <t>HEDEMORA</t>
        </is>
      </c>
      <c r="F185" t="inlineStr">
        <is>
          <t>Övriga Aktiebolag</t>
        </is>
      </c>
      <c r="G185" t="n">
        <v>3.3</v>
      </c>
      <c r="H185" t="n">
        <v>0</v>
      </c>
      <c r="I185" t="n">
        <v>0</v>
      </c>
      <c r="J185" t="n">
        <v>0</v>
      </c>
      <c r="K185" t="n">
        <v>0</v>
      </c>
      <c r="L185" t="n">
        <v>0</v>
      </c>
      <c r="M185" t="n">
        <v>0</v>
      </c>
      <c r="N185" t="n">
        <v>0</v>
      </c>
      <c r="O185" t="n">
        <v>0</v>
      </c>
      <c r="P185" t="n">
        <v>0</v>
      </c>
      <c r="Q185" t="n">
        <v>0</v>
      </c>
      <c r="R185" s="2" t="inlineStr"/>
    </row>
    <row r="186" ht="15" customHeight="1">
      <c r="A186" t="inlineStr">
        <is>
          <t>A 27076-2020</t>
        </is>
      </c>
      <c r="B186" s="1" t="n">
        <v>43991</v>
      </c>
      <c r="C186" s="1" t="n">
        <v>45667</v>
      </c>
      <c r="D186" t="inlineStr">
        <is>
          <t>DALARNAS LÄN</t>
        </is>
      </c>
      <c r="E186" t="inlineStr">
        <is>
          <t>HEDEMORA</t>
        </is>
      </c>
      <c r="F186" t="inlineStr">
        <is>
          <t>Övriga Aktiebolag</t>
        </is>
      </c>
      <c r="G186" t="n">
        <v>10.4</v>
      </c>
      <c r="H186" t="n">
        <v>0</v>
      </c>
      <c r="I186" t="n">
        <v>0</v>
      </c>
      <c r="J186" t="n">
        <v>0</v>
      </c>
      <c r="K186" t="n">
        <v>0</v>
      </c>
      <c r="L186" t="n">
        <v>0</v>
      </c>
      <c r="M186" t="n">
        <v>0</v>
      </c>
      <c r="N186" t="n">
        <v>0</v>
      </c>
      <c r="O186" t="n">
        <v>0</v>
      </c>
      <c r="P186" t="n">
        <v>0</v>
      </c>
      <c r="Q186" t="n">
        <v>0</v>
      </c>
      <c r="R186" s="2" t="inlineStr"/>
    </row>
    <row r="187" ht="15" customHeight="1">
      <c r="A187" t="inlineStr">
        <is>
          <t>A 31502-2020</t>
        </is>
      </c>
      <c r="B187" s="1" t="n">
        <v>44013</v>
      </c>
      <c r="C187" s="1" t="n">
        <v>45667</v>
      </c>
      <c r="D187" t="inlineStr">
        <is>
          <t>DALARNAS LÄN</t>
        </is>
      </c>
      <c r="E187" t="inlineStr">
        <is>
          <t>HEDEMORA</t>
        </is>
      </c>
      <c r="F187" t="inlineStr">
        <is>
          <t>Bergvik skog väst AB</t>
        </is>
      </c>
      <c r="G187" t="n">
        <v>10.2</v>
      </c>
      <c r="H187" t="n">
        <v>0</v>
      </c>
      <c r="I187" t="n">
        <v>0</v>
      </c>
      <c r="J187" t="n">
        <v>0</v>
      </c>
      <c r="K187" t="n">
        <v>0</v>
      </c>
      <c r="L187" t="n">
        <v>0</v>
      </c>
      <c r="M187" t="n">
        <v>0</v>
      </c>
      <c r="N187" t="n">
        <v>0</v>
      </c>
      <c r="O187" t="n">
        <v>0</v>
      </c>
      <c r="P187" t="n">
        <v>0</v>
      </c>
      <c r="Q187" t="n">
        <v>0</v>
      </c>
      <c r="R187" s="2" t="inlineStr"/>
    </row>
    <row r="188" ht="15" customHeight="1">
      <c r="A188" t="inlineStr">
        <is>
          <t>A 31579-2020</t>
        </is>
      </c>
      <c r="B188" s="1" t="n">
        <v>44013</v>
      </c>
      <c r="C188" s="1" t="n">
        <v>45667</v>
      </c>
      <c r="D188" t="inlineStr">
        <is>
          <t>DALARNAS LÄN</t>
        </is>
      </c>
      <c r="E188" t="inlineStr">
        <is>
          <t>HEDEMORA</t>
        </is>
      </c>
      <c r="G188" t="n">
        <v>1.4</v>
      </c>
      <c r="H188" t="n">
        <v>0</v>
      </c>
      <c r="I188" t="n">
        <v>0</v>
      </c>
      <c r="J188" t="n">
        <v>0</v>
      </c>
      <c r="K188" t="n">
        <v>0</v>
      </c>
      <c r="L188" t="n">
        <v>0</v>
      </c>
      <c r="M188" t="n">
        <v>0</v>
      </c>
      <c r="N188" t="n">
        <v>0</v>
      </c>
      <c r="O188" t="n">
        <v>0</v>
      </c>
      <c r="P188" t="n">
        <v>0</v>
      </c>
      <c r="Q188" t="n">
        <v>0</v>
      </c>
      <c r="R188" s="2" t="inlineStr"/>
    </row>
    <row r="189" ht="15" customHeight="1">
      <c r="A189" t="inlineStr">
        <is>
          <t>A 32508-2020</t>
        </is>
      </c>
      <c r="B189" s="1" t="n">
        <v>44018</v>
      </c>
      <c r="C189" s="1" t="n">
        <v>45667</v>
      </c>
      <c r="D189" t="inlineStr">
        <is>
          <t>DALARNAS LÄN</t>
        </is>
      </c>
      <c r="E189" t="inlineStr">
        <is>
          <t>HEDEMORA</t>
        </is>
      </c>
      <c r="G189" t="n">
        <v>0.8</v>
      </c>
      <c r="H189" t="n">
        <v>0</v>
      </c>
      <c r="I189" t="n">
        <v>0</v>
      </c>
      <c r="J189" t="n">
        <v>0</v>
      </c>
      <c r="K189" t="n">
        <v>0</v>
      </c>
      <c r="L189" t="n">
        <v>0</v>
      </c>
      <c r="M189" t="n">
        <v>0</v>
      </c>
      <c r="N189" t="n">
        <v>0</v>
      </c>
      <c r="O189" t="n">
        <v>0</v>
      </c>
      <c r="P189" t="n">
        <v>0</v>
      </c>
      <c r="Q189" t="n">
        <v>0</v>
      </c>
      <c r="R189" s="2" t="inlineStr"/>
    </row>
    <row r="190" ht="15" customHeight="1">
      <c r="A190" t="inlineStr">
        <is>
          <t>A 35786-2020</t>
        </is>
      </c>
      <c r="B190" s="1" t="n">
        <v>44046</v>
      </c>
      <c r="C190" s="1" t="n">
        <v>45667</v>
      </c>
      <c r="D190" t="inlineStr">
        <is>
          <t>DALARNAS LÄN</t>
        </is>
      </c>
      <c r="E190" t="inlineStr">
        <is>
          <t>HEDEMORA</t>
        </is>
      </c>
      <c r="G190" t="n">
        <v>1.9</v>
      </c>
      <c r="H190" t="n">
        <v>0</v>
      </c>
      <c r="I190" t="n">
        <v>0</v>
      </c>
      <c r="J190" t="n">
        <v>0</v>
      </c>
      <c r="K190" t="n">
        <v>0</v>
      </c>
      <c r="L190" t="n">
        <v>0</v>
      </c>
      <c r="M190" t="n">
        <v>0</v>
      </c>
      <c r="N190" t="n">
        <v>0</v>
      </c>
      <c r="O190" t="n">
        <v>0</v>
      </c>
      <c r="P190" t="n">
        <v>0</v>
      </c>
      <c r="Q190" t="n">
        <v>0</v>
      </c>
      <c r="R190" s="2" t="inlineStr"/>
    </row>
    <row r="191" ht="15" customHeight="1">
      <c r="A191" t="inlineStr">
        <is>
          <t>A 40865-2020</t>
        </is>
      </c>
      <c r="B191" s="1" t="n">
        <v>44070</v>
      </c>
      <c r="C191" s="1" t="n">
        <v>45667</v>
      </c>
      <c r="D191" t="inlineStr">
        <is>
          <t>DALARNAS LÄN</t>
        </is>
      </c>
      <c r="E191" t="inlineStr">
        <is>
          <t>HEDEMORA</t>
        </is>
      </c>
      <c r="G191" t="n">
        <v>6.1</v>
      </c>
      <c r="H191" t="n">
        <v>0</v>
      </c>
      <c r="I191" t="n">
        <v>0</v>
      </c>
      <c r="J191" t="n">
        <v>0</v>
      </c>
      <c r="K191" t="n">
        <v>0</v>
      </c>
      <c r="L191" t="n">
        <v>0</v>
      </c>
      <c r="M191" t="n">
        <v>0</v>
      </c>
      <c r="N191" t="n">
        <v>0</v>
      </c>
      <c r="O191" t="n">
        <v>0</v>
      </c>
      <c r="P191" t="n">
        <v>0</v>
      </c>
      <c r="Q191" t="n">
        <v>0</v>
      </c>
      <c r="R191" s="2" t="inlineStr"/>
    </row>
    <row r="192" ht="15" customHeight="1">
      <c r="A192" t="inlineStr">
        <is>
          <t>A 40868-2020</t>
        </is>
      </c>
      <c r="B192" s="1" t="n">
        <v>44070</v>
      </c>
      <c r="C192" s="1" t="n">
        <v>45667</v>
      </c>
      <c r="D192" t="inlineStr">
        <is>
          <t>DALARNAS LÄN</t>
        </is>
      </c>
      <c r="E192" t="inlineStr">
        <is>
          <t>HEDEMORA</t>
        </is>
      </c>
      <c r="G192" t="n">
        <v>1.7</v>
      </c>
      <c r="H192" t="n">
        <v>0</v>
      </c>
      <c r="I192" t="n">
        <v>0</v>
      </c>
      <c r="J192" t="n">
        <v>0</v>
      </c>
      <c r="K192" t="n">
        <v>0</v>
      </c>
      <c r="L192" t="n">
        <v>0</v>
      </c>
      <c r="M192" t="n">
        <v>0</v>
      </c>
      <c r="N192" t="n">
        <v>0</v>
      </c>
      <c r="O192" t="n">
        <v>0</v>
      </c>
      <c r="P192" t="n">
        <v>0</v>
      </c>
      <c r="Q192" t="n">
        <v>0</v>
      </c>
      <c r="R192" s="2" t="inlineStr"/>
    </row>
    <row r="193" ht="15" customHeight="1">
      <c r="A193" t="inlineStr">
        <is>
          <t>A 42929-2020</t>
        </is>
      </c>
      <c r="B193" s="1" t="n">
        <v>44078</v>
      </c>
      <c r="C193" s="1" t="n">
        <v>45667</v>
      </c>
      <c r="D193" t="inlineStr">
        <is>
          <t>DALARNAS LÄN</t>
        </is>
      </c>
      <c r="E193" t="inlineStr">
        <is>
          <t>HEDEMORA</t>
        </is>
      </c>
      <c r="F193" t="inlineStr">
        <is>
          <t>Sveaskog</t>
        </is>
      </c>
      <c r="G193" t="n">
        <v>2.9</v>
      </c>
      <c r="H193" t="n">
        <v>0</v>
      </c>
      <c r="I193" t="n">
        <v>0</v>
      </c>
      <c r="J193" t="n">
        <v>0</v>
      </c>
      <c r="K193" t="n">
        <v>0</v>
      </c>
      <c r="L193" t="n">
        <v>0</v>
      </c>
      <c r="M193" t="n">
        <v>0</v>
      </c>
      <c r="N193" t="n">
        <v>0</v>
      </c>
      <c r="O193" t="n">
        <v>0</v>
      </c>
      <c r="P193" t="n">
        <v>0</v>
      </c>
      <c r="Q193" t="n">
        <v>0</v>
      </c>
      <c r="R193" s="2" t="inlineStr"/>
    </row>
    <row r="194" ht="15" customHeight="1">
      <c r="A194" t="inlineStr">
        <is>
          <t>A 44110-2020</t>
        </is>
      </c>
      <c r="B194" s="1" t="n">
        <v>44083</v>
      </c>
      <c r="C194" s="1" t="n">
        <v>45667</v>
      </c>
      <c r="D194" t="inlineStr">
        <is>
          <t>DALARNAS LÄN</t>
        </is>
      </c>
      <c r="E194" t="inlineStr">
        <is>
          <t>HEDEMORA</t>
        </is>
      </c>
      <c r="G194" t="n">
        <v>1.6</v>
      </c>
      <c r="H194" t="n">
        <v>0</v>
      </c>
      <c r="I194" t="n">
        <v>0</v>
      </c>
      <c r="J194" t="n">
        <v>0</v>
      </c>
      <c r="K194" t="n">
        <v>0</v>
      </c>
      <c r="L194" t="n">
        <v>0</v>
      </c>
      <c r="M194" t="n">
        <v>0</v>
      </c>
      <c r="N194" t="n">
        <v>0</v>
      </c>
      <c r="O194" t="n">
        <v>0</v>
      </c>
      <c r="P194" t="n">
        <v>0</v>
      </c>
      <c r="Q194" t="n">
        <v>0</v>
      </c>
      <c r="R194" s="2" t="inlineStr"/>
    </row>
    <row r="195" ht="15" customHeight="1">
      <c r="A195" t="inlineStr">
        <is>
          <t>A 44098-2020</t>
        </is>
      </c>
      <c r="B195" s="1" t="n">
        <v>44083</v>
      </c>
      <c r="C195" s="1" t="n">
        <v>45667</v>
      </c>
      <c r="D195" t="inlineStr">
        <is>
          <t>DALARNAS LÄN</t>
        </is>
      </c>
      <c r="E195" t="inlineStr">
        <is>
          <t>HEDEMORA</t>
        </is>
      </c>
      <c r="G195" t="n">
        <v>1.3</v>
      </c>
      <c r="H195" t="n">
        <v>0</v>
      </c>
      <c r="I195" t="n">
        <v>0</v>
      </c>
      <c r="J195" t="n">
        <v>0</v>
      </c>
      <c r="K195" t="n">
        <v>0</v>
      </c>
      <c r="L195" t="n">
        <v>0</v>
      </c>
      <c r="M195" t="n">
        <v>0</v>
      </c>
      <c r="N195" t="n">
        <v>0</v>
      </c>
      <c r="O195" t="n">
        <v>0</v>
      </c>
      <c r="P195" t="n">
        <v>0</v>
      </c>
      <c r="Q195" t="n">
        <v>0</v>
      </c>
      <c r="R195" s="2" t="inlineStr"/>
    </row>
    <row r="196" ht="15" customHeight="1">
      <c r="A196" t="inlineStr">
        <is>
          <t>A 45616-2020</t>
        </is>
      </c>
      <c r="B196" s="1" t="n">
        <v>44084</v>
      </c>
      <c r="C196" s="1" t="n">
        <v>45667</v>
      </c>
      <c r="D196" t="inlineStr">
        <is>
          <t>DALARNAS LÄN</t>
        </is>
      </c>
      <c r="E196" t="inlineStr">
        <is>
          <t>HEDEMORA</t>
        </is>
      </c>
      <c r="F196" t="inlineStr">
        <is>
          <t>Bergvik skog väst AB</t>
        </is>
      </c>
      <c r="G196" t="n">
        <v>2.9</v>
      </c>
      <c r="H196" t="n">
        <v>0</v>
      </c>
      <c r="I196" t="n">
        <v>0</v>
      </c>
      <c r="J196" t="n">
        <v>0</v>
      </c>
      <c r="K196" t="n">
        <v>0</v>
      </c>
      <c r="L196" t="n">
        <v>0</v>
      </c>
      <c r="M196" t="n">
        <v>0</v>
      </c>
      <c r="N196" t="n">
        <v>0</v>
      </c>
      <c r="O196" t="n">
        <v>0</v>
      </c>
      <c r="P196" t="n">
        <v>0</v>
      </c>
      <c r="Q196" t="n">
        <v>0</v>
      </c>
      <c r="R196" s="2" t="inlineStr"/>
    </row>
    <row r="197" ht="15" customHeight="1">
      <c r="A197" t="inlineStr">
        <is>
          <t>A 45392-2020</t>
        </is>
      </c>
      <c r="B197" s="1" t="n">
        <v>44085</v>
      </c>
      <c r="C197" s="1" t="n">
        <v>45667</v>
      </c>
      <c r="D197" t="inlineStr">
        <is>
          <t>DALARNAS LÄN</t>
        </is>
      </c>
      <c r="E197" t="inlineStr">
        <is>
          <t>HEDEMORA</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46393-2020</t>
        </is>
      </c>
      <c r="B198" s="1" t="n">
        <v>44093</v>
      </c>
      <c r="C198" s="1" t="n">
        <v>45667</v>
      </c>
      <c r="D198" t="inlineStr">
        <is>
          <t>DALARNAS LÄN</t>
        </is>
      </c>
      <c r="E198" t="inlineStr">
        <is>
          <t>HEDEMORA</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46391-2020</t>
        </is>
      </c>
      <c r="B199" s="1" t="n">
        <v>44093</v>
      </c>
      <c r="C199" s="1" t="n">
        <v>45667</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46392-2020</t>
        </is>
      </c>
      <c r="B200" s="1" t="n">
        <v>44093</v>
      </c>
      <c r="C200" s="1" t="n">
        <v>45667</v>
      </c>
      <c r="D200" t="inlineStr">
        <is>
          <t>DALARNAS LÄN</t>
        </is>
      </c>
      <c r="E200" t="inlineStr">
        <is>
          <t>HEDEMORA</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49271-2020</t>
        </is>
      </c>
      <c r="B201" s="1" t="n">
        <v>44105</v>
      </c>
      <c r="C201" s="1" t="n">
        <v>45667</v>
      </c>
      <c r="D201" t="inlineStr">
        <is>
          <t>DALARNAS LÄN</t>
        </is>
      </c>
      <c r="E201" t="inlineStr">
        <is>
          <t>HEDEMORA</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49760-2020</t>
        </is>
      </c>
      <c r="B202" s="1" t="n">
        <v>44106</v>
      </c>
      <c r="C202" s="1" t="n">
        <v>45667</v>
      </c>
      <c r="D202" t="inlineStr">
        <is>
          <t>DALARNAS LÄN</t>
        </is>
      </c>
      <c r="E202" t="inlineStr">
        <is>
          <t>HEDEMORA</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49758-2020</t>
        </is>
      </c>
      <c r="B203" s="1" t="n">
        <v>44106</v>
      </c>
      <c r="C203" s="1" t="n">
        <v>45667</v>
      </c>
      <c r="D203" t="inlineStr">
        <is>
          <t>DALARNAS LÄN</t>
        </is>
      </c>
      <c r="E203" t="inlineStr">
        <is>
          <t>HEDEMORA</t>
        </is>
      </c>
      <c r="F203" t="inlineStr">
        <is>
          <t>Sveaskog</t>
        </is>
      </c>
      <c r="G203" t="n">
        <v>1.2</v>
      </c>
      <c r="H203" t="n">
        <v>0</v>
      </c>
      <c r="I203" t="n">
        <v>0</v>
      </c>
      <c r="J203" t="n">
        <v>0</v>
      </c>
      <c r="K203" t="n">
        <v>0</v>
      </c>
      <c r="L203" t="n">
        <v>0</v>
      </c>
      <c r="M203" t="n">
        <v>0</v>
      </c>
      <c r="N203" t="n">
        <v>0</v>
      </c>
      <c r="O203" t="n">
        <v>0</v>
      </c>
      <c r="P203" t="n">
        <v>0</v>
      </c>
      <c r="Q203" t="n">
        <v>0</v>
      </c>
      <c r="R203" s="2" t="inlineStr"/>
    </row>
    <row r="204" ht="15" customHeight="1">
      <c r="A204" t="inlineStr">
        <is>
          <t>A 51495-2020</t>
        </is>
      </c>
      <c r="B204" s="1" t="n">
        <v>44113</v>
      </c>
      <c r="C204" s="1" t="n">
        <v>45667</v>
      </c>
      <c r="D204" t="inlineStr">
        <is>
          <t>DALARNAS LÄN</t>
        </is>
      </c>
      <c r="E204" t="inlineStr">
        <is>
          <t>HEDEMORA</t>
        </is>
      </c>
      <c r="F204" t="inlineStr">
        <is>
          <t>Sveaskog</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54347-2020</t>
        </is>
      </c>
      <c r="B205" s="1" t="n">
        <v>44126</v>
      </c>
      <c r="C205" s="1" t="n">
        <v>45667</v>
      </c>
      <c r="D205" t="inlineStr">
        <is>
          <t>DALARNAS LÄN</t>
        </is>
      </c>
      <c r="E205" t="inlineStr">
        <is>
          <t>HEDEMORA</t>
        </is>
      </c>
      <c r="G205" t="n">
        <v>4.1</v>
      </c>
      <c r="H205" t="n">
        <v>0</v>
      </c>
      <c r="I205" t="n">
        <v>0</v>
      </c>
      <c r="J205" t="n">
        <v>0</v>
      </c>
      <c r="K205" t="n">
        <v>0</v>
      </c>
      <c r="L205" t="n">
        <v>0</v>
      </c>
      <c r="M205" t="n">
        <v>0</v>
      </c>
      <c r="N205" t="n">
        <v>0</v>
      </c>
      <c r="O205" t="n">
        <v>0</v>
      </c>
      <c r="P205" t="n">
        <v>0</v>
      </c>
      <c r="Q205" t="n">
        <v>0</v>
      </c>
      <c r="R205" s="2" t="inlineStr"/>
    </row>
    <row r="206" ht="15" customHeight="1">
      <c r="A206" t="inlineStr">
        <is>
          <t>A 57071-2020</t>
        </is>
      </c>
      <c r="B206" s="1" t="n">
        <v>44138</v>
      </c>
      <c r="C206" s="1" t="n">
        <v>45667</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57781-2020</t>
        </is>
      </c>
      <c r="B207" s="1" t="n">
        <v>44141</v>
      </c>
      <c r="C207" s="1" t="n">
        <v>45667</v>
      </c>
      <c r="D207" t="inlineStr">
        <is>
          <t>DALARNAS LÄN</t>
        </is>
      </c>
      <c r="E207" t="inlineStr">
        <is>
          <t>HEDEMORA</t>
        </is>
      </c>
      <c r="G207" t="n">
        <v>3.1</v>
      </c>
      <c r="H207" t="n">
        <v>0</v>
      </c>
      <c r="I207" t="n">
        <v>0</v>
      </c>
      <c r="J207" t="n">
        <v>0</v>
      </c>
      <c r="K207" t="n">
        <v>0</v>
      </c>
      <c r="L207" t="n">
        <v>0</v>
      </c>
      <c r="M207" t="n">
        <v>0</v>
      </c>
      <c r="N207" t="n">
        <v>0</v>
      </c>
      <c r="O207" t="n">
        <v>0</v>
      </c>
      <c r="P207" t="n">
        <v>0</v>
      </c>
      <c r="Q207" t="n">
        <v>0</v>
      </c>
      <c r="R207" s="2" t="inlineStr"/>
    </row>
    <row r="208" ht="15" customHeight="1">
      <c r="A208" t="inlineStr">
        <is>
          <t>A 57936-2020</t>
        </is>
      </c>
      <c r="B208" s="1" t="n">
        <v>44141</v>
      </c>
      <c r="C208" s="1" t="n">
        <v>45667</v>
      </c>
      <c r="D208" t="inlineStr">
        <is>
          <t>DALARNAS LÄN</t>
        </is>
      </c>
      <c r="E208" t="inlineStr">
        <is>
          <t>HEDEMORA</t>
        </is>
      </c>
      <c r="F208" t="inlineStr">
        <is>
          <t>Sveaskog</t>
        </is>
      </c>
      <c r="G208" t="n">
        <v>8</v>
      </c>
      <c r="H208" t="n">
        <v>0</v>
      </c>
      <c r="I208" t="n">
        <v>0</v>
      </c>
      <c r="J208" t="n">
        <v>0</v>
      </c>
      <c r="K208" t="n">
        <v>0</v>
      </c>
      <c r="L208" t="n">
        <v>0</v>
      </c>
      <c r="M208" t="n">
        <v>0</v>
      </c>
      <c r="N208" t="n">
        <v>0</v>
      </c>
      <c r="O208" t="n">
        <v>0</v>
      </c>
      <c r="P208" t="n">
        <v>0</v>
      </c>
      <c r="Q208" t="n">
        <v>0</v>
      </c>
      <c r="R208" s="2" t="inlineStr"/>
    </row>
    <row r="209" ht="15" customHeight="1">
      <c r="A209" t="inlineStr">
        <is>
          <t>A 57779-2020</t>
        </is>
      </c>
      <c r="B209" s="1" t="n">
        <v>44141</v>
      </c>
      <c r="C209" s="1" t="n">
        <v>45667</v>
      </c>
      <c r="D209" t="inlineStr">
        <is>
          <t>DALARNAS LÄN</t>
        </is>
      </c>
      <c r="E209" t="inlineStr">
        <is>
          <t>HEDEMORA</t>
        </is>
      </c>
      <c r="G209" t="n">
        <v>0.8</v>
      </c>
      <c r="H209" t="n">
        <v>0</v>
      </c>
      <c r="I209" t="n">
        <v>0</v>
      </c>
      <c r="J209" t="n">
        <v>0</v>
      </c>
      <c r="K209" t="n">
        <v>0</v>
      </c>
      <c r="L209" t="n">
        <v>0</v>
      </c>
      <c r="M209" t="n">
        <v>0</v>
      </c>
      <c r="N209" t="n">
        <v>0</v>
      </c>
      <c r="O209" t="n">
        <v>0</v>
      </c>
      <c r="P209" t="n">
        <v>0</v>
      </c>
      <c r="Q209" t="n">
        <v>0</v>
      </c>
      <c r="R209" s="2" t="inlineStr"/>
    </row>
    <row r="210" ht="15" customHeight="1">
      <c r="A210" t="inlineStr">
        <is>
          <t>A 58111-2020</t>
        </is>
      </c>
      <c r="B210" s="1" t="n">
        <v>44144</v>
      </c>
      <c r="C210" s="1" t="n">
        <v>45667</v>
      </c>
      <c r="D210" t="inlineStr">
        <is>
          <t>DALARNAS LÄN</t>
        </is>
      </c>
      <c r="E210" t="inlineStr">
        <is>
          <t>HEDEMORA</t>
        </is>
      </c>
      <c r="G210" t="n">
        <v>3.1</v>
      </c>
      <c r="H210" t="n">
        <v>0</v>
      </c>
      <c r="I210" t="n">
        <v>0</v>
      </c>
      <c r="J210" t="n">
        <v>0</v>
      </c>
      <c r="K210" t="n">
        <v>0</v>
      </c>
      <c r="L210" t="n">
        <v>0</v>
      </c>
      <c r="M210" t="n">
        <v>0</v>
      </c>
      <c r="N210" t="n">
        <v>0</v>
      </c>
      <c r="O210" t="n">
        <v>0</v>
      </c>
      <c r="P210" t="n">
        <v>0</v>
      </c>
      <c r="Q210" t="n">
        <v>0</v>
      </c>
      <c r="R210" s="2" t="inlineStr"/>
    </row>
    <row r="211" ht="15" customHeight="1">
      <c r="A211" t="inlineStr">
        <is>
          <t>A 59471-2020</t>
        </is>
      </c>
      <c r="B211" s="1" t="n">
        <v>44148</v>
      </c>
      <c r="C211" s="1" t="n">
        <v>45667</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62373-2020</t>
        </is>
      </c>
      <c r="B212" s="1" t="n">
        <v>44160</v>
      </c>
      <c r="C212" s="1" t="n">
        <v>45667</v>
      </c>
      <c r="D212" t="inlineStr">
        <is>
          <t>DALARNAS LÄN</t>
        </is>
      </c>
      <c r="E212" t="inlineStr">
        <is>
          <t>HEDEMORA</t>
        </is>
      </c>
      <c r="G212" t="n">
        <v>12</v>
      </c>
      <c r="H212" t="n">
        <v>0</v>
      </c>
      <c r="I212" t="n">
        <v>0</v>
      </c>
      <c r="J212" t="n">
        <v>0</v>
      </c>
      <c r="K212" t="n">
        <v>0</v>
      </c>
      <c r="L212" t="n">
        <v>0</v>
      </c>
      <c r="M212" t="n">
        <v>0</v>
      </c>
      <c r="N212" t="n">
        <v>0</v>
      </c>
      <c r="O212" t="n">
        <v>0</v>
      </c>
      <c r="P212" t="n">
        <v>0</v>
      </c>
      <c r="Q212" t="n">
        <v>0</v>
      </c>
      <c r="R212" s="2" t="inlineStr"/>
      <c r="U212">
        <f>HYPERLINK("https://klasma.github.io/Logging_2083/knärot/A 62373-2020 karta knärot.png", "A 62373-2020")</f>
        <v/>
      </c>
      <c r="V212">
        <f>HYPERLINK("https://klasma.github.io/Logging_2083/klagomål/A 62373-2020 FSC-klagomål.docx", "A 62373-2020")</f>
        <v/>
      </c>
      <c r="W212">
        <f>HYPERLINK("https://klasma.github.io/Logging_2083/klagomålsmail/A 62373-2020 FSC-klagomål mail.docx", "A 62373-2020")</f>
        <v/>
      </c>
      <c r="X212">
        <f>HYPERLINK("https://klasma.github.io/Logging_2083/tillsyn/A 62373-2020 tillsynsbegäran.docx", "A 62373-2020")</f>
        <v/>
      </c>
      <c r="Y212">
        <f>HYPERLINK("https://klasma.github.io/Logging_2083/tillsynsmail/A 62373-2020 tillsynsbegäran mail.docx", "A 62373-2020")</f>
        <v/>
      </c>
    </row>
    <row r="213" ht="15" customHeight="1">
      <c r="A213" t="inlineStr">
        <is>
          <t>A 62412-2020</t>
        </is>
      </c>
      <c r="B213" s="1" t="n">
        <v>44160</v>
      </c>
      <c r="C213" s="1" t="n">
        <v>45667</v>
      </c>
      <c r="D213" t="inlineStr">
        <is>
          <t>DALARNAS LÄN</t>
        </is>
      </c>
      <c r="E213" t="inlineStr">
        <is>
          <t>HEDEMORA</t>
        </is>
      </c>
      <c r="G213" t="n">
        <v>2.4</v>
      </c>
      <c r="H213" t="n">
        <v>0</v>
      </c>
      <c r="I213" t="n">
        <v>0</v>
      </c>
      <c r="J213" t="n">
        <v>0</v>
      </c>
      <c r="K213" t="n">
        <v>0</v>
      </c>
      <c r="L213" t="n">
        <v>0</v>
      </c>
      <c r="M213" t="n">
        <v>0</v>
      </c>
      <c r="N213" t="n">
        <v>0</v>
      </c>
      <c r="O213" t="n">
        <v>0</v>
      </c>
      <c r="P213" t="n">
        <v>0</v>
      </c>
      <c r="Q213" t="n">
        <v>0</v>
      </c>
      <c r="R213" s="2" t="inlineStr"/>
    </row>
    <row r="214" ht="15" customHeight="1">
      <c r="A214" t="inlineStr">
        <is>
          <t>A 66064-2020</t>
        </is>
      </c>
      <c r="B214" s="1" t="n">
        <v>44175</v>
      </c>
      <c r="C214" s="1" t="n">
        <v>45667</v>
      </c>
      <c r="D214" t="inlineStr">
        <is>
          <t>DALARNAS LÄN</t>
        </is>
      </c>
      <c r="E214" t="inlineStr">
        <is>
          <t>HEDEMORA</t>
        </is>
      </c>
      <c r="G214" t="n">
        <v>1.7</v>
      </c>
      <c r="H214" t="n">
        <v>0</v>
      </c>
      <c r="I214" t="n">
        <v>0</v>
      </c>
      <c r="J214" t="n">
        <v>0</v>
      </c>
      <c r="K214" t="n">
        <v>0</v>
      </c>
      <c r="L214" t="n">
        <v>0</v>
      </c>
      <c r="M214" t="n">
        <v>0</v>
      </c>
      <c r="N214" t="n">
        <v>0</v>
      </c>
      <c r="O214" t="n">
        <v>0</v>
      </c>
      <c r="P214" t="n">
        <v>0</v>
      </c>
      <c r="Q214" t="n">
        <v>0</v>
      </c>
      <c r="R214" s="2" t="inlineStr"/>
    </row>
    <row r="215" ht="15" customHeight="1">
      <c r="A215" t="inlineStr">
        <is>
          <t>A 67062-2020</t>
        </is>
      </c>
      <c r="B215" s="1" t="n">
        <v>44180</v>
      </c>
      <c r="C215" s="1" t="n">
        <v>45667</v>
      </c>
      <c r="D215" t="inlineStr">
        <is>
          <t>DALARNAS LÄN</t>
        </is>
      </c>
      <c r="E215" t="inlineStr">
        <is>
          <t>HEDEMORA</t>
        </is>
      </c>
      <c r="G215" t="n">
        <v>2.9</v>
      </c>
      <c r="H215" t="n">
        <v>0</v>
      </c>
      <c r="I215" t="n">
        <v>0</v>
      </c>
      <c r="J215" t="n">
        <v>0</v>
      </c>
      <c r="K215" t="n">
        <v>0</v>
      </c>
      <c r="L215" t="n">
        <v>0</v>
      </c>
      <c r="M215" t="n">
        <v>0</v>
      </c>
      <c r="N215" t="n">
        <v>0</v>
      </c>
      <c r="O215" t="n">
        <v>0</v>
      </c>
      <c r="P215" t="n">
        <v>0</v>
      </c>
      <c r="Q215" t="n">
        <v>0</v>
      </c>
      <c r="R215" s="2" t="inlineStr"/>
    </row>
    <row r="216" ht="15" customHeight="1">
      <c r="A216" t="inlineStr">
        <is>
          <t>A 653-2021</t>
        </is>
      </c>
      <c r="B216" s="1" t="n">
        <v>44203</v>
      </c>
      <c r="C216" s="1" t="n">
        <v>45667</v>
      </c>
      <c r="D216" t="inlineStr">
        <is>
          <t>DALARNAS LÄN</t>
        </is>
      </c>
      <c r="E216" t="inlineStr">
        <is>
          <t>HEDEMORA</t>
        </is>
      </c>
      <c r="G216" t="n">
        <v>3.8</v>
      </c>
      <c r="H216" t="n">
        <v>0</v>
      </c>
      <c r="I216" t="n">
        <v>0</v>
      </c>
      <c r="J216" t="n">
        <v>0</v>
      </c>
      <c r="K216" t="n">
        <v>0</v>
      </c>
      <c r="L216" t="n">
        <v>0</v>
      </c>
      <c r="M216" t="n">
        <v>0</v>
      </c>
      <c r="N216" t="n">
        <v>0</v>
      </c>
      <c r="O216" t="n">
        <v>0</v>
      </c>
      <c r="P216" t="n">
        <v>0</v>
      </c>
      <c r="Q216" t="n">
        <v>0</v>
      </c>
      <c r="R216" s="2" t="inlineStr"/>
    </row>
    <row r="217" ht="15" customHeight="1">
      <c r="A217" t="inlineStr">
        <is>
          <t>A 1916-2021</t>
        </is>
      </c>
      <c r="B217" s="1" t="n">
        <v>44210</v>
      </c>
      <c r="C217" s="1" t="n">
        <v>45667</v>
      </c>
      <c r="D217" t="inlineStr">
        <is>
          <t>DALARNAS LÄN</t>
        </is>
      </c>
      <c r="E217" t="inlineStr">
        <is>
          <t>HEDEMORA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1973-2021</t>
        </is>
      </c>
      <c r="B218" s="1" t="n">
        <v>44210</v>
      </c>
      <c r="C218" s="1" t="n">
        <v>45667</v>
      </c>
      <c r="D218" t="inlineStr">
        <is>
          <t>DALARNAS LÄN</t>
        </is>
      </c>
      <c r="E218" t="inlineStr">
        <is>
          <t>HEDEMORA</t>
        </is>
      </c>
      <c r="G218" t="n">
        <v>0.8</v>
      </c>
      <c r="H218" t="n">
        <v>0</v>
      </c>
      <c r="I218" t="n">
        <v>0</v>
      </c>
      <c r="J218" t="n">
        <v>0</v>
      </c>
      <c r="K218" t="n">
        <v>0</v>
      </c>
      <c r="L218" t="n">
        <v>0</v>
      </c>
      <c r="M218" t="n">
        <v>0</v>
      </c>
      <c r="N218" t="n">
        <v>0</v>
      </c>
      <c r="O218" t="n">
        <v>0</v>
      </c>
      <c r="P218" t="n">
        <v>0</v>
      </c>
      <c r="Q218" t="n">
        <v>0</v>
      </c>
      <c r="R218" s="2" t="inlineStr"/>
    </row>
    <row r="219" ht="15" customHeight="1">
      <c r="A219" t="inlineStr">
        <is>
          <t>A 1978-2021</t>
        </is>
      </c>
      <c r="B219" s="1" t="n">
        <v>44210</v>
      </c>
      <c r="C219" s="1" t="n">
        <v>45667</v>
      </c>
      <c r="D219" t="inlineStr">
        <is>
          <t>DALARNAS LÄN</t>
        </is>
      </c>
      <c r="E219" t="inlineStr">
        <is>
          <t>HEDEMORA</t>
        </is>
      </c>
      <c r="G219" t="n">
        <v>1</v>
      </c>
      <c r="H219" t="n">
        <v>0</v>
      </c>
      <c r="I219" t="n">
        <v>0</v>
      </c>
      <c r="J219" t="n">
        <v>0</v>
      </c>
      <c r="K219" t="n">
        <v>0</v>
      </c>
      <c r="L219" t="n">
        <v>0</v>
      </c>
      <c r="M219" t="n">
        <v>0</v>
      </c>
      <c r="N219" t="n">
        <v>0</v>
      </c>
      <c r="O219" t="n">
        <v>0</v>
      </c>
      <c r="P219" t="n">
        <v>0</v>
      </c>
      <c r="Q219" t="n">
        <v>0</v>
      </c>
      <c r="R219" s="2" t="inlineStr"/>
    </row>
    <row r="220" ht="15" customHeight="1">
      <c r="A220" t="inlineStr">
        <is>
          <t>A 3314-2021</t>
        </is>
      </c>
      <c r="B220" s="1" t="n">
        <v>44217</v>
      </c>
      <c r="C220" s="1" t="n">
        <v>45667</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6185-2021</t>
        </is>
      </c>
      <c r="B221" s="1" t="n">
        <v>44233</v>
      </c>
      <c r="C221" s="1" t="n">
        <v>45667</v>
      </c>
      <c r="D221" t="inlineStr">
        <is>
          <t>DALARNAS LÄN</t>
        </is>
      </c>
      <c r="E221" t="inlineStr">
        <is>
          <t>HEDEMORA</t>
        </is>
      </c>
      <c r="G221" t="n">
        <v>3.3</v>
      </c>
      <c r="H221" t="n">
        <v>0</v>
      </c>
      <c r="I221" t="n">
        <v>0</v>
      </c>
      <c r="J221" t="n">
        <v>0</v>
      </c>
      <c r="K221" t="n">
        <v>0</v>
      </c>
      <c r="L221" t="n">
        <v>0</v>
      </c>
      <c r="M221" t="n">
        <v>0</v>
      </c>
      <c r="N221" t="n">
        <v>0</v>
      </c>
      <c r="O221" t="n">
        <v>0</v>
      </c>
      <c r="P221" t="n">
        <v>0</v>
      </c>
      <c r="Q221" t="n">
        <v>0</v>
      </c>
      <c r="R221" s="2" t="inlineStr"/>
    </row>
    <row r="222" ht="15" customHeight="1">
      <c r="A222" t="inlineStr">
        <is>
          <t>A 6441-2021</t>
        </is>
      </c>
      <c r="B222" s="1" t="n">
        <v>44235</v>
      </c>
      <c r="C222" s="1" t="n">
        <v>45667</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14456-2021</t>
        </is>
      </c>
      <c r="B223" s="1" t="n">
        <v>44279</v>
      </c>
      <c r="C223" s="1" t="n">
        <v>45667</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15125-2021</t>
        </is>
      </c>
      <c r="B224" s="1" t="n">
        <v>44283</v>
      </c>
      <c r="C224" s="1" t="n">
        <v>45667</v>
      </c>
      <c r="D224" t="inlineStr">
        <is>
          <t>DALARNAS LÄN</t>
        </is>
      </c>
      <c r="E224" t="inlineStr">
        <is>
          <t>HEDEMORA</t>
        </is>
      </c>
      <c r="G224" t="n">
        <v>0.9</v>
      </c>
      <c r="H224" t="n">
        <v>0</v>
      </c>
      <c r="I224" t="n">
        <v>0</v>
      </c>
      <c r="J224" t="n">
        <v>0</v>
      </c>
      <c r="K224" t="n">
        <v>0</v>
      </c>
      <c r="L224" t="n">
        <v>0</v>
      </c>
      <c r="M224" t="n">
        <v>0</v>
      </c>
      <c r="N224" t="n">
        <v>0</v>
      </c>
      <c r="O224" t="n">
        <v>0</v>
      </c>
      <c r="P224" t="n">
        <v>0</v>
      </c>
      <c r="Q224" t="n">
        <v>0</v>
      </c>
      <c r="R224" s="2" t="inlineStr"/>
    </row>
    <row r="225" ht="15" customHeight="1">
      <c r="A225" t="inlineStr">
        <is>
          <t>A 15290-2021</t>
        </is>
      </c>
      <c r="B225" s="1" t="n">
        <v>44284</v>
      </c>
      <c r="C225" s="1" t="n">
        <v>45667</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17464-2021</t>
        </is>
      </c>
      <c r="B226" s="1" t="n">
        <v>44299</v>
      </c>
      <c r="C226" s="1" t="n">
        <v>45667</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18522-2021</t>
        </is>
      </c>
      <c r="B227" s="1" t="n">
        <v>44306</v>
      </c>
      <c r="C227" s="1" t="n">
        <v>45667</v>
      </c>
      <c r="D227" t="inlineStr">
        <is>
          <t>DALARNAS LÄN</t>
        </is>
      </c>
      <c r="E227" t="inlineStr">
        <is>
          <t>HEDEMORA</t>
        </is>
      </c>
      <c r="G227" t="n">
        <v>7</v>
      </c>
      <c r="H227" t="n">
        <v>0</v>
      </c>
      <c r="I227" t="n">
        <v>0</v>
      </c>
      <c r="J227" t="n">
        <v>0</v>
      </c>
      <c r="K227" t="n">
        <v>0</v>
      </c>
      <c r="L227" t="n">
        <v>0</v>
      </c>
      <c r="M227" t="n">
        <v>0</v>
      </c>
      <c r="N227" t="n">
        <v>0</v>
      </c>
      <c r="O227" t="n">
        <v>0</v>
      </c>
      <c r="P227" t="n">
        <v>0</v>
      </c>
      <c r="Q227" t="n">
        <v>0</v>
      </c>
      <c r="R227" s="2" t="inlineStr"/>
    </row>
    <row r="228" ht="15" customHeight="1">
      <c r="A228" t="inlineStr">
        <is>
          <t>A 20330-2021</t>
        </is>
      </c>
      <c r="B228" s="1" t="n">
        <v>44315</v>
      </c>
      <c r="C228" s="1" t="n">
        <v>45667</v>
      </c>
      <c r="D228" t="inlineStr">
        <is>
          <t>DALARNAS LÄN</t>
        </is>
      </c>
      <c r="E228" t="inlineStr">
        <is>
          <t>HEDEMORA</t>
        </is>
      </c>
      <c r="G228" t="n">
        <v>1</v>
      </c>
      <c r="H228" t="n">
        <v>0</v>
      </c>
      <c r="I228" t="n">
        <v>0</v>
      </c>
      <c r="J228" t="n">
        <v>0</v>
      </c>
      <c r="K228" t="n">
        <v>0</v>
      </c>
      <c r="L228" t="n">
        <v>0</v>
      </c>
      <c r="M228" t="n">
        <v>0</v>
      </c>
      <c r="N228" t="n">
        <v>0</v>
      </c>
      <c r="O228" t="n">
        <v>0</v>
      </c>
      <c r="P228" t="n">
        <v>0</v>
      </c>
      <c r="Q228" t="n">
        <v>0</v>
      </c>
      <c r="R228" s="2" t="inlineStr"/>
    </row>
    <row r="229" ht="15" customHeight="1">
      <c r="A229" t="inlineStr">
        <is>
          <t>A 20353-2021</t>
        </is>
      </c>
      <c r="B229" s="1" t="n">
        <v>44315</v>
      </c>
      <c r="C229" s="1" t="n">
        <v>45667</v>
      </c>
      <c r="D229" t="inlineStr">
        <is>
          <t>DALARNAS LÄN</t>
        </is>
      </c>
      <c r="E229" t="inlineStr">
        <is>
          <t>HEDEMORA</t>
        </is>
      </c>
      <c r="G229" t="n">
        <v>0.5</v>
      </c>
      <c r="H229" t="n">
        <v>0</v>
      </c>
      <c r="I229" t="n">
        <v>0</v>
      </c>
      <c r="J229" t="n">
        <v>0</v>
      </c>
      <c r="K229" t="n">
        <v>0</v>
      </c>
      <c r="L229" t="n">
        <v>0</v>
      </c>
      <c r="M229" t="n">
        <v>0</v>
      </c>
      <c r="N229" t="n">
        <v>0</v>
      </c>
      <c r="O229" t="n">
        <v>0</v>
      </c>
      <c r="P229" t="n">
        <v>0</v>
      </c>
      <c r="Q229" t="n">
        <v>0</v>
      </c>
      <c r="R229" s="2" t="inlineStr"/>
    </row>
    <row r="230" ht="15" customHeight="1">
      <c r="A230" t="inlineStr">
        <is>
          <t>A 21171-2021</t>
        </is>
      </c>
      <c r="B230" s="1" t="n">
        <v>44320</v>
      </c>
      <c r="C230" s="1" t="n">
        <v>45667</v>
      </c>
      <c r="D230" t="inlineStr">
        <is>
          <t>DALARNAS LÄN</t>
        </is>
      </c>
      <c r="E230" t="inlineStr">
        <is>
          <t>HEDEMORA</t>
        </is>
      </c>
      <c r="G230" t="n">
        <v>2.8</v>
      </c>
      <c r="H230" t="n">
        <v>0</v>
      </c>
      <c r="I230" t="n">
        <v>0</v>
      </c>
      <c r="J230" t="n">
        <v>0</v>
      </c>
      <c r="K230" t="n">
        <v>0</v>
      </c>
      <c r="L230" t="n">
        <v>0</v>
      </c>
      <c r="M230" t="n">
        <v>0</v>
      </c>
      <c r="N230" t="n">
        <v>0</v>
      </c>
      <c r="O230" t="n">
        <v>0</v>
      </c>
      <c r="P230" t="n">
        <v>0</v>
      </c>
      <c r="Q230" t="n">
        <v>0</v>
      </c>
      <c r="R230" s="2" t="inlineStr"/>
    </row>
    <row r="231" ht="15" customHeight="1">
      <c r="A231" t="inlineStr">
        <is>
          <t>A 21408-2021</t>
        </is>
      </c>
      <c r="B231" s="1" t="n">
        <v>44321</v>
      </c>
      <c r="C231" s="1" t="n">
        <v>45667</v>
      </c>
      <c r="D231" t="inlineStr">
        <is>
          <t>DALARNAS LÄN</t>
        </is>
      </c>
      <c r="E231" t="inlineStr">
        <is>
          <t>HEDEMORA</t>
        </is>
      </c>
      <c r="G231" t="n">
        <v>1.1</v>
      </c>
      <c r="H231" t="n">
        <v>0</v>
      </c>
      <c r="I231" t="n">
        <v>0</v>
      </c>
      <c r="J231" t="n">
        <v>0</v>
      </c>
      <c r="K231" t="n">
        <v>0</v>
      </c>
      <c r="L231" t="n">
        <v>0</v>
      </c>
      <c r="M231" t="n">
        <v>0</v>
      </c>
      <c r="N231" t="n">
        <v>0</v>
      </c>
      <c r="O231" t="n">
        <v>0</v>
      </c>
      <c r="P231" t="n">
        <v>0</v>
      </c>
      <c r="Q231" t="n">
        <v>0</v>
      </c>
      <c r="R231" s="2" t="inlineStr"/>
    </row>
    <row r="232" ht="15" customHeight="1">
      <c r="A232" t="inlineStr">
        <is>
          <t>A 25641-2021</t>
        </is>
      </c>
      <c r="B232" s="1" t="n">
        <v>44343</v>
      </c>
      <c r="C232" s="1" t="n">
        <v>45667</v>
      </c>
      <c r="D232" t="inlineStr">
        <is>
          <t>DALARNAS LÄN</t>
        </is>
      </c>
      <c r="E232" t="inlineStr">
        <is>
          <t>HEDEMORA</t>
        </is>
      </c>
      <c r="G232" t="n">
        <v>11.2</v>
      </c>
      <c r="H232" t="n">
        <v>0</v>
      </c>
      <c r="I232" t="n">
        <v>0</v>
      </c>
      <c r="J232" t="n">
        <v>0</v>
      </c>
      <c r="K232" t="n">
        <v>0</v>
      </c>
      <c r="L232" t="n">
        <v>0</v>
      </c>
      <c r="M232" t="n">
        <v>0</v>
      </c>
      <c r="N232" t="n">
        <v>0</v>
      </c>
      <c r="O232" t="n">
        <v>0</v>
      </c>
      <c r="P232" t="n">
        <v>0</v>
      </c>
      <c r="Q232" t="n">
        <v>0</v>
      </c>
      <c r="R232" s="2" t="inlineStr"/>
    </row>
    <row r="233" ht="15" customHeight="1">
      <c r="A233" t="inlineStr">
        <is>
          <t>A 26612-2021</t>
        </is>
      </c>
      <c r="B233" s="1" t="n">
        <v>44348</v>
      </c>
      <c r="C233" s="1" t="n">
        <v>45667</v>
      </c>
      <c r="D233" t="inlineStr">
        <is>
          <t>DALARNAS LÄN</t>
        </is>
      </c>
      <c r="E233" t="inlineStr">
        <is>
          <t>HEDEMORA</t>
        </is>
      </c>
      <c r="F233" t="inlineStr">
        <is>
          <t>Sveaskog</t>
        </is>
      </c>
      <c r="G233" t="n">
        <v>2.6</v>
      </c>
      <c r="H233" t="n">
        <v>0</v>
      </c>
      <c r="I233" t="n">
        <v>0</v>
      </c>
      <c r="J233" t="n">
        <v>0</v>
      </c>
      <c r="K233" t="n">
        <v>0</v>
      </c>
      <c r="L233" t="n">
        <v>0</v>
      </c>
      <c r="M233" t="n">
        <v>0</v>
      </c>
      <c r="N233" t="n">
        <v>0</v>
      </c>
      <c r="O233" t="n">
        <v>0</v>
      </c>
      <c r="P233" t="n">
        <v>0</v>
      </c>
      <c r="Q233" t="n">
        <v>0</v>
      </c>
      <c r="R233" s="2" t="inlineStr"/>
    </row>
    <row r="234" ht="15" customHeight="1">
      <c r="A234" t="inlineStr">
        <is>
          <t>A 28067-2021</t>
        </is>
      </c>
      <c r="B234" s="1" t="n">
        <v>44355</v>
      </c>
      <c r="C234" s="1" t="n">
        <v>45667</v>
      </c>
      <c r="D234" t="inlineStr">
        <is>
          <t>DALARNAS LÄN</t>
        </is>
      </c>
      <c r="E234" t="inlineStr">
        <is>
          <t>HEDEMORA</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29123-2021</t>
        </is>
      </c>
      <c r="B235" s="1" t="n">
        <v>44358</v>
      </c>
      <c r="C235" s="1" t="n">
        <v>45667</v>
      </c>
      <c r="D235" t="inlineStr">
        <is>
          <t>DALARNAS LÄN</t>
        </is>
      </c>
      <c r="E235" t="inlineStr">
        <is>
          <t>HEDEMORA</t>
        </is>
      </c>
      <c r="G235" t="n">
        <v>5.6</v>
      </c>
      <c r="H235" t="n">
        <v>0</v>
      </c>
      <c r="I235" t="n">
        <v>0</v>
      </c>
      <c r="J235" t="n">
        <v>0</v>
      </c>
      <c r="K235" t="n">
        <v>0</v>
      </c>
      <c r="L235" t="n">
        <v>0</v>
      </c>
      <c r="M235" t="n">
        <v>0</v>
      </c>
      <c r="N235" t="n">
        <v>0</v>
      </c>
      <c r="O235" t="n">
        <v>0</v>
      </c>
      <c r="P235" t="n">
        <v>0</v>
      </c>
      <c r="Q235" t="n">
        <v>0</v>
      </c>
      <c r="R235" s="2" t="inlineStr"/>
    </row>
    <row r="236" ht="15" customHeight="1">
      <c r="A236" t="inlineStr">
        <is>
          <t>A 29208-2021</t>
        </is>
      </c>
      <c r="B236" s="1" t="n">
        <v>44359</v>
      </c>
      <c r="C236" s="1" t="n">
        <v>45667</v>
      </c>
      <c r="D236" t="inlineStr">
        <is>
          <t>DALARNAS LÄN</t>
        </is>
      </c>
      <c r="E236" t="inlineStr">
        <is>
          <t>HEDEMORA</t>
        </is>
      </c>
      <c r="F236" t="inlineStr">
        <is>
          <t>Sveaskog</t>
        </is>
      </c>
      <c r="G236" t="n">
        <v>2</v>
      </c>
      <c r="H236" t="n">
        <v>0</v>
      </c>
      <c r="I236" t="n">
        <v>0</v>
      </c>
      <c r="J236" t="n">
        <v>0</v>
      </c>
      <c r="K236" t="n">
        <v>0</v>
      </c>
      <c r="L236" t="n">
        <v>0</v>
      </c>
      <c r="M236" t="n">
        <v>0</v>
      </c>
      <c r="N236" t="n">
        <v>0</v>
      </c>
      <c r="O236" t="n">
        <v>0</v>
      </c>
      <c r="P236" t="n">
        <v>0</v>
      </c>
      <c r="Q236" t="n">
        <v>0</v>
      </c>
      <c r="R236" s="2" t="inlineStr"/>
    </row>
    <row r="237" ht="15" customHeight="1">
      <c r="A237" t="inlineStr">
        <is>
          <t>A 30571-2021</t>
        </is>
      </c>
      <c r="B237" s="1" t="n">
        <v>44364</v>
      </c>
      <c r="C237" s="1" t="n">
        <v>45667</v>
      </c>
      <c r="D237" t="inlineStr">
        <is>
          <t>DALARNAS LÄN</t>
        </is>
      </c>
      <c r="E237" t="inlineStr">
        <is>
          <t>HEDEMORA</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30572-2021</t>
        </is>
      </c>
      <c r="B238" s="1" t="n">
        <v>44364</v>
      </c>
      <c r="C238" s="1" t="n">
        <v>45667</v>
      </c>
      <c r="D238" t="inlineStr">
        <is>
          <t>DALARNAS LÄN</t>
        </is>
      </c>
      <c r="E238" t="inlineStr">
        <is>
          <t>HEDEMORA</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30573-2021</t>
        </is>
      </c>
      <c r="B239" s="1" t="n">
        <v>44364</v>
      </c>
      <c r="C239" s="1" t="n">
        <v>45667</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30574-2021</t>
        </is>
      </c>
      <c r="B240" s="1" t="n">
        <v>44364</v>
      </c>
      <c r="C240" s="1" t="n">
        <v>45667</v>
      </c>
      <c r="D240" t="inlineStr">
        <is>
          <t>DALARNAS LÄN</t>
        </is>
      </c>
      <c r="E240" t="inlineStr">
        <is>
          <t>HEDEMORA</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32071-2021</t>
        </is>
      </c>
      <c r="B241" s="1" t="n">
        <v>44370</v>
      </c>
      <c r="C241" s="1" t="n">
        <v>45667</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32073-2021</t>
        </is>
      </c>
      <c r="B242" s="1" t="n">
        <v>44370</v>
      </c>
      <c r="C242" s="1" t="n">
        <v>45667</v>
      </c>
      <c r="D242" t="inlineStr">
        <is>
          <t>DALARNAS LÄN</t>
        </is>
      </c>
      <c r="E242" t="inlineStr">
        <is>
          <t>HEDEMORA</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35792-2021</t>
        </is>
      </c>
      <c r="B243" s="1" t="n">
        <v>44386</v>
      </c>
      <c r="C243" s="1" t="n">
        <v>45667</v>
      </c>
      <c r="D243" t="inlineStr">
        <is>
          <t>DALARNAS LÄN</t>
        </is>
      </c>
      <c r="E243" t="inlineStr">
        <is>
          <t>HEDEMORA</t>
        </is>
      </c>
      <c r="F243" t="inlineStr">
        <is>
          <t>Bergvik skog väst AB</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36943-2021</t>
        </is>
      </c>
      <c r="B244" s="1" t="n">
        <v>44393</v>
      </c>
      <c r="C244" s="1" t="n">
        <v>45667</v>
      </c>
      <c r="D244" t="inlineStr">
        <is>
          <t>DALARNAS LÄN</t>
        </is>
      </c>
      <c r="E244" t="inlineStr">
        <is>
          <t>HEDEMORA</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39411-2021</t>
        </is>
      </c>
      <c r="B245" s="1" t="n">
        <v>44414</v>
      </c>
      <c r="C245" s="1" t="n">
        <v>45667</v>
      </c>
      <c r="D245" t="inlineStr">
        <is>
          <t>DALARNAS LÄN</t>
        </is>
      </c>
      <c r="E245" t="inlineStr">
        <is>
          <t>HEDEMORA</t>
        </is>
      </c>
      <c r="F245" t="inlineStr">
        <is>
          <t>Bergvik skog väst AB</t>
        </is>
      </c>
      <c r="G245" t="n">
        <v>3.3</v>
      </c>
      <c r="H245" t="n">
        <v>0</v>
      </c>
      <c r="I245" t="n">
        <v>0</v>
      </c>
      <c r="J245" t="n">
        <v>0</v>
      </c>
      <c r="K245" t="n">
        <v>0</v>
      </c>
      <c r="L245" t="n">
        <v>0</v>
      </c>
      <c r="M245" t="n">
        <v>0</v>
      </c>
      <c r="N245" t="n">
        <v>0</v>
      </c>
      <c r="O245" t="n">
        <v>0</v>
      </c>
      <c r="P245" t="n">
        <v>0</v>
      </c>
      <c r="Q245" t="n">
        <v>0</v>
      </c>
      <c r="R245" s="2" t="inlineStr"/>
    </row>
    <row r="246" ht="15" customHeight="1">
      <c r="A246" t="inlineStr">
        <is>
          <t>A 40930-2021</t>
        </is>
      </c>
      <c r="B246" s="1" t="n">
        <v>44421</v>
      </c>
      <c r="C246" s="1" t="n">
        <v>45667</v>
      </c>
      <c r="D246" t="inlineStr">
        <is>
          <t>DALARNAS LÄN</t>
        </is>
      </c>
      <c r="E246" t="inlineStr">
        <is>
          <t>HEDEMORA</t>
        </is>
      </c>
      <c r="G246" t="n">
        <v>6.5</v>
      </c>
      <c r="H246" t="n">
        <v>0</v>
      </c>
      <c r="I246" t="n">
        <v>0</v>
      </c>
      <c r="J246" t="n">
        <v>0</v>
      </c>
      <c r="K246" t="n">
        <v>0</v>
      </c>
      <c r="L246" t="n">
        <v>0</v>
      </c>
      <c r="M246" t="n">
        <v>0</v>
      </c>
      <c r="N246" t="n">
        <v>0</v>
      </c>
      <c r="O246" t="n">
        <v>0</v>
      </c>
      <c r="P246" t="n">
        <v>0</v>
      </c>
      <c r="Q246" t="n">
        <v>0</v>
      </c>
      <c r="R246" s="2" t="inlineStr"/>
    </row>
    <row r="247" ht="15" customHeight="1">
      <c r="A247" t="inlineStr">
        <is>
          <t>A 40938-2021</t>
        </is>
      </c>
      <c r="B247" s="1" t="n">
        <v>44421</v>
      </c>
      <c r="C247" s="1" t="n">
        <v>45667</v>
      </c>
      <c r="D247" t="inlineStr">
        <is>
          <t>DALARNAS LÄN</t>
        </is>
      </c>
      <c r="E247" t="inlineStr">
        <is>
          <t>HEDEMORA</t>
        </is>
      </c>
      <c r="G247" t="n">
        <v>1</v>
      </c>
      <c r="H247" t="n">
        <v>0</v>
      </c>
      <c r="I247" t="n">
        <v>0</v>
      </c>
      <c r="J247" t="n">
        <v>0</v>
      </c>
      <c r="K247" t="n">
        <v>0</v>
      </c>
      <c r="L247" t="n">
        <v>0</v>
      </c>
      <c r="M247" t="n">
        <v>0</v>
      </c>
      <c r="N247" t="n">
        <v>0</v>
      </c>
      <c r="O247" t="n">
        <v>0</v>
      </c>
      <c r="P247" t="n">
        <v>0</v>
      </c>
      <c r="Q247" t="n">
        <v>0</v>
      </c>
      <c r="R247" s="2" t="inlineStr"/>
    </row>
    <row r="248" ht="15" customHeight="1">
      <c r="A248" t="inlineStr">
        <is>
          <t>A 41047-2021</t>
        </is>
      </c>
      <c r="B248" s="1" t="n">
        <v>44421</v>
      </c>
      <c r="C248" s="1" t="n">
        <v>45667</v>
      </c>
      <c r="D248" t="inlineStr">
        <is>
          <t>DALARNAS LÄN</t>
        </is>
      </c>
      <c r="E248" t="inlineStr">
        <is>
          <t>HEDEMORA</t>
        </is>
      </c>
      <c r="F248" t="inlineStr">
        <is>
          <t>Sveaskog</t>
        </is>
      </c>
      <c r="G248" t="n">
        <v>3.2</v>
      </c>
      <c r="H248" t="n">
        <v>0</v>
      </c>
      <c r="I248" t="n">
        <v>0</v>
      </c>
      <c r="J248" t="n">
        <v>0</v>
      </c>
      <c r="K248" t="n">
        <v>0</v>
      </c>
      <c r="L248" t="n">
        <v>0</v>
      </c>
      <c r="M248" t="n">
        <v>0</v>
      </c>
      <c r="N248" t="n">
        <v>0</v>
      </c>
      <c r="O248" t="n">
        <v>0</v>
      </c>
      <c r="P248" t="n">
        <v>0</v>
      </c>
      <c r="Q248" t="n">
        <v>0</v>
      </c>
      <c r="R248" s="2" t="inlineStr"/>
      <c r="U248">
        <f>HYPERLINK("https://klasma.github.io/Logging_2083/knärot/A 41047-2021 karta knärot.png", "A 41047-2021")</f>
        <v/>
      </c>
      <c r="V248">
        <f>HYPERLINK("https://klasma.github.io/Logging_2083/klagomål/A 41047-2021 FSC-klagomål.docx", "A 41047-2021")</f>
        <v/>
      </c>
      <c r="W248">
        <f>HYPERLINK("https://klasma.github.io/Logging_2083/klagomålsmail/A 41047-2021 FSC-klagomål mail.docx", "A 41047-2021")</f>
        <v/>
      </c>
      <c r="X248">
        <f>HYPERLINK("https://klasma.github.io/Logging_2083/tillsyn/A 41047-2021 tillsynsbegäran.docx", "A 41047-2021")</f>
        <v/>
      </c>
      <c r="Y248">
        <f>HYPERLINK("https://klasma.github.io/Logging_2083/tillsynsmail/A 41047-2021 tillsynsbegäran mail.docx", "A 41047-2021")</f>
        <v/>
      </c>
    </row>
    <row r="249" ht="15" customHeight="1">
      <c r="A249" t="inlineStr">
        <is>
          <t>A 44065-2021</t>
        </is>
      </c>
      <c r="B249" s="1" t="n">
        <v>44434</v>
      </c>
      <c r="C249" s="1" t="n">
        <v>45667</v>
      </c>
      <c r="D249" t="inlineStr">
        <is>
          <t>DALARNAS LÄN</t>
        </is>
      </c>
      <c r="E249" t="inlineStr">
        <is>
          <t>HEDEMORA</t>
        </is>
      </c>
      <c r="F249" t="inlineStr">
        <is>
          <t>Bergvik skog väst AB</t>
        </is>
      </c>
      <c r="G249" t="n">
        <v>9.1</v>
      </c>
      <c r="H249" t="n">
        <v>0</v>
      </c>
      <c r="I249" t="n">
        <v>0</v>
      </c>
      <c r="J249" t="n">
        <v>0</v>
      </c>
      <c r="K249" t="n">
        <v>0</v>
      </c>
      <c r="L249" t="n">
        <v>0</v>
      </c>
      <c r="M249" t="n">
        <v>0</v>
      </c>
      <c r="N249" t="n">
        <v>0</v>
      </c>
      <c r="O249" t="n">
        <v>0</v>
      </c>
      <c r="P249" t="n">
        <v>0</v>
      </c>
      <c r="Q249" t="n">
        <v>0</v>
      </c>
      <c r="R249" s="2" t="inlineStr"/>
    </row>
    <row r="250" ht="15" customHeight="1">
      <c r="A250" t="inlineStr">
        <is>
          <t>A 44960-2021</t>
        </is>
      </c>
      <c r="B250" s="1" t="n">
        <v>44438</v>
      </c>
      <c r="C250" s="1" t="n">
        <v>45667</v>
      </c>
      <c r="D250" t="inlineStr">
        <is>
          <t>DALARNAS LÄN</t>
        </is>
      </c>
      <c r="E250" t="inlineStr">
        <is>
          <t>HEDEMORA</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44957-2021</t>
        </is>
      </c>
      <c r="B251" s="1" t="n">
        <v>44438</v>
      </c>
      <c r="C251" s="1" t="n">
        <v>45667</v>
      </c>
      <c r="D251" t="inlineStr">
        <is>
          <t>DALARNAS LÄN</t>
        </is>
      </c>
      <c r="E251" t="inlineStr">
        <is>
          <t>HEDEMORA</t>
        </is>
      </c>
      <c r="F251" t="inlineStr">
        <is>
          <t>Sveaskog</t>
        </is>
      </c>
      <c r="G251" t="n">
        <v>4.5</v>
      </c>
      <c r="H251" t="n">
        <v>0</v>
      </c>
      <c r="I251" t="n">
        <v>0</v>
      </c>
      <c r="J251" t="n">
        <v>0</v>
      </c>
      <c r="K251" t="n">
        <v>0</v>
      </c>
      <c r="L251" t="n">
        <v>0</v>
      </c>
      <c r="M251" t="n">
        <v>0</v>
      </c>
      <c r="N251" t="n">
        <v>0</v>
      </c>
      <c r="O251" t="n">
        <v>0</v>
      </c>
      <c r="P251" t="n">
        <v>0</v>
      </c>
      <c r="Q251" t="n">
        <v>0</v>
      </c>
      <c r="R251" s="2" t="inlineStr"/>
    </row>
    <row r="252" ht="15" customHeight="1">
      <c r="A252" t="inlineStr">
        <is>
          <t>A 44966-2021</t>
        </is>
      </c>
      <c r="B252" s="1" t="n">
        <v>44438</v>
      </c>
      <c r="C252" s="1" t="n">
        <v>45667</v>
      </c>
      <c r="D252" t="inlineStr">
        <is>
          <t>DALARNAS LÄN</t>
        </is>
      </c>
      <c r="E252" t="inlineStr">
        <is>
          <t>HEDEMORA</t>
        </is>
      </c>
      <c r="F252" t="inlineStr">
        <is>
          <t>Sveaskog</t>
        </is>
      </c>
      <c r="G252" t="n">
        <v>5.6</v>
      </c>
      <c r="H252" t="n">
        <v>0</v>
      </c>
      <c r="I252" t="n">
        <v>0</v>
      </c>
      <c r="J252" t="n">
        <v>0</v>
      </c>
      <c r="K252" t="n">
        <v>0</v>
      </c>
      <c r="L252" t="n">
        <v>0</v>
      </c>
      <c r="M252" t="n">
        <v>0</v>
      </c>
      <c r="N252" t="n">
        <v>0</v>
      </c>
      <c r="O252" t="n">
        <v>0</v>
      </c>
      <c r="P252" t="n">
        <v>0</v>
      </c>
      <c r="Q252" t="n">
        <v>0</v>
      </c>
      <c r="R252" s="2" t="inlineStr"/>
    </row>
    <row r="253" ht="15" customHeight="1">
      <c r="A253" t="inlineStr">
        <is>
          <t>A 46235-2021</t>
        </is>
      </c>
      <c r="B253" s="1" t="n">
        <v>44442</v>
      </c>
      <c r="C253" s="1" t="n">
        <v>45667</v>
      </c>
      <c r="D253" t="inlineStr">
        <is>
          <t>DALARNAS LÄN</t>
        </is>
      </c>
      <c r="E253" t="inlineStr">
        <is>
          <t>HEDEMORA</t>
        </is>
      </c>
      <c r="G253" t="n">
        <v>2.5</v>
      </c>
      <c r="H253" t="n">
        <v>0</v>
      </c>
      <c r="I253" t="n">
        <v>0</v>
      </c>
      <c r="J253" t="n">
        <v>0</v>
      </c>
      <c r="K253" t="n">
        <v>0</v>
      </c>
      <c r="L253" t="n">
        <v>0</v>
      </c>
      <c r="M253" t="n">
        <v>0</v>
      </c>
      <c r="N253" t="n">
        <v>0</v>
      </c>
      <c r="O253" t="n">
        <v>0</v>
      </c>
      <c r="P253" t="n">
        <v>0</v>
      </c>
      <c r="Q253" t="n">
        <v>0</v>
      </c>
      <c r="R253" s="2" t="inlineStr"/>
    </row>
    <row r="254" ht="15" customHeight="1">
      <c r="A254" t="inlineStr">
        <is>
          <t>A 48323-2021</t>
        </is>
      </c>
      <c r="B254" s="1" t="n">
        <v>44450</v>
      </c>
      <c r="C254" s="1" t="n">
        <v>45667</v>
      </c>
      <c r="D254" t="inlineStr">
        <is>
          <t>DALARNAS LÄN</t>
        </is>
      </c>
      <c r="E254" t="inlineStr">
        <is>
          <t>HEDEMORA</t>
        </is>
      </c>
      <c r="G254" t="n">
        <v>0.9</v>
      </c>
      <c r="H254" t="n">
        <v>0</v>
      </c>
      <c r="I254" t="n">
        <v>0</v>
      </c>
      <c r="J254" t="n">
        <v>0</v>
      </c>
      <c r="K254" t="n">
        <v>0</v>
      </c>
      <c r="L254" t="n">
        <v>0</v>
      </c>
      <c r="M254" t="n">
        <v>0</v>
      </c>
      <c r="N254" t="n">
        <v>0</v>
      </c>
      <c r="O254" t="n">
        <v>0</v>
      </c>
      <c r="P254" t="n">
        <v>0</v>
      </c>
      <c r="Q254" t="n">
        <v>0</v>
      </c>
      <c r="R254" s="2" t="inlineStr"/>
    </row>
    <row r="255" ht="15" customHeight="1">
      <c r="A255" t="inlineStr">
        <is>
          <t>A 49636-2021</t>
        </is>
      </c>
      <c r="B255" s="1" t="n">
        <v>44455</v>
      </c>
      <c r="C255" s="1" t="n">
        <v>45667</v>
      </c>
      <c r="D255" t="inlineStr">
        <is>
          <t>DALARNAS LÄN</t>
        </is>
      </c>
      <c r="E255" t="inlineStr">
        <is>
          <t>HEDEMORA</t>
        </is>
      </c>
      <c r="G255" t="n">
        <v>1.3</v>
      </c>
      <c r="H255" t="n">
        <v>0</v>
      </c>
      <c r="I255" t="n">
        <v>0</v>
      </c>
      <c r="J255" t="n">
        <v>0</v>
      </c>
      <c r="K255" t="n">
        <v>0</v>
      </c>
      <c r="L255" t="n">
        <v>0</v>
      </c>
      <c r="M255" t="n">
        <v>0</v>
      </c>
      <c r="N255" t="n">
        <v>0</v>
      </c>
      <c r="O255" t="n">
        <v>0</v>
      </c>
      <c r="P255" t="n">
        <v>0</v>
      </c>
      <c r="Q255" t="n">
        <v>0</v>
      </c>
      <c r="R255" s="2" t="inlineStr"/>
    </row>
    <row r="256" ht="15" customHeight="1">
      <c r="A256" t="inlineStr">
        <is>
          <t>A 50441-2021</t>
        </is>
      </c>
      <c r="B256" s="1" t="n">
        <v>44456</v>
      </c>
      <c r="C256" s="1" t="n">
        <v>45667</v>
      </c>
      <c r="D256" t="inlineStr">
        <is>
          <t>DALARNAS LÄN</t>
        </is>
      </c>
      <c r="E256" t="inlineStr">
        <is>
          <t>HEDEMORA</t>
        </is>
      </c>
      <c r="F256" t="inlineStr">
        <is>
          <t>Bergvik skog väst AB</t>
        </is>
      </c>
      <c r="G256" t="n">
        <v>6.4</v>
      </c>
      <c r="H256" t="n">
        <v>0</v>
      </c>
      <c r="I256" t="n">
        <v>0</v>
      </c>
      <c r="J256" t="n">
        <v>0</v>
      </c>
      <c r="K256" t="n">
        <v>0</v>
      </c>
      <c r="L256" t="n">
        <v>0</v>
      </c>
      <c r="M256" t="n">
        <v>0</v>
      </c>
      <c r="N256" t="n">
        <v>0</v>
      </c>
      <c r="O256" t="n">
        <v>0</v>
      </c>
      <c r="P256" t="n">
        <v>0</v>
      </c>
      <c r="Q256" t="n">
        <v>0</v>
      </c>
      <c r="R256" s="2" t="inlineStr"/>
    </row>
    <row r="257" ht="15" customHeight="1">
      <c r="A257" t="inlineStr">
        <is>
          <t>A 51106-2021</t>
        </is>
      </c>
      <c r="B257" s="1" t="n">
        <v>44461</v>
      </c>
      <c r="C257" s="1" t="n">
        <v>45667</v>
      </c>
      <c r="D257" t="inlineStr">
        <is>
          <t>DALARNAS LÄN</t>
        </is>
      </c>
      <c r="E257" t="inlineStr">
        <is>
          <t>HEDEMORA</t>
        </is>
      </c>
      <c r="G257" t="n">
        <v>2.2</v>
      </c>
      <c r="H257" t="n">
        <v>0</v>
      </c>
      <c r="I257" t="n">
        <v>0</v>
      </c>
      <c r="J257" t="n">
        <v>0</v>
      </c>
      <c r="K257" t="n">
        <v>0</v>
      </c>
      <c r="L257" t="n">
        <v>0</v>
      </c>
      <c r="M257" t="n">
        <v>0</v>
      </c>
      <c r="N257" t="n">
        <v>0</v>
      </c>
      <c r="O257" t="n">
        <v>0</v>
      </c>
      <c r="P257" t="n">
        <v>0</v>
      </c>
      <c r="Q257" t="n">
        <v>0</v>
      </c>
      <c r="R257" s="2" t="inlineStr"/>
    </row>
    <row r="258" ht="15" customHeight="1">
      <c r="A258" t="inlineStr">
        <is>
          <t>A 52199-2021</t>
        </is>
      </c>
      <c r="B258" s="1" t="n">
        <v>44462</v>
      </c>
      <c r="C258" s="1" t="n">
        <v>45667</v>
      </c>
      <c r="D258" t="inlineStr">
        <is>
          <t>DALARNAS LÄN</t>
        </is>
      </c>
      <c r="E258" t="inlineStr">
        <is>
          <t>HEDEMORA</t>
        </is>
      </c>
      <c r="F258" t="inlineStr">
        <is>
          <t>Bergvik skog väst AB</t>
        </is>
      </c>
      <c r="G258" t="n">
        <v>4.4</v>
      </c>
      <c r="H258" t="n">
        <v>0</v>
      </c>
      <c r="I258" t="n">
        <v>0</v>
      </c>
      <c r="J258" t="n">
        <v>0</v>
      </c>
      <c r="K258" t="n">
        <v>0</v>
      </c>
      <c r="L258" t="n">
        <v>0</v>
      </c>
      <c r="M258" t="n">
        <v>0</v>
      </c>
      <c r="N258" t="n">
        <v>0</v>
      </c>
      <c r="O258" t="n">
        <v>0</v>
      </c>
      <c r="P258" t="n">
        <v>0</v>
      </c>
      <c r="Q258" t="n">
        <v>0</v>
      </c>
      <c r="R258" s="2" t="inlineStr"/>
    </row>
    <row r="259" ht="15" customHeight="1">
      <c r="A259" t="inlineStr">
        <is>
          <t>A 52215-2021</t>
        </is>
      </c>
      <c r="B259" s="1" t="n">
        <v>44462</v>
      </c>
      <c r="C259" s="1" t="n">
        <v>45667</v>
      </c>
      <c r="D259" t="inlineStr">
        <is>
          <t>DALARNAS LÄN</t>
        </is>
      </c>
      <c r="E259" t="inlineStr">
        <is>
          <t>HEDEMORA</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52221-2021</t>
        </is>
      </c>
      <c r="B260" s="1" t="n">
        <v>44462</v>
      </c>
      <c r="C260" s="1" t="n">
        <v>45667</v>
      </c>
      <c r="D260" t="inlineStr">
        <is>
          <t>DALARNAS LÄN</t>
        </is>
      </c>
      <c r="E260" t="inlineStr">
        <is>
          <t>HEDEMORA</t>
        </is>
      </c>
      <c r="F260" t="inlineStr">
        <is>
          <t>Bergvik skog väst AB</t>
        </is>
      </c>
      <c r="G260" t="n">
        <v>0.9</v>
      </c>
      <c r="H260" t="n">
        <v>0</v>
      </c>
      <c r="I260" t="n">
        <v>0</v>
      </c>
      <c r="J260" t="n">
        <v>0</v>
      </c>
      <c r="K260" t="n">
        <v>0</v>
      </c>
      <c r="L260" t="n">
        <v>0</v>
      </c>
      <c r="M260" t="n">
        <v>0</v>
      </c>
      <c r="N260" t="n">
        <v>0</v>
      </c>
      <c r="O260" t="n">
        <v>0</v>
      </c>
      <c r="P260" t="n">
        <v>0</v>
      </c>
      <c r="Q260" t="n">
        <v>0</v>
      </c>
      <c r="R260" s="2" t="inlineStr"/>
    </row>
    <row r="261" ht="15" customHeight="1">
      <c r="A261" t="inlineStr">
        <is>
          <t>A 52425-2021</t>
        </is>
      </c>
      <c r="B261" s="1" t="n">
        <v>44466</v>
      </c>
      <c r="C261" s="1" t="n">
        <v>45667</v>
      </c>
      <c r="D261" t="inlineStr">
        <is>
          <t>DALARNAS LÄN</t>
        </is>
      </c>
      <c r="E261" t="inlineStr">
        <is>
          <t>HEDEMORA</t>
        </is>
      </c>
      <c r="G261" t="n">
        <v>2.3</v>
      </c>
      <c r="H261" t="n">
        <v>0</v>
      </c>
      <c r="I261" t="n">
        <v>0</v>
      </c>
      <c r="J261" t="n">
        <v>0</v>
      </c>
      <c r="K261" t="n">
        <v>0</v>
      </c>
      <c r="L261" t="n">
        <v>0</v>
      </c>
      <c r="M261" t="n">
        <v>0</v>
      </c>
      <c r="N261" t="n">
        <v>0</v>
      </c>
      <c r="O261" t="n">
        <v>0</v>
      </c>
      <c r="P261" t="n">
        <v>0</v>
      </c>
      <c r="Q261" t="n">
        <v>0</v>
      </c>
      <c r="R261" s="2" t="inlineStr"/>
    </row>
    <row r="262" ht="15" customHeight="1">
      <c r="A262" t="inlineStr">
        <is>
          <t>A 52511-2021</t>
        </is>
      </c>
      <c r="B262" s="1" t="n">
        <v>44466</v>
      </c>
      <c r="C262" s="1" t="n">
        <v>45667</v>
      </c>
      <c r="D262" t="inlineStr">
        <is>
          <t>DALARNAS LÄN</t>
        </is>
      </c>
      <c r="E262" t="inlineStr">
        <is>
          <t>HEDEMORA</t>
        </is>
      </c>
      <c r="G262" t="n">
        <v>0.6</v>
      </c>
      <c r="H262" t="n">
        <v>0</v>
      </c>
      <c r="I262" t="n">
        <v>0</v>
      </c>
      <c r="J262" t="n">
        <v>0</v>
      </c>
      <c r="K262" t="n">
        <v>0</v>
      </c>
      <c r="L262" t="n">
        <v>0</v>
      </c>
      <c r="M262" t="n">
        <v>0</v>
      </c>
      <c r="N262" t="n">
        <v>0</v>
      </c>
      <c r="O262" t="n">
        <v>0</v>
      </c>
      <c r="P262" t="n">
        <v>0</v>
      </c>
      <c r="Q262" t="n">
        <v>0</v>
      </c>
      <c r="R262" s="2" t="inlineStr"/>
    </row>
    <row r="263" ht="15" customHeight="1">
      <c r="A263" t="inlineStr">
        <is>
          <t>A 53443-2021</t>
        </is>
      </c>
      <c r="B263" s="1" t="n">
        <v>44468</v>
      </c>
      <c r="C263" s="1" t="n">
        <v>45667</v>
      </c>
      <c r="D263" t="inlineStr">
        <is>
          <t>DALARNAS LÄN</t>
        </is>
      </c>
      <c r="E263" t="inlineStr">
        <is>
          <t>HEDEMORA</t>
        </is>
      </c>
      <c r="F263" t="inlineStr">
        <is>
          <t>Övriga Aktiebolag</t>
        </is>
      </c>
      <c r="G263" t="n">
        <v>1.4</v>
      </c>
      <c r="H263" t="n">
        <v>0</v>
      </c>
      <c r="I263" t="n">
        <v>0</v>
      </c>
      <c r="J263" t="n">
        <v>0</v>
      </c>
      <c r="K263" t="n">
        <v>0</v>
      </c>
      <c r="L263" t="n">
        <v>0</v>
      </c>
      <c r="M263" t="n">
        <v>0</v>
      </c>
      <c r="N263" t="n">
        <v>0</v>
      </c>
      <c r="O263" t="n">
        <v>0</v>
      </c>
      <c r="P263" t="n">
        <v>0</v>
      </c>
      <c r="Q263" t="n">
        <v>0</v>
      </c>
      <c r="R263" s="2" t="inlineStr"/>
    </row>
    <row r="264" ht="15" customHeight="1">
      <c r="A264" t="inlineStr">
        <is>
          <t>A 54310-2021</t>
        </is>
      </c>
      <c r="B264" s="1" t="n">
        <v>44472</v>
      </c>
      <c r="C264" s="1" t="n">
        <v>45667</v>
      </c>
      <c r="D264" t="inlineStr">
        <is>
          <t>DALARNAS LÄN</t>
        </is>
      </c>
      <c r="E264" t="inlineStr">
        <is>
          <t>HEDEMORA</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55195-2021</t>
        </is>
      </c>
      <c r="B265" s="1" t="n">
        <v>44475</v>
      </c>
      <c r="C265" s="1" t="n">
        <v>45667</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57117-2021</t>
        </is>
      </c>
      <c r="B266" s="1" t="n">
        <v>44482</v>
      </c>
      <c r="C266" s="1" t="n">
        <v>45667</v>
      </c>
      <c r="D266" t="inlineStr">
        <is>
          <t>DALARNAS LÄN</t>
        </is>
      </c>
      <c r="E266" t="inlineStr">
        <is>
          <t>HEDEMORA</t>
        </is>
      </c>
      <c r="F266" t="inlineStr">
        <is>
          <t>Bergvik skog väst AB</t>
        </is>
      </c>
      <c r="G266" t="n">
        <v>14.3</v>
      </c>
      <c r="H266" t="n">
        <v>0</v>
      </c>
      <c r="I266" t="n">
        <v>0</v>
      </c>
      <c r="J266" t="n">
        <v>0</v>
      </c>
      <c r="K266" t="n">
        <v>0</v>
      </c>
      <c r="L266" t="n">
        <v>0</v>
      </c>
      <c r="M266" t="n">
        <v>0</v>
      </c>
      <c r="N266" t="n">
        <v>0</v>
      </c>
      <c r="O266" t="n">
        <v>0</v>
      </c>
      <c r="P266" t="n">
        <v>0</v>
      </c>
      <c r="Q266" t="n">
        <v>0</v>
      </c>
      <c r="R266" s="2" t="inlineStr"/>
    </row>
    <row r="267" ht="15" customHeight="1">
      <c r="A267" t="inlineStr">
        <is>
          <t>A 59491-2021</t>
        </is>
      </c>
      <c r="B267" s="1" t="n">
        <v>44491</v>
      </c>
      <c r="C267" s="1" t="n">
        <v>45667</v>
      </c>
      <c r="D267" t="inlineStr">
        <is>
          <t>DALARNAS LÄN</t>
        </is>
      </c>
      <c r="E267" t="inlineStr">
        <is>
          <t>HEDEMORA</t>
        </is>
      </c>
      <c r="G267" t="n">
        <v>2.2</v>
      </c>
      <c r="H267" t="n">
        <v>0</v>
      </c>
      <c r="I267" t="n">
        <v>0</v>
      </c>
      <c r="J267" t="n">
        <v>0</v>
      </c>
      <c r="K267" t="n">
        <v>0</v>
      </c>
      <c r="L267" t="n">
        <v>0</v>
      </c>
      <c r="M267" t="n">
        <v>0</v>
      </c>
      <c r="N267" t="n">
        <v>0</v>
      </c>
      <c r="O267" t="n">
        <v>0</v>
      </c>
      <c r="P267" t="n">
        <v>0</v>
      </c>
      <c r="Q267" t="n">
        <v>0</v>
      </c>
      <c r="R267" s="2" t="inlineStr"/>
    </row>
    <row r="268" ht="15" customHeight="1">
      <c r="A268" t="inlineStr">
        <is>
          <t>A 59495-2021</t>
        </is>
      </c>
      <c r="B268" s="1" t="n">
        <v>44491</v>
      </c>
      <c r="C268" s="1" t="n">
        <v>45667</v>
      </c>
      <c r="D268" t="inlineStr">
        <is>
          <t>DALARNAS LÄN</t>
        </is>
      </c>
      <c r="E268" t="inlineStr">
        <is>
          <t>HEDEMORA</t>
        </is>
      </c>
      <c r="G268" t="n">
        <v>0.5</v>
      </c>
      <c r="H268" t="n">
        <v>0</v>
      </c>
      <c r="I268" t="n">
        <v>0</v>
      </c>
      <c r="J268" t="n">
        <v>0</v>
      </c>
      <c r="K268" t="n">
        <v>0</v>
      </c>
      <c r="L268" t="n">
        <v>0</v>
      </c>
      <c r="M268" t="n">
        <v>0</v>
      </c>
      <c r="N268" t="n">
        <v>0</v>
      </c>
      <c r="O268" t="n">
        <v>0</v>
      </c>
      <c r="P268" t="n">
        <v>0</v>
      </c>
      <c r="Q268" t="n">
        <v>0</v>
      </c>
      <c r="R268" s="2" t="inlineStr"/>
    </row>
    <row r="269" ht="15" customHeight="1">
      <c r="A269" t="inlineStr">
        <is>
          <t>A 60418-2021</t>
        </is>
      </c>
      <c r="B269" s="1" t="n">
        <v>44495</v>
      </c>
      <c r="C269" s="1" t="n">
        <v>45667</v>
      </c>
      <c r="D269" t="inlineStr">
        <is>
          <t>DALARNAS LÄN</t>
        </is>
      </c>
      <c r="E269" t="inlineStr">
        <is>
          <t>HEDEMORA</t>
        </is>
      </c>
      <c r="G269" t="n">
        <v>0.7</v>
      </c>
      <c r="H269" t="n">
        <v>0</v>
      </c>
      <c r="I269" t="n">
        <v>0</v>
      </c>
      <c r="J269" t="n">
        <v>0</v>
      </c>
      <c r="K269" t="n">
        <v>0</v>
      </c>
      <c r="L269" t="n">
        <v>0</v>
      </c>
      <c r="M269" t="n">
        <v>0</v>
      </c>
      <c r="N269" t="n">
        <v>0</v>
      </c>
      <c r="O269" t="n">
        <v>0</v>
      </c>
      <c r="P269" t="n">
        <v>0</v>
      </c>
      <c r="Q269" t="n">
        <v>0</v>
      </c>
      <c r="R269" s="2" t="inlineStr"/>
    </row>
    <row r="270" ht="15" customHeight="1">
      <c r="A270" t="inlineStr">
        <is>
          <t>A 61533-2021</t>
        </is>
      </c>
      <c r="B270" s="1" t="n">
        <v>44501</v>
      </c>
      <c r="C270" s="1" t="n">
        <v>45667</v>
      </c>
      <c r="D270" t="inlineStr">
        <is>
          <t>DALARNAS LÄN</t>
        </is>
      </c>
      <c r="E270" t="inlineStr">
        <is>
          <t>HEDEMORA</t>
        </is>
      </c>
      <c r="G270" t="n">
        <v>1.6</v>
      </c>
      <c r="H270" t="n">
        <v>0</v>
      </c>
      <c r="I270" t="n">
        <v>0</v>
      </c>
      <c r="J270" t="n">
        <v>0</v>
      </c>
      <c r="K270" t="n">
        <v>0</v>
      </c>
      <c r="L270" t="n">
        <v>0</v>
      </c>
      <c r="M270" t="n">
        <v>0</v>
      </c>
      <c r="N270" t="n">
        <v>0</v>
      </c>
      <c r="O270" t="n">
        <v>0</v>
      </c>
      <c r="P270" t="n">
        <v>0</v>
      </c>
      <c r="Q270" t="n">
        <v>0</v>
      </c>
      <c r="R270" s="2" t="inlineStr"/>
    </row>
    <row r="271" ht="15" customHeight="1">
      <c r="A271" t="inlineStr">
        <is>
          <t>A 62305-2021</t>
        </is>
      </c>
      <c r="B271" s="1" t="n">
        <v>44502</v>
      </c>
      <c r="C271" s="1" t="n">
        <v>45667</v>
      </c>
      <c r="D271" t="inlineStr">
        <is>
          <t>DALARNAS LÄN</t>
        </is>
      </c>
      <c r="E271" t="inlineStr">
        <is>
          <t>HEDEMORA</t>
        </is>
      </c>
      <c r="F271" t="inlineStr">
        <is>
          <t>Bergvik skog väst AB</t>
        </is>
      </c>
      <c r="G271" t="n">
        <v>0.6</v>
      </c>
      <c r="H271" t="n">
        <v>0</v>
      </c>
      <c r="I271" t="n">
        <v>0</v>
      </c>
      <c r="J271" t="n">
        <v>0</v>
      </c>
      <c r="K271" t="n">
        <v>0</v>
      </c>
      <c r="L271" t="n">
        <v>0</v>
      </c>
      <c r="M271" t="n">
        <v>0</v>
      </c>
      <c r="N271" t="n">
        <v>0</v>
      </c>
      <c r="O271" t="n">
        <v>0</v>
      </c>
      <c r="P271" t="n">
        <v>0</v>
      </c>
      <c r="Q271" t="n">
        <v>0</v>
      </c>
      <c r="R271" s="2" t="inlineStr"/>
    </row>
    <row r="272" ht="15" customHeight="1">
      <c r="A272" t="inlineStr">
        <is>
          <t>A 63908-2021</t>
        </is>
      </c>
      <c r="B272" s="1" t="n">
        <v>44509</v>
      </c>
      <c r="C272" s="1" t="n">
        <v>45667</v>
      </c>
      <c r="D272" t="inlineStr">
        <is>
          <t>DALARNAS LÄN</t>
        </is>
      </c>
      <c r="E272" t="inlineStr">
        <is>
          <t>HEDEMORA</t>
        </is>
      </c>
      <c r="G272" t="n">
        <v>1.4</v>
      </c>
      <c r="H272" t="n">
        <v>0</v>
      </c>
      <c r="I272" t="n">
        <v>0</v>
      </c>
      <c r="J272" t="n">
        <v>0</v>
      </c>
      <c r="K272" t="n">
        <v>0</v>
      </c>
      <c r="L272" t="n">
        <v>0</v>
      </c>
      <c r="M272" t="n">
        <v>0</v>
      </c>
      <c r="N272" t="n">
        <v>0</v>
      </c>
      <c r="O272" t="n">
        <v>0</v>
      </c>
      <c r="P272" t="n">
        <v>0</v>
      </c>
      <c r="Q272" t="n">
        <v>0</v>
      </c>
      <c r="R272" s="2" t="inlineStr"/>
    </row>
    <row r="273" ht="15" customHeight="1">
      <c r="A273" t="inlineStr">
        <is>
          <t>A 64473-2021</t>
        </is>
      </c>
      <c r="B273" s="1" t="n">
        <v>44511</v>
      </c>
      <c r="C273" s="1" t="n">
        <v>45667</v>
      </c>
      <c r="D273" t="inlineStr">
        <is>
          <t>DALARNAS LÄN</t>
        </is>
      </c>
      <c r="E273" t="inlineStr">
        <is>
          <t>HEDEMORA</t>
        </is>
      </c>
      <c r="G273" t="n">
        <v>1</v>
      </c>
      <c r="H273" t="n">
        <v>0</v>
      </c>
      <c r="I273" t="n">
        <v>0</v>
      </c>
      <c r="J273" t="n">
        <v>0</v>
      </c>
      <c r="K273" t="n">
        <v>0</v>
      </c>
      <c r="L273" t="n">
        <v>0</v>
      </c>
      <c r="M273" t="n">
        <v>0</v>
      </c>
      <c r="N273" t="n">
        <v>0</v>
      </c>
      <c r="O273" t="n">
        <v>0</v>
      </c>
      <c r="P273" t="n">
        <v>0</v>
      </c>
      <c r="Q273" t="n">
        <v>0</v>
      </c>
      <c r="R273" s="2" t="inlineStr"/>
    </row>
    <row r="274" ht="15" customHeight="1">
      <c r="A274" t="inlineStr">
        <is>
          <t>A 67282-2021</t>
        </is>
      </c>
      <c r="B274" s="1" t="n">
        <v>44523</v>
      </c>
      <c r="C274" s="1" t="n">
        <v>45667</v>
      </c>
      <c r="D274" t="inlineStr">
        <is>
          <t>DALARNAS LÄN</t>
        </is>
      </c>
      <c r="E274" t="inlineStr">
        <is>
          <t>HEDEMORA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67288-2021</t>
        </is>
      </c>
      <c r="B275" s="1" t="n">
        <v>44523</v>
      </c>
      <c r="C275" s="1" t="n">
        <v>45667</v>
      </c>
      <c r="D275" t="inlineStr">
        <is>
          <t>DALARNAS LÄN</t>
        </is>
      </c>
      <c r="E275" t="inlineStr">
        <is>
          <t>HEDEMORA</t>
        </is>
      </c>
      <c r="F275" t="inlineStr">
        <is>
          <t>Övriga Aktiebolag</t>
        </is>
      </c>
      <c r="G275" t="n">
        <v>1.6</v>
      </c>
      <c r="H275" t="n">
        <v>0</v>
      </c>
      <c r="I275" t="n">
        <v>0</v>
      </c>
      <c r="J275" t="n">
        <v>0</v>
      </c>
      <c r="K275" t="n">
        <v>0</v>
      </c>
      <c r="L275" t="n">
        <v>0</v>
      </c>
      <c r="M275" t="n">
        <v>0</v>
      </c>
      <c r="N275" t="n">
        <v>0</v>
      </c>
      <c r="O275" t="n">
        <v>0</v>
      </c>
      <c r="P275" t="n">
        <v>0</v>
      </c>
      <c r="Q275" t="n">
        <v>0</v>
      </c>
      <c r="R275" s="2" t="inlineStr"/>
    </row>
    <row r="276" ht="15" customHeight="1">
      <c r="A276" t="inlineStr">
        <is>
          <t>A 68553-2021</t>
        </is>
      </c>
      <c r="B276" s="1" t="n">
        <v>44529</v>
      </c>
      <c r="C276" s="1" t="n">
        <v>45667</v>
      </c>
      <c r="D276" t="inlineStr">
        <is>
          <t>DALARNAS LÄN</t>
        </is>
      </c>
      <c r="E276" t="inlineStr">
        <is>
          <t>HEDEMORA</t>
        </is>
      </c>
      <c r="G276" t="n">
        <v>3</v>
      </c>
      <c r="H276" t="n">
        <v>0</v>
      </c>
      <c r="I276" t="n">
        <v>0</v>
      </c>
      <c r="J276" t="n">
        <v>0</v>
      </c>
      <c r="K276" t="n">
        <v>0</v>
      </c>
      <c r="L276" t="n">
        <v>0</v>
      </c>
      <c r="M276" t="n">
        <v>0</v>
      </c>
      <c r="N276" t="n">
        <v>0</v>
      </c>
      <c r="O276" t="n">
        <v>0</v>
      </c>
      <c r="P276" t="n">
        <v>0</v>
      </c>
      <c r="Q276" t="n">
        <v>0</v>
      </c>
      <c r="R276" s="2" t="inlineStr"/>
    </row>
    <row r="277" ht="15" customHeight="1">
      <c r="A277" t="inlineStr">
        <is>
          <t>A 68457-2021</t>
        </is>
      </c>
      <c r="B277" s="1" t="n">
        <v>44529</v>
      </c>
      <c r="C277" s="1" t="n">
        <v>45667</v>
      </c>
      <c r="D277" t="inlineStr">
        <is>
          <t>DALARNAS LÄN</t>
        </is>
      </c>
      <c r="E277" t="inlineStr">
        <is>
          <t>HEDEMORA</t>
        </is>
      </c>
      <c r="G277" t="n">
        <v>1.9</v>
      </c>
      <c r="H277" t="n">
        <v>0</v>
      </c>
      <c r="I277" t="n">
        <v>0</v>
      </c>
      <c r="J277" t="n">
        <v>0</v>
      </c>
      <c r="K277" t="n">
        <v>0</v>
      </c>
      <c r="L277" t="n">
        <v>0</v>
      </c>
      <c r="M277" t="n">
        <v>0</v>
      </c>
      <c r="N277" t="n">
        <v>0</v>
      </c>
      <c r="O277" t="n">
        <v>0</v>
      </c>
      <c r="P277" t="n">
        <v>0</v>
      </c>
      <c r="Q277" t="n">
        <v>0</v>
      </c>
      <c r="R277" s="2" t="inlineStr"/>
    </row>
    <row r="278" ht="15" customHeight="1">
      <c r="A278" t="inlineStr">
        <is>
          <t>A 69624-2021</t>
        </is>
      </c>
      <c r="B278" s="1" t="n">
        <v>44532</v>
      </c>
      <c r="C278" s="1" t="n">
        <v>45667</v>
      </c>
      <c r="D278" t="inlineStr">
        <is>
          <t>DALARNAS LÄN</t>
        </is>
      </c>
      <c r="E278" t="inlineStr">
        <is>
          <t>HEDEMORA</t>
        </is>
      </c>
      <c r="G278" t="n">
        <v>0.4</v>
      </c>
      <c r="H278" t="n">
        <v>0</v>
      </c>
      <c r="I278" t="n">
        <v>0</v>
      </c>
      <c r="J278" t="n">
        <v>0</v>
      </c>
      <c r="K278" t="n">
        <v>0</v>
      </c>
      <c r="L278" t="n">
        <v>0</v>
      </c>
      <c r="M278" t="n">
        <v>0</v>
      </c>
      <c r="N278" t="n">
        <v>0</v>
      </c>
      <c r="O278" t="n">
        <v>0</v>
      </c>
      <c r="P278" t="n">
        <v>0</v>
      </c>
      <c r="Q278" t="n">
        <v>0</v>
      </c>
      <c r="R278" s="2" t="inlineStr"/>
    </row>
    <row r="279" ht="15" customHeight="1">
      <c r="A279" t="inlineStr">
        <is>
          <t>A 73099-2021</t>
        </is>
      </c>
      <c r="B279" s="1" t="n">
        <v>44546</v>
      </c>
      <c r="C279" s="1" t="n">
        <v>45667</v>
      </c>
      <c r="D279" t="inlineStr">
        <is>
          <t>DALARNAS LÄN</t>
        </is>
      </c>
      <c r="E279" t="inlineStr">
        <is>
          <t>HEDEMORA</t>
        </is>
      </c>
      <c r="G279" t="n">
        <v>4.5</v>
      </c>
      <c r="H279" t="n">
        <v>0</v>
      </c>
      <c r="I279" t="n">
        <v>0</v>
      </c>
      <c r="J279" t="n">
        <v>0</v>
      </c>
      <c r="K279" t="n">
        <v>0</v>
      </c>
      <c r="L279" t="n">
        <v>0</v>
      </c>
      <c r="M279" t="n">
        <v>0</v>
      </c>
      <c r="N279" t="n">
        <v>0</v>
      </c>
      <c r="O279" t="n">
        <v>0</v>
      </c>
      <c r="P279" t="n">
        <v>0</v>
      </c>
      <c r="Q279" t="n">
        <v>0</v>
      </c>
      <c r="R279" s="2" t="inlineStr"/>
    </row>
    <row r="280" ht="15" customHeight="1">
      <c r="A280" t="inlineStr">
        <is>
          <t>A 73464-2021</t>
        </is>
      </c>
      <c r="B280" s="1" t="n">
        <v>44551</v>
      </c>
      <c r="C280" s="1" t="n">
        <v>45667</v>
      </c>
      <c r="D280" t="inlineStr">
        <is>
          <t>DALARNAS LÄN</t>
        </is>
      </c>
      <c r="E280" t="inlineStr">
        <is>
          <t>HEDEMORA</t>
        </is>
      </c>
      <c r="G280" t="n">
        <v>2.3</v>
      </c>
      <c r="H280" t="n">
        <v>0</v>
      </c>
      <c r="I280" t="n">
        <v>0</v>
      </c>
      <c r="J280" t="n">
        <v>0</v>
      </c>
      <c r="K280" t="n">
        <v>0</v>
      </c>
      <c r="L280" t="n">
        <v>0</v>
      </c>
      <c r="M280" t="n">
        <v>0</v>
      </c>
      <c r="N280" t="n">
        <v>0</v>
      </c>
      <c r="O280" t="n">
        <v>0</v>
      </c>
      <c r="P280" t="n">
        <v>0</v>
      </c>
      <c r="Q280" t="n">
        <v>0</v>
      </c>
      <c r="R280" s="2" t="inlineStr"/>
    </row>
    <row r="281" ht="15" customHeight="1">
      <c r="A281" t="inlineStr">
        <is>
          <t>A 295-2022</t>
        </is>
      </c>
      <c r="B281" s="1" t="n">
        <v>44565</v>
      </c>
      <c r="C281" s="1" t="n">
        <v>45667</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769-2022</t>
        </is>
      </c>
      <c r="B282" s="1" t="n">
        <v>44570</v>
      </c>
      <c r="C282" s="1" t="n">
        <v>45667</v>
      </c>
      <c r="D282" t="inlineStr">
        <is>
          <t>DALARNAS LÄN</t>
        </is>
      </c>
      <c r="E282" t="inlineStr">
        <is>
          <t>HEDEMORA</t>
        </is>
      </c>
      <c r="G282" t="n">
        <v>5.9</v>
      </c>
      <c r="H282" t="n">
        <v>0</v>
      </c>
      <c r="I282" t="n">
        <v>0</v>
      </c>
      <c r="J282" t="n">
        <v>0</v>
      </c>
      <c r="K282" t="n">
        <v>0</v>
      </c>
      <c r="L282" t="n">
        <v>0</v>
      </c>
      <c r="M282" t="n">
        <v>0</v>
      </c>
      <c r="N282" t="n">
        <v>0</v>
      </c>
      <c r="O282" t="n">
        <v>0</v>
      </c>
      <c r="P282" t="n">
        <v>0</v>
      </c>
      <c r="Q282" t="n">
        <v>0</v>
      </c>
      <c r="R282" s="2" t="inlineStr"/>
    </row>
    <row r="283" ht="15" customHeight="1">
      <c r="A283" t="inlineStr">
        <is>
          <t>A 1666-2022</t>
        </is>
      </c>
      <c r="B283" s="1" t="n">
        <v>44574</v>
      </c>
      <c r="C283" s="1" t="n">
        <v>45667</v>
      </c>
      <c r="D283" t="inlineStr">
        <is>
          <t>DALARNAS LÄN</t>
        </is>
      </c>
      <c r="E283" t="inlineStr">
        <is>
          <t>HEDEMORA</t>
        </is>
      </c>
      <c r="F283" t="inlineStr">
        <is>
          <t>Sveaskog</t>
        </is>
      </c>
      <c r="G283" t="n">
        <v>1.3</v>
      </c>
      <c r="H283" t="n">
        <v>0</v>
      </c>
      <c r="I283" t="n">
        <v>0</v>
      </c>
      <c r="J283" t="n">
        <v>0</v>
      </c>
      <c r="K283" t="n">
        <v>0</v>
      </c>
      <c r="L283" t="n">
        <v>0</v>
      </c>
      <c r="M283" t="n">
        <v>0</v>
      </c>
      <c r="N283" t="n">
        <v>0</v>
      </c>
      <c r="O283" t="n">
        <v>0</v>
      </c>
      <c r="P283" t="n">
        <v>0</v>
      </c>
      <c r="Q283" t="n">
        <v>0</v>
      </c>
      <c r="R283" s="2" t="inlineStr"/>
    </row>
    <row r="284" ht="15" customHeight="1">
      <c r="A284" t="inlineStr">
        <is>
          <t>A 1917-2022</t>
        </is>
      </c>
      <c r="B284" s="1" t="n">
        <v>44574</v>
      </c>
      <c r="C284" s="1" t="n">
        <v>45667</v>
      </c>
      <c r="D284" t="inlineStr">
        <is>
          <t>DALARNAS LÄN</t>
        </is>
      </c>
      <c r="E284" t="inlineStr">
        <is>
          <t>HEDEMORA</t>
        </is>
      </c>
      <c r="F284" t="inlineStr">
        <is>
          <t>Övriga Aktiebolag</t>
        </is>
      </c>
      <c r="G284" t="n">
        <v>1.4</v>
      </c>
      <c r="H284" t="n">
        <v>0</v>
      </c>
      <c r="I284" t="n">
        <v>0</v>
      </c>
      <c r="J284" t="n">
        <v>0</v>
      </c>
      <c r="K284" t="n">
        <v>0</v>
      </c>
      <c r="L284" t="n">
        <v>0</v>
      </c>
      <c r="M284" t="n">
        <v>0</v>
      </c>
      <c r="N284" t="n">
        <v>0</v>
      </c>
      <c r="O284" t="n">
        <v>0</v>
      </c>
      <c r="P284" t="n">
        <v>0</v>
      </c>
      <c r="Q284" t="n">
        <v>0</v>
      </c>
      <c r="R284" s="2" t="inlineStr"/>
    </row>
    <row r="285" ht="15" customHeight="1">
      <c r="A285" t="inlineStr">
        <is>
          <t>A 1973-2022</t>
        </is>
      </c>
      <c r="B285" s="1" t="n">
        <v>44575</v>
      </c>
      <c r="C285" s="1" t="n">
        <v>45667</v>
      </c>
      <c r="D285" t="inlineStr">
        <is>
          <t>DALARNAS LÄN</t>
        </is>
      </c>
      <c r="E285" t="inlineStr">
        <is>
          <t>HEDEMORA</t>
        </is>
      </c>
      <c r="G285" t="n">
        <v>1.2</v>
      </c>
      <c r="H285" t="n">
        <v>0</v>
      </c>
      <c r="I285" t="n">
        <v>0</v>
      </c>
      <c r="J285" t="n">
        <v>0</v>
      </c>
      <c r="K285" t="n">
        <v>0</v>
      </c>
      <c r="L285" t="n">
        <v>0</v>
      </c>
      <c r="M285" t="n">
        <v>0</v>
      </c>
      <c r="N285" t="n">
        <v>0</v>
      </c>
      <c r="O285" t="n">
        <v>0</v>
      </c>
      <c r="P285" t="n">
        <v>0</v>
      </c>
      <c r="Q285" t="n">
        <v>0</v>
      </c>
      <c r="R285" s="2" t="inlineStr"/>
    </row>
    <row r="286" ht="15" customHeight="1">
      <c r="A286" t="inlineStr">
        <is>
          <t>A 1976-2022</t>
        </is>
      </c>
      <c r="B286" s="1" t="n">
        <v>44575</v>
      </c>
      <c r="C286" s="1" t="n">
        <v>45667</v>
      </c>
      <c r="D286" t="inlineStr">
        <is>
          <t>DALARNAS LÄN</t>
        </is>
      </c>
      <c r="E286" t="inlineStr">
        <is>
          <t>HEDEMORA</t>
        </is>
      </c>
      <c r="G286" t="n">
        <v>3.2</v>
      </c>
      <c r="H286" t="n">
        <v>0</v>
      </c>
      <c r="I286" t="n">
        <v>0</v>
      </c>
      <c r="J286" t="n">
        <v>0</v>
      </c>
      <c r="K286" t="n">
        <v>0</v>
      </c>
      <c r="L286" t="n">
        <v>0</v>
      </c>
      <c r="M286" t="n">
        <v>0</v>
      </c>
      <c r="N286" t="n">
        <v>0</v>
      </c>
      <c r="O286" t="n">
        <v>0</v>
      </c>
      <c r="P286" t="n">
        <v>0</v>
      </c>
      <c r="Q286" t="n">
        <v>0</v>
      </c>
      <c r="R286" s="2" t="inlineStr"/>
    </row>
    <row r="287" ht="15" customHeight="1">
      <c r="A287" t="inlineStr">
        <is>
          <t>A 4030-2022</t>
        </is>
      </c>
      <c r="B287" s="1" t="n">
        <v>44588</v>
      </c>
      <c r="C287" s="1" t="n">
        <v>45667</v>
      </c>
      <c r="D287" t="inlineStr">
        <is>
          <t>DALARNAS LÄN</t>
        </is>
      </c>
      <c r="E287" t="inlineStr">
        <is>
          <t>HEDEMORA</t>
        </is>
      </c>
      <c r="F287" t="inlineStr">
        <is>
          <t>Kyrkan</t>
        </is>
      </c>
      <c r="G287" t="n">
        <v>2.1</v>
      </c>
      <c r="H287" t="n">
        <v>0</v>
      </c>
      <c r="I287" t="n">
        <v>0</v>
      </c>
      <c r="J287" t="n">
        <v>0</v>
      </c>
      <c r="K287" t="n">
        <v>0</v>
      </c>
      <c r="L287" t="n">
        <v>0</v>
      </c>
      <c r="M287" t="n">
        <v>0</v>
      </c>
      <c r="N287" t="n">
        <v>0</v>
      </c>
      <c r="O287" t="n">
        <v>0</v>
      </c>
      <c r="P287" t="n">
        <v>0</v>
      </c>
      <c r="Q287" t="n">
        <v>0</v>
      </c>
      <c r="R287" s="2" t="inlineStr"/>
    </row>
    <row r="288" ht="15" customHeight="1">
      <c r="A288" t="inlineStr">
        <is>
          <t>A 7515-2022</t>
        </is>
      </c>
      <c r="B288" s="1" t="n">
        <v>44607</v>
      </c>
      <c r="C288" s="1" t="n">
        <v>45667</v>
      </c>
      <c r="D288" t="inlineStr">
        <is>
          <t>DALARNAS LÄN</t>
        </is>
      </c>
      <c r="E288" t="inlineStr">
        <is>
          <t>HEDEMORA</t>
        </is>
      </c>
      <c r="G288" t="n">
        <v>3.8</v>
      </c>
      <c r="H288" t="n">
        <v>0</v>
      </c>
      <c r="I288" t="n">
        <v>0</v>
      </c>
      <c r="J288" t="n">
        <v>0</v>
      </c>
      <c r="K288" t="n">
        <v>0</v>
      </c>
      <c r="L288" t="n">
        <v>0</v>
      </c>
      <c r="M288" t="n">
        <v>0</v>
      </c>
      <c r="N288" t="n">
        <v>0</v>
      </c>
      <c r="O288" t="n">
        <v>0</v>
      </c>
      <c r="P288" t="n">
        <v>0</v>
      </c>
      <c r="Q288" t="n">
        <v>0</v>
      </c>
      <c r="R288" s="2" t="inlineStr"/>
    </row>
    <row r="289" ht="15" customHeight="1">
      <c r="A289" t="inlineStr">
        <is>
          <t>A 10408-2022</t>
        </is>
      </c>
      <c r="B289" s="1" t="n">
        <v>44623</v>
      </c>
      <c r="C289" s="1" t="n">
        <v>45667</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11046-2022</t>
        </is>
      </c>
      <c r="B290" s="1" t="n">
        <v>44628</v>
      </c>
      <c r="C290" s="1" t="n">
        <v>45667</v>
      </c>
      <c r="D290" t="inlineStr">
        <is>
          <t>DALARNAS LÄN</t>
        </is>
      </c>
      <c r="E290" t="inlineStr">
        <is>
          <t>HEDEMORA</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15635-2022</t>
        </is>
      </c>
      <c r="B291" s="1" t="n">
        <v>44662</v>
      </c>
      <c r="C291" s="1" t="n">
        <v>45667</v>
      </c>
      <c r="D291" t="inlineStr">
        <is>
          <t>DALARNAS LÄN</t>
        </is>
      </c>
      <c r="E291" t="inlineStr">
        <is>
          <t>HEDEMORA</t>
        </is>
      </c>
      <c r="F291" t="inlineStr">
        <is>
          <t>Bergvik skog väst AB</t>
        </is>
      </c>
      <c r="G291" t="n">
        <v>2.3</v>
      </c>
      <c r="H291" t="n">
        <v>0</v>
      </c>
      <c r="I291" t="n">
        <v>0</v>
      </c>
      <c r="J291" t="n">
        <v>0</v>
      </c>
      <c r="K291" t="n">
        <v>0</v>
      </c>
      <c r="L291" t="n">
        <v>0</v>
      </c>
      <c r="M291" t="n">
        <v>0</v>
      </c>
      <c r="N291" t="n">
        <v>0</v>
      </c>
      <c r="O291" t="n">
        <v>0</v>
      </c>
      <c r="P291" t="n">
        <v>0</v>
      </c>
      <c r="Q291" t="n">
        <v>0</v>
      </c>
      <c r="R291" s="2" t="inlineStr"/>
    </row>
    <row r="292" ht="15" customHeight="1">
      <c r="A292" t="inlineStr">
        <is>
          <t>A 16122-2022</t>
        </is>
      </c>
      <c r="B292" s="1" t="n">
        <v>44665</v>
      </c>
      <c r="C292" s="1" t="n">
        <v>45667</v>
      </c>
      <c r="D292" t="inlineStr">
        <is>
          <t>DALARNAS LÄN</t>
        </is>
      </c>
      <c r="E292" t="inlineStr">
        <is>
          <t>HEDEMORA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16779-2022</t>
        </is>
      </c>
      <c r="B293" s="1" t="n">
        <v>44673</v>
      </c>
      <c r="C293" s="1" t="n">
        <v>45667</v>
      </c>
      <c r="D293" t="inlineStr">
        <is>
          <t>DALARNAS LÄN</t>
        </is>
      </c>
      <c r="E293" t="inlineStr">
        <is>
          <t>HEDEMORA</t>
        </is>
      </c>
      <c r="G293" t="n">
        <v>1.8</v>
      </c>
      <c r="H293" t="n">
        <v>0</v>
      </c>
      <c r="I293" t="n">
        <v>0</v>
      </c>
      <c r="J293" t="n">
        <v>0</v>
      </c>
      <c r="K293" t="n">
        <v>0</v>
      </c>
      <c r="L293" t="n">
        <v>0</v>
      </c>
      <c r="M293" t="n">
        <v>0</v>
      </c>
      <c r="N293" t="n">
        <v>0</v>
      </c>
      <c r="O293" t="n">
        <v>0</v>
      </c>
      <c r="P293" t="n">
        <v>0</v>
      </c>
      <c r="Q293" t="n">
        <v>0</v>
      </c>
      <c r="R293" s="2" t="inlineStr"/>
    </row>
    <row r="294" ht="15" customHeight="1">
      <c r="A294" t="inlineStr">
        <is>
          <t>A 17645-2022</t>
        </is>
      </c>
      <c r="B294" s="1" t="n">
        <v>44680</v>
      </c>
      <c r="C294" s="1" t="n">
        <v>45667</v>
      </c>
      <c r="D294" t="inlineStr">
        <is>
          <t>DALARNAS LÄN</t>
        </is>
      </c>
      <c r="E294" t="inlineStr">
        <is>
          <t>HEDEMORA</t>
        </is>
      </c>
      <c r="G294" t="n">
        <v>1.3</v>
      </c>
      <c r="H294" t="n">
        <v>0</v>
      </c>
      <c r="I294" t="n">
        <v>0</v>
      </c>
      <c r="J294" t="n">
        <v>0</v>
      </c>
      <c r="K294" t="n">
        <v>0</v>
      </c>
      <c r="L294" t="n">
        <v>0</v>
      </c>
      <c r="M294" t="n">
        <v>0</v>
      </c>
      <c r="N294" t="n">
        <v>0</v>
      </c>
      <c r="O294" t="n">
        <v>0</v>
      </c>
      <c r="P294" t="n">
        <v>0</v>
      </c>
      <c r="Q294" t="n">
        <v>0</v>
      </c>
      <c r="R294" s="2" t="inlineStr"/>
    </row>
    <row r="295" ht="15" customHeight="1">
      <c r="A295" t="inlineStr">
        <is>
          <t>A 18098-2022</t>
        </is>
      </c>
      <c r="B295" s="1" t="n">
        <v>44684</v>
      </c>
      <c r="C295" s="1" t="n">
        <v>45667</v>
      </c>
      <c r="D295" t="inlineStr">
        <is>
          <t>DALARNAS LÄN</t>
        </is>
      </c>
      <c r="E295" t="inlineStr">
        <is>
          <t>HEDEMORA</t>
        </is>
      </c>
      <c r="G295" t="n">
        <v>4.9</v>
      </c>
      <c r="H295" t="n">
        <v>0</v>
      </c>
      <c r="I295" t="n">
        <v>0</v>
      </c>
      <c r="J295" t="n">
        <v>0</v>
      </c>
      <c r="K295" t="n">
        <v>0</v>
      </c>
      <c r="L295" t="n">
        <v>0</v>
      </c>
      <c r="M295" t="n">
        <v>0</v>
      </c>
      <c r="N295" t="n">
        <v>0</v>
      </c>
      <c r="O295" t="n">
        <v>0</v>
      </c>
      <c r="P295" t="n">
        <v>0</v>
      </c>
      <c r="Q295" t="n">
        <v>0</v>
      </c>
      <c r="R295" s="2" t="inlineStr"/>
    </row>
    <row r="296" ht="15" customHeight="1">
      <c r="A296" t="inlineStr">
        <is>
          <t>A 20177-2022</t>
        </is>
      </c>
      <c r="B296" s="1" t="n">
        <v>44698</v>
      </c>
      <c r="C296" s="1" t="n">
        <v>45667</v>
      </c>
      <c r="D296" t="inlineStr">
        <is>
          <t>DALARNAS LÄN</t>
        </is>
      </c>
      <c r="E296" t="inlineStr">
        <is>
          <t>HEDEMORA</t>
        </is>
      </c>
      <c r="G296" t="n">
        <v>3.9</v>
      </c>
      <c r="H296" t="n">
        <v>0</v>
      </c>
      <c r="I296" t="n">
        <v>0</v>
      </c>
      <c r="J296" t="n">
        <v>0</v>
      </c>
      <c r="K296" t="n">
        <v>0</v>
      </c>
      <c r="L296" t="n">
        <v>0</v>
      </c>
      <c r="M296" t="n">
        <v>0</v>
      </c>
      <c r="N296" t="n">
        <v>0</v>
      </c>
      <c r="O296" t="n">
        <v>0</v>
      </c>
      <c r="P296" t="n">
        <v>0</v>
      </c>
      <c r="Q296" t="n">
        <v>0</v>
      </c>
      <c r="R296" s="2" t="inlineStr"/>
    </row>
    <row r="297" ht="15" customHeight="1">
      <c r="A297" t="inlineStr">
        <is>
          <t>A 21520-2022</t>
        </is>
      </c>
      <c r="B297" s="1" t="n">
        <v>44706</v>
      </c>
      <c r="C297" s="1" t="n">
        <v>45667</v>
      </c>
      <c r="D297" t="inlineStr">
        <is>
          <t>DALARNAS LÄN</t>
        </is>
      </c>
      <c r="E297" t="inlineStr">
        <is>
          <t>HEDEMORA</t>
        </is>
      </c>
      <c r="F297" t="inlineStr">
        <is>
          <t>Bergvik skog väst AB</t>
        </is>
      </c>
      <c r="G297" t="n">
        <v>4.8</v>
      </c>
      <c r="H297" t="n">
        <v>0</v>
      </c>
      <c r="I297" t="n">
        <v>0</v>
      </c>
      <c r="J297" t="n">
        <v>0</v>
      </c>
      <c r="K297" t="n">
        <v>0</v>
      </c>
      <c r="L297" t="n">
        <v>0</v>
      </c>
      <c r="M297" t="n">
        <v>0</v>
      </c>
      <c r="N297" t="n">
        <v>0</v>
      </c>
      <c r="O297" t="n">
        <v>0</v>
      </c>
      <c r="P297" t="n">
        <v>0</v>
      </c>
      <c r="Q297" t="n">
        <v>0</v>
      </c>
      <c r="R297" s="2" t="inlineStr"/>
    </row>
    <row r="298" ht="15" customHeight="1">
      <c r="A298" t="inlineStr">
        <is>
          <t>A 22968-2022</t>
        </is>
      </c>
      <c r="B298" s="1" t="n">
        <v>44716</v>
      </c>
      <c r="C298" s="1" t="n">
        <v>45667</v>
      </c>
      <c r="D298" t="inlineStr">
        <is>
          <t>DALARNAS LÄN</t>
        </is>
      </c>
      <c r="E298" t="inlineStr">
        <is>
          <t>HEDEMORA</t>
        </is>
      </c>
      <c r="F298" t="inlineStr">
        <is>
          <t>Sveaskog</t>
        </is>
      </c>
      <c r="G298" t="n">
        <v>2.5</v>
      </c>
      <c r="H298" t="n">
        <v>0</v>
      </c>
      <c r="I298" t="n">
        <v>0</v>
      </c>
      <c r="J298" t="n">
        <v>0</v>
      </c>
      <c r="K298" t="n">
        <v>0</v>
      </c>
      <c r="L298" t="n">
        <v>0</v>
      </c>
      <c r="M298" t="n">
        <v>0</v>
      </c>
      <c r="N298" t="n">
        <v>0</v>
      </c>
      <c r="O298" t="n">
        <v>0</v>
      </c>
      <c r="P298" t="n">
        <v>0</v>
      </c>
      <c r="Q298" t="n">
        <v>0</v>
      </c>
      <c r="R298" s="2" t="inlineStr"/>
    </row>
    <row r="299" ht="15" customHeight="1">
      <c r="A299" t="inlineStr">
        <is>
          <t>A 22970-2022</t>
        </is>
      </c>
      <c r="B299" s="1" t="n">
        <v>44716</v>
      </c>
      <c r="C299" s="1" t="n">
        <v>45667</v>
      </c>
      <c r="D299" t="inlineStr">
        <is>
          <t>DALARNAS LÄN</t>
        </is>
      </c>
      <c r="E299" t="inlineStr">
        <is>
          <t>HEDEMORA</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22969-2022</t>
        </is>
      </c>
      <c r="B300" s="1" t="n">
        <v>44716</v>
      </c>
      <c r="C300" s="1" t="n">
        <v>45667</v>
      </c>
      <c r="D300" t="inlineStr">
        <is>
          <t>DALARNAS LÄN</t>
        </is>
      </c>
      <c r="E300" t="inlineStr">
        <is>
          <t>HEDEMORA</t>
        </is>
      </c>
      <c r="F300" t="inlineStr">
        <is>
          <t>Sveaskog</t>
        </is>
      </c>
      <c r="G300" t="n">
        <v>9</v>
      </c>
      <c r="H300" t="n">
        <v>0</v>
      </c>
      <c r="I300" t="n">
        <v>0</v>
      </c>
      <c r="J300" t="n">
        <v>0</v>
      </c>
      <c r="K300" t="n">
        <v>0</v>
      </c>
      <c r="L300" t="n">
        <v>0</v>
      </c>
      <c r="M300" t="n">
        <v>0</v>
      </c>
      <c r="N300" t="n">
        <v>0</v>
      </c>
      <c r="O300" t="n">
        <v>0</v>
      </c>
      <c r="P300" t="n">
        <v>0</v>
      </c>
      <c r="Q300" t="n">
        <v>0</v>
      </c>
      <c r="R300" s="2" t="inlineStr"/>
    </row>
    <row r="301" ht="15" customHeight="1">
      <c r="A301" t="inlineStr">
        <is>
          <t>A 23329-2022</t>
        </is>
      </c>
      <c r="B301" s="1" t="n">
        <v>44720</v>
      </c>
      <c r="C301" s="1" t="n">
        <v>45667</v>
      </c>
      <c r="D301" t="inlineStr">
        <is>
          <t>DALARNAS LÄN</t>
        </is>
      </c>
      <c r="E301" t="inlineStr">
        <is>
          <t>HEDEMORA</t>
        </is>
      </c>
      <c r="G301" t="n">
        <v>1.4</v>
      </c>
      <c r="H301" t="n">
        <v>0</v>
      </c>
      <c r="I301" t="n">
        <v>0</v>
      </c>
      <c r="J301" t="n">
        <v>0</v>
      </c>
      <c r="K301" t="n">
        <v>0</v>
      </c>
      <c r="L301" t="n">
        <v>0</v>
      </c>
      <c r="M301" t="n">
        <v>0</v>
      </c>
      <c r="N301" t="n">
        <v>0</v>
      </c>
      <c r="O301" t="n">
        <v>0</v>
      </c>
      <c r="P301" t="n">
        <v>0</v>
      </c>
      <c r="Q301" t="n">
        <v>0</v>
      </c>
      <c r="R301" s="2" t="inlineStr"/>
    </row>
    <row r="302" ht="15" customHeight="1">
      <c r="A302" t="inlineStr">
        <is>
          <t>A 23843-2022</t>
        </is>
      </c>
      <c r="B302" s="1" t="n">
        <v>44722</v>
      </c>
      <c r="C302" s="1" t="n">
        <v>45667</v>
      </c>
      <c r="D302" t="inlineStr">
        <is>
          <t>DALARNAS LÄN</t>
        </is>
      </c>
      <c r="E302" t="inlineStr">
        <is>
          <t>HEDEMORA</t>
        </is>
      </c>
      <c r="F302" t="inlineStr">
        <is>
          <t>Sveaskog</t>
        </is>
      </c>
      <c r="G302" t="n">
        <v>6</v>
      </c>
      <c r="H302" t="n">
        <v>0</v>
      </c>
      <c r="I302" t="n">
        <v>0</v>
      </c>
      <c r="J302" t="n">
        <v>0</v>
      </c>
      <c r="K302" t="n">
        <v>0</v>
      </c>
      <c r="L302" t="n">
        <v>0</v>
      </c>
      <c r="M302" t="n">
        <v>0</v>
      </c>
      <c r="N302" t="n">
        <v>0</v>
      </c>
      <c r="O302" t="n">
        <v>0</v>
      </c>
      <c r="P302" t="n">
        <v>0</v>
      </c>
      <c r="Q302" t="n">
        <v>0</v>
      </c>
      <c r="R302" s="2" t="inlineStr"/>
    </row>
    <row r="303" ht="15" customHeight="1">
      <c r="A303" t="inlineStr">
        <is>
          <t>A 23839-2022</t>
        </is>
      </c>
      <c r="B303" s="1" t="n">
        <v>44722</v>
      </c>
      <c r="C303" s="1" t="n">
        <v>45667</v>
      </c>
      <c r="D303" t="inlineStr">
        <is>
          <t>DALARNAS LÄN</t>
        </is>
      </c>
      <c r="E303" t="inlineStr">
        <is>
          <t>HEDEMORA</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24427-2022</t>
        </is>
      </c>
      <c r="B304" s="1" t="n">
        <v>44726</v>
      </c>
      <c r="C304" s="1" t="n">
        <v>45667</v>
      </c>
      <c r="D304" t="inlineStr">
        <is>
          <t>DALARNAS LÄN</t>
        </is>
      </c>
      <c r="E304" t="inlineStr">
        <is>
          <t>HEDEMORA</t>
        </is>
      </c>
      <c r="G304" t="n">
        <v>1.7</v>
      </c>
      <c r="H304" t="n">
        <v>0</v>
      </c>
      <c r="I304" t="n">
        <v>0</v>
      </c>
      <c r="J304" t="n">
        <v>0</v>
      </c>
      <c r="K304" t="n">
        <v>0</v>
      </c>
      <c r="L304" t="n">
        <v>0</v>
      </c>
      <c r="M304" t="n">
        <v>0</v>
      </c>
      <c r="N304" t="n">
        <v>0</v>
      </c>
      <c r="O304" t="n">
        <v>0</v>
      </c>
      <c r="P304" t="n">
        <v>0</v>
      </c>
      <c r="Q304" t="n">
        <v>0</v>
      </c>
      <c r="R304" s="2" t="inlineStr"/>
    </row>
    <row r="305" ht="15" customHeight="1">
      <c r="A305" t="inlineStr">
        <is>
          <t>A 24446-2022</t>
        </is>
      </c>
      <c r="B305" s="1" t="n">
        <v>44726</v>
      </c>
      <c r="C305" s="1" t="n">
        <v>45667</v>
      </c>
      <c r="D305" t="inlineStr">
        <is>
          <t>DALARNAS LÄN</t>
        </is>
      </c>
      <c r="E305" t="inlineStr">
        <is>
          <t>HEDEMORA</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24706-2022</t>
        </is>
      </c>
      <c r="B306" s="1" t="n">
        <v>44727</v>
      </c>
      <c r="C306" s="1" t="n">
        <v>45667</v>
      </c>
      <c r="D306" t="inlineStr">
        <is>
          <t>DALARNAS LÄN</t>
        </is>
      </c>
      <c r="E306" t="inlineStr">
        <is>
          <t>HEDEMORA</t>
        </is>
      </c>
      <c r="G306" t="n">
        <v>25.4</v>
      </c>
      <c r="H306" t="n">
        <v>0</v>
      </c>
      <c r="I306" t="n">
        <v>0</v>
      </c>
      <c r="J306" t="n">
        <v>0</v>
      </c>
      <c r="K306" t="n">
        <v>0</v>
      </c>
      <c r="L306" t="n">
        <v>0</v>
      </c>
      <c r="M306" t="n">
        <v>0</v>
      </c>
      <c r="N306" t="n">
        <v>0</v>
      </c>
      <c r="O306" t="n">
        <v>0</v>
      </c>
      <c r="P306" t="n">
        <v>0</v>
      </c>
      <c r="Q306" t="n">
        <v>0</v>
      </c>
      <c r="R306" s="2" t="inlineStr"/>
    </row>
    <row r="307" ht="15" customHeight="1">
      <c r="A307" t="inlineStr">
        <is>
          <t>A 25754-2022</t>
        </is>
      </c>
      <c r="B307" s="1" t="n">
        <v>44732</v>
      </c>
      <c r="C307" s="1" t="n">
        <v>45667</v>
      </c>
      <c r="D307" t="inlineStr">
        <is>
          <t>DALARNAS LÄN</t>
        </is>
      </c>
      <c r="E307" t="inlineStr">
        <is>
          <t>HEDEMORA</t>
        </is>
      </c>
      <c r="F307" t="inlineStr">
        <is>
          <t>Bergvik skog väst AB</t>
        </is>
      </c>
      <c r="G307" t="n">
        <v>4.7</v>
      </c>
      <c r="H307" t="n">
        <v>0</v>
      </c>
      <c r="I307" t="n">
        <v>0</v>
      </c>
      <c r="J307" t="n">
        <v>0</v>
      </c>
      <c r="K307" t="n">
        <v>0</v>
      </c>
      <c r="L307" t="n">
        <v>0</v>
      </c>
      <c r="M307" t="n">
        <v>0</v>
      </c>
      <c r="N307" t="n">
        <v>0</v>
      </c>
      <c r="O307" t="n">
        <v>0</v>
      </c>
      <c r="P307" t="n">
        <v>0</v>
      </c>
      <c r="Q307" t="n">
        <v>0</v>
      </c>
      <c r="R307" s="2" t="inlineStr"/>
    </row>
    <row r="308" ht="15" customHeight="1">
      <c r="A308" t="inlineStr">
        <is>
          <t>A 25567-2022</t>
        </is>
      </c>
      <c r="B308" s="1" t="n">
        <v>44732</v>
      </c>
      <c r="C308" s="1" t="n">
        <v>45667</v>
      </c>
      <c r="D308" t="inlineStr">
        <is>
          <t>DALARNAS LÄN</t>
        </is>
      </c>
      <c r="E308" t="inlineStr">
        <is>
          <t>HEDEMORA</t>
        </is>
      </c>
      <c r="F308" t="inlineStr">
        <is>
          <t>Bergvik skog väst AB</t>
        </is>
      </c>
      <c r="G308" t="n">
        <v>0.8</v>
      </c>
      <c r="H308" t="n">
        <v>0</v>
      </c>
      <c r="I308" t="n">
        <v>0</v>
      </c>
      <c r="J308" t="n">
        <v>0</v>
      </c>
      <c r="K308" t="n">
        <v>0</v>
      </c>
      <c r="L308" t="n">
        <v>0</v>
      </c>
      <c r="M308" t="n">
        <v>0</v>
      </c>
      <c r="N308" t="n">
        <v>0</v>
      </c>
      <c r="O308" t="n">
        <v>0</v>
      </c>
      <c r="P308" t="n">
        <v>0</v>
      </c>
      <c r="Q308" t="n">
        <v>0</v>
      </c>
      <c r="R308" s="2" t="inlineStr"/>
    </row>
    <row r="309" ht="15" customHeight="1">
      <c r="A309" t="inlineStr">
        <is>
          <t>A 25577-2022</t>
        </is>
      </c>
      <c r="B309" s="1" t="n">
        <v>44732</v>
      </c>
      <c r="C309" s="1" t="n">
        <v>45667</v>
      </c>
      <c r="D309" t="inlineStr">
        <is>
          <t>DALARNAS LÄN</t>
        </is>
      </c>
      <c r="E309" t="inlineStr">
        <is>
          <t>HEDEMORA</t>
        </is>
      </c>
      <c r="F309" t="inlineStr">
        <is>
          <t>Bergvik skog väst AB</t>
        </is>
      </c>
      <c r="G309" t="n">
        <v>4.7</v>
      </c>
      <c r="H309" t="n">
        <v>0</v>
      </c>
      <c r="I309" t="n">
        <v>0</v>
      </c>
      <c r="J309" t="n">
        <v>0</v>
      </c>
      <c r="K309" t="n">
        <v>0</v>
      </c>
      <c r="L309" t="n">
        <v>0</v>
      </c>
      <c r="M309" t="n">
        <v>0</v>
      </c>
      <c r="N309" t="n">
        <v>0</v>
      </c>
      <c r="O309" t="n">
        <v>0</v>
      </c>
      <c r="P309" t="n">
        <v>0</v>
      </c>
      <c r="Q309" t="n">
        <v>0</v>
      </c>
      <c r="R309" s="2" t="inlineStr"/>
    </row>
    <row r="310" ht="15" customHeight="1">
      <c r="A310" t="inlineStr">
        <is>
          <t>A 25692-2022</t>
        </is>
      </c>
      <c r="B310" s="1" t="n">
        <v>44732</v>
      </c>
      <c r="C310" s="1" t="n">
        <v>45667</v>
      </c>
      <c r="D310" t="inlineStr">
        <is>
          <t>DALARNAS LÄN</t>
        </is>
      </c>
      <c r="E310" t="inlineStr">
        <is>
          <t>HEDEMORA</t>
        </is>
      </c>
      <c r="F310" t="inlineStr">
        <is>
          <t>Bergvik skog väst AB</t>
        </is>
      </c>
      <c r="G310" t="n">
        <v>22.3</v>
      </c>
      <c r="H310" t="n">
        <v>0</v>
      </c>
      <c r="I310" t="n">
        <v>0</v>
      </c>
      <c r="J310" t="n">
        <v>0</v>
      </c>
      <c r="K310" t="n">
        <v>0</v>
      </c>
      <c r="L310" t="n">
        <v>0</v>
      </c>
      <c r="M310" t="n">
        <v>0</v>
      </c>
      <c r="N310" t="n">
        <v>0</v>
      </c>
      <c r="O310" t="n">
        <v>0</v>
      </c>
      <c r="P310" t="n">
        <v>0</v>
      </c>
      <c r="Q310" t="n">
        <v>0</v>
      </c>
      <c r="R310" s="2" t="inlineStr"/>
    </row>
    <row r="311" ht="15" customHeight="1">
      <c r="A311" t="inlineStr">
        <is>
          <t>A 25691-2022</t>
        </is>
      </c>
      <c r="B311" s="1" t="n">
        <v>44733</v>
      </c>
      <c r="C311" s="1" t="n">
        <v>45667</v>
      </c>
      <c r="D311" t="inlineStr">
        <is>
          <t>DALARNAS LÄN</t>
        </is>
      </c>
      <c r="E311" t="inlineStr">
        <is>
          <t>HEDEMORA</t>
        </is>
      </c>
      <c r="G311" t="n">
        <v>0.7</v>
      </c>
      <c r="H311" t="n">
        <v>0</v>
      </c>
      <c r="I311" t="n">
        <v>0</v>
      </c>
      <c r="J311" t="n">
        <v>0</v>
      </c>
      <c r="K311" t="n">
        <v>0</v>
      </c>
      <c r="L311" t="n">
        <v>0</v>
      </c>
      <c r="M311" t="n">
        <v>0</v>
      </c>
      <c r="N311" t="n">
        <v>0</v>
      </c>
      <c r="O311" t="n">
        <v>0</v>
      </c>
      <c r="P311" t="n">
        <v>0</v>
      </c>
      <c r="Q311" t="n">
        <v>0</v>
      </c>
      <c r="R311" s="2" t="inlineStr"/>
    </row>
    <row r="312" ht="15" customHeight="1">
      <c r="A312" t="inlineStr">
        <is>
          <t>A 27238-2022</t>
        </is>
      </c>
      <c r="B312" s="1" t="n">
        <v>44741</v>
      </c>
      <c r="C312" s="1" t="n">
        <v>45667</v>
      </c>
      <c r="D312" t="inlineStr">
        <is>
          <t>DALARNAS LÄN</t>
        </is>
      </c>
      <c r="E312" t="inlineStr">
        <is>
          <t>HEDEMORA</t>
        </is>
      </c>
      <c r="G312" t="n">
        <v>1.5</v>
      </c>
      <c r="H312" t="n">
        <v>0</v>
      </c>
      <c r="I312" t="n">
        <v>0</v>
      </c>
      <c r="J312" t="n">
        <v>0</v>
      </c>
      <c r="K312" t="n">
        <v>0</v>
      </c>
      <c r="L312" t="n">
        <v>0</v>
      </c>
      <c r="M312" t="n">
        <v>0</v>
      </c>
      <c r="N312" t="n">
        <v>0</v>
      </c>
      <c r="O312" t="n">
        <v>0</v>
      </c>
      <c r="P312" t="n">
        <v>0</v>
      </c>
      <c r="Q312" t="n">
        <v>0</v>
      </c>
      <c r="R312" s="2" t="inlineStr"/>
    </row>
    <row r="313" ht="15" customHeight="1">
      <c r="A313" t="inlineStr">
        <is>
          <t>A 28173-2022</t>
        </is>
      </c>
      <c r="B313" s="1" t="n">
        <v>44746</v>
      </c>
      <c r="C313" s="1" t="n">
        <v>45667</v>
      </c>
      <c r="D313" t="inlineStr">
        <is>
          <t>DALARNAS LÄN</t>
        </is>
      </c>
      <c r="E313" t="inlineStr">
        <is>
          <t>HEDEMORA</t>
        </is>
      </c>
      <c r="G313" t="n">
        <v>1.3</v>
      </c>
      <c r="H313" t="n">
        <v>0</v>
      </c>
      <c r="I313" t="n">
        <v>0</v>
      </c>
      <c r="J313" t="n">
        <v>0</v>
      </c>
      <c r="K313" t="n">
        <v>0</v>
      </c>
      <c r="L313" t="n">
        <v>0</v>
      </c>
      <c r="M313" t="n">
        <v>0</v>
      </c>
      <c r="N313" t="n">
        <v>0</v>
      </c>
      <c r="O313" t="n">
        <v>0</v>
      </c>
      <c r="P313" t="n">
        <v>0</v>
      </c>
      <c r="Q313" t="n">
        <v>0</v>
      </c>
      <c r="R313" s="2" t="inlineStr"/>
    </row>
    <row r="314" ht="15" customHeight="1">
      <c r="A314" t="inlineStr">
        <is>
          <t>A 28105-2022</t>
        </is>
      </c>
      <c r="B314" s="1" t="n">
        <v>44746</v>
      </c>
      <c r="C314" s="1" t="n">
        <v>45667</v>
      </c>
      <c r="D314" t="inlineStr">
        <is>
          <t>DALARNAS LÄN</t>
        </is>
      </c>
      <c r="E314" t="inlineStr">
        <is>
          <t>HEDEMORA</t>
        </is>
      </c>
      <c r="G314" t="n">
        <v>0.8</v>
      </c>
      <c r="H314" t="n">
        <v>0</v>
      </c>
      <c r="I314" t="n">
        <v>0</v>
      </c>
      <c r="J314" t="n">
        <v>0</v>
      </c>
      <c r="K314" t="n">
        <v>0</v>
      </c>
      <c r="L314" t="n">
        <v>0</v>
      </c>
      <c r="M314" t="n">
        <v>0</v>
      </c>
      <c r="N314" t="n">
        <v>0</v>
      </c>
      <c r="O314" t="n">
        <v>0</v>
      </c>
      <c r="P314" t="n">
        <v>0</v>
      </c>
      <c r="Q314" t="n">
        <v>0</v>
      </c>
      <c r="R314" s="2" t="inlineStr"/>
    </row>
    <row r="315" ht="15" customHeight="1">
      <c r="A315" t="inlineStr">
        <is>
          <t>A 29284-2022</t>
        </is>
      </c>
      <c r="B315" s="1" t="n">
        <v>44750</v>
      </c>
      <c r="C315" s="1" t="n">
        <v>45667</v>
      </c>
      <c r="D315" t="inlineStr">
        <is>
          <t>DALARNAS LÄN</t>
        </is>
      </c>
      <c r="E315" t="inlineStr">
        <is>
          <t>HEDEMORA</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29283-2022</t>
        </is>
      </c>
      <c r="B316" s="1" t="n">
        <v>44750</v>
      </c>
      <c r="C316" s="1" t="n">
        <v>45667</v>
      </c>
      <c r="D316" t="inlineStr">
        <is>
          <t>DALARNAS LÄN</t>
        </is>
      </c>
      <c r="E316" t="inlineStr">
        <is>
          <t>HEDEMORA</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30163-2022</t>
        </is>
      </c>
      <c r="B317" s="1" t="n">
        <v>44757</v>
      </c>
      <c r="C317" s="1" t="n">
        <v>45667</v>
      </c>
      <c r="D317" t="inlineStr">
        <is>
          <t>DALARNAS LÄN</t>
        </is>
      </c>
      <c r="E317" t="inlineStr">
        <is>
          <t>HEDEMORA</t>
        </is>
      </c>
      <c r="F317" t="inlineStr">
        <is>
          <t>Sveaskog</t>
        </is>
      </c>
      <c r="G317" t="n">
        <v>9.4</v>
      </c>
      <c r="H317" t="n">
        <v>0</v>
      </c>
      <c r="I317" t="n">
        <v>0</v>
      </c>
      <c r="J317" t="n">
        <v>0</v>
      </c>
      <c r="K317" t="n">
        <v>0</v>
      </c>
      <c r="L317" t="n">
        <v>0</v>
      </c>
      <c r="M317" t="n">
        <v>0</v>
      </c>
      <c r="N317" t="n">
        <v>0</v>
      </c>
      <c r="O317" t="n">
        <v>0</v>
      </c>
      <c r="P317" t="n">
        <v>0</v>
      </c>
      <c r="Q317" t="n">
        <v>0</v>
      </c>
      <c r="R317" s="2" t="inlineStr"/>
    </row>
    <row r="318" ht="15" customHeight="1">
      <c r="A318" t="inlineStr">
        <is>
          <t>A 30162-2022</t>
        </is>
      </c>
      <c r="B318" s="1" t="n">
        <v>44757</v>
      </c>
      <c r="C318" s="1" t="n">
        <v>45667</v>
      </c>
      <c r="D318" t="inlineStr">
        <is>
          <t>DALARNAS LÄN</t>
        </is>
      </c>
      <c r="E318" t="inlineStr">
        <is>
          <t>HEDEMORA</t>
        </is>
      </c>
      <c r="F318" t="inlineStr">
        <is>
          <t>Sveaskog</t>
        </is>
      </c>
      <c r="G318" t="n">
        <v>3.3</v>
      </c>
      <c r="H318" t="n">
        <v>0</v>
      </c>
      <c r="I318" t="n">
        <v>0</v>
      </c>
      <c r="J318" t="n">
        <v>0</v>
      </c>
      <c r="K318" t="n">
        <v>0</v>
      </c>
      <c r="L318" t="n">
        <v>0</v>
      </c>
      <c r="M318" t="n">
        <v>0</v>
      </c>
      <c r="N318" t="n">
        <v>0</v>
      </c>
      <c r="O318" t="n">
        <v>0</v>
      </c>
      <c r="P318" t="n">
        <v>0</v>
      </c>
      <c r="Q318" t="n">
        <v>0</v>
      </c>
      <c r="R318" s="2" t="inlineStr"/>
    </row>
    <row r="319" ht="15" customHeight="1">
      <c r="A319" t="inlineStr">
        <is>
          <t>A 30205-2022</t>
        </is>
      </c>
      <c r="B319" s="1" t="n">
        <v>44757</v>
      </c>
      <c r="C319" s="1" t="n">
        <v>45667</v>
      </c>
      <c r="D319" t="inlineStr">
        <is>
          <t>DALARNAS LÄN</t>
        </is>
      </c>
      <c r="E319" t="inlineStr">
        <is>
          <t>HEDEMORA</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32731-2022</t>
        </is>
      </c>
      <c r="B320" s="1" t="n">
        <v>44783</v>
      </c>
      <c r="C320" s="1" t="n">
        <v>45667</v>
      </c>
      <c r="D320" t="inlineStr">
        <is>
          <t>DALARNAS LÄN</t>
        </is>
      </c>
      <c r="E320" t="inlineStr">
        <is>
          <t>HEDEMORA</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32738-2022</t>
        </is>
      </c>
      <c r="B321" s="1" t="n">
        <v>44783</v>
      </c>
      <c r="C321" s="1" t="n">
        <v>45667</v>
      </c>
      <c r="D321" t="inlineStr">
        <is>
          <t>DALARNAS LÄN</t>
        </is>
      </c>
      <c r="E321" t="inlineStr">
        <is>
          <t>HEDEMORA</t>
        </is>
      </c>
      <c r="G321" t="n">
        <v>2.6</v>
      </c>
      <c r="H321" t="n">
        <v>0</v>
      </c>
      <c r="I321" t="n">
        <v>0</v>
      </c>
      <c r="J321" t="n">
        <v>0</v>
      </c>
      <c r="K321" t="n">
        <v>0</v>
      </c>
      <c r="L321" t="n">
        <v>0</v>
      </c>
      <c r="M321" t="n">
        <v>0</v>
      </c>
      <c r="N321" t="n">
        <v>0</v>
      </c>
      <c r="O321" t="n">
        <v>0</v>
      </c>
      <c r="P321" t="n">
        <v>0</v>
      </c>
      <c r="Q321" t="n">
        <v>0</v>
      </c>
      <c r="R321" s="2" t="inlineStr"/>
    </row>
    <row r="322" ht="15" customHeight="1">
      <c r="A322" t="inlineStr">
        <is>
          <t>A 32748-2022</t>
        </is>
      </c>
      <c r="B322" s="1" t="n">
        <v>44783</v>
      </c>
      <c r="C322" s="1" t="n">
        <v>45667</v>
      </c>
      <c r="D322" t="inlineStr">
        <is>
          <t>DALARNAS LÄN</t>
        </is>
      </c>
      <c r="E322" t="inlineStr">
        <is>
          <t>HEDEMORA</t>
        </is>
      </c>
      <c r="G322" t="n">
        <v>1</v>
      </c>
      <c r="H322" t="n">
        <v>0</v>
      </c>
      <c r="I322" t="n">
        <v>0</v>
      </c>
      <c r="J322" t="n">
        <v>0</v>
      </c>
      <c r="K322" t="n">
        <v>0</v>
      </c>
      <c r="L322" t="n">
        <v>0</v>
      </c>
      <c r="M322" t="n">
        <v>0</v>
      </c>
      <c r="N322" t="n">
        <v>0</v>
      </c>
      <c r="O322" t="n">
        <v>0</v>
      </c>
      <c r="P322" t="n">
        <v>0</v>
      </c>
      <c r="Q322" t="n">
        <v>0</v>
      </c>
      <c r="R322" s="2" t="inlineStr"/>
    </row>
    <row r="323" ht="15" customHeight="1">
      <c r="A323" t="inlineStr">
        <is>
          <t>A 33071-2022</t>
        </is>
      </c>
      <c r="B323" s="1" t="n">
        <v>44785</v>
      </c>
      <c r="C323" s="1" t="n">
        <v>45667</v>
      </c>
      <c r="D323" t="inlineStr">
        <is>
          <t>DALARNAS LÄN</t>
        </is>
      </c>
      <c r="E323" t="inlineStr">
        <is>
          <t>HEDEMORA</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34237-2022</t>
        </is>
      </c>
      <c r="B324" s="1" t="n">
        <v>44791</v>
      </c>
      <c r="C324" s="1" t="n">
        <v>45667</v>
      </c>
      <c r="D324" t="inlineStr">
        <is>
          <t>DALARNAS LÄN</t>
        </is>
      </c>
      <c r="E324" t="inlineStr">
        <is>
          <t>HEDEMORA</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34409-2022</t>
        </is>
      </c>
      <c r="B325" s="1" t="n">
        <v>44792</v>
      </c>
      <c r="C325" s="1" t="n">
        <v>45667</v>
      </c>
      <c r="D325" t="inlineStr">
        <is>
          <t>DALARNAS LÄN</t>
        </is>
      </c>
      <c r="E325" t="inlineStr">
        <is>
          <t>HEDEMORA</t>
        </is>
      </c>
      <c r="G325" t="n">
        <v>13.7</v>
      </c>
      <c r="H325" t="n">
        <v>0</v>
      </c>
      <c r="I325" t="n">
        <v>0</v>
      </c>
      <c r="J325" t="n">
        <v>0</v>
      </c>
      <c r="K325" t="n">
        <v>0</v>
      </c>
      <c r="L325" t="n">
        <v>0</v>
      </c>
      <c r="M325" t="n">
        <v>0</v>
      </c>
      <c r="N325" t="n">
        <v>0</v>
      </c>
      <c r="O325" t="n">
        <v>0</v>
      </c>
      <c r="P325" t="n">
        <v>0</v>
      </c>
      <c r="Q325" t="n">
        <v>0</v>
      </c>
      <c r="R325" s="2" t="inlineStr"/>
    </row>
    <row r="326" ht="15" customHeight="1">
      <c r="A326" t="inlineStr">
        <is>
          <t>A 35806-2022</t>
        </is>
      </c>
      <c r="B326" s="1" t="n">
        <v>44802</v>
      </c>
      <c r="C326" s="1" t="n">
        <v>45667</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36865-2022</t>
        </is>
      </c>
      <c r="B327" s="1" t="n">
        <v>44805</v>
      </c>
      <c r="C327" s="1" t="n">
        <v>45667</v>
      </c>
      <c r="D327" t="inlineStr">
        <is>
          <t>DALARNAS LÄN</t>
        </is>
      </c>
      <c r="E327" t="inlineStr">
        <is>
          <t>HEDEMORA</t>
        </is>
      </c>
      <c r="G327" t="n">
        <v>2.1</v>
      </c>
      <c r="H327" t="n">
        <v>0</v>
      </c>
      <c r="I327" t="n">
        <v>0</v>
      </c>
      <c r="J327" t="n">
        <v>0</v>
      </c>
      <c r="K327" t="n">
        <v>0</v>
      </c>
      <c r="L327" t="n">
        <v>0</v>
      </c>
      <c r="M327" t="n">
        <v>0</v>
      </c>
      <c r="N327" t="n">
        <v>0</v>
      </c>
      <c r="O327" t="n">
        <v>0</v>
      </c>
      <c r="P327" t="n">
        <v>0</v>
      </c>
      <c r="Q327" t="n">
        <v>0</v>
      </c>
      <c r="R327" s="2" t="inlineStr"/>
    </row>
    <row r="328" ht="15" customHeight="1">
      <c r="A328" t="inlineStr">
        <is>
          <t>A 36900-2022</t>
        </is>
      </c>
      <c r="B328" s="1" t="n">
        <v>44805</v>
      </c>
      <c r="C328" s="1" t="n">
        <v>45667</v>
      </c>
      <c r="D328" t="inlineStr">
        <is>
          <t>DALARNAS LÄN</t>
        </is>
      </c>
      <c r="E328" t="inlineStr">
        <is>
          <t>HEDEMORA</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39046-2022</t>
        </is>
      </c>
      <c r="B329" s="1" t="n">
        <v>44817</v>
      </c>
      <c r="C329" s="1" t="n">
        <v>45667</v>
      </c>
      <c r="D329" t="inlineStr">
        <is>
          <t>DALARNAS LÄN</t>
        </is>
      </c>
      <c r="E329" t="inlineStr">
        <is>
          <t>HEDEMORA</t>
        </is>
      </c>
      <c r="F329" t="inlineStr">
        <is>
          <t>Sveaskog</t>
        </is>
      </c>
      <c r="G329" t="n">
        <v>14.8</v>
      </c>
      <c r="H329" t="n">
        <v>0</v>
      </c>
      <c r="I329" t="n">
        <v>0</v>
      </c>
      <c r="J329" t="n">
        <v>0</v>
      </c>
      <c r="K329" t="n">
        <v>0</v>
      </c>
      <c r="L329" t="n">
        <v>0</v>
      </c>
      <c r="M329" t="n">
        <v>0</v>
      </c>
      <c r="N329" t="n">
        <v>0</v>
      </c>
      <c r="O329" t="n">
        <v>0</v>
      </c>
      <c r="P329" t="n">
        <v>0</v>
      </c>
      <c r="Q329" t="n">
        <v>0</v>
      </c>
      <c r="R329" s="2" t="inlineStr"/>
    </row>
    <row r="330" ht="15" customHeight="1">
      <c r="A330" t="inlineStr">
        <is>
          <t>A 39497-2022</t>
        </is>
      </c>
      <c r="B330" s="1" t="n">
        <v>44817</v>
      </c>
      <c r="C330" s="1" t="n">
        <v>45667</v>
      </c>
      <c r="D330" t="inlineStr">
        <is>
          <t>DALARNAS LÄN</t>
        </is>
      </c>
      <c r="E330" t="inlineStr">
        <is>
          <t>HEDEMORA</t>
        </is>
      </c>
      <c r="F330" t="inlineStr">
        <is>
          <t>Bergvik skog väst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39511-2022</t>
        </is>
      </c>
      <c r="B331" s="1" t="n">
        <v>44817</v>
      </c>
      <c r="C331" s="1" t="n">
        <v>45667</v>
      </c>
      <c r="D331" t="inlineStr">
        <is>
          <t>DALARNAS LÄN</t>
        </is>
      </c>
      <c r="E331" t="inlineStr">
        <is>
          <t>HEDEMORA</t>
        </is>
      </c>
      <c r="F331" t="inlineStr">
        <is>
          <t>Bergvik skog väst AB</t>
        </is>
      </c>
      <c r="G331" t="n">
        <v>3</v>
      </c>
      <c r="H331" t="n">
        <v>0</v>
      </c>
      <c r="I331" t="n">
        <v>0</v>
      </c>
      <c r="J331" t="n">
        <v>0</v>
      </c>
      <c r="K331" t="n">
        <v>0</v>
      </c>
      <c r="L331" t="n">
        <v>0</v>
      </c>
      <c r="M331" t="n">
        <v>0</v>
      </c>
      <c r="N331" t="n">
        <v>0</v>
      </c>
      <c r="O331" t="n">
        <v>0</v>
      </c>
      <c r="P331" t="n">
        <v>0</v>
      </c>
      <c r="Q331" t="n">
        <v>0</v>
      </c>
      <c r="R331" s="2" t="inlineStr"/>
    </row>
    <row r="332" ht="15" customHeight="1">
      <c r="A332" t="inlineStr">
        <is>
          <t>A 39506-2022</t>
        </is>
      </c>
      <c r="B332" s="1" t="n">
        <v>44817</v>
      </c>
      <c r="C332" s="1" t="n">
        <v>45667</v>
      </c>
      <c r="D332" t="inlineStr">
        <is>
          <t>DALARNAS LÄN</t>
        </is>
      </c>
      <c r="E332" t="inlineStr">
        <is>
          <t>HEDEMORA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39667-2022</t>
        </is>
      </c>
      <c r="B333" s="1" t="n">
        <v>44818</v>
      </c>
      <c r="C333" s="1" t="n">
        <v>45667</v>
      </c>
      <c r="D333" t="inlineStr">
        <is>
          <t>DALARNAS LÄN</t>
        </is>
      </c>
      <c r="E333" t="inlineStr">
        <is>
          <t>HEDEMORA</t>
        </is>
      </c>
      <c r="F333" t="inlineStr">
        <is>
          <t>Sveaskog</t>
        </is>
      </c>
      <c r="G333" t="n">
        <v>20.4</v>
      </c>
      <c r="H333" t="n">
        <v>0</v>
      </c>
      <c r="I333" t="n">
        <v>0</v>
      </c>
      <c r="J333" t="n">
        <v>0</v>
      </c>
      <c r="K333" t="n">
        <v>0</v>
      </c>
      <c r="L333" t="n">
        <v>0</v>
      </c>
      <c r="M333" t="n">
        <v>0</v>
      </c>
      <c r="N333" t="n">
        <v>0</v>
      </c>
      <c r="O333" t="n">
        <v>0</v>
      </c>
      <c r="P333" t="n">
        <v>0</v>
      </c>
      <c r="Q333" t="n">
        <v>0</v>
      </c>
      <c r="R333" s="2" t="inlineStr"/>
    </row>
    <row r="334" ht="15" customHeight="1">
      <c r="A334" t="inlineStr">
        <is>
          <t>A 40030-2022</t>
        </is>
      </c>
      <c r="B334" s="1" t="n">
        <v>44820</v>
      </c>
      <c r="C334" s="1" t="n">
        <v>45667</v>
      </c>
      <c r="D334" t="inlineStr">
        <is>
          <t>DALARNAS LÄN</t>
        </is>
      </c>
      <c r="E334" t="inlineStr">
        <is>
          <t>HEDEMORA</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40025-2022</t>
        </is>
      </c>
      <c r="B335" s="1" t="n">
        <v>44820</v>
      </c>
      <c r="C335" s="1" t="n">
        <v>45667</v>
      </c>
      <c r="D335" t="inlineStr">
        <is>
          <t>DALARNAS LÄN</t>
        </is>
      </c>
      <c r="E335" t="inlineStr">
        <is>
          <t>HEDEMORA</t>
        </is>
      </c>
      <c r="F335" t="inlineStr">
        <is>
          <t>Sveaskog</t>
        </is>
      </c>
      <c r="G335" t="n">
        <v>8.4</v>
      </c>
      <c r="H335" t="n">
        <v>0</v>
      </c>
      <c r="I335" t="n">
        <v>0</v>
      </c>
      <c r="J335" t="n">
        <v>0</v>
      </c>
      <c r="K335" t="n">
        <v>0</v>
      </c>
      <c r="L335" t="n">
        <v>0</v>
      </c>
      <c r="M335" t="n">
        <v>0</v>
      </c>
      <c r="N335" t="n">
        <v>0</v>
      </c>
      <c r="O335" t="n">
        <v>0</v>
      </c>
      <c r="P335" t="n">
        <v>0</v>
      </c>
      <c r="Q335" t="n">
        <v>0</v>
      </c>
      <c r="R335" s="2" t="inlineStr"/>
    </row>
    <row r="336" ht="15" customHeight="1">
      <c r="A336" t="inlineStr">
        <is>
          <t>A 41845-2022</t>
        </is>
      </c>
      <c r="B336" s="1" t="n">
        <v>44828</v>
      </c>
      <c r="C336" s="1" t="n">
        <v>45667</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45276-2022</t>
        </is>
      </c>
      <c r="B337" s="1" t="n">
        <v>44844</v>
      </c>
      <c r="C337" s="1" t="n">
        <v>45667</v>
      </c>
      <c r="D337" t="inlineStr">
        <is>
          <t>DALARNAS LÄN</t>
        </is>
      </c>
      <c r="E337" t="inlineStr">
        <is>
          <t>HEDEMORA</t>
        </is>
      </c>
      <c r="F337" t="inlineStr">
        <is>
          <t>Sveaskog</t>
        </is>
      </c>
      <c r="G337" t="n">
        <v>13.7</v>
      </c>
      <c r="H337" t="n">
        <v>0</v>
      </c>
      <c r="I337" t="n">
        <v>0</v>
      </c>
      <c r="J337" t="n">
        <v>0</v>
      </c>
      <c r="K337" t="n">
        <v>0</v>
      </c>
      <c r="L337" t="n">
        <v>0</v>
      </c>
      <c r="M337" t="n">
        <v>0</v>
      </c>
      <c r="N337" t="n">
        <v>0</v>
      </c>
      <c r="O337" t="n">
        <v>0</v>
      </c>
      <c r="P337" t="n">
        <v>0</v>
      </c>
      <c r="Q337" t="n">
        <v>0</v>
      </c>
      <c r="R337" s="2" t="inlineStr"/>
    </row>
    <row r="338" ht="15" customHeight="1">
      <c r="A338" t="inlineStr">
        <is>
          <t>A 45741-2022</t>
        </is>
      </c>
      <c r="B338" s="1" t="n">
        <v>44846</v>
      </c>
      <c r="C338" s="1" t="n">
        <v>45667</v>
      </c>
      <c r="D338" t="inlineStr">
        <is>
          <t>DALARNAS LÄN</t>
        </is>
      </c>
      <c r="E338" t="inlineStr">
        <is>
          <t>HEDEMORA</t>
        </is>
      </c>
      <c r="F338" t="inlineStr">
        <is>
          <t>Sveaskog</t>
        </is>
      </c>
      <c r="G338" t="n">
        <v>2.8</v>
      </c>
      <c r="H338" t="n">
        <v>0</v>
      </c>
      <c r="I338" t="n">
        <v>0</v>
      </c>
      <c r="J338" t="n">
        <v>0</v>
      </c>
      <c r="K338" t="n">
        <v>0</v>
      </c>
      <c r="L338" t="n">
        <v>0</v>
      </c>
      <c r="M338" t="n">
        <v>0</v>
      </c>
      <c r="N338" t="n">
        <v>0</v>
      </c>
      <c r="O338" t="n">
        <v>0</v>
      </c>
      <c r="P338" t="n">
        <v>0</v>
      </c>
      <c r="Q338" t="n">
        <v>0</v>
      </c>
      <c r="R338" s="2" t="inlineStr"/>
    </row>
    <row r="339" ht="15" customHeight="1">
      <c r="A339" t="inlineStr">
        <is>
          <t>A 48639-2022</t>
        </is>
      </c>
      <c r="B339" s="1" t="n">
        <v>44859</v>
      </c>
      <c r="C339" s="1" t="n">
        <v>45667</v>
      </c>
      <c r="D339" t="inlineStr">
        <is>
          <t>DALARNAS LÄN</t>
        </is>
      </c>
      <c r="E339" t="inlineStr">
        <is>
          <t>HEDEMORA</t>
        </is>
      </c>
      <c r="F339" t="inlineStr">
        <is>
          <t>Sveaskog</t>
        </is>
      </c>
      <c r="G339" t="n">
        <v>0.2</v>
      </c>
      <c r="H339" t="n">
        <v>0</v>
      </c>
      <c r="I339" t="n">
        <v>0</v>
      </c>
      <c r="J339" t="n">
        <v>0</v>
      </c>
      <c r="K339" t="n">
        <v>0</v>
      </c>
      <c r="L339" t="n">
        <v>0</v>
      </c>
      <c r="M339" t="n">
        <v>0</v>
      </c>
      <c r="N339" t="n">
        <v>0</v>
      </c>
      <c r="O339" t="n">
        <v>0</v>
      </c>
      <c r="P339" t="n">
        <v>0</v>
      </c>
      <c r="Q339" t="n">
        <v>0</v>
      </c>
      <c r="R339" s="2" t="inlineStr"/>
    </row>
    <row r="340" ht="15" customHeight="1">
      <c r="A340" t="inlineStr">
        <is>
          <t>A 49160-2022</t>
        </is>
      </c>
      <c r="B340" s="1" t="n">
        <v>44860</v>
      </c>
      <c r="C340" s="1" t="n">
        <v>45667</v>
      </c>
      <c r="D340" t="inlineStr">
        <is>
          <t>DALARNAS LÄN</t>
        </is>
      </c>
      <c r="E340" t="inlineStr">
        <is>
          <t>HEDEMORA</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49768-2022</t>
        </is>
      </c>
      <c r="B341" s="1" t="n">
        <v>44862</v>
      </c>
      <c r="C341" s="1" t="n">
        <v>45667</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49890-2022</t>
        </is>
      </c>
      <c r="B342" s="1" t="n">
        <v>44864</v>
      </c>
      <c r="C342" s="1" t="n">
        <v>45667</v>
      </c>
      <c r="D342" t="inlineStr">
        <is>
          <t>DALARNAS LÄN</t>
        </is>
      </c>
      <c r="E342" t="inlineStr">
        <is>
          <t>HEDEMORA</t>
        </is>
      </c>
      <c r="F342" t="inlineStr">
        <is>
          <t>Sveaskog</t>
        </is>
      </c>
      <c r="G342" t="n">
        <v>2.5</v>
      </c>
      <c r="H342" t="n">
        <v>0</v>
      </c>
      <c r="I342" t="n">
        <v>0</v>
      </c>
      <c r="J342" t="n">
        <v>0</v>
      </c>
      <c r="K342" t="n">
        <v>0</v>
      </c>
      <c r="L342" t="n">
        <v>0</v>
      </c>
      <c r="M342" t="n">
        <v>0</v>
      </c>
      <c r="N342" t="n">
        <v>0</v>
      </c>
      <c r="O342" t="n">
        <v>0</v>
      </c>
      <c r="P342" t="n">
        <v>0</v>
      </c>
      <c r="Q342" t="n">
        <v>0</v>
      </c>
      <c r="R342" s="2" t="inlineStr"/>
    </row>
    <row r="343" ht="15" customHeight="1">
      <c r="A343" t="inlineStr">
        <is>
          <t>A 51181-2022</t>
        </is>
      </c>
      <c r="B343" s="1" t="n">
        <v>44868</v>
      </c>
      <c r="C343" s="1" t="n">
        <v>45667</v>
      </c>
      <c r="D343" t="inlineStr">
        <is>
          <t>DALARNAS LÄN</t>
        </is>
      </c>
      <c r="E343" t="inlineStr">
        <is>
          <t>HEDEMORA</t>
        </is>
      </c>
      <c r="F343" t="inlineStr">
        <is>
          <t>Sveaskog</t>
        </is>
      </c>
      <c r="G343" t="n">
        <v>2</v>
      </c>
      <c r="H343" t="n">
        <v>0</v>
      </c>
      <c r="I343" t="n">
        <v>0</v>
      </c>
      <c r="J343" t="n">
        <v>0</v>
      </c>
      <c r="K343" t="n">
        <v>0</v>
      </c>
      <c r="L343" t="n">
        <v>0</v>
      </c>
      <c r="M343" t="n">
        <v>0</v>
      </c>
      <c r="N343" t="n">
        <v>0</v>
      </c>
      <c r="O343" t="n">
        <v>0</v>
      </c>
      <c r="P343" t="n">
        <v>0</v>
      </c>
      <c r="Q343" t="n">
        <v>0</v>
      </c>
      <c r="R343" s="2" t="inlineStr"/>
    </row>
    <row r="344" ht="15" customHeight="1">
      <c r="A344" t="inlineStr">
        <is>
          <t>A 51167-2022</t>
        </is>
      </c>
      <c r="B344" s="1" t="n">
        <v>44868</v>
      </c>
      <c r="C344" s="1" t="n">
        <v>45667</v>
      </c>
      <c r="D344" t="inlineStr">
        <is>
          <t>DALARNAS LÄN</t>
        </is>
      </c>
      <c r="E344" t="inlineStr">
        <is>
          <t>HEDEMORA</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51520-2022</t>
        </is>
      </c>
      <c r="B345" s="1" t="n">
        <v>44869</v>
      </c>
      <c r="C345" s="1" t="n">
        <v>45667</v>
      </c>
      <c r="D345" t="inlineStr">
        <is>
          <t>DALARNAS LÄN</t>
        </is>
      </c>
      <c r="E345" t="inlineStr">
        <is>
          <t>HEDEMORA</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52822-2022</t>
        </is>
      </c>
      <c r="B346" s="1" t="n">
        <v>44875</v>
      </c>
      <c r="C346" s="1" t="n">
        <v>45667</v>
      </c>
      <c r="D346" t="inlineStr">
        <is>
          <t>DALARNAS LÄN</t>
        </is>
      </c>
      <c r="E346" t="inlineStr">
        <is>
          <t>HEDEMORA</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53875-2022</t>
        </is>
      </c>
      <c r="B347" s="1" t="n">
        <v>44880</v>
      </c>
      <c r="C347" s="1" t="n">
        <v>45667</v>
      </c>
      <c r="D347" t="inlineStr">
        <is>
          <t>DALARNAS LÄN</t>
        </is>
      </c>
      <c r="E347" t="inlineStr">
        <is>
          <t>HEDEMORA</t>
        </is>
      </c>
      <c r="F347" t="inlineStr">
        <is>
          <t>Bergvik skog väst AB</t>
        </is>
      </c>
      <c r="G347" t="n">
        <v>6.8</v>
      </c>
      <c r="H347" t="n">
        <v>0</v>
      </c>
      <c r="I347" t="n">
        <v>0</v>
      </c>
      <c r="J347" t="n">
        <v>0</v>
      </c>
      <c r="K347" t="n">
        <v>0</v>
      </c>
      <c r="L347" t="n">
        <v>0</v>
      </c>
      <c r="M347" t="n">
        <v>0</v>
      </c>
      <c r="N347" t="n">
        <v>0</v>
      </c>
      <c r="O347" t="n">
        <v>0</v>
      </c>
      <c r="P347" t="n">
        <v>0</v>
      </c>
      <c r="Q347" t="n">
        <v>0</v>
      </c>
      <c r="R347" s="2" t="inlineStr"/>
    </row>
    <row r="348" ht="15" customHeight="1">
      <c r="A348" t="inlineStr">
        <is>
          <t>A 53894-2022</t>
        </is>
      </c>
      <c r="B348" s="1" t="n">
        <v>44880</v>
      </c>
      <c r="C348" s="1" t="n">
        <v>45667</v>
      </c>
      <c r="D348" t="inlineStr">
        <is>
          <t>DALARNAS LÄN</t>
        </is>
      </c>
      <c r="E348" t="inlineStr">
        <is>
          <t>HEDEMORA</t>
        </is>
      </c>
      <c r="F348" t="inlineStr">
        <is>
          <t>Sveaskog</t>
        </is>
      </c>
      <c r="G348" t="n">
        <v>2.3</v>
      </c>
      <c r="H348" t="n">
        <v>0</v>
      </c>
      <c r="I348" t="n">
        <v>0</v>
      </c>
      <c r="J348" t="n">
        <v>0</v>
      </c>
      <c r="K348" t="n">
        <v>0</v>
      </c>
      <c r="L348" t="n">
        <v>0</v>
      </c>
      <c r="M348" t="n">
        <v>0</v>
      </c>
      <c r="N348" t="n">
        <v>0</v>
      </c>
      <c r="O348" t="n">
        <v>0</v>
      </c>
      <c r="P348" t="n">
        <v>0</v>
      </c>
      <c r="Q348" t="n">
        <v>0</v>
      </c>
      <c r="R348" s="2" t="inlineStr"/>
    </row>
    <row r="349" ht="15" customHeight="1">
      <c r="A349" t="inlineStr">
        <is>
          <t>A 53896-2022</t>
        </is>
      </c>
      <c r="B349" s="1" t="n">
        <v>44880</v>
      </c>
      <c r="C349" s="1" t="n">
        <v>45667</v>
      </c>
      <c r="D349" t="inlineStr">
        <is>
          <t>DALARNAS LÄN</t>
        </is>
      </c>
      <c r="E349" t="inlineStr">
        <is>
          <t>HEDEMORA</t>
        </is>
      </c>
      <c r="F349" t="inlineStr">
        <is>
          <t>Sveaskog</t>
        </is>
      </c>
      <c r="G349" t="n">
        <v>2.7</v>
      </c>
      <c r="H349" t="n">
        <v>0</v>
      </c>
      <c r="I349" t="n">
        <v>0</v>
      </c>
      <c r="J349" t="n">
        <v>0</v>
      </c>
      <c r="K349" t="n">
        <v>0</v>
      </c>
      <c r="L349" t="n">
        <v>0</v>
      </c>
      <c r="M349" t="n">
        <v>0</v>
      </c>
      <c r="N349" t="n">
        <v>0</v>
      </c>
      <c r="O349" t="n">
        <v>0</v>
      </c>
      <c r="P349" t="n">
        <v>0</v>
      </c>
      <c r="Q349" t="n">
        <v>0</v>
      </c>
      <c r="R349" s="2" t="inlineStr"/>
    </row>
    <row r="350" ht="15" customHeight="1">
      <c r="A350" t="inlineStr">
        <is>
          <t>A 53895-2022</t>
        </is>
      </c>
      <c r="B350" s="1" t="n">
        <v>44880</v>
      </c>
      <c r="C350" s="1" t="n">
        <v>45667</v>
      </c>
      <c r="D350" t="inlineStr">
        <is>
          <t>DALARNAS LÄN</t>
        </is>
      </c>
      <c r="E350" t="inlineStr">
        <is>
          <t>HEDEMORA</t>
        </is>
      </c>
      <c r="F350" t="inlineStr">
        <is>
          <t>Sveaskog</t>
        </is>
      </c>
      <c r="G350" t="n">
        <v>4.6</v>
      </c>
      <c r="H350" t="n">
        <v>0</v>
      </c>
      <c r="I350" t="n">
        <v>0</v>
      </c>
      <c r="J350" t="n">
        <v>0</v>
      </c>
      <c r="K350" t="n">
        <v>0</v>
      </c>
      <c r="L350" t="n">
        <v>0</v>
      </c>
      <c r="M350" t="n">
        <v>0</v>
      </c>
      <c r="N350" t="n">
        <v>0</v>
      </c>
      <c r="O350" t="n">
        <v>0</v>
      </c>
      <c r="P350" t="n">
        <v>0</v>
      </c>
      <c r="Q350" t="n">
        <v>0</v>
      </c>
      <c r="R350" s="2" t="inlineStr"/>
    </row>
    <row r="351" ht="15" customHeight="1">
      <c r="A351" t="inlineStr">
        <is>
          <t>A 54198-2022</t>
        </is>
      </c>
      <c r="B351" s="1" t="n">
        <v>44881</v>
      </c>
      <c r="C351" s="1" t="n">
        <v>45667</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45667</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45667</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45667</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45667</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45667</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45667</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45667</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45667</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45667</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45667</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45667</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45667</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45667</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45667</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45667</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45667</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45667</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45667</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45667</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45667</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45667</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45667</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45667</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45667</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45667</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45667</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45667</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45667</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45667</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45667</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45667</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45667</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45667</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45667</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45667</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45667</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45667</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45667</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45667</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45667</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45667</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45667</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45667</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45667</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45667</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45667</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45667</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45667</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45667</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45667</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45667</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45667</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45667</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45667</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45667</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45667</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45667</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45667</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45667</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45667</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45667</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45667</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45667</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45667</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45667</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45667</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45667</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45667</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45667</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45667</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45667</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45667</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45667</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45667</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45667</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45667</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45667</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45667</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45667</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45667</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45667</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45667</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45667</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45667</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45667</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45667</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45667</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45667</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45667</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45667</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45667</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45667</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45667</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45667</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45667</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45667</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45667</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45667</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45667</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45667</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45667</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45667</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45667</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45667</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45667</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45667</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45667</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45667</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45667</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45667</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45667</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45667</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45667</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45667</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45667</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45667</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45667</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45667</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45667</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45667</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45667</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45667</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45667</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45667</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45667</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45667</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45667</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45667</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45667</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45667</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45667</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45667</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45667</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45667</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45667</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45667</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45667</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45667</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45667</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45667</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45667</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45667</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45667</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45667</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45667</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45667</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45667</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45667</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45667</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45667</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45667</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45667</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45667</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45667</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45667</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45667</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45667</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45667</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45667</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45667</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45667</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45667</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45667</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45667</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45667</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45667</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45667</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45667</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45667</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45667</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45667</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45667</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45667</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45667</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45667</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45667</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45667</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45667</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45667</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45667</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45667</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45667</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45667</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45667</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45667</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45667</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45667</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45667</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45667</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45667</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45667</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45667</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45667</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45667</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45667</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45667</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45667</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45667</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45667</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45667</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45667</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45667</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45667</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45667</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45667</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45667</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45667</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45667</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45667</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45667</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45667</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45667</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45667</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45667</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45667</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45667</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45667</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45667</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45667</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45667</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45667</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45667</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45667</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45667</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45667</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45667</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45667</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45667</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45667</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45667</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45667</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45667</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45667</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45667</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45667</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45667</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45667</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45667</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45667</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45667</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45667</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45667</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45667</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45667</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45667</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45667</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45667</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45667</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45667</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45667</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45667</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45667</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45667</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45667</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45667</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45667</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45667</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45667</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45667</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45667</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45667</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45667</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45667</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45667</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45667</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45667</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45667</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45667</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45667</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45667</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45667</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45667</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45667</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45667</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45667</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45667</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45667</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45667</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45667</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45667</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45667</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45667</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45667</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45667</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45667</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45667</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45667</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45667</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45667</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45667</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45667</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45667</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45667</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45667</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45667</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45667</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45667</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45667</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45667</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45667</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45667</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45667</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45667</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45667</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45667</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45667</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45667</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45667</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45667</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45667</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45667</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45667</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45667</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45667</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45667</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45667</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45667</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45667</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45667</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45667</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60808-2024</t>
        </is>
      </c>
      <c r="B672" s="1" t="n">
        <v>45644</v>
      </c>
      <c r="C672" s="1" t="n">
        <v>45667</v>
      </c>
      <c r="D672" t="inlineStr">
        <is>
          <t>DALARNAS LÄN</t>
        </is>
      </c>
      <c r="E672" t="inlineStr">
        <is>
          <t>HEDEMORA</t>
        </is>
      </c>
      <c r="G672" t="n">
        <v>6</v>
      </c>
      <c r="H672" t="n">
        <v>0</v>
      </c>
      <c r="I672" t="n">
        <v>0</v>
      </c>
      <c r="J672" t="n">
        <v>0</v>
      </c>
      <c r="K672" t="n">
        <v>0</v>
      </c>
      <c r="L672" t="n">
        <v>0</v>
      </c>
      <c r="M672" t="n">
        <v>0</v>
      </c>
      <c r="N672" t="n">
        <v>0</v>
      </c>
      <c r="O672" t="n">
        <v>0</v>
      </c>
      <c r="P672" t="n">
        <v>0</v>
      </c>
      <c r="Q672" t="n">
        <v>0</v>
      </c>
      <c r="R672" s="2" t="inlineStr"/>
    </row>
    <row r="673" ht="15" customHeight="1">
      <c r="A673" t="inlineStr">
        <is>
          <t>A 60780-2024</t>
        </is>
      </c>
      <c r="B673" s="1" t="n">
        <v>45644</v>
      </c>
      <c r="C673" s="1" t="n">
        <v>45667</v>
      </c>
      <c r="D673" t="inlineStr">
        <is>
          <t>DALARNAS LÄN</t>
        </is>
      </c>
      <c r="E673" t="inlineStr">
        <is>
          <t>HEDEMORA</t>
        </is>
      </c>
      <c r="F673" t="inlineStr">
        <is>
          <t>Sveaskog</t>
        </is>
      </c>
      <c r="G673" t="n">
        <v>4.3</v>
      </c>
      <c r="H673" t="n">
        <v>0</v>
      </c>
      <c r="I673" t="n">
        <v>0</v>
      </c>
      <c r="J673" t="n">
        <v>0</v>
      </c>
      <c r="K673" t="n">
        <v>0</v>
      </c>
      <c r="L673" t="n">
        <v>0</v>
      </c>
      <c r="M673" t="n">
        <v>0</v>
      </c>
      <c r="N673" t="n">
        <v>0</v>
      </c>
      <c r="O673" t="n">
        <v>0</v>
      </c>
      <c r="P673" t="n">
        <v>0</v>
      </c>
      <c r="Q673" t="n">
        <v>0</v>
      </c>
      <c r="R673" s="2" t="inlineStr"/>
    </row>
    <row r="674" ht="15" customHeight="1">
      <c r="A674" t="inlineStr">
        <is>
          <t>A 61519-2024</t>
        </is>
      </c>
      <c r="B674" s="1" t="n">
        <v>45646</v>
      </c>
      <c r="C674" s="1" t="n">
        <v>45667</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row r="675" ht="15" customHeight="1">
      <c r="A675" t="inlineStr">
        <is>
          <t>A 193-2025</t>
        </is>
      </c>
      <c r="B675" s="1" t="n">
        <v>45649</v>
      </c>
      <c r="C675" s="1" t="n">
        <v>45667</v>
      </c>
      <c r="D675" t="inlineStr">
        <is>
          <t>DALARNAS LÄN</t>
        </is>
      </c>
      <c r="E675" t="inlineStr">
        <is>
          <t>HEDEMORA</t>
        </is>
      </c>
      <c r="G675" t="n">
        <v>2</v>
      </c>
      <c r="H675" t="n">
        <v>0</v>
      </c>
      <c r="I675" t="n">
        <v>0</v>
      </c>
      <c r="J675" t="n">
        <v>0</v>
      </c>
      <c r="K675" t="n">
        <v>0</v>
      </c>
      <c r="L675" t="n">
        <v>0</v>
      </c>
      <c r="M675" t="n">
        <v>0</v>
      </c>
      <c r="N675" t="n">
        <v>0</v>
      </c>
      <c r="O675" t="n">
        <v>0</v>
      </c>
      <c r="P675" t="n">
        <v>0</v>
      </c>
      <c r="Q675" t="n">
        <v>0</v>
      </c>
      <c r="R675" s="2" t="inlineStr"/>
      <c r="U675">
        <f>HYPERLINK("https://klasma.github.io/Logging_2083/knärot/A 193-2025 karta knärot.png", "A 193-2025")</f>
        <v/>
      </c>
      <c r="V675">
        <f>HYPERLINK("https://klasma.github.io/Logging_2083/klagomål/A 193-2025 FSC-klagomål.docx", "A 193-2025")</f>
        <v/>
      </c>
      <c r="W675">
        <f>HYPERLINK("https://klasma.github.io/Logging_2083/klagomålsmail/A 193-2025 FSC-klagomål mail.docx", "A 193-2025")</f>
        <v/>
      </c>
      <c r="X675">
        <f>HYPERLINK("https://klasma.github.io/Logging_2083/tillsyn/A 193-2025 tillsynsbegäran.docx", "A 193-2025")</f>
        <v/>
      </c>
      <c r="Y675">
        <f>HYPERLINK("https://klasma.github.io/Logging_2083/tillsynsmail/A 193-2025 tillsynsbegäran mail.docx", "A 193-2025")</f>
        <v/>
      </c>
    </row>
    <row r="676" ht="15" customHeight="1">
      <c r="A676" t="inlineStr">
        <is>
          <t>A 183-2025</t>
        </is>
      </c>
      <c r="B676" s="1" t="n">
        <v>45659</v>
      </c>
      <c r="C676" s="1" t="n">
        <v>45667</v>
      </c>
      <c r="D676" t="inlineStr">
        <is>
          <t>DALARNAS LÄN</t>
        </is>
      </c>
      <c r="E676" t="inlineStr">
        <is>
          <t>HEDEMORA</t>
        </is>
      </c>
      <c r="G676" t="n">
        <v>2.4</v>
      </c>
      <c r="H676" t="n">
        <v>0</v>
      </c>
      <c r="I676" t="n">
        <v>0</v>
      </c>
      <c r="J676" t="n">
        <v>0</v>
      </c>
      <c r="K676" t="n">
        <v>0</v>
      </c>
      <c r="L676" t="n">
        <v>0</v>
      </c>
      <c r="M676" t="n">
        <v>0</v>
      </c>
      <c r="N676" t="n">
        <v>0</v>
      </c>
      <c r="O676" t="n">
        <v>0</v>
      </c>
      <c r="P676" t="n">
        <v>0</v>
      </c>
      <c r="Q676" t="n">
        <v>0</v>
      </c>
      <c r="R676" s="2" t="inlineStr"/>
    </row>
    <row r="677">
      <c r="A677" t="inlineStr">
        <is>
          <t>A 451-2025</t>
        </is>
      </c>
      <c r="B677" s="1" t="n">
        <v>45664</v>
      </c>
      <c r="C677" s="1" t="n">
        <v>45667</v>
      </c>
      <c r="D677" t="inlineStr">
        <is>
          <t>DALARNAS LÄN</t>
        </is>
      </c>
      <c r="E677" t="inlineStr">
        <is>
          <t>HEDEMORA</t>
        </is>
      </c>
      <c r="G677" t="n">
        <v>4.5</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2025-01-10T16:17:50Z</dcterms:created>
  <dcterms:modified xmlns:dcterms="http://purl.org/dc/terms/" xmlns:xsi="http://www.w3.org/2001/XMLSchema-instance" xsi:type="dcterms:W3CDTF">2025-01-10T16:17:51Z</dcterms:modified>
</cp:coreProperties>
</file>