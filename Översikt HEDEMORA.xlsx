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45907</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45907</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45907</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45907</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54120-2024</t>
        </is>
      </c>
      <c r="B7" s="1" t="n">
        <v>45616.57304398148</v>
      </c>
      <c r="C7" s="1" t="n">
        <v>45907</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54380-2020</t>
        </is>
      </c>
      <c r="B8" s="1" t="n">
        <v>44126</v>
      </c>
      <c r="C8" s="1" t="n">
        <v>45907</v>
      </c>
      <c r="D8" t="inlineStr">
        <is>
          <t>DALARNAS LÄN</t>
        </is>
      </c>
      <c r="E8" t="inlineStr">
        <is>
          <t>HEDEMORA</t>
        </is>
      </c>
      <c r="G8" t="n">
        <v>2.4</v>
      </c>
      <c r="H8" t="n">
        <v>3</v>
      </c>
      <c r="I8" t="n">
        <v>4</v>
      </c>
      <c r="J8" t="n">
        <v>2</v>
      </c>
      <c r="K8" t="n">
        <v>1</v>
      </c>
      <c r="L8" t="n">
        <v>0</v>
      </c>
      <c r="M8" t="n">
        <v>0</v>
      </c>
      <c r="N8" t="n">
        <v>0</v>
      </c>
      <c r="O8" t="n">
        <v>3</v>
      </c>
      <c r="P8" t="n">
        <v>1</v>
      </c>
      <c r="Q8" t="n">
        <v>9</v>
      </c>
      <c r="R8" s="2" t="inlineStr">
        <is>
          <t>Knärot
Ullticka
Vedtrappmossa
Bronshjon
Fjällig taggsvamp s.str.
Rödgul trumpetsvamp
Svavelriska
Vanlig groda
Revlummer</t>
        </is>
      </c>
      <c r="S8">
        <f>HYPERLINK("https://klasma.github.io/Logging_2083/artfynd/A 54380-2020 artfynd.xlsx", "A 54380-2020")</f>
        <v/>
      </c>
      <c r="T8">
        <f>HYPERLINK("https://klasma.github.io/Logging_2083/kartor/A 54380-2020 karta.png", "A 54380-2020")</f>
        <v/>
      </c>
      <c r="U8">
        <f>HYPERLINK("https://klasma.github.io/Logging_2083/knärot/A 54380-2020 karta knärot.png", "A 54380-2020")</f>
        <v/>
      </c>
      <c r="V8">
        <f>HYPERLINK("https://klasma.github.io/Logging_2083/klagomål/A 54380-2020 FSC-klagomål.docx", "A 54380-2020")</f>
        <v/>
      </c>
      <c r="W8">
        <f>HYPERLINK("https://klasma.github.io/Logging_2083/klagomålsmail/A 54380-2020 FSC-klagomål mail.docx", "A 54380-2020")</f>
        <v/>
      </c>
      <c r="X8">
        <f>HYPERLINK("https://klasma.github.io/Logging_2083/tillsyn/A 54380-2020 tillsynsbegäran.docx", "A 54380-2020")</f>
        <v/>
      </c>
      <c r="Y8">
        <f>HYPERLINK("https://klasma.github.io/Logging_2083/tillsynsmail/A 54380-2020 tillsynsbegäran mail.docx", "A 54380-2020")</f>
        <v/>
      </c>
    </row>
    <row r="9" ht="15" customHeight="1">
      <c r="A9" t="inlineStr">
        <is>
          <t>A 58943-2023</t>
        </is>
      </c>
      <c r="B9" s="1" t="n">
        <v>45250</v>
      </c>
      <c r="C9" s="1" t="n">
        <v>45907</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45907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45907</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45907</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49269-2024</t>
        </is>
      </c>
      <c r="B13" s="1" t="n">
        <v>45595.49747685185</v>
      </c>
      <c r="C13" s="1" t="n">
        <v>45907</v>
      </c>
      <c r="D13" t="inlineStr">
        <is>
          <t>DALARNAS LÄN</t>
        </is>
      </c>
      <c r="E13" t="inlineStr">
        <is>
          <t>HEDEMORA</t>
        </is>
      </c>
      <c r="G13" t="n">
        <v>1.6</v>
      </c>
      <c r="H13" t="n">
        <v>5</v>
      </c>
      <c r="I13" t="n">
        <v>2</v>
      </c>
      <c r="J13" t="n">
        <v>5</v>
      </c>
      <c r="K13" t="n">
        <v>0</v>
      </c>
      <c r="L13" t="n">
        <v>0</v>
      </c>
      <c r="M13" t="n">
        <v>0</v>
      </c>
      <c r="N13" t="n">
        <v>0</v>
      </c>
      <c r="O13" t="n">
        <v>5</v>
      </c>
      <c r="P13" t="n">
        <v>0</v>
      </c>
      <c r="Q13" t="n">
        <v>8</v>
      </c>
      <c r="R13" s="2" t="inlineStr">
        <is>
          <t>Fagervaxing
Havsörn
Rödvingetrast
Spillkråka
Talltita
Blodvaxing
Broskvaxing
Gröngöling</t>
        </is>
      </c>
      <c r="S13">
        <f>HYPERLINK("https://klasma.github.io/Logging_2083/artfynd/A 49269-2024 artfynd.xlsx", "A 49269-2024")</f>
        <v/>
      </c>
      <c r="T13">
        <f>HYPERLINK("https://klasma.github.io/Logging_2083/kartor/A 49269-2024 karta.png", "A 49269-2024")</f>
        <v/>
      </c>
      <c r="V13">
        <f>HYPERLINK("https://klasma.github.io/Logging_2083/klagomål/A 49269-2024 FSC-klagomål.docx", "A 49269-2024")</f>
        <v/>
      </c>
      <c r="W13">
        <f>HYPERLINK("https://klasma.github.io/Logging_2083/klagomålsmail/A 49269-2024 FSC-klagomål mail.docx", "A 49269-2024")</f>
        <v/>
      </c>
      <c r="X13">
        <f>HYPERLINK("https://klasma.github.io/Logging_2083/tillsyn/A 49269-2024 tillsynsbegäran.docx", "A 49269-2024")</f>
        <v/>
      </c>
      <c r="Y13">
        <f>HYPERLINK("https://klasma.github.io/Logging_2083/tillsynsmail/A 49269-2024 tillsynsbegäran mail.docx", "A 49269-2024")</f>
        <v/>
      </c>
      <c r="Z13">
        <f>HYPERLINK("https://klasma.github.io/Logging_2083/fåglar/A 49269-2024 prioriterade fågelarter.docx", "A 49269-2024")</f>
        <v/>
      </c>
    </row>
    <row r="14" ht="15" customHeight="1">
      <c r="A14" t="inlineStr">
        <is>
          <t>A 45872-2021</t>
        </is>
      </c>
      <c r="B14" s="1" t="n">
        <v>44441</v>
      </c>
      <c r="C14" s="1" t="n">
        <v>45907</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45907</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45907</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45907</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992-2024</t>
        </is>
      </c>
      <c r="B18" s="1" t="n">
        <v>45301</v>
      </c>
      <c r="C18" s="1" t="n">
        <v>45907</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57643-2022</t>
        </is>
      </c>
      <c r="B19" s="1" t="n">
        <v>44897</v>
      </c>
      <c r="C19" s="1" t="n">
        <v>45907</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34929-2024</t>
        </is>
      </c>
      <c r="B20" s="1" t="n">
        <v>45527.44895833333</v>
      </c>
      <c r="C20" s="1" t="n">
        <v>45907</v>
      </c>
      <c r="D20" t="inlineStr">
        <is>
          <t>DALARNAS LÄN</t>
        </is>
      </c>
      <c r="E20" t="inlineStr">
        <is>
          <t>HEDEMORA</t>
        </is>
      </c>
      <c r="F20" t="inlineStr">
        <is>
          <t>Sveaskog</t>
        </is>
      </c>
      <c r="G20" t="n">
        <v>5.1</v>
      </c>
      <c r="H20" t="n">
        <v>0</v>
      </c>
      <c r="I20" t="n">
        <v>2</v>
      </c>
      <c r="J20" t="n">
        <v>2</v>
      </c>
      <c r="K20" t="n">
        <v>0</v>
      </c>
      <c r="L20" t="n">
        <v>0</v>
      </c>
      <c r="M20" t="n">
        <v>0</v>
      </c>
      <c r="N20" t="n">
        <v>0</v>
      </c>
      <c r="O20" t="n">
        <v>2</v>
      </c>
      <c r="P20" t="n">
        <v>0</v>
      </c>
      <c r="Q20" t="n">
        <v>4</v>
      </c>
      <c r="R20" s="2" t="inlineStr">
        <is>
          <t>Gul taggsvamp
Svart taggsvamp
Olivspindling
Svavelriska</t>
        </is>
      </c>
      <c r="S20">
        <f>HYPERLINK("https://klasma.github.io/Logging_2083/artfynd/A 34929-2024 artfynd.xlsx", "A 34929-2024")</f>
        <v/>
      </c>
      <c r="T20">
        <f>HYPERLINK("https://klasma.github.io/Logging_2083/kartor/A 34929-2024 karta.png", "A 34929-2024")</f>
        <v/>
      </c>
      <c r="V20">
        <f>HYPERLINK("https://klasma.github.io/Logging_2083/klagomål/A 34929-2024 FSC-klagomål.docx", "A 34929-2024")</f>
        <v/>
      </c>
      <c r="W20">
        <f>HYPERLINK("https://klasma.github.io/Logging_2083/klagomålsmail/A 34929-2024 FSC-klagomål mail.docx", "A 34929-2024")</f>
        <v/>
      </c>
      <c r="X20">
        <f>HYPERLINK("https://klasma.github.io/Logging_2083/tillsyn/A 34929-2024 tillsynsbegäran.docx", "A 34929-2024")</f>
        <v/>
      </c>
      <c r="Y20">
        <f>HYPERLINK("https://klasma.github.io/Logging_2083/tillsynsmail/A 34929-2024 tillsynsbegäran mail.docx", "A 34929-2024")</f>
        <v/>
      </c>
    </row>
    <row r="21" ht="15" customHeight="1">
      <c r="A21" t="inlineStr">
        <is>
          <t>A 49872-2021</t>
        </is>
      </c>
      <c r="B21" s="1" t="n">
        <v>44455</v>
      </c>
      <c r="C21" s="1" t="n">
        <v>45907</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62054-2021</t>
        </is>
      </c>
      <c r="B22" s="1" t="n">
        <v>44502</v>
      </c>
      <c r="C22" s="1" t="n">
        <v>45907</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45907</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45907</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45907</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45907</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34928-2024</t>
        </is>
      </c>
      <c r="B27" s="1" t="n">
        <v>45527.44613425926</v>
      </c>
      <c r="C27" s="1" t="n">
        <v>45907</v>
      </c>
      <c r="D27" t="inlineStr">
        <is>
          <t>DALARNAS LÄN</t>
        </is>
      </c>
      <c r="E27" t="inlineStr">
        <is>
          <t>HEDEMORA</t>
        </is>
      </c>
      <c r="F27" t="inlineStr">
        <is>
          <t>Sveaskog</t>
        </is>
      </c>
      <c r="G27" t="n">
        <v>2.8</v>
      </c>
      <c r="H27" t="n">
        <v>0</v>
      </c>
      <c r="I27" t="n">
        <v>1</v>
      </c>
      <c r="J27" t="n">
        <v>0</v>
      </c>
      <c r="K27" t="n">
        <v>2</v>
      </c>
      <c r="L27" t="n">
        <v>0</v>
      </c>
      <c r="M27" t="n">
        <v>0</v>
      </c>
      <c r="N27" t="n">
        <v>0</v>
      </c>
      <c r="O27" t="n">
        <v>2</v>
      </c>
      <c r="P27" t="n">
        <v>2</v>
      </c>
      <c r="Q27" t="n">
        <v>3</v>
      </c>
      <c r="R27" s="2" t="inlineStr">
        <is>
          <t>Sammetstaggsvamp
Violgubbe
Olivspindling</t>
        </is>
      </c>
      <c r="S27">
        <f>HYPERLINK("https://klasma.github.io/Logging_2083/artfynd/A 34928-2024 artfynd.xlsx", "A 34928-2024")</f>
        <v/>
      </c>
      <c r="T27">
        <f>HYPERLINK("https://klasma.github.io/Logging_2083/kartor/A 34928-2024 karta.png", "A 34928-2024")</f>
        <v/>
      </c>
      <c r="V27">
        <f>HYPERLINK("https://klasma.github.io/Logging_2083/klagomål/A 34928-2024 FSC-klagomål.docx", "A 34928-2024")</f>
        <v/>
      </c>
      <c r="W27">
        <f>HYPERLINK("https://klasma.github.io/Logging_2083/klagomålsmail/A 34928-2024 FSC-klagomål mail.docx", "A 34928-2024")</f>
        <v/>
      </c>
      <c r="X27">
        <f>HYPERLINK("https://klasma.github.io/Logging_2083/tillsyn/A 34928-2024 tillsynsbegäran.docx", "A 34928-2024")</f>
        <v/>
      </c>
      <c r="Y27">
        <f>HYPERLINK("https://klasma.github.io/Logging_2083/tillsynsmail/A 34928-2024 tillsynsbegäran mail.docx", "A 34928-2024")</f>
        <v/>
      </c>
    </row>
    <row r="28" ht="15" customHeight="1">
      <c r="A28" t="inlineStr">
        <is>
          <t>A 4031-2022</t>
        </is>
      </c>
      <c r="B28" s="1" t="n">
        <v>44588</v>
      </c>
      <c r="C28" s="1" t="n">
        <v>45907</v>
      </c>
      <c r="D28" t="inlineStr">
        <is>
          <t>DALARNAS LÄN</t>
        </is>
      </c>
      <c r="E28" t="inlineStr">
        <is>
          <t>HEDEMORA</t>
        </is>
      </c>
      <c r="F28" t="inlineStr">
        <is>
          <t>Kyrkan</t>
        </is>
      </c>
      <c r="G28" t="n">
        <v>4.3</v>
      </c>
      <c r="H28" t="n">
        <v>1</v>
      </c>
      <c r="I28" t="n">
        <v>1</v>
      </c>
      <c r="J28" t="n">
        <v>0</v>
      </c>
      <c r="K28" t="n">
        <v>0</v>
      </c>
      <c r="L28" t="n">
        <v>0</v>
      </c>
      <c r="M28" t="n">
        <v>0</v>
      </c>
      <c r="N28" t="n">
        <v>0</v>
      </c>
      <c r="O28" t="n">
        <v>0</v>
      </c>
      <c r="P28" t="n">
        <v>0</v>
      </c>
      <c r="Q28" t="n">
        <v>2</v>
      </c>
      <c r="R28" s="2" t="inlineStr">
        <is>
          <t>Stubbspretmossa
Blåsippa</t>
        </is>
      </c>
      <c r="S28">
        <f>HYPERLINK("https://klasma.github.io/Logging_2083/artfynd/A 4031-2022 artfynd.xlsx", "A 4031-2022")</f>
        <v/>
      </c>
      <c r="T28">
        <f>HYPERLINK("https://klasma.github.io/Logging_2083/kartor/A 4031-2022 karta.png", "A 4031-2022")</f>
        <v/>
      </c>
      <c r="V28">
        <f>HYPERLINK("https://klasma.github.io/Logging_2083/klagomål/A 4031-2022 FSC-klagomål.docx", "A 4031-2022")</f>
        <v/>
      </c>
      <c r="W28">
        <f>HYPERLINK("https://klasma.github.io/Logging_2083/klagomålsmail/A 4031-2022 FSC-klagomål mail.docx", "A 4031-2022")</f>
        <v/>
      </c>
      <c r="X28">
        <f>HYPERLINK("https://klasma.github.io/Logging_2083/tillsyn/A 4031-2022 tillsynsbegäran.docx", "A 4031-2022")</f>
        <v/>
      </c>
      <c r="Y28">
        <f>HYPERLINK("https://klasma.github.io/Logging_2083/tillsynsmail/A 4031-2022 tillsynsbegäran mail.docx", "A 4031-2022")</f>
        <v/>
      </c>
    </row>
    <row r="29" ht="15" customHeight="1">
      <c r="A29" t="inlineStr">
        <is>
          <t>A 56625-2024</t>
        </is>
      </c>
      <c r="B29" s="1" t="n">
        <v>45625</v>
      </c>
      <c r="C29" s="1" t="n">
        <v>45907</v>
      </c>
      <c r="D29" t="inlineStr">
        <is>
          <t>DALARNAS LÄN</t>
        </is>
      </c>
      <c r="E29" t="inlineStr">
        <is>
          <t>HEDEMORA</t>
        </is>
      </c>
      <c r="F29" t="inlineStr">
        <is>
          <t>Sveaskog</t>
        </is>
      </c>
      <c r="G29" t="n">
        <v>16.8</v>
      </c>
      <c r="H29" t="n">
        <v>1</v>
      </c>
      <c r="I29" t="n">
        <v>1</v>
      </c>
      <c r="J29" t="n">
        <v>0</v>
      </c>
      <c r="K29" t="n">
        <v>1</v>
      </c>
      <c r="L29" t="n">
        <v>0</v>
      </c>
      <c r="M29" t="n">
        <v>0</v>
      </c>
      <c r="N29" t="n">
        <v>0</v>
      </c>
      <c r="O29" t="n">
        <v>1</v>
      </c>
      <c r="P29" t="n">
        <v>1</v>
      </c>
      <c r="Q29" t="n">
        <v>2</v>
      </c>
      <c r="R29" s="2" t="inlineStr">
        <is>
          <t>Knärot
Dropptaggsvamp</t>
        </is>
      </c>
      <c r="S29">
        <f>HYPERLINK("https://klasma.github.io/Logging_2083/artfynd/A 56625-2024 artfynd.xlsx", "A 56625-2024")</f>
        <v/>
      </c>
      <c r="T29">
        <f>HYPERLINK("https://klasma.github.io/Logging_2083/kartor/A 56625-2024 karta.png", "A 56625-2024")</f>
        <v/>
      </c>
      <c r="U29">
        <f>HYPERLINK("https://klasma.github.io/Logging_2083/knärot/A 56625-2024 karta knärot.png", "A 56625-2024")</f>
        <v/>
      </c>
      <c r="V29">
        <f>HYPERLINK("https://klasma.github.io/Logging_2083/klagomål/A 56625-2024 FSC-klagomål.docx", "A 56625-2024")</f>
        <v/>
      </c>
      <c r="W29">
        <f>HYPERLINK("https://klasma.github.io/Logging_2083/klagomålsmail/A 56625-2024 FSC-klagomål mail.docx", "A 56625-2024")</f>
        <v/>
      </c>
      <c r="X29">
        <f>HYPERLINK("https://klasma.github.io/Logging_2083/tillsyn/A 56625-2024 tillsynsbegäran.docx", "A 56625-2024")</f>
        <v/>
      </c>
      <c r="Y29">
        <f>HYPERLINK("https://klasma.github.io/Logging_2083/tillsynsmail/A 56625-2024 tillsynsbegäran mail.docx", "A 56625-2024")</f>
        <v/>
      </c>
    </row>
    <row r="30" ht="15" customHeight="1">
      <c r="A30" t="inlineStr">
        <is>
          <t>A 54849-2022</t>
        </is>
      </c>
      <c r="B30" s="1" t="n">
        <v>44883</v>
      </c>
      <c r="C30" s="1" t="n">
        <v>45907</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45884-2021</t>
        </is>
      </c>
      <c r="B31" s="1" t="n">
        <v>44441</v>
      </c>
      <c r="C31" s="1" t="n">
        <v>45907</v>
      </c>
      <c r="D31" t="inlineStr">
        <is>
          <t>DALARNAS LÄN</t>
        </is>
      </c>
      <c r="E31" t="inlineStr">
        <is>
          <t>HEDEMORA</t>
        </is>
      </c>
      <c r="G31" t="n">
        <v>0.9</v>
      </c>
      <c r="H31" t="n">
        <v>1</v>
      </c>
      <c r="I31" t="n">
        <v>1</v>
      </c>
      <c r="J31" t="n">
        <v>0</v>
      </c>
      <c r="K31" t="n">
        <v>1</v>
      </c>
      <c r="L31" t="n">
        <v>0</v>
      </c>
      <c r="M31" t="n">
        <v>0</v>
      </c>
      <c r="N31" t="n">
        <v>0</v>
      </c>
      <c r="O31" t="n">
        <v>1</v>
      </c>
      <c r="P31" t="n">
        <v>1</v>
      </c>
      <c r="Q31" t="n">
        <v>2</v>
      </c>
      <c r="R31" s="2" t="inlineStr">
        <is>
          <t>Knärot
Bollvitmossa</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row>
    <row r="32" ht="15" customHeight="1">
      <c r="A32" t="inlineStr">
        <is>
          <t>A 3152-2022</t>
        </is>
      </c>
      <c r="B32" s="1" t="n">
        <v>44582</v>
      </c>
      <c r="C32" s="1" t="n">
        <v>45907</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40765-2025</t>
        </is>
      </c>
      <c r="B33" s="1" t="n">
        <v>45897.39886574074</v>
      </c>
      <c r="C33" s="1" t="n">
        <v>45907</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45907</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1518-2025</t>
        </is>
      </c>
      <c r="B35" s="1" t="n">
        <v>45670</v>
      </c>
      <c r="C35" s="1" t="n">
        <v>45907</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19352-2024</t>
        </is>
      </c>
      <c r="B36" s="1" t="n">
        <v>45429.29493055555</v>
      </c>
      <c r="C36" s="1" t="n">
        <v>45907</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59035-2023</t>
        </is>
      </c>
      <c r="B37" s="1" t="n">
        <v>45252</v>
      </c>
      <c r="C37" s="1" t="n">
        <v>45907</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451-2025</t>
        </is>
      </c>
      <c r="B38" s="1" t="n">
        <v>45664.39991898148</v>
      </c>
      <c r="C38" s="1" t="n">
        <v>45907</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53915-2022</t>
        </is>
      </c>
      <c r="B39" s="1" t="n">
        <v>44880.87587962963</v>
      </c>
      <c r="C39" s="1" t="n">
        <v>45907</v>
      </c>
      <c r="D39" t="inlineStr">
        <is>
          <t>DALARNAS LÄN</t>
        </is>
      </c>
      <c r="E39" t="inlineStr">
        <is>
          <t>HEDEMORA</t>
        </is>
      </c>
      <c r="F39" t="inlineStr">
        <is>
          <t>Sveaskog</t>
        </is>
      </c>
      <c r="G39" t="n">
        <v>5.3</v>
      </c>
      <c r="H39" t="n">
        <v>1</v>
      </c>
      <c r="I39" t="n">
        <v>0</v>
      </c>
      <c r="J39" t="n">
        <v>1</v>
      </c>
      <c r="K39" t="n">
        <v>0</v>
      </c>
      <c r="L39" t="n">
        <v>0</v>
      </c>
      <c r="M39" t="n">
        <v>0</v>
      </c>
      <c r="N39" t="n">
        <v>0</v>
      </c>
      <c r="O39" t="n">
        <v>1</v>
      </c>
      <c r="P39" t="n">
        <v>0</v>
      </c>
      <c r="Q39" t="n">
        <v>1</v>
      </c>
      <c r="R39" s="2" t="inlineStr">
        <is>
          <t>Talltita</t>
        </is>
      </c>
      <c r="S39">
        <f>HYPERLINK("https://klasma.github.io/Logging_2083/artfynd/A 53915-2022 artfynd.xlsx", "A 53915-2022")</f>
        <v/>
      </c>
      <c r="T39">
        <f>HYPERLINK("https://klasma.github.io/Logging_2083/kartor/A 53915-2022 karta.png", "A 53915-2022")</f>
        <v/>
      </c>
      <c r="V39">
        <f>HYPERLINK("https://klasma.github.io/Logging_2083/klagomål/A 53915-2022 FSC-klagomål.docx", "A 53915-2022")</f>
        <v/>
      </c>
      <c r="W39">
        <f>HYPERLINK("https://klasma.github.io/Logging_2083/klagomålsmail/A 53915-2022 FSC-klagomål mail.docx", "A 53915-2022")</f>
        <v/>
      </c>
      <c r="X39">
        <f>HYPERLINK("https://klasma.github.io/Logging_2083/tillsyn/A 53915-2022 tillsynsbegäran.docx", "A 53915-2022")</f>
        <v/>
      </c>
      <c r="Y39">
        <f>HYPERLINK("https://klasma.github.io/Logging_2083/tillsynsmail/A 53915-2022 tillsynsbegäran mail.docx", "A 53915-2022")</f>
        <v/>
      </c>
      <c r="Z39">
        <f>HYPERLINK("https://klasma.github.io/Logging_2083/fåglar/A 53915-2022 prioriterade fågelarter.docx", "A 53915-2022")</f>
        <v/>
      </c>
    </row>
    <row r="40" ht="15" customHeight="1">
      <c r="A40" t="inlineStr">
        <is>
          <t>A 9959-2021</t>
        </is>
      </c>
      <c r="B40" s="1" t="n">
        <v>44253</v>
      </c>
      <c r="C40" s="1" t="n">
        <v>45907</v>
      </c>
      <c r="D40" t="inlineStr">
        <is>
          <t>DALARNAS LÄN</t>
        </is>
      </c>
      <c r="E40" t="inlineStr">
        <is>
          <t>HEDEMORA</t>
        </is>
      </c>
      <c r="G40" t="n">
        <v>1.1</v>
      </c>
      <c r="H40" t="n">
        <v>1</v>
      </c>
      <c r="I40" t="n">
        <v>0</v>
      </c>
      <c r="J40" t="n">
        <v>0</v>
      </c>
      <c r="K40" t="n">
        <v>1</v>
      </c>
      <c r="L40" t="n">
        <v>0</v>
      </c>
      <c r="M40" t="n">
        <v>0</v>
      </c>
      <c r="N40" t="n">
        <v>0</v>
      </c>
      <c r="O40" t="n">
        <v>1</v>
      </c>
      <c r="P40" t="n">
        <v>1</v>
      </c>
      <c r="Q40" t="n">
        <v>1</v>
      </c>
      <c r="R40" s="2" t="inlineStr">
        <is>
          <t>Knärot</t>
        </is>
      </c>
      <c r="S40">
        <f>HYPERLINK("https://klasma.github.io/Logging_2083/artfynd/A 9959-2021 artfynd.xlsx", "A 9959-2021")</f>
        <v/>
      </c>
      <c r="T40">
        <f>HYPERLINK("https://klasma.github.io/Logging_2083/kartor/A 9959-2021 karta.png", "A 9959-2021")</f>
        <v/>
      </c>
      <c r="U40">
        <f>HYPERLINK("https://klasma.github.io/Logging_2083/knärot/A 9959-2021 karta knärot.png", "A 9959-2021")</f>
        <v/>
      </c>
      <c r="V40">
        <f>HYPERLINK("https://klasma.github.io/Logging_2083/klagomål/A 9959-2021 FSC-klagomål.docx", "A 9959-2021")</f>
        <v/>
      </c>
      <c r="W40">
        <f>HYPERLINK("https://klasma.github.io/Logging_2083/klagomålsmail/A 9959-2021 FSC-klagomål mail.docx", "A 9959-2021")</f>
        <v/>
      </c>
      <c r="X40">
        <f>HYPERLINK("https://klasma.github.io/Logging_2083/tillsyn/A 9959-2021 tillsynsbegäran.docx", "A 9959-2021")</f>
        <v/>
      </c>
      <c r="Y40">
        <f>HYPERLINK("https://klasma.github.io/Logging_2083/tillsynsmail/A 9959-2021 tillsynsbegäran mail.docx", "A 9959-2021")</f>
        <v/>
      </c>
    </row>
    <row r="41" ht="15" customHeight="1">
      <c r="A41" t="inlineStr">
        <is>
          <t>A 49889-2022</t>
        </is>
      </c>
      <c r="B41" s="1" t="n">
        <v>44864</v>
      </c>
      <c r="C41" s="1" t="n">
        <v>45907</v>
      </c>
      <c r="D41" t="inlineStr">
        <is>
          <t>DALARNAS LÄN</t>
        </is>
      </c>
      <c r="E41" t="inlineStr">
        <is>
          <t>HEDEMORA</t>
        </is>
      </c>
      <c r="F41" t="inlineStr">
        <is>
          <t>Sveaskog</t>
        </is>
      </c>
      <c r="G41" t="n">
        <v>6.8</v>
      </c>
      <c r="H41" t="n">
        <v>1</v>
      </c>
      <c r="I41" t="n">
        <v>0</v>
      </c>
      <c r="J41" t="n">
        <v>0</v>
      </c>
      <c r="K41" t="n">
        <v>1</v>
      </c>
      <c r="L41" t="n">
        <v>0</v>
      </c>
      <c r="M41" t="n">
        <v>0</v>
      </c>
      <c r="N41" t="n">
        <v>0</v>
      </c>
      <c r="O41" t="n">
        <v>1</v>
      </c>
      <c r="P41" t="n">
        <v>1</v>
      </c>
      <c r="Q41" t="n">
        <v>1</v>
      </c>
      <c r="R41" s="2" t="inlineStr">
        <is>
          <t>Knärot</t>
        </is>
      </c>
      <c r="S41">
        <f>HYPERLINK("https://klasma.github.io/Logging_2083/artfynd/A 49889-2022 artfynd.xlsx", "A 49889-2022")</f>
        <v/>
      </c>
      <c r="T41">
        <f>HYPERLINK("https://klasma.github.io/Logging_2083/kartor/A 49889-2022 karta.png", "A 49889-2022")</f>
        <v/>
      </c>
      <c r="U41">
        <f>HYPERLINK("https://klasma.github.io/Logging_2083/knärot/A 49889-2022 karta knärot.png", "A 49889-2022")</f>
        <v/>
      </c>
      <c r="V41">
        <f>HYPERLINK("https://klasma.github.io/Logging_2083/klagomål/A 49889-2022 FSC-klagomål.docx", "A 49889-2022")</f>
        <v/>
      </c>
      <c r="W41">
        <f>HYPERLINK("https://klasma.github.io/Logging_2083/klagomålsmail/A 49889-2022 FSC-klagomål mail.docx", "A 49889-2022")</f>
        <v/>
      </c>
      <c r="X41">
        <f>HYPERLINK("https://klasma.github.io/Logging_2083/tillsyn/A 49889-2022 tillsynsbegäran.docx", "A 49889-2022")</f>
        <v/>
      </c>
      <c r="Y41">
        <f>HYPERLINK("https://klasma.github.io/Logging_2083/tillsynsmail/A 49889-2022 tillsynsbegäran mail.docx", "A 49889-2022")</f>
        <v/>
      </c>
    </row>
    <row r="42" ht="15" customHeight="1">
      <c r="A42" t="inlineStr">
        <is>
          <t>A 53916-2022</t>
        </is>
      </c>
      <c r="B42" s="1" t="n">
        <v>44880.87695601852</v>
      </c>
      <c r="C42" s="1" t="n">
        <v>45907</v>
      </c>
      <c r="D42" t="inlineStr">
        <is>
          <t>DALARNAS LÄN</t>
        </is>
      </c>
      <c r="E42" t="inlineStr">
        <is>
          <t>HEDEMORA</t>
        </is>
      </c>
      <c r="F42" t="inlineStr">
        <is>
          <t>Sveaskog</t>
        </is>
      </c>
      <c r="G42" t="n">
        <v>12.1</v>
      </c>
      <c r="H42" t="n">
        <v>1</v>
      </c>
      <c r="I42" t="n">
        <v>0</v>
      </c>
      <c r="J42" t="n">
        <v>1</v>
      </c>
      <c r="K42" t="n">
        <v>0</v>
      </c>
      <c r="L42" t="n">
        <v>0</v>
      </c>
      <c r="M42" t="n">
        <v>0</v>
      </c>
      <c r="N42" t="n">
        <v>0</v>
      </c>
      <c r="O42" t="n">
        <v>1</v>
      </c>
      <c r="P42" t="n">
        <v>0</v>
      </c>
      <c r="Q42" t="n">
        <v>1</v>
      </c>
      <c r="R42" s="2" t="inlineStr">
        <is>
          <t>Spillkråka</t>
        </is>
      </c>
      <c r="S42">
        <f>HYPERLINK("https://klasma.github.io/Logging_2083/artfynd/A 53916-2022 artfynd.xlsx", "A 53916-2022")</f>
        <v/>
      </c>
      <c r="T42">
        <f>HYPERLINK("https://klasma.github.io/Logging_2083/kartor/A 53916-2022 karta.png", "A 53916-2022")</f>
        <v/>
      </c>
      <c r="V42">
        <f>HYPERLINK("https://klasma.github.io/Logging_2083/klagomål/A 53916-2022 FSC-klagomål.docx", "A 53916-2022")</f>
        <v/>
      </c>
      <c r="W42">
        <f>HYPERLINK("https://klasma.github.io/Logging_2083/klagomålsmail/A 53916-2022 FSC-klagomål mail.docx", "A 53916-2022")</f>
        <v/>
      </c>
      <c r="X42">
        <f>HYPERLINK("https://klasma.github.io/Logging_2083/tillsyn/A 53916-2022 tillsynsbegäran.docx", "A 53916-2022")</f>
        <v/>
      </c>
      <c r="Y42">
        <f>HYPERLINK("https://klasma.github.io/Logging_2083/tillsynsmail/A 53916-2022 tillsynsbegäran mail.docx", "A 53916-2022")</f>
        <v/>
      </c>
      <c r="Z42">
        <f>HYPERLINK("https://klasma.github.io/Logging_2083/fåglar/A 53916-2022 prioriterade fågelarter.docx", "A 53916-2022")</f>
        <v/>
      </c>
    </row>
    <row r="43" ht="15" customHeight="1">
      <c r="A43" t="inlineStr">
        <is>
          <t>A 42614-2024</t>
        </is>
      </c>
      <c r="B43" s="1" t="n">
        <v>45565</v>
      </c>
      <c r="C43" s="1" t="n">
        <v>45907</v>
      </c>
      <c r="D43" t="inlineStr">
        <is>
          <t>DALARNAS LÄN</t>
        </is>
      </c>
      <c r="E43" t="inlineStr">
        <is>
          <t>HEDEMORA</t>
        </is>
      </c>
      <c r="F43" t="inlineStr">
        <is>
          <t>Sveaskog</t>
        </is>
      </c>
      <c r="G43" t="n">
        <v>3</v>
      </c>
      <c r="H43" t="n">
        <v>1</v>
      </c>
      <c r="I43" t="n">
        <v>0</v>
      </c>
      <c r="J43" t="n">
        <v>1</v>
      </c>
      <c r="K43" t="n">
        <v>0</v>
      </c>
      <c r="L43" t="n">
        <v>0</v>
      </c>
      <c r="M43" t="n">
        <v>0</v>
      </c>
      <c r="N43" t="n">
        <v>0</v>
      </c>
      <c r="O43" t="n">
        <v>1</v>
      </c>
      <c r="P43" t="n">
        <v>0</v>
      </c>
      <c r="Q43" t="n">
        <v>1</v>
      </c>
      <c r="R43" s="2" t="inlineStr">
        <is>
          <t>Talltita</t>
        </is>
      </c>
      <c r="S43">
        <f>HYPERLINK("https://klasma.github.io/Logging_2083/artfynd/A 42614-2024 artfynd.xlsx", "A 42614-2024")</f>
        <v/>
      </c>
      <c r="T43">
        <f>HYPERLINK("https://klasma.github.io/Logging_2083/kartor/A 42614-2024 karta.png", "A 42614-2024")</f>
        <v/>
      </c>
      <c r="V43">
        <f>HYPERLINK("https://klasma.github.io/Logging_2083/klagomål/A 42614-2024 FSC-klagomål.docx", "A 42614-2024")</f>
        <v/>
      </c>
      <c r="W43">
        <f>HYPERLINK("https://klasma.github.io/Logging_2083/klagomålsmail/A 42614-2024 FSC-klagomål mail.docx", "A 42614-2024")</f>
        <v/>
      </c>
      <c r="X43">
        <f>HYPERLINK("https://klasma.github.io/Logging_2083/tillsyn/A 42614-2024 tillsynsbegäran.docx", "A 42614-2024")</f>
        <v/>
      </c>
      <c r="Y43">
        <f>HYPERLINK("https://klasma.github.io/Logging_2083/tillsynsmail/A 42614-2024 tillsynsbegäran mail.docx", "A 42614-2024")</f>
        <v/>
      </c>
      <c r="Z43">
        <f>HYPERLINK("https://klasma.github.io/Logging_2083/fåglar/A 42614-2024 prioriterade fågelarter.docx", "A 42614-2024")</f>
        <v/>
      </c>
    </row>
    <row r="44" ht="15" customHeight="1">
      <c r="A44" t="inlineStr">
        <is>
          <t>A 19094-2025</t>
        </is>
      </c>
      <c r="B44" s="1" t="n">
        <v>45767.54942129629</v>
      </c>
      <c r="C44" s="1" t="n">
        <v>45907</v>
      </c>
      <c r="D44" t="inlineStr">
        <is>
          <t>DALARNAS LÄN</t>
        </is>
      </c>
      <c r="E44" t="inlineStr">
        <is>
          <t>HEDEMORA</t>
        </is>
      </c>
      <c r="F44" t="inlineStr">
        <is>
          <t>Sveaskog</t>
        </is>
      </c>
      <c r="G44" t="n">
        <v>16.9</v>
      </c>
      <c r="H44" t="n">
        <v>1</v>
      </c>
      <c r="I44" t="n">
        <v>1</v>
      </c>
      <c r="J44" t="n">
        <v>0</v>
      </c>
      <c r="K44" t="n">
        <v>0</v>
      </c>
      <c r="L44" t="n">
        <v>0</v>
      </c>
      <c r="M44" t="n">
        <v>0</v>
      </c>
      <c r="N44" t="n">
        <v>0</v>
      </c>
      <c r="O44" t="n">
        <v>0</v>
      </c>
      <c r="P44" t="n">
        <v>0</v>
      </c>
      <c r="Q44" t="n">
        <v>1</v>
      </c>
      <c r="R44" s="2" t="inlineStr">
        <is>
          <t>Plattlummer</t>
        </is>
      </c>
      <c r="S44">
        <f>HYPERLINK("https://klasma.github.io/Logging_2083/artfynd/A 19094-2025 artfynd.xlsx", "A 19094-2025")</f>
        <v/>
      </c>
      <c r="T44">
        <f>HYPERLINK("https://klasma.github.io/Logging_2083/kartor/A 19094-2025 karta.png", "A 19094-2025")</f>
        <v/>
      </c>
      <c r="V44">
        <f>HYPERLINK("https://klasma.github.io/Logging_2083/klagomål/A 19094-2025 FSC-klagomål.docx", "A 19094-2025")</f>
        <v/>
      </c>
      <c r="W44">
        <f>HYPERLINK("https://klasma.github.io/Logging_2083/klagomålsmail/A 19094-2025 FSC-klagomål mail.docx", "A 19094-2025")</f>
        <v/>
      </c>
      <c r="X44">
        <f>HYPERLINK("https://klasma.github.io/Logging_2083/tillsyn/A 19094-2025 tillsynsbegäran.docx", "A 19094-2025")</f>
        <v/>
      </c>
      <c r="Y44">
        <f>HYPERLINK("https://klasma.github.io/Logging_2083/tillsynsmail/A 19094-2025 tillsynsbegäran mail.docx", "A 19094-2025")</f>
        <v/>
      </c>
    </row>
    <row r="45" ht="15" customHeight="1">
      <c r="A45" t="inlineStr">
        <is>
          <t>A 23815-2023</t>
        </is>
      </c>
      <c r="B45" s="1" t="n">
        <v>45078</v>
      </c>
      <c r="C45" s="1" t="n">
        <v>45907</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45907</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52941-2024</t>
        </is>
      </c>
      <c r="B47" s="1" t="n">
        <v>45610.80650462963</v>
      </c>
      <c r="C47" s="1" t="n">
        <v>45907</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28181-2025</t>
        </is>
      </c>
      <c r="B48" s="1" t="n">
        <v>45818.39921296296</v>
      </c>
      <c r="C48" s="1" t="n">
        <v>45907</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60017-2024</t>
        </is>
      </c>
      <c r="B49" s="1" t="n">
        <v>45642</v>
      </c>
      <c r="C49" s="1" t="n">
        <v>45907</v>
      </c>
      <c r="D49" t="inlineStr">
        <is>
          <t>DALARNAS LÄN</t>
        </is>
      </c>
      <c r="E49" t="inlineStr">
        <is>
          <t>HEDEMORA</t>
        </is>
      </c>
      <c r="F49" t="inlineStr">
        <is>
          <t>Sveaskog</t>
        </is>
      </c>
      <c r="G49" t="n">
        <v>0.5</v>
      </c>
      <c r="H49" t="n">
        <v>1</v>
      </c>
      <c r="I49" t="n">
        <v>0</v>
      </c>
      <c r="J49" t="n">
        <v>0</v>
      </c>
      <c r="K49" t="n">
        <v>1</v>
      </c>
      <c r="L49" t="n">
        <v>0</v>
      </c>
      <c r="M49" t="n">
        <v>0</v>
      </c>
      <c r="N49" t="n">
        <v>0</v>
      </c>
      <c r="O49" t="n">
        <v>1</v>
      </c>
      <c r="P49" t="n">
        <v>1</v>
      </c>
      <c r="Q49" t="n">
        <v>1</v>
      </c>
      <c r="R49" s="2" t="inlineStr">
        <is>
          <t>Knärot</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33968-2025</t>
        </is>
      </c>
      <c r="B50" s="1" t="n">
        <v>45842</v>
      </c>
      <c r="C50" s="1" t="n">
        <v>45907</v>
      </c>
      <c r="D50" t="inlineStr">
        <is>
          <t>DALARNAS LÄN</t>
        </is>
      </c>
      <c r="E50" t="inlineStr">
        <is>
          <t>HEDEMORA</t>
        </is>
      </c>
      <c r="F50" t="inlineStr">
        <is>
          <t>Sveaskog</t>
        </is>
      </c>
      <c r="G50" t="n">
        <v>1.6</v>
      </c>
      <c r="H50" t="n">
        <v>1</v>
      </c>
      <c r="I50" t="n">
        <v>1</v>
      </c>
      <c r="J50" t="n">
        <v>0</v>
      </c>
      <c r="K50" t="n">
        <v>0</v>
      </c>
      <c r="L50" t="n">
        <v>0</v>
      </c>
      <c r="M50" t="n">
        <v>0</v>
      </c>
      <c r="N50" t="n">
        <v>0</v>
      </c>
      <c r="O50" t="n">
        <v>0</v>
      </c>
      <c r="P50" t="n">
        <v>0</v>
      </c>
      <c r="Q50" t="n">
        <v>1</v>
      </c>
      <c r="R50" s="2" t="inlineStr">
        <is>
          <t>Plattlummer</t>
        </is>
      </c>
      <c r="S50">
        <f>HYPERLINK("https://klasma.github.io/Logging_2083/artfynd/A 33968-2025 artfynd.xlsx", "A 33968-2025")</f>
        <v/>
      </c>
      <c r="T50">
        <f>HYPERLINK("https://klasma.github.io/Logging_2083/kartor/A 33968-2025 karta.png", "A 33968-2025")</f>
        <v/>
      </c>
      <c r="V50">
        <f>HYPERLINK("https://klasma.github.io/Logging_2083/klagomål/A 33968-2025 FSC-klagomål.docx", "A 33968-2025")</f>
        <v/>
      </c>
      <c r="W50">
        <f>HYPERLINK("https://klasma.github.io/Logging_2083/klagomålsmail/A 33968-2025 FSC-klagomål mail.docx", "A 33968-2025")</f>
        <v/>
      </c>
      <c r="X50">
        <f>HYPERLINK("https://klasma.github.io/Logging_2083/tillsyn/A 33968-2025 tillsynsbegäran.docx", "A 33968-2025")</f>
        <v/>
      </c>
      <c r="Y50">
        <f>HYPERLINK("https://klasma.github.io/Logging_2083/tillsynsmail/A 33968-2025 tillsynsbegäran mail.docx", "A 33968-2025")</f>
        <v/>
      </c>
    </row>
    <row r="51" ht="15" customHeight="1">
      <c r="A51" t="inlineStr">
        <is>
          <t>A 39396-2025</t>
        </is>
      </c>
      <c r="B51" s="1" t="n">
        <v>45889.63289351852</v>
      </c>
      <c r="C51" s="1" t="n">
        <v>45907</v>
      </c>
      <c r="D51" t="inlineStr">
        <is>
          <t>DALARNAS LÄN</t>
        </is>
      </c>
      <c r="E51" t="inlineStr">
        <is>
          <t>HEDEMORA</t>
        </is>
      </c>
      <c r="F51" t="inlineStr">
        <is>
          <t>Sveaskog</t>
        </is>
      </c>
      <c r="G51" t="n">
        <v>4.3</v>
      </c>
      <c r="H51" t="n">
        <v>1</v>
      </c>
      <c r="I51" t="n">
        <v>0</v>
      </c>
      <c r="J51" t="n">
        <v>0</v>
      </c>
      <c r="K51" t="n">
        <v>1</v>
      </c>
      <c r="L51" t="n">
        <v>0</v>
      </c>
      <c r="M51" t="n">
        <v>0</v>
      </c>
      <c r="N51" t="n">
        <v>0</v>
      </c>
      <c r="O51" t="n">
        <v>1</v>
      </c>
      <c r="P51" t="n">
        <v>1</v>
      </c>
      <c r="Q51" t="n">
        <v>1</v>
      </c>
      <c r="R51" s="2" t="inlineStr">
        <is>
          <t>Knärot</t>
        </is>
      </c>
      <c r="S51">
        <f>HYPERLINK("https://klasma.github.io/Logging_2083/artfynd/A 39396-2025 artfynd.xlsx", "A 39396-2025")</f>
        <v/>
      </c>
      <c r="T51">
        <f>HYPERLINK("https://klasma.github.io/Logging_2083/kartor/A 39396-2025 karta.png", "A 39396-2025")</f>
        <v/>
      </c>
      <c r="U51">
        <f>HYPERLINK("https://klasma.github.io/Logging_2083/knärot/A 39396-2025 karta knärot.png", "A 39396-2025")</f>
        <v/>
      </c>
      <c r="V51">
        <f>HYPERLINK("https://klasma.github.io/Logging_2083/klagomål/A 39396-2025 FSC-klagomål.docx", "A 39396-2025")</f>
        <v/>
      </c>
      <c r="W51">
        <f>HYPERLINK("https://klasma.github.io/Logging_2083/klagomålsmail/A 39396-2025 FSC-klagomål mail.docx", "A 39396-2025")</f>
        <v/>
      </c>
      <c r="X51">
        <f>HYPERLINK("https://klasma.github.io/Logging_2083/tillsyn/A 39396-2025 tillsynsbegäran.docx", "A 39396-2025")</f>
        <v/>
      </c>
      <c r="Y51">
        <f>HYPERLINK("https://klasma.github.io/Logging_2083/tillsynsmail/A 39396-2025 tillsynsbegäran mail.docx", "A 39396-2025")</f>
        <v/>
      </c>
    </row>
    <row r="52" ht="15" customHeight="1">
      <c r="A52" t="inlineStr">
        <is>
          <t>A 15036-2025</t>
        </is>
      </c>
      <c r="B52" s="1" t="n">
        <v>45743.68125</v>
      </c>
      <c r="C52" s="1" t="n">
        <v>45907</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41333-2025</t>
        </is>
      </c>
      <c r="B53" s="1" t="n">
        <v>45899.35854166667</v>
      </c>
      <c r="C53" s="1" t="n">
        <v>45907</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15058-2025</t>
        </is>
      </c>
      <c r="B54" s="1" t="n">
        <v>45743.70716435185</v>
      </c>
      <c r="C54" s="1" t="n">
        <v>45907</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53031-2023</t>
        </is>
      </c>
      <c r="B55" s="1" t="n">
        <v>45226</v>
      </c>
      <c r="C55" s="1" t="n">
        <v>45907</v>
      </c>
      <c r="D55" t="inlineStr">
        <is>
          <t>DALARNAS LÄN</t>
        </is>
      </c>
      <c r="E55" t="inlineStr">
        <is>
          <t>HEDEMORA</t>
        </is>
      </c>
      <c r="F55" t="inlineStr">
        <is>
          <t>Sveaskog</t>
        </is>
      </c>
      <c r="G55" t="n">
        <v>6.9</v>
      </c>
      <c r="H55" t="n">
        <v>1</v>
      </c>
      <c r="I55" t="n">
        <v>0</v>
      </c>
      <c r="J55" t="n">
        <v>1</v>
      </c>
      <c r="K55" t="n">
        <v>0</v>
      </c>
      <c r="L55" t="n">
        <v>0</v>
      </c>
      <c r="M55" t="n">
        <v>0</v>
      </c>
      <c r="N55" t="n">
        <v>0</v>
      </c>
      <c r="O55" t="n">
        <v>1</v>
      </c>
      <c r="P55" t="n">
        <v>0</v>
      </c>
      <c r="Q55" t="n">
        <v>1</v>
      </c>
      <c r="R55" s="2" t="inlineStr">
        <is>
          <t>Talltita</t>
        </is>
      </c>
      <c r="S55">
        <f>HYPERLINK("https://klasma.github.io/Logging_2083/artfynd/A 53031-2023 artfynd.xlsx", "A 53031-2023")</f>
        <v/>
      </c>
      <c r="T55">
        <f>HYPERLINK("https://klasma.github.io/Logging_2083/kartor/A 53031-2023 karta.png", "A 53031-2023")</f>
        <v/>
      </c>
      <c r="V55">
        <f>HYPERLINK("https://klasma.github.io/Logging_2083/klagomål/A 53031-2023 FSC-klagomål.docx", "A 53031-2023")</f>
        <v/>
      </c>
      <c r="W55">
        <f>HYPERLINK("https://klasma.github.io/Logging_2083/klagomålsmail/A 53031-2023 FSC-klagomål mail.docx", "A 53031-2023")</f>
        <v/>
      </c>
      <c r="X55">
        <f>HYPERLINK("https://klasma.github.io/Logging_2083/tillsyn/A 53031-2023 tillsynsbegäran.docx", "A 53031-2023")</f>
        <v/>
      </c>
      <c r="Y55">
        <f>HYPERLINK("https://klasma.github.io/Logging_2083/tillsynsmail/A 53031-2023 tillsynsbegäran mail.docx", "A 53031-2023")</f>
        <v/>
      </c>
      <c r="Z55">
        <f>HYPERLINK("https://klasma.github.io/Logging_2083/fåglar/A 53031-2023 prioriterade fågelarter.docx", "A 53031-2023")</f>
        <v/>
      </c>
    </row>
    <row r="56" ht="15" customHeight="1">
      <c r="A56" t="inlineStr">
        <is>
          <t>A 53924-2024</t>
        </is>
      </c>
      <c r="B56" s="1" t="n">
        <v>45615</v>
      </c>
      <c r="C56" s="1" t="n">
        <v>45907</v>
      </c>
      <c r="D56" t="inlineStr">
        <is>
          <t>DALARNAS LÄN</t>
        </is>
      </c>
      <c r="E56" t="inlineStr">
        <is>
          <t>HEDEMORA</t>
        </is>
      </c>
      <c r="F56" t="inlineStr">
        <is>
          <t>Sveaskog</t>
        </is>
      </c>
      <c r="G56" t="n">
        <v>3.8</v>
      </c>
      <c r="H56" t="n">
        <v>1</v>
      </c>
      <c r="I56" t="n">
        <v>1</v>
      </c>
      <c r="J56" t="n">
        <v>0</v>
      </c>
      <c r="K56" t="n">
        <v>0</v>
      </c>
      <c r="L56" t="n">
        <v>0</v>
      </c>
      <c r="M56" t="n">
        <v>0</v>
      </c>
      <c r="N56" t="n">
        <v>0</v>
      </c>
      <c r="O56" t="n">
        <v>0</v>
      </c>
      <c r="P56" t="n">
        <v>0</v>
      </c>
      <c r="Q56" t="n">
        <v>1</v>
      </c>
      <c r="R56" s="2" t="inlineStr">
        <is>
          <t>Plattlummer</t>
        </is>
      </c>
      <c r="S56">
        <f>HYPERLINK("https://klasma.github.io/Logging_2083/artfynd/A 53924-2024 artfynd.xlsx", "A 53924-2024")</f>
        <v/>
      </c>
      <c r="T56">
        <f>HYPERLINK("https://klasma.github.io/Logging_2083/kartor/A 53924-2024 karta.png", "A 53924-2024")</f>
        <v/>
      </c>
      <c r="V56">
        <f>HYPERLINK("https://klasma.github.io/Logging_2083/klagomål/A 53924-2024 FSC-klagomål.docx", "A 53924-2024")</f>
        <v/>
      </c>
      <c r="W56">
        <f>HYPERLINK("https://klasma.github.io/Logging_2083/klagomålsmail/A 53924-2024 FSC-klagomål mail.docx", "A 53924-2024")</f>
        <v/>
      </c>
      <c r="X56">
        <f>HYPERLINK("https://klasma.github.io/Logging_2083/tillsyn/A 53924-2024 tillsynsbegäran.docx", "A 53924-2024")</f>
        <v/>
      </c>
      <c r="Y56">
        <f>HYPERLINK("https://klasma.github.io/Logging_2083/tillsynsmail/A 53924-2024 tillsynsbegäran mail.docx", "A 53924-2024")</f>
        <v/>
      </c>
    </row>
    <row r="57" ht="15" customHeight="1">
      <c r="A57" t="inlineStr">
        <is>
          <t>A 12905-2025</t>
        </is>
      </c>
      <c r="B57" s="1" t="n">
        <v>45733</v>
      </c>
      <c r="C57" s="1" t="n">
        <v>45907</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17590-2025</t>
        </is>
      </c>
      <c r="B58" s="1" t="n">
        <v>45757.69396990741</v>
      </c>
      <c r="C58" s="1" t="n">
        <v>45907</v>
      </c>
      <c r="D58" t="inlineStr">
        <is>
          <t>DALARNAS LÄN</t>
        </is>
      </c>
      <c r="E58" t="inlineStr">
        <is>
          <t>HEDEMORA</t>
        </is>
      </c>
      <c r="G58" t="n">
        <v>0.6</v>
      </c>
      <c r="H58" t="n">
        <v>0</v>
      </c>
      <c r="I58" t="n">
        <v>0</v>
      </c>
      <c r="J58" t="n">
        <v>1</v>
      </c>
      <c r="K58" t="n">
        <v>0</v>
      </c>
      <c r="L58" t="n">
        <v>0</v>
      </c>
      <c r="M58" t="n">
        <v>0</v>
      </c>
      <c r="N58" t="n">
        <v>0</v>
      </c>
      <c r="O58" t="n">
        <v>1</v>
      </c>
      <c r="P58" t="n">
        <v>0</v>
      </c>
      <c r="Q58" t="n">
        <v>1</v>
      </c>
      <c r="R58" s="2" t="inlineStr">
        <is>
          <t>Garnlav</t>
        </is>
      </c>
      <c r="S58">
        <f>HYPERLINK("https://klasma.github.io/Logging_2083/artfynd/A 17590-2025 artfynd.xlsx", "A 17590-2025")</f>
        <v/>
      </c>
      <c r="T58">
        <f>HYPERLINK("https://klasma.github.io/Logging_2083/kartor/A 17590-2025 karta.png", "A 17590-2025")</f>
        <v/>
      </c>
      <c r="V58">
        <f>HYPERLINK("https://klasma.github.io/Logging_2083/klagomål/A 17590-2025 FSC-klagomål.docx", "A 17590-2025")</f>
        <v/>
      </c>
      <c r="W58">
        <f>HYPERLINK("https://klasma.github.io/Logging_2083/klagomålsmail/A 17590-2025 FSC-klagomål mail.docx", "A 17590-2025")</f>
        <v/>
      </c>
      <c r="X58">
        <f>HYPERLINK("https://klasma.github.io/Logging_2083/tillsyn/A 17590-2025 tillsynsbegäran.docx", "A 17590-2025")</f>
        <v/>
      </c>
      <c r="Y58">
        <f>HYPERLINK("https://klasma.github.io/Logging_2083/tillsynsmail/A 17590-2025 tillsynsbegäran mail.docx", "A 17590-2025")</f>
        <v/>
      </c>
    </row>
    <row r="59" ht="15" customHeight="1">
      <c r="A59" t="inlineStr">
        <is>
          <t>A 13986-2023</t>
        </is>
      </c>
      <c r="B59" s="1" t="n">
        <v>45008</v>
      </c>
      <c r="C59" s="1" t="n">
        <v>45907</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45907</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45907</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15125-2021</t>
        </is>
      </c>
      <c r="B62" s="1" t="n">
        <v>44283</v>
      </c>
      <c r="C62" s="1" t="n">
        <v>45907</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67288-2021</t>
        </is>
      </c>
      <c r="B63" s="1" t="n">
        <v>44523.61842592592</v>
      </c>
      <c r="C63" s="1" t="n">
        <v>45907</v>
      </c>
      <c r="D63" t="inlineStr">
        <is>
          <t>DALARNAS LÄN</t>
        </is>
      </c>
      <c r="E63" t="inlineStr">
        <is>
          <t>HEDEMORA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295-2022</t>
        </is>
      </c>
      <c r="B64" s="1" t="n">
        <v>44565</v>
      </c>
      <c r="C64" s="1" t="n">
        <v>45907</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32748-2022</t>
        </is>
      </c>
      <c r="B65" s="1" t="n">
        <v>44783.71745370371</v>
      </c>
      <c r="C65" s="1" t="n">
        <v>45907</v>
      </c>
      <c r="D65" t="inlineStr">
        <is>
          <t>DALARNAS LÄN</t>
        </is>
      </c>
      <c r="E65" t="inlineStr">
        <is>
          <t>HEDEMORA</t>
        </is>
      </c>
      <c r="G65" t="n">
        <v>1</v>
      </c>
      <c r="H65" t="n">
        <v>0</v>
      </c>
      <c r="I65" t="n">
        <v>0</v>
      </c>
      <c r="J65" t="n">
        <v>0</v>
      </c>
      <c r="K65" t="n">
        <v>0</v>
      </c>
      <c r="L65" t="n">
        <v>0</v>
      </c>
      <c r="M65" t="n">
        <v>0</v>
      </c>
      <c r="N65" t="n">
        <v>0</v>
      </c>
      <c r="O65" t="n">
        <v>0</v>
      </c>
      <c r="P65" t="n">
        <v>0</v>
      </c>
      <c r="Q65" t="n">
        <v>0</v>
      </c>
      <c r="R65" s="2" t="inlineStr"/>
    </row>
    <row r="66" ht="15" customHeight="1">
      <c r="A66" t="inlineStr">
        <is>
          <t>A 653-2021</t>
        </is>
      </c>
      <c r="B66" s="1" t="n">
        <v>44203</v>
      </c>
      <c r="C66" s="1" t="n">
        <v>45907</v>
      </c>
      <c r="D66" t="inlineStr">
        <is>
          <t>DALARNAS LÄN</t>
        </is>
      </c>
      <c r="E66" t="inlineStr">
        <is>
          <t>HEDEMORA</t>
        </is>
      </c>
      <c r="G66" t="n">
        <v>3.8</v>
      </c>
      <c r="H66" t="n">
        <v>0</v>
      </c>
      <c r="I66" t="n">
        <v>0</v>
      </c>
      <c r="J66" t="n">
        <v>0</v>
      </c>
      <c r="K66" t="n">
        <v>0</v>
      </c>
      <c r="L66" t="n">
        <v>0</v>
      </c>
      <c r="M66" t="n">
        <v>0</v>
      </c>
      <c r="N66" t="n">
        <v>0</v>
      </c>
      <c r="O66" t="n">
        <v>0</v>
      </c>
      <c r="P66" t="n">
        <v>0</v>
      </c>
      <c r="Q66" t="n">
        <v>0</v>
      </c>
      <c r="R66" s="2" t="inlineStr"/>
    </row>
    <row r="67" ht="15" customHeight="1">
      <c r="A67" t="inlineStr">
        <is>
          <t>A 55195-2021</t>
        </is>
      </c>
      <c r="B67" s="1" t="n">
        <v>44475.35819444444</v>
      </c>
      <c r="C67" s="1" t="n">
        <v>45907</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20353-2021</t>
        </is>
      </c>
      <c r="B68" s="1" t="n">
        <v>44315.4233912037</v>
      </c>
      <c r="C68" s="1" t="n">
        <v>45907</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52221-2021</t>
        </is>
      </c>
      <c r="B69" s="1" t="n">
        <v>44462</v>
      </c>
      <c r="C69" s="1" t="n">
        <v>45907</v>
      </c>
      <c r="D69" t="inlineStr">
        <is>
          <t>DALARNAS LÄN</t>
        </is>
      </c>
      <c r="E69" t="inlineStr">
        <is>
          <t>HEDEMORA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45741-2022</t>
        </is>
      </c>
      <c r="B70" s="1" t="n">
        <v>44846.33142361111</v>
      </c>
      <c r="C70" s="1" t="n">
        <v>45907</v>
      </c>
      <c r="D70" t="inlineStr">
        <is>
          <t>DALARNAS LÄN</t>
        </is>
      </c>
      <c r="E70" t="inlineStr">
        <is>
          <t>HEDEMORA</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54198-2022</t>
        </is>
      </c>
      <c r="B71" s="1" t="n">
        <v>44881.69982638889</v>
      </c>
      <c r="C71" s="1" t="n">
        <v>45907</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52425-2021</t>
        </is>
      </c>
      <c r="B72" s="1" t="n">
        <v>44466.33798611111</v>
      </c>
      <c r="C72" s="1" t="n">
        <v>45907</v>
      </c>
      <c r="D72" t="inlineStr">
        <is>
          <t>DALARNAS LÄN</t>
        </is>
      </c>
      <c r="E72" t="inlineStr">
        <is>
          <t>HEDEMORA</t>
        </is>
      </c>
      <c r="G72" t="n">
        <v>2.3</v>
      </c>
      <c r="H72" t="n">
        <v>0</v>
      </c>
      <c r="I72" t="n">
        <v>0</v>
      </c>
      <c r="J72" t="n">
        <v>0</v>
      </c>
      <c r="K72" t="n">
        <v>0</v>
      </c>
      <c r="L72" t="n">
        <v>0</v>
      </c>
      <c r="M72" t="n">
        <v>0</v>
      </c>
      <c r="N72" t="n">
        <v>0</v>
      </c>
      <c r="O72" t="n">
        <v>0</v>
      </c>
      <c r="P72" t="n">
        <v>0</v>
      </c>
      <c r="Q72" t="n">
        <v>0</v>
      </c>
      <c r="R72" s="2" t="inlineStr"/>
    </row>
    <row r="73" ht="15" customHeight="1">
      <c r="A73" t="inlineStr">
        <is>
          <t>A 35806-2022</t>
        </is>
      </c>
      <c r="B73" s="1" t="n">
        <v>44802</v>
      </c>
      <c r="C73" s="1" t="n">
        <v>45907</v>
      </c>
      <c r="D73" t="inlineStr">
        <is>
          <t>DALARNAS LÄN</t>
        </is>
      </c>
      <c r="E73" t="inlineStr">
        <is>
          <t>HEDEMORA</t>
        </is>
      </c>
      <c r="G73" t="n">
        <v>1.3</v>
      </c>
      <c r="H73" t="n">
        <v>0</v>
      </c>
      <c r="I73" t="n">
        <v>0</v>
      </c>
      <c r="J73" t="n">
        <v>0</v>
      </c>
      <c r="K73" t="n">
        <v>0</v>
      </c>
      <c r="L73" t="n">
        <v>0</v>
      </c>
      <c r="M73" t="n">
        <v>0</v>
      </c>
      <c r="N73" t="n">
        <v>0</v>
      </c>
      <c r="O73" t="n">
        <v>0</v>
      </c>
      <c r="P73" t="n">
        <v>0</v>
      </c>
      <c r="Q73" t="n">
        <v>0</v>
      </c>
      <c r="R73" s="2" t="inlineStr"/>
    </row>
    <row r="74" ht="15" customHeight="1">
      <c r="A74" t="inlineStr">
        <is>
          <t>A 15290-2021</t>
        </is>
      </c>
      <c r="B74" s="1" t="n">
        <v>44284.59565972222</v>
      </c>
      <c r="C74" s="1" t="n">
        <v>45907</v>
      </c>
      <c r="D74" t="inlineStr">
        <is>
          <t>DALARNAS LÄN</t>
        </is>
      </c>
      <c r="E74" t="inlineStr">
        <is>
          <t>HEDEMORA</t>
        </is>
      </c>
      <c r="G74" t="n">
        <v>0.7</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45907</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51167-2022</t>
        </is>
      </c>
      <c r="B76" s="1" t="n">
        <v>44868.54824074074</v>
      </c>
      <c r="C76" s="1" t="n">
        <v>45907</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68457-2021</t>
        </is>
      </c>
      <c r="B77" s="1" t="n">
        <v>44529</v>
      </c>
      <c r="C77" s="1" t="n">
        <v>45907</v>
      </c>
      <c r="D77" t="inlineStr">
        <is>
          <t>DALARNAS LÄN</t>
        </is>
      </c>
      <c r="E77" t="inlineStr">
        <is>
          <t>HEDEMORA</t>
        </is>
      </c>
      <c r="G77" t="n">
        <v>1.9</v>
      </c>
      <c r="H77" t="n">
        <v>0</v>
      </c>
      <c r="I77" t="n">
        <v>0</v>
      </c>
      <c r="J77" t="n">
        <v>0</v>
      </c>
      <c r="K77" t="n">
        <v>0</v>
      </c>
      <c r="L77" t="n">
        <v>0</v>
      </c>
      <c r="M77" t="n">
        <v>0</v>
      </c>
      <c r="N77" t="n">
        <v>0</v>
      </c>
      <c r="O77" t="n">
        <v>0</v>
      </c>
      <c r="P77" t="n">
        <v>0</v>
      </c>
      <c r="Q77" t="n">
        <v>0</v>
      </c>
      <c r="R77" s="2" t="inlineStr"/>
    </row>
    <row r="78" ht="15" customHeight="1">
      <c r="A78" t="inlineStr">
        <is>
          <t>A 4030-2022</t>
        </is>
      </c>
      <c r="B78" s="1" t="n">
        <v>44588</v>
      </c>
      <c r="C78" s="1" t="n">
        <v>45907</v>
      </c>
      <c r="D78" t="inlineStr">
        <is>
          <t>DALARNAS LÄN</t>
        </is>
      </c>
      <c r="E78" t="inlineStr">
        <is>
          <t>HEDEMORA</t>
        </is>
      </c>
      <c r="F78" t="inlineStr">
        <is>
          <t>Kyrkan</t>
        </is>
      </c>
      <c r="G78" t="n">
        <v>2.1</v>
      </c>
      <c r="H78" t="n">
        <v>0</v>
      </c>
      <c r="I78" t="n">
        <v>0</v>
      </c>
      <c r="J78" t="n">
        <v>0</v>
      </c>
      <c r="K78" t="n">
        <v>0</v>
      </c>
      <c r="L78" t="n">
        <v>0</v>
      </c>
      <c r="M78" t="n">
        <v>0</v>
      </c>
      <c r="N78" t="n">
        <v>0</v>
      </c>
      <c r="O78" t="n">
        <v>0</v>
      </c>
      <c r="P78" t="n">
        <v>0</v>
      </c>
      <c r="Q78" t="n">
        <v>0</v>
      </c>
      <c r="R78" s="2" t="inlineStr"/>
    </row>
    <row r="79" ht="15" customHeight="1">
      <c r="A79" t="inlineStr">
        <is>
          <t>A 54347-2020</t>
        </is>
      </c>
      <c r="B79" s="1" t="n">
        <v>44126</v>
      </c>
      <c r="C79" s="1" t="n">
        <v>45907</v>
      </c>
      <c r="D79" t="inlineStr">
        <is>
          <t>DALARNAS LÄN</t>
        </is>
      </c>
      <c r="E79" t="inlineStr">
        <is>
          <t>HEDEMORA</t>
        </is>
      </c>
      <c r="G79" t="n">
        <v>4.1</v>
      </c>
      <c r="H79" t="n">
        <v>0</v>
      </c>
      <c r="I79" t="n">
        <v>0</v>
      </c>
      <c r="J79" t="n">
        <v>0</v>
      </c>
      <c r="K79" t="n">
        <v>0</v>
      </c>
      <c r="L79" t="n">
        <v>0</v>
      </c>
      <c r="M79" t="n">
        <v>0</v>
      </c>
      <c r="N79" t="n">
        <v>0</v>
      </c>
      <c r="O79" t="n">
        <v>0</v>
      </c>
      <c r="P79" t="n">
        <v>0</v>
      </c>
      <c r="Q79" t="n">
        <v>0</v>
      </c>
      <c r="R79" s="2" t="inlineStr"/>
    </row>
    <row r="80" ht="15" customHeight="1">
      <c r="A80" t="inlineStr">
        <is>
          <t>A 1916-2021</t>
        </is>
      </c>
      <c r="B80" s="1" t="n">
        <v>44210</v>
      </c>
      <c r="C80" s="1" t="n">
        <v>45907</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51181-2022</t>
        </is>
      </c>
      <c r="B81" s="1" t="n">
        <v>44868.5756712963</v>
      </c>
      <c r="C81" s="1" t="n">
        <v>45907</v>
      </c>
      <c r="D81" t="inlineStr">
        <is>
          <t>DALARNAS LÄN</t>
        </is>
      </c>
      <c r="E81" t="inlineStr">
        <is>
          <t>HEDEMORA</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39506-2022</t>
        </is>
      </c>
      <c r="B82" s="1" t="n">
        <v>44817</v>
      </c>
      <c r="C82" s="1" t="n">
        <v>45907</v>
      </c>
      <c r="D82" t="inlineStr">
        <is>
          <t>DALARNAS LÄN</t>
        </is>
      </c>
      <c r="E82" t="inlineStr">
        <is>
          <t>HEDEMORA</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46235-2021</t>
        </is>
      </c>
      <c r="B83" s="1" t="n">
        <v>44442</v>
      </c>
      <c r="C83" s="1" t="n">
        <v>45907</v>
      </c>
      <c r="D83" t="inlineStr">
        <is>
          <t>DALARNAS LÄN</t>
        </is>
      </c>
      <c r="E83" t="inlineStr">
        <is>
          <t>HEDEMORA</t>
        </is>
      </c>
      <c r="G83" t="n">
        <v>2.5</v>
      </c>
      <c r="H83" t="n">
        <v>0</v>
      </c>
      <c r="I83" t="n">
        <v>0</v>
      </c>
      <c r="J83" t="n">
        <v>0</v>
      </c>
      <c r="K83" t="n">
        <v>0</v>
      </c>
      <c r="L83" t="n">
        <v>0</v>
      </c>
      <c r="M83" t="n">
        <v>0</v>
      </c>
      <c r="N83" t="n">
        <v>0</v>
      </c>
      <c r="O83" t="n">
        <v>0</v>
      </c>
      <c r="P83" t="n">
        <v>0</v>
      </c>
      <c r="Q83" t="n">
        <v>0</v>
      </c>
      <c r="R83" s="2" t="inlineStr"/>
    </row>
    <row r="84" ht="15" customHeight="1">
      <c r="A84" t="inlineStr">
        <is>
          <t>A 59495-2021</t>
        </is>
      </c>
      <c r="B84" s="1" t="n">
        <v>44491.53346064815</v>
      </c>
      <c r="C84" s="1" t="n">
        <v>45907</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30574-2021</t>
        </is>
      </c>
      <c r="B85" s="1" t="n">
        <v>44364.83538194445</v>
      </c>
      <c r="C85" s="1" t="n">
        <v>45907</v>
      </c>
      <c r="D85" t="inlineStr">
        <is>
          <t>DALARNAS LÄN</t>
        </is>
      </c>
      <c r="E85" t="inlineStr">
        <is>
          <t>HEDEMORA</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53443-2021</t>
        </is>
      </c>
      <c r="B86" s="1" t="n">
        <v>44468</v>
      </c>
      <c r="C86" s="1" t="n">
        <v>45907</v>
      </c>
      <c r="D86" t="inlineStr">
        <is>
          <t>DALARNAS LÄN</t>
        </is>
      </c>
      <c r="E86" t="inlineStr">
        <is>
          <t>HEDEMORA</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52511-2021</t>
        </is>
      </c>
      <c r="B87" s="1" t="n">
        <v>44466.44400462963</v>
      </c>
      <c r="C87" s="1" t="n">
        <v>45907</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50441-2021</t>
        </is>
      </c>
      <c r="B88" s="1" t="n">
        <v>44456</v>
      </c>
      <c r="C88" s="1" t="n">
        <v>45907</v>
      </c>
      <c r="D88" t="inlineStr">
        <is>
          <t>DALARNAS LÄN</t>
        </is>
      </c>
      <c r="E88" t="inlineStr">
        <is>
          <t>HEDEMORA</t>
        </is>
      </c>
      <c r="F88" t="inlineStr">
        <is>
          <t>Bergvik skog väst AB</t>
        </is>
      </c>
      <c r="G88" t="n">
        <v>6.4</v>
      </c>
      <c r="H88" t="n">
        <v>0</v>
      </c>
      <c r="I88" t="n">
        <v>0</v>
      </c>
      <c r="J88" t="n">
        <v>0</v>
      </c>
      <c r="K88" t="n">
        <v>0</v>
      </c>
      <c r="L88" t="n">
        <v>0</v>
      </c>
      <c r="M88" t="n">
        <v>0</v>
      </c>
      <c r="N88" t="n">
        <v>0</v>
      </c>
      <c r="O88" t="n">
        <v>0</v>
      </c>
      <c r="P88" t="n">
        <v>0</v>
      </c>
      <c r="Q88" t="n">
        <v>0</v>
      </c>
      <c r="R88" s="2" t="inlineStr"/>
    </row>
    <row r="89" ht="15" customHeight="1">
      <c r="A89" t="inlineStr">
        <is>
          <t>A 1666-2022</t>
        </is>
      </c>
      <c r="B89" s="1" t="n">
        <v>44574</v>
      </c>
      <c r="C89" s="1" t="n">
        <v>45907</v>
      </c>
      <c r="D89" t="inlineStr">
        <is>
          <t>DALARNAS LÄN</t>
        </is>
      </c>
      <c r="E89" t="inlineStr">
        <is>
          <t>HEDEMORA</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36943-2021</t>
        </is>
      </c>
      <c r="B90" s="1" t="n">
        <v>44393.52391203704</v>
      </c>
      <c r="C90" s="1" t="n">
        <v>45907</v>
      </c>
      <c r="D90" t="inlineStr">
        <is>
          <t>DALARNAS LÄN</t>
        </is>
      </c>
      <c r="E90" t="inlineStr">
        <is>
          <t>HEDEMORA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17464-2021</t>
        </is>
      </c>
      <c r="B91" s="1" t="n">
        <v>44299</v>
      </c>
      <c r="C91" s="1" t="n">
        <v>45907</v>
      </c>
      <c r="D91" t="inlineStr">
        <is>
          <t>DALARNAS LÄN</t>
        </is>
      </c>
      <c r="E91" t="inlineStr">
        <is>
          <t>HEDEMORA</t>
        </is>
      </c>
      <c r="G91" t="n">
        <v>0.8</v>
      </c>
      <c r="H91" t="n">
        <v>0</v>
      </c>
      <c r="I91" t="n">
        <v>0</v>
      </c>
      <c r="J91" t="n">
        <v>0</v>
      </c>
      <c r="K91" t="n">
        <v>0</v>
      </c>
      <c r="L91" t="n">
        <v>0</v>
      </c>
      <c r="M91" t="n">
        <v>0</v>
      </c>
      <c r="N91" t="n">
        <v>0</v>
      </c>
      <c r="O91" t="n">
        <v>0</v>
      </c>
      <c r="P91" t="n">
        <v>0</v>
      </c>
      <c r="Q91" t="n">
        <v>0</v>
      </c>
      <c r="R91" s="2" t="inlineStr"/>
    </row>
    <row r="92" ht="15" customHeight="1">
      <c r="A92" t="inlineStr">
        <is>
          <t>A 44065-2021</t>
        </is>
      </c>
      <c r="B92" s="1" t="n">
        <v>44434</v>
      </c>
      <c r="C92" s="1" t="n">
        <v>45907</v>
      </c>
      <c r="D92" t="inlineStr">
        <is>
          <t>DALARNAS LÄN</t>
        </is>
      </c>
      <c r="E92" t="inlineStr">
        <is>
          <t>HEDEMORA</t>
        </is>
      </c>
      <c r="F92" t="inlineStr">
        <is>
          <t>Bergvik skog väst AB</t>
        </is>
      </c>
      <c r="G92" t="n">
        <v>9.1</v>
      </c>
      <c r="H92" t="n">
        <v>0</v>
      </c>
      <c r="I92" t="n">
        <v>0</v>
      </c>
      <c r="J92" t="n">
        <v>0</v>
      </c>
      <c r="K92" t="n">
        <v>0</v>
      </c>
      <c r="L92" t="n">
        <v>0</v>
      </c>
      <c r="M92" t="n">
        <v>0</v>
      </c>
      <c r="N92" t="n">
        <v>0</v>
      </c>
      <c r="O92" t="n">
        <v>0</v>
      </c>
      <c r="P92" t="n">
        <v>0</v>
      </c>
      <c r="Q92" t="n">
        <v>0</v>
      </c>
      <c r="R92" s="2" t="inlineStr"/>
    </row>
    <row r="93" ht="15" customHeight="1">
      <c r="A93" t="inlineStr">
        <is>
          <t>A 3527-2021</t>
        </is>
      </c>
      <c r="B93" s="1" t="n">
        <v>44218</v>
      </c>
      <c r="C93" s="1" t="n">
        <v>45907</v>
      </c>
      <c r="D93" t="inlineStr">
        <is>
          <t>DALARNAS LÄN</t>
        </is>
      </c>
      <c r="E93" t="inlineStr">
        <is>
          <t>HEDEMORA</t>
        </is>
      </c>
      <c r="G93" t="n">
        <v>1.5</v>
      </c>
      <c r="H93" t="n">
        <v>0</v>
      </c>
      <c r="I93" t="n">
        <v>0</v>
      </c>
      <c r="J93" t="n">
        <v>0</v>
      </c>
      <c r="K93" t="n">
        <v>0</v>
      </c>
      <c r="L93" t="n">
        <v>0</v>
      </c>
      <c r="M93" t="n">
        <v>0</v>
      </c>
      <c r="N93" t="n">
        <v>0</v>
      </c>
      <c r="O93" t="n">
        <v>0</v>
      </c>
      <c r="P93" t="n">
        <v>0</v>
      </c>
      <c r="Q93" t="n">
        <v>0</v>
      </c>
      <c r="R93" s="2" t="inlineStr"/>
    </row>
    <row r="94" ht="15" customHeight="1">
      <c r="A94" t="inlineStr">
        <is>
          <t>A 67282-2021</t>
        </is>
      </c>
      <c r="B94" s="1" t="n">
        <v>44523.6131712963</v>
      </c>
      <c r="C94" s="1" t="n">
        <v>45907</v>
      </c>
      <c r="D94" t="inlineStr">
        <is>
          <t>DALARNAS LÄN</t>
        </is>
      </c>
      <c r="E94" t="inlineStr">
        <is>
          <t>HEDEMORA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48639-2022</t>
        </is>
      </c>
      <c r="B95" s="1" t="n">
        <v>44859</v>
      </c>
      <c r="C95" s="1" t="n">
        <v>45907</v>
      </c>
      <c r="D95" t="inlineStr">
        <is>
          <t>DALARNAS LÄN</t>
        </is>
      </c>
      <c r="E95" t="inlineStr">
        <is>
          <t>HEDEMORA</t>
        </is>
      </c>
      <c r="F95" t="inlineStr">
        <is>
          <t>Sveaskog</t>
        </is>
      </c>
      <c r="G95" t="n">
        <v>0.2</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45907</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66064-2020</t>
        </is>
      </c>
      <c r="B97" s="1" t="n">
        <v>44175</v>
      </c>
      <c r="C97" s="1" t="n">
        <v>45907</v>
      </c>
      <c r="D97" t="inlineStr">
        <is>
          <t>DALARNAS LÄN</t>
        </is>
      </c>
      <c r="E97" t="inlineStr">
        <is>
          <t>HEDEMORA</t>
        </is>
      </c>
      <c r="G97" t="n">
        <v>1.7</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45907</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45616-2020</t>
        </is>
      </c>
      <c r="B99" s="1" t="n">
        <v>44084</v>
      </c>
      <c r="C99" s="1" t="n">
        <v>45907</v>
      </c>
      <c r="D99" t="inlineStr">
        <is>
          <t>DALARNAS LÄN</t>
        </is>
      </c>
      <c r="E99" t="inlineStr">
        <is>
          <t>HEDEMORA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45907</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45392-2020</t>
        </is>
      </c>
      <c r="B101" s="1" t="n">
        <v>44085</v>
      </c>
      <c r="C101" s="1" t="n">
        <v>45907</v>
      </c>
      <c r="D101" t="inlineStr">
        <is>
          <t>DALARNAS LÄN</t>
        </is>
      </c>
      <c r="E101" t="inlineStr">
        <is>
          <t>HEDEMORA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45907</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57779-2020</t>
        </is>
      </c>
      <c r="B103" s="1" t="n">
        <v>44141</v>
      </c>
      <c r="C103" s="1" t="n">
        <v>45907</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45907</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45907</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45907</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45907</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45907</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45907</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45907</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45907</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49904-2021</t>
        </is>
      </c>
      <c r="B112" s="1" t="n">
        <v>44455.77041666667</v>
      </c>
      <c r="C112" s="1" t="n">
        <v>45907</v>
      </c>
      <c r="D112" t="inlineStr">
        <is>
          <t>DALARNAS LÄN</t>
        </is>
      </c>
      <c r="E112" t="inlineStr">
        <is>
          <t>HEDEMORA</t>
        </is>
      </c>
      <c r="F112" t="inlineStr">
        <is>
          <t>Sveaskog</t>
        </is>
      </c>
      <c r="G112" t="n">
        <v>7.1</v>
      </c>
      <c r="H112" t="n">
        <v>0</v>
      </c>
      <c r="I112" t="n">
        <v>0</v>
      </c>
      <c r="J112" t="n">
        <v>0</v>
      </c>
      <c r="K112" t="n">
        <v>0</v>
      </c>
      <c r="L112" t="n">
        <v>0</v>
      </c>
      <c r="M112" t="n">
        <v>0</v>
      </c>
      <c r="N112" t="n">
        <v>0</v>
      </c>
      <c r="O112" t="n">
        <v>0</v>
      </c>
      <c r="P112" t="n">
        <v>0</v>
      </c>
      <c r="Q112" t="n">
        <v>0</v>
      </c>
      <c r="R112" s="2" t="inlineStr"/>
    </row>
    <row r="113" ht="15" customHeight="1">
      <c r="A113" t="inlineStr">
        <is>
          <t>A 2996-2023</t>
        </is>
      </c>
      <c r="B113" s="1" t="n">
        <v>44945</v>
      </c>
      <c r="C113" s="1" t="n">
        <v>45907</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15863-2023</t>
        </is>
      </c>
      <c r="B114" s="1" t="n">
        <v>45022</v>
      </c>
      <c r="C114" s="1" t="n">
        <v>45907</v>
      </c>
      <c r="D114" t="inlineStr">
        <is>
          <t>DALARNAS LÄN</t>
        </is>
      </c>
      <c r="E114" t="inlineStr">
        <is>
          <t>HEDEMORA</t>
        </is>
      </c>
      <c r="F114" t="inlineStr">
        <is>
          <t>Bergvik skog väst AB</t>
        </is>
      </c>
      <c r="G114" t="n">
        <v>4.7</v>
      </c>
      <c r="H114" t="n">
        <v>0</v>
      </c>
      <c r="I114" t="n">
        <v>0</v>
      </c>
      <c r="J114" t="n">
        <v>0</v>
      </c>
      <c r="K114" t="n">
        <v>0</v>
      </c>
      <c r="L114" t="n">
        <v>0</v>
      </c>
      <c r="M114" t="n">
        <v>0</v>
      </c>
      <c r="N114" t="n">
        <v>0</v>
      </c>
      <c r="O114" t="n">
        <v>0</v>
      </c>
      <c r="P114" t="n">
        <v>0</v>
      </c>
      <c r="Q114" t="n">
        <v>0</v>
      </c>
      <c r="R114" s="2" t="inlineStr"/>
    </row>
    <row r="115" ht="15" customHeight="1">
      <c r="A115" t="inlineStr">
        <is>
          <t>A 7172-2025</t>
        </is>
      </c>
      <c r="B115" s="1" t="n">
        <v>45702.41383101852</v>
      </c>
      <c r="C115" s="1" t="n">
        <v>45907</v>
      </c>
      <c r="D115" t="inlineStr">
        <is>
          <t>DALARNAS LÄN</t>
        </is>
      </c>
      <c r="E115" t="inlineStr">
        <is>
          <t>HEDEMORA</t>
        </is>
      </c>
      <c r="G115" t="n">
        <v>0.8</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45907</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45907</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53568-2023</t>
        </is>
      </c>
      <c r="B118" s="1" t="n">
        <v>45230.49392361111</v>
      </c>
      <c r="C118" s="1" t="n">
        <v>45907</v>
      </c>
      <c r="D118" t="inlineStr">
        <is>
          <t>DALARNAS LÄN</t>
        </is>
      </c>
      <c r="E118" t="inlineStr">
        <is>
          <t>HEDEMORA</t>
        </is>
      </c>
      <c r="G118" t="n">
        <v>1.2</v>
      </c>
      <c r="H118" t="n">
        <v>0</v>
      </c>
      <c r="I118" t="n">
        <v>0</v>
      </c>
      <c r="J118" t="n">
        <v>0</v>
      </c>
      <c r="K118" t="n">
        <v>0</v>
      </c>
      <c r="L118" t="n">
        <v>0</v>
      </c>
      <c r="M118" t="n">
        <v>0</v>
      </c>
      <c r="N118" t="n">
        <v>0</v>
      </c>
      <c r="O118" t="n">
        <v>0</v>
      </c>
      <c r="P118" t="n">
        <v>0</v>
      </c>
      <c r="Q118" t="n">
        <v>0</v>
      </c>
      <c r="R118" s="2" t="inlineStr"/>
    </row>
    <row r="119" ht="15" customHeight="1">
      <c r="A119" t="inlineStr">
        <is>
          <t>A 52942-2024</t>
        </is>
      </c>
      <c r="B119" s="1" t="n">
        <v>45610.8215625</v>
      </c>
      <c r="C119" s="1" t="n">
        <v>45907</v>
      </c>
      <c r="D119" t="inlineStr">
        <is>
          <t>DALARNAS LÄN</t>
        </is>
      </c>
      <c r="E119" t="inlineStr">
        <is>
          <t>HEDEMORA</t>
        </is>
      </c>
      <c r="F119" t="inlineStr">
        <is>
          <t>Sveaskog</t>
        </is>
      </c>
      <c r="G119" t="n">
        <v>14.5</v>
      </c>
      <c r="H119" t="n">
        <v>0</v>
      </c>
      <c r="I119" t="n">
        <v>0</v>
      </c>
      <c r="J119" t="n">
        <v>0</v>
      </c>
      <c r="K119" t="n">
        <v>0</v>
      </c>
      <c r="L119" t="n">
        <v>0</v>
      </c>
      <c r="M119" t="n">
        <v>0</v>
      </c>
      <c r="N119" t="n">
        <v>0</v>
      </c>
      <c r="O119" t="n">
        <v>0</v>
      </c>
      <c r="P119" t="n">
        <v>0</v>
      </c>
      <c r="Q119" t="n">
        <v>0</v>
      </c>
      <c r="R119" s="2" t="inlineStr"/>
    </row>
    <row r="120" ht="15" customHeight="1">
      <c r="A120" t="inlineStr">
        <is>
          <t>A 20965-2025</t>
        </is>
      </c>
      <c r="B120" s="1" t="n">
        <v>45777.45135416667</v>
      </c>
      <c r="C120" s="1" t="n">
        <v>45907</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41642-2023</t>
        </is>
      </c>
      <c r="B121" s="1" t="n">
        <v>45175</v>
      </c>
      <c r="C121" s="1" t="n">
        <v>45907</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45907</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29591-2024</t>
        </is>
      </c>
      <c r="B123" s="1" t="n">
        <v>45484.58222222222</v>
      </c>
      <c r="C123" s="1" t="n">
        <v>45907</v>
      </c>
      <c r="D123" t="inlineStr">
        <is>
          <t>DALARNAS LÄN</t>
        </is>
      </c>
      <c r="E123" t="inlineStr">
        <is>
          <t>HEDEMORA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17222-2025</t>
        </is>
      </c>
      <c r="B124" s="1" t="n">
        <v>45756.45504629629</v>
      </c>
      <c r="C124" s="1" t="n">
        <v>45907</v>
      </c>
      <c r="D124" t="inlineStr">
        <is>
          <t>DALARNAS LÄN</t>
        </is>
      </c>
      <c r="E124" t="inlineStr">
        <is>
          <t>HEDEMORA</t>
        </is>
      </c>
      <c r="G124" t="n">
        <v>0.5</v>
      </c>
      <c r="H124" t="n">
        <v>0</v>
      </c>
      <c r="I124" t="n">
        <v>0</v>
      </c>
      <c r="J124" t="n">
        <v>0</v>
      </c>
      <c r="K124" t="n">
        <v>0</v>
      </c>
      <c r="L124" t="n">
        <v>0</v>
      </c>
      <c r="M124" t="n">
        <v>0</v>
      </c>
      <c r="N124" t="n">
        <v>0</v>
      </c>
      <c r="O124" t="n">
        <v>0</v>
      </c>
      <c r="P124" t="n">
        <v>0</v>
      </c>
      <c r="Q124" t="n">
        <v>0</v>
      </c>
      <c r="R124" s="2" t="inlineStr"/>
    </row>
    <row r="125" ht="15" customHeight="1">
      <c r="A125" t="inlineStr">
        <is>
          <t>A 30430-2023</t>
        </is>
      </c>
      <c r="B125" s="1" t="n">
        <v>45111.54344907407</v>
      </c>
      <c r="C125" s="1" t="n">
        <v>45907</v>
      </c>
      <c r="D125" t="inlineStr">
        <is>
          <t>DALARNAS LÄN</t>
        </is>
      </c>
      <c r="E125" t="inlineStr">
        <is>
          <t>HEDEMORA</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63941-2023</t>
        </is>
      </c>
      <c r="B126" s="1" t="n">
        <v>45278.61277777778</v>
      </c>
      <c r="C126" s="1" t="n">
        <v>45907</v>
      </c>
      <c r="D126" t="inlineStr">
        <is>
          <t>DALARNAS LÄN</t>
        </is>
      </c>
      <c r="E126" t="inlineStr">
        <is>
          <t>HEDEMORA</t>
        </is>
      </c>
      <c r="G126" t="n">
        <v>1.1</v>
      </c>
      <c r="H126" t="n">
        <v>0</v>
      </c>
      <c r="I126" t="n">
        <v>0</v>
      </c>
      <c r="J126" t="n">
        <v>0</v>
      </c>
      <c r="K126" t="n">
        <v>0</v>
      </c>
      <c r="L126" t="n">
        <v>0</v>
      </c>
      <c r="M126" t="n">
        <v>0</v>
      </c>
      <c r="N126" t="n">
        <v>0</v>
      </c>
      <c r="O126" t="n">
        <v>0</v>
      </c>
      <c r="P126" t="n">
        <v>0</v>
      </c>
      <c r="Q126" t="n">
        <v>0</v>
      </c>
      <c r="R126" s="2" t="inlineStr"/>
    </row>
    <row r="127" ht="15" customHeight="1">
      <c r="A127" t="inlineStr">
        <is>
          <t>A 44957-2021</t>
        </is>
      </c>
      <c r="B127" s="1" t="n">
        <v>44438.71809027778</v>
      </c>
      <c r="C127" s="1" t="n">
        <v>45907</v>
      </c>
      <c r="D127" t="inlineStr">
        <is>
          <t>DALARNAS LÄN</t>
        </is>
      </c>
      <c r="E127" t="inlineStr">
        <is>
          <t>HEDEMORA</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39497-2022</t>
        </is>
      </c>
      <c r="B128" s="1" t="n">
        <v>44817</v>
      </c>
      <c r="C128" s="1" t="n">
        <v>45907</v>
      </c>
      <c r="D128" t="inlineStr">
        <is>
          <t>DALARNAS LÄN</t>
        </is>
      </c>
      <c r="E128" t="inlineStr">
        <is>
          <t>HEDEMORA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21868-2025</t>
        </is>
      </c>
      <c r="B129" s="1" t="n">
        <v>45784.3721412037</v>
      </c>
      <c r="C129" s="1" t="n">
        <v>45907</v>
      </c>
      <c r="D129" t="inlineStr">
        <is>
          <t>DALARNAS LÄN</t>
        </is>
      </c>
      <c r="E129" t="inlineStr">
        <is>
          <t>HEDEMORA</t>
        </is>
      </c>
      <c r="F129" t="inlineStr">
        <is>
          <t>Sveaskog</t>
        </is>
      </c>
      <c r="G129" t="n">
        <v>10.1</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45907</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48380-2024</t>
        </is>
      </c>
      <c r="B131" s="1" t="n">
        <v>45590</v>
      </c>
      <c r="C131" s="1" t="n">
        <v>45907</v>
      </c>
      <c r="D131" t="inlineStr">
        <is>
          <t>DALARNAS LÄN</t>
        </is>
      </c>
      <c r="E131" t="inlineStr">
        <is>
          <t>HEDEMORA</t>
        </is>
      </c>
      <c r="G131" t="n">
        <v>1.5</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45907</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43785-2023</t>
        </is>
      </c>
      <c r="B133" s="1" t="n">
        <v>45187</v>
      </c>
      <c r="C133" s="1" t="n">
        <v>45907</v>
      </c>
      <c r="D133" t="inlineStr">
        <is>
          <t>DALARNAS LÄN</t>
        </is>
      </c>
      <c r="E133" t="inlineStr">
        <is>
          <t>HEDEMORA</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63929-2023</t>
        </is>
      </c>
      <c r="B134" s="1" t="n">
        <v>45278.60274305556</v>
      </c>
      <c r="C134" s="1" t="n">
        <v>45907</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21864-2025</t>
        </is>
      </c>
      <c r="B135" s="1" t="n">
        <v>45784</v>
      </c>
      <c r="C135" s="1" t="n">
        <v>45907</v>
      </c>
      <c r="D135" t="inlineStr">
        <is>
          <t>DALARNAS LÄN</t>
        </is>
      </c>
      <c r="E135" t="inlineStr">
        <is>
          <t>HEDEMORA</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54423-2023</t>
        </is>
      </c>
      <c r="B136" s="1" t="n">
        <v>45233.41666666666</v>
      </c>
      <c r="C136" s="1" t="n">
        <v>45907</v>
      </c>
      <c r="D136" t="inlineStr">
        <is>
          <t>DALARNAS LÄN</t>
        </is>
      </c>
      <c r="E136" t="inlineStr">
        <is>
          <t>HEDEMORA</t>
        </is>
      </c>
      <c r="G136" t="n">
        <v>3.4</v>
      </c>
      <c r="H136" t="n">
        <v>0</v>
      </c>
      <c r="I136" t="n">
        <v>0</v>
      </c>
      <c r="J136" t="n">
        <v>0</v>
      </c>
      <c r="K136" t="n">
        <v>0</v>
      </c>
      <c r="L136" t="n">
        <v>0</v>
      </c>
      <c r="M136" t="n">
        <v>0</v>
      </c>
      <c r="N136" t="n">
        <v>0</v>
      </c>
      <c r="O136" t="n">
        <v>0</v>
      </c>
      <c r="P136" t="n">
        <v>0</v>
      </c>
      <c r="Q136" t="n">
        <v>0</v>
      </c>
      <c r="R136" s="2" t="inlineStr"/>
    </row>
    <row r="137" ht="15" customHeight="1">
      <c r="A137" t="inlineStr">
        <is>
          <t>A 6210-2024</t>
        </is>
      </c>
      <c r="B137" s="1" t="n">
        <v>45337</v>
      </c>
      <c r="C137" s="1" t="n">
        <v>45907</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62386-2023</t>
        </is>
      </c>
      <c r="B138" s="1" t="n">
        <v>45268</v>
      </c>
      <c r="C138" s="1" t="n">
        <v>45907</v>
      </c>
      <c r="D138" t="inlineStr">
        <is>
          <t>DALARNAS LÄN</t>
        </is>
      </c>
      <c r="E138" t="inlineStr">
        <is>
          <t>HEDEMORA</t>
        </is>
      </c>
      <c r="G138" t="n">
        <v>1.7</v>
      </c>
      <c r="H138" t="n">
        <v>0</v>
      </c>
      <c r="I138" t="n">
        <v>0</v>
      </c>
      <c r="J138" t="n">
        <v>0</v>
      </c>
      <c r="K138" t="n">
        <v>0</v>
      </c>
      <c r="L138" t="n">
        <v>0</v>
      </c>
      <c r="M138" t="n">
        <v>0</v>
      </c>
      <c r="N138" t="n">
        <v>0</v>
      </c>
      <c r="O138" t="n">
        <v>0</v>
      </c>
      <c r="P138" t="n">
        <v>0</v>
      </c>
      <c r="Q138" t="n">
        <v>0</v>
      </c>
      <c r="R138" s="2" t="inlineStr"/>
    </row>
    <row r="139" ht="15" customHeight="1">
      <c r="A139" t="inlineStr">
        <is>
          <t>A 62398-2023</t>
        </is>
      </c>
      <c r="B139" s="1" t="n">
        <v>45268</v>
      </c>
      <c r="C139" s="1" t="n">
        <v>45907</v>
      </c>
      <c r="D139" t="inlineStr">
        <is>
          <t>DALARNAS LÄN</t>
        </is>
      </c>
      <c r="E139" t="inlineStr">
        <is>
          <t>HEDEMORA</t>
        </is>
      </c>
      <c r="G139" t="n">
        <v>2.1</v>
      </c>
      <c r="H139" t="n">
        <v>0</v>
      </c>
      <c r="I139" t="n">
        <v>0</v>
      </c>
      <c r="J139" t="n">
        <v>0</v>
      </c>
      <c r="K139" t="n">
        <v>0</v>
      </c>
      <c r="L139" t="n">
        <v>0</v>
      </c>
      <c r="M139" t="n">
        <v>0</v>
      </c>
      <c r="N139" t="n">
        <v>0</v>
      </c>
      <c r="O139" t="n">
        <v>0</v>
      </c>
      <c r="P139" t="n">
        <v>0</v>
      </c>
      <c r="Q139" t="n">
        <v>0</v>
      </c>
      <c r="R139" s="2" t="inlineStr"/>
    </row>
    <row r="140" ht="15" customHeight="1">
      <c r="A140" t="inlineStr">
        <is>
          <t>A 22273-2023</t>
        </is>
      </c>
      <c r="B140" s="1" t="n">
        <v>45070</v>
      </c>
      <c r="C140" s="1" t="n">
        <v>45907</v>
      </c>
      <c r="D140" t="inlineStr">
        <is>
          <t>DALARNAS LÄN</t>
        </is>
      </c>
      <c r="E140" t="inlineStr">
        <is>
          <t>HEDEMORA</t>
        </is>
      </c>
      <c r="G140" t="n">
        <v>1.3</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45907</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49636-2021</t>
        </is>
      </c>
      <c r="B142" s="1" t="n">
        <v>44455</v>
      </c>
      <c r="C142" s="1" t="n">
        <v>45907</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25645-2024</t>
        </is>
      </c>
      <c r="B143" s="1" t="n">
        <v>45463.66520833333</v>
      </c>
      <c r="C143" s="1" t="n">
        <v>45907</v>
      </c>
      <c r="D143" t="inlineStr">
        <is>
          <t>DALARNAS LÄN</t>
        </is>
      </c>
      <c r="E143" t="inlineStr">
        <is>
          <t>HEDEMORA</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51256-2024</t>
        </is>
      </c>
      <c r="B144" s="1" t="n">
        <v>45603.68902777778</v>
      </c>
      <c r="C144" s="1" t="n">
        <v>45907</v>
      </c>
      <c r="D144" t="inlineStr">
        <is>
          <t>DALARNAS LÄN</t>
        </is>
      </c>
      <c r="E144" t="inlineStr">
        <is>
          <t>HEDEMORA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18579-2025</t>
        </is>
      </c>
      <c r="B145" s="1" t="n">
        <v>45763</v>
      </c>
      <c r="C145" s="1" t="n">
        <v>45907</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41435-2023</t>
        </is>
      </c>
      <c r="B146" s="1" t="n">
        <v>45170</v>
      </c>
      <c r="C146" s="1" t="n">
        <v>45907</v>
      </c>
      <c r="D146" t="inlineStr">
        <is>
          <t>DALARNAS LÄN</t>
        </is>
      </c>
      <c r="E146" t="inlineStr">
        <is>
          <t>HEDEMORA</t>
        </is>
      </c>
      <c r="G146" t="n">
        <v>2.9</v>
      </c>
      <c r="H146" t="n">
        <v>0</v>
      </c>
      <c r="I146" t="n">
        <v>0</v>
      </c>
      <c r="J146" t="n">
        <v>0</v>
      </c>
      <c r="K146" t="n">
        <v>0</v>
      </c>
      <c r="L146" t="n">
        <v>0</v>
      </c>
      <c r="M146" t="n">
        <v>0</v>
      </c>
      <c r="N146" t="n">
        <v>0</v>
      </c>
      <c r="O146" t="n">
        <v>0</v>
      </c>
      <c r="P146" t="n">
        <v>0</v>
      </c>
      <c r="Q146" t="n">
        <v>0</v>
      </c>
      <c r="R146" s="2" t="inlineStr"/>
    </row>
    <row r="147" ht="15" customHeight="1">
      <c r="A147" t="inlineStr">
        <is>
          <t>A 23934-2023</t>
        </is>
      </c>
      <c r="B147" s="1" t="n">
        <v>45078.59590277778</v>
      </c>
      <c r="C147" s="1" t="n">
        <v>45907</v>
      </c>
      <c r="D147" t="inlineStr">
        <is>
          <t>DALARNAS LÄN</t>
        </is>
      </c>
      <c r="E147" t="inlineStr">
        <is>
          <t>HEDEMORA</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26431-2024</t>
        </is>
      </c>
      <c r="B148" s="1" t="n">
        <v>45469.48282407408</v>
      </c>
      <c r="C148" s="1" t="n">
        <v>45907</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c r="U148">
        <f>HYPERLINK("https://klasma.github.io/Logging_2083/knärot/A 26431-2024 karta knärot.png", "A 26431-2024")</f>
        <v/>
      </c>
      <c r="V148">
        <f>HYPERLINK("https://klasma.github.io/Logging_2083/klagomål/A 26431-2024 FSC-klagomål.docx", "A 26431-2024")</f>
        <v/>
      </c>
      <c r="W148">
        <f>HYPERLINK("https://klasma.github.io/Logging_2083/klagomålsmail/A 26431-2024 FSC-klagomål mail.docx", "A 26431-2024")</f>
        <v/>
      </c>
      <c r="X148">
        <f>HYPERLINK("https://klasma.github.io/Logging_2083/tillsyn/A 26431-2024 tillsynsbegäran.docx", "A 26431-2024")</f>
        <v/>
      </c>
      <c r="Y148">
        <f>HYPERLINK("https://klasma.github.io/Logging_2083/tillsynsmail/A 26431-2024 tillsynsbegäran mail.docx", "A 26431-2024")</f>
        <v/>
      </c>
    </row>
    <row r="149" ht="15" customHeight="1">
      <c r="A149" t="inlineStr">
        <is>
          <t>A 40707-2023</t>
        </is>
      </c>
      <c r="B149" s="1" t="n">
        <v>45170.62489583333</v>
      </c>
      <c r="C149" s="1" t="n">
        <v>45907</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19920-2025</t>
        </is>
      </c>
      <c r="B150" s="1" t="n">
        <v>45771</v>
      </c>
      <c r="C150" s="1" t="n">
        <v>45907</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45907</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53922-2024</t>
        </is>
      </c>
      <c r="B152" s="1" t="n">
        <v>45615.78459490741</v>
      </c>
      <c r="C152" s="1" t="n">
        <v>45907</v>
      </c>
      <c r="D152" t="inlineStr">
        <is>
          <t>DALARNAS LÄN</t>
        </is>
      </c>
      <c r="E152" t="inlineStr">
        <is>
          <t>HEDEMORA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23435-2025</t>
        </is>
      </c>
      <c r="B153" s="1" t="n">
        <v>45792.37162037037</v>
      </c>
      <c r="C153" s="1" t="n">
        <v>45907</v>
      </c>
      <c r="D153" t="inlineStr">
        <is>
          <t>DALARNAS LÄN</t>
        </is>
      </c>
      <c r="E153" t="inlineStr">
        <is>
          <t>HEDEMORA</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40801-2024</t>
        </is>
      </c>
      <c r="B154" s="1" t="n">
        <v>45558.52905092593</v>
      </c>
      <c r="C154" s="1" t="n">
        <v>45907</v>
      </c>
      <c r="D154" t="inlineStr">
        <is>
          <t>DALARNAS LÄN</t>
        </is>
      </c>
      <c r="E154" t="inlineStr">
        <is>
          <t>HEDEMORA</t>
        </is>
      </c>
      <c r="G154" t="n">
        <v>2.2</v>
      </c>
      <c r="H154" t="n">
        <v>0</v>
      </c>
      <c r="I154" t="n">
        <v>0</v>
      </c>
      <c r="J154" t="n">
        <v>0</v>
      </c>
      <c r="K154" t="n">
        <v>0</v>
      </c>
      <c r="L154" t="n">
        <v>0</v>
      </c>
      <c r="M154" t="n">
        <v>0</v>
      </c>
      <c r="N154" t="n">
        <v>0</v>
      </c>
      <c r="O154" t="n">
        <v>0</v>
      </c>
      <c r="P154" t="n">
        <v>0</v>
      </c>
      <c r="Q154" t="n">
        <v>0</v>
      </c>
      <c r="R154" s="2" t="inlineStr"/>
    </row>
    <row r="155" ht="15" customHeight="1">
      <c r="A155" t="inlineStr">
        <is>
          <t>A 61883-2022</t>
        </is>
      </c>
      <c r="B155" s="1" t="n">
        <v>44917.67262731482</v>
      </c>
      <c r="C155" s="1" t="n">
        <v>45907</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14968-2025</t>
        </is>
      </c>
      <c r="B156" s="1" t="n">
        <v>45743.59052083334</v>
      </c>
      <c r="C156" s="1" t="n">
        <v>45907</v>
      </c>
      <c r="D156" t="inlineStr">
        <is>
          <t>DALARNAS LÄN</t>
        </is>
      </c>
      <c r="E156" t="inlineStr">
        <is>
          <t>HEDEMORA</t>
        </is>
      </c>
      <c r="G156" t="n">
        <v>2.2</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45907</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25195-2024</t>
        </is>
      </c>
      <c r="B158" s="1" t="n">
        <v>45462</v>
      </c>
      <c r="C158" s="1" t="n">
        <v>45907</v>
      </c>
      <c r="D158" t="inlineStr">
        <is>
          <t>DALARNAS LÄN</t>
        </is>
      </c>
      <c r="E158" t="inlineStr">
        <is>
          <t>HEDEMORA</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5010-2023</t>
        </is>
      </c>
      <c r="B159" s="1" t="n">
        <v>44956</v>
      </c>
      <c r="C159" s="1" t="n">
        <v>45907</v>
      </c>
      <c r="D159" t="inlineStr">
        <is>
          <t>DALARNAS LÄN</t>
        </is>
      </c>
      <c r="E159" t="inlineStr">
        <is>
          <t>HEDEMORA</t>
        </is>
      </c>
      <c r="F159" t="inlineStr">
        <is>
          <t>Bergvik skog väst AB</t>
        </is>
      </c>
      <c r="G159" t="n">
        <v>5</v>
      </c>
      <c r="H159" t="n">
        <v>0</v>
      </c>
      <c r="I159" t="n">
        <v>0</v>
      </c>
      <c r="J159" t="n">
        <v>0</v>
      </c>
      <c r="K159" t="n">
        <v>0</v>
      </c>
      <c r="L159" t="n">
        <v>0</v>
      </c>
      <c r="M159" t="n">
        <v>0</v>
      </c>
      <c r="N159" t="n">
        <v>0</v>
      </c>
      <c r="O159" t="n">
        <v>0</v>
      </c>
      <c r="P159" t="n">
        <v>0</v>
      </c>
      <c r="Q159" t="n">
        <v>0</v>
      </c>
      <c r="R159" s="2" t="inlineStr"/>
    </row>
    <row r="160" ht="15" customHeight="1">
      <c r="A160" t="inlineStr">
        <is>
          <t>A 36304-2024</t>
        </is>
      </c>
      <c r="B160" s="1" t="n">
        <v>45534.61217592593</v>
      </c>
      <c r="C160" s="1" t="n">
        <v>45907</v>
      </c>
      <c r="D160" t="inlineStr">
        <is>
          <t>DALARNAS LÄN</t>
        </is>
      </c>
      <c r="E160" t="inlineStr">
        <is>
          <t>HEDEMORA</t>
        </is>
      </c>
      <c r="F160" t="inlineStr">
        <is>
          <t>Sveaskog</t>
        </is>
      </c>
      <c r="G160" t="n">
        <v>6.1</v>
      </c>
      <c r="H160" t="n">
        <v>0</v>
      </c>
      <c r="I160" t="n">
        <v>0</v>
      </c>
      <c r="J160" t="n">
        <v>0</v>
      </c>
      <c r="K160" t="n">
        <v>0</v>
      </c>
      <c r="L160" t="n">
        <v>0</v>
      </c>
      <c r="M160" t="n">
        <v>0</v>
      </c>
      <c r="N160" t="n">
        <v>0</v>
      </c>
      <c r="O160" t="n">
        <v>0</v>
      </c>
      <c r="P160" t="n">
        <v>0</v>
      </c>
      <c r="Q160" t="n">
        <v>0</v>
      </c>
      <c r="R160" s="2" t="inlineStr"/>
    </row>
    <row r="161" ht="15" customHeight="1">
      <c r="A161" t="inlineStr">
        <is>
          <t>A 19353-2024</t>
        </is>
      </c>
      <c r="B161" s="1" t="n">
        <v>45429.29666666667</v>
      </c>
      <c r="C161" s="1" t="n">
        <v>45907</v>
      </c>
      <c r="D161" t="inlineStr">
        <is>
          <t>DALARNAS LÄN</t>
        </is>
      </c>
      <c r="E161" t="inlineStr">
        <is>
          <t>HEDEMORA</t>
        </is>
      </c>
      <c r="F161" t="inlineStr">
        <is>
          <t>Sveaskog</t>
        </is>
      </c>
      <c r="G161" t="n">
        <v>16.3</v>
      </c>
      <c r="H161" t="n">
        <v>0</v>
      </c>
      <c r="I161" t="n">
        <v>0</v>
      </c>
      <c r="J161" t="n">
        <v>0</v>
      </c>
      <c r="K161" t="n">
        <v>0</v>
      </c>
      <c r="L161" t="n">
        <v>0</v>
      </c>
      <c r="M161" t="n">
        <v>0</v>
      </c>
      <c r="N161" t="n">
        <v>0</v>
      </c>
      <c r="O161" t="n">
        <v>0</v>
      </c>
      <c r="P161" t="n">
        <v>0</v>
      </c>
      <c r="Q161" t="n">
        <v>0</v>
      </c>
      <c r="R161" s="2" t="inlineStr"/>
    </row>
    <row r="162" ht="15" customHeight="1">
      <c r="A162" t="inlineStr">
        <is>
          <t>A 27610-2024</t>
        </is>
      </c>
      <c r="B162" s="1" t="n">
        <v>45474.73221064815</v>
      </c>
      <c r="C162" s="1" t="n">
        <v>45907</v>
      </c>
      <c r="D162" t="inlineStr">
        <is>
          <t>DALARNAS LÄN</t>
        </is>
      </c>
      <c r="E162" t="inlineStr">
        <is>
          <t>HEDEMORA</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27609-2024</t>
        </is>
      </c>
      <c r="B163" s="1" t="n">
        <v>45474.73076388889</v>
      </c>
      <c r="C163" s="1" t="n">
        <v>45907</v>
      </c>
      <c r="D163" t="inlineStr">
        <is>
          <t>DALARNAS LÄN</t>
        </is>
      </c>
      <c r="E163" t="inlineStr">
        <is>
          <t>HEDEMORA</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45907</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37449-2024</t>
        </is>
      </c>
      <c r="B165" s="1" t="n">
        <v>45540</v>
      </c>
      <c r="C165" s="1" t="n">
        <v>45907</v>
      </c>
      <c r="D165" t="inlineStr">
        <is>
          <t>DALARNAS LÄN</t>
        </is>
      </c>
      <c r="E165" t="inlineStr">
        <is>
          <t>HEDEMORA</t>
        </is>
      </c>
      <c r="F165" t="inlineStr">
        <is>
          <t>Bergvik skog väst AB</t>
        </is>
      </c>
      <c r="G165" t="n">
        <v>10.1</v>
      </c>
      <c r="H165" t="n">
        <v>0</v>
      </c>
      <c r="I165" t="n">
        <v>0</v>
      </c>
      <c r="J165" t="n">
        <v>0</v>
      </c>
      <c r="K165" t="n">
        <v>0</v>
      </c>
      <c r="L165" t="n">
        <v>0</v>
      </c>
      <c r="M165" t="n">
        <v>0</v>
      </c>
      <c r="N165" t="n">
        <v>0</v>
      </c>
      <c r="O165" t="n">
        <v>0</v>
      </c>
      <c r="P165" t="n">
        <v>0</v>
      </c>
      <c r="Q165" t="n">
        <v>0</v>
      </c>
      <c r="R165" s="2" t="inlineStr"/>
    </row>
    <row r="166" ht="15" customHeight="1">
      <c r="A166" t="inlineStr">
        <is>
          <t>A 25021-2025</t>
        </is>
      </c>
      <c r="B166" s="1" t="n">
        <v>45799.64574074074</v>
      </c>
      <c r="C166" s="1" t="n">
        <v>45907</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25155-2023</t>
        </is>
      </c>
      <c r="B167" s="1" t="n">
        <v>45086</v>
      </c>
      <c r="C167" s="1" t="n">
        <v>45907</v>
      </c>
      <c r="D167" t="inlineStr">
        <is>
          <t>DALARNAS LÄN</t>
        </is>
      </c>
      <c r="E167" t="inlineStr">
        <is>
          <t>HEDEMORA</t>
        </is>
      </c>
      <c r="F167" t="inlineStr">
        <is>
          <t>Sveaskog</t>
        </is>
      </c>
      <c r="G167" t="n">
        <v>3.8</v>
      </c>
      <c r="H167" t="n">
        <v>0</v>
      </c>
      <c r="I167" t="n">
        <v>0</v>
      </c>
      <c r="J167" t="n">
        <v>0</v>
      </c>
      <c r="K167" t="n">
        <v>0</v>
      </c>
      <c r="L167" t="n">
        <v>0</v>
      </c>
      <c r="M167" t="n">
        <v>0</v>
      </c>
      <c r="N167" t="n">
        <v>0</v>
      </c>
      <c r="O167" t="n">
        <v>0</v>
      </c>
      <c r="P167" t="n">
        <v>0</v>
      </c>
      <c r="Q167" t="n">
        <v>0</v>
      </c>
      <c r="R167" s="2" t="inlineStr"/>
    </row>
    <row r="168" ht="15" customHeight="1">
      <c r="A168" t="inlineStr">
        <is>
          <t>A 19397-2024</t>
        </is>
      </c>
      <c r="B168" s="1" t="n">
        <v>45429.38474537037</v>
      </c>
      <c r="C168" s="1" t="n">
        <v>45907</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54312-2024</t>
        </is>
      </c>
      <c r="B169" s="1" t="n">
        <v>45617.3434837963</v>
      </c>
      <c r="C169" s="1" t="n">
        <v>45907</v>
      </c>
      <c r="D169" t="inlineStr">
        <is>
          <t>DALARNAS LÄN</t>
        </is>
      </c>
      <c r="E169" t="inlineStr">
        <is>
          <t>HEDEMORA</t>
        </is>
      </c>
      <c r="F169" t="inlineStr">
        <is>
          <t>Bergvik skog väst AB</t>
        </is>
      </c>
      <c r="G169" t="n">
        <v>13.9</v>
      </c>
      <c r="H169" t="n">
        <v>0</v>
      </c>
      <c r="I169" t="n">
        <v>0</v>
      </c>
      <c r="J169" t="n">
        <v>0</v>
      </c>
      <c r="K169" t="n">
        <v>0</v>
      </c>
      <c r="L169" t="n">
        <v>0</v>
      </c>
      <c r="M169" t="n">
        <v>0</v>
      </c>
      <c r="N169" t="n">
        <v>0</v>
      </c>
      <c r="O169" t="n">
        <v>0</v>
      </c>
      <c r="P169" t="n">
        <v>0</v>
      </c>
      <c r="Q169" t="n">
        <v>0</v>
      </c>
      <c r="R169" s="2" t="inlineStr"/>
    </row>
    <row r="170" ht="15" customHeight="1">
      <c r="A170" t="inlineStr">
        <is>
          <t>A 52945-2024</t>
        </is>
      </c>
      <c r="B170" s="1" t="n">
        <v>45610.82664351852</v>
      </c>
      <c r="C170" s="1" t="n">
        <v>45907</v>
      </c>
      <c r="D170" t="inlineStr">
        <is>
          <t>DALARNAS LÄN</t>
        </is>
      </c>
      <c r="E170" t="inlineStr">
        <is>
          <t>HEDEMORA</t>
        </is>
      </c>
      <c r="F170" t="inlineStr">
        <is>
          <t>Sveaskog</t>
        </is>
      </c>
      <c r="G170" t="n">
        <v>5</v>
      </c>
      <c r="H170" t="n">
        <v>0</v>
      </c>
      <c r="I170" t="n">
        <v>0</v>
      </c>
      <c r="J170" t="n">
        <v>0</v>
      </c>
      <c r="K170" t="n">
        <v>0</v>
      </c>
      <c r="L170" t="n">
        <v>0</v>
      </c>
      <c r="M170" t="n">
        <v>0</v>
      </c>
      <c r="N170" t="n">
        <v>0</v>
      </c>
      <c r="O170" t="n">
        <v>0</v>
      </c>
      <c r="P170" t="n">
        <v>0</v>
      </c>
      <c r="Q170" t="n">
        <v>0</v>
      </c>
      <c r="R170" s="2" t="inlineStr"/>
    </row>
    <row r="171" ht="15" customHeight="1">
      <c r="A171" t="inlineStr">
        <is>
          <t>A 59632-2023</t>
        </is>
      </c>
      <c r="B171" s="1" t="n">
        <v>45254</v>
      </c>
      <c r="C171" s="1" t="n">
        <v>45907</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45907</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59471-2020</t>
        </is>
      </c>
      <c r="B173" s="1" t="n">
        <v>44148</v>
      </c>
      <c r="C173" s="1" t="n">
        <v>45907</v>
      </c>
      <c r="D173" t="inlineStr">
        <is>
          <t>DALARNAS LÄN</t>
        </is>
      </c>
      <c r="E173" t="inlineStr">
        <is>
          <t>HEDEMORA</t>
        </is>
      </c>
      <c r="G173" t="n">
        <v>1.2</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45907</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73099-2021</t>
        </is>
      </c>
      <c r="B175" s="1" t="n">
        <v>44546</v>
      </c>
      <c r="C175" s="1" t="n">
        <v>45907</v>
      </c>
      <c r="D175" t="inlineStr">
        <is>
          <t>DALARNAS LÄN</t>
        </is>
      </c>
      <c r="E175" t="inlineStr">
        <is>
          <t>HEDEMORA</t>
        </is>
      </c>
      <c r="G175" t="n">
        <v>4.5</v>
      </c>
      <c r="H175" t="n">
        <v>0</v>
      </c>
      <c r="I175" t="n">
        <v>0</v>
      </c>
      <c r="J175" t="n">
        <v>0</v>
      </c>
      <c r="K175" t="n">
        <v>0</v>
      </c>
      <c r="L175" t="n">
        <v>0</v>
      </c>
      <c r="M175" t="n">
        <v>0</v>
      </c>
      <c r="N175" t="n">
        <v>0</v>
      </c>
      <c r="O175" t="n">
        <v>0</v>
      </c>
      <c r="P175" t="n">
        <v>0</v>
      </c>
      <c r="Q175" t="n">
        <v>0</v>
      </c>
      <c r="R175" s="2" t="inlineStr"/>
    </row>
    <row r="176" ht="15" customHeight="1">
      <c r="A176" t="inlineStr">
        <is>
          <t>A 26204-2025</t>
        </is>
      </c>
      <c r="B176" s="1" t="n">
        <v>45805.51065972223</v>
      </c>
      <c r="C176" s="1" t="n">
        <v>45907</v>
      </c>
      <c r="D176" t="inlineStr">
        <is>
          <t>DALARNAS LÄN</t>
        </is>
      </c>
      <c r="E176" t="inlineStr">
        <is>
          <t>HEDEMORA</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52199-2021</t>
        </is>
      </c>
      <c r="B177" s="1" t="n">
        <v>44462</v>
      </c>
      <c r="C177" s="1" t="n">
        <v>45907</v>
      </c>
      <c r="D177" t="inlineStr">
        <is>
          <t>DALARNAS LÄN</t>
        </is>
      </c>
      <c r="E177" t="inlineStr">
        <is>
          <t>HEDEMORA</t>
        </is>
      </c>
      <c r="F177" t="inlineStr">
        <is>
          <t>Bergvik skog väst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22270-2023</t>
        </is>
      </c>
      <c r="B178" s="1" t="n">
        <v>45070.39284722223</v>
      </c>
      <c r="C178" s="1" t="n">
        <v>45907</v>
      </c>
      <c r="D178" t="inlineStr">
        <is>
          <t>DALARNAS LÄN</t>
        </is>
      </c>
      <c r="E178" t="inlineStr">
        <is>
          <t>HEDEMORA</t>
        </is>
      </c>
      <c r="G178" t="n">
        <v>1.8</v>
      </c>
      <c r="H178" t="n">
        <v>0</v>
      </c>
      <c r="I178" t="n">
        <v>0</v>
      </c>
      <c r="J178" t="n">
        <v>0</v>
      </c>
      <c r="K178" t="n">
        <v>0</v>
      </c>
      <c r="L178" t="n">
        <v>0</v>
      </c>
      <c r="M178" t="n">
        <v>0</v>
      </c>
      <c r="N178" t="n">
        <v>0</v>
      </c>
      <c r="O178" t="n">
        <v>0</v>
      </c>
      <c r="P178" t="n">
        <v>0</v>
      </c>
      <c r="Q178" t="n">
        <v>0</v>
      </c>
      <c r="R178" s="2" t="inlineStr"/>
    </row>
    <row r="179" ht="15" customHeight="1">
      <c r="A179" t="inlineStr">
        <is>
          <t>A 16413-2024</t>
        </is>
      </c>
      <c r="B179" s="1" t="n">
        <v>45407.64223379629</v>
      </c>
      <c r="C179" s="1" t="n">
        <v>45907</v>
      </c>
      <c r="D179" t="inlineStr">
        <is>
          <t>DALARNAS LÄN</t>
        </is>
      </c>
      <c r="E179" t="inlineStr">
        <is>
          <t>HEDEMORA</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61849-2022</t>
        </is>
      </c>
      <c r="B180" s="1" t="n">
        <v>44917</v>
      </c>
      <c r="C180" s="1" t="n">
        <v>45907</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43621-2024</t>
        </is>
      </c>
      <c r="B181" s="1" t="n">
        <v>45569.48200231481</v>
      </c>
      <c r="C181" s="1" t="n">
        <v>45907</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6972-2025</t>
        </is>
      </c>
      <c r="B182" s="1" t="n">
        <v>45701.53790509259</v>
      </c>
      <c r="C182" s="1" t="n">
        <v>45907</v>
      </c>
      <c r="D182" t="inlineStr">
        <is>
          <t>DALARNAS LÄN</t>
        </is>
      </c>
      <c r="E182" t="inlineStr">
        <is>
          <t>HEDEMORA</t>
        </is>
      </c>
      <c r="G182" t="n">
        <v>4.9</v>
      </c>
      <c r="H182" t="n">
        <v>0</v>
      </c>
      <c r="I182" t="n">
        <v>0</v>
      </c>
      <c r="J182" t="n">
        <v>0</v>
      </c>
      <c r="K182" t="n">
        <v>0</v>
      </c>
      <c r="L182" t="n">
        <v>0</v>
      </c>
      <c r="M182" t="n">
        <v>0</v>
      </c>
      <c r="N182" t="n">
        <v>0</v>
      </c>
      <c r="O182" t="n">
        <v>0</v>
      </c>
      <c r="P182" t="n">
        <v>0</v>
      </c>
      <c r="Q182" t="n">
        <v>0</v>
      </c>
      <c r="R182" s="2" t="inlineStr"/>
    </row>
    <row r="183" ht="15" customHeight="1">
      <c r="A183" t="inlineStr">
        <is>
          <t>A 26705-2025</t>
        </is>
      </c>
      <c r="B183" s="1" t="n">
        <v>45810.45325231482</v>
      </c>
      <c r="C183" s="1" t="n">
        <v>45907</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45907</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29050-2023</t>
        </is>
      </c>
      <c r="B185" s="1" t="n">
        <v>45104</v>
      </c>
      <c r="C185" s="1" t="n">
        <v>45907</v>
      </c>
      <c r="D185" t="inlineStr">
        <is>
          <t>DALARNAS LÄN</t>
        </is>
      </c>
      <c r="E185" t="inlineStr">
        <is>
          <t>HEDEMORA</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25150-2023</t>
        </is>
      </c>
      <c r="B186" s="1" t="n">
        <v>45086</v>
      </c>
      <c r="C186" s="1" t="n">
        <v>45907</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19690-2025</t>
        </is>
      </c>
      <c r="B187" s="1" t="n">
        <v>45770.88761574074</v>
      </c>
      <c r="C187" s="1" t="n">
        <v>45907</v>
      </c>
      <c r="D187" t="inlineStr">
        <is>
          <t>DALARNAS LÄN</t>
        </is>
      </c>
      <c r="E187" t="inlineStr">
        <is>
          <t>HEDEMORA</t>
        </is>
      </c>
      <c r="G187" t="n">
        <v>1.6</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45907</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45907</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28183-2025</t>
        </is>
      </c>
      <c r="B190" s="1" t="n">
        <v>45818.4021875</v>
      </c>
      <c r="C190" s="1" t="n">
        <v>45907</v>
      </c>
      <c r="D190" t="inlineStr">
        <is>
          <t>DALARNAS LÄN</t>
        </is>
      </c>
      <c r="E190" t="inlineStr">
        <is>
          <t>HEDEMORA</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18572-2025</t>
        </is>
      </c>
      <c r="B191" s="1" t="n">
        <v>45763</v>
      </c>
      <c r="C191" s="1" t="n">
        <v>45907</v>
      </c>
      <c r="D191" t="inlineStr">
        <is>
          <t>DALARNAS LÄN</t>
        </is>
      </c>
      <c r="E191" t="inlineStr">
        <is>
          <t>HEDEMORA</t>
        </is>
      </c>
      <c r="G191" t="n">
        <v>0.9</v>
      </c>
      <c r="H191" t="n">
        <v>0</v>
      </c>
      <c r="I191" t="n">
        <v>0</v>
      </c>
      <c r="J191" t="n">
        <v>0</v>
      </c>
      <c r="K191" t="n">
        <v>0</v>
      </c>
      <c r="L191" t="n">
        <v>0</v>
      </c>
      <c r="M191" t="n">
        <v>0</v>
      </c>
      <c r="N191" t="n">
        <v>0</v>
      </c>
      <c r="O191" t="n">
        <v>0</v>
      </c>
      <c r="P191" t="n">
        <v>0</v>
      </c>
      <c r="Q191" t="n">
        <v>0</v>
      </c>
      <c r="R191" s="2" t="inlineStr"/>
    </row>
    <row r="192" ht="15" customHeight="1">
      <c r="A192" t="inlineStr">
        <is>
          <t>A 28180-2025</t>
        </is>
      </c>
      <c r="B192" s="1" t="n">
        <v>45818.39755787037</v>
      </c>
      <c r="C192" s="1" t="n">
        <v>45907</v>
      </c>
      <c r="D192" t="inlineStr">
        <is>
          <t>DALARNAS LÄN</t>
        </is>
      </c>
      <c r="E192" t="inlineStr">
        <is>
          <t>HEDEMORA</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28182-2025</t>
        </is>
      </c>
      <c r="B193" s="1" t="n">
        <v>45818.40069444444</v>
      </c>
      <c r="C193" s="1" t="n">
        <v>45907</v>
      </c>
      <c r="D193" t="inlineStr">
        <is>
          <t>DALARNAS LÄN</t>
        </is>
      </c>
      <c r="E193" t="inlineStr">
        <is>
          <t>HEDEMORA</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5766-2025</t>
        </is>
      </c>
      <c r="B194" s="1" t="n">
        <v>45694.57893518519</v>
      </c>
      <c r="C194" s="1" t="n">
        <v>45907</v>
      </c>
      <c r="D194" t="inlineStr">
        <is>
          <t>DALARNAS LÄN</t>
        </is>
      </c>
      <c r="E194" t="inlineStr">
        <is>
          <t>HEDEMORA</t>
        </is>
      </c>
      <c r="G194" t="n">
        <v>4.9</v>
      </c>
      <c r="H194" t="n">
        <v>0</v>
      </c>
      <c r="I194" t="n">
        <v>0</v>
      </c>
      <c r="J194" t="n">
        <v>0</v>
      </c>
      <c r="K194" t="n">
        <v>0</v>
      </c>
      <c r="L194" t="n">
        <v>0</v>
      </c>
      <c r="M194" t="n">
        <v>0</v>
      </c>
      <c r="N194" t="n">
        <v>0</v>
      </c>
      <c r="O194" t="n">
        <v>0</v>
      </c>
      <c r="P194" t="n">
        <v>0</v>
      </c>
      <c r="Q194" t="n">
        <v>0</v>
      </c>
      <c r="R194" s="2" t="inlineStr"/>
    </row>
    <row r="195" ht="15" customHeight="1">
      <c r="A195" t="inlineStr">
        <is>
          <t>A 19473-2024</t>
        </is>
      </c>
      <c r="B195" s="1" t="n">
        <v>45429</v>
      </c>
      <c r="C195" s="1" t="n">
        <v>45907</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23501-2023</t>
        </is>
      </c>
      <c r="B196" s="1" t="n">
        <v>45076.73979166667</v>
      </c>
      <c r="C196" s="1" t="n">
        <v>45907</v>
      </c>
      <c r="D196" t="inlineStr">
        <is>
          <t>DALARNAS LÄN</t>
        </is>
      </c>
      <c r="E196" t="inlineStr">
        <is>
          <t>HEDEMORA</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50885-2023</t>
        </is>
      </c>
      <c r="B197" s="1" t="n">
        <v>45218.38459490741</v>
      </c>
      <c r="C197" s="1" t="n">
        <v>45907</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62188-2023</t>
        </is>
      </c>
      <c r="B198" s="1" t="n">
        <v>45267</v>
      </c>
      <c r="C198" s="1" t="n">
        <v>45907</v>
      </c>
      <c r="D198" t="inlineStr">
        <is>
          <t>DALARNAS LÄN</t>
        </is>
      </c>
      <c r="E198" t="inlineStr">
        <is>
          <t>HEDEMORA</t>
        </is>
      </c>
      <c r="G198" t="n">
        <v>2.1</v>
      </c>
      <c r="H198" t="n">
        <v>0</v>
      </c>
      <c r="I198" t="n">
        <v>0</v>
      </c>
      <c r="J198" t="n">
        <v>0</v>
      </c>
      <c r="K198" t="n">
        <v>0</v>
      </c>
      <c r="L198" t="n">
        <v>0</v>
      </c>
      <c r="M198" t="n">
        <v>0</v>
      </c>
      <c r="N198" t="n">
        <v>0</v>
      </c>
      <c r="O198" t="n">
        <v>0</v>
      </c>
      <c r="P198" t="n">
        <v>0</v>
      </c>
      <c r="Q198" t="n">
        <v>0</v>
      </c>
      <c r="R198" s="2" t="inlineStr"/>
    </row>
    <row r="199" ht="15" customHeight="1">
      <c r="A199" t="inlineStr">
        <is>
          <t>A 1917-2022</t>
        </is>
      </c>
      <c r="B199" s="1" t="n">
        <v>44574</v>
      </c>
      <c r="C199" s="1" t="n">
        <v>45907</v>
      </c>
      <c r="D199" t="inlineStr">
        <is>
          <t>DALARNAS LÄN</t>
        </is>
      </c>
      <c r="E199" t="inlineStr">
        <is>
          <t>HEDEMORA</t>
        </is>
      </c>
      <c r="F199" t="inlineStr">
        <is>
          <t>Övriga Aktiebolag</t>
        </is>
      </c>
      <c r="G199" t="n">
        <v>1.4</v>
      </c>
      <c r="H199" t="n">
        <v>0</v>
      </c>
      <c r="I199" t="n">
        <v>0</v>
      </c>
      <c r="J199" t="n">
        <v>0</v>
      </c>
      <c r="K199" t="n">
        <v>0</v>
      </c>
      <c r="L199" t="n">
        <v>0</v>
      </c>
      <c r="M199" t="n">
        <v>0</v>
      </c>
      <c r="N199" t="n">
        <v>0</v>
      </c>
      <c r="O199" t="n">
        <v>0</v>
      </c>
      <c r="P199" t="n">
        <v>0</v>
      </c>
      <c r="Q199" t="n">
        <v>0</v>
      </c>
      <c r="R199" s="2" t="inlineStr"/>
    </row>
    <row r="200" ht="15" customHeight="1">
      <c r="A200" t="inlineStr">
        <is>
          <t>A 29690-2025</t>
        </is>
      </c>
      <c r="B200" s="1" t="n">
        <v>45825.53508101852</v>
      </c>
      <c r="C200" s="1" t="n">
        <v>45907</v>
      </c>
      <c r="D200" t="inlineStr">
        <is>
          <t>DALARNAS LÄN</t>
        </is>
      </c>
      <c r="E200" t="inlineStr">
        <is>
          <t>HEDEMORA</t>
        </is>
      </c>
      <c r="G200" t="n">
        <v>4.1</v>
      </c>
      <c r="H200" t="n">
        <v>0</v>
      </c>
      <c r="I200" t="n">
        <v>0</v>
      </c>
      <c r="J200" t="n">
        <v>0</v>
      </c>
      <c r="K200" t="n">
        <v>0</v>
      </c>
      <c r="L200" t="n">
        <v>0</v>
      </c>
      <c r="M200" t="n">
        <v>0</v>
      </c>
      <c r="N200" t="n">
        <v>0</v>
      </c>
      <c r="O200" t="n">
        <v>0</v>
      </c>
      <c r="P200" t="n">
        <v>0</v>
      </c>
      <c r="Q200" t="n">
        <v>0</v>
      </c>
      <c r="R200" s="2" t="inlineStr"/>
    </row>
    <row r="201" ht="15" customHeight="1">
      <c r="A201" t="inlineStr">
        <is>
          <t>A 31825-2024</t>
        </is>
      </c>
      <c r="B201" s="1" t="n">
        <v>45509.60949074074</v>
      </c>
      <c r="C201" s="1" t="n">
        <v>45907</v>
      </c>
      <c r="D201" t="inlineStr">
        <is>
          <t>DALARNAS LÄN</t>
        </is>
      </c>
      <c r="E201" t="inlineStr">
        <is>
          <t>HEDEMORA</t>
        </is>
      </c>
      <c r="G201" t="n">
        <v>0.1</v>
      </c>
      <c r="H201" t="n">
        <v>0</v>
      </c>
      <c r="I201" t="n">
        <v>0</v>
      </c>
      <c r="J201" t="n">
        <v>0</v>
      </c>
      <c r="K201" t="n">
        <v>0</v>
      </c>
      <c r="L201" t="n">
        <v>0</v>
      </c>
      <c r="M201" t="n">
        <v>0</v>
      </c>
      <c r="N201" t="n">
        <v>0</v>
      </c>
      <c r="O201" t="n">
        <v>0</v>
      </c>
      <c r="P201" t="n">
        <v>0</v>
      </c>
      <c r="Q201" t="n">
        <v>0</v>
      </c>
      <c r="R201" s="2" t="inlineStr"/>
    </row>
    <row r="202" ht="15" customHeight="1">
      <c r="A202" t="inlineStr">
        <is>
          <t>A 26452-2024</t>
        </is>
      </c>
      <c r="B202" s="1" t="n">
        <v>45469.51145833333</v>
      </c>
      <c r="C202" s="1" t="n">
        <v>45907</v>
      </c>
      <c r="D202" t="inlineStr">
        <is>
          <t>DALARNAS LÄN</t>
        </is>
      </c>
      <c r="E202" t="inlineStr">
        <is>
          <t>HEDEMORA</t>
        </is>
      </c>
      <c r="G202" t="n">
        <v>2.3</v>
      </c>
      <c r="H202" t="n">
        <v>0</v>
      </c>
      <c r="I202" t="n">
        <v>0</v>
      </c>
      <c r="J202" t="n">
        <v>0</v>
      </c>
      <c r="K202" t="n">
        <v>0</v>
      </c>
      <c r="L202" t="n">
        <v>0</v>
      </c>
      <c r="M202" t="n">
        <v>0</v>
      </c>
      <c r="N202" t="n">
        <v>0</v>
      </c>
      <c r="O202" t="n">
        <v>0</v>
      </c>
      <c r="P202" t="n">
        <v>0</v>
      </c>
      <c r="Q202" t="n">
        <v>0</v>
      </c>
      <c r="R202" s="2" t="inlineStr"/>
    </row>
    <row r="203" ht="15" customHeight="1">
      <c r="A203" t="inlineStr">
        <is>
          <t>A 36206-2025</t>
        </is>
      </c>
      <c r="B203" s="1" t="n">
        <v>45867.45057870371</v>
      </c>
      <c r="C203" s="1" t="n">
        <v>45907</v>
      </c>
      <c r="D203" t="inlineStr">
        <is>
          <t>DALARNAS LÄN</t>
        </is>
      </c>
      <c r="E203" t="inlineStr">
        <is>
          <t>HEDEMORA</t>
        </is>
      </c>
      <c r="G203" t="n">
        <v>0.1</v>
      </c>
      <c r="H203" t="n">
        <v>0</v>
      </c>
      <c r="I203" t="n">
        <v>0</v>
      </c>
      <c r="J203" t="n">
        <v>0</v>
      </c>
      <c r="K203" t="n">
        <v>0</v>
      </c>
      <c r="L203" t="n">
        <v>0</v>
      </c>
      <c r="M203" t="n">
        <v>0</v>
      </c>
      <c r="N203" t="n">
        <v>0</v>
      </c>
      <c r="O203" t="n">
        <v>0</v>
      </c>
      <c r="P203" t="n">
        <v>0</v>
      </c>
      <c r="Q203" t="n">
        <v>0</v>
      </c>
      <c r="R203" s="2" t="inlineStr"/>
    </row>
    <row r="204" ht="15" customHeight="1">
      <c r="A204" t="inlineStr">
        <is>
          <t>A 36103-2025</t>
        </is>
      </c>
      <c r="B204" s="1" t="n">
        <v>45866.55335648148</v>
      </c>
      <c r="C204" s="1" t="n">
        <v>45907</v>
      </c>
      <c r="D204" t="inlineStr">
        <is>
          <t>DALARNAS LÄN</t>
        </is>
      </c>
      <c r="E204" t="inlineStr">
        <is>
          <t>HEDEMORA</t>
        </is>
      </c>
      <c r="G204" t="n">
        <v>2.3</v>
      </c>
      <c r="H204" t="n">
        <v>0</v>
      </c>
      <c r="I204" t="n">
        <v>0</v>
      </c>
      <c r="J204" t="n">
        <v>0</v>
      </c>
      <c r="K204" t="n">
        <v>0</v>
      </c>
      <c r="L204" t="n">
        <v>0</v>
      </c>
      <c r="M204" t="n">
        <v>0</v>
      </c>
      <c r="N204" t="n">
        <v>0</v>
      </c>
      <c r="O204" t="n">
        <v>0</v>
      </c>
      <c r="P204" t="n">
        <v>0</v>
      </c>
      <c r="Q204" t="n">
        <v>0</v>
      </c>
      <c r="R204" s="2" t="inlineStr"/>
    </row>
    <row r="205" ht="15" customHeight="1">
      <c r="A205" t="inlineStr">
        <is>
          <t>A 36117-2025</t>
        </is>
      </c>
      <c r="B205" s="1" t="n">
        <v>45866.58664351852</v>
      </c>
      <c r="C205" s="1" t="n">
        <v>45907</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36075-2025</t>
        </is>
      </c>
      <c r="B206" s="1" t="n">
        <v>45866.43974537037</v>
      </c>
      <c r="C206" s="1" t="n">
        <v>45907</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60808-2024</t>
        </is>
      </c>
      <c r="B207" s="1" t="n">
        <v>45644.61251157407</v>
      </c>
      <c r="C207" s="1" t="n">
        <v>45907</v>
      </c>
      <c r="D207" t="inlineStr">
        <is>
          <t>DALARNAS LÄN</t>
        </is>
      </c>
      <c r="E207" t="inlineStr">
        <is>
          <t>HEDEMORA</t>
        </is>
      </c>
      <c r="G207" t="n">
        <v>6</v>
      </c>
      <c r="H207" t="n">
        <v>0</v>
      </c>
      <c r="I207" t="n">
        <v>0</v>
      </c>
      <c r="J207" t="n">
        <v>0</v>
      </c>
      <c r="K207" t="n">
        <v>0</v>
      </c>
      <c r="L207" t="n">
        <v>0</v>
      </c>
      <c r="M207" t="n">
        <v>0</v>
      </c>
      <c r="N207" t="n">
        <v>0</v>
      </c>
      <c r="O207" t="n">
        <v>0</v>
      </c>
      <c r="P207" t="n">
        <v>0</v>
      </c>
      <c r="Q207" t="n">
        <v>0</v>
      </c>
      <c r="R207" s="2" t="inlineStr"/>
    </row>
    <row r="208" ht="15" customHeight="1">
      <c r="A208" t="inlineStr">
        <is>
          <t>A 30582-2025</t>
        </is>
      </c>
      <c r="B208" s="1" t="n">
        <v>45831.42349537037</v>
      </c>
      <c r="C208" s="1" t="n">
        <v>45907</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30472-2025</t>
        </is>
      </c>
      <c r="B209" s="1" t="n">
        <v>45827.94671296296</v>
      </c>
      <c r="C209" s="1" t="n">
        <v>45907</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53576-2023</t>
        </is>
      </c>
      <c r="B210" s="1" t="n">
        <v>45230.50288194444</v>
      </c>
      <c r="C210" s="1" t="n">
        <v>45907</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53588-2023</t>
        </is>
      </c>
      <c r="B211" s="1" t="n">
        <v>45230.53109953704</v>
      </c>
      <c r="C211" s="1" t="n">
        <v>45907</v>
      </c>
      <c r="D211" t="inlineStr">
        <is>
          <t>DALARNAS LÄN</t>
        </is>
      </c>
      <c r="E211" t="inlineStr">
        <is>
          <t>HEDEMORA</t>
        </is>
      </c>
      <c r="G211" t="n">
        <v>0.6</v>
      </c>
      <c r="H211" t="n">
        <v>0</v>
      </c>
      <c r="I211" t="n">
        <v>0</v>
      </c>
      <c r="J211" t="n">
        <v>0</v>
      </c>
      <c r="K211" t="n">
        <v>0</v>
      </c>
      <c r="L211" t="n">
        <v>0</v>
      </c>
      <c r="M211" t="n">
        <v>0</v>
      </c>
      <c r="N211" t="n">
        <v>0</v>
      </c>
      <c r="O211" t="n">
        <v>0</v>
      </c>
      <c r="P211" t="n">
        <v>0</v>
      </c>
      <c r="Q211" t="n">
        <v>0</v>
      </c>
      <c r="R211" s="2" t="inlineStr"/>
    </row>
    <row r="212" ht="15" customHeight="1">
      <c r="A212" t="inlineStr">
        <is>
          <t>A 30471-2025</t>
        </is>
      </c>
      <c r="B212" s="1" t="n">
        <v>45827.94552083333</v>
      </c>
      <c r="C212" s="1" t="n">
        <v>45907</v>
      </c>
      <c r="D212" t="inlineStr">
        <is>
          <t>DALARNAS LÄN</t>
        </is>
      </c>
      <c r="E212" t="inlineStr">
        <is>
          <t>HEDEMORA</t>
        </is>
      </c>
      <c r="G212" t="n">
        <v>0.3</v>
      </c>
      <c r="H212" t="n">
        <v>0</v>
      </c>
      <c r="I212" t="n">
        <v>0</v>
      </c>
      <c r="J212" t="n">
        <v>0</v>
      </c>
      <c r="K212" t="n">
        <v>0</v>
      </c>
      <c r="L212" t="n">
        <v>0</v>
      </c>
      <c r="M212" t="n">
        <v>0</v>
      </c>
      <c r="N212" t="n">
        <v>0</v>
      </c>
      <c r="O212" t="n">
        <v>0</v>
      </c>
      <c r="P212" t="n">
        <v>0</v>
      </c>
      <c r="Q212" t="n">
        <v>0</v>
      </c>
      <c r="R212" s="2" t="inlineStr"/>
    </row>
    <row r="213" ht="15" customHeight="1">
      <c r="A213" t="inlineStr">
        <is>
          <t>A 29128-2025</t>
        </is>
      </c>
      <c r="B213" s="1" t="n">
        <v>45821.60116898148</v>
      </c>
      <c r="C213" s="1" t="n">
        <v>45907</v>
      </c>
      <c r="D213" t="inlineStr">
        <is>
          <t>DALARNAS LÄN</t>
        </is>
      </c>
      <c r="E213" t="inlineStr">
        <is>
          <t>HEDEMORA</t>
        </is>
      </c>
      <c r="F213" t="inlineStr">
        <is>
          <t>Sveaskog</t>
        </is>
      </c>
      <c r="G213" t="n">
        <v>15.5</v>
      </c>
      <c r="H213" t="n">
        <v>0</v>
      </c>
      <c r="I213" t="n">
        <v>0</v>
      </c>
      <c r="J213" t="n">
        <v>0</v>
      </c>
      <c r="K213" t="n">
        <v>0</v>
      </c>
      <c r="L213" t="n">
        <v>0</v>
      </c>
      <c r="M213" t="n">
        <v>0</v>
      </c>
      <c r="N213" t="n">
        <v>0</v>
      </c>
      <c r="O213" t="n">
        <v>0</v>
      </c>
      <c r="P213" t="n">
        <v>0</v>
      </c>
      <c r="Q213" t="n">
        <v>0</v>
      </c>
      <c r="R213" s="2" t="inlineStr"/>
    </row>
    <row r="214" ht="15" customHeight="1">
      <c r="A214" t="inlineStr">
        <is>
          <t>A 29792-2025</t>
        </is>
      </c>
      <c r="B214" s="1" t="n">
        <v>45825.66416666667</v>
      </c>
      <c r="C214" s="1" t="n">
        <v>45907</v>
      </c>
      <c r="D214" t="inlineStr">
        <is>
          <t>DALARNAS LÄN</t>
        </is>
      </c>
      <c r="E214" t="inlineStr">
        <is>
          <t>HEDEMORA</t>
        </is>
      </c>
      <c r="F214" t="inlineStr">
        <is>
          <t>Sveaskog</t>
        </is>
      </c>
      <c r="G214" t="n">
        <v>26.3</v>
      </c>
      <c r="H214" t="n">
        <v>0</v>
      </c>
      <c r="I214" t="n">
        <v>0</v>
      </c>
      <c r="J214" t="n">
        <v>0</v>
      </c>
      <c r="K214" t="n">
        <v>0</v>
      </c>
      <c r="L214" t="n">
        <v>0</v>
      </c>
      <c r="M214" t="n">
        <v>0</v>
      </c>
      <c r="N214" t="n">
        <v>0</v>
      </c>
      <c r="O214" t="n">
        <v>0</v>
      </c>
      <c r="P214" t="n">
        <v>0</v>
      </c>
      <c r="Q214" t="n">
        <v>0</v>
      </c>
      <c r="R214" s="2" t="inlineStr"/>
    </row>
    <row r="215" ht="15" customHeight="1">
      <c r="A215" t="inlineStr">
        <is>
          <t>A 36656-2025</t>
        </is>
      </c>
      <c r="B215" s="1" t="n">
        <v>45873.34642361111</v>
      </c>
      <c r="C215" s="1" t="n">
        <v>45907</v>
      </c>
      <c r="D215" t="inlineStr">
        <is>
          <t>DALARNAS LÄN</t>
        </is>
      </c>
      <c r="E215" t="inlineStr">
        <is>
          <t>HEDEMORA</t>
        </is>
      </c>
      <c r="G215" t="n">
        <v>1.7</v>
      </c>
      <c r="H215" t="n">
        <v>0</v>
      </c>
      <c r="I215" t="n">
        <v>0</v>
      </c>
      <c r="J215" t="n">
        <v>0</v>
      </c>
      <c r="K215" t="n">
        <v>0</v>
      </c>
      <c r="L215" t="n">
        <v>0</v>
      </c>
      <c r="M215" t="n">
        <v>0</v>
      </c>
      <c r="N215" t="n">
        <v>0</v>
      </c>
      <c r="O215" t="n">
        <v>0</v>
      </c>
      <c r="P215" t="n">
        <v>0</v>
      </c>
      <c r="Q215" t="n">
        <v>0</v>
      </c>
      <c r="R215" s="2" t="inlineStr"/>
    </row>
    <row r="216" ht="15" customHeight="1">
      <c r="A216" t="inlineStr">
        <is>
          <t>A 8342-2025</t>
        </is>
      </c>
      <c r="B216" s="1" t="n">
        <v>45708.67251157408</v>
      </c>
      <c r="C216" s="1" t="n">
        <v>45907</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14951-2025</t>
        </is>
      </c>
      <c r="B217" s="1" t="n">
        <v>45743.57695601852</v>
      </c>
      <c r="C217" s="1" t="n">
        <v>45907</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row>
    <row r="218" ht="15" customHeight="1">
      <c r="A218" t="inlineStr">
        <is>
          <t>A 385-2024</t>
        </is>
      </c>
      <c r="B218" s="1" t="n">
        <v>45296</v>
      </c>
      <c r="C218" s="1" t="n">
        <v>45907</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28029-2023</t>
        </is>
      </c>
      <c r="B219" s="1" t="n">
        <v>45099</v>
      </c>
      <c r="C219" s="1" t="n">
        <v>45907</v>
      </c>
      <c r="D219" t="inlineStr">
        <is>
          <t>DALARNAS LÄN</t>
        </is>
      </c>
      <c r="E219" t="inlineStr">
        <is>
          <t>HEDEMORA</t>
        </is>
      </c>
      <c r="G219" t="n">
        <v>0.6</v>
      </c>
      <c r="H219" t="n">
        <v>0</v>
      </c>
      <c r="I219" t="n">
        <v>0</v>
      </c>
      <c r="J219" t="n">
        <v>0</v>
      </c>
      <c r="K219" t="n">
        <v>0</v>
      </c>
      <c r="L219" t="n">
        <v>0</v>
      </c>
      <c r="M219" t="n">
        <v>0</v>
      </c>
      <c r="N219" t="n">
        <v>0</v>
      </c>
      <c r="O219" t="n">
        <v>0</v>
      </c>
      <c r="P219" t="n">
        <v>0</v>
      </c>
      <c r="Q219" t="n">
        <v>0</v>
      </c>
      <c r="R219" s="2" t="inlineStr"/>
    </row>
    <row r="220" ht="15" customHeight="1">
      <c r="A220" t="inlineStr">
        <is>
          <t>A 29123-2021</t>
        </is>
      </c>
      <c r="B220" s="1" t="n">
        <v>44358</v>
      </c>
      <c r="C220" s="1" t="n">
        <v>45907</v>
      </c>
      <c r="D220" t="inlineStr">
        <is>
          <t>DALARNAS LÄN</t>
        </is>
      </c>
      <c r="E220" t="inlineStr">
        <is>
          <t>HEDEMORA</t>
        </is>
      </c>
      <c r="G220" t="n">
        <v>5.6</v>
      </c>
      <c r="H220" t="n">
        <v>0</v>
      </c>
      <c r="I220" t="n">
        <v>0</v>
      </c>
      <c r="J220" t="n">
        <v>0</v>
      </c>
      <c r="K220" t="n">
        <v>0</v>
      </c>
      <c r="L220" t="n">
        <v>0</v>
      </c>
      <c r="M220" t="n">
        <v>0</v>
      </c>
      <c r="N220" t="n">
        <v>0</v>
      </c>
      <c r="O220" t="n">
        <v>0</v>
      </c>
      <c r="P220" t="n">
        <v>0</v>
      </c>
      <c r="Q220" t="n">
        <v>0</v>
      </c>
      <c r="R220" s="2" t="inlineStr"/>
    </row>
    <row r="221" ht="15" customHeight="1">
      <c r="A221" t="inlineStr">
        <is>
          <t>A 38947-2023</t>
        </is>
      </c>
      <c r="B221" s="1" t="n">
        <v>45163.61209490741</v>
      </c>
      <c r="C221" s="1" t="n">
        <v>45907</v>
      </c>
      <c r="D221" t="inlineStr">
        <is>
          <t>DALARNAS LÄN</t>
        </is>
      </c>
      <c r="E221" t="inlineStr">
        <is>
          <t>HEDEMORA</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38951-2023</t>
        </is>
      </c>
      <c r="B222" s="1" t="n">
        <v>45163.61413194444</v>
      </c>
      <c r="C222" s="1" t="n">
        <v>45907</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32865-2025</t>
        </is>
      </c>
      <c r="B223" s="1" t="n">
        <v>45839.58767361111</v>
      </c>
      <c r="C223" s="1" t="n">
        <v>45907</v>
      </c>
      <c r="D223" t="inlineStr">
        <is>
          <t>DALARNAS LÄN</t>
        </is>
      </c>
      <c r="E223" t="inlineStr">
        <is>
          <t>HEDEMORA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37573-2025</t>
        </is>
      </c>
      <c r="B224" s="1" t="n">
        <v>45880.37711805556</v>
      </c>
      <c r="C224" s="1" t="n">
        <v>45907</v>
      </c>
      <c r="D224" t="inlineStr">
        <is>
          <t>DALARNAS LÄN</t>
        </is>
      </c>
      <c r="E224" t="inlineStr">
        <is>
          <t>HEDEMORA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32869-2025</t>
        </is>
      </c>
      <c r="B225" s="1" t="n">
        <v>45839.58927083333</v>
      </c>
      <c r="C225" s="1" t="n">
        <v>45907</v>
      </c>
      <c r="D225" t="inlineStr">
        <is>
          <t>DALARNAS LÄN</t>
        </is>
      </c>
      <c r="E225" t="inlineStr">
        <is>
          <t>HEDEMORA</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37574-2025</t>
        </is>
      </c>
      <c r="B226" s="1" t="n">
        <v>45880.37949074074</v>
      </c>
      <c r="C226" s="1" t="n">
        <v>45907</v>
      </c>
      <c r="D226" t="inlineStr">
        <is>
          <t>DALARNAS LÄN</t>
        </is>
      </c>
      <c r="E226" t="inlineStr">
        <is>
          <t>HEDEMORA</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33009-2025</t>
        </is>
      </c>
      <c r="B227" s="1" t="n">
        <v>45840</v>
      </c>
      <c r="C227" s="1" t="n">
        <v>45907</v>
      </c>
      <c r="D227" t="inlineStr">
        <is>
          <t>DALARNAS LÄN</t>
        </is>
      </c>
      <c r="E227" t="inlineStr">
        <is>
          <t>HEDEMORA</t>
        </is>
      </c>
      <c r="F227" t="inlineStr">
        <is>
          <t>Kyrkan</t>
        </is>
      </c>
      <c r="G227" t="n">
        <v>7.6</v>
      </c>
      <c r="H227" t="n">
        <v>0</v>
      </c>
      <c r="I227" t="n">
        <v>0</v>
      </c>
      <c r="J227" t="n">
        <v>0</v>
      </c>
      <c r="K227" t="n">
        <v>0</v>
      </c>
      <c r="L227" t="n">
        <v>0</v>
      </c>
      <c r="M227" t="n">
        <v>0</v>
      </c>
      <c r="N227" t="n">
        <v>0</v>
      </c>
      <c r="O227" t="n">
        <v>0</v>
      </c>
      <c r="P227" t="n">
        <v>0</v>
      </c>
      <c r="Q227" t="n">
        <v>0</v>
      </c>
      <c r="R227" s="2" t="inlineStr"/>
    </row>
    <row r="228" ht="15" customHeight="1">
      <c r="A228" t="inlineStr">
        <is>
          <t>A 33286-2025</t>
        </is>
      </c>
      <c r="B228" s="1" t="n">
        <v>45840.81065972222</v>
      </c>
      <c r="C228" s="1" t="n">
        <v>45907</v>
      </c>
      <c r="D228" t="inlineStr">
        <is>
          <t>DALARNAS LÄN</t>
        </is>
      </c>
      <c r="E228" t="inlineStr">
        <is>
          <t>HEDEMORA</t>
        </is>
      </c>
      <c r="F228" t="inlineStr">
        <is>
          <t>Sveaskog</t>
        </is>
      </c>
      <c r="G228" t="n">
        <v>7.1</v>
      </c>
      <c r="H228" t="n">
        <v>0</v>
      </c>
      <c r="I228" t="n">
        <v>0</v>
      </c>
      <c r="J228" t="n">
        <v>0</v>
      </c>
      <c r="K228" t="n">
        <v>0</v>
      </c>
      <c r="L228" t="n">
        <v>0</v>
      </c>
      <c r="M228" t="n">
        <v>0</v>
      </c>
      <c r="N228" t="n">
        <v>0</v>
      </c>
      <c r="O228" t="n">
        <v>0</v>
      </c>
      <c r="P228" t="n">
        <v>0</v>
      </c>
      <c r="Q228" t="n">
        <v>0</v>
      </c>
      <c r="R228" s="2" t="inlineStr"/>
    </row>
    <row r="229" ht="15" customHeight="1">
      <c r="A229" t="inlineStr">
        <is>
          <t>A 33287-2025</t>
        </is>
      </c>
      <c r="B229" s="1" t="n">
        <v>45840.81216435185</v>
      </c>
      <c r="C229" s="1" t="n">
        <v>45907</v>
      </c>
      <c r="D229" t="inlineStr">
        <is>
          <t>DALARNAS LÄN</t>
        </is>
      </c>
      <c r="E229" t="inlineStr">
        <is>
          <t>HEDEMORA</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33288-2025</t>
        </is>
      </c>
      <c r="B230" s="1" t="n">
        <v>45840</v>
      </c>
      <c r="C230" s="1" t="n">
        <v>45907</v>
      </c>
      <c r="D230" t="inlineStr">
        <is>
          <t>DALARNAS LÄN</t>
        </is>
      </c>
      <c r="E230" t="inlineStr">
        <is>
          <t>HEDEMORA</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38724-2025</t>
        </is>
      </c>
      <c r="B231" s="1" t="n">
        <v>45887.29802083333</v>
      </c>
      <c r="C231" s="1" t="n">
        <v>45907</v>
      </c>
      <c r="D231" t="inlineStr">
        <is>
          <t>DALARNAS LÄN</t>
        </is>
      </c>
      <c r="E231" t="inlineStr">
        <is>
          <t>HEDEMORA</t>
        </is>
      </c>
      <c r="G231" t="n">
        <v>5</v>
      </c>
      <c r="H231" t="n">
        <v>0</v>
      </c>
      <c r="I231" t="n">
        <v>0</v>
      </c>
      <c r="J231" t="n">
        <v>0</v>
      </c>
      <c r="K231" t="n">
        <v>0</v>
      </c>
      <c r="L231" t="n">
        <v>0</v>
      </c>
      <c r="M231" t="n">
        <v>0</v>
      </c>
      <c r="N231" t="n">
        <v>0</v>
      </c>
      <c r="O231" t="n">
        <v>0</v>
      </c>
      <c r="P231" t="n">
        <v>0</v>
      </c>
      <c r="Q231" t="n">
        <v>0</v>
      </c>
      <c r="R231" s="2" t="inlineStr"/>
    </row>
    <row r="232" ht="15" customHeight="1">
      <c r="A232" t="inlineStr">
        <is>
          <t>A 38725-2025</t>
        </is>
      </c>
      <c r="B232" s="1" t="n">
        <v>45887.30237268518</v>
      </c>
      <c r="C232" s="1" t="n">
        <v>45907</v>
      </c>
      <c r="D232" t="inlineStr">
        <is>
          <t>DALARNAS LÄN</t>
        </is>
      </c>
      <c r="E232" t="inlineStr">
        <is>
          <t>HEDEMORA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34185-2025</t>
        </is>
      </c>
      <c r="B233" s="1" t="n">
        <v>45845</v>
      </c>
      <c r="C233" s="1" t="n">
        <v>45907</v>
      </c>
      <c r="D233" t="inlineStr">
        <is>
          <t>DALARNAS LÄN</t>
        </is>
      </c>
      <c r="E233" t="inlineStr">
        <is>
          <t>HEDEMORA</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55881-2023</t>
        </is>
      </c>
      <c r="B234" s="1" t="n">
        <v>45239</v>
      </c>
      <c r="C234" s="1" t="n">
        <v>45907</v>
      </c>
      <c r="D234" t="inlineStr">
        <is>
          <t>DALARNAS LÄN</t>
        </is>
      </c>
      <c r="E234" t="inlineStr">
        <is>
          <t>HEDEMORA</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32071-2021</t>
        </is>
      </c>
      <c r="B235" s="1" t="n">
        <v>44370.90546296296</v>
      </c>
      <c r="C235" s="1" t="n">
        <v>45907</v>
      </c>
      <c r="D235" t="inlineStr">
        <is>
          <t>DALARNAS LÄN</t>
        </is>
      </c>
      <c r="E235" t="inlineStr">
        <is>
          <t>HEDEMORA</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39393-2025</t>
        </is>
      </c>
      <c r="B236" s="1" t="n">
        <v>45889.62287037037</v>
      </c>
      <c r="C236" s="1" t="n">
        <v>45907</v>
      </c>
      <c r="D236" t="inlineStr">
        <is>
          <t>DALARNAS LÄN</t>
        </is>
      </c>
      <c r="E236" t="inlineStr">
        <is>
          <t>HEDEMORA</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39390-2025</t>
        </is>
      </c>
      <c r="B237" s="1" t="n">
        <v>45889.6240625</v>
      </c>
      <c r="C237" s="1" t="n">
        <v>45907</v>
      </c>
      <c r="D237" t="inlineStr">
        <is>
          <t>DALARNAS LÄN</t>
        </is>
      </c>
      <c r="E237" t="inlineStr">
        <is>
          <t>HEDEMORA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15833-2025</t>
        </is>
      </c>
      <c r="B238" s="1" t="n">
        <v>45748.85107638889</v>
      </c>
      <c r="C238" s="1" t="n">
        <v>45907</v>
      </c>
      <c r="D238" t="inlineStr">
        <is>
          <t>DALARNAS LÄN</t>
        </is>
      </c>
      <c r="E238" t="inlineStr">
        <is>
          <t>HEDEMORA</t>
        </is>
      </c>
      <c r="G238" t="n">
        <v>0.4</v>
      </c>
      <c r="H238" t="n">
        <v>0</v>
      </c>
      <c r="I238" t="n">
        <v>0</v>
      </c>
      <c r="J238" t="n">
        <v>0</v>
      </c>
      <c r="K238" t="n">
        <v>0</v>
      </c>
      <c r="L238" t="n">
        <v>0</v>
      </c>
      <c r="M238" t="n">
        <v>0</v>
      </c>
      <c r="N238" t="n">
        <v>0</v>
      </c>
      <c r="O238" t="n">
        <v>0</v>
      </c>
      <c r="P238" t="n">
        <v>0</v>
      </c>
      <c r="Q238" t="n">
        <v>0</v>
      </c>
      <c r="R238" s="2" t="inlineStr"/>
    </row>
    <row r="239" ht="15" customHeight="1">
      <c r="A239" t="inlineStr">
        <is>
          <t>A 62046-2022</t>
        </is>
      </c>
      <c r="B239" s="1" t="n">
        <v>44918.5633912037</v>
      </c>
      <c r="C239" s="1" t="n">
        <v>45907</v>
      </c>
      <c r="D239" t="inlineStr">
        <is>
          <t>DALARNAS LÄN</t>
        </is>
      </c>
      <c r="E239" t="inlineStr">
        <is>
          <t>HEDEMORA</t>
        </is>
      </c>
      <c r="G239" t="n">
        <v>1.2</v>
      </c>
      <c r="H239" t="n">
        <v>0</v>
      </c>
      <c r="I239" t="n">
        <v>0</v>
      </c>
      <c r="J239" t="n">
        <v>0</v>
      </c>
      <c r="K239" t="n">
        <v>0</v>
      </c>
      <c r="L239" t="n">
        <v>0</v>
      </c>
      <c r="M239" t="n">
        <v>0</v>
      </c>
      <c r="N239" t="n">
        <v>0</v>
      </c>
      <c r="O239" t="n">
        <v>0</v>
      </c>
      <c r="P239" t="n">
        <v>0</v>
      </c>
      <c r="Q239" t="n">
        <v>0</v>
      </c>
      <c r="R239" s="2" t="inlineStr"/>
    </row>
    <row r="240" ht="15" customHeight="1">
      <c r="A240" t="inlineStr">
        <is>
          <t>A 39389-2025</t>
        </is>
      </c>
      <c r="B240" s="1" t="n">
        <v>45889.62181712963</v>
      </c>
      <c r="C240" s="1" t="n">
        <v>45907</v>
      </c>
      <c r="D240" t="inlineStr">
        <is>
          <t>DALARNAS LÄN</t>
        </is>
      </c>
      <c r="E240" t="inlineStr">
        <is>
          <t>HEDEMORA</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34734-2025</t>
        </is>
      </c>
      <c r="B241" s="1" t="n">
        <v>45848</v>
      </c>
      <c r="C241" s="1" t="n">
        <v>45907</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29585-2024</t>
        </is>
      </c>
      <c r="B242" s="1" t="n">
        <v>45484.57728009259</v>
      </c>
      <c r="C242" s="1" t="n">
        <v>45907</v>
      </c>
      <c r="D242" t="inlineStr">
        <is>
          <t>DALARNAS LÄN</t>
        </is>
      </c>
      <c r="E242" t="inlineStr">
        <is>
          <t>HEDEMORA</t>
        </is>
      </c>
      <c r="F242" t="inlineStr">
        <is>
          <t>Bergvik skog väst AB</t>
        </is>
      </c>
      <c r="G242" t="n">
        <v>8.1</v>
      </c>
      <c r="H242" t="n">
        <v>0</v>
      </c>
      <c r="I242" t="n">
        <v>0</v>
      </c>
      <c r="J242" t="n">
        <v>0</v>
      </c>
      <c r="K242" t="n">
        <v>0</v>
      </c>
      <c r="L242" t="n">
        <v>0</v>
      </c>
      <c r="M242" t="n">
        <v>0</v>
      </c>
      <c r="N242" t="n">
        <v>0</v>
      </c>
      <c r="O242" t="n">
        <v>0</v>
      </c>
      <c r="P242" t="n">
        <v>0</v>
      </c>
      <c r="Q242" t="n">
        <v>0</v>
      </c>
      <c r="R242" s="2" t="inlineStr"/>
    </row>
    <row r="243" ht="15" customHeight="1">
      <c r="A243" t="inlineStr">
        <is>
          <t>A 40456-2025</t>
        </is>
      </c>
      <c r="B243" s="1" t="n">
        <v>45895.64342592593</v>
      </c>
      <c r="C243" s="1" t="n">
        <v>45907</v>
      </c>
      <c r="D243" t="inlineStr">
        <is>
          <t>DALARNAS LÄN</t>
        </is>
      </c>
      <c r="E243" t="inlineStr">
        <is>
          <t>HEDEMORA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35103-2025</t>
        </is>
      </c>
      <c r="B244" s="1" t="n">
        <v>45852.56914351852</v>
      </c>
      <c r="C244" s="1" t="n">
        <v>45907</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40419-2025</t>
        </is>
      </c>
      <c r="B245" s="1" t="n">
        <v>45895.57958333333</v>
      </c>
      <c r="C245" s="1" t="n">
        <v>45907</v>
      </c>
      <c r="D245" t="inlineStr">
        <is>
          <t>DALARNAS LÄN</t>
        </is>
      </c>
      <c r="E245" t="inlineStr">
        <is>
          <t>HEDEMORA</t>
        </is>
      </c>
      <c r="G245" t="n">
        <v>3.1</v>
      </c>
      <c r="H245" t="n">
        <v>0</v>
      </c>
      <c r="I245" t="n">
        <v>0</v>
      </c>
      <c r="J245" t="n">
        <v>0</v>
      </c>
      <c r="K245" t="n">
        <v>0</v>
      </c>
      <c r="L245" t="n">
        <v>0</v>
      </c>
      <c r="M245" t="n">
        <v>0</v>
      </c>
      <c r="N245" t="n">
        <v>0</v>
      </c>
      <c r="O245" t="n">
        <v>0</v>
      </c>
      <c r="P245" t="n">
        <v>0</v>
      </c>
      <c r="Q245" t="n">
        <v>0</v>
      </c>
      <c r="R245" s="2" t="inlineStr"/>
    </row>
    <row r="246" ht="15" customHeight="1">
      <c r="A246" t="inlineStr">
        <is>
          <t>A 40421-2025</t>
        </is>
      </c>
      <c r="B246" s="1" t="n">
        <v>45895.58449074074</v>
      </c>
      <c r="C246" s="1" t="n">
        <v>45907</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29301-2023</t>
        </is>
      </c>
      <c r="B247" s="1" t="n">
        <v>45105</v>
      </c>
      <c r="C247" s="1" t="n">
        <v>45907</v>
      </c>
      <c r="D247" t="inlineStr">
        <is>
          <t>DALARNAS LÄN</t>
        </is>
      </c>
      <c r="E247" t="inlineStr">
        <is>
          <t>HEDEMORA</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15048-2025</t>
        </is>
      </c>
      <c r="B248" s="1" t="n">
        <v>45743.69820601852</v>
      </c>
      <c r="C248" s="1" t="n">
        <v>45907</v>
      </c>
      <c r="D248" t="inlineStr">
        <is>
          <t>DALARNAS LÄN</t>
        </is>
      </c>
      <c r="E248" t="inlineStr">
        <is>
          <t>HEDEMORA</t>
        </is>
      </c>
      <c r="F248" t="inlineStr">
        <is>
          <t>Sveaskog</t>
        </is>
      </c>
      <c r="G248" t="n">
        <v>9.1</v>
      </c>
      <c r="H248" t="n">
        <v>0</v>
      </c>
      <c r="I248" t="n">
        <v>0</v>
      </c>
      <c r="J248" t="n">
        <v>0</v>
      </c>
      <c r="K248" t="n">
        <v>0</v>
      </c>
      <c r="L248" t="n">
        <v>0</v>
      </c>
      <c r="M248" t="n">
        <v>0</v>
      </c>
      <c r="N248" t="n">
        <v>0</v>
      </c>
      <c r="O248" t="n">
        <v>0</v>
      </c>
      <c r="P248" t="n">
        <v>0</v>
      </c>
      <c r="Q248" t="n">
        <v>0</v>
      </c>
      <c r="R248" s="2" t="inlineStr"/>
    </row>
    <row r="249" ht="15" customHeight="1">
      <c r="A249" t="inlineStr">
        <is>
          <t>A 15054-2025</t>
        </is>
      </c>
      <c r="B249" s="1" t="n">
        <v>45743.70199074074</v>
      </c>
      <c r="C249" s="1" t="n">
        <v>45907</v>
      </c>
      <c r="D249" t="inlineStr">
        <is>
          <t>DALARNAS LÄN</t>
        </is>
      </c>
      <c r="E249" t="inlineStr">
        <is>
          <t>HEDEMORA</t>
        </is>
      </c>
      <c r="F249" t="inlineStr">
        <is>
          <t>Sveaskog</t>
        </is>
      </c>
      <c r="G249" t="n">
        <v>5.2</v>
      </c>
      <c r="H249" t="n">
        <v>0</v>
      </c>
      <c r="I249" t="n">
        <v>0</v>
      </c>
      <c r="J249" t="n">
        <v>0</v>
      </c>
      <c r="K249" t="n">
        <v>0</v>
      </c>
      <c r="L249" t="n">
        <v>0</v>
      </c>
      <c r="M249" t="n">
        <v>0</v>
      </c>
      <c r="N249" t="n">
        <v>0</v>
      </c>
      <c r="O249" t="n">
        <v>0</v>
      </c>
      <c r="P249" t="n">
        <v>0</v>
      </c>
      <c r="Q249" t="n">
        <v>0</v>
      </c>
      <c r="R249" s="2" t="inlineStr"/>
    </row>
    <row r="250" ht="15" customHeight="1">
      <c r="A250" t="inlineStr">
        <is>
          <t>A 18522-2021</t>
        </is>
      </c>
      <c r="B250" s="1" t="n">
        <v>44306.4405787037</v>
      </c>
      <c r="C250" s="1" t="n">
        <v>45907</v>
      </c>
      <c r="D250" t="inlineStr">
        <is>
          <t>DALARNAS LÄN</t>
        </is>
      </c>
      <c r="E250" t="inlineStr">
        <is>
          <t>HEDEMORA</t>
        </is>
      </c>
      <c r="G250" t="n">
        <v>7</v>
      </c>
      <c r="H250" t="n">
        <v>0</v>
      </c>
      <c r="I250" t="n">
        <v>0</v>
      </c>
      <c r="J250" t="n">
        <v>0</v>
      </c>
      <c r="K250" t="n">
        <v>0</v>
      </c>
      <c r="L250" t="n">
        <v>0</v>
      </c>
      <c r="M250" t="n">
        <v>0</v>
      </c>
      <c r="N250" t="n">
        <v>0</v>
      </c>
      <c r="O250" t="n">
        <v>0</v>
      </c>
      <c r="P250" t="n">
        <v>0</v>
      </c>
      <c r="Q250" t="n">
        <v>0</v>
      </c>
      <c r="R250" s="2" t="inlineStr"/>
    </row>
    <row r="251" ht="15" customHeight="1">
      <c r="A251" t="inlineStr">
        <is>
          <t>A 30205-2022</t>
        </is>
      </c>
      <c r="B251" s="1" t="n">
        <v>44757.74415509259</v>
      </c>
      <c r="C251" s="1" t="n">
        <v>45907</v>
      </c>
      <c r="D251" t="inlineStr">
        <is>
          <t>DALARNAS LÄN</t>
        </is>
      </c>
      <c r="E251" t="inlineStr">
        <is>
          <t>HEDEMORA</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53586-2023</t>
        </is>
      </c>
      <c r="B252" s="1" t="n">
        <v>45230.52603009259</v>
      </c>
      <c r="C252" s="1" t="n">
        <v>45907</v>
      </c>
      <c r="D252" t="inlineStr">
        <is>
          <t>DALARNAS LÄN</t>
        </is>
      </c>
      <c r="E252" t="inlineStr">
        <is>
          <t>HEDEMORA</t>
        </is>
      </c>
      <c r="G252" t="n">
        <v>2.4</v>
      </c>
      <c r="H252" t="n">
        <v>0</v>
      </c>
      <c r="I252" t="n">
        <v>0</v>
      </c>
      <c r="J252" t="n">
        <v>0</v>
      </c>
      <c r="K252" t="n">
        <v>0</v>
      </c>
      <c r="L252" t="n">
        <v>0</v>
      </c>
      <c r="M252" t="n">
        <v>0</v>
      </c>
      <c r="N252" t="n">
        <v>0</v>
      </c>
      <c r="O252" t="n">
        <v>0</v>
      </c>
      <c r="P252" t="n">
        <v>0</v>
      </c>
      <c r="Q252" t="n">
        <v>0</v>
      </c>
      <c r="R252" s="2" t="inlineStr"/>
    </row>
    <row r="253" ht="15" customHeight="1">
      <c r="A253" t="inlineStr">
        <is>
          <t>A 53923-2024</t>
        </is>
      </c>
      <c r="B253" s="1" t="n">
        <v>45615.79806712963</v>
      </c>
      <c r="C253" s="1" t="n">
        <v>45907</v>
      </c>
      <c r="D253" t="inlineStr">
        <is>
          <t>DALARNAS LÄN</t>
        </is>
      </c>
      <c r="E253" t="inlineStr">
        <is>
          <t>HEDEMORA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17645-2022</t>
        </is>
      </c>
      <c r="B254" s="1" t="n">
        <v>44680.47903935185</v>
      </c>
      <c r="C254" s="1" t="n">
        <v>45907</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61533-2021</t>
        </is>
      </c>
      <c r="B255" s="1" t="n">
        <v>44501</v>
      </c>
      <c r="C255" s="1" t="n">
        <v>45907</v>
      </c>
      <c r="D255" t="inlineStr">
        <is>
          <t>DALARNAS LÄN</t>
        </is>
      </c>
      <c r="E255" t="inlineStr">
        <is>
          <t>HEDEMORA</t>
        </is>
      </c>
      <c r="G255" t="n">
        <v>1.6</v>
      </c>
      <c r="H255" t="n">
        <v>0</v>
      </c>
      <c r="I255" t="n">
        <v>0</v>
      </c>
      <c r="J255" t="n">
        <v>0</v>
      </c>
      <c r="K255" t="n">
        <v>0</v>
      </c>
      <c r="L255" t="n">
        <v>0</v>
      </c>
      <c r="M255" t="n">
        <v>0</v>
      </c>
      <c r="N255" t="n">
        <v>0</v>
      </c>
      <c r="O255" t="n">
        <v>0</v>
      </c>
      <c r="P255" t="n">
        <v>0</v>
      </c>
      <c r="Q255" t="n">
        <v>0</v>
      </c>
      <c r="R255" s="2" t="inlineStr"/>
    </row>
    <row r="256" ht="15" customHeight="1">
      <c r="A256" t="inlineStr">
        <is>
          <t>A 42510-2025</t>
        </is>
      </c>
      <c r="B256" s="1" t="n">
        <v>45905.54068287037</v>
      </c>
      <c r="C256" s="1" t="n">
        <v>45907</v>
      </c>
      <c r="D256" t="inlineStr">
        <is>
          <t>DALARNAS LÄN</t>
        </is>
      </c>
      <c r="E256" t="inlineStr">
        <is>
          <t>HEDEMORA</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44384-2024</t>
        </is>
      </c>
      <c r="B257" s="1" t="n">
        <v>45573.67782407408</v>
      </c>
      <c r="C257" s="1" t="n">
        <v>45907</v>
      </c>
      <c r="D257" t="inlineStr">
        <is>
          <t>DALARNAS LÄN</t>
        </is>
      </c>
      <c r="E257" t="inlineStr">
        <is>
          <t>HEDEMORA</t>
        </is>
      </c>
      <c r="F257" t="inlineStr">
        <is>
          <t>Bergvik skog väst AB</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44388-2024</t>
        </is>
      </c>
      <c r="B258" s="1" t="n">
        <v>45573.68875</v>
      </c>
      <c r="C258" s="1" t="n">
        <v>45907</v>
      </c>
      <c r="D258" t="inlineStr">
        <is>
          <t>DALARNAS LÄN</t>
        </is>
      </c>
      <c r="E258" t="inlineStr">
        <is>
          <t>HEDEMORA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39530-2024</t>
        </is>
      </c>
      <c r="B259" s="1" t="n">
        <v>45551</v>
      </c>
      <c r="C259" s="1" t="n">
        <v>45907</v>
      </c>
      <c r="D259" t="inlineStr">
        <is>
          <t>DALARNAS LÄN</t>
        </is>
      </c>
      <c r="E259" t="inlineStr">
        <is>
          <t>HEDEMORA</t>
        </is>
      </c>
      <c r="F259" t="inlineStr">
        <is>
          <t>Bergvik skog väst AB</t>
        </is>
      </c>
      <c r="G259" t="n">
        <v>13.8</v>
      </c>
      <c r="H259" t="n">
        <v>0</v>
      </c>
      <c r="I259" t="n">
        <v>0</v>
      </c>
      <c r="J259" t="n">
        <v>0</v>
      </c>
      <c r="K259" t="n">
        <v>0</v>
      </c>
      <c r="L259" t="n">
        <v>0</v>
      </c>
      <c r="M259" t="n">
        <v>0</v>
      </c>
      <c r="N259" t="n">
        <v>0</v>
      </c>
      <c r="O259" t="n">
        <v>0</v>
      </c>
      <c r="P259" t="n">
        <v>0</v>
      </c>
      <c r="Q259" t="n">
        <v>0</v>
      </c>
      <c r="R259" s="2" t="inlineStr"/>
    </row>
    <row r="260" ht="15" customHeight="1">
      <c r="A260" t="inlineStr">
        <is>
          <t>A 39531-2024</t>
        </is>
      </c>
      <c r="B260" s="1" t="n">
        <v>45551</v>
      </c>
      <c r="C260" s="1" t="n">
        <v>45907</v>
      </c>
      <c r="D260" t="inlineStr">
        <is>
          <t>DALARNAS LÄN</t>
        </is>
      </c>
      <c r="E260" t="inlineStr">
        <is>
          <t>HEDEMORA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39552-2024</t>
        </is>
      </c>
      <c r="B261" s="1" t="n">
        <v>45551</v>
      </c>
      <c r="C261" s="1" t="n">
        <v>45907</v>
      </c>
      <c r="D261" t="inlineStr">
        <is>
          <t>DALARNAS LÄN</t>
        </is>
      </c>
      <c r="E261" t="inlineStr">
        <is>
          <t>HEDEMORA</t>
        </is>
      </c>
      <c r="F261" t="inlineStr">
        <is>
          <t>Bergvik skog väst AB</t>
        </is>
      </c>
      <c r="G261" t="n">
        <v>24.1</v>
      </c>
      <c r="H261" t="n">
        <v>0</v>
      </c>
      <c r="I261" t="n">
        <v>0</v>
      </c>
      <c r="J261" t="n">
        <v>0</v>
      </c>
      <c r="K261" t="n">
        <v>0</v>
      </c>
      <c r="L261" t="n">
        <v>0</v>
      </c>
      <c r="M261" t="n">
        <v>0</v>
      </c>
      <c r="N261" t="n">
        <v>0</v>
      </c>
      <c r="O261" t="n">
        <v>0</v>
      </c>
      <c r="P261" t="n">
        <v>0</v>
      </c>
      <c r="Q261" t="n">
        <v>0</v>
      </c>
      <c r="R261" s="2" t="inlineStr"/>
    </row>
    <row r="262" ht="15" customHeight="1">
      <c r="A262" t="inlineStr">
        <is>
          <t>A 50333-2023</t>
        </is>
      </c>
      <c r="B262" s="1" t="n">
        <v>45216</v>
      </c>
      <c r="C262" s="1" t="n">
        <v>45907</v>
      </c>
      <c r="D262" t="inlineStr">
        <is>
          <t>DALARNAS LÄN</t>
        </is>
      </c>
      <c r="E262" t="inlineStr">
        <is>
          <t>HEDEMORA</t>
        </is>
      </c>
      <c r="G262" t="n">
        <v>1.1</v>
      </c>
      <c r="H262" t="n">
        <v>0</v>
      </c>
      <c r="I262" t="n">
        <v>0</v>
      </c>
      <c r="J262" t="n">
        <v>0</v>
      </c>
      <c r="K262" t="n">
        <v>0</v>
      </c>
      <c r="L262" t="n">
        <v>0</v>
      </c>
      <c r="M262" t="n">
        <v>0</v>
      </c>
      <c r="N262" t="n">
        <v>0</v>
      </c>
      <c r="O262" t="n">
        <v>0</v>
      </c>
      <c r="P262" t="n">
        <v>0</v>
      </c>
      <c r="Q262" t="n">
        <v>0</v>
      </c>
      <c r="R262" s="2" t="inlineStr"/>
    </row>
    <row r="263" ht="15" customHeight="1">
      <c r="A263" t="inlineStr">
        <is>
          <t>A 1973-2022</t>
        </is>
      </c>
      <c r="B263" s="1" t="n">
        <v>44575</v>
      </c>
      <c r="C263" s="1" t="n">
        <v>45907</v>
      </c>
      <c r="D263" t="inlineStr">
        <is>
          <t>DALARNAS LÄN</t>
        </is>
      </c>
      <c r="E263" t="inlineStr">
        <is>
          <t>HEDEMORA</t>
        </is>
      </c>
      <c r="G263" t="n">
        <v>1.2</v>
      </c>
      <c r="H263" t="n">
        <v>0</v>
      </c>
      <c r="I263" t="n">
        <v>0</v>
      </c>
      <c r="J263" t="n">
        <v>0</v>
      </c>
      <c r="K263" t="n">
        <v>0</v>
      </c>
      <c r="L263" t="n">
        <v>0</v>
      </c>
      <c r="M263" t="n">
        <v>0</v>
      </c>
      <c r="N263" t="n">
        <v>0</v>
      </c>
      <c r="O263" t="n">
        <v>0</v>
      </c>
      <c r="P263" t="n">
        <v>0</v>
      </c>
      <c r="Q263" t="n">
        <v>0</v>
      </c>
      <c r="R263" s="2" t="inlineStr"/>
    </row>
    <row r="264" ht="15" customHeight="1">
      <c r="A264" t="inlineStr">
        <is>
          <t>A 17600-2025</t>
        </is>
      </c>
      <c r="B264" s="1" t="n">
        <v>45757.71063657408</v>
      </c>
      <c r="C264" s="1" t="n">
        <v>45907</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25691-2022</t>
        </is>
      </c>
      <c r="B265" s="1" t="n">
        <v>44733</v>
      </c>
      <c r="C265" s="1" t="n">
        <v>45907</v>
      </c>
      <c r="D265" t="inlineStr">
        <is>
          <t>DALARNAS LÄN</t>
        </is>
      </c>
      <c r="E265" t="inlineStr">
        <is>
          <t>HEDEMORA</t>
        </is>
      </c>
      <c r="G265" t="n">
        <v>0.7</v>
      </c>
      <c r="H265" t="n">
        <v>0</v>
      </c>
      <c r="I265" t="n">
        <v>0</v>
      </c>
      <c r="J265" t="n">
        <v>0</v>
      </c>
      <c r="K265" t="n">
        <v>0</v>
      </c>
      <c r="L265" t="n">
        <v>0</v>
      </c>
      <c r="M265" t="n">
        <v>0</v>
      </c>
      <c r="N265" t="n">
        <v>0</v>
      </c>
      <c r="O265" t="n">
        <v>0</v>
      </c>
      <c r="P265" t="n">
        <v>0</v>
      </c>
      <c r="Q265" t="n">
        <v>0</v>
      </c>
      <c r="R265" s="2" t="inlineStr"/>
    </row>
    <row r="266" ht="15" customHeight="1">
      <c r="A266" t="inlineStr">
        <is>
          <t>A 7916-2024</t>
        </is>
      </c>
      <c r="B266" s="1" t="n">
        <v>45350.46259259259</v>
      </c>
      <c r="C266" s="1" t="n">
        <v>45907</v>
      </c>
      <c r="D266" t="inlineStr">
        <is>
          <t>DALARNAS LÄN</t>
        </is>
      </c>
      <c r="E266" t="inlineStr">
        <is>
          <t>HEDEMORA</t>
        </is>
      </c>
      <c r="G266" t="n">
        <v>5.8</v>
      </c>
      <c r="H266" t="n">
        <v>0</v>
      </c>
      <c r="I266" t="n">
        <v>0</v>
      </c>
      <c r="J266" t="n">
        <v>0</v>
      </c>
      <c r="K266" t="n">
        <v>0</v>
      </c>
      <c r="L266" t="n">
        <v>0</v>
      </c>
      <c r="M266" t="n">
        <v>0</v>
      </c>
      <c r="N266" t="n">
        <v>0</v>
      </c>
      <c r="O266" t="n">
        <v>0</v>
      </c>
      <c r="P266" t="n">
        <v>0</v>
      </c>
      <c r="Q266" t="n">
        <v>0</v>
      </c>
      <c r="R266" s="2" t="inlineStr"/>
    </row>
    <row r="267" ht="15" customHeight="1">
      <c r="A267" t="inlineStr">
        <is>
          <t>A 60475-2022</t>
        </is>
      </c>
      <c r="B267" s="1" t="n">
        <v>44911.41222222222</v>
      </c>
      <c r="C267" s="1" t="n">
        <v>45907</v>
      </c>
      <c r="D267" t="inlineStr">
        <is>
          <t>DALARNAS LÄN</t>
        </is>
      </c>
      <c r="E267" t="inlineStr">
        <is>
          <t>HEDEMORA</t>
        </is>
      </c>
      <c r="G267" t="n">
        <v>1</v>
      </c>
      <c r="H267" t="n">
        <v>0</v>
      </c>
      <c r="I267" t="n">
        <v>0</v>
      </c>
      <c r="J267" t="n">
        <v>0</v>
      </c>
      <c r="K267" t="n">
        <v>0</v>
      </c>
      <c r="L267" t="n">
        <v>0</v>
      </c>
      <c r="M267" t="n">
        <v>0</v>
      </c>
      <c r="N267" t="n">
        <v>0</v>
      </c>
      <c r="O267" t="n">
        <v>0</v>
      </c>
      <c r="P267" t="n">
        <v>0</v>
      </c>
      <c r="Q267" t="n">
        <v>0</v>
      </c>
      <c r="R267" s="2" t="inlineStr"/>
    </row>
    <row r="268" ht="15" customHeight="1">
      <c r="A268" t="inlineStr">
        <is>
          <t>A 63925-2023</t>
        </is>
      </c>
      <c r="B268" s="1" t="n">
        <v>45278</v>
      </c>
      <c r="C268" s="1" t="n">
        <v>45907</v>
      </c>
      <c r="D268" t="inlineStr">
        <is>
          <t>DALARNAS LÄN</t>
        </is>
      </c>
      <c r="E268" t="inlineStr">
        <is>
          <t>HEDEMORA</t>
        </is>
      </c>
      <c r="G268" t="n">
        <v>5.2</v>
      </c>
      <c r="H268" t="n">
        <v>0</v>
      </c>
      <c r="I268" t="n">
        <v>0</v>
      </c>
      <c r="J268" t="n">
        <v>0</v>
      </c>
      <c r="K268" t="n">
        <v>0</v>
      </c>
      <c r="L268" t="n">
        <v>0</v>
      </c>
      <c r="M268" t="n">
        <v>0</v>
      </c>
      <c r="N268" t="n">
        <v>0</v>
      </c>
      <c r="O268" t="n">
        <v>0</v>
      </c>
      <c r="P268" t="n">
        <v>0</v>
      </c>
      <c r="Q268" t="n">
        <v>0</v>
      </c>
      <c r="R268" s="2" t="inlineStr"/>
    </row>
    <row r="269" ht="15" customHeight="1">
      <c r="A269" t="inlineStr">
        <is>
          <t>A 60408-2021</t>
        </is>
      </c>
      <c r="B269" s="1" t="n">
        <v>44495</v>
      </c>
      <c r="C269" s="1" t="n">
        <v>45907</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6556-2023</t>
        </is>
      </c>
      <c r="B270" s="1" t="n">
        <v>44961</v>
      </c>
      <c r="C270" s="1" t="n">
        <v>45907</v>
      </c>
      <c r="D270" t="inlineStr">
        <is>
          <t>DALARNAS LÄN</t>
        </is>
      </c>
      <c r="E270" t="inlineStr">
        <is>
          <t>HEDEMORA</t>
        </is>
      </c>
      <c r="G270" t="n">
        <v>3.7</v>
      </c>
      <c r="H270" t="n">
        <v>0</v>
      </c>
      <c r="I270" t="n">
        <v>0</v>
      </c>
      <c r="J270" t="n">
        <v>0</v>
      </c>
      <c r="K270" t="n">
        <v>0</v>
      </c>
      <c r="L270" t="n">
        <v>0</v>
      </c>
      <c r="M270" t="n">
        <v>0</v>
      </c>
      <c r="N270" t="n">
        <v>0</v>
      </c>
      <c r="O270" t="n">
        <v>0</v>
      </c>
      <c r="P270" t="n">
        <v>0</v>
      </c>
      <c r="Q270" t="n">
        <v>0</v>
      </c>
      <c r="R270" s="2" t="inlineStr"/>
    </row>
    <row r="271" ht="15" customHeight="1">
      <c r="A271" t="inlineStr">
        <is>
          <t>A 22222-2023</t>
        </is>
      </c>
      <c r="B271" s="1" t="n">
        <v>45069.93758101852</v>
      </c>
      <c r="C271" s="1" t="n">
        <v>45907</v>
      </c>
      <c r="D271" t="inlineStr">
        <is>
          <t>DALARNAS LÄN</t>
        </is>
      </c>
      <c r="E271" t="inlineStr">
        <is>
          <t>HEDEMORA</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34409-2022</t>
        </is>
      </c>
      <c r="B272" s="1" t="n">
        <v>44792</v>
      </c>
      <c r="C272" s="1" t="n">
        <v>45907</v>
      </c>
      <c r="D272" t="inlineStr">
        <is>
          <t>DALARNAS LÄN</t>
        </is>
      </c>
      <c r="E272" t="inlineStr">
        <is>
          <t>HEDEMORA</t>
        </is>
      </c>
      <c r="G272" t="n">
        <v>13.7</v>
      </c>
      <c r="H272" t="n">
        <v>0</v>
      </c>
      <c r="I272" t="n">
        <v>0</v>
      </c>
      <c r="J272" t="n">
        <v>0</v>
      </c>
      <c r="K272" t="n">
        <v>0</v>
      </c>
      <c r="L272" t="n">
        <v>0</v>
      </c>
      <c r="M272" t="n">
        <v>0</v>
      </c>
      <c r="N272" t="n">
        <v>0</v>
      </c>
      <c r="O272" t="n">
        <v>0</v>
      </c>
      <c r="P272" t="n">
        <v>0</v>
      </c>
      <c r="Q272" t="n">
        <v>0</v>
      </c>
      <c r="R272" s="2" t="inlineStr"/>
    </row>
    <row r="273" ht="15" customHeight="1">
      <c r="A273" t="inlineStr">
        <is>
          <t>A 44960-2021</t>
        </is>
      </c>
      <c r="B273" s="1" t="n">
        <v>44438.72253472222</v>
      </c>
      <c r="C273" s="1" t="n">
        <v>45907</v>
      </c>
      <c r="D273" t="inlineStr">
        <is>
          <t>DALARNAS LÄN</t>
        </is>
      </c>
      <c r="E273" t="inlineStr">
        <is>
          <t>HEDEMORA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34930-2024</t>
        </is>
      </c>
      <c r="B274" s="1" t="n">
        <v>45527.45107638889</v>
      </c>
      <c r="C274" s="1" t="n">
        <v>45907</v>
      </c>
      <c r="D274" t="inlineStr">
        <is>
          <t>DALARNAS LÄN</t>
        </is>
      </c>
      <c r="E274" t="inlineStr">
        <is>
          <t>HEDEMORA</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34932-2024</t>
        </is>
      </c>
      <c r="B275" s="1" t="n">
        <v>45527.45431712963</v>
      </c>
      <c r="C275" s="1" t="n">
        <v>45907</v>
      </c>
      <c r="D275" t="inlineStr">
        <is>
          <t>DALARNAS LÄN</t>
        </is>
      </c>
      <c r="E275" t="inlineStr">
        <is>
          <t>HEDEMORA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62401-2023</t>
        </is>
      </c>
      <c r="B276" s="1" t="n">
        <v>45268</v>
      </c>
      <c r="C276" s="1" t="n">
        <v>45907</v>
      </c>
      <c r="D276" t="inlineStr">
        <is>
          <t>DALARNAS LÄN</t>
        </is>
      </c>
      <c r="E276" t="inlineStr">
        <is>
          <t>HEDEMORA</t>
        </is>
      </c>
      <c r="G276" t="n">
        <v>1.6</v>
      </c>
      <c r="H276" t="n">
        <v>0</v>
      </c>
      <c r="I276" t="n">
        <v>0</v>
      </c>
      <c r="J276" t="n">
        <v>0</v>
      </c>
      <c r="K276" t="n">
        <v>0</v>
      </c>
      <c r="L276" t="n">
        <v>0</v>
      </c>
      <c r="M276" t="n">
        <v>0</v>
      </c>
      <c r="N276" t="n">
        <v>0</v>
      </c>
      <c r="O276" t="n">
        <v>0</v>
      </c>
      <c r="P276" t="n">
        <v>0</v>
      </c>
      <c r="Q276" t="n">
        <v>0</v>
      </c>
      <c r="R276" s="2" t="inlineStr"/>
    </row>
    <row r="277" ht="15" customHeight="1">
      <c r="A277" t="inlineStr">
        <is>
          <t>A 19689-2025</t>
        </is>
      </c>
      <c r="B277" s="1" t="n">
        <v>45770.88462962963</v>
      </c>
      <c r="C277" s="1" t="n">
        <v>45907</v>
      </c>
      <c r="D277" t="inlineStr">
        <is>
          <t>DALARNAS LÄN</t>
        </is>
      </c>
      <c r="E277" t="inlineStr">
        <is>
          <t>HEDEMORA</t>
        </is>
      </c>
      <c r="G277" t="n">
        <v>1.1</v>
      </c>
      <c r="H277" t="n">
        <v>0</v>
      </c>
      <c r="I277" t="n">
        <v>0</v>
      </c>
      <c r="J277" t="n">
        <v>0</v>
      </c>
      <c r="K277" t="n">
        <v>0</v>
      </c>
      <c r="L277" t="n">
        <v>0</v>
      </c>
      <c r="M277" t="n">
        <v>0</v>
      </c>
      <c r="N277" t="n">
        <v>0</v>
      </c>
      <c r="O277" t="n">
        <v>0</v>
      </c>
      <c r="P277" t="n">
        <v>0</v>
      </c>
      <c r="Q277" t="n">
        <v>0</v>
      </c>
      <c r="R277" s="2" t="inlineStr"/>
    </row>
    <row r="278" ht="15" customHeight="1">
      <c r="A278" t="inlineStr">
        <is>
          <t>A 48320-2024</t>
        </is>
      </c>
      <c r="B278" s="1" t="n">
        <v>45590.4999537037</v>
      </c>
      <c r="C278" s="1" t="n">
        <v>45907</v>
      </c>
      <c r="D278" t="inlineStr">
        <is>
          <t>DALARNAS LÄN</t>
        </is>
      </c>
      <c r="E278" t="inlineStr">
        <is>
          <t>HEDEMORA</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58841-2023</t>
        </is>
      </c>
      <c r="B279" s="1" t="n">
        <v>45252.42115740741</v>
      </c>
      <c r="C279" s="1" t="n">
        <v>45907</v>
      </c>
      <c r="D279" t="inlineStr">
        <is>
          <t>DALARNAS LÄN</t>
        </is>
      </c>
      <c r="E279" t="inlineStr">
        <is>
          <t>HEDEMORA</t>
        </is>
      </c>
      <c r="G279" t="n">
        <v>14.8</v>
      </c>
      <c r="H279" t="n">
        <v>0</v>
      </c>
      <c r="I279" t="n">
        <v>0</v>
      </c>
      <c r="J279" t="n">
        <v>0</v>
      </c>
      <c r="K279" t="n">
        <v>0</v>
      </c>
      <c r="L279" t="n">
        <v>0</v>
      </c>
      <c r="M279" t="n">
        <v>0</v>
      </c>
      <c r="N279" t="n">
        <v>0</v>
      </c>
      <c r="O279" t="n">
        <v>0</v>
      </c>
      <c r="P279" t="n">
        <v>0</v>
      </c>
      <c r="Q279" t="n">
        <v>0</v>
      </c>
      <c r="R279" s="2" t="inlineStr"/>
    </row>
    <row r="280" ht="15" customHeight="1">
      <c r="A280" t="inlineStr">
        <is>
          <t>A 19988-2025</t>
        </is>
      </c>
      <c r="B280" s="1" t="n">
        <v>45771.72665509259</v>
      </c>
      <c r="C280" s="1" t="n">
        <v>45907</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29303-2023</t>
        </is>
      </c>
      <c r="B281" s="1" t="n">
        <v>45105</v>
      </c>
      <c r="C281" s="1" t="n">
        <v>45907</v>
      </c>
      <c r="D281" t="inlineStr">
        <is>
          <t>DALARNAS LÄN</t>
        </is>
      </c>
      <c r="E281" t="inlineStr">
        <is>
          <t>HEDEMORA</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63908-2021</t>
        </is>
      </c>
      <c r="B282" s="1" t="n">
        <v>44509.6580787037</v>
      </c>
      <c r="C282" s="1" t="n">
        <v>45907</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20271-2025</t>
        </is>
      </c>
      <c r="B283" s="1" t="n">
        <v>45773.71568287037</v>
      </c>
      <c r="C283" s="1" t="n">
        <v>45907</v>
      </c>
      <c r="D283" t="inlineStr">
        <is>
          <t>DALARNAS LÄN</t>
        </is>
      </c>
      <c r="E283" t="inlineStr">
        <is>
          <t>HEDEMORA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20272-2025</t>
        </is>
      </c>
      <c r="B284" s="1" t="n">
        <v>45773.71663194444</v>
      </c>
      <c r="C284" s="1" t="n">
        <v>45907</v>
      </c>
      <c r="D284" t="inlineStr">
        <is>
          <t>DALARNAS LÄN</t>
        </is>
      </c>
      <c r="E284" t="inlineStr">
        <is>
          <t>HEDEMORA</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59232-2023</t>
        </is>
      </c>
      <c r="B285" s="1" t="n">
        <v>45253.5053587963</v>
      </c>
      <c r="C285" s="1" t="n">
        <v>45907</v>
      </c>
      <c r="D285" t="inlineStr">
        <is>
          <t>DALARNAS LÄN</t>
        </is>
      </c>
      <c r="E285" t="inlineStr">
        <is>
          <t>HEDEMORA</t>
        </is>
      </c>
      <c r="G285" t="n">
        <v>3.7</v>
      </c>
      <c r="H285" t="n">
        <v>0</v>
      </c>
      <c r="I285" t="n">
        <v>0</v>
      </c>
      <c r="J285" t="n">
        <v>0</v>
      </c>
      <c r="K285" t="n">
        <v>0</v>
      </c>
      <c r="L285" t="n">
        <v>0</v>
      </c>
      <c r="M285" t="n">
        <v>0</v>
      </c>
      <c r="N285" t="n">
        <v>0</v>
      </c>
      <c r="O285" t="n">
        <v>0</v>
      </c>
      <c r="P285" t="n">
        <v>0</v>
      </c>
      <c r="Q285" t="n">
        <v>0</v>
      </c>
      <c r="R285" s="2" t="inlineStr"/>
    </row>
    <row r="286" ht="15" customHeight="1">
      <c r="A286" t="inlineStr">
        <is>
          <t>A 3089-2024</t>
        </is>
      </c>
      <c r="B286" s="1" t="n">
        <v>45316</v>
      </c>
      <c r="C286" s="1" t="n">
        <v>45907</v>
      </c>
      <c r="D286" t="inlineStr">
        <is>
          <t>DALARNAS LÄN</t>
        </is>
      </c>
      <c r="E286" t="inlineStr">
        <is>
          <t>HEDEMORA</t>
        </is>
      </c>
      <c r="G286" t="n">
        <v>5.5</v>
      </c>
      <c r="H286" t="n">
        <v>0</v>
      </c>
      <c r="I286" t="n">
        <v>0</v>
      </c>
      <c r="J286" t="n">
        <v>0</v>
      </c>
      <c r="K286" t="n">
        <v>0</v>
      </c>
      <c r="L286" t="n">
        <v>0</v>
      </c>
      <c r="M286" t="n">
        <v>0</v>
      </c>
      <c r="N286" t="n">
        <v>0</v>
      </c>
      <c r="O286" t="n">
        <v>0</v>
      </c>
      <c r="P286" t="n">
        <v>0</v>
      </c>
      <c r="Q286" t="n">
        <v>0</v>
      </c>
      <c r="R286" s="2" t="inlineStr"/>
    </row>
    <row r="287" ht="15" customHeight="1">
      <c r="A287" t="inlineStr">
        <is>
          <t>A 29587-2024</t>
        </is>
      </c>
      <c r="B287" s="1" t="n">
        <v>45484.5799537037</v>
      </c>
      <c r="C287" s="1" t="n">
        <v>45907</v>
      </c>
      <c r="D287" t="inlineStr">
        <is>
          <t>DALARNAS LÄN</t>
        </is>
      </c>
      <c r="E287" t="inlineStr">
        <is>
          <t>HEDEMORA</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9314-2024</t>
        </is>
      </c>
      <c r="B288" s="1" t="n">
        <v>45358</v>
      </c>
      <c r="C288" s="1" t="n">
        <v>45907</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55882-2023</t>
        </is>
      </c>
      <c r="B289" s="1" t="n">
        <v>45239</v>
      </c>
      <c r="C289" s="1" t="n">
        <v>45907</v>
      </c>
      <c r="D289" t="inlineStr">
        <is>
          <t>DALARNAS LÄN</t>
        </is>
      </c>
      <c r="E289" t="inlineStr">
        <is>
          <t>HEDEMORA</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53584-2023</t>
        </is>
      </c>
      <c r="B290" s="1" t="n">
        <v>45230</v>
      </c>
      <c r="C290" s="1" t="n">
        <v>45907</v>
      </c>
      <c r="D290" t="inlineStr">
        <is>
          <t>DALARNAS LÄN</t>
        </is>
      </c>
      <c r="E290" t="inlineStr">
        <is>
          <t>HEDEMORA</t>
        </is>
      </c>
      <c r="G290" t="n">
        <v>6.6</v>
      </c>
      <c r="H290" t="n">
        <v>0</v>
      </c>
      <c r="I290" t="n">
        <v>0</v>
      </c>
      <c r="J290" t="n">
        <v>0</v>
      </c>
      <c r="K290" t="n">
        <v>0</v>
      </c>
      <c r="L290" t="n">
        <v>0</v>
      </c>
      <c r="M290" t="n">
        <v>0</v>
      </c>
      <c r="N290" t="n">
        <v>0</v>
      </c>
      <c r="O290" t="n">
        <v>0</v>
      </c>
      <c r="P290" t="n">
        <v>0</v>
      </c>
      <c r="Q290" t="n">
        <v>0</v>
      </c>
      <c r="R290" s="2" t="inlineStr"/>
    </row>
    <row r="291" ht="15" customHeight="1">
      <c r="A291" t="inlineStr">
        <is>
          <t>A 60786-2023</t>
        </is>
      </c>
      <c r="B291" s="1" t="n">
        <v>45260.64891203704</v>
      </c>
      <c r="C291" s="1" t="n">
        <v>45907</v>
      </c>
      <c r="D291" t="inlineStr">
        <is>
          <t>DALARNAS LÄN</t>
        </is>
      </c>
      <c r="E291" t="inlineStr">
        <is>
          <t>HEDEMORA</t>
        </is>
      </c>
      <c r="G291" t="n">
        <v>7.1</v>
      </c>
      <c r="H291" t="n">
        <v>0</v>
      </c>
      <c r="I291" t="n">
        <v>0</v>
      </c>
      <c r="J291" t="n">
        <v>0</v>
      </c>
      <c r="K291" t="n">
        <v>0</v>
      </c>
      <c r="L291" t="n">
        <v>0</v>
      </c>
      <c r="M291" t="n">
        <v>0</v>
      </c>
      <c r="N291" t="n">
        <v>0</v>
      </c>
      <c r="O291" t="n">
        <v>0</v>
      </c>
      <c r="P291" t="n">
        <v>0</v>
      </c>
      <c r="Q291" t="n">
        <v>0</v>
      </c>
      <c r="R291" s="2" t="inlineStr"/>
    </row>
    <row r="292" ht="15" customHeight="1">
      <c r="A292" t="inlineStr">
        <is>
          <t>A 26612-2021</t>
        </is>
      </c>
      <c r="B292" s="1" t="n">
        <v>44348.64942129629</v>
      </c>
      <c r="C292" s="1" t="n">
        <v>45907</v>
      </c>
      <c r="D292" t="inlineStr">
        <is>
          <t>DALARNAS LÄN</t>
        </is>
      </c>
      <c r="E292" t="inlineStr">
        <is>
          <t>HEDEMORA</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19990-2025</t>
        </is>
      </c>
      <c r="B293" s="1" t="n">
        <v>45771.73082175926</v>
      </c>
      <c r="C293" s="1" t="n">
        <v>45907</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21763-2024</t>
        </is>
      </c>
      <c r="B294" s="1" t="n">
        <v>45442.60204861111</v>
      </c>
      <c r="C294" s="1" t="n">
        <v>45907</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57745-2024</t>
        </is>
      </c>
      <c r="B295" s="1" t="n">
        <v>45630.77605324074</v>
      </c>
      <c r="C295" s="1" t="n">
        <v>45907</v>
      </c>
      <c r="D295" t="inlineStr">
        <is>
          <t>DALARNAS LÄN</t>
        </is>
      </c>
      <c r="E295" t="inlineStr">
        <is>
          <t>HEDEMORA</t>
        </is>
      </c>
      <c r="G295" t="n">
        <v>1.1</v>
      </c>
      <c r="H295" t="n">
        <v>0</v>
      </c>
      <c r="I295" t="n">
        <v>0</v>
      </c>
      <c r="J295" t="n">
        <v>0</v>
      </c>
      <c r="K295" t="n">
        <v>0</v>
      </c>
      <c r="L295" t="n">
        <v>0</v>
      </c>
      <c r="M295" t="n">
        <v>0</v>
      </c>
      <c r="N295" t="n">
        <v>0</v>
      </c>
      <c r="O295" t="n">
        <v>0</v>
      </c>
      <c r="P295" t="n">
        <v>0</v>
      </c>
      <c r="Q295" t="n">
        <v>0</v>
      </c>
      <c r="R295" s="2" t="inlineStr"/>
    </row>
    <row r="296" ht="15" customHeight="1">
      <c r="A296" t="inlineStr">
        <is>
          <t>A 17594-2025</t>
        </is>
      </c>
      <c r="B296" s="1" t="n">
        <v>45757</v>
      </c>
      <c r="C296" s="1" t="n">
        <v>45907</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58111-2020</t>
        </is>
      </c>
      <c r="B297" s="1" t="n">
        <v>44144</v>
      </c>
      <c r="C297" s="1" t="n">
        <v>45907</v>
      </c>
      <c r="D297" t="inlineStr">
        <is>
          <t>DALARNAS LÄN</t>
        </is>
      </c>
      <c r="E297" t="inlineStr">
        <is>
          <t>HEDEMORA</t>
        </is>
      </c>
      <c r="G297" t="n">
        <v>3.1</v>
      </c>
      <c r="H297" t="n">
        <v>0</v>
      </c>
      <c r="I297" t="n">
        <v>0</v>
      </c>
      <c r="J297" t="n">
        <v>0</v>
      </c>
      <c r="K297" t="n">
        <v>0</v>
      </c>
      <c r="L297" t="n">
        <v>0</v>
      </c>
      <c r="M297" t="n">
        <v>0</v>
      </c>
      <c r="N297" t="n">
        <v>0</v>
      </c>
      <c r="O297" t="n">
        <v>0</v>
      </c>
      <c r="P297" t="n">
        <v>0</v>
      </c>
      <c r="Q297" t="n">
        <v>0</v>
      </c>
      <c r="R297" s="2" t="inlineStr"/>
    </row>
    <row r="298" ht="15" customHeight="1">
      <c r="A298" t="inlineStr">
        <is>
          <t>A 37762-2024</t>
        </is>
      </c>
      <c r="B298" s="1" t="n">
        <v>45541.79369212963</v>
      </c>
      <c r="C298" s="1" t="n">
        <v>45907</v>
      </c>
      <c r="D298" t="inlineStr">
        <is>
          <t>DALARNAS LÄN</t>
        </is>
      </c>
      <c r="E298" t="inlineStr">
        <is>
          <t>HEDEMORA</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36299-2024</t>
        </is>
      </c>
      <c r="B299" s="1" t="n">
        <v>45534.6090625</v>
      </c>
      <c r="C299" s="1" t="n">
        <v>45907</v>
      </c>
      <c r="D299" t="inlineStr">
        <is>
          <t>DALARNAS LÄN</t>
        </is>
      </c>
      <c r="E299" t="inlineStr">
        <is>
          <t>HEDEMORA</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48254-2023</t>
        </is>
      </c>
      <c r="B300" s="1" t="n">
        <v>45205.53241898148</v>
      </c>
      <c r="C300" s="1" t="n">
        <v>45907</v>
      </c>
      <c r="D300" t="inlineStr">
        <is>
          <t>DALARNAS LÄN</t>
        </is>
      </c>
      <c r="E300" t="inlineStr">
        <is>
          <t>HEDEMORA</t>
        </is>
      </c>
      <c r="F300" t="inlineStr">
        <is>
          <t>Sveaskog</t>
        </is>
      </c>
      <c r="G300" t="n">
        <v>1.5</v>
      </c>
      <c r="H300" t="n">
        <v>0</v>
      </c>
      <c r="I300" t="n">
        <v>0</v>
      </c>
      <c r="J300" t="n">
        <v>0</v>
      </c>
      <c r="K300" t="n">
        <v>0</v>
      </c>
      <c r="L300" t="n">
        <v>0</v>
      </c>
      <c r="M300" t="n">
        <v>0</v>
      </c>
      <c r="N300" t="n">
        <v>0</v>
      </c>
      <c r="O300" t="n">
        <v>0</v>
      </c>
      <c r="P300" t="n">
        <v>0</v>
      </c>
      <c r="Q300" t="n">
        <v>0</v>
      </c>
      <c r="R300" s="2" t="inlineStr"/>
      <c r="U300">
        <f>HYPERLINK("https://klasma.github.io/Logging_2083/knärot/A 48254-2023 karta knärot.png", "A 48254-2023")</f>
        <v/>
      </c>
      <c r="V300">
        <f>HYPERLINK("https://klasma.github.io/Logging_2083/klagomål/A 48254-2023 FSC-klagomål.docx", "A 48254-2023")</f>
        <v/>
      </c>
      <c r="W300">
        <f>HYPERLINK("https://klasma.github.io/Logging_2083/klagomålsmail/A 48254-2023 FSC-klagomål mail.docx", "A 48254-2023")</f>
        <v/>
      </c>
      <c r="X300">
        <f>HYPERLINK("https://klasma.github.io/Logging_2083/tillsyn/A 48254-2023 tillsynsbegäran.docx", "A 48254-2023")</f>
        <v/>
      </c>
      <c r="Y300">
        <f>HYPERLINK("https://klasma.github.io/Logging_2083/tillsynsmail/A 48254-2023 tillsynsbegäran mail.docx", "A 48254-2023")</f>
        <v/>
      </c>
    </row>
    <row r="301" ht="15" customHeight="1">
      <c r="A301" t="inlineStr">
        <is>
          <t>A 19987-2025</t>
        </is>
      </c>
      <c r="B301" s="1" t="n">
        <v>45771.72193287037</v>
      </c>
      <c r="C301" s="1" t="n">
        <v>45907</v>
      </c>
      <c r="D301" t="inlineStr">
        <is>
          <t>DALARNAS LÄN</t>
        </is>
      </c>
      <c r="E301" t="inlineStr">
        <is>
          <t>HEDEMORA</t>
        </is>
      </c>
      <c r="G301" t="n">
        <v>3</v>
      </c>
      <c r="H301" t="n">
        <v>0</v>
      </c>
      <c r="I301" t="n">
        <v>0</v>
      </c>
      <c r="J301" t="n">
        <v>0</v>
      </c>
      <c r="K301" t="n">
        <v>0</v>
      </c>
      <c r="L301" t="n">
        <v>0</v>
      </c>
      <c r="M301" t="n">
        <v>0</v>
      </c>
      <c r="N301" t="n">
        <v>0</v>
      </c>
      <c r="O301" t="n">
        <v>0</v>
      </c>
      <c r="P301" t="n">
        <v>0</v>
      </c>
      <c r="Q301" t="n">
        <v>0</v>
      </c>
      <c r="R301" s="2" t="inlineStr"/>
    </row>
    <row r="302" ht="15" customHeight="1">
      <c r="A302" t="inlineStr">
        <is>
          <t>A 65057-2023</t>
        </is>
      </c>
      <c r="B302" s="1" t="n">
        <v>45287</v>
      </c>
      <c r="C302" s="1" t="n">
        <v>45907</v>
      </c>
      <c r="D302" t="inlineStr">
        <is>
          <t>DALARNAS LÄN</t>
        </is>
      </c>
      <c r="E302" t="inlineStr">
        <is>
          <t>HEDEMORA</t>
        </is>
      </c>
      <c r="G302" t="n">
        <v>1.8</v>
      </c>
      <c r="H302" t="n">
        <v>0</v>
      </c>
      <c r="I302" t="n">
        <v>0</v>
      </c>
      <c r="J302" t="n">
        <v>0</v>
      </c>
      <c r="K302" t="n">
        <v>0</v>
      </c>
      <c r="L302" t="n">
        <v>0</v>
      </c>
      <c r="M302" t="n">
        <v>0</v>
      </c>
      <c r="N302" t="n">
        <v>0</v>
      </c>
      <c r="O302" t="n">
        <v>0</v>
      </c>
      <c r="P302" t="n">
        <v>0</v>
      </c>
      <c r="Q302" t="n">
        <v>0</v>
      </c>
      <c r="R302" s="2" t="inlineStr"/>
    </row>
    <row r="303" ht="15" customHeight="1">
      <c r="A303" t="inlineStr">
        <is>
          <t>A 34931-2024</t>
        </is>
      </c>
      <c r="B303" s="1" t="n">
        <v>45527.45292824074</v>
      </c>
      <c r="C303" s="1" t="n">
        <v>45907</v>
      </c>
      <c r="D303" t="inlineStr">
        <is>
          <t>DALARNAS LÄN</t>
        </is>
      </c>
      <c r="E303" t="inlineStr">
        <is>
          <t>HEDEMORA</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36306-2024</t>
        </is>
      </c>
      <c r="B304" s="1" t="n">
        <v>45534.61327546297</v>
      </c>
      <c r="C304" s="1" t="n">
        <v>45907</v>
      </c>
      <c r="D304" t="inlineStr">
        <is>
          <t>DALARNAS LÄN</t>
        </is>
      </c>
      <c r="E304" t="inlineStr">
        <is>
          <t>HEDEMORA</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28813-2024</t>
        </is>
      </c>
      <c r="B305" s="1" t="n">
        <v>45478.641875</v>
      </c>
      <c r="C305" s="1" t="n">
        <v>45907</v>
      </c>
      <c r="D305" t="inlineStr">
        <is>
          <t>DALARNAS LÄN</t>
        </is>
      </c>
      <c r="E305" t="inlineStr">
        <is>
          <t>HEDEMORA</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55832-2024</t>
        </is>
      </c>
      <c r="B306" s="1" t="n">
        <v>45623.48604166666</v>
      </c>
      <c r="C306" s="1" t="n">
        <v>45907</v>
      </c>
      <c r="D306" t="inlineStr">
        <is>
          <t>DALARNAS LÄN</t>
        </is>
      </c>
      <c r="E306" t="inlineStr">
        <is>
          <t>HEDEMORA</t>
        </is>
      </c>
      <c r="G306" t="n">
        <v>3</v>
      </c>
      <c r="H306" t="n">
        <v>0</v>
      </c>
      <c r="I306" t="n">
        <v>0</v>
      </c>
      <c r="J306" t="n">
        <v>0</v>
      </c>
      <c r="K306" t="n">
        <v>0</v>
      </c>
      <c r="L306" t="n">
        <v>0</v>
      </c>
      <c r="M306" t="n">
        <v>0</v>
      </c>
      <c r="N306" t="n">
        <v>0</v>
      </c>
      <c r="O306" t="n">
        <v>0</v>
      </c>
      <c r="P306" t="n">
        <v>0</v>
      </c>
      <c r="Q306" t="n">
        <v>0</v>
      </c>
      <c r="R306" s="2" t="inlineStr"/>
    </row>
    <row r="307" ht="15" customHeight="1">
      <c r="A307" t="inlineStr">
        <is>
          <t>A 20273-2025</t>
        </is>
      </c>
      <c r="B307" s="1" t="n">
        <v>45773.71921296296</v>
      </c>
      <c r="C307" s="1" t="n">
        <v>45907</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56620-2024</t>
        </is>
      </c>
      <c r="B308" s="1" t="n">
        <v>45625</v>
      </c>
      <c r="C308" s="1" t="n">
        <v>45907</v>
      </c>
      <c r="D308" t="inlineStr">
        <is>
          <t>DALARNAS LÄN</t>
        </is>
      </c>
      <c r="E308" t="inlineStr">
        <is>
          <t>HEDEMORA</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60774-2022</t>
        </is>
      </c>
      <c r="B309" s="1" t="n">
        <v>44914.37917824074</v>
      </c>
      <c r="C309" s="1" t="n">
        <v>45907</v>
      </c>
      <c r="D309" t="inlineStr">
        <is>
          <t>DALARNAS LÄN</t>
        </is>
      </c>
      <c r="E309" t="inlineStr">
        <is>
          <t>HEDEMORA</t>
        </is>
      </c>
      <c r="G309" t="n">
        <v>11.5</v>
      </c>
      <c r="H309" t="n">
        <v>0</v>
      </c>
      <c r="I309" t="n">
        <v>0</v>
      </c>
      <c r="J309" t="n">
        <v>0</v>
      </c>
      <c r="K309" t="n">
        <v>0</v>
      </c>
      <c r="L309" t="n">
        <v>0</v>
      </c>
      <c r="M309" t="n">
        <v>0</v>
      </c>
      <c r="N309" t="n">
        <v>0</v>
      </c>
      <c r="O309" t="n">
        <v>0</v>
      </c>
      <c r="P309" t="n">
        <v>0</v>
      </c>
      <c r="Q309" t="n">
        <v>0</v>
      </c>
      <c r="R309" s="2" t="inlineStr"/>
    </row>
    <row r="310" ht="15" customHeight="1">
      <c r="A310" t="inlineStr">
        <is>
          <t>A 20670-2024</t>
        </is>
      </c>
      <c r="B310" s="1" t="n">
        <v>45436</v>
      </c>
      <c r="C310" s="1" t="n">
        <v>45907</v>
      </c>
      <c r="D310" t="inlineStr">
        <is>
          <t>DALARNAS LÄN</t>
        </is>
      </c>
      <c r="E310" t="inlineStr">
        <is>
          <t>HEDEMORA</t>
        </is>
      </c>
      <c r="G310" t="n">
        <v>2.7</v>
      </c>
      <c r="H310" t="n">
        <v>0</v>
      </c>
      <c r="I310" t="n">
        <v>0</v>
      </c>
      <c r="J310" t="n">
        <v>0</v>
      </c>
      <c r="K310" t="n">
        <v>0</v>
      </c>
      <c r="L310" t="n">
        <v>0</v>
      </c>
      <c r="M310" t="n">
        <v>0</v>
      </c>
      <c r="N310" t="n">
        <v>0</v>
      </c>
      <c r="O310" t="n">
        <v>0</v>
      </c>
      <c r="P310" t="n">
        <v>0</v>
      </c>
      <c r="Q310" t="n">
        <v>0</v>
      </c>
      <c r="R310" s="2" t="inlineStr"/>
    </row>
    <row r="311" ht="15" customHeight="1">
      <c r="A311" t="inlineStr">
        <is>
          <t>A 26449-2024</t>
        </is>
      </c>
      <c r="B311" s="1" t="n">
        <v>45469.50783564815</v>
      </c>
      <c r="C311" s="1" t="n">
        <v>45907</v>
      </c>
      <c r="D311" t="inlineStr">
        <is>
          <t>DALARNAS LÄN</t>
        </is>
      </c>
      <c r="E311" t="inlineStr">
        <is>
          <t>HEDEMORA</t>
        </is>
      </c>
      <c r="G311" t="n">
        <v>4.5</v>
      </c>
      <c r="H311" t="n">
        <v>0</v>
      </c>
      <c r="I311" t="n">
        <v>0</v>
      </c>
      <c r="J311" t="n">
        <v>0</v>
      </c>
      <c r="K311" t="n">
        <v>0</v>
      </c>
      <c r="L311" t="n">
        <v>0</v>
      </c>
      <c r="M311" t="n">
        <v>0</v>
      </c>
      <c r="N311" t="n">
        <v>0</v>
      </c>
      <c r="O311" t="n">
        <v>0</v>
      </c>
      <c r="P311" t="n">
        <v>0</v>
      </c>
      <c r="Q311" t="n">
        <v>0</v>
      </c>
      <c r="R311" s="2" t="inlineStr"/>
    </row>
    <row r="312" ht="15" customHeight="1">
      <c r="A312" t="inlineStr">
        <is>
          <t>A 7052-2025</t>
        </is>
      </c>
      <c r="B312" s="1" t="n">
        <v>45701.64659722222</v>
      </c>
      <c r="C312" s="1" t="n">
        <v>45907</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42894-2024</t>
        </is>
      </c>
      <c r="B313" s="1" t="n">
        <v>45566.82304398148</v>
      </c>
      <c r="C313" s="1" t="n">
        <v>45907</v>
      </c>
      <c r="D313" t="inlineStr">
        <is>
          <t>DALARNAS LÄN</t>
        </is>
      </c>
      <c r="E313" t="inlineStr">
        <is>
          <t>HEDEMORA</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42895-2024</t>
        </is>
      </c>
      <c r="B314" s="1" t="n">
        <v>45566.82385416667</v>
      </c>
      <c r="C314" s="1" t="n">
        <v>45907</v>
      </c>
      <c r="D314" t="inlineStr">
        <is>
          <t>DALARNAS LÄN</t>
        </is>
      </c>
      <c r="E314" t="inlineStr">
        <is>
          <t>HEDEMORA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48321-2024</t>
        </is>
      </c>
      <c r="B315" s="1" t="n">
        <v>45590.50111111111</v>
      </c>
      <c r="C315" s="1" t="n">
        <v>45907</v>
      </c>
      <c r="D315" t="inlineStr">
        <is>
          <t>DALARNAS LÄN</t>
        </is>
      </c>
      <c r="E315" t="inlineStr">
        <is>
          <t>HEDEMORA</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31365-2024</t>
        </is>
      </c>
      <c r="B316" s="1" t="n">
        <v>45505.37086805556</v>
      </c>
      <c r="C316" s="1" t="n">
        <v>45907</v>
      </c>
      <c r="D316" t="inlineStr">
        <is>
          <t>DALARNAS LÄN</t>
        </is>
      </c>
      <c r="E316" t="inlineStr">
        <is>
          <t>HEDEMORA</t>
        </is>
      </c>
      <c r="G316" t="n">
        <v>0.4</v>
      </c>
      <c r="H316" t="n">
        <v>0</v>
      </c>
      <c r="I316" t="n">
        <v>0</v>
      </c>
      <c r="J316" t="n">
        <v>0</v>
      </c>
      <c r="K316" t="n">
        <v>0</v>
      </c>
      <c r="L316" t="n">
        <v>0</v>
      </c>
      <c r="M316" t="n">
        <v>0</v>
      </c>
      <c r="N316" t="n">
        <v>0</v>
      </c>
      <c r="O316" t="n">
        <v>0</v>
      </c>
      <c r="P316" t="n">
        <v>0</v>
      </c>
      <c r="Q316" t="n">
        <v>0</v>
      </c>
      <c r="R316" s="2" t="inlineStr"/>
    </row>
    <row r="317" ht="15" customHeight="1">
      <c r="A317" t="inlineStr">
        <is>
          <t>A 36935-2024</t>
        </is>
      </c>
      <c r="B317" s="1" t="n">
        <v>45538.56925925926</v>
      </c>
      <c r="C317" s="1" t="n">
        <v>45907</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60078-2022</t>
        </is>
      </c>
      <c r="B318" s="1" t="n">
        <v>44909.58811342593</v>
      </c>
      <c r="C318" s="1" t="n">
        <v>45907</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32738-2022</t>
        </is>
      </c>
      <c r="B319" s="1" t="n">
        <v>44783.68931712963</v>
      </c>
      <c r="C319" s="1" t="n">
        <v>45907</v>
      </c>
      <c r="D319" t="inlineStr">
        <is>
          <t>DALARNAS LÄN</t>
        </is>
      </c>
      <c r="E319" t="inlineStr">
        <is>
          <t>HEDEMORA</t>
        </is>
      </c>
      <c r="G319" t="n">
        <v>2.6</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45907</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14456-2021</t>
        </is>
      </c>
      <c r="B321" s="1" t="n">
        <v>44279.50208333333</v>
      </c>
      <c r="C321" s="1" t="n">
        <v>45907</v>
      </c>
      <c r="D321" t="inlineStr">
        <is>
          <t>DALARNAS LÄN</t>
        </is>
      </c>
      <c r="E321" t="inlineStr">
        <is>
          <t>HEDEMORA</t>
        </is>
      </c>
      <c r="G321" t="n">
        <v>1.2</v>
      </c>
      <c r="H321" t="n">
        <v>0</v>
      </c>
      <c r="I321" t="n">
        <v>0</v>
      </c>
      <c r="J321" t="n">
        <v>0</v>
      </c>
      <c r="K321" t="n">
        <v>0</v>
      </c>
      <c r="L321" t="n">
        <v>0</v>
      </c>
      <c r="M321" t="n">
        <v>0</v>
      </c>
      <c r="N321" t="n">
        <v>0</v>
      </c>
      <c r="O321" t="n">
        <v>0</v>
      </c>
      <c r="P321" t="n">
        <v>0</v>
      </c>
      <c r="Q321" t="n">
        <v>0</v>
      </c>
      <c r="R321" s="2" t="inlineStr"/>
    </row>
    <row r="322" ht="15" customHeight="1">
      <c r="A322" t="inlineStr">
        <is>
          <t>A 12136-2025</t>
        </is>
      </c>
      <c r="B322" s="1" t="n">
        <v>45729.39300925926</v>
      </c>
      <c r="C322" s="1" t="n">
        <v>45907</v>
      </c>
      <c r="D322" t="inlineStr">
        <is>
          <t>DALARNAS LÄN</t>
        </is>
      </c>
      <c r="E322" t="inlineStr">
        <is>
          <t>HEDEMORA</t>
        </is>
      </c>
      <c r="G322" t="n">
        <v>1.5</v>
      </c>
      <c r="H322" t="n">
        <v>0</v>
      </c>
      <c r="I322" t="n">
        <v>0</v>
      </c>
      <c r="J322" t="n">
        <v>0</v>
      </c>
      <c r="K322" t="n">
        <v>0</v>
      </c>
      <c r="L322" t="n">
        <v>0</v>
      </c>
      <c r="M322" t="n">
        <v>0</v>
      </c>
      <c r="N322" t="n">
        <v>0</v>
      </c>
      <c r="O322" t="n">
        <v>0</v>
      </c>
      <c r="P322" t="n">
        <v>0</v>
      </c>
      <c r="Q322" t="n">
        <v>0</v>
      </c>
      <c r="R322" s="2" t="inlineStr"/>
    </row>
    <row r="323" ht="15" customHeight="1">
      <c r="A323" t="inlineStr">
        <is>
          <t>A 24427-2022</t>
        </is>
      </c>
      <c r="B323" s="1" t="n">
        <v>44726</v>
      </c>
      <c r="C323" s="1" t="n">
        <v>45907</v>
      </c>
      <c r="D323" t="inlineStr">
        <is>
          <t>DALARNAS LÄN</t>
        </is>
      </c>
      <c r="E323" t="inlineStr">
        <is>
          <t>HEDEMORA</t>
        </is>
      </c>
      <c r="G323" t="n">
        <v>1.7</v>
      </c>
      <c r="H323" t="n">
        <v>0</v>
      </c>
      <c r="I323" t="n">
        <v>0</v>
      </c>
      <c r="J323" t="n">
        <v>0</v>
      </c>
      <c r="K323" t="n">
        <v>0</v>
      </c>
      <c r="L323" t="n">
        <v>0</v>
      </c>
      <c r="M323" t="n">
        <v>0</v>
      </c>
      <c r="N323" t="n">
        <v>0</v>
      </c>
      <c r="O323" t="n">
        <v>0</v>
      </c>
      <c r="P323" t="n">
        <v>0</v>
      </c>
      <c r="Q323" t="n">
        <v>0</v>
      </c>
      <c r="R323" s="2" t="inlineStr"/>
    </row>
    <row r="324" ht="15" customHeight="1">
      <c r="A324" t="inlineStr">
        <is>
          <t>A 20666-2024</t>
        </is>
      </c>
      <c r="B324" s="1" t="n">
        <v>45436</v>
      </c>
      <c r="C324" s="1" t="n">
        <v>45907</v>
      </c>
      <c r="D324" t="inlineStr">
        <is>
          <t>DALARNAS LÄN</t>
        </is>
      </c>
      <c r="E324" t="inlineStr">
        <is>
          <t>HEDEMORA</t>
        </is>
      </c>
      <c r="G324" t="n">
        <v>5.1</v>
      </c>
      <c r="H324" t="n">
        <v>0</v>
      </c>
      <c r="I324" t="n">
        <v>0</v>
      </c>
      <c r="J324" t="n">
        <v>0</v>
      </c>
      <c r="K324" t="n">
        <v>0</v>
      </c>
      <c r="L324" t="n">
        <v>0</v>
      </c>
      <c r="M324" t="n">
        <v>0</v>
      </c>
      <c r="N324" t="n">
        <v>0</v>
      </c>
      <c r="O324" t="n">
        <v>0</v>
      </c>
      <c r="P324" t="n">
        <v>0</v>
      </c>
      <c r="Q324" t="n">
        <v>0</v>
      </c>
      <c r="R324" s="2" t="inlineStr"/>
    </row>
    <row r="325" ht="15" customHeight="1">
      <c r="A325" t="inlineStr">
        <is>
          <t>A 6441-2021</t>
        </is>
      </c>
      <c r="B325" s="1" t="n">
        <v>44235</v>
      </c>
      <c r="C325" s="1" t="n">
        <v>45907</v>
      </c>
      <c r="D325" t="inlineStr">
        <is>
          <t>DALARNAS LÄN</t>
        </is>
      </c>
      <c r="E325" t="inlineStr">
        <is>
          <t>HEDEMORA</t>
        </is>
      </c>
      <c r="G325" t="n">
        <v>0.7</v>
      </c>
      <c r="H325" t="n">
        <v>0</v>
      </c>
      <c r="I325" t="n">
        <v>0</v>
      </c>
      <c r="J325" t="n">
        <v>0</v>
      </c>
      <c r="K325" t="n">
        <v>0</v>
      </c>
      <c r="L325" t="n">
        <v>0</v>
      </c>
      <c r="M325" t="n">
        <v>0</v>
      </c>
      <c r="N325" t="n">
        <v>0</v>
      </c>
      <c r="O325" t="n">
        <v>0</v>
      </c>
      <c r="P325" t="n">
        <v>0</v>
      </c>
      <c r="Q325" t="n">
        <v>0</v>
      </c>
      <c r="R325" s="2" t="inlineStr"/>
    </row>
    <row r="326" ht="15" customHeight="1">
      <c r="A326" t="inlineStr">
        <is>
          <t>A 19688-2025</t>
        </is>
      </c>
      <c r="B326" s="1" t="n">
        <v>45770.88217592592</v>
      </c>
      <c r="C326" s="1" t="n">
        <v>45907</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56668-2024</t>
        </is>
      </c>
      <c r="B327" s="1" t="n">
        <v>45626.41185185185</v>
      </c>
      <c r="C327" s="1" t="n">
        <v>45907</v>
      </c>
      <c r="D327" t="inlineStr">
        <is>
          <t>DALARNAS LÄN</t>
        </is>
      </c>
      <c r="E327" t="inlineStr">
        <is>
          <t>HEDEMORA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25643-2024</t>
        </is>
      </c>
      <c r="B328" s="1" t="n">
        <v>45463.66436342592</v>
      </c>
      <c r="C328" s="1" t="n">
        <v>45907</v>
      </c>
      <c r="D328" t="inlineStr">
        <is>
          <t>DALARNAS LÄN</t>
        </is>
      </c>
      <c r="E328" t="inlineStr">
        <is>
          <t>HEDEMORA</t>
        </is>
      </c>
      <c r="F328" t="inlineStr">
        <is>
          <t>Sveaskog</t>
        </is>
      </c>
      <c r="G328" t="n">
        <v>8</v>
      </c>
      <c r="H328" t="n">
        <v>0</v>
      </c>
      <c r="I328" t="n">
        <v>0</v>
      </c>
      <c r="J328" t="n">
        <v>0</v>
      </c>
      <c r="K328" t="n">
        <v>0</v>
      </c>
      <c r="L328" t="n">
        <v>0</v>
      </c>
      <c r="M328" t="n">
        <v>0</v>
      </c>
      <c r="N328" t="n">
        <v>0</v>
      </c>
      <c r="O328" t="n">
        <v>0</v>
      </c>
      <c r="P328" t="n">
        <v>0</v>
      </c>
      <c r="Q328" t="n">
        <v>0</v>
      </c>
      <c r="R328" s="2" t="inlineStr"/>
    </row>
    <row r="329" ht="15" customHeight="1">
      <c r="A329" t="inlineStr">
        <is>
          <t>A 14949-2025</t>
        </is>
      </c>
      <c r="B329" s="1" t="n">
        <v>45743.5745949074</v>
      </c>
      <c r="C329" s="1" t="n">
        <v>45907</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45589-2023</t>
        </is>
      </c>
      <c r="B330" s="1" t="n">
        <v>45194.63086805555</v>
      </c>
      <c r="C330" s="1" t="n">
        <v>45907</v>
      </c>
      <c r="D330" t="inlineStr">
        <is>
          <t>DALARNAS LÄN</t>
        </is>
      </c>
      <c r="E330" t="inlineStr">
        <is>
          <t>HEDEMORA</t>
        </is>
      </c>
      <c r="G330" t="n">
        <v>0.7</v>
      </c>
      <c r="H330" t="n">
        <v>0</v>
      </c>
      <c r="I330" t="n">
        <v>0</v>
      </c>
      <c r="J330" t="n">
        <v>0</v>
      </c>
      <c r="K330" t="n">
        <v>0</v>
      </c>
      <c r="L330" t="n">
        <v>0</v>
      </c>
      <c r="M330" t="n">
        <v>0</v>
      </c>
      <c r="N330" t="n">
        <v>0</v>
      </c>
      <c r="O330" t="n">
        <v>0</v>
      </c>
      <c r="P330" t="n">
        <v>0</v>
      </c>
      <c r="Q330" t="n">
        <v>0</v>
      </c>
      <c r="R330" s="2" t="inlineStr"/>
    </row>
    <row r="331" ht="15" customHeight="1">
      <c r="A331" t="inlineStr">
        <is>
          <t>A 12133-2025</t>
        </is>
      </c>
      <c r="B331" s="1" t="n">
        <v>45729.38878472222</v>
      </c>
      <c r="C331" s="1" t="n">
        <v>45907</v>
      </c>
      <c r="D331" t="inlineStr">
        <is>
          <t>DALARNAS LÄN</t>
        </is>
      </c>
      <c r="E331" t="inlineStr">
        <is>
          <t>HEDEMORA</t>
        </is>
      </c>
      <c r="G331" t="n">
        <v>4.8</v>
      </c>
      <c r="H331" t="n">
        <v>0</v>
      </c>
      <c r="I331" t="n">
        <v>0</v>
      </c>
      <c r="J331" t="n">
        <v>0</v>
      </c>
      <c r="K331" t="n">
        <v>0</v>
      </c>
      <c r="L331" t="n">
        <v>0</v>
      </c>
      <c r="M331" t="n">
        <v>0</v>
      </c>
      <c r="N331" t="n">
        <v>0</v>
      </c>
      <c r="O331" t="n">
        <v>0</v>
      </c>
      <c r="P331" t="n">
        <v>0</v>
      </c>
      <c r="Q331" t="n">
        <v>0</v>
      </c>
      <c r="R331" s="2" t="inlineStr"/>
    </row>
    <row r="332" ht="15" customHeight="1">
      <c r="A332" t="inlineStr">
        <is>
          <t>A 48323-2021</t>
        </is>
      </c>
      <c r="B332" s="1" t="n">
        <v>44450.84762731481</v>
      </c>
      <c r="C332" s="1" t="n">
        <v>45907</v>
      </c>
      <c r="D332" t="inlineStr">
        <is>
          <t>DALARNAS LÄN</t>
        </is>
      </c>
      <c r="E332" t="inlineStr">
        <is>
          <t>HEDEMORA</t>
        </is>
      </c>
      <c r="G332" t="n">
        <v>0.9</v>
      </c>
      <c r="H332" t="n">
        <v>0</v>
      </c>
      <c r="I332" t="n">
        <v>0</v>
      </c>
      <c r="J332" t="n">
        <v>0</v>
      </c>
      <c r="K332" t="n">
        <v>0</v>
      </c>
      <c r="L332" t="n">
        <v>0</v>
      </c>
      <c r="M332" t="n">
        <v>0</v>
      </c>
      <c r="N332" t="n">
        <v>0</v>
      </c>
      <c r="O332" t="n">
        <v>0</v>
      </c>
      <c r="P332" t="n">
        <v>0</v>
      </c>
      <c r="Q332" t="n">
        <v>0</v>
      </c>
      <c r="R332" s="2" t="inlineStr"/>
    </row>
    <row r="333" ht="15" customHeight="1">
      <c r="A333" t="inlineStr">
        <is>
          <t>A 14953-2025</t>
        </is>
      </c>
      <c r="B333" s="1" t="n">
        <v>45743.5819675926</v>
      </c>
      <c r="C333" s="1" t="n">
        <v>45907</v>
      </c>
      <c r="D333" t="inlineStr">
        <is>
          <t>DALARNAS LÄN</t>
        </is>
      </c>
      <c r="E333" t="inlineStr">
        <is>
          <t>HEDEMORA</t>
        </is>
      </c>
      <c r="G333" t="n">
        <v>6.6</v>
      </c>
      <c r="H333" t="n">
        <v>0</v>
      </c>
      <c r="I333" t="n">
        <v>0</v>
      </c>
      <c r="J333" t="n">
        <v>0</v>
      </c>
      <c r="K333" t="n">
        <v>0</v>
      </c>
      <c r="L333" t="n">
        <v>0</v>
      </c>
      <c r="M333" t="n">
        <v>0</v>
      </c>
      <c r="N333" t="n">
        <v>0</v>
      </c>
      <c r="O333" t="n">
        <v>0</v>
      </c>
      <c r="P333" t="n">
        <v>0</v>
      </c>
      <c r="Q333" t="n">
        <v>0</v>
      </c>
      <c r="R333" s="2" t="inlineStr"/>
    </row>
    <row r="334" ht="15" customHeight="1">
      <c r="A334" t="inlineStr">
        <is>
          <t>A 46825-2024</t>
        </is>
      </c>
      <c r="B334" s="1" t="n">
        <v>45583.58040509259</v>
      </c>
      <c r="C334" s="1" t="n">
        <v>45907</v>
      </c>
      <c r="D334" t="inlineStr">
        <is>
          <t>DALARNAS LÄN</t>
        </is>
      </c>
      <c r="E334" t="inlineStr">
        <is>
          <t>HEDEMORA</t>
        </is>
      </c>
      <c r="G334" t="n">
        <v>1.1</v>
      </c>
      <c r="H334" t="n">
        <v>0</v>
      </c>
      <c r="I334" t="n">
        <v>0</v>
      </c>
      <c r="J334" t="n">
        <v>0</v>
      </c>
      <c r="K334" t="n">
        <v>0</v>
      </c>
      <c r="L334" t="n">
        <v>0</v>
      </c>
      <c r="M334" t="n">
        <v>0</v>
      </c>
      <c r="N334" t="n">
        <v>0</v>
      </c>
      <c r="O334" t="n">
        <v>0</v>
      </c>
      <c r="P334" t="n">
        <v>0</v>
      </c>
      <c r="Q334" t="n">
        <v>0</v>
      </c>
      <c r="R334" s="2" t="inlineStr"/>
    </row>
    <row r="335" ht="15" customHeight="1">
      <c r="A335" t="inlineStr">
        <is>
          <t>A 40919-2023</t>
        </is>
      </c>
      <c r="B335" s="1" t="n">
        <v>45173.42707175926</v>
      </c>
      <c r="C335" s="1" t="n">
        <v>45907</v>
      </c>
      <c r="D335" t="inlineStr">
        <is>
          <t>DALARNAS LÄN</t>
        </is>
      </c>
      <c r="E335" t="inlineStr">
        <is>
          <t>HEDEMORA</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1978-2021</t>
        </is>
      </c>
      <c r="B336" s="1" t="n">
        <v>44210.67606481481</v>
      </c>
      <c r="C336" s="1" t="n">
        <v>45907</v>
      </c>
      <c r="D336" t="inlineStr">
        <is>
          <t>DALARNAS LÄN</t>
        </is>
      </c>
      <c r="E336" t="inlineStr">
        <is>
          <t>HEDEMORA</t>
        </is>
      </c>
      <c r="G336" t="n">
        <v>1</v>
      </c>
      <c r="H336" t="n">
        <v>0</v>
      </c>
      <c r="I336" t="n">
        <v>0</v>
      </c>
      <c r="J336" t="n">
        <v>0</v>
      </c>
      <c r="K336" t="n">
        <v>0</v>
      </c>
      <c r="L336" t="n">
        <v>0</v>
      </c>
      <c r="M336" t="n">
        <v>0</v>
      </c>
      <c r="N336" t="n">
        <v>0</v>
      </c>
      <c r="O336" t="n">
        <v>0</v>
      </c>
      <c r="P336" t="n">
        <v>0</v>
      </c>
      <c r="Q336" t="n">
        <v>0</v>
      </c>
      <c r="R336" s="2" t="inlineStr"/>
    </row>
    <row r="337" ht="15" customHeight="1">
      <c r="A337" t="inlineStr">
        <is>
          <t>A 45377-2024</t>
        </is>
      </c>
      <c r="B337" s="1" t="n">
        <v>45576.51962962963</v>
      </c>
      <c r="C337" s="1" t="n">
        <v>45907</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20237-2023</t>
        </is>
      </c>
      <c r="B338" s="1" t="n">
        <v>45055</v>
      </c>
      <c r="C338" s="1" t="n">
        <v>45907</v>
      </c>
      <c r="D338" t="inlineStr">
        <is>
          <t>DALARNAS LÄN</t>
        </is>
      </c>
      <c r="E338" t="inlineStr">
        <is>
          <t>HEDEMORA</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21514-2024</t>
        </is>
      </c>
      <c r="B339" s="1" t="n">
        <v>45441.57538194444</v>
      </c>
      <c r="C339" s="1" t="n">
        <v>45907</v>
      </c>
      <c r="D339" t="inlineStr">
        <is>
          <t>DALARNAS LÄN</t>
        </is>
      </c>
      <c r="E339" t="inlineStr">
        <is>
          <t>HEDEMORA</t>
        </is>
      </c>
      <c r="G339" t="n">
        <v>1.5</v>
      </c>
      <c r="H339" t="n">
        <v>0</v>
      </c>
      <c r="I339" t="n">
        <v>0</v>
      </c>
      <c r="J339" t="n">
        <v>0</v>
      </c>
      <c r="K339" t="n">
        <v>0</v>
      </c>
      <c r="L339" t="n">
        <v>0</v>
      </c>
      <c r="M339" t="n">
        <v>0</v>
      </c>
      <c r="N339" t="n">
        <v>0</v>
      </c>
      <c r="O339" t="n">
        <v>0</v>
      </c>
      <c r="P339" t="n">
        <v>0</v>
      </c>
      <c r="Q339" t="n">
        <v>0</v>
      </c>
      <c r="R339" s="2" t="inlineStr"/>
    </row>
    <row r="340" ht="15" customHeight="1">
      <c r="A340" t="inlineStr">
        <is>
          <t>A 68553-2021</t>
        </is>
      </c>
      <c r="B340" s="1" t="n">
        <v>44529</v>
      </c>
      <c r="C340" s="1" t="n">
        <v>45907</v>
      </c>
      <c r="D340" t="inlineStr">
        <is>
          <t>DALARNAS LÄN</t>
        </is>
      </c>
      <c r="E340" t="inlineStr">
        <is>
          <t>HEDEMORA</t>
        </is>
      </c>
      <c r="G340" t="n">
        <v>3</v>
      </c>
      <c r="H340" t="n">
        <v>0</v>
      </c>
      <c r="I340" t="n">
        <v>0</v>
      </c>
      <c r="J340" t="n">
        <v>0</v>
      </c>
      <c r="K340" t="n">
        <v>0</v>
      </c>
      <c r="L340" t="n">
        <v>0</v>
      </c>
      <c r="M340" t="n">
        <v>0</v>
      </c>
      <c r="N340" t="n">
        <v>0</v>
      </c>
      <c r="O340" t="n">
        <v>0</v>
      </c>
      <c r="P340" t="n">
        <v>0</v>
      </c>
      <c r="Q340" t="n">
        <v>0</v>
      </c>
      <c r="R340" s="2" t="inlineStr"/>
    </row>
    <row r="341" ht="15" customHeight="1">
      <c r="A341" t="inlineStr">
        <is>
          <t>A 30939-2023</t>
        </is>
      </c>
      <c r="B341" s="1" t="n">
        <v>45113.45597222223</v>
      </c>
      <c r="C341" s="1" t="n">
        <v>45907</v>
      </c>
      <c r="D341" t="inlineStr">
        <is>
          <t>DALARNAS LÄN</t>
        </is>
      </c>
      <c r="E341" t="inlineStr">
        <is>
          <t>HEDEMORA</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41523-2023</t>
        </is>
      </c>
      <c r="B342" s="1" t="n">
        <v>45172</v>
      </c>
      <c r="C342" s="1" t="n">
        <v>45907</v>
      </c>
      <c r="D342" t="inlineStr">
        <is>
          <t>DALARNAS LÄN</t>
        </is>
      </c>
      <c r="E342" t="inlineStr">
        <is>
          <t>HEDEMORA</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54310-2021</t>
        </is>
      </c>
      <c r="B343" s="1" t="n">
        <v>44472.54035879629</v>
      </c>
      <c r="C343" s="1" t="n">
        <v>45907</v>
      </c>
      <c r="D343" t="inlineStr">
        <is>
          <t>DALARNAS LÄN</t>
        </is>
      </c>
      <c r="E343" t="inlineStr">
        <is>
          <t>HEDEMORA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46217-2023</t>
        </is>
      </c>
      <c r="B344" s="1" t="n">
        <v>45190</v>
      </c>
      <c r="C344" s="1" t="n">
        <v>45907</v>
      </c>
      <c r="D344" t="inlineStr">
        <is>
          <t>DALARNAS LÄN</t>
        </is>
      </c>
      <c r="E344" t="inlineStr">
        <is>
          <t>HEDEMORA</t>
        </is>
      </c>
      <c r="F344" t="inlineStr">
        <is>
          <t>Bergvik skog väst AB</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15635-2022</t>
        </is>
      </c>
      <c r="B345" s="1" t="n">
        <v>44662.84958333334</v>
      </c>
      <c r="C345" s="1" t="n">
        <v>45907</v>
      </c>
      <c r="D345" t="inlineStr">
        <is>
          <t>DALARNAS LÄN</t>
        </is>
      </c>
      <c r="E345" t="inlineStr">
        <is>
          <t>HEDEMORA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30908-2024</t>
        </is>
      </c>
      <c r="B346" s="1" t="n">
        <v>45498.56491898148</v>
      </c>
      <c r="C346" s="1" t="n">
        <v>45907</v>
      </c>
      <c r="D346" t="inlineStr">
        <is>
          <t>DALARNAS LÄN</t>
        </is>
      </c>
      <c r="E346" t="inlineStr">
        <is>
          <t>HEDEMORA</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c r="A347" t="inlineStr">
        <is>
          <t>A 21092-2023</t>
        </is>
      </c>
      <c r="B347" s="1" t="n">
        <v>45061</v>
      </c>
      <c r="C347" s="1" t="n">
        <v>45907</v>
      </c>
      <c r="D347" t="inlineStr">
        <is>
          <t>DALARNAS LÄN</t>
        </is>
      </c>
      <c r="E347" t="inlineStr">
        <is>
          <t>HEDEMORA</t>
        </is>
      </c>
      <c r="F347" t="inlineStr">
        <is>
          <t>Sveaskog</t>
        </is>
      </c>
      <c r="G347" t="n">
        <v>0.1</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2025-09-07T09:03:43Z</dcterms:created>
  <dcterms:modified xmlns:dcterms="http://purl.org/dc/terms/" xmlns:xsi="http://www.w3.org/2001/XMLSchema-instance" xsi:type="dcterms:W3CDTF">2025-09-07T09:03:44Z</dcterms:modified>
</cp:coreProperties>
</file>