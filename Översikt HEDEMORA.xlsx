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46222</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46222</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46222</v>
      </c>
      <c r="F5" t="inlineStr">
        <is>
          <t>DALARNAS LÄN</t>
        </is>
      </c>
      <c r="G5" t="inlineStr">
        <is>
          <t>HEDEMORA</t>
        </is>
      </c>
      <c r="I5" t="n">
        <v>2.8</v>
      </c>
      <c r="J5" t="n">
        <v>4</v>
      </c>
      <c r="K5" t="n">
        <v>4</v>
      </c>
      <c r="L5" t="n">
        <v>15</v>
      </c>
      <c r="M5" t="n">
        <v>0</v>
      </c>
      <c r="N5" t="n">
        <v>0</v>
      </c>
      <c r="O5" t="n">
        <v>0</v>
      </c>
      <c r="P5" t="n">
        <v>0</v>
      </c>
      <c r="Q5" t="n">
        <v>15</v>
      </c>
      <c r="R5" t="n">
        <v>0</v>
      </c>
      <c r="S5" t="n">
        <v>21</v>
      </c>
      <c r="T5" t="n">
        <v>53</v>
      </c>
      <c r="U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V5">
        <f>HYPERLINK("https://klasma.github.io/Logging_2083/artfynd/S 1878-2026 artfynd.xlsx", "S 1878-2026")</f>
        <v/>
      </c>
      <c r="W5">
        <f>HYPERLINK("https://klasma.github.io/Logging_2083/kartor/S 1878-2026 karta.png", "S 1878-2026")</f>
        <v/>
      </c>
      <c r="Y5">
        <f>HYPERLINK("https://klasma.github.io/Logging_2083/klagomål/S 1878-2026 FSC-klagomål.docx", "S 1878-2026")</f>
        <v/>
      </c>
      <c r="Z5">
        <f>HYPERLINK("https://klasma.github.io/Logging_2083/klagomålsmail/S 1878-2026 FSC-klagomål mail.docx", "S 1878-2026")</f>
        <v/>
      </c>
      <c r="AA5">
        <f>HYPERLINK("https://klasma.github.io/Logging_2083/tillsyn/S 1878-2026 tillsynsbegäran.docx", "S 1878-2026")</f>
        <v/>
      </c>
      <c r="AB5">
        <f>HYPERLINK("https://klasma.github.io/Logging_2083/tillsynsmail/S 1878-2026 tillsynsbegäran mail.docx", "S 1878-2026")</f>
        <v/>
      </c>
      <c r="AC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46222</v>
      </c>
      <c r="F6" t="inlineStr">
        <is>
          <t>DALARNAS LÄN</t>
        </is>
      </c>
      <c r="G6" t="inlineStr">
        <is>
          <t>HEDEMORA</t>
        </is>
      </c>
      <c r="I6" t="n">
        <v>2.3</v>
      </c>
      <c r="J6" t="n">
        <v>4</v>
      </c>
      <c r="K6" t="n">
        <v>4</v>
      </c>
      <c r="L6" t="n">
        <v>8</v>
      </c>
      <c r="M6" t="n">
        <v>5</v>
      </c>
      <c r="N6" t="n">
        <v>0</v>
      </c>
      <c r="O6" t="n">
        <v>0</v>
      </c>
      <c r="P6" t="n">
        <v>0</v>
      </c>
      <c r="Q6" t="n">
        <v>13</v>
      </c>
      <c r="R6" t="n">
        <v>5</v>
      </c>
      <c r="S6" t="n">
        <v>19</v>
      </c>
      <c r="T6" t="n">
        <v>68</v>
      </c>
      <c r="U6" s="2" t="inlineStr">
        <is>
          <t>Bullspindling
Garnlav
Grangråticka
Knärot
Rostskinn
Fjällig taggsvamp s.str.
Motaggsvamp
Rosenticka
Rynkskinn
Skarp dropptaggsvamp
Talltita
Ullticka
Vågticka
Bronshjon
Gullgröppa
Trådticka
Vedticka
Mattlummer
Spillkråka</t>
        </is>
      </c>
      <c r="V6">
        <f>HYPERLINK("https://klasma.github.io/Logging_2083/artfynd/A 42345-2023 artfynd.xlsx", "A 42345-2023")</f>
        <v/>
      </c>
      <c r="W6">
        <f>HYPERLINK("https://klasma.github.io/Logging_2083/kartor/A 42345-2023 karta.png", "A 42345-2023")</f>
        <v/>
      </c>
      <c r="X6">
        <f>HYPERLINK("https://klasma.github.io/Logging_2083/knärot/A 42345-2023 karta knärot.png", "A 42345-2023")</f>
        <v/>
      </c>
      <c r="Y6">
        <f>HYPERLINK("https://klasma.github.io/Logging_2083/klagomål/A 42345-2023 FSC-klagomål.docx", "A 42345-2023")</f>
        <v/>
      </c>
      <c r="Z6">
        <f>HYPERLINK("https://klasma.github.io/Logging_2083/klagomålsmail/A 42345-2023 FSC-klagomål mail.docx", "A 42345-2023")</f>
        <v/>
      </c>
      <c r="AA6">
        <f>HYPERLINK("https://klasma.github.io/Logging_2083/tillsyn/A 42345-2023 tillsynsbegäran.docx", "A 42345-2023")</f>
        <v/>
      </c>
      <c r="AB6">
        <f>HYPERLINK("https://klasma.github.io/Logging_2083/tillsynsmail/A 42345-2023 tillsynsbegäran mail.docx", "A 42345-2023")</f>
        <v/>
      </c>
      <c r="AC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46222</v>
      </c>
      <c r="F7" t="inlineStr">
        <is>
          <t>DALARNAS LÄN</t>
        </is>
      </c>
      <c r="G7" t="inlineStr">
        <is>
          <t>HEDEMORA</t>
        </is>
      </c>
      <c r="I7" t="n">
        <v>1.3</v>
      </c>
      <c r="J7" t="n">
        <v>4</v>
      </c>
      <c r="K7" t="n">
        <v>4</v>
      </c>
      <c r="L7" t="n">
        <v>7</v>
      </c>
      <c r="M7" t="n">
        <v>5</v>
      </c>
      <c r="N7" t="n">
        <v>0</v>
      </c>
      <c r="O7" t="n">
        <v>0</v>
      </c>
      <c r="P7" t="n">
        <v>0</v>
      </c>
      <c r="Q7" t="n">
        <v>12</v>
      </c>
      <c r="R7" t="n">
        <v>5</v>
      </c>
      <c r="S7" t="n">
        <v>18</v>
      </c>
      <c r="T7" t="n">
        <v>51</v>
      </c>
      <c r="U7" s="2" t="inlineStr">
        <is>
          <t>Bullspindling
Garnlav
Grangråticka
Knärot
Rostskinn
Fjällig taggsvamp s.str.
Rosenticka
Rynkskinn
Skarp dropptaggsvamp
Talltita
Ullticka
Vågticka
Bronshjon
Gullgröppa
Trådticka
Vedticka
Mattlummer
Spillkråka</t>
        </is>
      </c>
      <c r="V7">
        <f>HYPERLINK("https://klasma.github.io/Logging_2083/artfynd/A 1453-2026 artfynd.xlsx", "A 1453-2026")</f>
        <v/>
      </c>
      <c r="W7">
        <f>HYPERLINK("https://klasma.github.io/Logging_2083/kartor/A 1453-2026 karta.png", "A 1453-2026")</f>
        <v/>
      </c>
      <c r="X7">
        <f>HYPERLINK("https://klasma.github.io/Logging_2083/knärot/A 1453-2026 karta knärot.png", "A 1453-2026")</f>
        <v/>
      </c>
      <c r="Y7">
        <f>HYPERLINK("https://klasma.github.io/Logging_2083/klagomål/A 1453-2026 FSC-klagomål.docx", "A 1453-2026")</f>
        <v/>
      </c>
      <c r="Z7">
        <f>HYPERLINK("https://klasma.github.io/Logging_2083/klagomålsmail/A 1453-2026 FSC-klagomål mail.docx", "A 1453-2026")</f>
        <v/>
      </c>
      <c r="AA7">
        <f>HYPERLINK("https://klasma.github.io/Logging_2083/tillsyn/A 1453-2026 tillsynsbegäran.docx", "A 1453-2026")</f>
        <v/>
      </c>
      <c r="AB7">
        <f>HYPERLINK("https://klasma.github.io/Logging_2083/tillsynsmail/A 1453-2026 tillsynsbegäran mail.docx", "A 1453-2026")</f>
        <v/>
      </c>
      <c r="AC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46222</v>
      </c>
      <c r="F8" t="inlineStr">
        <is>
          <t>DALARNAS LÄN</t>
        </is>
      </c>
      <c r="G8" t="inlineStr">
        <is>
          <t>HEDEMORA</t>
        </is>
      </c>
      <c r="I8" t="n">
        <v>6.9</v>
      </c>
      <c r="J8" t="n">
        <v>5</v>
      </c>
      <c r="K8" t="n">
        <v>4</v>
      </c>
      <c r="L8" t="n">
        <v>7</v>
      </c>
      <c r="M8" t="n">
        <v>2</v>
      </c>
      <c r="N8" t="n">
        <v>0</v>
      </c>
      <c r="O8" t="n">
        <v>0</v>
      </c>
      <c r="P8" t="n">
        <v>0</v>
      </c>
      <c r="Q8" t="n">
        <v>9</v>
      </c>
      <c r="R8" t="n">
        <v>2</v>
      </c>
      <c r="S8" t="n">
        <v>16</v>
      </c>
      <c r="T8" t="n">
        <v>71</v>
      </c>
      <c r="U8" s="2" t="inlineStr">
        <is>
          <t>Garnlav
Knärot
Dropptaggsvamp
Kattfotslav
Stjärntagging
Tallticka
Tretåig hackspett
Ullticka
Vedtrappmossa
Bollvitmossa
Bronshjon
Vedticka
Vågbandad barkbock
Spillkråka
Tjäder
Revlummer</t>
        </is>
      </c>
      <c r="V8">
        <f>HYPERLINK("https://klasma.github.io/Logging_2083/artfynd/A 55899-2023 artfynd.xlsx", "A 55899-2023")</f>
        <v/>
      </c>
      <c r="W8">
        <f>HYPERLINK("https://klasma.github.io/Logging_2083/kartor/A 55899-2023 karta.png", "A 55899-2023")</f>
        <v/>
      </c>
      <c r="X8">
        <f>HYPERLINK("https://klasma.github.io/Logging_2083/knärot/A 55899-2023 karta knärot.png", "A 55899-2023")</f>
        <v/>
      </c>
      <c r="Y8">
        <f>HYPERLINK("https://klasma.github.io/Logging_2083/klagomål/A 55899-2023 FSC-klagomål.docx", "A 55899-2023")</f>
        <v/>
      </c>
      <c r="Z8">
        <f>HYPERLINK("https://klasma.github.io/Logging_2083/klagomålsmail/A 55899-2023 FSC-klagomål mail.docx", "A 55899-2023")</f>
        <v/>
      </c>
      <c r="AA8">
        <f>HYPERLINK("https://klasma.github.io/Logging_2083/tillsyn/A 55899-2023 tillsynsbegäran.docx", "A 55899-2023")</f>
        <v/>
      </c>
      <c r="AB8">
        <f>HYPERLINK("https://klasma.github.io/Logging_2083/tillsynsmail/A 55899-2023 tillsynsbegäran mail.docx", "A 55899-2023")</f>
        <v/>
      </c>
      <c r="AC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46222</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s="2" t="inlineStr">
        <is>
          <t>Ask
Bitter taggsvamp
Knärot
Ostticka
Hängticka
Kandelabersvamp
Kötticka
Rosenticka
Rynkskinn
Ullticka
Bronshjon
Svavelriska
Tibast
Vedticka
Blåsippa
Spillkråka</t>
        </is>
      </c>
      <c r="V9">
        <f>HYPERLINK("https://klasma.github.io/Logging_2083/artfynd/A 56932-2024 artfynd.xlsx", "A 56932-2024")</f>
        <v/>
      </c>
      <c r="W9">
        <f>HYPERLINK("https://klasma.github.io/Logging_2083/kartor/A 56932-2024 karta.png", "A 56932-2024")</f>
        <v/>
      </c>
      <c r="X9">
        <f>HYPERLINK("https://klasma.github.io/Logging_2083/knärot/A 56932-2024 karta knärot.png", "A 56932-2024")</f>
        <v/>
      </c>
      <c r="Y9">
        <f>HYPERLINK("https://klasma.github.io/Logging_2083/klagomål/A 56932-2024 FSC-klagomål.docx", "A 56932-2024")</f>
        <v/>
      </c>
      <c r="Z9">
        <f>HYPERLINK("https://klasma.github.io/Logging_2083/klagomålsmail/A 56932-2024 FSC-klagomål mail.docx", "A 56932-2024")</f>
        <v/>
      </c>
      <c r="AA9">
        <f>HYPERLINK("https://klasma.github.io/Logging_2083/tillsyn/A 56932-2024 tillsynsbegäran.docx", "A 56932-2024")</f>
        <v/>
      </c>
      <c r="AB9">
        <f>HYPERLINK("https://klasma.github.io/Logging_2083/tillsynsmail/A 56932-2024 tillsynsbegäran mail.docx", "A 56932-2024")</f>
        <v/>
      </c>
      <c r="AC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46222</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s="2" t="inlineStr">
        <is>
          <t>Gul taggsvamp
Läderdoftande fingersvamp
Taggfingersvamp
Dofttaggsvamp
Fjällig taggsvamp s.str.
Odörspindling
Skarp dropptaggsvamp
Talltita
Ullticka
Anisspindling
Olivspindling
Svavelriska
Blåsippa
Revlummer</t>
        </is>
      </c>
      <c r="V10">
        <f>HYPERLINK("https://klasma.github.io/Logging_2083/artfynd/A 34930-2024 artfynd.xlsx", "A 34930-2024")</f>
        <v/>
      </c>
      <c r="W10">
        <f>HYPERLINK("https://klasma.github.io/Logging_2083/kartor/A 34930-2024 karta.png", "A 34930-2024")</f>
        <v/>
      </c>
      <c r="Y10">
        <f>HYPERLINK("https://klasma.github.io/Logging_2083/klagomål/A 34930-2024 FSC-klagomål.docx", "A 34930-2024")</f>
        <v/>
      </c>
      <c r="Z10">
        <f>HYPERLINK("https://klasma.github.io/Logging_2083/klagomålsmail/A 34930-2024 FSC-klagomål mail.docx", "A 34930-2024")</f>
        <v/>
      </c>
      <c r="AA10">
        <f>HYPERLINK("https://klasma.github.io/Logging_2083/tillsyn/A 34930-2024 tillsynsbegäran.docx", "A 34930-2024")</f>
        <v/>
      </c>
      <c r="AB10">
        <f>HYPERLINK("https://klasma.github.io/Logging_2083/tillsynsmail/A 34930-2024 tillsynsbegäran mail.docx", "A 34930-2024")</f>
        <v/>
      </c>
      <c r="AC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46222</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1455-2026 artfynd.xlsx", "A 1455-2026")</f>
        <v/>
      </c>
      <c r="W11">
        <f>HYPERLINK("https://klasma.github.io/Logging_2083/kartor/A 1455-2026 karta.png", "A 1455-2026")</f>
        <v/>
      </c>
      <c r="X11">
        <f>HYPERLINK("https://klasma.github.io/Logging_2083/knärot/A 1455-2026 karta knärot.png", "A 1455-2026")</f>
        <v/>
      </c>
      <c r="Y11">
        <f>HYPERLINK("https://klasma.github.io/Logging_2083/klagomål/A 1455-2026 FSC-klagomål.docx", "A 1455-2026")</f>
        <v/>
      </c>
      <c r="Z11">
        <f>HYPERLINK("https://klasma.github.io/Logging_2083/klagomålsmail/A 1455-2026 FSC-klagomål mail.docx", "A 1455-2026")</f>
        <v/>
      </c>
      <c r="AA11">
        <f>HYPERLINK("https://klasma.github.io/Logging_2083/tillsyn/A 1455-2026 tillsynsbegäran.docx", "A 1455-2026")</f>
        <v/>
      </c>
      <c r="AB11">
        <f>HYPERLINK("https://klasma.github.io/Logging_2083/tillsynsmail/A 1455-2026 tillsynsbegäran mail.docx", "A 1455-2026")</f>
        <v/>
      </c>
      <c r="AC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46222</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s="2" t="inlineStr">
        <is>
          <t>Knärot
Laxporing
Blågrå svartspik
Gropticka
Kortskaftad ärgspik
Talltita
Tretåig hackspett
Ullticka
Vaddporing
Bronshjon
Vedticka
Vågbandad barkbock
Tjäder
Grönsiska</t>
        </is>
      </c>
      <c r="V12">
        <f>HYPERLINK("https://klasma.github.io/Logging_2083/artfynd/A 62040-2021 artfynd.xlsx", "A 62040-2021")</f>
        <v/>
      </c>
      <c r="W12">
        <f>HYPERLINK("https://klasma.github.io/Logging_2083/kartor/A 62040-2021 karta.png", "A 62040-2021")</f>
        <v/>
      </c>
      <c r="X12">
        <f>HYPERLINK("https://klasma.github.io/Logging_2083/knärot/A 62040-2021 karta knärot.png", "A 62040-2021")</f>
        <v/>
      </c>
      <c r="Y12">
        <f>HYPERLINK("https://klasma.github.io/Logging_2083/klagomål/A 62040-2021 FSC-klagomål.docx", "A 62040-2021")</f>
        <v/>
      </c>
      <c r="Z12">
        <f>HYPERLINK("https://klasma.github.io/Logging_2083/klagomålsmail/A 62040-2021 FSC-klagomål mail.docx", "A 62040-2021")</f>
        <v/>
      </c>
      <c r="AA12">
        <f>HYPERLINK("https://klasma.github.io/Logging_2083/tillsyn/A 62040-2021 tillsynsbegäran.docx", "A 62040-2021")</f>
        <v/>
      </c>
      <c r="AB12">
        <f>HYPERLINK("https://klasma.github.io/Logging_2083/tillsynsmail/A 62040-2021 tillsynsbegäran mail.docx", "A 62040-2021")</f>
        <v/>
      </c>
      <c r="AC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46222</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s="2" t="inlineStr">
        <is>
          <t>Berguv
Lakritsmusseron
Dropptaggsvamp
Motaggsvamp
Sotvaxskivling
Tallfingersvamp
Tallticka
Talltita
Tretåig hackspett
Blomkålssvamp
Mindre märgborre
Nattskärra
Spillkråka
Kråka</t>
        </is>
      </c>
      <c r="V13">
        <f>HYPERLINK("https://klasma.github.io/Logging_2083/artfynd/S 2840-2025 artfynd.xlsx", "S 2840-2025")</f>
        <v/>
      </c>
      <c r="W13">
        <f>HYPERLINK("https://klasma.github.io/Logging_2083/kartor/S 2840-2025 karta.png", "S 2840-2025")</f>
        <v/>
      </c>
      <c r="Y13">
        <f>HYPERLINK("https://klasma.github.io/Logging_2083/klagomål/S 2840-2025 FSC-klagomål.docx", "S 2840-2025")</f>
        <v/>
      </c>
      <c r="Z13">
        <f>HYPERLINK("https://klasma.github.io/Logging_2083/klagomålsmail/S 2840-2025 FSC-klagomål mail.docx", "S 2840-2025")</f>
        <v/>
      </c>
      <c r="AA13">
        <f>HYPERLINK("https://klasma.github.io/Logging_2083/tillsyn/S 2840-2025 tillsynsbegäran.docx", "S 2840-2025")</f>
        <v/>
      </c>
      <c r="AB13">
        <f>HYPERLINK("https://klasma.github.io/Logging_2083/tillsynsmail/S 2840-2025 tillsynsbegäran mail.docx", "S 2840-2025")</f>
        <v/>
      </c>
      <c r="AC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46222</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s="2" t="inlineStr">
        <is>
          <t>Sammetstaggsvamp
Violgubbe
Gul taggsvamp
Dofttaggsvamp
Gultoppig fingersvamp
Olivspindling
Rödgul trumpetsvamp
Skogsknipprot
Svart trolldruva
Svavelriska
Blåsippa
Svarta vinbär</t>
        </is>
      </c>
      <c r="V14">
        <f>HYPERLINK("https://klasma.github.io/Logging_2083/artfynd/A 34929-2024 artfynd.xlsx", "A 34929-2024")</f>
        <v/>
      </c>
      <c r="W14">
        <f>HYPERLINK("https://klasma.github.io/Logging_2083/kartor/A 34929-2024 karta.png", "A 34929-2024")</f>
        <v/>
      </c>
      <c r="Y14">
        <f>HYPERLINK("https://klasma.github.io/Logging_2083/klagomål/A 34929-2024 FSC-klagomål.docx", "A 34929-2024")</f>
        <v/>
      </c>
      <c r="Z14">
        <f>HYPERLINK("https://klasma.github.io/Logging_2083/klagomålsmail/A 34929-2024 FSC-klagomål mail.docx", "A 34929-2024")</f>
        <v/>
      </c>
      <c r="AA14">
        <f>HYPERLINK("https://klasma.github.io/Logging_2083/tillsyn/A 34929-2024 tillsynsbegäran.docx", "A 34929-2024")</f>
        <v/>
      </c>
      <c r="AB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46222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s="2" t="inlineStr">
        <is>
          <t>Grangråticka
Gul taggsvamp
Knärot
Dofttaggsvamp
Fjällig taggsvamp s.str.
Rosenticka
Rynkskinn
Ullticka
Diskvaxskivling
Svavelriska
Trådticka</t>
        </is>
      </c>
      <c r="V15">
        <f>HYPERLINK("https://klasma.github.io/Logging_2083/artfynd/A 54120-2024 artfynd.xlsx", "A 54120-2024")</f>
        <v/>
      </c>
      <c r="W15">
        <f>HYPERLINK("https://klasma.github.io/Logging_2083/kartor/A 54120-2024 karta.png", "A 54120-2024")</f>
        <v/>
      </c>
      <c r="X15">
        <f>HYPERLINK("https://klasma.github.io/Logging_2083/knärot/A 54120-2024 karta knärot.png", "A 54120-2024")</f>
        <v/>
      </c>
      <c r="Y15">
        <f>HYPERLINK("https://klasma.github.io/Logging_2083/klagomål/A 54120-2024 FSC-klagomål.docx", "A 54120-2024")</f>
        <v/>
      </c>
      <c r="Z15">
        <f>HYPERLINK("https://klasma.github.io/Logging_2083/klagomålsmail/A 54120-2024 FSC-klagomål mail.docx", "A 54120-2024")</f>
        <v/>
      </c>
      <c r="AA15">
        <f>HYPERLINK("https://klasma.github.io/Logging_2083/tillsyn/A 54120-2024 tillsynsbegäran.docx", "A 54120-2024")</f>
        <v/>
      </c>
      <c r="AB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46222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s="2" t="inlineStr">
        <is>
          <t>Knärot
Kopparspindling
Rostskinn
Fjällig taggsvamp s.str.
Rödfläckig zontaggsvamp
Talltita
Ullticka
Bronshjon
Blåsippa
Mattlummer
Spillkråka</t>
        </is>
      </c>
      <c r="V16">
        <f>HYPERLINK("https://klasma.github.io/Logging_2083/artfynd/A 45277-2025 artfynd.xlsx", "A 45277-2025")</f>
        <v/>
      </c>
      <c r="W16">
        <f>HYPERLINK("https://klasma.github.io/Logging_2083/kartor/A 45277-2025 karta.png", "A 45277-2025")</f>
        <v/>
      </c>
      <c r="X16">
        <f>HYPERLINK("https://klasma.github.io/Logging_2083/knärot/A 45277-2025 karta knärot.png", "A 45277-2025")</f>
        <v/>
      </c>
      <c r="Y16">
        <f>HYPERLINK("https://klasma.github.io/Logging_2083/klagomål/A 45277-2025 FSC-klagomål.docx", "A 45277-2025")</f>
        <v/>
      </c>
      <c r="Z16">
        <f>HYPERLINK("https://klasma.github.io/Logging_2083/klagomålsmail/A 45277-2025 FSC-klagomål mail.docx", "A 45277-2025")</f>
        <v/>
      </c>
      <c r="AA16">
        <f>HYPERLINK("https://klasma.github.io/Logging_2083/tillsyn/A 45277-2025 tillsynsbegäran.docx", "A 45277-2025")</f>
        <v/>
      </c>
      <c r="AB16">
        <f>HYPERLINK("https://klasma.github.io/Logging_2083/tillsynsmail/A 45277-2025 tillsynsbegäran mail.docx", "A 45277-2025")</f>
        <v/>
      </c>
      <c r="AC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46222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s="2" t="inlineStr">
        <is>
          <t>Grangråticka
Gul taggsvamp
Knärot
Dofttaggsvamp
Fjällig taggsvamp s.str.
Rosenticka
Rynkskinn
Ullticka
Diskvaxskivling
Svavelriska
Trådticka</t>
        </is>
      </c>
      <c r="V17">
        <f>HYPERLINK("https://klasma.github.io/Logging_2083/artfynd/S 1363-2026 artfynd.xlsx", "S 1363-2026")</f>
        <v/>
      </c>
      <c r="W17">
        <f>HYPERLINK("https://klasma.github.io/Logging_2083/kartor/S 1363-2026 karta.png", "S 1363-2026")</f>
        <v/>
      </c>
      <c r="X17">
        <f>HYPERLINK("https://klasma.github.io/Logging_2083/knärot/S 1363-2026 karta knärot.png", "S 1363-2026")</f>
        <v/>
      </c>
      <c r="Y17">
        <f>HYPERLINK("https://klasma.github.io/Logging_2083/klagomål/S 1363-2026 FSC-klagomål.docx", "S 1363-2026")</f>
        <v/>
      </c>
      <c r="Z17">
        <f>HYPERLINK("https://klasma.github.io/Logging_2083/klagomålsmail/S 1363-2026 FSC-klagomål mail.docx", "S 1363-2026")</f>
        <v/>
      </c>
      <c r="AA17">
        <f>HYPERLINK("https://klasma.github.io/Logging_2083/tillsyn/S 1363-2026 tillsynsbegäran.docx", "S 1363-2026")</f>
        <v/>
      </c>
      <c r="AB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46222</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s="2" t="inlineStr">
        <is>
          <t>Gul taggsvamp
Läderdoftande fingersvamp
Fjällig taggsvamp s.str.
Odörspindling
Skarp dropptaggsvamp
Sotvaxskivling
Diskvaxskivling
Olivspindling
Strimspindling
Svavelriska</t>
        </is>
      </c>
      <c r="V18">
        <f>HYPERLINK("https://klasma.github.io/Logging_2083/artfynd/A 38724-2025 artfynd.xlsx", "A 38724-2025")</f>
        <v/>
      </c>
      <c r="W18">
        <f>HYPERLINK("https://klasma.github.io/Logging_2083/kartor/A 38724-2025 karta.png", "A 38724-2025")</f>
        <v/>
      </c>
      <c r="Y18">
        <f>HYPERLINK("https://klasma.github.io/Logging_2083/klagomål/A 38724-2025 FSC-klagomål.docx", "A 38724-2025")</f>
        <v/>
      </c>
      <c r="Z18">
        <f>HYPERLINK("https://klasma.github.io/Logging_2083/klagomålsmail/A 38724-2025 FSC-klagomål mail.docx", "A 38724-2025")</f>
        <v/>
      </c>
      <c r="AA18">
        <f>HYPERLINK("https://klasma.github.io/Logging_2083/tillsyn/A 38724-2025 tillsynsbegäran.docx", "A 38724-2025")</f>
        <v/>
      </c>
      <c r="AB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46222</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s="2" t="inlineStr">
        <is>
          <t>Sammetstaggsvamp
Violgubbe
Gul taggsvamp
Dofttaggsvamp
Gultoppig fingersvamp
Puderspindling
Olivspindling
Svavelriska
Blåsippa
Spillkråka</t>
        </is>
      </c>
      <c r="V19">
        <f>HYPERLINK("https://klasma.github.io/Logging_2083/artfynd/A 34928-2024 artfynd.xlsx", "A 34928-2024")</f>
        <v/>
      </c>
      <c r="W19">
        <f>HYPERLINK("https://klasma.github.io/Logging_2083/kartor/A 34928-2024 karta.png", "A 34928-2024")</f>
        <v/>
      </c>
      <c r="Y19">
        <f>HYPERLINK("https://klasma.github.io/Logging_2083/klagomål/A 34928-2024 FSC-klagomål.docx", "A 34928-2024")</f>
        <v/>
      </c>
      <c r="Z19">
        <f>HYPERLINK("https://klasma.github.io/Logging_2083/klagomålsmail/A 34928-2024 FSC-klagomål mail.docx", "A 34928-2024")</f>
        <v/>
      </c>
      <c r="AA19">
        <f>HYPERLINK("https://klasma.github.io/Logging_2083/tillsyn/A 34928-2024 tillsynsbegäran.docx", "A 34928-2024")</f>
        <v/>
      </c>
      <c r="AB19">
        <f>HYPERLINK("https://klasma.github.io/Logging_2083/tillsynsmail/A 34928-2024 tillsynsbegäran mail.docx", "A 34928-2024")</f>
        <v/>
      </c>
      <c r="AC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46222</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s="2" t="inlineStr">
        <is>
          <t>Knärot
Ulltickeporing
Talltita
Ullticka
Björksplintborre
Bronshjon
Thomsons trägnagare
Vedticka
Spillkråka
Revlummer</t>
        </is>
      </c>
      <c r="V20">
        <f>HYPERLINK("https://klasma.github.io/Logging_2083/artfynd/A 10669-2026 artfynd.xlsx", "A 10669-2026")</f>
        <v/>
      </c>
      <c r="W20">
        <f>HYPERLINK("https://klasma.github.io/Logging_2083/kartor/A 10669-2026 karta.png", "A 10669-2026")</f>
        <v/>
      </c>
      <c r="X20">
        <f>HYPERLINK("https://klasma.github.io/Logging_2083/knärot/A 10669-2026 karta knärot.png", "A 10669-2026")</f>
        <v/>
      </c>
      <c r="Y20">
        <f>HYPERLINK("https://klasma.github.io/Logging_2083/klagomål/A 10669-2026 FSC-klagomål.docx", "A 10669-2026")</f>
        <v/>
      </c>
      <c r="Z20">
        <f>HYPERLINK("https://klasma.github.io/Logging_2083/klagomålsmail/A 10669-2026 FSC-klagomål mail.docx", "A 10669-2026")</f>
        <v/>
      </c>
      <c r="AA20">
        <f>HYPERLINK("https://klasma.github.io/Logging_2083/tillsyn/A 10669-2026 tillsynsbegäran.docx", "A 10669-2026")</f>
        <v/>
      </c>
      <c r="AB20">
        <f>HYPERLINK("https://klasma.github.io/Logging_2083/tillsynsmail/A 10669-2026 tillsynsbegäran mail.docx", "A 10669-2026")</f>
        <v/>
      </c>
      <c r="AC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46222</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s="2" t="inlineStr">
        <is>
          <t>Knärot
Laxporing
Blågrå svartspik
Kortskaftad ärgspik
Blomkålssvamp
Bronshjon
Vedticka
Tjäder
Grönsiska</t>
        </is>
      </c>
      <c r="V21">
        <f>HYPERLINK("https://klasma.github.io/Logging_2083/artfynd/A 63851-2025 artfynd.xlsx", "A 63851-2025")</f>
        <v/>
      </c>
      <c r="W21">
        <f>HYPERLINK("https://klasma.github.io/Logging_2083/kartor/A 63851-2025 karta.png", "A 63851-2025")</f>
        <v/>
      </c>
      <c r="X21">
        <f>HYPERLINK("https://klasma.github.io/Logging_2083/knärot/A 63851-2025 karta knärot.png", "A 63851-2025")</f>
        <v/>
      </c>
      <c r="Y21">
        <f>HYPERLINK("https://klasma.github.io/Logging_2083/klagomål/A 63851-2025 FSC-klagomål.docx", "A 63851-2025")</f>
        <v/>
      </c>
      <c r="Z21">
        <f>HYPERLINK("https://klasma.github.io/Logging_2083/klagomålsmail/A 63851-2025 FSC-klagomål mail.docx", "A 63851-2025")</f>
        <v/>
      </c>
      <c r="AA21">
        <f>HYPERLINK("https://klasma.github.io/Logging_2083/tillsyn/A 63851-2025 tillsynsbegäran.docx", "A 63851-2025")</f>
        <v/>
      </c>
      <c r="AB21">
        <f>HYPERLINK("https://klasma.github.io/Logging_2083/tillsynsmail/A 63851-2025 tillsynsbegäran mail.docx", "A 63851-2025")</f>
        <v/>
      </c>
      <c r="AC21">
        <f>HYPERLINK("https://klasma.github.io/Logging_2083/fåglar/A 63851-2025 prioriterade fågelarter.docx", "A 63851-2025")</f>
        <v/>
      </c>
    </row>
    <row r="22" ht="15" customHeight="1">
      <c r="A22" t="inlineStr">
        <is>
          <t>A 25923-2026</t>
        </is>
      </c>
      <c r="B22" t="inlineStr">
        <is>
          <t>avverkningsanmälan</t>
        </is>
      </c>
      <c r="C22" t="inlineStr">
        <is>
          <t>Föryngringsavverkning</t>
        </is>
      </c>
      <c r="D22" s="1" t="n">
        <v>46178</v>
      </c>
      <c r="E22" s="1" t="n">
        <v>46222</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s="2" t="inlineStr">
        <is>
          <t>Knärot
Ullticka
Vedtrappmossa
Björksplintborre
Bollvitmossa
Bronshjon
Rävticka
Svavelriska
Vedticka</t>
        </is>
      </c>
      <c r="V22">
        <f>HYPERLINK("https://klasma.github.io/Logging_2083/artfynd/A 25923-2026 artfynd.xlsx", "A 25923-2026")</f>
        <v/>
      </c>
      <c r="W22">
        <f>HYPERLINK("https://klasma.github.io/Logging_2083/kartor/A 25923-2026 karta.png", "A 25923-2026")</f>
        <v/>
      </c>
      <c r="X22">
        <f>HYPERLINK("https://klasma.github.io/Logging_2083/knärot/A 25923-2026 karta knärot.png", "A 25923-2026")</f>
        <v/>
      </c>
      <c r="Y22">
        <f>HYPERLINK("https://klasma.github.io/Logging_2083/klagomål/A 25923-2026 FSC-klagomål.docx", "A 25923-2026")</f>
        <v/>
      </c>
      <c r="Z22">
        <f>HYPERLINK("https://klasma.github.io/Logging_2083/klagomålsmail/A 25923-2026 FSC-klagomål mail.docx", "A 25923-2026")</f>
        <v/>
      </c>
      <c r="AA22">
        <f>HYPERLINK("https://klasma.github.io/Logging_2083/tillsyn/A 25923-2026 tillsynsbegäran.docx", "A 25923-2026")</f>
        <v/>
      </c>
      <c r="AB22">
        <f>HYPERLINK("https://klasma.github.io/Logging_2083/tillsynsmail/A 25923-2026 tillsynsbegäran mail.docx", "A 25923-2026")</f>
        <v/>
      </c>
    </row>
    <row r="23" ht="15" customHeight="1">
      <c r="A23" t="inlineStr">
        <is>
          <t>A 53820-2025</t>
        </is>
      </c>
      <c r="B23" t="inlineStr">
        <is>
          <t>avverkningsanmälan</t>
        </is>
      </c>
      <c r="C23" t="inlineStr">
        <is>
          <t>Föryngringsavverkning</t>
        </is>
      </c>
      <c r="D23" s="1" t="n">
        <v>45961</v>
      </c>
      <c r="E23" s="1" t="n">
        <v>46222</v>
      </c>
      <c r="F23" t="inlineStr">
        <is>
          <t>DALARNAS LÄN</t>
        </is>
      </c>
      <c r="G23" t="inlineStr">
        <is>
          <t>HEDEMORA</t>
        </is>
      </c>
      <c r="I23" t="n">
        <v>10</v>
      </c>
      <c r="J23" t="n">
        <v>4</v>
      </c>
      <c r="K23" t="n">
        <v>4</v>
      </c>
      <c r="L23" t="n">
        <v>1</v>
      </c>
      <c r="M23" t="n">
        <v>1</v>
      </c>
      <c r="N23" t="n">
        <v>0</v>
      </c>
      <c r="O23" t="n">
        <v>0</v>
      </c>
      <c r="P23" t="n">
        <v>0</v>
      </c>
      <c r="Q23" t="n">
        <v>2</v>
      </c>
      <c r="R23" t="n">
        <v>1</v>
      </c>
      <c r="S23" t="n">
        <v>9</v>
      </c>
      <c r="T23" t="n">
        <v>32</v>
      </c>
      <c r="U23" s="2" t="inlineStr">
        <is>
          <t>Knärot
Ullticka
Skogshakmossa
Svavelriska
Thomsons trägnagare
Vågbandad barkbock
Spillkråka
Kungsfågel
Revlummer</t>
        </is>
      </c>
      <c r="V23">
        <f>HYPERLINK("https://klasma.github.io/Logging_2083/artfynd/A 53820-2025 artfynd.xlsx", "A 53820-2025")</f>
        <v/>
      </c>
      <c r="W23">
        <f>HYPERLINK("https://klasma.github.io/Logging_2083/kartor/A 53820-2025 karta.png", "A 53820-2025")</f>
        <v/>
      </c>
      <c r="X23">
        <f>HYPERLINK("https://klasma.github.io/Logging_2083/knärot/A 53820-2025 karta knärot.png", "A 53820-2025")</f>
        <v/>
      </c>
      <c r="Y23">
        <f>HYPERLINK("https://klasma.github.io/Logging_2083/klagomål/A 53820-2025 FSC-klagomål.docx", "A 53820-2025")</f>
        <v/>
      </c>
      <c r="Z23">
        <f>HYPERLINK("https://klasma.github.io/Logging_2083/klagomålsmail/A 53820-2025 FSC-klagomål mail.docx", "A 53820-2025")</f>
        <v/>
      </c>
      <c r="AA23">
        <f>HYPERLINK("https://klasma.github.io/Logging_2083/tillsyn/A 53820-2025 tillsynsbegäran.docx", "A 53820-2025")</f>
        <v/>
      </c>
      <c r="AB23">
        <f>HYPERLINK("https://klasma.github.io/Logging_2083/tillsynsmail/A 53820-2025 tillsynsbegäran mail.docx", "A 53820-2025")</f>
        <v/>
      </c>
      <c r="AC23">
        <f>HYPERLINK("https://klasma.github.io/Logging_2083/fåglar/A 53820-2025 prioriterade fågelarter.docx", "A 53820-2025")</f>
        <v/>
      </c>
    </row>
    <row r="24" ht="15" customHeight="1">
      <c r="A24" t="inlineStr">
        <is>
          <t>S 479-2025</t>
        </is>
      </c>
      <c r="B24" t="inlineStr">
        <is>
          <t>samrådsanmälan</t>
        </is>
      </c>
      <c r="C24" t="inlineStr">
        <is>
          <t>Askåterföring</t>
        </is>
      </c>
      <c r="D24" s="1" t="n">
        <v>45702</v>
      </c>
      <c r="E24" s="1" t="n">
        <v>46222</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s="2" t="inlineStr">
        <is>
          <t>Knärot
Ullticka
Älg
Bronshjon
Grönpyrola
Plattlummer
Mattlummer
Fläcknycklar
Revlummer</t>
        </is>
      </c>
      <c r="V24">
        <f>HYPERLINK("https://klasma.github.io/Logging_2083/artfynd/S 479-2025 artfynd.xlsx", "S 479-2025")</f>
        <v/>
      </c>
      <c r="W24">
        <f>HYPERLINK("https://klasma.github.io/Logging_2083/kartor/S 479-2025 karta.png", "S 479-2025")</f>
        <v/>
      </c>
      <c r="X24">
        <f>HYPERLINK("https://klasma.github.io/Logging_2083/knärot/S 479-2025 karta knärot.png", "S 479-2025")</f>
        <v/>
      </c>
      <c r="Y24">
        <f>HYPERLINK("https://klasma.github.io/Logging_2083/klagomål/S 479-2025 FSC-klagomål.docx", "S 479-2025")</f>
        <v/>
      </c>
      <c r="Z24">
        <f>HYPERLINK("https://klasma.github.io/Logging_2083/klagomålsmail/S 479-2025 FSC-klagomål mail.docx", "S 479-2025")</f>
        <v/>
      </c>
      <c r="AA24">
        <f>HYPERLINK("https://klasma.github.io/Logging_2083/tillsyn/S 479-2025 tillsynsbegäran.docx", "S 479-2025")</f>
        <v/>
      </c>
      <c r="AB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46222</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s="2" t="inlineStr">
        <is>
          <t>Gyllenspindling
Kattfotslav
Talltita
Bollvitmossa
Gulnål
Rödgul trumpetsvamp
Svavelriska
Spillkråka</t>
        </is>
      </c>
      <c r="V25">
        <f>HYPERLINK("https://klasma.github.io/Logging_2083/artfynd/A 45872-2021 artfynd.xlsx", "A 45872-2021")</f>
        <v/>
      </c>
      <c r="W25">
        <f>HYPERLINK("https://klasma.github.io/Logging_2083/kartor/A 45872-2021 karta.png", "A 45872-2021")</f>
        <v/>
      </c>
      <c r="Y25">
        <f>HYPERLINK("https://klasma.github.io/Logging_2083/klagomål/A 45872-2021 FSC-klagomål.docx", "A 45872-2021")</f>
        <v/>
      </c>
      <c r="Z25">
        <f>HYPERLINK("https://klasma.github.io/Logging_2083/klagomålsmail/A 45872-2021 FSC-klagomål mail.docx", "A 45872-2021")</f>
        <v/>
      </c>
      <c r="AA25">
        <f>HYPERLINK("https://klasma.github.io/Logging_2083/tillsyn/A 45872-2021 tillsynsbegäran.docx", "A 45872-2021")</f>
        <v/>
      </c>
      <c r="AB25">
        <f>HYPERLINK("https://klasma.github.io/Logging_2083/tillsynsmail/A 45872-2021 tillsynsbegäran mail.docx", "A 45872-2021")</f>
        <v/>
      </c>
      <c r="AC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46222</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s="2" t="inlineStr">
        <is>
          <t>Gul taggsvamp
Läderdoftande fingersvamp
Dofttaggsvamp
Fjällig taggsvamp s.str.
Talltita
Olivspindling
Svavelriska
Tibast</t>
        </is>
      </c>
      <c r="V26">
        <f>HYPERLINK("https://klasma.github.io/Logging_2083/artfynd/A 34931-2024 artfynd.xlsx", "A 34931-2024")</f>
        <v/>
      </c>
      <c r="W26">
        <f>HYPERLINK("https://klasma.github.io/Logging_2083/kartor/A 34931-2024 karta.png", "A 34931-2024")</f>
        <v/>
      </c>
      <c r="Y26">
        <f>HYPERLINK("https://klasma.github.io/Logging_2083/klagomål/A 34931-2024 FSC-klagomål.docx", "A 34931-2024")</f>
        <v/>
      </c>
      <c r="Z26">
        <f>HYPERLINK("https://klasma.github.io/Logging_2083/klagomålsmail/A 34931-2024 FSC-klagomål mail.docx", "A 34931-2024")</f>
        <v/>
      </c>
      <c r="AA26">
        <f>HYPERLINK("https://klasma.github.io/Logging_2083/tillsyn/A 34931-2024 tillsynsbegäran.docx", "A 34931-2024")</f>
        <v/>
      </c>
      <c r="AB26">
        <f>HYPERLINK("https://klasma.github.io/Logging_2083/tillsynsmail/A 34931-2024 tillsynsbegäran mail.docx", "A 34931-2024")</f>
        <v/>
      </c>
      <c r="AC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46222</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s="2" t="inlineStr">
        <is>
          <t>Aspskinn
Sotvaxskivling
Talltita
Tretåig hackspett
Ullticka
Vårärt
Spillkråka
Tjäder</t>
        </is>
      </c>
      <c r="V27">
        <f>HYPERLINK("https://klasma.github.io/Logging_2083/artfynd/A 992-2024 artfynd.xlsx", "A 992-2024")</f>
        <v/>
      </c>
      <c r="W27">
        <f>HYPERLINK("https://klasma.github.io/Logging_2083/kartor/A 992-2024 karta.png", "A 992-2024")</f>
        <v/>
      </c>
      <c r="Y27">
        <f>HYPERLINK("https://klasma.github.io/Logging_2083/klagomål/A 992-2024 FSC-klagomål.docx", "A 992-2024")</f>
        <v/>
      </c>
      <c r="Z27">
        <f>HYPERLINK("https://klasma.github.io/Logging_2083/klagomålsmail/A 992-2024 FSC-klagomål mail.docx", "A 992-2024")</f>
        <v/>
      </c>
      <c r="AA27">
        <f>HYPERLINK("https://klasma.github.io/Logging_2083/tillsyn/A 992-2024 tillsynsbegäran.docx", "A 992-2024")</f>
        <v/>
      </c>
      <c r="AB27">
        <f>HYPERLINK("https://klasma.github.io/Logging_2083/tillsynsmail/A 992-2024 tillsynsbegäran mail.docx", "A 992-2024")</f>
        <v/>
      </c>
      <c r="AC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46222</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s="2" t="inlineStr">
        <is>
          <t>Grangråticka
Fjällig taggsvamp s.str.
Odörspindling
Persiljespindling
Puderspindling
Olivspindling
Svavelriska</t>
        </is>
      </c>
      <c r="V28">
        <f>HYPERLINK("https://klasma.github.io/Logging_2083/artfynd/A 38725-2025 artfynd.xlsx", "A 38725-2025")</f>
        <v/>
      </c>
      <c r="W28">
        <f>HYPERLINK("https://klasma.github.io/Logging_2083/kartor/A 38725-2025 karta.png", "A 38725-2025")</f>
        <v/>
      </c>
      <c r="Y28">
        <f>HYPERLINK("https://klasma.github.io/Logging_2083/klagomål/A 38725-2025 FSC-klagomål.docx", "A 38725-2025")</f>
        <v/>
      </c>
      <c r="Z28">
        <f>HYPERLINK("https://klasma.github.io/Logging_2083/klagomålsmail/A 38725-2025 FSC-klagomål mail.docx", "A 38725-2025")</f>
        <v/>
      </c>
      <c r="AA28">
        <f>HYPERLINK("https://klasma.github.io/Logging_2083/tillsyn/A 38725-2025 tillsynsbegäran.docx", "A 38725-2025")</f>
        <v/>
      </c>
      <c r="AB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46222</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s="2" t="inlineStr">
        <is>
          <t>Knärot
Fjällig taggsvamp s.str.
Rynkskinn
Ullticka
Rödgul trumpetsvamp
Svavelriska
Blåsippa</t>
        </is>
      </c>
      <c r="V29">
        <f>HYPERLINK("https://klasma.github.io/Logging_2083/artfynd/A 26431-2024 artfynd.xlsx", "A 26431-2024")</f>
        <v/>
      </c>
      <c r="W29">
        <f>HYPERLINK("https://klasma.github.io/Logging_2083/kartor/A 26431-2024 karta.png", "A 26431-2024")</f>
        <v/>
      </c>
      <c r="X29">
        <f>HYPERLINK("https://klasma.github.io/Logging_2083/knärot/A 26431-2024 karta knärot.png", "A 26431-2024")</f>
        <v/>
      </c>
      <c r="Y29">
        <f>HYPERLINK("https://klasma.github.io/Logging_2083/klagomål/A 26431-2024 FSC-klagomål.docx", "A 26431-2024")</f>
        <v/>
      </c>
      <c r="Z29">
        <f>HYPERLINK("https://klasma.github.io/Logging_2083/klagomålsmail/A 26431-2024 FSC-klagomål mail.docx", "A 26431-2024")</f>
        <v/>
      </c>
      <c r="AA29">
        <f>HYPERLINK("https://klasma.github.io/Logging_2083/tillsyn/A 26431-2024 tillsynsbegäran.docx", "A 26431-2024")</f>
        <v/>
      </c>
      <c r="AB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46222</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s="2" t="inlineStr">
        <is>
          <t>Garnlav
Knärot
Talltita
Vedtrappmossa
Bronshjon
Fläcknycklar
Revlummer</t>
        </is>
      </c>
      <c r="V30">
        <f>HYPERLINK("https://klasma.github.io/Logging_2083/artfynd/A 40765-2025 artfynd.xlsx", "A 40765-2025")</f>
        <v/>
      </c>
      <c r="W30">
        <f>HYPERLINK("https://klasma.github.io/Logging_2083/kartor/A 40765-2025 karta.png", "A 40765-2025")</f>
        <v/>
      </c>
      <c r="X30">
        <f>HYPERLINK("https://klasma.github.io/Logging_2083/knärot/A 40765-2025 karta knärot.png", "A 40765-2025")</f>
        <v/>
      </c>
      <c r="Y30">
        <f>HYPERLINK("https://klasma.github.io/Logging_2083/klagomål/A 40765-2025 FSC-klagomål.docx", "A 40765-2025")</f>
        <v/>
      </c>
      <c r="Z30">
        <f>HYPERLINK("https://klasma.github.io/Logging_2083/klagomålsmail/A 40765-2025 FSC-klagomål mail.docx", "A 40765-2025")</f>
        <v/>
      </c>
      <c r="AA30">
        <f>HYPERLINK("https://klasma.github.io/Logging_2083/tillsyn/A 40765-2025 tillsynsbegäran.docx", "A 40765-2025")</f>
        <v/>
      </c>
      <c r="AB30">
        <f>HYPERLINK("https://klasma.github.io/Logging_2083/tillsynsmail/A 40765-2025 tillsynsbegäran mail.docx", "A 40765-2025")</f>
        <v/>
      </c>
      <c r="AC30">
        <f>HYPERLINK("https://klasma.github.io/Logging_2083/fåglar/A 40765-2025 prioriterade fågelarter.docx", "A 40765-2025")</f>
        <v/>
      </c>
    </row>
    <row r="31" ht="15" customHeight="1">
      <c r="A31" t="inlineStr">
        <is>
          <t>A 1452-2026</t>
        </is>
      </c>
      <c r="B31" t="inlineStr">
        <is>
          <t>avverkningsanmälan</t>
        </is>
      </c>
      <c r="C31" t="inlineStr">
        <is>
          <t>Föryngringsavverkning</t>
        </is>
      </c>
      <c r="D31" s="1" t="n">
        <v>46033</v>
      </c>
      <c r="E31" s="1" t="n">
        <v>46222</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s="2" t="inlineStr">
        <is>
          <t>Knärot
Dropptaggsvamp
Blomkålssvamp
Gullgröppa
Tjäder
Slaguggla</t>
        </is>
      </c>
      <c r="V31">
        <f>HYPERLINK("https://klasma.github.io/Logging_2083/artfynd/A 1452-2026 artfynd.xlsx", "A 1452-2026")</f>
        <v/>
      </c>
      <c r="W31">
        <f>HYPERLINK("https://klasma.github.io/Logging_2083/kartor/A 1452-2026 karta.png", "A 1452-2026")</f>
        <v/>
      </c>
      <c r="X31">
        <f>HYPERLINK("https://klasma.github.io/Logging_2083/knärot/A 1452-2026 karta knärot.png", "A 1452-2026")</f>
        <v/>
      </c>
      <c r="Y31">
        <f>HYPERLINK("https://klasma.github.io/Logging_2083/klagomål/A 1452-2026 FSC-klagomål.docx", "A 1452-2026")</f>
        <v/>
      </c>
      <c r="Z31">
        <f>HYPERLINK("https://klasma.github.io/Logging_2083/klagomålsmail/A 1452-2026 FSC-klagomål mail.docx", "A 1452-2026")</f>
        <v/>
      </c>
      <c r="AA31">
        <f>HYPERLINK("https://klasma.github.io/Logging_2083/tillsyn/A 1452-2026 tillsynsbegäran.docx", "A 1452-2026")</f>
        <v/>
      </c>
      <c r="AB31">
        <f>HYPERLINK("https://klasma.github.io/Logging_2083/tillsynsmail/A 1452-2026 tillsynsbegäran mail.docx", "A 1452-2026")</f>
        <v/>
      </c>
      <c r="AC31">
        <f>HYPERLINK("https://klasma.github.io/Logging_2083/fåglar/A 1452-2026 prioriterade fågelarter.docx", "A 1452-2026")</f>
        <v/>
      </c>
    </row>
    <row r="32" ht="15" customHeight="1">
      <c r="A32" t="inlineStr">
        <is>
          <t>A 58719-2021</t>
        </is>
      </c>
      <c r="B32" t="inlineStr">
        <is>
          <t>avverkningsanmälan</t>
        </is>
      </c>
      <c r="C32" t="inlineStr">
        <is>
          <t>Föryngringsavverkning</t>
        </is>
      </c>
      <c r="D32" s="1" t="n">
        <v>44489</v>
      </c>
      <c r="E32" s="1" t="n">
        <v>46222</v>
      </c>
      <c r="F32" t="inlineStr">
        <is>
          <t>DALARNAS LÄN</t>
        </is>
      </c>
      <c r="G32" t="inlineStr">
        <is>
          <t>HEDEMORA</t>
        </is>
      </c>
      <c r="I32" t="n">
        <v>3</v>
      </c>
      <c r="J32" t="n">
        <v>2</v>
      </c>
      <c r="K32" t="n">
        <v>2</v>
      </c>
      <c r="L32" t="n">
        <v>2</v>
      </c>
      <c r="M32" t="n">
        <v>1</v>
      </c>
      <c r="N32" t="n">
        <v>0</v>
      </c>
      <c r="O32" t="n">
        <v>0</v>
      </c>
      <c r="P32" t="n">
        <v>0</v>
      </c>
      <c r="Q32" t="n">
        <v>3</v>
      </c>
      <c r="R32" t="n">
        <v>1</v>
      </c>
      <c r="S32" t="n">
        <v>6</v>
      </c>
      <c r="T32" t="n">
        <v>26</v>
      </c>
      <c r="U32" s="2" t="inlineStr">
        <is>
          <t>Knärot
Dropptaggsvamp
Sotvaxskivling
Blomkålssvamp
Bronshjon
Tjäder</t>
        </is>
      </c>
      <c r="V32">
        <f>HYPERLINK("https://klasma.github.io/Logging_2083/artfynd/A 58719-2021 artfynd.xlsx", "A 58719-2021")</f>
        <v/>
      </c>
      <c r="W32">
        <f>HYPERLINK("https://klasma.github.io/Logging_2083/kartor/A 58719-2021 karta.png", "A 58719-2021")</f>
        <v/>
      </c>
      <c r="X32">
        <f>HYPERLINK("https://klasma.github.io/Logging_2083/knärot/A 58719-2021 karta knärot.png", "A 58719-2021")</f>
        <v/>
      </c>
      <c r="Y32">
        <f>HYPERLINK("https://klasma.github.io/Logging_2083/klagomål/A 58719-2021 FSC-klagomål.docx", "A 58719-2021")</f>
        <v/>
      </c>
      <c r="Z32">
        <f>HYPERLINK("https://klasma.github.io/Logging_2083/klagomålsmail/A 58719-2021 FSC-klagomål mail.docx", "A 58719-2021")</f>
        <v/>
      </c>
      <c r="AA32">
        <f>HYPERLINK("https://klasma.github.io/Logging_2083/tillsyn/A 58719-2021 tillsynsbegäran.docx", "A 58719-2021")</f>
        <v/>
      </c>
      <c r="AB32">
        <f>HYPERLINK("https://klasma.github.io/Logging_2083/tillsynsmail/A 58719-2021 tillsynsbegäran mail.docx", "A 58719-2021")</f>
        <v/>
      </c>
      <c r="AC32">
        <f>HYPERLINK("https://klasma.github.io/Logging_2083/fåglar/A 58719-2021 prioriterade fågelarter.docx", "A 58719-2021")</f>
        <v/>
      </c>
    </row>
    <row r="33" ht="15" customHeight="1">
      <c r="A33" t="inlineStr">
        <is>
          <t>A 6339-2026</t>
        </is>
      </c>
      <c r="B33" t="inlineStr">
        <is>
          <t>avverkningsanmälan</t>
        </is>
      </c>
      <c r="C33" t="inlineStr">
        <is>
          <t>Föryngringsavverkning</t>
        </is>
      </c>
      <c r="D33" s="1" t="n">
        <v>46055</v>
      </c>
      <c r="E33" s="1" t="n">
        <v>46222</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s="2" t="inlineStr">
        <is>
          <t>Knärot
Gropticka
Ullticka
Bronshjon
Vedticka
Vågbandad barkbock</t>
        </is>
      </c>
      <c r="V33">
        <f>HYPERLINK("https://klasma.github.io/Logging_2083/artfynd/A 6339-2026 artfynd.xlsx", "A 6339-2026")</f>
        <v/>
      </c>
      <c r="W33">
        <f>HYPERLINK("https://klasma.github.io/Logging_2083/kartor/A 6339-2026 karta.png", "A 6339-2026")</f>
        <v/>
      </c>
      <c r="X33">
        <f>HYPERLINK("https://klasma.github.io/Logging_2083/knärot/A 6339-2026 karta knärot.png", "A 6339-2026")</f>
        <v/>
      </c>
      <c r="Y33">
        <f>HYPERLINK("https://klasma.github.io/Logging_2083/klagomål/A 6339-2026 FSC-klagomål.docx", "A 6339-2026")</f>
        <v/>
      </c>
      <c r="Z33">
        <f>HYPERLINK("https://klasma.github.io/Logging_2083/klagomålsmail/A 6339-2026 FSC-klagomål mail.docx", "A 6339-2026")</f>
        <v/>
      </c>
      <c r="AA33">
        <f>HYPERLINK("https://klasma.github.io/Logging_2083/tillsyn/A 6339-2026 tillsynsbegäran.docx", "A 6339-2026")</f>
        <v/>
      </c>
      <c r="AB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46222</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s="2" t="inlineStr">
        <is>
          <t>Garnlav
Gränsticka
Sprickporing
Ullticka
Bollvitmossa
Vedticka</t>
        </is>
      </c>
      <c r="V34">
        <f>HYPERLINK("https://klasma.github.io/Logging_2083/artfynd/A 25878-2026 artfynd.xlsx", "A 25878-2026")</f>
        <v/>
      </c>
      <c r="W34">
        <f>HYPERLINK("https://klasma.github.io/Logging_2083/kartor/A 25878-2026 karta.png", "A 25878-2026")</f>
        <v/>
      </c>
      <c r="Y34">
        <f>HYPERLINK("https://klasma.github.io/Logging_2083/klagomål/A 25878-2026 FSC-klagomål.docx", "A 25878-2026")</f>
        <v/>
      </c>
      <c r="Z34">
        <f>HYPERLINK("https://klasma.github.io/Logging_2083/klagomålsmail/A 25878-2026 FSC-klagomål mail.docx", "A 25878-2026")</f>
        <v/>
      </c>
      <c r="AA34">
        <f>HYPERLINK("https://klasma.github.io/Logging_2083/tillsyn/A 25878-2026 tillsynsbegäran.docx", "A 25878-2026")</f>
        <v/>
      </c>
      <c r="AB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46222</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s="2" t="inlineStr">
        <is>
          <t>Tornseglare
Duvhök
Spillkråka
Grönsiska
Sångsvan
Trana</t>
        </is>
      </c>
      <c r="V35">
        <f>HYPERLINK("https://klasma.github.io/Logging_2083/artfynd/S 478-2025 artfynd.xlsx", "S 478-2025")</f>
        <v/>
      </c>
      <c r="W35">
        <f>HYPERLINK("https://klasma.github.io/Logging_2083/kartor/S 478-2025 karta.png", "S 478-2025")</f>
        <v/>
      </c>
      <c r="Y35">
        <f>HYPERLINK("https://klasma.github.io/Logging_2083/klagomål/S 478-2025 FSC-klagomål.docx", "S 478-2025")</f>
        <v/>
      </c>
      <c r="Z35">
        <f>HYPERLINK("https://klasma.github.io/Logging_2083/klagomålsmail/S 478-2025 FSC-klagomål mail.docx", "S 478-2025")</f>
        <v/>
      </c>
      <c r="AA35">
        <f>HYPERLINK("https://klasma.github.io/Logging_2083/tillsyn/S 478-2025 tillsynsbegäran.docx", "S 478-2025")</f>
        <v/>
      </c>
      <c r="AB35">
        <f>HYPERLINK("https://klasma.github.io/Logging_2083/tillsynsmail/S 478-2025 tillsynsbegäran mail.docx", "S 478-2025")</f>
        <v/>
      </c>
      <c r="AC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46222</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s="2" t="inlineStr">
        <is>
          <t>Rödvingetrast
Grön sköldmossa
Stubbspretmossa
Blåsippa
Kungsfågel</t>
        </is>
      </c>
      <c r="V36">
        <f>HYPERLINK("https://klasma.github.io/Logging_2083/artfynd/A 4031-2022 artfynd.xlsx", "A 4031-2022")</f>
        <v/>
      </c>
      <c r="W36">
        <f>HYPERLINK("https://klasma.github.io/Logging_2083/kartor/A 4031-2022 karta.png", "A 4031-2022")</f>
        <v/>
      </c>
      <c r="Y36">
        <f>HYPERLINK("https://klasma.github.io/Logging_2083/klagomål/A 4031-2022 FSC-klagomål.docx", "A 4031-2022")</f>
        <v/>
      </c>
      <c r="Z36">
        <f>HYPERLINK("https://klasma.github.io/Logging_2083/klagomålsmail/A 4031-2022 FSC-klagomål mail.docx", "A 4031-2022")</f>
        <v/>
      </c>
      <c r="AA36">
        <f>HYPERLINK("https://klasma.github.io/Logging_2083/tillsyn/A 4031-2022 tillsynsbegäran.docx", "A 4031-2022")</f>
        <v/>
      </c>
      <c r="AB36">
        <f>HYPERLINK("https://klasma.github.io/Logging_2083/tillsynsmail/A 4031-2022 tillsynsbegäran mail.docx", "A 4031-2022")</f>
        <v/>
      </c>
      <c r="AC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46222</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s="2" t="inlineStr">
        <is>
          <t>Garnlav
Knärot
Motaggsvamp
Tallfingersvamp
Ullticka</t>
        </is>
      </c>
      <c r="V37">
        <f>HYPERLINK("https://klasma.github.io/Logging_2083/artfynd/A 1454-2026 artfynd.xlsx", "A 1454-2026")</f>
        <v/>
      </c>
      <c r="W37">
        <f>HYPERLINK("https://klasma.github.io/Logging_2083/kartor/A 1454-2026 karta.png", "A 1454-2026")</f>
        <v/>
      </c>
      <c r="X37">
        <f>HYPERLINK("https://klasma.github.io/Logging_2083/knärot/A 1454-2026 karta knärot.png", "A 1454-2026")</f>
        <v/>
      </c>
      <c r="Y37">
        <f>HYPERLINK("https://klasma.github.io/Logging_2083/klagomål/A 1454-2026 FSC-klagomål.docx", "A 1454-2026")</f>
        <v/>
      </c>
      <c r="Z37">
        <f>HYPERLINK("https://klasma.github.io/Logging_2083/klagomålsmail/A 1454-2026 FSC-klagomål mail.docx", "A 1454-2026")</f>
        <v/>
      </c>
      <c r="AA37">
        <f>HYPERLINK("https://klasma.github.io/Logging_2083/tillsyn/A 1454-2026 tillsynsbegäran.docx", "A 1454-2026")</f>
        <v/>
      </c>
      <c r="AB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46222</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s="2" t="inlineStr">
        <is>
          <t>Knärot
Bollvitmossa
Bronshjon
Spillkråka
Tjäder</t>
        </is>
      </c>
      <c r="V38">
        <f>HYPERLINK("https://klasma.github.io/Logging_2083/artfynd/A 45884-2021 artfynd.xlsx", "A 45884-2021")</f>
        <v/>
      </c>
      <c r="W38">
        <f>HYPERLINK("https://klasma.github.io/Logging_2083/kartor/A 45884-2021 karta.png", "A 45884-2021")</f>
        <v/>
      </c>
      <c r="X38">
        <f>HYPERLINK("https://klasma.github.io/Logging_2083/knärot/A 45884-2021 karta knärot.png", "A 45884-2021")</f>
        <v/>
      </c>
      <c r="Y38">
        <f>HYPERLINK("https://klasma.github.io/Logging_2083/klagomål/A 45884-2021 FSC-klagomål.docx", "A 45884-2021")</f>
        <v/>
      </c>
      <c r="Z38">
        <f>HYPERLINK("https://klasma.github.io/Logging_2083/klagomålsmail/A 45884-2021 FSC-klagomål mail.docx", "A 45884-2021")</f>
        <v/>
      </c>
      <c r="AA38">
        <f>HYPERLINK("https://klasma.github.io/Logging_2083/tillsyn/A 45884-2021 tillsynsbegäran.docx", "A 45884-2021")</f>
        <v/>
      </c>
      <c r="AB38">
        <f>HYPERLINK("https://klasma.github.io/Logging_2083/tillsynsmail/A 45884-2021 tillsynsbegäran mail.docx", "A 45884-2021")</f>
        <v/>
      </c>
      <c r="AC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46222</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s="2" t="inlineStr">
        <is>
          <t>Gultoppig fingersvamp
Svartvit taggsvamp
Talltita
Rödgul trumpetsvamp
Svavelriska</t>
        </is>
      </c>
      <c r="V39">
        <f>HYPERLINK("https://klasma.github.io/Logging_2083/artfynd/A 29519-2026 artfynd.xlsx", "A 29519-2026")</f>
        <v/>
      </c>
      <c r="W39">
        <f>HYPERLINK("https://klasma.github.io/Logging_2083/kartor/A 29519-2026 karta.png", "A 29519-2026")</f>
        <v/>
      </c>
      <c r="Y39">
        <f>HYPERLINK("https://klasma.github.io/Logging_2083/klagomål/A 29519-2026 FSC-klagomål.docx", "A 29519-2026")</f>
        <v/>
      </c>
      <c r="Z39">
        <f>HYPERLINK("https://klasma.github.io/Logging_2083/klagomålsmail/A 29519-2026 FSC-klagomål mail.docx", "A 29519-2026")</f>
        <v/>
      </c>
      <c r="AA39">
        <f>HYPERLINK("https://klasma.github.io/Logging_2083/tillsyn/A 29519-2026 tillsynsbegäran.docx", "A 29519-2026")</f>
        <v/>
      </c>
      <c r="AB39">
        <f>HYPERLINK("https://klasma.github.io/Logging_2083/tillsynsmail/A 29519-2026 tillsynsbegäran mail.docx", "A 29519-2026")</f>
        <v/>
      </c>
      <c r="AC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46222</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s="2" t="inlineStr">
        <is>
          <t>Myskmåra
Nordfladdermus
Tjäder
Orre
Vattenfladdermus</t>
        </is>
      </c>
      <c r="V40">
        <f>HYPERLINK("https://klasma.github.io/Logging_2083/artfynd/S 346-2026 artfynd.xlsx", "S 346-2026")</f>
        <v/>
      </c>
      <c r="W40">
        <f>HYPERLINK("https://klasma.github.io/Logging_2083/kartor/S 346-2026 karta.png", "S 346-2026")</f>
        <v/>
      </c>
      <c r="Y40">
        <f>HYPERLINK("https://klasma.github.io/Logging_2083/klagomål/S 346-2026 FSC-klagomål.docx", "S 346-2026")</f>
        <v/>
      </c>
      <c r="Z40">
        <f>HYPERLINK("https://klasma.github.io/Logging_2083/klagomålsmail/S 346-2026 FSC-klagomål mail.docx", "S 346-2026")</f>
        <v/>
      </c>
      <c r="AA40">
        <f>HYPERLINK("https://klasma.github.io/Logging_2083/tillsyn/S 346-2026 tillsynsbegäran.docx", "S 346-2026")</f>
        <v/>
      </c>
      <c r="AB40">
        <f>HYPERLINK("https://klasma.github.io/Logging_2083/tillsynsmail/S 346-2026 tillsynsbegäran mail.docx", "S 346-2026")</f>
        <v/>
      </c>
      <c r="AC40">
        <f>HYPERLINK("https://klasma.github.io/Logging_2083/fåglar/S 346-2026 prioriterade fågelarter.docx", "S 346-2026")</f>
        <v/>
      </c>
    </row>
    <row r="41" ht="15" customHeight="1">
      <c r="A41" t="inlineStr">
        <is>
          <t>A 5326-2026</t>
        </is>
      </c>
      <c r="B41" t="inlineStr">
        <is>
          <t>avverkningsanmälan</t>
        </is>
      </c>
      <c r="C41" t="inlineStr">
        <is>
          <t>Föryngringsavverkning</t>
        </is>
      </c>
      <c r="D41" s="1" t="n">
        <v>46048</v>
      </c>
      <c r="E41" s="1" t="n">
        <v>46222</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s="2" t="inlineStr">
        <is>
          <t>Tretåig hackspett
Ullticka
Kransmossa
Spillkråka</t>
        </is>
      </c>
      <c r="V41">
        <f>HYPERLINK("https://klasma.github.io/Logging_2083/artfynd/A 5326-2026 artfynd.xlsx", "A 5326-2026")</f>
        <v/>
      </c>
      <c r="W41">
        <f>HYPERLINK("https://klasma.github.io/Logging_2083/kartor/A 5326-2026 karta.png", "A 5326-2026")</f>
        <v/>
      </c>
      <c r="Y41">
        <f>HYPERLINK("https://klasma.github.io/Logging_2083/klagomål/A 5326-2026 FSC-klagomål.docx", "A 5326-2026")</f>
        <v/>
      </c>
      <c r="Z41">
        <f>HYPERLINK("https://klasma.github.io/Logging_2083/klagomålsmail/A 5326-2026 FSC-klagomål mail.docx", "A 5326-2026")</f>
        <v/>
      </c>
      <c r="AA41">
        <f>HYPERLINK("https://klasma.github.io/Logging_2083/tillsyn/A 5326-2026 tillsynsbegäran.docx", "A 5326-2026")</f>
        <v/>
      </c>
      <c r="AB41">
        <f>HYPERLINK("https://klasma.github.io/Logging_2083/tillsynsmail/A 5326-2026 tillsynsbegäran mail.docx", "A 5326-2026")</f>
        <v/>
      </c>
      <c r="AC41">
        <f>HYPERLINK("https://klasma.github.io/Logging_2083/fåglar/A 5326-2026 prioriterade fågelarter.docx", "A 5326-2026")</f>
        <v/>
      </c>
    </row>
    <row r="42" ht="15" customHeight="1">
      <c r="A42" t="inlineStr">
        <is>
          <t>A 49872-2021</t>
        </is>
      </c>
      <c r="B42" t="inlineStr">
        <is>
          <t>avverkningsanmälan</t>
        </is>
      </c>
      <c r="C42" t="inlineStr">
        <is>
          <t>Föryngringsavverkning</t>
        </is>
      </c>
      <c r="D42" s="1" t="n">
        <v>44455</v>
      </c>
      <c r="E42" s="1" t="n">
        <v>46222</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s="2" t="inlineStr">
        <is>
          <t>Knärot
Fjällig taggsvamp s.str.
Blåsippa
Revlummer</t>
        </is>
      </c>
      <c r="V42">
        <f>HYPERLINK("https://klasma.github.io/Logging_2083/artfynd/A 49872-2021 artfynd.xlsx", "A 49872-2021")</f>
        <v/>
      </c>
      <c r="W42">
        <f>HYPERLINK("https://klasma.github.io/Logging_2083/kartor/A 49872-2021 karta.png", "A 49872-2021")</f>
        <v/>
      </c>
      <c r="X42">
        <f>HYPERLINK("https://klasma.github.io/Logging_2083/knärot/A 49872-2021 karta knärot.png", "A 49872-2021")</f>
        <v/>
      </c>
      <c r="Y42">
        <f>HYPERLINK("https://klasma.github.io/Logging_2083/klagomål/A 49872-2021 FSC-klagomål.docx", "A 49872-2021")</f>
        <v/>
      </c>
      <c r="Z42">
        <f>HYPERLINK("https://klasma.github.io/Logging_2083/klagomålsmail/A 49872-2021 FSC-klagomål mail.docx", "A 49872-2021")</f>
        <v/>
      </c>
      <c r="AA42">
        <f>HYPERLINK("https://klasma.github.io/Logging_2083/tillsyn/A 49872-2021 tillsynsbegäran.docx", "A 49872-2021")</f>
        <v/>
      </c>
      <c r="AB42">
        <f>HYPERLINK("https://klasma.github.io/Logging_2083/tillsynsmail/A 49872-2021 tillsynsbegäran mail.docx", "A 49872-2021")</f>
        <v/>
      </c>
    </row>
    <row r="43" ht="15" customHeight="1">
      <c r="A43" t="inlineStr">
        <is>
          <t>A 59035-2023</t>
        </is>
      </c>
      <c r="B43" t="inlineStr">
        <is>
          <t>avverkningsanmälan</t>
        </is>
      </c>
      <c r="C43" t="inlineStr">
        <is>
          <t>Föryngringsavverkning</t>
        </is>
      </c>
      <c r="D43" s="1" t="n">
        <v>45252</v>
      </c>
      <c r="E43" s="1" t="n">
        <v>46222</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s="2" t="inlineStr">
        <is>
          <t>Knärot
Grönpyrola
Blåsippa
Fläcknycklar</t>
        </is>
      </c>
      <c r="V43">
        <f>HYPERLINK("https://klasma.github.io/Logging_2083/artfynd/A 59035-2023 artfynd.xlsx", "A 59035-2023")</f>
        <v/>
      </c>
      <c r="W43">
        <f>HYPERLINK("https://klasma.github.io/Logging_2083/kartor/A 59035-2023 karta.png", "A 59035-2023")</f>
        <v/>
      </c>
      <c r="X43">
        <f>HYPERLINK("https://klasma.github.io/Logging_2083/knärot/A 59035-2023 karta knärot.png", "A 59035-2023")</f>
        <v/>
      </c>
      <c r="Y43">
        <f>HYPERLINK("https://klasma.github.io/Logging_2083/klagomål/A 59035-2023 FSC-klagomål.docx", "A 59035-2023")</f>
        <v/>
      </c>
      <c r="Z43">
        <f>HYPERLINK("https://klasma.github.io/Logging_2083/klagomålsmail/A 59035-2023 FSC-klagomål mail.docx", "A 59035-2023")</f>
        <v/>
      </c>
      <c r="AA43">
        <f>HYPERLINK("https://klasma.github.io/Logging_2083/tillsyn/A 59035-2023 tillsynsbegäran.docx", "A 59035-2023")</f>
        <v/>
      </c>
      <c r="AB43">
        <f>HYPERLINK("https://klasma.github.io/Logging_2083/tillsynsmail/A 59035-2023 tillsynsbegäran mail.docx", "A 59035-2023")</f>
        <v/>
      </c>
    </row>
    <row r="44" ht="15" customHeight="1">
      <c r="A44" t="inlineStr">
        <is>
          <t>A 62054-2021</t>
        </is>
      </c>
      <c r="B44" t="inlineStr">
        <is>
          <t>avverkningsanmälan</t>
        </is>
      </c>
      <c r="C44" t="inlineStr">
        <is>
          <t>Föryngringsavverkning</t>
        </is>
      </c>
      <c r="D44" s="1" t="n">
        <v>44502</v>
      </c>
      <c r="E44" s="1" t="n">
        <v>46222</v>
      </c>
      <c r="F44" t="inlineStr">
        <is>
          <t>DALARNAS LÄN</t>
        </is>
      </c>
      <c r="G44" t="inlineStr">
        <is>
          <t>HEDEMORA</t>
        </is>
      </c>
      <c r="I44" t="n">
        <v>1.5</v>
      </c>
      <c r="J44" t="n">
        <v>1</v>
      </c>
      <c r="K44" t="n">
        <v>0</v>
      </c>
      <c r="L44" t="n">
        <v>2</v>
      </c>
      <c r="M44" t="n">
        <v>2</v>
      </c>
      <c r="N44" t="n">
        <v>0</v>
      </c>
      <c r="O44" t="n">
        <v>0</v>
      </c>
      <c r="P44" t="n">
        <v>0</v>
      </c>
      <c r="Q44" t="n">
        <v>4</v>
      </c>
      <c r="R44" t="n">
        <v>2</v>
      </c>
      <c r="S44" t="n">
        <v>4</v>
      </c>
      <c r="T44" t="n">
        <v>16</v>
      </c>
      <c r="U44" s="2" t="inlineStr">
        <is>
          <t>Garnlav
Knärot
Motaggsvamp
Ullticka</t>
        </is>
      </c>
      <c r="V44">
        <f>HYPERLINK("https://klasma.github.io/Logging_2083/artfynd/A 62054-2021 artfynd.xlsx", "A 62054-2021")</f>
        <v/>
      </c>
      <c r="W44">
        <f>HYPERLINK("https://klasma.github.io/Logging_2083/kartor/A 62054-2021 karta.png", "A 62054-2021")</f>
        <v/>
      </c>
      <c r="X44">
        <f>HYPERLINK("https://klasma.github.io/Logging_2083/knärot/A 62054-2021 karta knärot.png", "A 62054-2021")</f>
        <v/>
      </c>
      <c r="Y44">
        <f>HYPERLINK("https://klasma.github.io/Logging_2083/klagomål/A 62054-2021 FSC-klagomål.docx", "A 62054-2021")</f>
        <v/>
      </c>
      <c r="Z44">
        <f>HYPERLINK("https://klasma.github.io/Logging_2083/klagomålsmail/A 62054-2021 FSC-klagomål mail.docx", "A 62054-2021")</f>
        <v/>
      </c>
      <c r="AA44">
        <f>HYPERLINK("https://klasma.github.io/Logging_2083/tillsyn/A 62054-2021 tillsynsbegäran.docx", "A 62054-2021")</f>
        <v/>
      </c>
      <c r="AB44">
        <f>HYPERLINK("https://klasma.github.io/Logging_2083/tillsynsmail/A 62054-2021 tillsynsbegäran mail.docx", "A 62054-2021")</f>
        <v/>
      </c>
    </row>
    <row r="45" ht="15" customHeight="1">
      <c r="A45" t="inlineStr">
        <is>
          <t>A 5713-2026</t>
        </is>
      </c>
      <c r="B45" t="inlineStr">
        <is>
          <t>avverkningsanmälan</t>
        </is>
      </c>
      <c r="C45" t="inlineStr">
        <is>
          <t>Föryngringsavverkning</t>
        </is>
      </c>
      <c r="D45" s="1" t="n">
        <v>46051</v>
      </c>
      <c r="E45" s="1" t="n">
        <v>46222</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s="2" t="inlineStr">
        <is>
          <t>Knärot
Rynkskinn
Ullticka
Bronshjon</t>
        </is>
      </c>
      <c r="V45">
        <f>HYPERLINK("https://klasma.github.io/Logging_2083/artfynd/A 5713-2026 artfynd.xlsx", "A 5713-2026")</f>
        <v/>
      </c>
      <c r="W45">
        <f>HYPERLINK("https://klasma.github.io/Logging_2083/kartor/A 5713-2026 karta.png", "A 5713-2026")</f>
        <v/>
      </c>
      <c r="X45">
        <f>HYPERLINK("https://klasma.github.io/Logging_2083/knärot/A 5713-2026 karta knärot.png", "A 5713-2026")</f>
        <v/>
      </c>
      <c r="Y45">
        <f>HYPERLINK("https://klasma.github.io/Logging_2083/klagomål/A 5713-2026 FSC-klagomål.docx", "A 5713-2026")</f>
        <v/>
      </c>
      <c r="Z45">
        <f>HYPERLINK("https://klasma.github.io/Logging_2083/klagomålsmail/A 5713-2026 FSC-klagomål mail.docx", "A 5713-2026")</f>
        <v/>
      </c>
      <c r="AA45">
        <f>HYPERLINK("https://klasma.github.io/Logging_2083/tillsyn/A 5713-2026 tillsynsbegäran.docx", "A 5713-2026")</f>
        <v/>
      </c>
      <c r="AB45">
        <f>HYPERLINK("https://klasma.github.io/Logging_2083/tillsynsmail/A 5713-2026 tillsynsbegäran mail.docx", "A 5713-2026")</f>
        <v/>
      </c>
    </row>
    <row r="46" ht="15" customHeight="1">
      <c r="A46" t="inlineStr">
        <is>
          <t>A 2409-2022</t>
        </is>
      </c>
      <c r="B46" t="inlineStr">
        <is>
          <t>avverkningsanmälan</t>
        </is>
      </c>
      <c r="C46" t="inlineStr">
        <is>
          <t>Föryngringsavverkning</t>
        </is>
      </c>
      <c r="D46" s="1" t="n">
        <v>44579</v>
      </c>
      <c r="E46" s="1" t="n">
        <v>46222</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s="2" t="inlineStr">
        <is>
          <t>Knärot
Ullticka
Vedticka</t>
        </is>
      </c>
      <c r="V46">
        <f>HYPERLINK("https://klasma.github.io/Logging_2083/artfynd/A 2409-2022 artfynd.xlsx", "A 2409-2022")</f>
        <v/>
      </c>
      <c r="W46">
        <f>HYPERLINK("https://klasma.github.io/Logging_2083/kartor/A 2409-2022 karta.png", "A 2409-2022")</f>
        <v/>
      </c>
      <c r="X46">
        <f>HYPERLINK("https://klasma.github.io/Logging_2083/knärot/A 2409-2022 karta knärot.png", "A 2409-2022")</f>
        <v/>
      </c>
      <c r="Y46">
        <f>HYPERLINK("https://klasma.github.io/Logging_2083/klagomål/A 2409-2022 FSC-klagomål.docx", "A 2409-2022")</f>
        <v/>
      </c>
      <c r="Z46">
        <f>HYPERLINK("https://klasma.github.io/Logging_2083/klagomålsmail/A 2409-2022 FSC-klagomål mail.docx", "A 2409-2022")</f>
        <v/>
      </c>
      <c r="AA46">
        <f>HYPERLINK("https://klasma.github.io/Logging_2083/tillsyn/A 2409-2022 tillsynsbegäran.docx", "A 2409-2022")</f>
        <v/>
      </c>
      <c r="AB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46222</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s="2" t="inlineStr">
        <is>
          <t>Knärot
Vedskivlav
Spillkråka</t>
        </is>
      </c>
      <c r="V47">
        <f>HYPERLINK("https://klasma.github.io/Logging_2083/artfynd/A 451-2025 artfynd.xlsx", "A 451-2025")</f>
        <v/>
      </c>
      <c r="W47">
        <f>HYPERLINK("https://klasma.github.io/Logging_2083/kartor/A 451-2025 karta.png", "A 451-2025")</f>
        <v/>
      </c>
      <c r="X47">
        <f>HYPERLINK("https://klasma.github.io/Logging_2083/knärot/A 451-2025 karta knärot.png", "A 451-2025")</f>
        <v/>
      </c>
      <c r="Y47">
        <f>HYPERLINK("https://klasma.github.io/Logging_2083/klagomål/A 451-2025 FSC-klagomål.docx", "A 451-2025")</f>
        <v/>
      </c>
      <c r="Z47">
        <f>HYPERLINK("https://klasma.github.io/Logging_2083/klagomålsmail/A 451-2025 FSC-klagomål mail.docx", "A 451-2025")</f>
        <v/>
      </c>
      <c r="AA47">
        <f>HYPERLINK("https://klasma.github.io/Logging_2083/tillsyn/A 451-2025 tillsynsbegäran.docx", "A 451-2025")</f>
        <v/>
      </c>
      <c r="AB47">
        <f>HYPERLINK("https://klasma.github.io/Logging_2083/tillsynsmail/A 451-2025 tillsynsbegäran mail.docx", "A 451-2025")</f>
        <v/>
      </c>
      <c r="AC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46222</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s="2" t="inlineStr">
        <is>
          <t>Ask
Buskskvätta
Kungsfågel</t>
        </is>
      </c>
      <c r="V48">
        <f>HYPERLINK("https://klasma.github.io/Logging_2083/artfynd/A 6556-2023 artfynd.xlsx", "A 6556-2023")</f>
        <v/>
      </c>
      <c r="W48">
        <f>HYPERLINK("https://klasma.github.io/Logging_2083/kartor/A 6556-2023 karta.png", "A 6556-2023")</f>
        <v/>
      </c>
      <c r="Y48">
        <f>HYPERLINK("https://klasma.github.io/Logging_2083/klagomål/A 6556-2023 FSC-klagomål.docx", "A 6556-2023")</f>
        <v/>
      </c>
      <c r="Z48">
        <f>HYPERLINK("https://klasma.github.io/Logging_2083/klagomålsmail/A 6556-2023 FSC-klagomål mail.docx", "A 6556-2023")</f>
        <v/>
      </c>
      <c r="AA48">
        <f>HYPERLINK("https://klasma.github.io/Logging_2083/tillsyn/A 6556-2023 tillsynsbegäran.docx", "A 6556-2023")</f>
        <v/>
      </c>
      <c r="AB48">
        <f>HYPERLINK("https://klasma.github.io/Logging_2083/tillsynsmail/A 6556-2023 tillsynsbegäran mail.docx", "A 6556-2023")</f>
        <v/>
      </c>
    </row>
    <row r="49" ht="15" customHeight="1">
      <c r="A49" t="inlineStr">
        <is>
          <t>A 5677-2026</t>
        </is>
      </c>
      <c r="B49" t="inlineStr">
        <is>
          <t>avverkningsanmälan</t>
        </is>
      </c>
      <c r="C49" t="inlineStr">
        <is>
          <t>Föryngringsavverkning</t>
        </is>
      </c>
      <c r="D49" s="1" t="n">
        <v>46051</v>
      </c>
      <c r="E49" s="1" t="n">
        <v>46222</v>
      </c>
      <c r="F49" t="inlineStr">
        <is>
          <t>DALARNAS LÄN</t>
        </is>
      </c>
      <c r="G49" t="inlineStr">
        <is>
          <t>HEDEMORA</t>
        </is>
      </c>
      <c r="I49" t="n">
        <v>2.4</v>
      </c>
      <c r="J49" t="n">
        <v>3</v>
      </c>
      <c r="K49" t="n">
        <v>0</v>
      </c>
      <c r="L49" t="n">
        <v>2</v>
      </c>
      <c r="M49" t="n">
        <v>0</v>
      </c>
      <c r="N49" t="n">
        <v>0</v>
      </c>
      <c r="O49" t="n">
        <v>0</v>
      </c>
      <c r="P49" t="n">
        <v>0</v>
      </c>
      <c r="Q49" t="n">
        <v>2</v>
      </c>
      <c r="R49" t="n">
        <v>0</v>
      </c>
      <c r="S49" t="n">
        <v>3</v>
      </c>
      <c r="T49" t="n">
        <v>3</v>
      </c>
      <c r="U49" s="2" t="inlineStr">
        <is>
          <t>Brunlångöra
Nordfladdermus
Vattenfladdermus</t>
        </is>
      </c>
      <c r="V49">
        <f>HYPERLINK("https://klasma.github.io/Logging_2083/artfynd/A 5677-2026 artfynd.xlsx", "A 5677-2026")</f>
        <v/>
      </c>
      <c r="W49">
        <f>HYPERLINK("https://klasma.github.io/Logging_2083/kartor/A 5677-2026 karta.png", "A 5677-2026")</f>
        <v/>
      </c>
      <c r="Y49">
        <f>HYPERLINK("https://klasma.github.io/Logging_2083/klagomål/A 5677-2026 FSC-klagomål.docx", "A 5677-2026")</f>
        <v/>
      </c>
      <c r="Z49">
        <f>HYPERLINK("https://klasma.github.io/Logging_2083/klagomålsmail/A 5677-2026 FSC-klagomål mail.docx", "A 5677-2026")</f>
        <v/>
      </c>
      <c r="AA49">
        <f>HYPERLINK("https://klasma.github.io/Logging_2083/tillsyn/A 5677-2026 tillsynsbegäran.docx", "A 5677-2026")</f>
        <v/>
      </c>
      <c r="AB49">
        <f>HYPERLINK("https://klasma.github.io/Logging_2083/tillsynsmail/A 5677-2026 tillsynsbegäran mail.docx", "A 5677-2026")</f>
        <v/>
      </c>
    </row>
    <row r="50" ht="15" customHeight="1">
      <c r="A50" t="inlineStr">
        <is>
          <t>A 48382-2025</t>
        </is>
      </c>
      <c r="B50" t="inlineStr">
        <is>
          <t>avverkningsanmälan</t>
        </is>
      </c>
      <c r="C50" t="inlineStr">
        <is>
          <t>Föryngringsavverkning</t>
        </is>
      </c>
      <c r="D50" s="1" t="n">
        <v>45933</v>
      </c>
      <c r="E50" s="1" t="n">
        <v>46222</v>
      </c>
      <c r="F50" t="inlineStr">
        <is>
          <t>DALARNAS LÄN</t>
        </is>
      </c>
      <c r="G50" t="inlineStr">
        <is>
          <t>HEDEMORA</t>
        </is>
      </c>
      <c r="H50" t="inlineStr">
        <is>
          <t>Sveaskog</t>
        </is>
      </c>
      <c r="I50" t="n">
        <v>1.9</v>
      </c>
      <c r="J50" t="n">
        <v>2</v>
      </c>
      <c r="K50" t="n">
        <v>1</v>
      </c>
      <c r="L50" t="n">
        <v>0</v>
      </c>
      <c r="M50" t="n">
        <v>1</v>
      </c>
      <c r="N50" t="n">
        <v>0</v>
      </c>
      <c r="O50" t="n">
        <v>0</v>
      </c>
      <c r="P50" t="n">
        <v>0</v>
      </c>
      <c r="Q50" t="n">
        <v>1</v>
      </c>
      <c r="R50" t="n">
        <v>1</v>
      </c>
      <c r="S50" t="n">
        <v>3</v>
      </c>
      <c r="T50" t="n">
        <v>3</v>
      </c>
      <c r="U50" s="2" t="inlineStr">
        <is>
          <t>Knärot
Bronshjon
Svartvit flugsnappare</t>
        </is>
      </c>
      <c r="V50">
        <f>HYPERLINK("https://klasma.github.io/Logging_2083/artfynd/A 48382-2025 artfynd.xlsx", "A 48382-2025")</f>
        <v/>
      </c>
      <c r="W50">
        <f>HYPERLINK("https://klasma.github.io/Logging_2083/kartor/A 48382-2025 karta.png", "A 48382-2025")</f>
        <v/>
      </c>
      <c r="X50">
        <f>HYPERLINK("https://klasma.github.io/Logging_2083/knärot/A 48382-2025 karta knärot.png", "A 48382-2025")</f>
        <v/>
      </c>
      <c r="Y50">
        <f>HYPERLINK("https://klasma.github.io/Logging_2083/klagomål/A 48382-2025 FSC-klagomål.docx", "A 48382-2025")</f>
        <v/>
      </c>
      <c r="Z50">
        <f>HYPERLINK("https://klasma.github.io/Logging_2083/klagomålsmail/A 48382-2025 FSC-klagomål mail.docx", "A 48382-2025")</f>
        <v/>
      </c>
      <c r="AA50">
        <f>HYPERLINK("https://klasma.github.io/Logging_2083/tillsyn/A 48382-2025 tillsynsbegäran.docx", "A 48382-2025")</f>
        <v/>
      </c>
      <c r="AB50">
        <f>HYPERLINK("https://klasma.github.io/Logging_2083/tillsynsmail/A 48382-2025 tillsynsbegäran mail.docx", "A 48382-2025")</f>
        <v/>
      </c>
    </row>
    <row r="51" ht="15" customHeight="1">
      <c r="A51" t="inlineStr">
        <is>
          <t>A 42614-2024</t>
        </is>
      </c>
      <c r="B51" t="inlineStr">
        <is>
          <t>avverkningsanmälan</t>
        </is>
      </c>
      <c r="C51" t="inlineStr">
        <is>
          <t>Föryngringsavverkning</t>
        </is>
      </c>
      <c r="D51" s="1" t="n">
        <v>45565</v>
      </c>
      <c r="E51" s="1" t="n">
        <v>46222</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s="2" t="inlineStr">
        <is>
          <t>Garnlav
Talltita
Spillkråka</t>
        </is>
      </c>
      <c r="V51">
        <f>HYPERLINK("https://klasma.github.io/Logging_2083/artfynd/A 42614-2024 artfynd.xlsx", "A 42614-2024")</f>
        <v/>
      </c>
      <c r="W51">
        <f>HYPERLINK("https://klasma.github.io/Logging_2083/kartor/A 42614-2024 karta.png", "A 42614-2024")</f>
        <v/>
      </c>
      <c r="Y51">
        <f>HYPERLINK("https://klasma.github.io/Logging_2083/klagomål/A 42614-2024 FSC-klagomål.docx", "A 42614-2024")</f>
        <v/>
      </c>
      <c r="Z51">
        <f>HYPERLINK("https://klasma.github.io/Logging_2083/klagomålsmail/A 42614-2024 FSC-klagomål mail.docx", "A 42614-2024")</f>
        <v/>
      </c>
      <c r="AA51">
        <f>HYPERLINK("https://klasma.github.io/Logging_2083/tillsyn/A 42614-2024 tillsynsbegäran.docx", "A 42614-2024")</f>
        <v/>
      </c>
      <c r="AB51">
        <f>HYPERLINK("https://klasma.github.io/Logging_2083/tillsynsmail/A 42614-2024 tillsynsbegäran mail.docx", "A 42614-2024")</f>
        <v/>
      </c>
      <c r="AC51">
        <f>HYPERLINK("https://klasma.github.io/Logging_2083/fåglar/A 42614-2024 prioriterade fågelarter.docx", "A 42614-2024")</f>
        <v/>
      </c>
    </row>
    <row r="52" ht="15" customHeight="1">
      <c r="A52" t="inlineStr">
        <is>
          <t>A 3152-2022</t>
        </is>
      </c>
      <c r="B52" t="inlineStr">
        <is>
          <t>avverkningsanmälan</t>
        </is>
      </c>
      <c r="C52" t="inlineStr">
        <is>
          <t>Föryngringsavverkning</t>
        </is>
      </c>
      <c r="D52" s="1" t="n">
        <v>44582</v>
      </c>
      <c r="E52" s="1" t="n">
        <v>46222</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s="2" t="inlineStr">
        <is>
          <t>Knärot
Ullticka
Bronshjon</t>
        </is>
      </c>
      <c r="V52">
        <f>HYPERLINK("https://klasma.github.io/Logging_2083/artfynd/A 3152-2022 artfynd.xlsx", "A 3152-2022")</f>
        <v/>
      </c>
      <c r="W52">
        <f>HYPERLINK("https://klasma.github.io/Logging_2083/kartor/A 3152-2022 karta.png", "A 3152-2022")</f>
        <v/>
      </c>
      <c r="X52">
        <f>HYPERLINK("https://klasma.github.io/Logging_2083/knärot/A 3152-2022 karta knärot.png", "A 3152-2022")</f>
        <v/>
      </c>
      <c r="Y52">
        <f>HYPERLINK("https://klasma.github.io/Logging_2083/klagomål/A 3152-2022 FSC-klagomål.docx", "A 3152-2022")</f>
        <v/>
      </c>
      <c r="Z52">
        <f>HYPERLINK("https://klasma.github.io/Logging_2083/klagomålsmail/A 3152-2022 FSC-klagomål mail.docx", "A 3152-2022")</f>
        <v/>
      </c>
      <c r="AA52">
        <f>HYPERLINK("https://klasma.github.io/Logging_2083/tillsyn/A 3152-2022 tillsynsbegäran.docx", "A 3152-2022")</f>
        <v/>
      </c>
      <c r="AB52">
        <f>HYPERLINK("https://klasma.github.io/Logging_2083/tillsynsmail/A 3152-2022 tillsynsbegäran mail.docx", "A 3152-2022")</f>
        <v/>
      </c>
    </row>
    <row r="53" ht="15" customHeight="1">
      <c r="A53" t="inlineStr">
        <is>
          <t>A 44960-2021</t>
        </is>
      </c>
      <c r="B53" t="inlineStr">
        <is>
          <t>avverkningsanmälan</t>
        </is>
      </c>
      <c r="C53" t="inlineStr">
        <is>
          <t>Föryngringsavverkning</t>
        </is>
      </c>
      <c r="D53" s="1" t="n">
        <v>44438</v>
      </c>
      <c r="E53" s="1" t="n">
        <v>46222</v>
      </c>
      <c r="F53" t="inlineStr">
        <is>
          <t>DALARNAS LÄN</t>
        </is>
      </c>
      <c r="G53" t="inlineStr">
        <is>
          <t>HEDEMORA</t>
        </is>
      </c>
      <c r="H53" t="inlineStr">
        <is>
          <t>Sveaskog</t>
        </is>
      </c>
      <c r="I53" t="n">
        <v>1.8</v>
      </c>
      <c r="J53" t="n">
        <v>2</v>
      </c>
      <c r="K53" t="n">
        <v>0</v>
      </c>
      <c r="L53" t="n">
        <v>1</v>
      </c>
      <c r="M53" t="n">
        <v>0</v>
      </c>
      <c r="N53" t="n">
        <v>0</v>
      </c>
      <c r="O53" t="n">
        <v>0</v>
      </c>
      <c r="P53" t="n">
        <v>0</v>
      </c>
      <c r="Q53" t="n">
        <v>1</v>
      </c>
      <c r="R53" t="n">
        <v>0</v>
      </c>
      <c r="S53" t="n">
        <v>3</v>
      </c>
      <c r="T53" t="n">
        <v>3</v>
      </c>
      <c r="U53" s="2" t="inlineStr">
        <is>
          <t>Älg
Mattlummer
Fläcknycklar</t>
        </is>
      </c>
      <c r="V53">
        <f>HYPERLINK("https://klasma.github.io/Logging_2083/artfynd/A 44960-2021 artfynd.xlsx", "A 44960-2021")</f>
        <v/>
      </c>
      <c r="W53">
        <f>HYPERLINK("https://klasma.github.io/Logging_2083/kartor/A 44960-2021 karta.png", "A 44960-2021")</f>
        <v/>
      </c>
      <c r="Y53">
        <f>HYPERLINK("https://klasma.github.io/Logging_2083/klagomål/A 44960-2021 FSC-klagomål.docx", "A 44960-2021")</f>
        <v/>
      </c>
      <c r="Z53">
        <f>HYPERLINK("https://klasma.github.io/Logging_2083/klagomålsmail/A 44960-2021 FSC-klagomål mail.docx", "A 44960-2021")</f>
        <v/>
      </c>
      <c r="AA53">
        <f>HYPERLINK("https://klasma.github.io/Logging_2083/tillsyn/A 44960-2021 tillsynsbegäran.docx", "A 44960-2021")</f>
        <v/>
      </c>
      <c r="AB53">
        <f>HYPERLINK("https://klasma.github.io/Logging_2083/tillsynsmail/A 44960-2021 tillsynsbegäran mail.docx", "A 44960-2021")</f>
        <v/>
      </c>
    </row>
    <row r="54" ht="15" customHeight="1">
      <c r="A54" t="inlineStr">
        <is>
          <t>S 10369-2021</t>
        </is>
      </c>
      <c r="B54" t="inlineStr">
        <is>
          <t>samrådsanmälan</t>
        </is>
      </c>
      <c r="C54" t="inlineStr">
        <is>
          <t>Skogsgödsling</t>
        </is>
      </c>
      <c r="D54" s="1" t="n">
        <v>44550</v>
      </c>
      <c r="E54" s="1" t="n">
        <v>46222</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s="2" t="inlineStr">
        <is>
          <t>Talltita
Tjäder
Fläcknycklar</t>
        </is>
      </c>
      <c r="V54">
        <f>HYPERLINK("https://klasma.github.io/Logging_2083/artfynd/S 10369-2021 artfynd.xlsx", "S 10369-2021")</f>
        <v/>
      </c>
      <c r="W54">
        <f>HYPERLINK("https://klasma.github.io/Logging_2083/kartor/S 10369-2021 karta.png", "S 10369-2021")</f>
        <v/>
      </c>
      <c r="Y54">
        <f>HYPERLINK("https://klasma.github.io/Logging_2083/klagomål/S 10369-2021 FSC-klagomål.docx", "S 10369-2021")</f>
        <v/>
      </c>
      <c r="Z54">
        <f>HYPERLINK("https://klasma.github.io/Logging_2083/klagomålsmail/S 10369-2021 FSC-klagomål mail.docx", "S 10369-2021")</f>
        <v/>
      </c>
      <c r="AA54">
        <f>HYPERLINK("https://klasma.github.io/Logging_2083/tillsyn/S 10369-2021 tillsynsbegäran.docx", "S 10369-2021")</f>
        <v/>
      </c>
      <c r="AB54">
        <f>HYPERLINK("https://klasma.github.io/Logging_2083/tillsynsmail/S 10369-2021 tillsynsbegäran mail.docx", "S 10369-2021")</f>
        <v/>
      </c>
      <c r="AC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46222</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s="2" t="inlineStr">
        <is>
          <t>Vågbandad barkbock
Revlummer</t>
        </is>
      </c>
      <c r="V55">
        <f>HYPERLINK("https://klasma.github.io/Logging_2083/artfynd/A 67282-2021 artfynd.xlsx", "A 67282-2021")</f>
        <v/>
      </c>
      <c r="W55">
        <f>HYPERLINK("https://klasma.github.io/Logging_2083/kartor/A 67282-2021 karta.png", "A 67282-2021")</f>
        <v/>
      </c>
      <c r="Y55">
        <f>HYPERLINK("https://klasma.github.io/Logging_2083/klagomål/A 67282-2021 FSC-klagomål.docx", "A 67282-2021")</f>
        <v/>
      </c>
      <c r="Z55">
        <f>HYPERLINK("https://klasma.github.io/Logging_2083/klagomålsmail/A 67282-2021 FSC-klagomål mail.docx", "A 67282-2021")</f>
        <v/>
      </c>
      <c r="AA55">
        <f>HYPERLINK("https://klasma.github.io/Logging_2083/tillsyn/A 67282-2021 tillsynsbegäran.docx", "A 67282-2021")</f>
        <v/>
      </c>
      <c r="AB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46222</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s="2" t="inlineStr">
        <is>
          <t>Garnlav
Talltita</t>
        </is>
      </c>
      <c r="V56">
        <f>HYPERLINK("https://klasma.github.io/Logging_2083/artfynd/A 54849-2022 artfynd.xlsx", "A 54849-2022")</f>
        <v/>
      </c>
      <c r="W56">
        <f>HYPERLINK("https://klasma.github.io/Logging_2083/kartor/A 54849-2022 karta.png", "A 54849-2022")</f>
        <v/>
      </c>
      <c r="Y56">
        <f>HYPERLINK("https://klasma.github.io/Logging_2083/klagomål/A 54849-2022 FSC-klagomål.docx", "A 54849-2022")</f>
        <v/>
      </c>
      <c r="Z56">
        <f>HYPERLINK("https://klasma.github.io/Logging_2083/klagomålsmail/A 54849-2022 FSC-klagomål mail.docx", "A 54849-2022")</f>
        <v/>
      </c>
      <c r="AA56">
        <f>HYPERLINK("https://klasma.github.io/Logging_2083/tillsyn/A 54849-2022 tillsynsbegäran.docx", "A 54849-2022")</f>
        <v/>
      </c>
      <c r="AB56">
        <f>HYPERLINK("https://klasma.github.io/Logging_2083/tillsynsmail/A 54849-2022 tillsynsbegäran mail.docx", "A 54849-2022")</f>
        <v/>
      </c>
      <c r="AC56">
        <f>HYPERLINK("https://klasma.github.io/Logging_2083/fåglar/A 54849-2022 prioriterade fågelarter.docx", "A 54849-2022")</f>
        <v/>
      </c>
    </row>
    <row r="57" ht="15" customHeight="1">
      <c r="A57" t="inlineStr">
        <is>
          <t>A 29128-2025</t>
        </is>
      </c>
      <c r="B57" t="inlineStr">
        <is>
          <t>avverkningsanmälan</t>
        </is>
      </c>
      <c r="C57" t="inlineStr">
        <is>
          <t>Föryngringsavverkning</t>
        </is>
      </c>
      <c r="D57" s="1" t="n">
        <v>45821</v>
      </c>
      <c r="E57" s="1" t="n">
        <v>46222</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s="2" t="inlineStr">
        <is>
          <t>Gråspett
Tjäder</t>
        </is>
      </c>
      <c r="V57">
        <f>HYPERLINK("https://klasma.github.io/Logging_2083/artfynd/A 29128-2025 artfynd.xlsx", "A 29128-2025")</f>
        <v/>
      </c>
      <c r="W57">
        <f>HYPERLINK("https://klasma.github.io/Logging_2083/kartor/A 29128-2025 karta.png", "A 29128-2025")</f>
        <v/>
      </c>
      <c r="Y57">
        <f>HYPERLINK("https://klasma.github.io/Logging_2083/klagomål/A 29128-2025 FSC-klagomål.docx", "A 29128-2025")</f>
        <v/>
      </c>
      <c r="Z57">
        <f>HYPERLINK("https://klasma.github.io/Logging_2083/klagomålsmail/A 29128-2025 FSC-klagomål mail.docx", "A 29128-2025")</f>
        <v/>
      </c>
      <c r="AA57">
        <f>HYPERLINK("https://klasma.github.io/Logging_2083/tillsyn/A 29128-2025 tillsynsbegäran.docx", "A 29128-2025")</f>
        <v/>
      </c>
      <c r="AB57">
        <f>HYPERLINK("https://klasma.github.io/Logging_2083/tillsynsmail/A 29128-2025 tillsynsbegäran mail.docx", "A 29128-2025")</f>
        <v/>
      </c>
      <c r="AC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46222</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s="2" t="inlineStr">
        <is>
          <t>Entita
Tjäder</t>
        </is>
      </c>
      <c r="V58">
        <f>HYPERLINK("https://klasma.github.io/Logging_2083/artfynd/A 29792-2025 artfynd.xlsx", "A 29792-2025")</f>
        <v/>
      </c>
      <c r="W58">
        <f>HYPERLINK("https://klasma.github.io/Logging_2083/kartor/A 29792-2025 karta.png", "A 29792-2025")</f>
        <v/>
      </c>
      <c r="Y58">
        <f>HYPERLINK("https://klasma.github.io/Logging_2083/klagomål/A 29792-2025 FSC-klagomål.docx", "A 29792-2025")</f>
        <v/>
      </c>
      <c r="Z58">
        <f>HYPERLINK("https://klasma.github.io/Logging_2083/klagomålsmail/A 29792-2025 FSC-klagomål mail.docx", "A 29792-2025")</f>
        <v/>
      </c>
      <c r="AA58">
        <f>HYPERLINK("https://klasma.github.io/Logging_2083/tillsyn/A 29792-2025 tillsynsbegäran.docx", "A 29792-2025")</f>
        <v/>
      </c>
      <c r="AB58">
        <f>HYPERLINK("https://klasma.github.io/Logging_2083/tillsynsmail/A 29792-2025 tillsynsbegäran mail.docx", "A 29792-2025")</f>
        <v/>
      </c>
      <c r="AC58">
        <f>HYPERLINK("https://klasma.github.io/Logging_2083/fåglar/A 29792-2025 prioriterade fågelarter.docx", "A 29792-2025")</f>
        <v/>
      </c>
    </row>
    <row r="59" ht="15" customHeight="1">
      <c r="A59" t="inlineStr">
        <is>
          <t>A 2996-2023</t>
        </is>
      </c>
      <c r="B59" t="inlineStr">
        <is>
          <t>avverkningsanmälan</t>
        </is>
      </c>
      <c r="C59" t="inlineStr">
        <is>
          <t>Avverkning för annat ändamål</t>
        </is>
      </c>
      <c r="D59" s="1" t="n">
        <v>44945</v>
      </c>
      <c r="E59" s="1" t="n">
        <v>46222</v>
      </c>
      <c r="F59" t="inlineStr">
        <is>
          <t>DALARNAS LÄN</t>
        </is>
      </c>
      <c r="G59" t="inlineStr">
        <is>
          <t>HEDEMORA</t>
        </is>
      </c>
      <c r="I59" t="n">
        <v>2.1</v>
      </c>
      <c r="J59" t="n">
        <v>1</v>
      </c>
      <c r="K59" t="n">
        <v>0</v>
      </c>
      <c r="L59" t="n">
        <v>1</v>
      </c>
      <c r="M59" t="n">
        <v>0</v>
      </c>
      <c r="N59" t="n">
        <v>0</v>
      </c>
      <c r="O59" t="n">
        <v>0</v>
      </c>
      <c r="P59" t="n">
        <v>0</v>
      </c>
      <c r="Q59" t="n">
        <v>1</v>
      </c>
      <c r="R59" t="n">
        <v>0</v>
      </c>
      <c r="S59" t="n">
        <v>2</v>
      </c>
      <c r="T59" t="n">
        <v>2</v>
      </c>
      <c r="U59" s="2" t="inlineStr">
        <is>
          <t>Vedtrappmossa
Blåsippa</t>
        </is>
      </c>
      <c r="V59">
        <f>HYPERLINK("https://klasma.github.io/Logging_2083/artfynd/A 2996-2023 artfynd.xlsx", "A 2996-2023")</f>
        <v/>
      </c>
      <c r="W59">
        <f>HYPERLINK("https://klasma.github.io/Logging_2083/kartor/A 2996-2023 karta.png", "A 2996-2023")</f>
        <v/>
      </c>
      <c r="Y59">
        <f>HYPERLINK("https://klasma.github.io/Logging_2083/klagomål/A 2996-2023 FSC-klagomål.docx", "A 2996-2023")</f>
        <v/>
      </c>
      <c r="Z59">
        <f>HYPERLINK("https://klasma.github.io/Logging_2083/klagomålsmail/A 2996-2023 FSC-klagomål mail.docx", "A 2996-2023")</f>
        <v/>
      </c>
      <c r="AA59">
        <f>HYPERLINK("https://klasma.github.io/Logging_2083/tillsyn/A 2996-2023 tillsynsbegäran.docx", "A 2996-2023")</f>
        <v/>
      </c>
      <c r="AB59">
        <f>HYPERLINK("https://klasma.github.io/Logging_2083/tillsynsmail/A 2996-2023 tillsynsbegäran mail.docx", "A 2996-2023")</f>
        <v/>
      </c>
    </row>
    <row r="60" ht="15" customHeight="1">
      <c r="A60" t="inlineStr">
        <is>
          <t>A 9549-2026</t>
        </is>
      </c>
      <c r="B60" t="inlineStr">
        <is>
          <t>avverkningsanmälan</t>
        </is>
      </c>
      <c r="C60" t="inlineStr">
        <is>
          <t>Föryngringsavverkning</t>
        </is>
      </c>
      <c r="D60" s="1" t="n">
        <v>46070</v>
      </c>
      <c r="E60" s="1" t="n">
        <v>46222</v>
      </c>
      <c r="F60" t="inlineStr">
        <is>
          <t>DALARNAS LÄN</t>
        </is>
      </c>
      <c r="G60" t="inlineStr">
        <is>
          <t>HEDEMORA</t>
        </is>
      </c>
      <c r="I60" t="n">
        <v>4.2</v>
      </c>
      <c r="J60" t="n">
        <v>1</v>
      </c>
      <c r="K60" t="n">
        <v>1</v>
      </c>
      <c r="L60" t="n">
        <v>0</v>
      </c>
      <c r="M60" t="n">
        <v>0</v>
      </c>
      <c r="N60" t="n">
        <v>0</v>
      </c>
      <c r="O60" t="n">
        <v>0</v>
      </c>
      <c r="P60" t="n">
        <v>0</v>
      </c>
      <c r="Q60" t="n">
        <v>0</v>
      </c>
      <c r="R60" t="n">
        <v>0</v>
      </c>
      <c r="S60" t="n">
        <v>2</v>
      </c>
      <c r="T60" t="n">
        <v>2</v>
      </c>
      <c r="U60" s="2" t="inlineStr">
        <is>
          <t>Korallblylav
Orre</t>
        </is>
      </c>
      <c r="V60">
        <f>HYPERLINK("https://klasma.github.io/Logging_2083/artfynd/A 9549-2026 artfynd.xlsx", "A 9549-2026")</f>
        <v/>
      </c>
      <c r="W60">
        <f>HYPERLINK("https://klasma.github.io/Logging_2083/kartor/A 9549-2026 karta.png", "A 9549-2026")</f>
        <v/>
      </c>
      <c r="Y60">
        <f>HYPERLINK("https://klasma.github.io/Logging_2083/klagomål/A 9549-2026 FSC-klagomål.docx", "A 9549-2026")</f>
        <v/>
      </c>
      <c r="Z60">
        <f>HYPERLINK("https://klasma.github.io/Logging_2083/klagomålsmail/A 9549-2026 FSC-klagomål mail.docx", "A 9549-2026")</f>
        <v/>
      </c>
      <c r="AA60">
        <f>HYPERLINK("https://klasma.github.io/Logging_2083/tillsyn/A 9549-2026 tillsynsbegäran.docx", "A 9549-2026")</f>
        <v/>
      </c>
      <c r="AB60">
        <f>HYPERLINK("https://klasma.github.io/Logging_2083/tillsynsmail/A 9549-2026 tillsynsbegäran mail.docx", "A 9549-2026")</f>
        <v/>
      </c>
      <c r="AC60">
        <f>HYPERLINK("https://klasma.github.io/Logging_2083/fåglar/A 9549-2026 prioriterade fågelarter.docx", "A 9549-2026")</f>
        <v/>
      </c>
    </row>
    <row r="61" ht="15" customHeight="1">
      <c r="A61" t="inlineStr">
        <is>
          <t>A 1518-2025</t>
        </is>
      </c>
      <c r="B61" t="inlineStr">
        <is>
          <t>avverkningsanmälan</t>
        </is>
      </c>
      <c r="C61" t="inlineStr">
        <is>
          <t>Föryngringsavverkning</t>
        </is>
      </c>
      <c r="D61" s="1" t="n">
        <v>45670</v>
      </c>
      <c r="E61" s="1" t="n">
        <v>46222</v>
      </c>
      <c r="F61" t="inlineStr">
        <is>
          <t>DALARNAS LÄN</t>
        </is>
      </c>
      <c r="G61" t="inlineStr">
        <is>
          <t>HEDEMORA</t>
        </is>
      </c>
      <c r="I61" t="n">
        <v>3.8</v>
      </c>
      <c r="J61" t="n">
        <v>1</v>
      </c>
      <c r="K61" t="n">
        <v>0</v>
      </c>
      <c r="L61" t="n">
        <v>1</v>
      </c>
      <c r="M61" t="n">
        <v>1</v>
      </c>
      <c r="N61" t="n">
        <v>0</v>
      </c>
      <c r="O61" t="n">
        <v>0</v>
      </c>
      <c r="P61" t="n">
        <v>0</v>
      </c>
      <c r="Q61" t="n">
        <v>2</v>
      </c>
      <c r="R61" t="n">
        <v>1</v>
      </c>
      <c r="S61" t="n">
        <v>2</v>
      </c>
      <c r="T61" t="n">
        <v>8</v>
      </c>
      <c r="U61" s="2" t="inlineStr">
        <is>
          <t>Knärot
Ullticka</t>
        </is>
      </c>
      <c r="V61">
        <f>HYPERLINK("https://klasma.github.io/Logging_2083/artfynd/A 1518-2025 artfynd.xlsx", "A 1518-2025")</f>
        <v/>
      </c>
      <c r="W61">
        <f>HYPERLINK("https://klasma.github.io/Logging_2083/kartor/A 1518-2025 karta.png", "A 1518-2025")</f>
        <v/>
      </c>
      <c r="X61">
        <f>HYPERLINK("https://klasma.github.io/Logging_2083/knärot/A 1518-2025 karta knärot.png", "A 1518-2025")</f>
        <v/>
      </c>
      <c r="Y61">
        <f>HYPERLINK("https://klasma.github.io/Logging_2083/klagomål/A 1518-2025 FSC-klagomål.docx", "A 1518-2025")</f>
        <v/>
      </c>
      <c r="Z61">
        <f>HYPERLINK("https://klasma.github.io/Logging_2083/klagomålsmail/A 1518-2025 FSC-klagomål mail.docx", "A 1518-2025")</f>
        <v/>
      </c>
      <c r="AA61">
        <f>HYPERLINK("https://klasma.github.io/Logging_2083/tillsyn/A 1518-2025 tillsynsbegäran.docx", "A 1518-2025")</f>
        <v/>
      </c>
      <c r="AB61">
        <f>HYPERLINK("https://klasma.github.io/Logging_2083/tillsynsmail/A 1518-2025 tillsynsbegäran mail.docx", "A 1518-2025")</f>
        <v/>
      </c>
    </row>
    <row r="62" ht="15" customHeight="1">
      <c r="A62" t="inlineStr">
        <is>
          <t>A 61136-2025</t>
        </is>
      </c>
      <c r="B62" t="inlineStr">
        <is>
          <t>avverkningsanmälan</t>
        </is>
      </c>
      <c r="C62" t="inlineStr">
        <is>
          <t>Föryngringsavverkning</t>
        </is>
      </c>
      <c r="D62" s="1" t="n">
        <v>46000</v>
      </c>
      <c r="E62" s="1" t="n">
        <v>46222</v>
      </c>
      <c r="F62" t="inlineStr">
        <is>
          <t>DALARNAS LÄN</t>
        </is>
      </c>
      <c r="G62" t="inlineStr">
        <is>
          <t>HEDEMORA</t>
        </is>
      </c>
      <c r="H62" t="inlineStr">
        <is>
          <t>Bergvik skog väst AB</t>
        </is>
      </c>
      <c r="I62" t="n">
        <v>6.2</v>
      </c>
      <c r="J62" t="n">
        <v>1</v>
      </c>
      <c r="K62" t="n">
        <v>0</v>
      </c>
      <c r="L62" t="n">
        <v>1</v>
      </c>
      <c r="M62" t="n">
        <v>0</v>
      </c>
      <c r="N62" t="n">
        <v>0</v>
      </c>
      <c r="O62" t="n">
        <v>0</v>
      </c>
      <c r="P62" t="n">
        <v>0</v>
      </c>
      <c r="Q62" t="n">
        <v>1</v>
      </c>
      <c r="R62" t="n">
        <v>0</v>
      </c>
      <c r="S62" t="n">
        <v>2</v>
      </c>
      <c r="T62" t="n">
        <v>2</v>
      </c>
      <c r="U62" s="2" t="inlineStr">
        <is>
          <t>Brunklöver
Fläcknycklar</t>
        </is>
      </c>
      <c r="V62">
        <f>HYPERLINK("https://klasma.github.io/Logging_2083/artfynd/A 61136-2025 artfynd.xlsx", "A 61136-2025")</f>
        <v/>
      </c>
      <c r="W62">
        <f>HYPERLINK("https://klasma.github.io/Logging_2083/kartor/A 61136-2025 karta.png", "A 61136-2025")</f>
        <v/>
      </c>
      <c r="Y62">
        <f>HYPERLINK("https://klasma.github.io/Logging_2083/klagomål/A 61136-2025 FSC-klagomål.docx", "A 61136-2025")</f>
        <v/>
      </c>
      <c r="Z62">
        <f>HYPERLINK("https://klasma.github.io/Logging_2083/klagomålsmail/A 61136-2025 FSC-klagomål mail.docx", "A 61136-2025")</f>
        <v/>
      </c>
      <c r="AA62">
        <f>HYPERLINK("https://klasma.github.io/Logging_2083/tillsyn/A 61136-2025 tillsynsbegäran.docx", "A 61136-2025")</f>
        <v/>
      </c>
      <c r="AB62">
        <f>HYPERLINK("https://klasma.github.io/Logging_2083/tillsynsmail/A 61136-2025 tillsynsbegäran mail.docx", "A 61136-2025")</f>
        <v/>
      </c>
    </row>
    <row r="63" ht="15" customHeight="1">
      <c r="A63" t="inlineStr">
        <is>
          <t>A 60017-2024</t>
        </is>
      </c>
      <c r="B63" t="inlineStr">
        <is>
          <t>avverkningsanmälan</t>
        </is>
      </c>
      <c r="C63" t="inlineStr">
        <is>
          <t>Avverkning för annat ändamål</t>
        </is>
      </c>
      <c r="D63" s="1" t="n">
        <v>45642</v>
      </c>
      <c r="E63" s="1" t="n">
        <v>46222</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s="2" t="inlineStr">
        <is>
          <t>Knärot
Rödgul trumpetsvamp</t>
        </is>
      </c>
      <c r="V63">
        <f>HYPERLINK("https://klasma.github.io/Logging_2083/artfynd/A 60017-2024 artfynd.xlsx", "A 60017-2024")</f>
        <v/>
      </c>
      <c r="W63">
        <f>HYPERLINK("https://klasma.github.io/Logging_2083/kartor/A 60017-2024 karta.png", "A 60017-2024")</f>
        <v/>
      </c>
      <c r="X63">
        <f>HYPERLINK("https://klasma.github.io/Logging_2083/knärot/A 60017-2024 karta knärot.png", "A 60017-2024")</f>
        <v/>
      </c>
      <c r="Y63">
        <f>HYPERLINK("https://klasma.github.io/Logging_2083/klagomål/A 60017-2024 FSC-klagomål.docx", "A 60017-2024")</f>
        <v/>
      </c>
      <c r="Z63">
        <f>HYPERLINK("https://klasma.github.io/Logging_2083/klagomålsmail/A 60017-2024 FSC-klagomål mail.docx", "A 60017-2024")</f>
        <v/>
      </c>
      <c r="AA63">
        <f>HYPERLINK("https://klasma.github.io/Logging_2083/tillsyn/A 60017-2024 tillsynsbegäran.docx", "A 60017-2024")</f>
        <v/>
      </c>
      <c r="AB63">
        <f>HYPERLINK("https://klasma.github.io/Logging_2083/tillsynsmail/A 60017-2024 tillsynsbegäran mail.docx", "A 60017-2024")</f>
        <v/>
      </c>
    </row>
    <row r="64" ht="15" customHeight="1">
      <c r="A64" t="inlineStr">
        <is>
          <t>A 26904-2026</t>
        </is>
      </c>
      <c r="B64" t="inlineStr">
        <is>
          <t>avverkningsanmälan</t>
        </is>
      </c>
      <c r="C64" t="inlineStr">
        <is>
          <t>Föryngringsavverkning</t>
        </is>
      </c>
      <c r="D64" s="1" t="n">
        <v>46185</v>
      </c>
      <c r="E64" s="1" t="n">
        <v>46222</v>
      </c>
      <c r="F64" t="inlineStr">
        <is>
          <t>DALARNAS LÄN</t>
        </is>
      </c>
      <c r="G64" t="inlineStr">
        <is>
          <t>HEDEMORA</t>
        </is>
      </c>
      <c r="H64" t="inlineStr">
        <is>
          <t>Sveaskog</t>
        </is>
      </c>
      <c r="I64" t="n">
        <v>3</v>
      </c>
      <c r="J64" t="n">
        <v>2</v>
      </c>
      <c r="K64" t="n">
        <v>0</v>
      </c>
      <c r="L64" t="n">
        <v>0</v>
      </c>
      <c r="M64" t="n">
        <v>0</v>
      </c>
      <c r="N64" t="n">
        <v>0</v>
      </c>
      <c r="O64" t="n">
        <v>0</v>
      </c>
      <c r="P64" t="n">
        <v>0</v>
      </c>
      <c r="Q64" t="n">
        <v>0</v>
      </c>
      <c r="R64" t="n">
        <v>0</v>
      </c>
      <c r="S64" t="n">
        <v>2</v>
      </c>
      <c r="T64" t="n">
        <v>2</v>
      </c>
      <c r="U64" s="2" t="inlineStr">
        <is>
          <t>Spillkråka
Kungsfågel</t>
        </is>
      </c>
      <c r="V64">
        <f>HYPERLINK("https://klasma.github.io/Logging_2083/artfynd/A 26904-2026 artfynd.xlsx", "A 26904-2026")</f>
        <v/>
      </c>
      <c r="W64">
        <f>HYPERLINK("https://klasma.github.io/Logging_2083/kartor/A 26904-2026 karta.png", "A 26904-2026")</f>
        <v/>
      </c>
      <c r="Y64">
        <f>HYPERLINK("https://klasma.github.io/Logging_2083/klagomål/A 26904-2026 FSC-klagomål.docx", "A 26904-2026")</f>
        <v/>
      </c>
      <c r="Z64">
        <f>HYPERLINK("https://klasma.github.io/Logging_2083/klagomålsmail/A 26904-2026 FSC-klagomål mail.docx", "A 26904-2026")</f>
        <v/>
      </c>
      <c r="AA64">
        <f>HYPERLINK("https://klasma.github.io/Logging_2083/tillsyn/A 26904-2026 tillsynsbegäran.docx", "A 26904-2026")</f>
        <v/>
      </c>
      <c r="AB64">
        <f>HYPERLINK("https://klasma.github.io/Logging_2083/tillsynsmail/A 26904-2026 tillsynsbegäran mail.docx", "A 26904-2026")</f>
        <v/>
      </c>
      <c r="AC64">
        <f>HYPERLINK("https://klasma.github.io/Logging_2083/fåglar/A 26904-2026 prioriterade fågelarter.docx", "A 26904-2026")</f>
        <v/>
      </c>
    </row>
    <row r="65" ht="15" customHeight="1">
      <c r="A65" t="inlineStr">
        <is>
          <t>A 20666-2024</t>
        </is>
      </c>
      <c r="B65" t="inlineStr">
        <is>
          <t>avverkningsanmälan</t>
        </is>
      </c>
      <c r="C65" t="inlineStr">
        <is>
          <t>Föryngringsavverkning</t>
        </is>
      </c>
      <c r="D65" s="1" t="n">
        <v>45436</v>
      </c>
      <c r="E65" s="1" t="n">
        <v>46222</v>
      </c>
      <c r="F65" t="inlineStr">
        <is>
          <t>DALARNAS LÄN</t>
        </is>
      </c>
      <c r="G65" t="inlineStr">
        <is>
          <t>HEDEMORA</t>
        </is>
      </c>
      <c r="I65" t="n">
        <v>5.1</v>
      </c>
      <c r="J65" t="n">
        <v>2</v>
      </c>
      <c r="K65" t="n">
        <v>0</v>
      </c>
      <c r="L65" t="n">
        <v>0</v>
      </c>
      <c r="M65" t="n">
        <v>0</v>
      </c>
      <c r="N65" t="n">
        <v>0</v>
      </c>
      <c r="O65" t="n">
        <v>0</v>
      </c>
      <c r="P65" t="n">
        <v>0</v>
      </c>
      <c r="Q65" t="n">
        <v>0</v>
      </c>
      <c r="R65" t="n">
        <v>0</v>
      </c>
      <c r="S65" t="n">
        <v>2</v>
      </c>
      <c r="T65" t="n">
        <v>2</v>
      </c>
      <c r="U65" s="2" t="inlineStr">
        <is>
          <t>Orre
Fläcknycklar</t>
        </is>
      </c>
      <c r="V65">
        <f>HYPERLINK("https://klasma.github.io/Logging_2083/artfynd/A 20666-2024 artfynd.xlsx", "A 20666-2024")</f>
        <v/>
      </c>
      <c r="W65">
        <f>HYPERLINK("https://klasma.github.io/Logging_2083/kartor/A 20666-2024 karta.png", "A 20666-2024")</f>
        <v/>
      </c>
      <c r="Y65">
        <f>HYPERLINK("https://klasma.github.io/Logging_2083/klagomål/A 20666-2024 FSC-klagomål.docx", "A 20666-2024")</f>
        <v/>
      </c>
      <c r="Z65">
        <f>HYPERLINK("https://klasma.github.io/Logging_2083/klagomålsmail/A 20666-2024 FSC-klagomål mail.docx", "A 20666-2024")</f>
        <v/>
      </c>
      <c r="AA65">
        <f>HYPERLINK("https://klasma.github.io/Logging_2083/tillsyn/A 20666-2024 tillsynsbegäran.docx", "A 20666-2024")</f>
        <v/>
      </c>
      <c r="AB65">
        <f>HYPERLINK("https://klasma.github.io/Logging_2083/tillsynsmail/A 20666-2024 tillsynsbegäran mail.docx", "A 20666-2024")</f>
        <v/>
      </c>
      <c r="AC65">
        <f>HYPERLINK("https://klasma.github.io/Logging_2083/fåglar/A 20666-2024 prioriterade fågelarter.docx", "A 20666-2024")</f>
        <v/>
      </c>
    </row>
    <row r="66" ht="15" customHeight="1">
      <c r="A66" t="inlineStr">
        <is>
          <t>A 22762-2026</t>
        </is>
      </c>
      <c r="B66" t="inlineStr">
        <is>
          <t>avverkningsanmälan</t>
        </is>
      </c>
      <c r="C66" t="inlineStr">
        <is>
          <t>Föryngringsavverkning</t>
        </is>
      </c>
      <c r="D66" s="1" t="n">
        <v>46157</v>
      </c>
      <c r="E66" s="1" t="n">
        <v>46222</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s="2" t="inlineStr">
        <is>
          <t>Rosenticka
Rynkskinn</t>
        </is>
      </c>
      <c r="V66">
        <f>HYPERLINK("https://klasma.github.io/Logging_2083/artfynd/A 22762-2026 artfynd.xlsx", "A 22762-2026")</f>
        <v/>
      </c>
      <c r="W66">
        <f>HYPERLINK("https://klasma.github.io/Logging_2083/kartor/A 22762-2026 karta.png", "A 22762-2026")</f>
        <v/>
      </c>
      <c r="Y66">
        <f>HYPERLINK("https://klasma.github.io/Logging_2083/klagomål/A 22762-2026 FSC-klagomål.docx", "A 22762-2026")</f>
        <v/>
      </c>
      <c r="Z66">
        <f>HYPERLINK("https://klasma.github.io/Logging_2083/klagomålsmail/A 22762-2026 FSC-klagomål mail.docx", "A 22762-2026")</f>
        <v/>
      </c>
      <c r="AA66">
        <f>HYPERLINK("https://klasma.github.io/Logging_2083/tillsyn/A 22762-2026 tillsynsbegäran.docx", "A 22762-2026")</f>
        <v/>
      </c>
      <c r="AB66">
        <f>HYPERLINK("https://klasma.github.io/Logging_2083/tillsynsmail/A 22762-2026 tillsynsbegäran mail.docx", "A 22762-2026")</f>
        <v/>
      </c>
    </row>
    <row r="67" ht="15" customHeight="1">
      <c r="A67" t="inlineStr">
        <is>
          <t>A 41477-2023</t>
        </is>
      </c>
      <c r="B67" t="inlineStr">
        <is>
          <t>avverkningsanmälan</t>
        </is>
      </c>
      <c r="C67" t="inlineStr">
        <is>
          <t>Föryngringsavverkning</t>
        </is>
      </c>
      <c r="D67" s="1" t="n">
        <v>45171</v>
      </c>
      <c r="E67" s="1" t="n">
        <v>46222</v>
      </c>
      <c r="F67" t="inlineStr">
        <is>
          <t>DALARNAS LÄN</t>
        </is>
      </c>
      <c r="G67" t="inlineStr">
        <is>
          <t>HEDEMORA</t>
        </is>
      </c>
      <c r="H67" t="inlineStr">
        <is>
          <t>Bergvik skog väst AB</t>
        </is>
      </c>
      <c r="I67" t="n">
        <v>9.1</v>
      </c>
      <c r="J67" t="n">
        <v>0</v>
      </c>
      <c r="K67" t="n">
        <v>1</v>
      </c>
      <c r="L67" t="n">
        <v>1</v>
      </c>
      <c r="M67" t="n">
        <v>0</v>
      </c>
      <c r="N67" t="n">
        <v>0</v>
      </c>
      <c r="O67" t="n">
        <v>0</v>
      </c>
      <c r="P67" t="n">
        <v>0</v>
      </c>
      <c r="Q67" t="n">
        <v>1</v>
      </c>
      <c r="R67" t="n">
        <v>0</v>
      </c>
      <c r="S67" t="n">
        <v>2</v>
      </c>
      <c r="T67" t="n">
        <v>2</v>
      </c>
      <c r="U67" s="2" t="inlineStr">
        <is>
          <t>Gullpudra
Ögonpyrola</t>
        </is>
      </c>
      <c r="V67">
        <f>HYPERLINK("https://klasma.github.io/Logging_2083/artfynd/A 41477-2023 artfynd.xlsx", "A 41477-2023")</f>
        <v/>
      </c>
      <c r="W67">
        <f>HYPERLINK("https://klasma.github.io/Logging_2083/kartor/A 41477-2023 karta.png", "A 41477-2023")</f>
        <v/>
      </c>
      <c r="Y67">
        <f>HYPERLINK("https://klasma.github.io/Logging_2083/klagomål/A 41477-2023 FSC-klagomål.docx", "A 41477-2023")</f>
        <v/>
      </c>
      <c r="Z67">
        <f>HYPERLINK("https://klasma.github.io/Logging_2083/klagomålsmail/A 41477-2023 FSC-klagomål mail.docx", "A 41477-2023")</f>
        <v/>
      </c>
      <c r="AA67">
        <f>HYPERLINK("https://klasma.github.io/Logging_2083/tillsyn/A 41477-2023 tillsynsbegäran.docx", "A 41477-2023")</f>
        <v/>
      </c>
      <c r="AB67">
        <f>HYPERLINK("https://klasma.github.io/Logging_2083/tillsynsmail/A 41477-2023 tillsynsbegäran mail.docx", "A 41477-2023")</f>
        <v/>
      </c>
    </row>
    <row r="68" ht="15" customHeight="1">
      <c r="A68" t="inlineStr">
        <is>
          <t>A 29521-2026</t>
        </is>
      </c>
      <c r="B68" t="inlineStr">
        <is>
          <t>avverkningsanmälan</t>
        </is>
      </c>
      <c r="C68" t="inlineStr">
        <is>
          <t>Föryngringsavverkning</t>
        </is>
      </c>
      <c r="D68" s="1" t="n">
        <v>46198</v>
      </c>
      <c r="E68" s="1" t="n">
        <v>46222</v>
      </c>
      <c r="F68" t="inlineStr">
        <is>
          <t>DALARNAS LÄN</t>
        </is>
      </c>
      <c r="G68" t="inlineStr">
        <is>
          <t>HEDEMORA</t>
        </is>
      </c>
      <c r="I68" t="n">
        <v>14.9</v>
      </c>
      <c r="J68" t="n">
        <v>2</v>
      </c>
      <c r="K68" t="n">
        <v>0</v>
      </c>
      <c r="L68" t="n">
        <v>0</v>
      </c>
      <c r="M68" t="n">
        <v>0</v>
      </c>
      <c r="N68" t="n">
        <v>0</v>
      </c>
      <c r="O68" t="n">
        <v>0</v>
      </c>
      <c r="P68" t="n">
        <v>0</v>
      </c>
      <c r="Q68" t="n">
        <v>0</v>
      </c>
      <c r="R68" t="n">
        <v>0</v>
      </c>
      <c r="S68" t="n">
        <v>2</v>
      </c>
      <c r="T68" t="n">
        <v>3</v>
      </c>
      <c r="U68" s="2" t="inlineStr">
        <is>
          <t>Spillkråka
Revlummer</t>
        </is>
      </c>
      <c r="V68">
        <f>HYPERLINK("https://klasma.github.io/Logging_2083/artfynd/A 29521-2026 artfynd.xlsx", "A 29521-2026")</f>
        <v/>
      </c>
      <c r="W68">
        <f>HYPERLINK("https://klasma.github.io/Logging_2083/kartor/A 29521-2026 karta.png", "A 29521-2026")</f>
        <v/>
      </c>
      <c r="X68">
        <f>HYPERLINK("https://klasma.github.io/Logging_2083/knärot/A 29521-2026 karta knärot.png", "A 29521-2026")</f>
        <v/>
      </c>
      <c r="Y68">
        <f>HYPERLINK("https://klasma.github.io/Logging_2083/klagomål/A 29521-2026 FSC-klagomål.docx", "A 29521-2026")</f>
        <v/>
      </c>
      <c r="Z68">
        <f>HYPERLINK("https://klasma.github.io/Logging_2083/klagomålsmail/A 29521-2026 FSC-klagomål mail.docx", "A 29521-2026")</f>
        <v/>
      </c>
      <c r="AA68">
        <f>HYPERLINK("https://klasma.github.io/Logging_2083/tillsyn/A 29521-2026 tillsynsbegäran.docx", "A 29521-2026")</f>
        <v/>
      </c>
      <c r="AB68">
        <f>HYPERLINK("https://klasma.github.io/Logging_2083/tillsynsmail/A 29521-2026 tillsynsbegäran mail.docx", "A 29521-2026")</f>
        <v/>
      </c>
      <c r="AC68">
        <f>HYPERLINK("https://klasma.github.io/Logging_2083/fåglar/A 29521-2026 prioriterade fågelarter.docx", "A 29521-2026")</f>
        <v/>
      </c>
    </row>
    <row r="69" ht="15" customHeight="1">
      <c r="A69" t="inlineStr">
        <is>
          <t>A 25420-2026</t>
        </is>
      </c>
      <c r="B69" t="inlineStr">
        <is>
          <t>avverkningsanmälan</t>
        </is>
      </c>
      <c r="C69" t="inlineStr">
        <is>
          <t>Föryngringsavverkning</t>
        </is>
      </c>
      <c r="D69" s="1" t="n">
        <v>46177</v>
      </c>
      <c r="E69" s="1" t="n">
        <v>46222</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s="2" t="inlineStr">
        <is>
          <t>Gullpudra
Huggorm</t>
        </is>
      </c>
      <c r="V69">
        <f>HYPERLINK("https://klasma.github.io/Logging_2083/artfynd/A 25420-2026 artfynd.xlsx", "A 25420-2026")</f>
        <v/>
      </c>
      <c r="W69">
        <f>HYPERLINK("https://klasma.github.io/Logging_2083/kartor/A 25420-2026 karta.png", "A 25420-2026")</f>
        <v/>
      </c>
      <c r="Y69">
        <f>HYPERLINK("https://klasma.github.io/Logging_2083/klagomål/A 25420-2026 FSC-klagomål.docx", "A 25420-2026")</f>
        <v/>
      </c>
      <c r="Z69">
        <f>HYPERLINK("https://klasma.github.io/Logging_2083/klagomålsmail/A 25420-2026 FSC-klagomål mail.docx", "A 25420-2026")</f>
        <v/>
      </c>
      <c r="AA69">
        <f>HYPERLINK("https://klasma.github.io/Logging_2083/tillsyn/A 25420-2026 tillsynsbegäran.docx", "A 25420-2026")</f>
        <v/>
      </c>
      <c r="AB69">
        <f>HYPERLINK("https://klasma.github.io/Logging_2083/tillsynsmail/A 25420-2026 tillsynsbegäran mail.docx", "A 25420-2026")</f>
        <v/>
      </c>
    </row>
    <row r="70" ht="15" customHeight="1">
      <c r="A70" t="inlineStr">
        <is>
          <t>A 25884-2026</t>
        </is>
      </c>
      <c r="B70" t="inlineStr">
        <is>
          <t>avverkningsanmälan</t>
        </is>
      </c>
      <c r="C70" t="inlineStr">
        <is>
          <t>Föryngringsavverkning</t>
        </is>
      </c>
      <c r="D70" s="1" t="n">
        <v>46178</v>
      </c>
      <c r="E70" s="1" t="n">
        <v>46222</v>
      </c>
      <c r="F70" t="inlineStr">
        <is>
          <t>DALARNAS LÄN</t>
        </is>
      </c>
      <c r="G70" t="inlineStr">
        <is>
          <t>HEDEMORA</t>
        </is>
      </c>
      <c r="H70" t="inlineStr">
        <is>
          <t>Sveaskog</t>
        </is>
      </c>
      <c r="I70" t="n">
        <v>2.1</v>
      </c>
      <c r="J70" t="n">
        <v>2</v>
      </c>
      <c r="K70" t="n">
        <v>0</v>
      </c>
      <c r="L70" t="n">
        <v>1</v>
      </c>
      <c r="M70" t="n">
        <v>0</v>
      </c>
      <c r="N70" t="n">
        <v>0</v>
      </c>
      <c r="O70" t="n">
        <v>0</v>
      </c>
      <c r="P70" t="n">
        <v>0</v>
      </c>
      <c r="Q70" t="n">
        <v>1</v>
      </c>
      <c r="R70" t="n">
        <v>0</v>
      </c>
      <c r="S70" t="n">
        <v>2</v>
      </c>
      <c r="T70" t="n">
        <v>2</v>
      </c>
      <c r="U70" s="2" t="inlineStr">
        <is>
          <t>Kungsörn
Tjäder</t>
        </is>
      </c>
      <c r="V70">
        <f>HYPERLINK("https://klasma.github.io/Logging_2083/artfynd/A 25884-2026 artfynd.xlsx", "A 25884-2026")</f>
        <v/>
      </c>
      <c r="W70">
        <f>HYPERLINK("https://klasma.github.io/Logging_2083/kartor/A 25884-2026 karta.png", "A 25884-2026")</f>
        <v/>
      </c>
      <c r="Y70">
        <f>HYPERLINK("https://klasma.github.io/Logging_2083/klagomål/A 25884-2026 FSC-klagomål.docx", "A 25884-2026")</f>
        <v/>
      </c>
      <c r="Z70">
        <f>HYPERLINK("https://klasma.github.io/Logging_2083/klagomålsmail/A 25884-2026 FSC-klagomål mail.docx", "A 25884-2026")</f>
        <v/>
      </c>
      <c r="AA70">
        <f>HYPERLINK("https://klasma.github.io/Logging_2083/tillsyn/A 25884-2026 tillsynsbegäran.docx", "A 25884-2026")</f>
        <v/>
      </c>
      <c r="AB70">
        <f>HYPERLINK("https://klasma.github.io/Logging_2083/tillsynsmail/A 25884-2026 tillsynsbegäran mail.docx", "A 25884-2026")</f>
        <v/>
      </c>
      <c r="AC70">
        <f>HYPERLINK("https://klasma.github.io/Logging_2083/fåglar/A 25884-2026 prioriterade fågelarter.docx", "A 25884-2026")</f>
        <v/>
      </c>
    </row>
    <row r="71" ht="15" customHeight="1">
      <c r="A71" t="inlineStr">
        <is>
          <t>A 25876-2026</t>
        </is>
      </c>
      <c r="B71" t="inlineStr">
        <is>
          <t>avverkningsanmälan</t>
        </is>
      </c>
      <c r="C71" t="inlineStr">
        <is>
          <t>Föryngringsavverkning</t>
        </is>
      </c>
      <c r="D71" s="1" t="n">
        <v>46178</v>
      </c>
      <c r="E71" s="1" t="n">
        <v>46222</v>
      </c>
      <c r="F71" t="inlineStr">
        <is>
          <t>DALARNAS LÄN</t>
        </is>
      </c>
      <c r="G71" t="inlineStr">
        <is>
          <t>HEDEMORA</t>
        </is>
      </c>
      <c r="H71" t="inlineStr">
        <is>
          <t>Sveaskog</t>
        </is>
      </c>
      <c r="I71" t="n">
        <v>12.1</v>
      </c>
      <c r="J71" t="n">
        <v>1</v>
      </c>
      <c r="K71" t="n">
        <v>1</v>
      </c>
      <c r="L71" t="n">
        <v>0</v>
      </c>
      <c r="M71" t="n">
        <v>1</v>
      </c>
      <c r="N71" t="n">
        <v>0</v>
      </c>
      <c r="O71" t="n">
        <v>0</v>
      </c>
      <c r="P71" t="n">
        <v>0</v>
      </c>
      <c r="Q71" t="n">
        <v>1</v>
      </c>
      <c r="R71" t="n">
        <v>1</v>
      </c>
      <c r="S71" t="n">
        <v>2</v>
      </c>
      <c r="T71" t="n">
        <v>6</v>
      </c>
      <c r="U71" s="2" t="inlineStr">
        <is>
          <t>Knärot
Bronshjon</t>
        </is>
      </c>
      <c r="V71">
        <f>HYPERLINK("https://klasma.github.io/Logging_2083/artfynd/A 25876-2026 artfynd.xlsx", "A 25876-2026")</f>
        <v/>
      </c>
      <c r="W71">
        <f>HYPERLINK("https://klasma.github.io/Logging_2083/kartor/A 25876-2026 karta.png", "A 25876-2026")</f>
        <v/>
      </c>
      <c r="X71">
        <f>HYPERLINK("https://klasma.github.io/Logging_2083/knärot/A 25876-2026 karta knärot.png", "A 25876-2026")</f>
        <v/>
      </c>
      <c r="Y71">
        <f>HYPERLINK("https://klasma.github.io/Logging_2083/klagomål/A 25876-2026 FSC-klagomål.docx", "A 25876-2026")</f>
        <v/>
      </c>
      <c r="Z71">
        <f>HYPERLINK("https://klasma.github.io/Logging_2083/klagomålsmail/A 25876-2026 FSC-klagomål mail.docx", "A 25876-2026")</f>
        <v/>
      </c>
      <c r="AA71">
        <f>HYPERLINK("https://klasma.github.io/Logging_2083/tillsyn/A 25876-2026 tillsynsbegäran.docx", "A 25876-2026")</f>
        <v/>
      </c>
      <c r="AB71">
        <f>HYPERLINK("https://klasma.github.io/Logging_2083/tillsynsmail/A 25876-2026 tillsynsbegäran mail.docx", "A 25876-2026")</f>
        <v/>
      </c>
    </row>
    <row r="72" ht="15" customHeight="1">
      <c r="A72" t="inlineStr">
        <is>
          <t>A 25338-2026</t>
        </is>
      </c>
      <c r="B72" t="inlineStr">
        <is>
          <t>avverkningsanmälan</t>
        </is>
      </c>
      <c r="C72" t="inlineStr">
        <is>
          <t>Föryngringsavverkning</t>
        </is>
      </c>
      <c r="D72" s="1" t="n">
        <v>46176</v>
      </c>
      <c r="E72" s="1" t="n">
        <v>46222</v>
      </c>
      <c r="F72" t="inlineStr">
        <is>
          <t>DALARNAS LÄN</t>
        </is>
      </c>
      <c r="G72" t="inlineStr">
        <is>
          <t>HEDEMORA</t>
        </is>
      </c>
      <c r="H72" t="inlineStr">
        <is>
          <t>Sveaskog</t>
        </is>
      </c>
      <c r="I72" t="n">
        <v>2.2</v>
      </c>
      <c r="J72" t="n">
        <v>2</v>
      </c>
      <c r="K72" t="n">
        <v>0</v>
      </c>
      <c r="L72" t="n">
        <v>0</v>
      </c>
      <c r="M72" t="n">
        <v>0</v>
      </c>
      <c r="N72" t="n">
        <v>0</v>
      </c>
      <c r="O72" t="n">
        <v>0</v>
      </c>
      <c r="P72" t="n">
        <v>0</v>
      </c>
      <c r="Q72" t="n">
        <v>0</v>
      </c>
      <c r="R72" t="n">
        <v>0</v>
      </c>
      <c r="S72" t="n">
        <v>2</v>
      </c>
      <c r="T72" t="n">
        <v>2</v>
      </c>
      <c r="U72" s="2" t="inlineStr">
        <is>
          <t>Åkergroda
Fläcknycklar</t>
        </is>
      </c>
      <c r="V72">
        <f>HYPERLINK("https://klasma.github.io/Logging_2083/artfynd/A 25338-2026 artfynd.xlsx", "A 25338-2026")</f>
        <v/>
      </c>
      <c r="W72">
        <f>HYPERLINK("https://klasma.github.io/Logging_2083/kartor/A 25338-2026 karta.png", "A 25338-2026")</f>
        <v/>
      </c>
      <c r="Y72">
        <f>HYPERLINK("https://klasma.github.io/Logging_2083/klagomål/A 25338-2026 FSC-klagomål.docx", "A 25338-2026")</f>
        <v/>
      </c>
      <c r="Z72">
        <f>HYPERLINK("https://klasma.github.io/Logging_2083/klagomålsmail/A 25338-2026 FSC-klagomål mail.docx", "A 25338-2026")</f>
        <v/>
      </c>
      <c r="AA72">
        <f>HYPERLINK("https://klasma.github.io/Logging_2083/tillsyn/A 25338-2026 tillsynsbegäran.docx", "A 25338-2026")</f>
        <v/>
      </c>
      <c r="AB72">
        <f>HYPERLINK("https://klasma.github.io/Logging_2083/tillsynsmail/A 25338-2026 tillsynsbegäran mail.docx", "A 25338-2026")</f>
        <v/>
      </c>
    </row>
    <row r="73" ht="15" customHeight="1">
      <c r="A73" t="inlineStr">
        <is>
          <t>S 931-2023</t>
        </is>
      </c>
      <c r="B73" t="inlineStr">
        <is>
          <t>samrådsanmälan</t>
        </is>
      </c>
      <c r="C73" t="inlineStr">
        <is>
          <t>Askåterföring</t>
        </is>
      </c>
      <c r="D73" s="1" t="n">
        <v>45001</v>
      </c>
      <c r="E73" s="1" t="n">
        <v>46222</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s="2" t="inlineStr">
        <is>
          <t>Garnlav
Vågbandad barkbock</t>
        </is>
      </c>
      <c r="V73">
        <f>HYPERLINK("https://klasma.github.io/Logging_2083/artfynd/S 931-2023 artfynd.xlsx", "S 931-2023")</f>
        <v/>
      </c>
      <c r="W73">
        <f>HYPERLINK("https://klasma.github.io/Logging_2083/kartor/S 931-2023 karta.png", "S 931-2023")</f>
        <v/>
      </c>
      <c r="Y73">
        <f>HYPERLINK("https://klasma.github.io/Logging_2083/klagomål/S 931-2023 FSC-klagomål.docx", "S 931-2023")</f>
        <v/>
      </c>
      <c r="Z73">
        <f>HYPERLINK("https://klasma.github.io/Logging_2083/klagomålsmail/S 931-2023 FSC-klagomål mail.docx", "S 931-2023")</f>
        <v/>
      </c>
      <c r="AA73">
        <f>HYPERLINK("https://klasma.github.io/Logging_2083/tillsyn/S 931-2023 tillsynsbegäran.docx", "S 931-2023")</f>
        <v/>
      </c>
      <c r="AB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46222</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s="2" t="inlineStr">
        <is>
          <t>Linmåra/småsnärjmåra
Motaggsvamp</t>
        </is>
      </c>
      <c r="V74">
        <f>HYPERLINK("https://klasma.github.io/Logging_2083/artfynd/S 10368-2021 artfynd.xlsx", "S 10368-2021")</f>
        <v/>
      </c>
      <c r="W74">
        <f>HYPERLINK("https://klasma.github.io/Logging_2083/kartor/S 10368-2021 karta.png", "S 10368-2021")</f>
        <v/>
      </c>
      <c r="Y74">
        <f>HYPERLINK("https://klasma.github.io/Logging_2083/klagomål/S 10368-2021 FSC-klagomål.docx", "S 10368-2021")</f>
        <v/>
      </c>
      <c r="Z74">
        <f>HYPERLINK("https://klasma.github.io/Logging_2083/klagomålsmail/S 10368-2021 FSC-klagomål mail.docx", "S 10368-2021")</f>
        <v/>
      </c>
      <c r="AA74">
        <f>HYPERLINK("https://klasma.github.io/Logging_2083/tillsyn/S 10368-2021 tillsynsbegäran.docx", "S 10368-2021")</f>
        <v/>
      </c>
      <c r="AB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46222</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s="2" t="inlineStr">
        <is>
          <t>Järpe
Tjäder</t>
        </is>
      </c>
      <c r="V75">
        <f>HYPERLINK("https://klasma.github.io/Logging_2083/artfynd/S 227-2024 artfynd.xlsx", "S 227-2024")</f>
        <v/>
      </c>
      <c r="W75">
        <f>HYPERLINK("https://klasma.github.io/Logging_2083/kartor/S 227-2024 karta.png", "S 227-2024")</f>
        <v/>
      </c>
      <c r="Y75">
        <f>HYPERLINK("https://klasma.github.io/Logging_2083/klagomål/S 227-2024 FSC-klagomål.docx", "S 227-2024")</f>
        <v/>
      </c>
      <c r="Z75">
        <f>HYPERLINK("https://klasma.github.io/Logging_2083/klagomålsmail/S 227-2024 FSC-klagomål mail.docx", "S 227-2024")</f>
        <v/>
      </c>
      <c r="AA75">
        <f>HYPERLINK("https://klasma.github.io/Logging_2083/tillsyn/S 227-2024 tillsynsbegäran.docx", "S 227-2024")</f>
        <v/>
      </c>
      <c r="AB75">
        <f>HYPERLINK("https://klasma.github.io/Logging_2083/tillsynsmail/S 227-2024 tillsynsbegäran mail.docx", "S 227-2024")</f>
        <v/>
      </c>
      <c r="AC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46222</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s="2" t="inlineStr">
        <is>
          <t>Talltita</t>
        </is>
      </c>
      <c r="V76">
        <f>HYPERLINK("https://klasma.github.io/Logging_2083/artfynd/A 53915-2022 artfynd.xlsx", "A 53915-2022")</f>
        <v/>
      </c>
      <c r="W76">
        <f>HYPERLINK("https://klasma.github.io/Logging_2083/kartor/A 53915-2022 karta.png", "A 53915-2022")</f>
        <v/>
      </c>
      <c r="Y76">
        <f>HYPERLINK("https://klasma.github.io/Logging_2083/klagomål/A 53915-2022 FSC-klagomål.docx", "A 53915-2022")</f>
        <v/>
      </c>
      <c r="Z76">
        <f>HYPERLINK("https://klasma.github.io/Logging_2083/klagomålsmail/A 53915-2022 FSC-klagomål mail.docx", "A 53915-2022")</f>
        <v/>
      </c>
      <c r="AA76">
        <f>HYPERLINK("https://klasma.github.io/Logging_2083/tillsyn/A 53915-2022 tillsynsbegäran.docx", "A 53915-2022")</f>
        <v/>
      </c>
      <c r="AB76">
        <f>HYPERLINK("https://klasma.github.io/Logging_2083/tillsynsmail/A 53915-2022 tillsynsbegäran mail.docx", "A 53915-2022")</f>
        <v/>
      </c>
      <c r="AC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46222</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s="2" t="inlineStr">
        <is>
          <t>Fläcknycklar</t>
        </is>
      </c>
      <c r="V77">
        <f>HYPERLINK("https://klasma.github.io/Logging_2083/artfynd/A 1666-2022 artfynd.xlsx", "A 1666-2022")</f>
        <v/>
      </c>
      <c r="W77">
        <f>HYPERLINK("https://klasma.github.io/Logging_2083/kartor/A 1666-2022 karta.png", "A 1666-2022")</f>
        <v/>
      </c>
      <c r="Y77">
        <f>HYPERLINK("https://klasma.github.io/Logging_2083/klagomål/A 1666-2022 FSC-klagomål.docx", "A 1666-2022")</f>
        <v/>
      </c>
      <c r="Z77">
        <f>HYPERLINK("https://klasma.github.io/Logging_2083/klagomålsmail/A 1666-2022 FSC-klagomål mail.docx", "A 1666-2022")</f>
        <v/>
      </c>
      <c r="AA77">
        <f>HYPERLINK("https://klasma.github.io/Logging_2083/tillsyn/A 1666-2022 tillsynsbegäran.docx", "A 1666-2022")</f>
        <v/>
      </c>
      <c r="AB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46222</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s="2" t="inlineStr">
        <is>
          <t>Spillkråka</t>
        </is>
      </c>
      <c r="V78">
        <f>HYPERLINK("https://klasma.github.io/Logging_2083/artfynd/A 53916-2022 artfynd.xlsx", "A 53916-2022")</f>
        <v/>
      </c>
      <c r="W78">
        <f>HYPERLINK("https://klasma.github.io/Logging_2083/kartor/A 53916-2022 karta.png", "A 53916-2022")</f>
        <v/>
      </c>
      <c r="Y78">
        <f>HYPERLINK("https://klasma.github.io/Logging_2083/klagomål/A 53916-2022 FSC-klagomål.docx", "A 53916-2022")</f>
        <v/>
      </c>
      <c r="Z78">
        <f>HYPERLINK("https://klasma.github.io/Logging_2083/klagomålsmail/A 53916-2022 FSC-klagomål mail.docx", "A 53916-2022")</f>
        <v/>
      </c>
      <c r="AA78">
        <f>HYPERLINK("https://klasma.github.io/Logging_2083/tillsyn/A 53916-2022 tillsynsbegäran.docx", "A 53916-2022")</f>
        <v/>
      </c>
      <c r="AB78">
        <f>HYPERLINK("https://klasma.github.io/Logging_2083/tillsynsmail/A 53916-2022 tillsynsbegäran mail.docx", "A 53916-2022")</f>
        <v/>
      </c>
      <c r="AC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46222</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s="2" t="inlineStr">
        <is>
          <t>Knärot</t>
        </is>
      </c>
      <c r="V79">
        <f>HYPERLINK("https://klasma.github.io/Logging_2083/artfynd/A 49889-2022 artfynd.xlsx", "A 49889-2022")</f>
        <v/>
      </c>
      <c r="W79">
        <f>HYPERLINK("https://klasma.github.io/Logging_2083/kartor/A 49889-2022 karta.png", "A 49889-2022")</f>
        <v/>
      </c>
      <c r="X79">
        <f>HYPERLINK("https://klasma.github.io/Logging_2083/knärot/A 49889-2022 karta knärot.png", "A 49889-2022")</f>
        <v/>
      </c>
      <c r="Y79">
        <f>HYPERLINK("https://klasma.github.io/Logging_2083/klagomål/A 49889-2022 FSC-klagomål.docx", "A 49889-2022")</f>
        <v/>
      </c>
      <c r="Z79">
        <f>HYPERLINK("https://klasma.github.io/Logging_2083/klagomålsmail/A 49889-2022 FSC-klagomål mail.docx", "A 49889-2022")</f>
        <v/>
      </c>
      <c r="AA79">
        <f>HYPERLINK("https://klasma.github.io/Logging_2083/tillsyn/A 49889-2022 tillsynsbegäran.docx", "A 49889-2022")</f>
        <v/>
      </c>
      <c r="AB79">
        <f>HYPERLINK("https://klasma.github.io/Logging_2083/tillsynsmail/A 49889-2022 tillsynsbegäran mail.docx", "A 49889-2022")</f>
        <v/>
      </c>
    </row>
    <row r="80" ht="15" customHeight="1">
      <c r="A80" t="inlineStr">
        <is>
          <t>A 63542-2023</t>
        </is>
      </c>
      <c r="B80" t="inlineStr">
        <is>
          <t>avverkningsanmälan</t>
        </is>
      </c>
      <c r="C80" t="inlineStr">
        <is>
          <t>Föryngringsavverkning</t>
        </is>
      </c>
      <c r="D80" s="1" t="n">
        <v>45275</v>
      </c>
      <c r="E80" s="1" t="n">
        <v>46222</v>
      </c>
      <c r="F80" t="inlineStr">
        <is>
          <t>DALARNAS LÄN</t>
        </is>
      </c>
      <c r="G80" t="inlineStr">
        <is>
          <t>HEDEMORA</t>
        </is>
      </c>
      <c r="I80" t="n">
        <v>2.1</v>
      </c>
      <c r="J80" t="n">
        <v>1</v>
      </c>
      <c r="K80" t="n">
        <v>0</v>
      </c>
      <c r="L80" t="n">
        <v>0</v>
      </c>
      <c r="M80" t="n">
        <v>0</v>
      </c>
      <c r="N80" t="n">
        <v>0</v>
      </c>
      <c r="O80" t="n">
        <v>0</v>
      </c>
      <c r="P80" t="n">
        <v>0</v>
      </c>
      <c r="Q80" t="n">
        <v>0</v>
      </c>
      <c r="R80" t="n">
        <v>0</v>
      </c>
      <c r="S80" t="n">
        <v>1</v>
      </c>
      <c r="T80" t="n">
        <v>1</v>
      </c>
      <c r="U80" s="2" t="inlineStr">
        <is>
          <t>Spillkråka</t>
        </is>
      </c>
      <c r="V80">
        <f>HYPERLINK("https://klasma.github.io/Logging_2083/artfynd/A 63542-2023 artfynd.xlsx", "A 63542-2023")</f>
        <v/>
      </c>
      <c r="W80">
        <f>HYPERLINK("https://klasma.github.io/Logging_2083/kartor/A 63542-2023 karta.png", "A 63542-2023")</f>
        <v/>
      </c>
      <c r="Y80">
        <f>HYPERLINK("https://klasma.github.io/Logging_2083/klagomål/A 63542-2023 FSC-klagomål.docx", "A 63542-2023")</f>
        <v/>
      </c>
      <c r="Z80">
        <f>HYPERLINK("https://klasma.github.io/Logging_2083/klagomålsmail/A 63542-2023 FSC-klagomål mail.docx", "A 63542-2023")</f>
        <v/>
      </c>
      <c r="AA80">
        <f>HYPERLINK("https://klasma.github.io/Logging_2083/tillsyn/A 63542-2023 tillsynsbegäran.docx", "A 63542-2023")</f>
        <v/>
      </c>
      <c r="AB80">
        <f>HYPERLINK("https://klasma.github.io/Logging_2083/tillsynsmail/A 63542-2023 tillsynsbegäran mail.docx", "A 63542-2023")</f>
        <v/>
      </c>
      <c r="AC80">
        <f>HYPERLINK("https://klasma.github.io/Logging_2083/fåglar/A 63542-2023 prioriterade fågelarter.docx", "A 63542-2023")</f>
        <v/>
      </c>
    </row>
    <row r="81" ht="15" customHeight="1">
      <c r="A81" t="inlineStr">
        <is>
          <t>A 62046-2022</t>
        </is>
      </c>
      <c r="B81" t="inlineStr">
        <is>
          <t>avverkningsanmälan</t>
        </is>
      </c>
      <c r="C81" t="inlineStr">
        <is>
          <t>Föryngringsavverkning</t>
        </is>
      </c>
      <c r="D81" s="1" t="n">
        <v>44918</v>
      </c>
      <c r="E81" s="1" t="n">
        <v>46222</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s="2" t="inlineStr">
        <is>
          <t>Vårärt</t>
        </is>
      </c>
      <c r="V81">
        <f>HYPERLINK("https://klasma.github.io/Logging_2083/artfynd/A 62046-2022 artfynd.xlsx", "A 62046-2022")</f>
        <v/>
      </c>
      <c r="W81">
        <f>HYPERLINK("https://klasma.github.io/Logging_2083/kartor/A 62046-2022 karta.png", "A 62046-2022")</f>
        <v/>
      </c>
      <c r="Y81">
        <f>HYPERLINK("https://klasma.github.io/Logging_2083/klagomål/A 62046-2022 FSC-klagomål.docx", "A 62046-2022")</f>
        <v/>
      </c>
      <c r="Z81">
        <f>HYPERLINK("https://klasma.github.io/Logging_2083/klagomålsmail/A 62046-2022 FSC-klagomål mail.docx", "A 62046-2022")</f>
        <v/>
      </c>
      <c r="AA81">
        <f>HYPERLINK("https://klasma.github.io/Logging_2083/tillsyn/A 62046-2022 tillsynsbegäran.docx", "A 62046-2022")</f>
        <v/>
      </c>
      <c r="AB81">
        <f>HYPERLINK("https://klasma.github.io/Logging_2083/tillsynsmail/A 62046-2022 tillsynsbegäran mail.docx", "A 62046-2022")</f>
        <v/>
      </c>
    </row>
    <row r="82" ht="15" customHeight="1">
      <c r="A82" t="inlineStr">
        <is>
          <t>A 28181-2025</t>
        </is>
      </c>
      <c r="B82" t="inlineStr">
        <is>
          <t>avverkningsanmälan</t>
        </is>
      </c>
      <c r="C82" t="inlineStr">
        <is>
          <t>Föryngringsavverkning</t>
        </is>
      </c>
      <c r="D82" s="1" t="n">
        <v>45818</v>
      </c>
      <c r="E82" s="1" t="n">
        <v>46222</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s="2" t="inlineStr">
        <is>
          <t>Plattlummer</t>
        </is>
      </c>
      <c r="V82">
        <f>HYPERLINK("https://klasma.github.io/Logging_2083/artfynd/A 28181-2025 artfynd.xlsx", "A 28181-2025")</f>
        <v/>
      </c>
      <c r="W82">
        <f>HYPERLINK("https://klasma.github.io/Logging_2083/kartor/A 28181-2025 karta.png", "A 28181-2025")</f>
        <v/>
      </c>
      <c r="Y82">
        <f>HYPERLINK("https://klasma.github.io/Logging_2083/klagomål/A 28181-2025 FSC-klagomål.docx", "A 28181-2025")</f>
        <v/>
      </c>
      <c r="Z82">
        <f>HYPERLINK("https://klasma.github.io/Logging_2083/klagomålsmail/A 28181-2025 FSC-klagomål mail.docx", "A 28181-2025")</f>
        <v/>
      </c>
      <c r="AA82">
        <f>HYPERLINK("https://klasma.github.io/Logging_2083/tillsyn/A 28181-2025 tillsynsbegäran.docx", "A 28181-2025")</f>
        <v/>
      </c>
      <c r="AB82">
        <f>HYPERLINK("https://klasma.github.io/Logging_2083/tillsynsmail/A 28181-2025 tillsynsbegäran mail.docx", "A 28181-2025")</f>
        <v/>
      </c>
    </row>
    <row r="83" ht="15" customHeight="1">
      <c r="A83" t="inlineStr">
        <is>
          <t>A 28183-2025</t>
        </is>
      </c>
      <c r="B83" t="inlineStr">
        <is>
          <t>avverkningsanmälan</t>
        </is>
      </c>
      <c r="C83" t="inlineStr">
        <is>
          <t>Föryngringsavverkning</t>
        </is>
      </c>
      <c r="D83" s="1" t="n">
        <v>45818</v>
      </c>
      <c r="E83" s="1" t="n">
        <v>46222</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s="2" t="inlineStr">
        <is>
          <t>Brunlångöra</t>
        </is>
      </c>
      <c r="V83">
        <f>HYPERLINK("https://klasma.github.io/Logging_2083/artfynd/A 28183-2025 artfynd.xlsx", "A 28183-2025")</f>
        <v/>
      </c>
      <c r="W83">
        <f>HYPERLINK("https://klasma.github.io/Logging_2083/kartor/A 28183-2025 karta.png", "A 28183-2025")</f>
        <v/>
      </c>
      <c r="Y83">
        <f>HYPERLINK("https://klasma.github.io/Logging_2083/klagomål/A 28183-2025 FSC-klagomål.docx", "A 28183-2025")</f>
        <v/>
      </c>
      <c r="Z83">
        <f>HYPERLINK("https://klasma.github.io/Logging_2083/klagomålsmail/A 28183-2025 FSC-klagomål mail.docx", "A 28183-2025")</f>
        <v/>
      </c>
      <c r="AA83">
        <f>HYPERLINK("https://klasma.github.io/Logging_2083/tillsyn/A 28183-2025 tillsynsbegäran.docx", "A 28183-2025")</f>
        <v/>
      </c>
      <c r="AB83">
        <f>HYPERLINK("https://klasma.github.io/Logging_2083/tillsynsmail/A 28183-2025 tillsynsbegäran mail.docx", "A 28183-2025")</f>
        <v/>
      </c>
    </row>
    <row r="84" ht="15" customHeight="1">
      <c r="A84" t="inlineStr">
        <is>
          <t>A 39396-2025</t>
        </is>
      </c>
      <c r="B84" t="inlineStr">
        <is>
          <t>avverkningsanmälan</t>
        </is>
      </c>
      <c r="C84" t="inlineStr">
        <is>
          <t>Föryngringsavverkning</t>
        </is>
      </c>
      <c r="D84" s="1" t="n">
        <v>45889</v>
      </c>
      <c r="E84" s="1" t="n">
        <v>46222</v>
      </c>
      <c r="F84" t="inlineStr">
        <is>
          <t>DALARNAS LÄN</t>
        </is>
      </c>
      <c r="G84" t="inlineStr">
        <is>
          <t>HEDEMORA</t>
        </is>
      </c>
      <c r="H84" t="inlineStr">
        <is>
          <t>Sveaskog</t>
        </is>
      </c>
      <c r="I84" t="n">
        <v>4.3</v>
      </c>
      <c r="J84" t="n">
        <v>1</v>
      </c>
      <c r="K84" t="n">
        <v>0</v>
      </c>
      <c r="L84" t="n">
        <v>0</v>
      </c>
      <c r="M84" t="n">
        <v>1</v>
      </c>
      <c r="N84" t="n">
        <v>0</v>
      </c>
      <c r="O84" t="n">
        <v>0</v>
      </c>
      <c r="P84" t="n">
        <v>0</v>
      </c>
      <c r="Q84" t="n">
        <v>1</v>
      </c>
      <c r="R84" t="n">
        <v>1</v>
      </c>
      <c r="S84" t="n">
        <v>1</v>
      </c>
      <c r="T84" t="n">
        <v>1</v>
      </c>
      <c r="U84" s="2" t="inlineStr">
        <is>
          <t>Knärot</t>
        </is>
      </c>
      <c r="V84">
        <f>HYPERLINK("https://klasma.github.io/Logging_2083/artfynd/A 39396-2025 artfynd.xlsx", "A 39396-2025")</f>
        <v/>
      </c>
      <c r="W84">
        <f>HYPERLINK("https://klasma.github.io/Logging_2083/kartor/A 39396-2025 karta.png", "A 39396-2025")</f>
        <v/>
      </c>
      <c r="X84">
        <f>HYPERLINK("https://klasma.github.io/Logging_2083/knärot/A 39396-2025 karta knärot.png", "A 39396-2025")</f>
        <v/>
      </c>
      <c r="Y84">
        <f>HYPERLINK("https://klasma.github.io/Logging_2083/klagomål/A 39396-2025 FSC-klagomål.docx", "A 39396-2025")</f>
        <v/>
      </c>
      <c r="Z84">
        <f>HYPERLINK("https://klasma.github.io/Logging_2083/klagomålsmail/A 39396-2025 FSC-klagomål mail.docx", "A 39396-2025")</f>
        <v/>
      </c>
      <c r="AA84">
        <f>HYPERLINK("https://klasma.github.io/Logging_2083/tillsyn/A 39396-2025 tillsynsbegäran.docx", "A 39396-2025")</f>
        <v/>
      </c>
      <c r="AB84">
        <f>HYPERLINK("https://klasma.github.io/Logging_2083/tillsynsmail/A 39396-2025 tillsynsbegäran mail.docx", "A 39396-2025")</f>
        <v/>
      </c>
    </row>
    <row r="85" ht="15" customHeight="1">
      <c r="A85" t="inlineStr">
        <is>
          <t>A 53031-2023</t>
        </is>
      </c>
      <c r="B85" t="inlineStr">
        <is>
          <t>avverkningsanmälan</t>
        </is>
      </c>
      <c r="C85" t="inlineStr">
        <is>
          <t>Föryngringsavverkning</t>
        </is>
      </c>
      <c r="D85" s="1" t="n">
        <v>45226</v>
      </c>
      <c r="E85" s="1" t="n">
        <v>46222</v>
      </c>
      <c r="F85" t="inlineStr">
        <is>
          <t>DALARNAS LÄN</t>
        </is>
      </c>
      <c r="G85" t="inlineStr">
        <is>
          <t>HEDEMORA</t>
        </is>
      </c>
      <c r="H85" t="inlineStr">
        <is>
          <t>Sveaskog</t>
        </is>
      </c>
      <c r="I85" t="n">
        <v>6.9</v>
      </c>
      <c r="J85" t="n">
        <v>1</v>
      </c>
      <c r="K85" t="n">
        <v>0</v>
      </c>
      <c r="L85" t="n">
        <v>1</v>
      </c>
      <c r="M85" t="n">
        <v>0</v>
      </c>
      <c r="N85" t="n">
        <v>0</v>
      </c>
      <c r="O85" t="n">
        <v>0</v>
      </c>
      <c r="P85" t="n">
        <v>0</v>
      </c>
      <c r="Q85" t="n">
        <v>1</v>
      </c>
      <c r="R85" t="n">
        <v>0</v>
      </c>
      <c r="S85" t="n">
        <v>1</v>
      </c>
      <c r="T85" t="n">
        <v>1</v>
      </c>
      <c r="U85" s="2" t="inlineStr">
        <is>
          <t>Talltita</t>
        </is>
      </c>
      <c r="V85">
        <f>HYPERLINK("https://klasma.github.io/Logging_2083/artfynd/A 53031-2023 artfynd.xlsx", "A 53031-2023")</f>
        <v/>
      </c>
      <c r="W85">
        <f>HYPERLINK("https://klasma.github.io/Logging_2083/kartor/A 53031-2023 karta.png", "A 53031-2023")</f>
        <v/>
      </c>
      <c r="Y85">
        <f>HYPERLINK("https://klasma.github.io/Logging_2083/klagomål/A 53031-2023 FSC-klagomål.docx", "A 53031-2023")</f>
        <v/>
      </c>
      <c r="Z85">
        <f>HYPERLINK("https://klasma.github.io/Logging_2083/klagomålsmail/A 53031-2023 FSC-klagomål mail.docx", "A 53031-2023")</f>
        <v/>
      </c>
      <c r="AA85">
        <f>HYPERLINK("https://klasma.github.io/Logging_2083/tillsyn/A 53031-2023 tillsynsbegäran.docx", "A 53031-2023")</f>
        <v/>
      </c>
      <c r="AB85">
        <f>HYPERLINK("https://klasma.github.io/Logging_2083/tillsynsmail/A 53031-2023 tillsynsbegäran mail.docx", "A 53031-2023")</f>
        <v/>
      </c>
      <c r="AC85">
        <f>HYPERLINK("https://klasma.github.io/Logging_2083/fåglar/A 53031-2023 prioriterade fågelarter.docx", "A 53031-2023")</f>
        <v/>
      </c>
    </row>
    <row r="86" ht="15" customHeight="1">
      <c r="A86" t="inlineStr">
        <is>
          <t>A 15036-2025</t>
        </is>
      </c>
      <c r="B86" t="inlineStr">
        <is>
          <t>avverkningsanmälan</t>
        </is>
      </c>
      <c r="C86" t="inlineStr">
        <is>
          <t>Föryngringsavverkning</t>
        </is>
      </c>
      <c r="D86" s="1" t="n">
        <v>45743</v>
      </c>
      <c r="E86" s="1" t="n">
        <v>46222</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s="2" t="inlineStr">
        <is>
          <t>Kolflarnlav</t>
        </is>
      </c>
      <c r="V86">
        <f>HYPERLINK("https://klasma.github.io/Logging_2083/artfynd/A 15036-2025 artfynd.xlsx", "A 15036-2025")</f>
        <v/>
      </c>
      <c r="W86">
        <f>HYPERLINK("https://klasma.github.io/Logging_2083/kartor/A 15036-2025 karta.png", "A 15036-2025")</f>
        <v/>
      </c>
      <c r="Y86">
        <f>HYPERLINK("https://klasma.github.io/Logging_2083/klagomål/A 15036-2025 FSC-klagomål.docx", "A 15036-2025")</f>
        <v/>
      </c>
      <c r="Z86">
        <f>HYPERLINK("https://klasma.github.io/Logging_2083/klagomålsmail/A 15036-2025 FSC-klagomål mail.docx", "A 15036-2025")</f>
        <v/>
      </c>
      <c r="AA86">
        <f>HYPERLINK("https://klasma.github.io/Logging_2083/tillsyn/A 15036-2025 tillsynsbegäran.docx", "A 15036-2025")</f>
        <v/>
      </c>
      <c r="AB86">
        <f>HYPERLINK("https://klasma.github.io/Logging_2083/tillsynsmail/A 15036-2025 tillsynsbegäran mail.docx", "A 15036-2025")</f>
        <v/>
      </c>
    </row>
    <row r="87" ht="15" customHeight="1">
      <c r="A87" t="inlineStr">
        <is>
          <t>A 15058-2025</t>
        </is>
      </c>
      <c r="B87" t="inlineStr">
        <is>
          <t>avverkningsanmälan</t>
        </is>
      </c>
      <c r="C87" t="inlineStr">
        <is>
          <t>Föryngringsavverkning</t>
        </is>
      </c>
      <c r="D87" s="1" t="n">
        <v>45743</v>
      </c>
      <c r="E87" s="1" t="n">
        <v>46222</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s="2" t="inlineStr">
        <is>
          <t>Dropptaggsvamp</t>
        </is>
      </c>
      <c r="V87">
        <f>HYPERLINK("https://klasma.github.io/Logging_2083/artfynd/A 15058-2025 artfynd.xlsx", "A 15058-2025")</f>
        <v/>
      </c>
      <c r="W87">
        <f>HYPERLINK("https://klasma.github.io/Logging_2083/kartor/A 15058-2025 karta.png", "A 15058-2025")</f>
        <v/>
      </c>
      <c r="Y87">
        <f>HYPERLINK("https://klasma.github.io/Logging_2083/klagomål/A 15058-2025 FSC-klagomål.docx", "A 15058-2025")</f>
        <v/>
      </c>
      <c r="Z87">
        <f>HYPERLINK("https://klasma.github.io/Logging_2083/klagomålsmail/A 15058-2025 FSC-klagomål mail.docx", "A 15058-2025")</f>
        <v/>
      </c>
      <c r="AA87">
        <f>HYPERLINK("https://klasma.github.io/Logging_2083/tillsyn/A 15058-2025 tillsynsbegäran.docx", "A 15058-2025")</f>
        <v/>
      </c>
      <c r="AB87">
        <f>HYPERLINK("https://klasma.github.io/Logging_2083/tillsynsmail/A 15058-2025 tillsynsbegäran mail.docx", "A 15058-2025")</f>
        <v/>
      </c>
    </row>
    <row r="88" ht="15" customHeight="1">
      <c r="A88" t="inlineStr">
        <is>
          <t>A 15054-2025</t>
        </is>
      </c>
      <c r="B88" t="inlineStr">
        <is>
          <t>avverkningsanmälan</t>
        </is>
      </c>
      <c r="C88" t="inlineStr">
        <is>
          <t>Föryngringsavverkning</t>
        </is>
      </c>
      <c r="D88" s="1" t="n">
        <v>45743</v>
      </c>
      <c r="E88" s="1" t="n">
        <v>46222</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s="2" t="inlineStr">
        <is>
          <t>Dropptaggsvamp</t>
        </is>
      </c>
      <c r="V88">
        <f>HYPERLINK("https://klasma.github.io/Logging_2083/artfynd/A 15054-2025 artfynd.xlsx", "A 15054-2025")</f>
        <v/>
      </c>
      <c r="W88">
        <f>HYPERLINK("https://klasma.github.io/Logging_2083/kartor/A 15054-2025 karta.png", "A 15054-2025")</f>
        <v/>
      </c>
      <c r="Y88">
        <f>HYPERLINK("https://klasma.github.io/Logging_2083/klagomål/A 15054-2025 FSC-klagomål.docx", "A 15054-2025")</f>
        <v/>
      </c>
      <c r="Z88">
        <f>HYPERLINK("https://klasma.github.io/Logging_2083/klagomålsmail/A 15054-2025 FSC-klagomål mail.docx", "A 15054-2025")</f>
        <v/>
      </c>
      <c r="AA88">
        <f>HYPERLINK("https://klasma.github.io/Logging_2083/tillsyn/A 15054-2025 tillsynsbegäran.docx", "A 15054-2025")</f>
        <v/>
      </c>
      <c r="AB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46222</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s="2" t="inlineStr">
        <is>
          <t>Plattlummer</t>
        </is>
      </c>
      <c r="V89">
        <f>HYPERLINK("https://klasma.github.io/Logging_2083/artfynd/A 19094-2025 artfynd.xlsx", "A 19094-2025")</f>
        <v/>
      </c>
      <c r="W89">
        <f>HYPERLINK("https://klasma.github.io/Logging_2083/kartor/A 19094-2025 karta.png", "A 19094-2025")</f>
        <v/>
      </c>
      <c r="Y89">
        <f>HYPERLINK("https://klasma.github.io/Logging_2083/klagomål/A 19094-2025 FSC-klagomål.docx", "A 19094-2025")</f>
        <v/>
      </c>
      <c r="Z89">
        <f>HYPERLINK("https://klasma.github.io/Logging_2083/klagomålsmail/A 19094-2025 FSC-klagomål mail.docx", "A 19094-2025")</f>
        <v/>
      </c>
      <c r="AA89">
        <f>HYPERLINK("https://klasma.github.io/Logging_2083/tillsyn/A 19094-2025 tillsynsbegäran.docx", "A 19094-2025")</f>
        <v/>
      </c>
      <c r="AB89">
        <f>HYPERLINK("https://klasma.github.io/Logging_2083/tillsynsmail/A 19094-2025 tillsynsbegäran mail.docx", "A 19094-2025")</f>
        <v/>
      </c>
    </row>
    <row r="90" ht="15" customHeight="1">
      <c r="A90" t="inlineStr">
        <is>
          <t>A 52941-2024</t>
        </is>
      </c>
      <c r="B90" t="inlineStr">
        <is>
          <t>avverkningsanmälan</t>
        </is>
      </c>
      <c r="C90" t="inlineStr">
        <is>
          <t>Föryngringsavverkning</t>
        </is>
      </c>
      <c r="D90" s="1" t="n">
        <v>45610</v>
      </c>
      <c r="E90" s="1" t="n">
        <v>46222</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s="2" t="inlineStr">
        <is>
          <t>Knärot</t>
        </is>
      </c>
      <c r="V90">
        <f>HYPERLINK("https://klasma.github.io/Logging_2083/artfynd/A 52941-2024 artfynd.xlsx", "A 52941-2024")</f>
        <v/>
      </c>
      <c r="W90">
        <f>HYPERLINK("https://klasma.github.io/Logging_2083/kartor/A 52941-2024 karta.png", "A 52941-2024")</f>
        <v/>
      </c>
      <c r="X90">
        <f>HYPERLINK("https://klasma.github.io/Logging_2083/knärot/A 52941-2024 karta knärot.png", "A 52941-2024")</f>
        <v/>
      </c>
      <c r="Y90">
        <f>HYPERLINK("https://klasma.github.io/Logging_2083/klagomål/A 52941-2024 FSC-klagomål.docx", "A 52941-2024")</f>
        <v/>
      </c>
      <c r="Z90">
        <f>HYPERLINK("https://klasma.github.io/Logging_2083/klagomålsmail/A 52941-2024 FSC-klagomål mail.docx", "A 52941-2024")</f>
        <v/>
      </c>
      <c r="AA90">
        <f>HYPERLINK("https://klasma.github.io/Logging_2083/tillsyn/A 52941-2024 tillsynsbegäran.docx", "A 52941-2024")</f>
        <v/>
      </c>
      <c r="AB90">
        <f>HYPERLINK("https://klasma.github.io/Logging_2083/tillsynsmail/A 52941-2024 tillsynsbegäran mail.docx", "A 52941-2024")</f>
        <v/>
      </c>
    </row>
    <row r="91" ht="15" customHeight="1">
      <c r="A91" t="inlineStr">
        <is>
          <t>A 33968-2025</t>
        </is>
      </c>
      <c r="B91" t="inlineStr">
        <is>
          <t>avverkningsanmälan</t>
        </is>
      </c>
      <c r="C91" t="inlineStr">
        <is>
          <t>Föryngringsavverkning</t>
        </is>
      </c>
      <c r="D91" s="1" t="n">
        <v>45842</v>
      </c>
      <c r="E91" s="1" t="n">
        <v>46222</v>
      </c>
      <c r="F91" t="inlineStr">
        <is>
          <t>DALARNAS LÄN</t>
        </is>
      </c>
      <c r="G91" t="inlineStr">
        <is>
          <t>HEDEMORA</t>
        </is>
      </c>
      <c r="H91" t="inlineStr">
        <is>
          <t>Sveaskog</t>
        </is>
      </c>
      <c r="I91" t="n">
        <v>1.6</v>
      </c>
      <c r="J91" t="n">
        <v>1</v>
      </c>
      <c r="K91" t="n">
        <v>1</v>
      </c>
      <c r="L91" t="n">
        <v>0</v>
      </c>
      <c r="M91" t="n">
        <v>0</v>
      </c>
      <c r="N91" t="n">
        <v>0</v>
      </c>
      <c r="O91" t="n">
        <v>0</v>
      </c>
      <c r="P91" t="n">
        <v>0</v>
      </c>
      <c r="Q91" t="n">
        <v>0</v>
      </c>
      <c r="R91" t="n">
        <v>0</v>
      </c>
      <c r="S91" t="n">
        <v>1</v>
      </c>
      <c r="T91" t="n">
        <v>2</v>
      </c>
      <c r="U91" s="2" t="inlineStr">
        <is>
          <t>Plattlummer</t>
        </is>
      </c>
      <c r="V91">
        <f>HYPERLINK("https://klasma.github.io/Logging_2083/artfynd/A 33968-2025 artfynd.xlsx", "A 33968-2025")</f>
        <v/>
      </c>
      <c r="W91">
        <f>HYPERLINK("https://klasma.github.io/Logging_2083/kartor/A 33968-2025 karta.png", "A 33968-2025")</f>
        <v/>
      </c>
      <c r="Y91">
        <f>HYPERLINK("https://klasma.github.io/Logging_2083/klagomål/A 33968-2025 FSC-klagomål.docx", "A 33968-2025")</f>
        <v/>
      </c>
      <c r="Z91">
        <f>HYPERLINK("https://klasma.github.io/Logging_2083/klagomålsmail/A 33968-2025 FSC-klagomål mail.docx", "A 33968-2025")</f>
        <v/>
      </c>
      <c r="AA91">
        <f>HYPERLINK("https://klasma.github.io/Logging_2083/tillsyn/A 33968-2025 tillsynsbegäran.docx", "A 33968-2025")</f>
        <v/>
      </c>
      <c r="AB91">
        <f>HYPERLINK("https://klasma.github.io/Logging_2083/tillsynsmail/A 33968-2025 tillsynsbegäran mail.docx", "A 33968-2025")</f>
        <v/>
      </c>
    </row>
    <row r="92" ht="15" customHeight="1">
      <c r="A92" t="inlineStr">
        <is>
          <t>A 7719-2026</t>
        </is>
      </c>
      <c r="B92" t="inlineStr">
        <is>
          <t>avverkningsanmälan</t>
        </is>
      </c>
      <c r="C92" t="inlineStr">
        <is>
          <t>Föryngringsavverkning</t>
        </is>
      </c>
      <c r="D92" s="1" t="n">
        <v>46062</v>
      </c>
      <c r="E92" s="1" t="n">
        <v>46222</v>
      </c>
      <c r="F92" t="inlineStr">
        <is>
          <t>DALARNAS LÄN</t>
        </is>
      </c>
      <c r="G92" t="inlineStr">
        <is>
          <t>HEDEMORA</t>
        </is>
      </c>
      <c r="I92" t="n">
        <v>1.1</v>
      </c>
      <c r="J92" t="n">
        <v>0</v>
      </c>
      <c r="K92" t="n">
        <v>1</v>
      </c>
      <c r="L92" t="n">
        <v>0</v>
      </c>
      <c r="M92" t="n">
        <v>0</v>
      </c>
      <c r="N92" t="n">
        <v>0</v>
      </c>
      <c r="O92" t="n">
        <v>0</v>
      </c>
      <c r="P92" t="n">
        <v>0</v>
      </c>
      <c r="Q92" t="n">
        <v>0</v>
      </c>
      <c r="R92" t="n">
        <v>0</v>
      </c>
      <c r="S92" t="n">
        <v>1</v>
      </c>
      <c r="T92" t="n">
        <v>1</v>
      </c>
      <c r="U92" s="2" t="inlineStr">
        <is>
          <t>Bronshjon</t>
        </is>
      </c>
      <c r="V92">
        <f>HYPERLINK("https://klasma.github.io/Logging_2083/artfynd/A 7719-2026 artfynd.xlsx", "A 7719-2026")</f>
        <v/>
      </c>
      <c r="W92">
        <f>HYPERLINK("https://klasma.github.io/Logging_2083/kartor/A 7719-2026 karta.png", "A 7719-2026")</f>
        <v/>
      </c>
      <c r="X92">
        <f>HYPERLINK("https://klasma.github.io/Logging_2083/knärot/A 7719-2026 karta knärot.png", "A 7719-2026")</f>
        <v/>
      </c>
      <c r="Y92">
        <f>HYPERLINK("https://klasma.github.io/Logging_2083/klagomål/A 7719-2026 FSC-klagomål.docx", "A 7719-2026")</f>
        <v/>
      </c>
      <c r="Z92">
        <f>HYPERLINK("https://klasma.github.io/Logging_2083/klagomålsmail/A 7719-2026 FSC-klagomål mail.docx", "A 7719-2026")</f>
        <v/>
      </c>
      <c r="AA92">
        <f>HYPERLINK("https://klasma.github.io/Logging_2083/tillsyn/A 7719-2026 tillsynsbegäran.docx", "A 7719-2026")</f>
        <v/>
      </c>
      <c r="AB92">
        <f>HYPERLINK("https://klasma.github.io/Logging_2083/tillsynsmail/A 7719-2026 tillsynsbegäran mail.docx", "A 7719-2026")</f>
        <v/>
      </c>
    </row>
    <row r="93" ht="15" customHeight="1">
      <c r="A93" t="inlineStr">
        <is>
          <t>A 21514-2024</t>
        </is>
      </c>
      <c r="B93" t="inlineStr">
        <is>
          <t>avverkningsanmälan</t>
        </is>
      </c>
      <c r="C93" t="inlineStr">
        <is>
          <t>Föryngringsavverkning</t>
        </is>
      </c>
      <c r="D93" s="1" t="n">
        <v>45441</v>
      </c>
      <c r="E93" s="1" t="n">
        <v>46222</v>
      </c>
      <c r="F93" t="inlineStr">
        <is>
          <t>DALARNAS LÄN</t>
        </is>
      </c>
      <c r="G93" t="inlineStr">
        <is>
          <t>HEDEMORA</t>
        </is>
      </c>
      <c r="I93" t="n">
        <v>1.5</v>
      </c>
      <c r="J93" t="n">
        <v>0</v>
      </c>
      <c r="K93" t="n">
        <v>0</v>
      </c>
      <c r="L93" t="n">
        <v>0</v>
      </c>
      <c r="M93" t="n">
        <v>1</v>
      </c>
      <c r="N93" t="n">
        <v>0</v>
      </c>
      <c r="O93" t="n">
        <v>0</v>
      </c>
      <c r="P93" t="n">
        <v>0</v>
      </c>
      <c r="Q93" t="n">
        <v>1</v>
      </c>
      <c r="R93" t="n">
        <v>1</v>
      </c>
      <c r="S93" t="n">
        <v>1</v>
      </c>
      <c r="T93" t="n">
        <v>1</v>
      </c>
      <c r="U93" s="2" t="inlineStr">
        <is>
          <t>Igelkott</t>
        </is>
      </c>
      <c r="V93">
        <f>HYPERLINK("https://klasma.github.io/Logging_2083/artfynd/A 21514-2024 artfynd.xlsx", "A 21514-2024")</f>
        <v/>
      </c>
      <c r="W93">
        <f>HYPERLINK("https://klasma.github.io/Logging_2083/kartor/A 21514-2024 karta.png", "A 21514-2024")</f>
        <v/>
      </c>
      <c r="Y93">
        <f>HYPERLINK("https://klasma.github.io/Logging_2083/klagomål/A 21514-2024 FSC-klagomål.docx", "A 21514-2024")</f>
        <v/>
      </c>
      <c r="Z93">
        <f>HYPERLINK("https://klasma.github.io/Logging_2083/klagomålsmail/A 21514-2024 FSC-klagomål mail.docx", "A 21514-2024")</f>
        <v/>
      </c>
      <c r="AA93">
        <f>HYPERLINK("https://klasma.github.io/Logging_2083/tillsyn/A 21514-2024 tillsynsbegäran.docx", "A 21514-2024")</f>
        <v/>
      </c>
      <c r="AB93">
        <f>HYPERLINK("https://klasma.github.io/Logging_2083/tillsynsmail/A 21514-2024 tillsynsbegäran mail.docx", "A 21514-2024")</f>
        <v/>
      </c>
    </row>
    <row r="94" ht="15" customHeight="1">
      <c r="A94" t="inlineStr">
        <is>
          <t>A 13986-2023</t>
        </is>
      </c>
      <c r="B94" t="inlineStr">
        <is>
          <t>avverkningsanmälan</t>
        </is>
      </c>
      <c r="C94" t="inlineStr">
        <is>
          <t>Föryngringsavverkning</t>
        </is>
      </c>
      <c r="D94" s="1" t="n">
        <v>45008</v>
      </c>
      <c r="E94" s="1" t="n">
        <v>46222</v>
      </c>
      <c r="F94" t="inlineStr">
        <is>
          <t>DALARNAS LÄN</t>
        </is>
      </c>
      <c r="G94" t="inlineStr">
        <is>
          <t>HEDEMORA</t>
        </is>
      </c>
      <c r="I94" t="n">
        <v>0.8</v>
      </c>
      <c r="J94" t="n">
        <v>1</v>
      </c>
      <c r="K94" t="n">
        <v>0</v>
      </c>
      <c r="L94" t="n">
        <v>0</v>
      </c>
      <c r="M94" t="n">
        <v>1</v>
      </c>
      <c r="N94" t="n">
        <v>0</v>
      </c>
      <c r="O94" t="n">
        <v>0</v>
      </c>
      <c r="P94" t="n">
        <v>0</v>
      </c>
      <c r="Q94" t="n">
        <v>1</v>
      </c>
      <c r="R94" t="n">
        <v>1</v>
      </c>
      <c r="S94" t="n">
        <v>1</v>
      </c>
      <c r="T94" t="n">
        <v>1</v>
      </c>
      <c r="U94" s="2" t="inlineStr">
        <is>
          <t>Knärot</t>
        </is>
      </c>
      <c r="V94">
        <f>HYPERLINK("https://klasma.github.io/Logging_2083/artfynd/A 13986-2023 artfynd.xlsx", "A 13986-2023")</f>
        <v/>
      </c>
      <c r="W94">
        <f>HYPERLINK("https://klasma.github.io/Logging_2083/kartor/A 13986-2023 karta.png", "A 13986-2023")</f>
        <v/>
      </c>
      <c r="X94">
        <f>HYPERLINK("https://klasma.github.io/Logging_2083/knärot/A 13986-2023 karta knärot.png", "A 13986-2023")</f>
        <v/>
      </c>
      <c r="Y94">
        <f>HYPERLINK("https://klasma.github.io/Logging_2083/klagomål/A 13986-2023 FSC-klagomål.docx", "A 13986-2023")</f>
        <v/>
      </c>
      <c r="Z94">
        <f>HYPERLINK("https://klasma.github.io/Logging_2083/klagomålsmail/A 13986-2023 FSC-klagomål mail.docx", "A 13986-2023")</f>
        <v/>
      </c>
      <c r="AA94">
        <f>HYPERLINK("https://klasma.github.io/Logging_2083/tillsyn/A 13986-2023 tillsynsbegäran.docx", "A 13986-2023")</f>
        <v/>
      </c>
      <c r="AB94">
        <f>HYPERLINK("https://klasma.github.io/Logging_2083/tillsynsmail/A 13986-2023 tillsynsbegäran mail.docx", "A 13986-2023")</f>
        <v/>
      </c>
    </row>
    <row r="95" ht="15" customHeight="1">
      <c r="A95" t="inlineStr">
        <is>
          <t>A 17590-2025</t>
        </is>
      </c>
      <c r="B95" t="inlineStr">
        <is>
          <t>avverkningsanmälan</t>
        </is>
      </c>
      <c r="C95" t="inlineStr">
        <is>
          <t>Föryngringsavverkning</t>
        </is>
      </c>
      <c r="D95" s="1" t="n">
        <v>45757</v>
      </c>
      <c r="E95" s="1" t="n">
        <v>46222</v>
      </c>
      <c r="F95" t="inlineStr">
        <is>
          <t>DALARNAS LÄN</t>
        </is>
      </c>
      <c r="G95" t="inlineStr">
        <is>
          <t>HEDEMORA</t>
        </is>
      </c>
      <c r="I95" t="n">
        <v>0.6</v>
      </c>
      <c r="J95" t="n">
        <v>0</v>
      </c>
      <c r="K95" t="n">
        <v>0</v>
      </c>
      <c r="L95" t="n">
        <v>0</v>
      </c>
      <c r="M95" t="n">
        <v>1</v>
      </c>
      <c r="N95" t="n">
        <v>0</v>
      </c>
      <c r="O95" t="n">
        <v>0</v>
      </c>
      <c r="P95" t="n">
        <v>0</v>
      </c>
      <c r="Q95" t="n">
        <v>1</v>
      </c>
      <c r="R95" t="n">
        <v>1</v>
      </c>
      <c r="S95" t="n">
        <v>1</v>
      </c>
      <c r="T95" t="n">
        <v>1</v>
      </c>
      <c r="U95" s="2" t="inlineStr">
        <is>
          <t>Garnlav</t>
        </is>
      </c>
      <c r="V95">
        <f>HYPERLINK("https://klasma.github.io/Logging_2083/artfynd/A 17590-2025 artfynd.xlsx", "A 17590-2025")</f>
        <v/>
      </c>
      <c r="W95">
        <f>HYPERLINK("https://klasma.github.io/Logging_2083/kartor/A 17590-2025 karta.png", "A 17590-2025")</f>
        <v/>
      </c>
      <c r="Y95">
        <f>HYPERLINK("https://klasma.github.io/Logging_2083/klagomål/A 17590-2025 FSC-klagomål.docx", "A 17590-2025")</f>
        <v/>
      </c>
      <c r="Z95">
        <f>HYPERLINK("https://klasma.github.io/Logging_2083/klagomålsmail/A 17590-2025 FSC-klagomål mail.docx", "A 17590-2025")</f>
        <v/>
      </c>
      <c r="AA95">
        <f>HYPERLINK("https://klasma.github.io/Logging_2083/tillsyn/A 17590-2025 tillsynsbegäran.docx", "A 17590-2025")</f>
        <v/>
      </c>
      <c r="AB95">
        <f>HYPERLINK("https://klasma.github.io/Logging_2083/tillsynsmail/A 17590-2025 tillsynsbegäran mail.docx", "A 17590-2025")</f>
        <v/>
      </c>
    </row>
    <row r="96" ht="15" customHeight="1">
      <c r="A96" t="inlineStr">
        <is>
          <t>A 51111-2021</t>
        </is>
      </c>
      <c r="B96" t="inlineStr">
        <is>
          <t>avverkningsanmälan</t>
        </is>
      </c>
      <c r="C96" t="inlineStr">
        <is>
          <t>Föryngringsavverkning</t>
        </is>
      </c>
      <c r="D96" s="1" t="n">
        <v>44461</v>
      </c>
      <c r="E96" s="1" t="n">
        <v>46222</v>
      </c>
      <c r="F96" t="inlineStr">
        <is>
          <t>DALARNAS LÄN</t>
        </is>
      </c>
      <c r="G96" t="inlineStr">
        <is>
          <t>HEDEMORA</t>
        </is>
      </c>
      <c r="I96" t="n">
        <v>0.9</v>
      </c>
      <c r="J96" t="n">
        <v>1</v>
      </c>
      <c r="K96" t="n">
        <v>0</v>
      </c>
      <c r="L96" t="n">
        <v>0</v>
      </c>
      <c r="M96" t="n">
        <v>1</v>
      </c>
      <c r="N96" t="n">
        <v>0</v>
      </c>
      <c r="O96" t="n">
        <v>0</v>
      </c>
      <c r="P96" t="n">
        <v>0</v>
      </c>
      <c r="Q96" t="n">
        <v>1</v>
      </c>
      <c r="R96" t="n">
        <v>1</v>
      </c>
      <c r="S96" t="n">
        <v>1</v>
      </c>
      <c r="T96" t="n">
        <v>8</v>
      </c>
      <c r="U96" s="2" t="inlineStr">
        <is>
          <t>Knärot</t>
        </is>
      </c>
      <c r="V96">
        <f>HYPERLINK("https://klasma.github.io/Logging_2083/artfynd/A 51111-2021 artfynd.xlsx", "A 51111-2021")</f>
        <v/>
      </c>
      <c r="W96">
        <f>HYPERLINK("https://klasma.github.io/Logging_2083/kartor/A 51111-2021 karta.png", "A 51111-2021")</f>
        <v/>
      </c>
      <c r="X96">
        <f>HYPERLINK("https://klasma.github.io/Logging_2083/knärot/A 51111-2021 karta knärot.png", "A 51111-2021")</f>
        <v/>
      </c>
      <c r="Y96">
        <f>HYPERLINK("https://klasma.github.io/Logging_2083/klagomål/A 51111-2021 FSC-klagomål.docx", "A 51111-2021")</f>
        <v/>
      </c>
      <c r="Z96">
        <f>HYPERLINK("https://klasma.github.io/Logging_2083/klagomålsmail/A 51111-2021 FSC-klagomål mail.docx", "A 51111-2021")</f>
        <v/>
      </c>
      <c r="AA96">
        <f>HYPERLINK("https://klasma.github.io/Logging_2083/tillsyn/A 51111-2021 tillsynsbegäran.docx", "A 51111-2021")</f>
        <v/>
      </c>
      <c r="AB96">
        <f>HYPERLINK("https://klasma.github.io/Logging_2083/tillsynsmail/A 51111-2021 tillsynsbegäran mail.docx", "A 51111-2021")</f>
        <v/>
      </c>
    </row>
    <row r="97" ht="15" customHeight="1">
      <c r="A97" t="inlineStr">
        <is>
          <t>A 17645-2022</t>
        </is>
      </c>
      <c r="B97" t="inlineStr">
        <is>
          <t>avverkningsanmälan</t>
        </is>
      </c>
      <c r="C97" t="inlineStr">
        <is>
          <t>Föryngringsavverkning</t>
        </is>
      </c>
      <c r="D97" s="1" t="n">
        <v>44680</v>
      </c>
      <c r="E97" s="1" t="n">
        <v>46222</v>
      </c>
      <c r="F97" t="inlineStr">
        <is>
          <t>DALARNAS LÄN</t>
        </is>
      </c>
      <c r="G97" t="inlineStr">
        <is>
          <t>HEDEMORA</t>
        </is>
      </c>
      <c r="I97" t="n">
        <v>1.3</v>
      </c>
      <c r="J97" t="n">
        <v>0</v>
      </c>
      <c r="K97" t="n">
        <v>0</v>
      </c>
      <c r="L97" t="n">
        <v>0</v>
      </c>
      <c r="M97" t="n">
        <v>0</v>
      </c>
      <c r="N97" t="n">
        <v>1</v>
      </c>
      <c r="O97" t="n">
        <v>0</v>
      </c>
      <c r="P97" t="n">
        <v>0</v>
      </c>
      <c r="Q97" t="n">
        <v>1</v>
      </c>
      <c r="R97" t="n">
        <v>1</v>
      </c>
      <c r="S97" t="n">
        <v>1</v>
      </c>
      <c r="T97" t="n">
        <v>1</v>
      </c>
      <c r="U97" s="2" t="inlineStr">
        <is>
          <t>Ask</t>
        </is>
      </c>
      <c r="V97">
        <f>HYPERLINK("https://klasma.github.io/Logging_2083/artfynd/A 17645-2022 artfynd.xlsx", "A 17645-2022")</f>
        <v/>
      </c>
      <c r="W97">
        <f>HYPERLINK("https://klasma.github.io/Logging_2083/kartor/A 17645-2022 karta.png", "A 17645-2022")</f>
        <v/>
      </c>
      <c r="Y97">
        <f>HYPERLINK("https://klasma.github.io/Logging_2083/klagomål/A 17645-2022 FSC-klagomål.docx", "A 17645-2022")</f>
        <v/>
      </c>
      <c r="Z97">
        <f>HYPERLINK("https://klasma.github.io/Logging_2083/klagomålsmail/A 17645-2022 FSC-klagomål mail.docx", "A 17645-2022")</f>
        <v/>
      </c>
      <c r="AA97">
        <f>HYPERLINK("https://klasma.github.io/Logging_2083/tillsyn/A 17645-2022 tillsynsbegäran.docx", "A 17645-2022")</f>
        <v/>
      </c>
      <c r="AB97">
        <f>HYPERLINK("https://klasma.github.io/Logging_2083/tillsynsmail/A 17645-2022 tillsynsbegäran mail.docx", "A 17645-2022")</f>
        <v/>
      </c>
    </row>
    <row r="98" ht="15" customHeight="1">
      <c r="A98" t="inlineStr">
        <is>
          <t>A 15274-2026</t>
        </is>
      </c>
      <c r="B98" t="inlineStr">
        <is>
          <t>avverkningsanmälan</t>
        </is>
      </c>
      <c r="C98" t="inlineStr">
        <is>
          <t>Föryngringsavverkning</t>
        </is>
      </c>
      <c r="D98" s="1" t="n">
        <v>46105</v>
      </c>
      <c r="E98" s="1" t="n">
        <v>46222</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s="2" t="inlineStr">
        <is>
          <t>Ullticka</t>
        </is>
      </c>
      <c r="V98">
        <f>HYPERLINK("https://klasma.github.io/Logging_2083/artfynd/A 15274-2026 artfynd.xlsx", "A 15274-2026")</f>
        <v/>
      </c>
      <c r="W98">
        <f>HYPERLINK("https://klasma.github.io/Logging_2083/kartor/A 15274-2026 karta.png", "A 15274-2026")</f>
        <v/>
      </c>
      <c r="Y98">
        <f>HYPERLINK("https://klasma.github.io/Logging_2083/klagomål/A 15274-2026 FSC-klagomål.docx", "A 15274-2026")</f>
        <v/>
      </c>
      <c r="Z98">
        <f>HYPERLINK("https://klasma.github.io/Logging_2083/klagomålsmail/A 15274-2026 FSC-klagomål mail.docx", "A 15274-2026")</f>
        <v/>
      </c>
      <c r="AA98">
        <f>HYPERLINK("https://klasma.github.io/Logging_2083/tillsyn/A 15274-2026 tillsynsbegäran.docx", "A 15274-2026")</f>
        <v/>
      </c>
      <c r="AB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46222</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s="2" t="inlineStr">
        <is>
          <t>Nordfladdermus</t>
        </is>
      </c>
      <c r="V99">
        <f>HYPERLINK("https://klasma.github.io/Logging_2083/artfynd/A 21029-2026 artfynd.xlsx", "A 21029-2026")</f>
        <v/>
      </c>
      <c r="W99">
        <f>HYPERLINK("https://klasma.github.io/Logging_2083/kartor/A 21029-2026 karta.png", "A 21029-2026")</f>
        <v/>
      </c>
      <c r="Y99">
        <f>HYPERLINK("https://klasma.github.io/Logging_2083/klagomål/A 21029-2026 FSC-klagomål.docx", "A 21029-2026")</f>
        <v/>
      </c>
      <c r="Z99">
        <f>HYPERLINK("https://klasma.github.io/Logging_2083/klagomålsmail/A 21029-2026 FSC-klagomål mail.docx", "A 21029-2026")</f>
        <v/>
      </c>
      <c r="AA99">
        <f>HYPERLINK("https://klasma.github.io/Logging_2083/tillsyn/A 21029-2026 tillsynsbegäran.docx", "A 21029-2026")</f>
        <v/>
      </c>
      <c r="AB99">
        <f>HYPERLINK("https://klasma.github.io/Logging_2083/tillsynsmail/A 21029-2026 tillsynsbegäran mail.docx", "A 21029-2026")</f>
        <v/>
      </c>
    </row>
    <row r="100" ht="15" customHeight="1">
      <c r="A100" t="inlineStr">
        <is>
          <t>A 18572-2025</t>
        </is>
      </c>
      <c r="B100" t="inlineStr">
        <is>
          <t>avverkningsanmälan</t>
        </is>
      </c>
      <c r="C100" t="inlineStr">
        <is>
          <t>Avverkning för annat ändamål</t>
        </is>
      </c>
      <c r="D100" s="1" t="n">
        <v>45763</v>
      </c>
      <c r="E100" s="1" t="n">
        <v>46222</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s="2" t="inlineStr">
        <is>
          <t>Vedskivlav</t>
        </is>
      </c>
      <c r="V100">
        <f>HYPERLINK("https://klasma.github.io/Logging_2083/artfynd/A 18572-2025 artfynd.xlsx", "A 18572-2025")</f>
        <v/>
      </c>
      <c r="W100">
        <f>HYPERLINK("https://klasma.github.io/Logging_2083/kartor/A 18572-2025 karta.png", "A 18572-2025")</f>
        <v/>
      </c>
      <c r="Y100">
        <f>HYPERLINK("https://klasma.github.io/Logging_2083/klagomål/A 18572-2025 FSC-klagomål.docx", "A 18572-2025")</f>
        <v/>
      </c>
      <c r="Z100">
        <f>HYPERLINK("https://klasma.github.io/Logging_2083/klagomålsmail/A 18572-2025 FSC-klagomål mail.docx", "A 18572-2025")</f>
        <v/>
      </c>
      <c r="AA100">
        <f>HYPERLINK("https://klasma.github.io/Logging_2083/tillsyn/A 18572-2025 tillsynsbegäran.docx", "A 18572-2025")</f>
        <v/>
      </c>
      <c r="AB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46222</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s="2" t="inlineStr">
        <is>
          <t>Plattlummer</t>
        </is>
      </c>
      <c r="V101">
        <f>HYPERLINK("https://klasma.github.io/Logging_2083/artfynd/A 53924-2024 artfynd.xlsx", "A 53924-2024")</f>
        <v/>
      </c>
      <c r="W101">
        <f>HYPERLINK("https://klasma.github.io/Logging_2083/kartor/A 53924-2024 karta.png", "A 53924-2024")</f>
        <v/>
      </c>
      <c r="Y101">
        <f>HYPERLINK("https://klasma.github.io/Logging_2083/klagomål/A 53924-2024 FSC-klagomål.docx", "A 53924-2024")</f>
        <v/>
      </c>
      <c r="Z101">
        <f>HYPERLINK("https://klasma.github.io/Logging_2083/klagomålsmail/A 53924-2024 FSC-klagomål mail.docx", "A 53924-2024")</f>
        <v/>
      </c>
      <c r="AA101">
        <f>HYPERLINK("https://klasma.github.io/Logging_2083/tillsyn/A 53924-2024 tillsynsbegäran.docx", "A 53924-2024")</f>
        <v/>
      </c>
      <c r="AB101">
        <f>HYPERLINK("https://klasma.github.io/Logging_2083/tillsynsmail/A 53924-2024 tillsynsbegäran mail.docx", "A 53924-2024")</f>
        <v/>
      </c>
    </row>
    <row r="102" ht="15" customHeight="1">
      <c r="A102" t="inlineStr">
        <is>
          <t>A 28868-2026</t>
        </is>
      </c>
      <c r="B102" t="inlineStr">
        <is>
          <t>avverkningsanmälan</t>
        </is>
      </c>
      <c r="C102" t="inlineStr">
        <is>
          <t>Föryngringsavverkning</t>
        </is>
      </c>
      <c r="D102" s="1" t="n">
        <v>46199</v>
      </c>
      <c r="E102" s="1" t="n">
        <v>46222</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s="2" t="inlineStr">
        <is>
          <t>Dofttaggsvamp</t>
        </is>
      </c>
      <c r="V102">
        <f>HYPERLINK("https://klasma.github.io/Logging_2083/artfynd/A 28868-2026 artfynd.xlsx", "A 28868-2026")</f>
        <v/>
      </c>
      <c r="W102">
        <f>HYPERLINK("https://klasma.github.io/Logging_2083/kartor/A 28868-2026 karta.png", "A 28868-2026")</f>
        <v/>
      </c>
      <c r="Y102">
        <f>HYPERLINK("https://klasma.github.io/Logging_2083/klagomål/A 28868-2026 FSC-klagomål.docx", "A 28868-2026")</f>
        <v/>
      </c>
      <c r="Z102">
        <f>HYPERLINK("https://klasma.github.io/Logging_2083/klagomålsmail/A 28868-2026 FSC-klagomål mail.docx", "A 28868-2026")</f>
        <v/>
      </c>
      <c r="AA102">
        <f>HYPERLINK("https://klasma.github.io/Logging_2083/tillsyn/A 28868-2026 tillsynsbegäran.docx", "A 28868-2026")</f>
        <v/>
      </c>
      <c r="AB102">
        <f>HYPERLINK("https://klasma.github.io/Logging_2083/tillsynsmail/A 28868-2026 tillsynsbegäran mail.docx", "A 28868-2026")</f>
        <v/>
      </c>
    </row>
    <row r="103" ht="15" customHeight="1">
      <c r="A103" t="inlineStr">
        <is>
          <t>A 21007-2026</t>
        </is>
      </c>
      <c r="B103" t="inlineStr">
        <is>
          <t>avverkningsanmälan</t>
        </is>
      </c>
      <c r="C103" t="inlineStr">
        <is>
          <t>Föryngringsavverkning</t>
        </is>
      </c>
      <c r="D103" s="1" t="n">
        <v>46142</v>
      </c>
      <c r="E103" s="1" t="n">
        <v>46222</v>
      </c>
      <c r="F103" t="inlineStr">
        <is>
          <t>DALARNAS LÄN</t>
        </is>
      </c>
      <c r="G103" t="inlineStr">
        <is>
          <t>HEDEMORA</t>
        </is>
      </c>
      <c r="H103" t="inlineStr">
        <is>
          <t>Sveaskog</t>
        </is>
      </c>
      <c r="I103" t="n">
        <v>7.5</v>
      </c>
      <c r="J103" t="n">
        <v>0</v>
      </c>
      <c r="K103" t="n">
        <v>0</v>
      </c>
      <c r="L103" t="n">
        <v>1</v>
      </c>
      <c r="M103" t="n">
        <v>0</v>
      </c>
      <c r="N103" t="n">
        <v>0</v>
      </c>
      <c r="O103" t="n">
        <v>0</v>
      </c>
      <c r="P103" t="n">
        <v>0</v>
      </c>
      <c r="Q103" t="n">
        <v>1</v>
      </c>
      <c r="R103" t="n">
        <v>0</v>
      </c>
      <c r="S103" t="n">
        <v>1</v>
      </c>
      <c r="T103" t="n">
        <v>1</v>
      </c>
      <c r="U103" s="2" t="inlineStr">
        <is>
          <t>Veckticka</t>
        </is>
      </c>
      <c r="V103">
        <f>HYPERLINK("https://klasma.github.io/Logging_2083/artfynd/A 21007-2026 artfynd.xlsx", "A 21007-2026")</f>
        <v/>
      </c>
      <c r="W103">
        <f>HYPERLINK("https://klasma.github.io/Logging_2083/kartor/A 21007-2026 karta.png", "A 21007-2026")</f>
        <v/>
      </c>
      <c r="Y103">
        <f>HYPERLINK("https://klasma.github.io/Logging_2083/klagomål/A 21007-2026 FSC-klagomål.docx", "A 21007-2026")</f>
        <v/>
      </c>
      <c r="Z103">
        <f>HYPERLINK("https://klasma.github.io/Logging_2083/klagomålsmail/A 21007-2026 FSC-klagomål mail.docx", "A 21007-2026")</f>
        <v/>
      </c>
      <c r="AA103">
        <f>HYPERLINK("https://klasma.github.io/Logging_2083/tillsyn/A 21007-2026 tillsynsbegäran.docx", "A 21007-2026")</f>
        <v/>
      </c>
      <c r="AB103">
        <f>HYPERLINK("https://klasma.github.io/Logging_2083/tillsynsmail/A 21007-2026 tillsynsbegäran mail.docx", "A 21007-2026")</f>
        <v/>
      </c>
    </row>
    <row r="104" ht="15" customHeight="1">
      <c r="A104" t="inlineStr">
        <is>
          <t>A 29640-2026</t>
        </is>
      </c>
      <c r="B104" t="inlineStr">
        <is>
          <t>avverkningsanmälan</t>
        </is>
      </c>
      <c r="C104" t="inlineStr">
        <is>
          <t>Föryngringsavverkning</t>
        </is>
      </c>
      <c r="D104" s="1" t="n">
        <v>46204</v>
      </c>
      <c r="E104" s="1" t="n">
        <v>46222</v>
      </c>
      <c r="F104" t="inlineStr">
        <is>
          <t>DALARNAS LÄN</t>
        </is>
      </c>
      <c r="G104" t="inlineStr">
        <is>
          <t>HEDEMORA</t>
        </is>
      </c>
      <c r="I104" t="n">
        <v>1.2</v>
      </c>
      <c r="J104" t="n">
        <v>1</v>
      </c>
      <c r="K104" t="n">
        <v>0</v>
      </c>
      <c r="L104" t="n">
        <v>0</v>
      </c>
      <c r="M104" t="n">
        <v>1</v>
      </c>
      <c r="N104" t="n">
        <v>0</v>
      </c>
      <c r="O104" t="n">
        <v>0</v>
      </c>
      <c r="P104" t="n">
        <v>0</v>
      </c>
      <c r="Q104" t="n">
        <v>1</v>
      </c>
      <c r="R104" t="n">
        <v>1</v>
      </c>
      <c r="S104" t="n">
        <v>1</v>
      </c>
      <c r="T104" t="n">
        <v>7</v>
      </c>
      <c r="U104" s="2" t="inlineStr">
        <is>
          <t>Knärot</t>
        </is>
      </c>
      <c r="V104">
        <f>HYPERLINK("https://klasma.github.io/Logging_2083/artfynd/A 29640-2026 artfynd.xlsx", "A 29640-2026")</f>
        <v/>
      </c>
      <c r="W104">
        <f>HYPERLINK("https://klasma.github.io/Logging_2083/kartor/A 29640-2026 karta.png", "A 29640-2026")</f>
        <v/>
      </c>
      <c r="X104">
        <f>HYPERLINK("https://klasma.github.io/Logging_2083/knärot/A 29640-2026 karta knärot.png", "A 29640-2026")</f>
        <v/>
      </c>
      <c r="Y104">
        <f>HYPERLINK("https://klasma.github.io/Logging_2083/klagomål/A 29640-2026 FSC-klagomål.docx", "A 29640-2026")</f>
        <v/>
      </c>
      <c r="Z104">
        <f>HYPERLINK("https://klasma.github.io/Logging_2083/klagomålsmail/A 29640-2026 FSC-klagomål mail.docx", "A 29640-2026")</f>
        <v/>
      </c>
      <c r="AA104">
        <f>HYPERLINK("https://klasma.github.io/Logging_2083/tillsyn/A 29640-2026 tillsynsbegäran.docx", "A 29640-2026")</f>
        <v/>
      </c>
      <c r="AB104">
        <f>HYPERLINK("https://klasma.github.io/Logging_2083/tillsynsmail/A 29640-2026 tillsynsbegäran mail.docx", "A 29640-2026")</f>
        <v/>
      </c>
    </row>
    <row r="105" ht="15" customHeight="1">
      <c r="A105" t="inlineStr">
        <is>
          <t>A 23642-2026</t>
        </is>
      </c>
      <c r="B105" t="inlineStr">
        <is>
          <t>avverkningsanmälan</t>
        </is>
      </c>
      <c r="C105" t="inlineStr">
        <is>
          <t>Föryngringsavverkning</t>
        </is>
      </c>
      <c r="D105" s="1" t="n">
        <v>46164</v>
      </c>
      <c r="E105" s="1" t="n">
        <v>46222</v>
      </c>
      <c r="F105" t="inlineStr">
        <is>
          <t>DALARNAS LÄN</t>
        </is>
      </c>
      <c r="G105" t="inlineStr">
        <is>
          <t>HEDEMORA</t>
        </is>
      </c>
      <c r="H105" t="inlineStr">
        <is>
          <t>Sveaskog</t>
        </is>
      </c>
      <c r="I105" t="n">
        <v>6.3</v>
      </c>
      <c r="J105" t="n">
        <v>1</v>
      </c>
      <c r="K105" t="n">
        <v>0</v>
      </c>
      <c r="L105" t="n">
        <v>0</v>
      </c>
      <c r="M105" t="n">
        <v>0</v>
      </c>
      <c r="N105" t="n">
        <v>0</v>
      </c>
      <c r="O105" t="n">
        <v>0</v>
      </c>
      <c r="P105" t="n">
        <v>0</v>
      </c>
      <c r="Q105" t="n">
        <v>0</v>
      </c>
      <c r="R105" t="n">
        <v>0</v>
      </c>
      <c r="S105" t="n">
        <v>1</v>
      </c>
      <c r="T105" t="n">
        <v>1</v>
      </c>
      <c r="U105" s="2" t="inlineStr">
        <is>
          <t>Revlummer</t>
        </is>
      </c>
      <c r="V105">
        <f>HYPERLINK("https://klasma.github.io/Logging_2083/artfynd/A 23642-2026 artfynd.xlsx", "A 23642-2026")</f>
        <v/>
      </c>
      <c r="W105">
        <f>HYPERLINK("https://klasma.github.io/Logging_2083/kartor/A 23642-2026 karta.png", "A 23642-2026")</f>
        <v/>
      </c>
      <c r="Y105">
        <f>HYPERLINK("https://klasma.github.io/Logging_2083/klagomål/A 23642-2026 FSC-klagomål.docx", "A 23642-2026")</f>
        <v/>
      </c>
      <c r="Z105">
        <f>HYPERLINK("https://klasma.github.io/Logging_2083/klagomålsmail/A 23642-2026 FSC-klagomål mail.docx", "A 23642-2026")</f>
        <v/>
      </c>
      <c r="AA105">
        <f>HYPERLINK("https://klasma.github.io/Logging_2083/tillsyn/A 23642-2026 tillsynsbegäran.docx", "A 23642-2026")</f>
        <v/>
      </c>
      <c r="AB105">
        <f>HYPERLINK("https://klasma.github.io/Logging_2083/tillsynsmail/A 23642-2026 tillsynsbegäran mail.docx", "A 23642-2026")</f>
        <v/>
      </c>
    </row>
    <row r="106" ht="15" customHeight="1">
      <c r="A106" t="inlineStr">
        <is>
          <t>A 30879-2026</t>
        </is>
      </c>
      <c r="B106" t="inlineStr">
        <is>
          <t>avverkningsanmälan</t>
        </is>
      </c>
      <c r="C106" t="inlineStr">
        <is>
          <t>Föryngringsavverkning</t>
        </is>
      </c>
      <c r="D106" s="1" t="n">
        <v>46212</v>
      </c>
      <c r="E106" s="1" t="n">
        <v>46222</v>
      </c>
      <c r="F106" t="inlineStr">
        <is>
          <t>DALARNAS LÄN</t>
        </is>
      </c>
      <c r="G106" t="inlineStr">
        <is>
          <t>HEDEMORA</t>
        </is>
      </c>
      <c r="H106" t="inlineStr">
        <is>
          <t>Sveaskog</t>
        </is>
      </c>
      <c r="I106" t="n">
        <v>0.8</v>
      </c>
      <c r="J106" t="n">
        <v>0</v>
      </c>
      <c r="K106" t="n">
        <v>0</v>
      </c>
      <c r="L106" t="n">
        <v>1</v>
      </c>
      <c r="M106" t="n">
        <v>0</v>
      </c>
      <c r="N106" t="n">
        <v>0</v>
      </c>
      <c r="O106" t="n">
        <v>0</v>
      </c>
      <c r="P106" t="n">
        <v>0</v>
      </c>
      <c r="Q106" t="n">
        <v>1</v>
      </c>
      <c r="R106" t="n">
        <v>0</v>
      </c>
      <c r="S106" t="n">
        <v>1</v>
      </c>
      <c r="T106" t="n">
        <v>1</v>
      </c>
      <c r="U106" s="2" t="inlineStr">
        <is>
          <t>Tallticka</t>
        </is>
      </c>
      <c r="V106">
        <f>HYPERLINK("https://klasma.github.io/Logging_2083/artfynd/A 30879-2026 artfynd.xlsx", "A 30879-2026")</f>
        <v/>
      </c>
      <c r="W106">
        <f>HYPERLINK("https://klasma.github.io/Logging_2083/kartor/A 30879-2026 karta.png", "A 30879-2026")</f>
        <v/>
      </c>
      <c r="Y106">
        <f>HYPERLINK("https://klasma.github.io/Logging_2083/klagomål/A 30879-2026 FSC-klagomål.docx", "A 30879-2026")</f>
        <v/>
      </c>
      <c r="Z106">
        <f>HYPERLINK("https://klasma.github.io/Logging_2083/klagomålsmail/A 30879-2026 FSC-klagomål mail.docx", "A 30879-2026")</f>
        <v/>
      </c>
      <c r="AA106">
        <f>HYPERLINK("https://klasma.github.io/Logging_2083/tillsyn/A 30879-2026 tillsynsbegäran.docx", "A 30879-2026")</f>
        <v/>
      </c>
      <c r="AB106">
        <f>HYPERLINK("https://klasma.github.io/Logging_2083/tillsynsmail/A 30879-2026 tillsynsbegäran mail.docx", "A 30879-2026")</f>
        <v/>
      </c>
    </row>
    <row r="107" ht="15" customHeight="1">
      <c r="A107" t="inlineStr">
        <is>
          <t>A 31023-2026</t>
        </is>
      </c>
      <c r="B107" t="inlineStr">
        <is>
          <t>avverkningsanmälan</t>
        </is>
      </c>
      <c r="C107" t="inlineStr">
        <is>
          <t>Föryngringsavverkning</t>
        </is>
      </c>
      <c r="D107" s="1" t="n">
        <v>46213</v>
      </c>
      <c r="E107" s="1" t="n">
        <v>46222</v>
      </c>
      <c r="F107" t="inlineStr">
        <is>
          <t>DALARNAS LÄN</t>
        </is>
      </c>
      <c r="G107" t="inlineStr">
        <is>
          <t>HEDEMORA</t>
        </is>
      </c>
      <c r="I107" t="n">
        <v>1.8</v>
      </c>
      <c r="J107" t="n">
        <v>1</v>
      </c>
      <c r="K107" t="n">
        <v>0</v>
      </c>
      <c r="L107" t="n">
        <v>0</v>
      </c>
      <c r="M107" t="n">
        <v>1</v>
      </c>
      <c r="N107" t="n">
        <v>0</v>
      </c>
      <c r="O107" t="n">
        <v>0</v>
      </c>
      <c r="P107" t="n">
        <v>0</v>
      </c>
      <c r="Q107" t="n">
        <v>1</v>
      </c>
      <c r="R107" t="n">
        <v>1</v>
      </c>
      <c r="S107" t="n">
        <v>1</v>
      </c>
      <c r="T107" t="n">
        <v>4</v>
      </c>
      <c r="U107" s="2" t="inlineStr">
        <is>
          <t>Knärot</t>
        </is>
      </c>
      <c r="V107">
        <f>HYPERLINK("https://klasma.github.io/Logging_2083/artfynd/A 31023-2026 artfynd.xlsx", "A 31023-2026")</f>
        <v/>
      </c>
      <c r="W107">
        <f>HYPERLINK("https://klasma.github.io/Logging_2083/kartor/A 31023-2026 karta.png", "A 31023-2026")</f>
        <v/>
      </c>
      <c r="X107">
        <f>HYPERLINK("https://klasma.github.io/Logging_2083/knärot/A 31023-2026 karta knärot.png", "A 31023-2026")</f>
        <v/>
      </c>
      <c r="Y107">
        <f>HYPERLINK("https://klasma.github.io/Logging_2083/klagomål/A 31023-2026 FSC-klagomål.docx", "A 31023-2026")</f>
        <v/>
      </c>
      <c r="Z107">
        <f>HYPERLINK("https://klasma.github.io/Logging_2083/klagomålsmail/A 31023-2026 FSC-klagomål mail.docx", "A 31023-2026")</f>
        <v/>
      </c>
      <c r="AA107">
        <f>HYPERLINK("https://klasma.github.io/Logging_2083/tillsyn/A 31023-2026 tillsynsbegäran.docx", "A 31023-2026")</f>
        <v/>
      </c>
      <c r="AB107">
        <f>HYPERLINK("https://klasma.github.io/Logging_2083/tillsynsmail/A 31023-2026 tillsynsbegäran mail.docx", "A 31023-2026")</f>
        <v/>
      </c>
    </row>
    <row r="108" ht="15" customHeight="1">
      <c r="A108" t="inlineStr">
        <is>
          <t>A 25422-2026</t>
        </is>
      </c>
      <c r="B108" t="inlineStr">
        <is>
          <t>avverkningsanmälan</t>
        </is>
      </c>
      <c r="C108" t="inlineStr">
        <is>
          <t>Föryngringsavverkning</t>
        </is>
      </c>
      <c r="D108" s="1" t="n">
        <v>46177</v>
      </c>
      <c r="E108" s="1" t="n">
        <v>46222</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s="2" t="inlineStr">
        <is>
          <t>Tallticka</t>
        </is>
      </c>
      <c r="V108">
        <f>HYPERLINK("https://klasma.github.io/Logging_2083/artfynd/A 25422-2026 artfynd.xlsx", "A 25422-2026")</f>
        <v/>
      </c>
      <c r="W108">
        <f>HYPERLINK("https://klasma.github.io/Logging_2083/kartor/A 25422-2026 karta.png", "A 25422-2026")</f>
        <v/>
      </c>
      <c r="Y108">
        <f>HYPERLINK("https://klasma.github.io/Logging_2083/klagomål/A 25422-2026 FSC-klagomål.docx", "A 25422-2026")</f>
        <v/>
      </c>
      <c r="Z108">
        <f>HYPERLINK("https://klasma.github.io/Logging_2083/klagomålsmail/A 25422-2026 FSC-klagomål mail.docx", "A 25422-2026")</f>
        <v/>
      </c>
      <c r="AA108">
        <f>HYPERLINK("https://klasma.github.io/Logging_2083/tillsyn/A 25422-2026 tillsynsbegäran.docx", "A 25422-2026")</f>
        <v/>
      </c>
      <c r="AB108">
        <f>HYPERLINK("https://klasma.github.io/Logging_2083/tillsynsmail/A 25422-2026 tillsynsbegäran mail.docx", "A 25422-2026")</f>
        <v/>
      </c>
    </row>
    <row r="109" ht="15" customHeight="1">
      <c r="A109" t="inlineStr">
        <is>
          <t>S 10370-2021</t>
        </is>
      </c>
      <c r="B109" t="inlineStr">
        <is>
          <t>samrådsanmälan</t>
        </is>
      </c>
      <c r="C109" t="inlineStr">
        <is>
          <t>Skogsgödsling</t>
        </is>
      </c>
      <c r="D109" s="1" t="n">
        <v>44550</v>
      </c>
      <c r="E109" s="1" t="n">
        <v>46222</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s="2" t="inlineStr">
        <is>
          <t>Mattlummer</t>
        </is>
      </c>
      <c r="V109">
        <f>HYPERLINK("https://klasma.github.io/Logging_2083/artfynd/S 10370-2021 artfynd.xlsx", "S 10370-2021")</f>
        <v/>
      </c>
      <c r="W109">
        <f>HYPERLINK("https://klasma.github.io/Logging_2083/kartor/S 10370-2021 karta.png", "S 10370-2021")</f>
        <v/>
      </c>
      <c r="Y109">
        <f>HYPERLINK("https://klasma.github.io/Logging_2083/klagomål/S 10370-2021 FSC-klagomål.docx", "S 10370-2021")</f>
        <v/>
      </c>
      <c r="Z109">
        <f>HYPERLINK("https://klasma.github.io/Logging_2083/klagomålsmail/S 10370-2021 FSC-klagomål mail.docx", "S 10370-2021")</f>
        <v/>
      </c>
      <c r="AA109">
        <f>HYPERLINK("https://klasma.github.io/Logging_2083/tillsyn/S 10370-2021 tillsynsbegäran.docx", "S 10370-2021")</f>
        <v/>
      </c>
      <c r="AB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46222</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s="2" t="inlineStr">
        <is>
          <t>Tjäder</t>
        </is>
      </c>
      <c r="V110">
        <f>HYPERLINK("https://klasma.github.io/Logging_2083/artfynd/S 238-2024 artfynd.xlsx", "S 238-2024")</f>
        <v/>
      </c>
      <c r="W110">
        <f>HYPERLINK("https://klasma.github.io/Logging_2083/kartor/S 238-2024 karta.png", "S 238-2024")</f>
        <v/>
      </c>
      <c r="X110">
        <f>HYPERLINK("https://klasma.github.io/Logging_2083/knärot/S 238-2024 karta knärot.png", "S 238-2024")</f>
        <v/>
      </c>
      <c r="Y110">
        <f>HYPERLINK("https://klasma.github.io/Logging_2083/klagomål/S 238-2024 FSC-klagomål.docx", "S 238-2024")</f>
        <v/>
      </c>
      <c r="Z110">
        <f>HYPERLINK("https://klasma.github.io/Logging_2083/klagomålsmail/S 238-2024 FSC-klagomål mail.docx", "S 238-2024")</f>
        <v/>
      </c>
      <c r="AA110">
        <f>HYPERLINK("https://klasma.github.io/Logging_2083/tillsyn/S 238-2024 tillsynsbegäran.docx", "S 238-2024")</f>
        <v/>
      </c>
      <c r="AB110">
        <f>HYPERLINK("https://klasma.github.io/Logging_2083/tillsynsmail/S 238-2024 tillsynsbegäran mail.docx", "S 238-2024")</f>
        <v/>
      </c>
      <c r="AC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46222</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s="2" t="inlineStr">
        <is>
          <t>Talltita</t>
        </is>
      </c>
      <c r="V111">
        <f>HYPERLINK("https://klasma.github.io/Logging_2083/artfynd/S 223-2024 artfynd.xlsx", "S 223-2024")</f>
        <v/>
      </c>
      <c r="W111">
        <f>HYPERLINK("https://klasma.github.io/Logging_2083/kartor/S 223-2024 karta.png", "S 223-2024")</f>
        <v/>
      </c>
      <c r="Y111">
        <f>HYPERLINK("https://klasma.github.io/Logging_2083/klagomål/S 223-2024 FSC-klagomål.docx", "S 223-2024")</f>
        <v/>
      </c>
      <c r="Z111">
        <f>HYPERLINK("https://klasma.github.io/Logging_2083/klagomålsmail/S 223-2024 FSC-klagomål mail.docx", "S 223-2024")</f>
        <v/>
      </c>
      <c r="AA111">
        <f>HYPERLINK("https://klasma.github.io/Logging_2083/tillsyn/S 223-2024 tillsynsbegäran.docx", "S 223-2024")</f>
        <v/>
      </c>
      <c r="AB111">
        <f>HYPERLINK("https://klasma.github.io/Logging_2083/tillsynsmail/S 223-2024 tillsynsbegäran mail.docx", "S 223-2024")</f>
        <v/>
      </c>
      <c r="AC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46222</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s="2" t="inlineStr">
        <is>
          <t>Svartvit taggsvamp</t>
        </is>
      </c>
      <c r="V112">
        <f>HYPERLINK("https://klasma.github.io/Logging_2083/artfynd/S 406-2026 artfynd.xlsx", "S 406-2026")</f>
        <v/>
      </c>
      <c r="W112">
        <f>HYPERLINK("https://klasma.github.io/Logging_2083/kartor/S 406-2026 karta.png", "S 406-2026")</f>
        <v/>
      </c>
      <c r="Y112">
        <f>HYPERLINK("https://klasma.github.io/Logging_2083/klagomål/S 406-2026 FSC-klagomål.docx", "S 406-2026")</f>
        <v/>
      </c>
      <c r="Z112">
        <f>HYPERLINK("https://klasma.github.io/Logging_2083/klagomålsmail/S 406-2026 FSC-klagomål mail.docx", "S 406-2026")</f>
        <v/>
      </c>
      <c r="AA112">
        <f>HYPERLINK("https://klasma.github.io/Logging_2083/tillsyn/S 406-2026 tillsynsbegäran.docx", "S 406-2026")</f>
        <v/>
      </c>
      <c r="AB112">
        <f>HYPERLINK("https://klasma.github.io/Logging_2083/tillsynsmail/S 406-2026 tillsynsbegäran mail.docx", "S 406-2026")</f>
        <v/>
      </c>
    </row>
    <row r="113" ht="15" customHeight="1">
      <c r="A113" t="inlineStr">
        <is>
          <t>A 32748-2022</t>
        </is>
      </c>
      <c r="B113" t="inlineStr">
        <is>
          <t>avverkningsanmälan</t>
        </is>
      </c>
      <c r="C113" t="inlineStr">
        <is>
          <t>Föryngringsavverkning</t>
        </is>
      </c>
      <c r="D113" s="1" t="n">
        <v>44783</v>
      </c>
      <c r="E113" s="1" t="n">
        <v>46222</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67288-2021</t>
        </is>
      </c>
      <c r="B114" t="inlineStr">
        <is>
          <t>avverkningsanmälan</t>
        </is>
      </c>
      <c r="C114" t="inlineStr">
        <is>
          <t>Föryngringsavverkning</t>
        </is>
      </c>
      <c r="D114" s="1" t="n">
        <v>44523</v>
      </c>
      <c r="E114" s="1" t="n">
        <v>46222</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s="2" t="inlineStr"/>
    </row>
    <row r="115" ht="15" customHeight="1">
      <c r="A115" t="inlineStr">
        <is>
          <t>A 295-2022</t>
        </is>
      </c>
      <c r="B115" t="inlineStr">
        <is>
          <t>avverkningsanmälan</t>
        </is>
      </c>
      <c r="C115" t="inlineStr">
        <is>
          <t>Avverkning för annat ändamål</t>
        </is>
      </c>
      <c r="D115" s="1" t="n">
        <v>44565</v>
      </c>
      <c r="E115" s="1" t="n">
        <v>46222</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52221-2021</t>
        </is>
      </c>
      <c r="B116" t="inlineStr">
        <is>
          <t>avverkningsanmälan</t>
        </is>
      </c>
      <c r="C116" t="inlineStr">
        <is>
          <t>Föryngringsavverkning</t>
        </is>
      </c>
      <c r="D116" s="1" t="n">
        <v>44462</v>
      </c>
      <c r="E116" s="1" t="n">
        <v>46222</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s="2" t="inlineStr"/>
    </row>
    <row r="117" ht="15" customHeight="1">
      <c r="A117" t="inlineStr">
        <is>
          <t>A 45741-2022</t>
        </is>
      </c>
      <c r="B117" t="inlineStr">
        <is>
          <t>avverkningsanmälan</t>
        </is>
      </c>
      <c r="C117" t="inlineStr">
        <is>
          <t>Föryngringsavverkning</t>
        </is>
      </c>
      <c r="D117" s="1" t="n">
        <v>44846</v>
      </c>
      <c r="E117" s="1" t="n">
        <v>46222</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s="2" t="inlineStr"/>
    </row>
    <row r="118" ht="15" customHeight="1">
      <c r="A118" t="inlineStr">
        <is>
          <t>A 52425-2021</t>
        </is>
      </c>
      <c r="B118" t="inlineStr">
        <is>
          <t>avverkningsanmälan</t>
        </is>
      </c>
      <c r="C118" t="inlineStr">
        <is>
          <t>Föryngringsavverkning</t>
        </is>
      </c>
      <c r="D118" s="1" t="n">
        <v>44466</v>
      </c>
      <c r="E118" s="1" t="n">
        <v>46222</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s="2" t="inlineStr"/>
    </row>
    <row r="119" ht="15" customHeight="1">
      <c r="A119" t="inlineStr">
        <is>
          <t>A 35806-2022</t>
        </is>
      </c>
      <c r="B119" t="inlineStr">
        <is>
          <t>avverkningsanmälan</t>
        </is>
      </c>
      <c r="C119" t="inlineStr">
        <is>
          <t>Föryngringsavverkning</t>
        </is>
      </c>
      <c r="D119" s="1" t="n">
        <v>44802</v>
      </c>
      <c r="E119" s="1" t="n">
        <v>46222</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20177-2022</t>
        </is>
      </c>
      <c r="B120" t="inlineStr">
        <is>
          <t>avverkningsanmälan</t>
        </is>
      </c>
      <c r="C120" t="inlineStr">
        <is>
          <t>Föryngringsavverkning</t>
        </is>
      </c>
      <c r="D120" s="1" t="n">
        <v>44698</v>
      </c>
      <c r="E120" s="1" t="n">
        <v>46222</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s="2" t="inlineStr"/>
    </row>
    <row r="121" ht="15" customHeight="1">
      <c r="A121" t="inlineStr">
        <is>
          <t>A 68457-2021</t>
        </is>
      </c>
      <c r="B121" t="inlineStr">
        <is>
          <t>avverkningsanmälan</t>
        </is>
      </c>
      <c r="C121" t="inlineStr">
        <is>
          <t>Föryngringsavverkning</t>
        </is>
      </c>
      <c r="D121" s="1" t="n">
        <v>44529</v>
      </c>
      <c r="E121" s="1" t="n">
        <v>46222</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s="2" t="inlineStr"/>
    </row>
    <row r="122" ht="15" customHeight="1">
      <c r="A122" t="inlineStr">
        <is>
          <t>A 4030-2022</t>
        </is>
      </c>
      <c r="B122" t="inlineStr">
        <is>
          <t>avverkningsanmälan</t>
        </is>
      </c>
      <c r="C122" t="inlineStr">
        <is>
          <t>Föryngringsavverkning</t>
        </is>
      </c>
      <c r="D122" s="1" t="n">
        <v>44588</v>
      </c>
      <c r="E122" s="1" t="n">
        <v>46222</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s="2" t="inlineStr"/>
    </row>
    <row r="123" ht="15" customHeight="1">
      <c r="A123" t="inlineStr">
        <is>
          <t>A 39506-2022</t>
        </is>
      </c>
      <c r="B123" t="inlineStr">
        <is>
          <t>avverkningsanmälan</t>
        </is>
      </c>
      <c r="C123" t="inlineStr">
        <is>
          <t>Föryngringsavverkning</t>
        </is>
      </c>
      <c r="D123" s="1" t="n">
        <v>44817</v>
      </c>
      <c r="E123" s="1" t="n">
        <v>46222</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s="2" t="inlineStr"/>
    </row>
    <row r="124" ht="15" customHeight="1">
      <c r="A124" t="inlineStr">
        <is>
          <t>A 59495-2021</t>
        </is>
      </c>
      <c r="B124" t="inlineStr">
        <is>
          <t>avverkningsanmälan</t>
        </is>
      </c>
      <c r="C124" t="inlineStr">
        <is>
          <t>Föryngringsavverkning</t>
        </is>
      </c>
      <c r="D124" s="1" t="n">
        <v>44491</v>
      </c>
      <c r="E124" s="1" t="n">
        <v>46222</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52511-2021</t>
        </is>
      </c>
      <c r="B125" t="inlineStr">
        <is>
          <t>avverkningsanmälan</t>
        </is>
      </c>
      <c r="C125" t="inlineStr">
        <is>
          <t>Föryngringsavverkning</t>
        </is>
      </c>
      <c r="D125" s="1" t="n">
        <v>44466</v>
      </c>
      <c r="E125" s="1" t="n">
        <v>46222</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50441-2021</t>
        </is>
      </c>
      <c r="B126" t="inlineStr">
        <is>
          <t>avverkningsanmälan</t>
        </is>
      </c>
      <c r="C126" t="inlineStr">
        <is>
          <t>Föryngringsavverkning</t>
        </is>
      </c>
      <c r="D126" s="1" t="n">
        <v>44456</v>
      </c>
      <c r="E126" s="1" t="n">
        <v>46222</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s="2" t="inlineStr"/>
    </row>
    <row r="127" ht="15" customHeight="1">
      <c r="A127" t="inlineStr">
        <is>
          <t>A 27238-2022</t>
        </is>
      </c>
      <c r="B127" t="inlineStr">
        <is>
          <t>avverkningsanmälan</t>
        </is>
      </c>
      <c r="C127" t="inlineStr">
        <is>
          <t>Föryngringsavverkning</t>
        </is>
      </c>
      <c r="D127" s="1" t="n">
        <v>44741</v>
      </c>
      <c r="E127" s="1" t="n">
        <v>46222</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52221-2021</t>
        </is>
      </c>
      <c r="B128" t="inlineStr">
        <is>
          <t>avverkningsanmälan</t>
        </is>
      </c>
      <c r="C128" t="inlineStr">
        <is>
          <t>Föryngringsavverkning</t>
        </is>
      </c>
      <c r="D128" s="1" t="n">
        <v>44462</v>
      </c>
      <c r="E128" s="1" t="n">
        <v>46222</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23329-2022</t>
        </is>
      </c>
      <c r="B129" t="inlineStr">
        <is>
          <t>avverkningsanmälan</t>
        </is>
      </c>
      <c r="C129" t="inlineStr">
        <is>
          <t>Föryngringsavverkning</t>
        </is>
      </c>
      <c r="D129" s="1" t="n">
        <v>44720</v>
      </c>
      <c r="E129" s="1" t="n">
        <v>46222</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62305-2021</t>
        </is>
      </c>
      <c r="B130" t="inlineStr">
        <is>
          <t>avverkningsanmälan</t>
        </is>
      </c>
      <c r="C130" t="inlineStr">
        <is>
          <t>Föryngringsavverkning</t>
        </is>
      </c>
      <c r="D130" s="1" t="n">
        <v>44502</v>
      </c>
      <c r="E130" s="1" t="n">
        <v>46222</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28105-2022</t>
        </is>
      </c>
      <c r="B131" t="inlineStr">
        <is>
          <t>avverkningsanmälan</t>
        </is>
      </c>
      <c r="C131" t="inlineStr">
        <is>
          <t>Avverkning för annat ändamål</t>
        </is>
      </c>
      <c r="D131" s="1" t="n">
        <v>44746</v>
      </c>
      <c r="E131" s="1" t="n">
        <v>46222</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44065-2021</t>
        </is>
      </c>
      <c r="B132" t="inlineStr">
        <is>
          <t>avverkningsanmälan</t>
        </is>
      </c>
      <c r="C132" t="inlineStr">
        <is>
          <t>Föryngringsavverkning</t>
        </is>
      </c>
      <c r="D132" s="1" t="n">
        <v>44434</v>
      </c>
      <c r="E132" s="1" t="n">
        <v>46222</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s="2" t="inlineStr"/>
    </row>
    <row r="133" ht="15" customHeight="1">
      <c r="A133" t="inlineStr">
        <is>
          <t>A 48639-2022</t>
        </is>
      </c>
      <c r="B133" t="inlineStr">
        <is>
          <t>avverkningsanmälan</t>
        </is>
      </c>
      <c r="C133" t="inlineStr">
        <is>
          <t>Avverkning för annat ändamål</t>
        </is>
      </c>
      <c r="D133" s="1" t="n">
        <v>44859</v>
      </c>
      <c r="E133" s="1" t="n">
        <v>46222</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s="2" t="inlineStr"/>
    </row>
    <row r="134" ht="15" customHeight="1">
      <c r="A134" t="inlineStr">
        <is>
          <t>A 60418-2021</t>
        </is>
      </c>
      <c r="B134" t="inlineStr">
        <is>
          <t>avverkningsanmälan</t>
        </is>
      </c>
      <c r="C134" t="inlineStr">
        <is>
          <t>Föryngringsavverkning</t>
        </is>
      </c>
      <c r="D134" s="1" t="n">
        <v>44495</v>
      </c>
      <c r="E134" s="1" t="n">
        <v>46222</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40938-2021</t>
        </is>
      </c>
      <c r="B135" t="inlineStr">
        <is>
          <t>avverkningsanmälan</t>
        </is>
      </c>
      <c r="C135" t="inlineStr">
        <is>
          <t>Föryngringsavverkning</t>
        </is>
      </c>
      <c r="D135" s="1" t="n">
        <v>44421</v>
      </c>
      <c r="E135" s="1" t="n">
        <v>46222</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1976-2022</t>
        </is>
      </c>
      <c r="B136" t="inlineStr">
        <is>
          <t>avverkningsanmälan</t>
        </is>
      </c>
      <c r="C136" t="inlineStr">
        <is>
          <t>Föryngringsavverkning</t>
        </is>
      </c>
      <c r="D136" s="1" t="n">
        <v>44575</v>
      </c>
      <c r="E136" s="1" t="n">
        <v>46222</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s="2" t="inlineStr"/>
    </row>
    <row r="137" ht="15" customHeight="1">
      <c r="A137" t="inlineStr">
        <is>
          <t>A 56668-2024</t>
        </is>
      </c>
      <c r="B137" t="inlineStr">
        <is>
          <t>avverkningsanmälan</t>
        </is>
      </c>
      <c r="C137" t="inlineStr">
        <is>
          <t>Föryngringsavverkning</t>
        </is>
      </c>
      <c r="D137" s="1" t="n">
        <v>45626</v>
      </c>
      <c r="E137" s="1" t="n">
        <v>46222</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14951-2025</t>
        </is>
      </c>
      <c r="B138" t="inlineStr">
        <is>
          <t>avverkningsanmälan</t>
        </is>
      </c>
      <c r="C138" t="inlineStr">
        <is>
          <t>Föryngringsavverkning</t>
        </is>
      </c>
      <c r="D138" s="1" t="n">
        <v>45743</v>
      </c>
      <c r="E138" s="1" t="n">
        <v>46222</v>
      </c>
      <c r="F138" t="inlineStr">
        <is>
          <t>DALARNAS LÄN</t>
        </is>
      </c>
      <c r="G138" t="inlineStr">
        <is>
          <t>HEDEMORA</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34932-2024</t>
        </is>
      </c>
      <c r="B139" t="inlineStr">
        <is>
          <t>avverkningsanmälan</t>
        </is>
      </c>
      <c r="C139" t="inlineStr">
        <is>
          <t>Föryngringsavverkning</t>
        </is>
      </c>
      <c r="D139" s="1" t="n">
        <v>45527</v>
      </c>
      <c r="E139" s="1" t="n">
        <v>46222</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37759-2024</t>
        </is>
      </c>
      <c r="B140" t="inlineStr">
        <is>
          <t>avverkningsanmälan</t>
        </is>
      </c>
      <c r="C140" t="inlineStr">
        <is>
          <t>Föryngringsavverkning</t>
        </is>
      </c>
      <c r="D140" s="1" t="n">
        <v>45541</v>
      </c>
      <c r="E140" s="1" t="n">
        <v>46222</v>
      </c>
      <c r="F140" t="inlineStr">
        <is>
          <t>DALARNAS LÄN</t>
        </is>
      </c>
      <c r="G140" t="inlineStr">
        <is>
          <t>HEDEMORA</t>
        </is>
      </c>
      <c r="H140" t="inlineStr">
        <is>
          <t>Sveaskog</t>
        </is>
      </c>
      <c r="I140" t="n">
        <v>3.6</v>
      </c>
      <c r="J140" t="n">
        <v>0</v>
      </c>
      <c r="K140" t="n">
        <v>0</v>
      </c>
      <c r="L140" t="n">
        <v>0</v>
      </c>
      <c r="M140" t="n">
        <v>0</v>
      </c>
      <c r="N140" t="n">
        <v>0</v>
      </c>
      <c r="O140" t="n">
        <v>0</v>
      </c>
      <c r="P140" t="n">
        <v>0</v>
      </c>
      <c r="Q140" t="n">
        <v>0</v>
      </c>
      <c r="R140" t="n">
        <v>0</v>
      </c>
      <c r="S140" t="n">
        <v>0</v>
      </c>
      <c r="T140" t="n">
        <v>0</v>
      </c>
      <c r="U140" s="2" t="inlineStr"/>
    </row>
    <row r="141" ht="15" customHeight="1">
      <c r="A141" t="inlineStr">
        <is>
          <t>A 39497-2022</t>
        </is>
      </c>
      <c r="B141" t="inlineStr">
        <is>
          <t>avverkningsanmälan</t>
        </is>
      </c>
      <c r="C141" t="inlineStr">
        <is>
          <t>Föryngringsavverkning</t>
        </is>
      </c>
      <c r="D141" s="1" t="n">
        <v>44817</v>
      </c>
      <c r="E141" s="1" t="n">
        <v>46222</v>
      </c>
      <c r="F141" t="inlineStr">
        <is>
          <t>DALARNAS LÄN</t>
        </is>
      </c>
      <c r="G141" t="inlineStr">
        <is>
          <t>HEDEMORA</t>
        </is>
      </c>
      <c r="H141" t="inlineStr">
        <is>
          <t>Bergvik skog väst AB</t>
        </is>
      </c>
      <c r="I141" t="n">
        <v>2.3</v>
      </c>
      <c r="J141" t="n">
        <v>0</v>
      </c>
      <c r="K141" t="n">
        <v>0</v>
      </c>
      <c r="L141" t="n">
        <v>0</v>
      </c>
      <c r="M141" t="n">
        <v>0</v>
      </c>
      <c r="N141" t="n">
        <v>0</v>
      </c>
      <c r="O141" t="n">
        <v>0</v>
      </c>
      <c r="P141" t="n">
        <v>0</v>
      </c>
      <c r="Q141" t="n">
        <v>0</v>
      </c>
      <c r="R141" t="n">
        <v>0</v>
      </c>
      <c r="S141" t="n">
        <v>0</v>
      </c>
      <c r="T141" t="n">
        <v>0</v>
      </c>
      <c r="U141" s="2" t="inlineStr"/>
    </row>
    <row r="142" ht="15" customHeight="1">
      <c r="A142" t="inlineStr">
        <is>
          <t>A 55881-2023</t>
        </is>
      </c>
      <c r="B142" t="inlineStr">
        <is>
          <t>avverkningsanmälan</t>
        </is>
      </c>
      <c r="C142" t="inlineStr">
        <is>
          <t>Föryngringsavverkning</t>
        </is>
      </c>
      <c r="D142" s="1" t="n">
        <v>45239</v>
      </c>
      <c r="E142" s="1" t="n">
        <v>46222</v>
      </c>
      <c r="F142" t="inlineStr">
        <is>
          <t>DALARNAS LÄN</t>
        </is>
      </c>
      <c r="G142" t="inlineStr">
        <is>
          <t>HEDEMORA</t>
        </is>
      </c>
      <c r="H142" t="inlineStr">
        <is>
          <t>Sveaskog</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31365-2024</t>
        </is>
      </c>
      <c r="B143" t="inlineStr">
        <is>
          <t>avverkningsanmälan</t>
        </is>
      </c>
      <c r="C143" t="inlineStr">
        <is>
          <t>Föryngringsavverkning</t>
        </is>
      </c>
      <c r="D143" s="1" t="n">
        <v>45505</v>
      </c>
      <c r="E143" s="1" t="n">
        <v>46222</v>
      </c>
      <c r="F143" t="inlineStr">
        <is>
          <t>DALARNAS LÄN</t>
        </is>
      </c>
      <c r="G143" t="inlineStr">
        <is>
          <t>HEDEMORA</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24486-2024</t>
        </is>
      </c>
      <c r="B144" t="inlineStr">
        <is>
          <t>avverkningsanmälan</t>
        </is>
      </c>
      <c r="C144" t="inlineStr">
        <is>
          <t>Avverkning för annat ändamål</t>
        </is>
      </c>
      <c r="D144" s="1" t="n">
        <v>45459</v>
      </c>
      <c r="E144" s="1" t="n">
        <v>46222</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31825-2024</t>
        </is>
      </c>
      <c r="B145" t="inlineStr">
        <is>
          <t>avverkningsanmälan</t>
        </is>
      </c>
      <c r="C145" t="inlineStr">
        <is>
          <t>Avverkning för annat ändamål</t>
        </is>
      </c>
      <c r="D145" s="1" t="n">
        <v>45509</v>
      </c>
      <c r="E145" s="1" t="n">
        <v>46222</v>
      </c>
      <c r="F145" t="inlineStr">
        <is>
          <t>DALARNAS LÄN</t>
        </is>
      </c>
      <c r="G145" t="inlineStr">
        <is>
          <t>HEDEMORA</t>
        </is>
      </c>
      <c r="I145" t="n">
        <v>0.1</v>
      </c>
      <c r="J145" t="n">
        <v>0</v>
      </c>
      <c r="K145" t="n">
        <v>0</v>
      </c>
      <c r="L145" t="n">
        <v>0</v>
      </c>
      <c r="M145" t="n">
        <v>0</v>
      </c>
      <c r="N145" t="n">
        <v>0</v>
      </c>
      <c r="O145" t="n">
        <v>0</v>
      </c>
      <c r="P145" t="n">
        <v>0</v>
      </c>
      <c r="Q145" t="n">
        <v>0</v>
      </c>
      <c r="R145" t="n">
        <v>0</v>
      </c>
      <c r="S145" t="n">
        <v>0</v>
      </c>
      <c r="T145" t="n">
        <v>0</v>
      </c>
      <c r="U145" s="2" t="inlineStr"/>
    </row>
    <row r="146" ht="15" customHeight="1">
      <c r="A146" t="inlineStr">
        <is>
          <t>A 60774-2022</t>
        </is>
      </c>
      <c r="B146" t="inlineStr">
        <is>
          <t>avverkningsanmälan</t>
        </is>
      </c>
      <c r="C146" t="inlineStr">
        <is>
          <t>Föryngringsavverkning</t>
        </is>
      </c>
      <c r="D146" s="1" t="n">
        <v>44914</v>
      </c>
      <c r="E146" s="1" t="n">
        <v>46222</v>
      </c>
      <c r="F146" t="inlineStr">
        <is>
          <t>DALARNAS LÄN</t>
        </is>
      </c>
      <c r="G146" t="inlineStr">
        <is>
          <t>HEDEMORA</t>
        </is>
      </c>
      <c r="I146" t="n">
        <v>11.5</v>
      </c>
      <c r="J146" t="n">
        <v>0</v>
      </c>
      <c r="K146" t="n">
        <v>0</v>
      </c>
      <c r="L146" t="n">
        <v>0</v>
      </c>
      <c r="M146" t="n">
        <v>0</v>
      </c>
      <c r="N146" t="n">
        <v>0</v>
      </c>
      <c r="O146" t="n">
        <v>0</v>
      </c>
      <c r="P146" t="n">
        <v>0</v>
      </c>
      <c r="Q146" t="n">
        <v>0</v>
      </c>
      <c r="R146" t="n">
        <v>0</v>
      </c>
      <c r="S146" t="n">
        <v>0</v>
      </c>
      <c r="T146" t="n">
        <v>0</v>
      </c>
      <c r="U146" s="2" t="inlineStr"/>
    </row>
    <row r="147" ht="15" customHeight="1">
      <c r="A147" t="inlineStr">
        <is>
          <t>A 61886-2022</t>
        </is>
      </c>
      <c r="B147" t="inlineStr">
        <is>
          <t>avverkningsanmälan</t>
        </is>
      </c>
      <c r="C147" t="inlineStr">
        <is>
          <t>Föryngringsavverkning</t>
        </is>
      </c>
      <c r="D147" s="1" t="n">
        <v>44917</v>
      </c>
      <c r="E147" s="1" t="n">
        <v>46222</v>
      </c>
      <c r="F147" t="inlineStr">
        <is>
          <t>DALARNAS LÄN</t>
        </is>
      </c>
      <c r="G147" t="inlineStr">
        <is>
          <t>HEDEMORA</t>
        </is>
      </c>
      <c r="I147" t="n">
        <v>1.9</v>
      </c>
      <c r="J147" t="n">
        <v>0</v>
      </c>
      <c r="K147" t="n">
        <v>0</v>
      </c>
      <c r="L147" t="n">
        <v>0</v>
      </c>
      <c r="M147" t="n">
        <v>0</v>
      </c>
      <c r="N147" t="n">
        <v>0</v>
      </c>
      <c r="O147" t="n">
        <v>0</v>
      </c>
      <c r="P147" t="n">
        <v>0</v>
      </c>
      <c r="Q147" t="n">
        <v>0</v>
      </c>
      <c r="R147" t="n">
        <v>0</v>
      </c>
      <c r="S147" t="n">
        <v>0</v>
      </c>
      <c r="T147" t="n">
        <v>0</v>
      </c>
      <c r="U147" s="2" t="inlineStr"/>
    </row>
    <row r="148" ht="15" customHeight="1">
      <c r="A148" t="inlineStr">
        <is>
          <t>A 36935-2024</t>
        </is>
      </c>
      <c r="B148" t="inlineStr">
        <is>
          <t>avverkningsanmälan</t>
        </is>
      </c>
      <c r="C148" t="inlineStr">
        <is>
          <t>Föryngringsavverkning</t>
        </is>
      </c>
      <c r="D148" s="1" t="n">
        <v>45538</v>
      </c>
      <c r="E148" s="1" t="n">
        <v>46222</v>
      </c>
      <c r="F148" t="inlineStr">
        <is>
          <t>DALARNAS LÄN</t>
        </is>
      </c>
      <c r="G148" t="inlineStr">
        <is>
          <t>HEDEMORA</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6972-2025</t>
        </is>
      </c>
      <c r="B149" t="inlineStr">
        <is>
          <t>avverkningsanmälan</t>
        </is>
      </c>
      <c r="C149" t="inlineStr">
        <is>
          <t>Föryngringsavverkning</t>
        </is>
      </c>
      <c r="D149" s="1" t="n">
        <v>45701</v>
      </c>
      <c r="E149" s="1" t="n">
        <v>46222</v>
      </c>
      <c r="F149" t="inlineStr">
        <is>
          <t>DALARNAS LÄN</t>
        </is>
      </c>
      <c r="G149" t="inlineStr">
        <is>
          <t>HEDEMORA</t>
        </is>
      </c>
      <c r="I149" t="n">
        <v>4.9</v>
      </c>
      <c r="J149" t="n">
        <v>0</v>
      </c>
      <c r="K149" t="n">
        <v>0</v>
      </c>
      <c r="L149" t="n">
        <v>0</v>
      </c>
      <c r="M149" t="n">
        <v>0</v>
      </c>
      <c r="N149" t="n">
        <v>0</v>
      </c>
      <c r="O149" t="n">
        <v>0</v>
      </c>
      <c r="P149" t="n">
        <v>0</v>
      </c>
      <c r="Q149" t="n">
        <v>0</v>
      </c>
      <c r="R149" t="n">
        <v>0</v>
      </c>
      <c r="S149" t="n">
        <v>0</v>
      </c>
      <c r="T149" t="n">
        <v>0</v>
      </c>
      <c r="U149" s="2" t="inlineStr"/>
    </row>
    <row r="150" ht="15" customHeight="1">
      <c r="A150" t="inlineStr">
        <is>
          <t>A 57563-2025</t>
        </is>
      </c>
      <c r="B150" t="inlineStr">
        <is>
          <t>avverkningsanmälan</t>
        </is>
      </c>
      <c r="C150" t="inlineStr">
        <is>
          <t>Föryngringsavverkning</t>
        </is>
      </c>
      <c r="D150" s="1" t="n">
        <v>45980</v>
      </c>
      <c r="E150" s="1" t="n">
        <v>46222</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s="2" t="inlineStr"/>
    </row>
    <row r="151" ht="15" customHeight="1">
      <c r="A151" t="inlineStr">
        <is>
          <t>A 37761-2024</t>
        </is>
      </c>
      <c r="B151" t="inlineStr">
        <is>
          <t>avverkningsanmälan</t>
        </is>
      </c>
      <c r="C151" t="inlineStr">
        <is>
          <t>Föryngringsavverkning</t>
        </is>
      </c>
      <c r="D151" s="1" t="n">
        <v>45541</v>
      </c>
      <c r="E151" s="1" t="n">
        <v>46222</v>
      </c>
      <c r="F151" t="inlineStr">
        <is>
          <t>DALARNAS LÄN</t>
        </is>
      </c>
      <c r="G151" t="inlineStr">
        <is>
          <t>HEDEMORA</t>
        </is>
      </c>
      <c r="H151" t="inlineStr">
        <is>
          <t>Sveaskog</t>
        </is>
      </c>
      <c r="I151" t="n">
        <v>4.4</v>
      </c>
      <c r="J151" t="n">
        <v>0</v>
      </c>
      <c r="K151" t="n">
        <v>0</v>
      </c>
      <c r="L151" t="n">
        <v>0</v>
      </c>
      <c r="M151" t="n">
        <v>0</v>
      </c>
      <c r="N151" t="n">
        <v>0</v>
      </c>
      <c r="O151" t="n">
        <v>0</v>
      </c>
      <c r="P151" t="n">
        <v>0</v>
      </c>
      <c r="Q151" t="n">
        <v>0</v>
      </c>
      <c r="R151" t="n">
        <v>0</v>
      </c>
      <c r="S151" t="n">
        <v>0</v>
      </c>
      <c r="T151" t="n">
        <v>0</v>
      </c>
      <c r="U151" s="2" t="inlineStr"/>
    </row>
    <row r="152" ht="15" customHeight="1">
      <c r="A152" t="inlineStr">
        <is>
          <t>A 43621-2024</t>
        </is>
      </c>
      <c r="B152" t="inlineStr">
        <is>
          <t>avverkningsanmälan</t>
        </is>
      </c>
      <c r="C152" t="inlineStr">
        <is>
          <t>Föryngringsavverkning</t>
        </is>
      </c>
      <c r="D152" s="1" t="n">
        <v>45569</v>
      </c>
      <c r="E152" s="1" t="n">
        <v>46222</v>
      </c>
      <c r="F152" t="inlineStr">
        <is>
          <t>DALARNAS LÄN</t>
        </is>
      </c>
      <c r="G152" t="inlineStr">
        <is>
          <t>HEDEMORA</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4070-2026</t>
        </is>
      </c>
      <c r="B153" t="inlineStr">
        <is>
          <t>avverkningsanmälan</t>
        </is>
      </c>
      <c r="C153" t="inlineStr">
        <is>
          <t>Föryngringsavverkning</t>
        </is>
      </c>
      <c r="D153" s="1" t="n">
        <v>46044</v>
      </c>
      <c r="E153" s="1" t="n">
        <v>46222</v>
      </c>
      <c r="F153" t="inlineStr">
        <is>
          <t>DALARNAS LÄN</t>
        </is>
      </c>
      <c r="G153" t="inlineStr">
        <is>
          <t>HEDEMORA</t>
        </is>
      </c>
      <c r="I153" t="n">
        <v>29.2</v>
      </c>
      <c r="J153" t="n">
        <v>0</v>
      </c>
      <c r="K153" t="n">
        <v>0</v>
      </c>
      <c r="L153" t="n">
        <v>0</v>
      </c>
      <c r="M153" t="n">
        <v>0</v>
      </c>
      <c r="N153" t="n">
        <v>0</v>
      </c>
      <c r="O153" t="n">
        <v>0</v>
      </c>
      <c r="P153" t="n">
        <v>0</v>
      </c>
      <c r="Q153" t="n">
        <v>0</v>
      </c>
      <c r="R153" t="n">
        <v>0</v>
      </c>
      <c r="S153" t="n">
        <v>0</v>
      </c>
      <c r="T153" t="n">
        <v>0</v>
      </c>
      <c r="U153" s="2" t="inlineStr"/>
    </row>
    <row r="154" ht="15" customHeight="1">
      <c r="A154" t="inlineStr">
        <is>
          <t>A 28180-2025</t>
        </is>
      </c>
      <c r="B154" t="inlineStr">
        <is>
          <t>avverkningsanmälan</t>
        </is>
      </c>
      <c r="C154" t="inlineStr">
        <is>
          <t>Föryngringsavverkning</t>
        </is>
      </c>
      <c r="D154" s="1" t="n">
        <v>45818</v>
      </c>
      <c r="E154" s="1" t="n">
        <v>46222</v>
      </c>
      <c r="F154" t="inlineStr">
        <is>
          <t>DALARNAS LÄN</t>
        </is>
      </c>
      <c r="G154" t="inlineStr">
        <is>
          <t>HEDEMORA</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28182-2025</t>
        </is>
      </c>
      <c r="B155" t="inlineStr">
        <is>
          <t>avverkningsanmälan</t>
        </is>
      </c>
      <c r="C155" t="inlineStr">
        <is>
          <t>Föryngringsavverkning</t>
        </is>
      </c>
      <c r="D155" s="1" t="n">
        <v>45818</v>
      </c>
      <c r="E155" s="1" t="n">
        <v>46222</v>
      </c>
      <c r="F155" t="inlineStr">
        <is>
          <t>DALARNAS LÄN</t>
        </is>
      </c>
      <c r="G155" t="inlineStr">
        <is>
          <t>HEDEMORA</t>
        </is>
      </c>
      <c r="H155" t="inlineStr">
        <is>
          <t>Sveaskog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3759-2026</t>
        </is>
      </c>
      <c r="B156" t="inlineStr">
        <is>
          <t>avverkningsanmälan</t>
        </is>
      </c>
      <c r="C156" t="inlineStr">
        <is>
          <t>Föryngringsavverkning</t>
        </is>
      </c>
      <c r="D156" s="1" t="n">
        <v>46043</v>
      </c>
      <c r="E156" s="1" t="n">
        <v>46222</v>
      </c>
      <c r="F156" t="inlineStr">
        <is>
          <t>DALARNAS LÄN</t>
        </is>
      </c>
      <c r="G156" t="inlineStr">
        <is>
          <t>HEDEMORA</t>
        </is>
      </c>
      <c r="I156" t="n">
        <v>6.6</v>
      </c>
      <c r="J156" t="n">
        <v>0</v>
      </c>
      <c r="K156" t="n">
        <v>0</v>
      </c>
      <c r="L156" t="n">
        <v>0</v>
      </c>
      <c r="M156" t="n">
        <v>0</v>
      </c>
      <c r="N156" t="n">
        <v>0</v>
      </c>
      <c r="O156" t="n">
        <v>0</v>
      </c>
      <c r="P156" t="n">
        <v>0</v>
      </c>
      <c r="Q156" t="n">
        <v>0</v>
      </c>
      <c r="R156" t="n">
        <v>0</v>
      </c>
      <c r="S156" t="n">
        <v>0</v>
      </c>
      <c r="T156" t="n">
        <v>0</v>
      </c>
      <c r="U156" s="2" t="inlineStr"/>
    </row>
    <row r="157" ht="15" customHeight="1">
      <c r="A157" t="inlineStr">
        <is>
          <t>A 34185-2025</t>
        </is>
      </c>
      <c r="B157" t="inlineStr">
        <is>
          <t>avverkningsanmälan</t>
        </is>
      </c>
      <c r="C157" t="inlineStr">
        <is>
          <t>Föryngringsavverkning</t>
        </is>
      </c>
      <c r="D157" s="1" t="n">
        <v>45845</v>
      </c>
      <c r="E157" s="1" t="n">
        <v>46222</v>
      </c>
      <c r="F157" t="inlineStr">
        <is>
          <t>DALARNAS LÄN</t>
        </is>
      </c>
      <c r="G157" t="inlineStr">
        <is>
          <t>HEDEMORA</t>
        </is>
      </c>
      <c r="H157" t="inlineStr">
        <is>
          <t>Sveaskog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20237-2023</t>
        </is>
      </c>
      <c r="B158" t="inlineStr">
        <is>
          <t>avverkningsanmälan</t>
        </is>
      </c>
      <c r="C158" t="inlineStr">
        <is>
          <t>Föryngringsavverkning</t>
        </is>
      </c>
      <c r="D158" s="1" t="n">
        <v>45055</v>
      </c>
      <c r="E158" s="1" t="n">
        <v>46222</v>
      </c>
      <c r="F158" t="inlineStr">
        <is>
          <t>DALARNAS LÄN</t>
        </is>
      </c>
      <c r="G158" t="inlineStr">
        <is>
          <t>HEDEMORA</t>
        </is>
      </c>
      <c r="H158" t="inlineStr">
        <is>
          <t>Bergvik skog väst AB</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15863-2023</t>
        </is>
      </c>
      <c r="B159" t="inlineStr">
        <is>
          <t>avverkningsanmälan</t>
        </is>
      </c>
      <c r="C159" t="inlineStr">
        <is>
          <t>Föryngringsavverkning</t>
        </is>
      </c>
      <c r="D159" s="1" t="n">
        <v>45022</v>
      </c>
      <c r="E159" s="1" t="n">
        <v>46222</v>
      </c>
      <c r="F159" t="inlineStr">
        <is>
          <t>DALARNAS LÄN</t>
        </is>
      </c>
      <c r="G159" t="inlineStr">
        <is>
          <t>HEDEMORA</t>
        </is>
      </c>
      <c r="H159" t="inlineStr">
        <is>
          <t>Bergvik skog väst AB</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37762-2024</t>
        </is>
      </c>
      <c r="B160" t="inlineStr">
        <is>
          <t>avverkningsanmälan</t>
        </is>
      </c>
      <c r="C160" t="inlineStr">
        <is>
          <t>Föryngringsavverkning</t>
        </is>
      </c>
      <c r="D160" s="1" t="n">
        <v>45541</v>
      </c>
      <c r="E160" s="1" t="n">
        <v>46222</v>
      </c>
      <c r="F160" t="inlineStr">
        <is>
          <t>DALARNAS LÄN</t>
        </is>
      </c>
      <c r="G160" t="inlineStr">
        <is>
          <t>HEDEMORA</t>
        </is>
      </c>
      <c r="H160" t="inlineStr">
        <is>
          <t>Sveaskog</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36306-2024</t>
        </is>
      </c>
      <c r="B161" t="inlineStr">
        <is>
          <t>avverkningsanmälan</t>
        </is>
      </c>
      <c r="C161" t="inlineStr">
        <is>
          <t>Föryngringsavverkning</t>
        </is>
      </c>
      <c r="D161" s="1" t="n">
        <v>45534</v>
      </c>
      <c r="E161" s="1" t="n">
        <v>46222</v>
      </c>
      <c r="F161" t="inlineStr">
        <is>
          <t>DALARNAS LÄN</t>
        </is>
      </c>
      <c r="G161" t="inlineStr">
        <is>
          <t>HEDEMORA</t>
        </is>
      </c>
      <c r="H161" t="inlineStr">
        <is>
          <t>Sveaskog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2056-2026</t>
        </is>
      </c>
      <c r="B162" t="inlineStr">
        <is>
          <t>avverkningsanmälan</t>
        </is>
      </c>
      <c r="C162" t="inlineStr">
        <is>
          <t>Avverkning för att bevara och utveckla /försöksver</t>
        </is>
      </c>
      <c r="D162" s="1" t="n">
        <v>46032</v>
      </c>
      <c r="E162" s="1" t="n">
        <v>46222</v>
      </c>
      <c r="F162" t="inlineStr">
        <is>
          <t>DALARNAS LÄN</t>
        </is>
      </c>
      <c r="G162" t="inlineStr">
        <is>
          <t>HEDEMORA</t>
        </is>
      </c>
      <c r="I162" t="n">
        <v>2.5</v>
      </c>
      <c r="J162" t="n">
        <v>0</v>
      </c>
      <c r="K162" t="n">
        <v>0</v>
      </c>
      <c r="L162" t="n">
        <v>0</v>
      </c>
      <c r="M162" t="n">
        <v>0</v>
      </c>
      <c r="N162" t="n">
        <v>0</v>
      </c>
      <c r="O162" t="n">
        <v>0</v>
      </c>
      <c r="P162" t="n">
        <v>0</v>
      </c>
      <c r="Q162" t="n">
        <v>0</v>
      </c>
      <c r="R162" t="n">
        <v>0</v>
      </c>
      <c r="S162" t="n">
        <v>0</v>
      </c>
      <c r="T162" t="n">
        <v>0</v>
      </c>
      <c r="U162" s="2" t="inlineStr"/>
    </row>
    <row r="163" ht="15" customHeight="1">
      <c r="A163" t="inlineStr">
        <is>
          <t>A 5010-2023</t>
        </is>
      </c>
      <c r="B163" t="inlineStr">
        <is>
          <t>avverkningsanmälan</t>
        </is>
      </c>
      <c r="C163" t="inlineStr">
        <is>
          <t>Föryngringsavverkning</t>
        </is>
      </c>
      <c r="D163" s="1" t="n">
        <v>44956</v>
      </c>
      <c r="E163" s="1" t="n">
        <v>46222</v>
      </c>
      <c r="F163" t="inlineStr">
        <is>
          <t>DALARNAS LÄN</t>
        </is>
      </c>
      <c r="G163" t="inlineStr">
        <is>
          <t>HEDEMORA</t>
        </is>
      </c>
      <c r="H163" t="inlineStr">
        <is>
          <t>Bergvik skog väst AB</t>
        </is>
      </c>
      <c r="I163" t="n">
        <v>5</v>
      </c>
      <c r="J163" t="n">
        <v>0</v>
      </c>
      <c r="K163" t="n">
        <v>0</v>
      </c>
      <c r="L163" t="n">
        <v>0</v>
      </c>
      <c r="M163" t="n">
        <v>0</v>
      </c>
      <c r="N163" t="n">
        <v>0</v>
      </c>
      <c r="O163" t="n">
        <v>0</v>
      </c>
      <c r="P163" t="n">
        <v>0</v>
      </c>
      <c r="Q163" t="n">
        <v>0</v>
      </c>
      <c r="R163" t="n">
        <v>0</v>
      </c>
      <c r="S163" t="n">
        <v>0</v>
      </c>
      <c r="T163" t="n">
        <v>0</v>
      </c>
      <c r="U163" s="2" t="inlineStr"/>
    </row>
    <row r="164" ht="15" customHeight="1">
      <c r="A164" t="inlineStr">
        <is>
          <t>A 39393-2025</t>
        </is>
      </c>
      <c r="B164" t="inlineStr">
        <is>
          <t>avverkningsanmälan</t>
        </is>
      </c>
      <c r="C164" t="inlineStr">
        <is>
          <t>Föryngringsavverkning</t>
        </is>
      </c>
      <c r="D164" s="1" t="n">
        <v>45889</v>
      </c>
      <c r="E164" s="1" t="n">
        <v>46222</v>
      </c>
      <c r="F164" t="inlineStr">
        <is>
          <t>DALARNAS LÄN</t>
        </is>
      </c>
      <c r="G164" t="inlineStr">
        <is>
          <t>HEDEMORA</t>
        </is>
      </c>
      <c r="H164" t="inlineStr">
        <is>
          <t>Sveaskog</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44384-2024</t>
        </is>
      </c>
      <c r="B165" t="inlineStr">
        <is>
          <t>avverkningsanmälan</t>
        </is>
      </c>
      <c r="C165" t="inlineStr">
        <is>
          <t>Föryngringsavverkning</t>
        </is>
      </c>
      <c r="D165" s="1" t="n">
        <v>45573</v>
      </c>
      <c r="E165" s="1" t="n">
        <v>46222</v>
      </c>
      <c r="F165" t="inlineStr">
        <is>
          <t>DALARNAS LÄN</t>
        </is>
      </c>
      <c r="G165" t="inlineStr">
        <is>
          <t>HEDEMORA</t>
        </is>
      </c>
      <c r="H165" t="inlineStr">
        <is>
          <t>Bergvik skog väst AB</t>
        </is>
      </c>
      <c r="I165" t="n">
        <v>9.800000000000001</v>
      </c>
      <c r="J165" t="n">
        <v>0</v>
      </c>
      <c r="K165" t="n">
        <v>0</v>
      </c>
      <c r="L165" t="n">
        <v>0</v>
      </c>
      <c r="M165" t="n">
        <v>0</v>
      </c>
      <c r="N165" t="n">
        <v>0</v>
      </c>
      <c r="O165" t="n">
        <v>0</v>
      </c>
      <c r="P165" t="n">
        <v>0</v>
      </c>
      <c r="Q165" t="n">
        <v>0</v>
      </c>
      <c r="R165" t="n">
        <v>0</v>
      </c>
      <c r="S165" t="n">
        <v>0</v>
      </c>
      <c r="T165" t="n">
        <v>0</v>
      </c>
      <c r="U165" s="2" t="inlineStr"/>
    </row>
    <row r="166" ht="15" customHeight="1">
      <c r="A166" t="inlineStr">
        <is>
          <t>A 44388-2024</t>
        </is>
      </c>
      <c r="B166" t="inlineStr">
        <is>
          <t>avverkningsanmälan</t>
        </is>
      </c>
      <c r="C166" t="inlineStr">
        <is>
          <t>Föryngringsavverkning</t>
        </is>
      </c>
      <c r="D166" s="1" t="n">
        <v>45573</v>
      </c>
      <c r="E166" s="1" t="n">
        <v>46222</v>
      </c>
      <c r="F166" t="inlineStr">
        <is>
          <t>DALARNAS LÄN</t>
        </is>
      </c>
      <c r="G166" t="inlineStr">
        <is>
          <t>HEDEMORA</t>
        </is>
      </c>
      <c r="H166" t="inlineStr">
        <is>
          <t>Bergvik skog väst AB</t>
        </is>
      </c>
      <c r="I166" t="n">
        <v>0.8</v>
      </c>
      <c r="J166" t="n">
        <v>0</v>
      </c>
      <c r="K166" t="n">
        <v>0</v>
      </c>
      <c r="L166" t="n">
        <v>0</v>
      </c>
      <c r="M166" t="n">
        <v>0</v>
      </c>
      <c r="N166" t="n">
        <v>0</v>
      </c>
      <c r="O166" t="n">
        <v>0</v>
      </c>
      <c r="P166" t="n">
        <v>0</v>
      </c>
      <c r="Q166" t="n">
        <v>0</v>
      </c>
      <c r="R166" t="n">
        <v>0</v>
      </c>
      <c r="S166" t="n">
        <v>0</v>
      </c>
      <c r="T166" t="n">
        <v>0</v>
      </c>
      <c r="U166" s="2" t="inlineStr"/>
    </row>
    <row r="167" ht="15" customHeight="1">
      <c r="A167" t="inlineStr">
        <is>
          <t>A 39390-2025</t>
        </is>
      </c>
      <c r="B167" t="inlineStr">
        <is>
          <t>avverkningsanmälan</t>
        </is>
      </c>
      <c r="C167" t="inlineStr">
        <is>
          <t>Föryngringsavverkning</t>
        </is>
      </c>
      <c r="D167" s="1" t="n">
        <v>45889</v>
      </c>
      <c r="E167" s="1" t="n">
        <v>46222</v>
      </c>
      <c r="F167" t="inlineStr">
        <is>
          <t>DALARNAS LÄN</t>
        </is>
      </c>
      <c r="G167" t="inlineStr">
        <is>
          <t>HEDEMORA</t>
        </is>
      </c>
      <c r="H167" t="inlineStr">
        <is>
          <t>Sveaskog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19688-2025</t>
        </is>
      </c>
      <c r="B168" t="inlineStr">
        <is>
          <t>avverkningsanmälan</t>
        </is>
      </c>
      <c r="C168" t="inlineStr">
        <is>
          <t>Föryngringsavverkning</t>
        </is>
      </c>
      <c r="D168" s="1" t="n">
        <v>45770</v>
      </c>
      <c r="E168" s="1" t="n">
        <v>46222</v>
      </c>
      <c r="F168" t="inlineStr">
        <is>
          <t>DALARNAS LÄN</t>
        </is>
      </c>
      <c r="G168" t="inlineStr">
        <is>
          <t>HEDEMORA</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19689-2025</t>
        </is>
      </c>
      <c r="B169" t="inlineStr">
        <is>
          <t>avverkningsanmälan</t>
        </is>
      </c>
      <c r="C169" t="inlineStr">
        <is>
          <t>Föryngringsavverkning</t>
        </is>
      </c>
      <c r="D169" s="1" t="n">
        <v>45770</v>
      </c>
      <c r="E169" s="1" t="n">
        <v>46222</v>
      </c>
      <c r="F169" t="inlineStr">
        <is>
          <t>DALARNAS LÄN</t>
        </is>
      </c>
      <c r="G169" t="inlineStr">
        <is>
          <t>HEDEMORA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40456-2025</t>
        </is>
      </c>
      <c r="B170" t="inlineStr">
        <is>
          <t>avverkningsanmälan</t>
        </is>
      </c>
      <c r="C170" t="inlineStr">
        <is>
          <t>Föryngringsavverkning</t>
        </is>
      </c>
      <c r="D170" s="1" t="n">
        <v>45895</v>
      </c>
      <c r="E170" s="1" t="n">
        <v>46222</v>
      </c>
      <c r="F170" t="inlineStr">
        <is>
          <t>DALARNAS LÄN</t>
        </is>
      </c>
      <c r="G170" t="inlineStr">
        <is>
          <t>HEDEMORA</t>
        </is>
      </c>
      <c r="H170" t="inlineStr">
        <is>
          <t>Bergvik skog väst AB</t>
        </is>
      </c>
      <c r="I170" t="n">
        <v>3.3</v>
      </c>
      <c r="J170" t="n">
        <v>0</v>
      </c>
      <c r="K170" t="n">
        <v>0</v>
      </c>
      <c r="L170" t="n">
        <v>0</v>
      </c>
      <c r="M170" t="n">
        <v>0</v>
      </c>
      <c r="N170" t="n">
        <v>0</v>
      </c>
      <c r="O170" t="n">
        <v>0</v>
      </c>
      <c r="P170" t="n">
        <v>0</v>
      </c>
      <c r="Q170" t="n">
        <v>0</v>
      </c>
      <c r="R170" t="n">
        <v>0</v>
      </c>
      <c r="S170" t="n">
        <v>0</v>
      </c>
      <c r="T170" t="n">
        <v>0</v>
      </c>
      <c r="U170" s="2" t="inlineStr"/>
    </row>
    <row r="171" ht="15" customHeight="1">
      <c r="A171" t="inlineStr">
        <is>
          <t>A 30471-2025</t>
        </is>
      </c>
      <c r="B171" t="inlineStr">
        <is>
          <t>avverkningsanmälan</t>
        </is>
      </c>
      <c r="C171" t="inlineStr">
        <is>
          <t>Föryngringsavverkning</t>
        </is>
      </c>
      <c r="D171" s="1" t="n">
        <v>45827</v>
      </c>
      <c r="E171" s="1" t="n">
        <v>46222</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s="2" t="inlineStr"/>
    </row>
    <row r="172" ht="15" customHeight="1">
      <c r="A172" t="inlineStr">
        <is>
          <t>A 53586-2023</t>
        </is>
      </c>
      <c r="B172" t="inlineStr">
        <is>
          <t>avverkningsanmälan</t>
        </is>
      </c>
      <c r="C172" t="inlineStr">
        <is>
          <t>Föryngringsavverkning</t>
        </is>
      </c>
      <c r="D172" s="1" t="n">
        <v>45230</v>
      </c>
      <c r="E172" s="1" t="n">
        <v>46222</v>
      </c>
      <c r="F172" t="inlineStr">
        <is>
          <t>DALARNAS LÄN</t>
        </is>
      </c>
      <c r="G172" t="inlineStr">
        <is>
          <t>HEDEMORA</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30582-2025</t>
        </is>
      </c>
      <c r="B173" t="inlineStr">
        <is>
          <t>avverkningsanmälan</t>
        </is>
      </c>
      <c r="C173" t="inlineStr">
        <is>
          <t>Föryngringsavverkning</t>
        </is>
      </c>
      <c r="D173" s="1" t="n">
        <v>45831</v>
      </c>
      <c r="E173" s="1" t="n">
        <v>46222</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44957-2021</t>
        </is>
      </c>
      <c r="B174" t="inlineStr">
        <is>
          <t>avverkningsanmälan</t>
        </is>
      </c>
      <c r="C174" t="inlineStr">
        <is>
          <t>Föryngringsavverkning</t>
        </is>
      </c>
      <c r="D174" s="1" t="n">
        <v>44438</v>
      </c>
      <c r="E174" s="1" t="n">
        <v>46222</v>
      </c>
      <c r="F174" t="inlineStr">
        <is>
          <t>DALARNAS LÄN</t>
        </is>
      </c>
      <c r="G174" t="inlineStr">
        <is>
          <t>HEDEMORA</t>
        </is>
      </c>
      <c r="H174" t="inlineStr">
        <is>
          <t>Sveaskog</t>
        </is>
      </c>
      <c r="I174" t="n">
        <v>4.5</v>
      </c>
      <c r="J174" t="n">
        <v>0</v>
      </c>
      <c r="K174" t="n">
        <v>0</v>
      </c>
      <c r="L174" t="n">
        <v>0</v>
      </c>
      <c r="M174" t="n">
        <v>0</v>
      </c>
      <c r="N174" t="n">
        <v>0</v>
      </c>
      <c r="O174" t="n">
        <v>0</v>
      </c>
      <c r="P174" t="n">
        <v>0</v>
      </c>
      <c r="Q174" t="n">
        <v>0</v>
      </c>
      <c r="R174" t="n">
        <v>0</v>
      </c>
      <c r="S174" t="n">
        <v>0</v>
      </c>
      <c r="T174" t="n">
        <v>0</v>
      </c>
      <c r="U174" s="2" t="inlineStr"/>
    </row>
    <row r="175" ht="15" customHeight="1">
      <c r="A175" t="inlineStr">
        <is>
          <t>A 5316-2026</t>
        </is>
      </c>
      <c r="B175" t="inlineStr">
        <is>
          <t>avverkningsanmälan</t>
        </is>
      </c>
      <c r="C175" t="inlineStr">
        <is>
          <t>Föryngringsavverkning</t>
        </is>
      </c>
      <c r="D175" s="1" t="n">
        <v>46050</v>
      </c>
      <c r="E175" s="1" t="n">
        <v>46222</v>
      </c>
      <c r="F175" t="inlineStr">
        <is>
          <t>DALARNAS LÄN</t>
        </is>
      </c>
      <c r="G175" t="inlineStr">
        <is>
          <t>HEDEMORA</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45377-2024</t>
        </is>
      </c>
      <c r="B176" t="inlineStr">
        <is>
          <t>avverkningsanmälan</t>
        </is>
      </c>
      <c r="C176" t="inlineStr">
        <is>
          <t>Föryngringsavverkning</t>
        </is>
      </c>
      <c r="D176" s="1" t="n">
        <v>45576</v>
      </c>
      <c r="E176" s="1" t="n">
        <v>46222</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42645-2025</t>
        </is>
      </c>
      <c r="B177" t="inlineStr">
        <is>
          <t>avverkningsanmälan</t>
        </is>
      </c>
      <c r="C177" t="inlineStr">
        <is>
          <t>Avverkning för att bevara och utveckla /försöksver</t>
        </is>
      </c>
      <c r="D177" s="1" t="n">
        <v>45906</v>
      </c>
      <c r="E177" s="1" t="n">
        <v>46222</v>
      </c>
      <c r="F177" t="inlineStr">
        <is>
          <t>DALARNAS LÄN</t>
        </is>
      </c>
      <c r="G177" t="inlineStr">
        <is>
          <t>HEDEMORA</t>
        </is>
      </c>
      <c r="H177" t="inlineStr">
        <is>
          <t>Sveaskog</t>
        </is>
      </c>
      <c r="I177" t="n">
        <v>1.2</v>
      </c>
      <c r="J177" t="n">
        <v>0</v>
      </c>
      <c r="K177" t="n">
        <v>0</v>
      </c>
      <c r="L177" t="n">
        <v>0</v>
      </c>
      <c r="M177" t="n">
        <v>0</v>
      </c>
      <c r="N177" t="n">
        <v>0</v>
      </c>
      <c r="O177" t="n">
        <v>0</v>
      </c>
      <c r="P177" t="n">
        <v>0</v>
      </c>
      <c r="Q177" t="n">
        <v>0</v>
      </c>
      <c r="R177" t="n">
        <v>0</v>
      </c>
      <c r="S177" t="n">
        <v>0</v>
      </c>
      <c r="T177" t="n">
        <v>0</v>
      </c>
      <c r="U177" s="2" t="inlineStr"/>
    </row>
    <row r="178" ht="15" customHeight="1">
      <c r="A178" t="inlineStr">
        <is>
          <t>A 33009-2025</t>
        </is>
      </c>
      <c r="B178" t="inlineStr">
        <is>
          <t>avverkningsanmälan</t>
        </is>
      </c>
      <c r="C178" t="inlineStr">
        <is>
          <t>Föryngringsavverkning</t>
        </is>
      </c>
      <c r="D178" s="1" t="n">
        <v>45840</v>
      </c>
      <c r="E178" s="1" t="n">
        <v>46222</v>
      </c>
      <c r="F178" t="inlineStr">
        <is>
          <t>DALARNAS LÄN</t>
        </is>
      </c>
      <c r="G178" t="inlineStr">
        <is>
          <t>HEDEMORA</t>
        </is>
      </c>
      <c r="H178" t="inlineStr">
        <is>
          <t>Kyrkan</t>
        </is>
      </c>
      <c r="I178" t="n">
        <v>7.6</v>
      </c>
      <c r="J178" t="n">
        <v>0</v>
      </c>
      <c r="K178" t="n">
        <v>0</v>
      </c>
      <c r="L178" t="n">
        <v>0</v>
      </c>
      <c r="M178" t="n">
        <v>0</v>
      </c>
      <c r="N178" t="n">
        <v>0</v>
      </c>
      <c r="O178" t="n">
        <v>0</v>
      </c>
      <c r="P178" t="n">
        <v>0</v>
      </c>
      <c r="Q178" t="n">
        <v>0</v>
      </c>
      <c r="R178" t="n">
        <v>0</v>
      </c>
      <c r="S178" t="n">
        <v>0</v>
      </c>
      <c r="T178" t="n">
        <v>0</v>
      </c>
      <c r="U178" s="2" t="inlineStr"/>
    </row>
    <row r="179" ht="15" customHeight="1">
      <c r="A179" t="inlineStr">
        <is>
          <t>A 5784-2026</t>
        </is>
      </c>
      <c r="B179" t="inlineStr">
        <is>
          <t>avverkningsanmälan</t>
        </is>
      </c>
      <c r="C179" t="inlineStr">
        <is>
          <t>Föryngringsavverkning</t>
        </is>
      </c>
      <c r="D179" s="1" t="n">
        <v>46051</v>
      </c>
      <c r="E179" s="1" t="n">
        <v>46222</v>
      </c>
      <c r="F179" t="inlineStr">
        <is>
          <t>DALARNAS LÄN</t>
        </is>
      </c>
      <c r="G179" t="inlineStr">
        <is>
          <t>HEDEMORA</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33286-2025</t>
        </is>
      </c>
      <c r="B180" t="inlineStr">
        <is>
          <t>avverkningsanmälan</t>
        </is>
      </c>
      <c r="C180" t="inlineStr">
        <is>
          <t>Föryngringsavverkning</t>
        </is>
      </c>
      <c r="D180" s="1" t="n">
        <v>45840</v>
      </c>
      <c r="E180" s="1" t="n">
        <v>46222</v>
      </c>
      <c r="F180" t="inlineStr">
        <is>
          <t>DALARNAS LÄN</t>
        </is>
      </c>
      <c r="G180" t="inlineStr">
        <is>
          <t>HEDEMORA</t>
        </is>
      </c>
      <c r="H180" t="inlineStr">
        <is>
          <t>Sveaskog</t>
        </is>
      </c>
      <c r="I180" t="n">
        <v>7.1</v>
      </c>
      <c r="J180" t="n">
        <v>0</v>
      </c>
      <c r="K180" t="n">
        <v>0</v>
      </c>
      <c r="L180" t="n">
        <v>0</v>
      </c>
      <c r="M180" t="n">
        <v>0</v>
      </c>
      <c r="N180" t="n">
        <v>0</v>
      </c>
      <c r="O180" t="n">
        <v>0</v>
      </c>
      <c r="P180" t="n">
        <v>0</v>
      </c>
      <c r="Q180" t="n">
        <v>0</v>
      </c>
      <c r="R180" t="n">
        <v>0</v>
      </c>
      <c r="S180" t="n">
        <v>0</v>
      </c>
      <c r="T180" t="n">
        <v>0</v>
      </c>
      <c r="U180" s="2" t="inlineStr"/>
    </row>
    <row r="181" ht="15" customHeight="1">
      <c r="A181" t="inlineStr">
        <is>
          <t>A 5619-2026</t>
        </is>
      </c>
      <c r="B181" t="inlineStr">
        <is>
          <t>avverkningsanmälan</t>
        </is>
      </c>
      <c r="C181" t="inlineStr">
        <is>
          <t>Föryngringsavverkning</t>
        </is>
      </c>
      <c r="D181" s="1" t="n">
        <v>46051</v>
      </c>
      <c r="E181" s="1" t="n">
        <v>46222</v>
      </c>
      <c r="F181" t="inlineStr">
        <is>
          <t>DALARNAS LÄN</t>
        </is>
      </c>
      <c r="G181" t="inlineStr">
        <is>
          <t>HEDEMORA</t>
        </is>
      </c>
      <c r="I181" t="n">
        <v>8</v>
      </c>
      <c r="J181" t="n">
        <v>0</v>
      </c>
      <c r="K181" t="n">
        <v>0</v>
      </c>
      <c r="L181" t="n">
        <v>0</v>
      </c>
      <c r="M181" t="n">
        <v>0</v>
      </c>
      <c r="N181" t="n">
        <v>0</v>
      </c>
      <c r="O181" t="n">
        <v>0</v>
      </c>
      <c r="P181" t="n">
        <v>0</v>
      </c>
      <c r="Q181" t="n">
        <v>0</v>
      </c>
      <c r="R181" t="n">
        <v>0</v>
      </c>
      <c r="S181" t="n">
        <v>0</v>
      </c>
      <c r="T181" t="n">
        <v>0</v>
      </c>
      <c r="U181" s="2" t="inlineStr"/>
    </row>
    <row r="182" ht="15" customHeight="1">
      <c r="A182" t="inlineStr">
        <is>
          <t>A 5617-2026</t>
        </is>
      </c>
      <c r="B182" t="inlineStr">
        <is>
          <t>avverkningsanmälan</t>
        </is>
      </c>
      <c r="C182" t="inlineStr">
        <is>
          <t>Föryngringsavverkning</t>
        </is>
      </c>
      <c r="D182" s="1" t="n">
        <v>46051</v>
      </c>
      <c r="E182" s="1" t="n">
        <v>46222</v>
      </c>
      <c r="F182" t="inlineStr">
        <is>
          <t>DALARNAS LÄN</t>
        </is>
      </c>
      <c r="G182" t="inlineStr">
        <is>
          <t>HEDEMORA</t>
        </is>
      </c>
      <c r="I182" t="n">
        <v>4.3</v>
      </c>
      <c r="J182" t="n">
        <v>0</v>
      </c>
      <c r="K182" t="n">
        <v>0</v>
      </c>
      <c r="L182" t="n">
        <v>0</v>
      </c>
      <c r="M182" t="n">
        <v>0</v>
      </c>
      <c r="N182" t="n">
        <v>0</v>
      </c>
      <c r="O182" t="n">
        <v>0</v>
      </c>
      <c r="P182" t="n">
        <v>0</v>
      </c>
      <c r="Q182" t="n">
        <v>0</v>
      </c>
      <c r="R182" t="n">
        <v>0</v>
      </c>
      <c r="S182" t="n">
        <v>0</v>
      </c>
      <c r="T182" t="n">
        <v>0</v>
      </c>
      <c r="U182" s="2" t="inlineStr"/>
    </row>
    <row r="183" ht="15" customHeight="1">
      <c r="A183" t="inlineStr">
        <is>
          <t>A 34734-2025</t>
        </is>
      </c>
      <c r="B183" t="inlineStr">
        <is>
          <t>avverkningsanmälan</t>
        </is>
      </c>
      <c r="C183" t="inlineStr">
        <is>
          <t>Föryngringsavverkning</t>
        </is>
      </c>
      <c r="D183" s="1" t="n">
        <v>45848</v>
      </c>
      <c r="E183" s="1" t="n">
        <v>46222</v>
      </c>
      <c r="F183" t="inlineStr">
        <is>
          <t>DALARNAS LÄN</t>
        </is>
      </c>
      <c r="G183" t="inlineStr">
        <is>
          <t>HEDEMORA</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59632-2023</t>
        </is>
      </c>
      <c r="B184" t="inlineStr">
        <is>
          <t>avverkningsanmälan</t>
        </is>
      </c>
      <c r="C184" t="inlineStr">
        <is>
          <t>Föryngringsavverkning</t>
        </is>
      </c>
      <c r="D184" s="1" t="n">
        <v>45254</v>
      </c>
      <c r="E184" s="1" t="n">
        <v>46222</v>
      </c>
      <c r="F184" t="inlineStr">
        <is>
          <t>DALARNAS LÄN</t>
        </is>
      </c>
      <c r="G184" t="inlineStr">
        <is>
          <t>HEDEMORA</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15048-2025</t>
        </is>
      </c>
      <c r="B185" t="inlineStr">
        <is>
          <t>avverkningsanmälan</t>
        </is>
      </c>
      <c r="C185" t="inlineStr">
        <is>
          <t>Föryngringsavverkning</t>
        </is>
      </c>
      <c r="D185" s="1" t="n">
        <v>45743</v>
      </c>
      <c r="E185" s="1" t="n">
        <v>46222</v>
      </c>
      <c r="F185" t="inlineStr">
        <is>
          <t>DALARNAS LÄN</t>
        </is>
      </c>
      <c r="G185" t="inlineStr">
        <is>
          <t>HEDEMORA</t>
        </is>
      </c>
      <c r="H185" t="inlineStr">
        <is>
          <t>Sveaskog</t>
        </is>
      </c>
      <c r="I185" t="n">
        <v>9.1</v>
      </c>
      <c r="J185" t="n">
        <v>0</v>
      </c>
      <c r="K185" t="n">
        <v>0</v>
      </c>
      <c r="L185" t="n">
        <v>0</v>
      </c>
      <c r="M185" t="n">
        <v>0</v>
      </c>
      <c r="N185" t="n">
        <v>0</v>
      </c>
      <c r="O185" t="n">
        <v>0</v>
      </c>
      <c r="P185" t="n">
        <v>0</v>
      </c>
      <c r="Q185" t="n">
        <v>0</v>
      </c>
      <c r="R185" t="n">
        <v>0</v>
      </c>
      <c r="S185" t="n">
        <v>0</v>
      </c>
      <c r="T185" t="n">
        <v>0</v>
      </c>
      <c r="U185" s="2" t="inlineStr"/>
    </row>
    <row r="186" ht="15" customHeight="1">
      <c r="A186" t="inlineStr">
        <is>
          <t>A 48238-2025</t>
        </is>
      </c>
      <c r="B186" t="inlineStr">
        <is>
          <t>avverkningsanmälan</t>
        </is>
      </c>
      <c r="C186" t="inlineStr">
        <is>
          <t>Föryngringsavverkning</t>
        </is>
      </c>
      <c r="D186" s="1" t="n">
        <v>45933</v>
      </c>
      <c r="E186" s="1" t="n">
        <v>46222</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63908-2021</t>
        </is>
      </c>
      <c r="B187" t="inlineStr">
        <is>
          <t>avverkningsanmälan</t>
        </is>
      </c>
      <c r="C187" t="inlineStr">
        <is>
          <t>Föryngringsavverkning</t>
        </is>
      </c>
      <c r="D187" s="1" t="n">
        <v>44509</v>
      </c>
      <c r="E187" s="1" t="n">
        <v>46222</v>
      </c>
      <c r="F187" t="inlineStr">
        <is>
          <t>DALARNAS LÄN</t>
        </is>
      </c>
      <c r="G187" t="inlineStr">
        <is>
          <t>HEDEMORA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36117-2025</t>
        </is>
      </c>
      <c r="B188" t="inlineStr">
        <is>
          <t>avverkningsanmälan</t>
        </is>
      </c>
      <c r="C188" t="inlineStr">
        <is>
          <t>Föryngringsavverkning</t>
        </is>
      </c>
      <c r="D188" s="1" t="n">
        <v>45866</v>
      </c>
      <c r="E188" s="1" t="n">
        <v>46222</v>
      </c>
      <c r="F188" t="inlineStr">
        <is>
          <t>DALARNAS LÄN</t>
        </is>
      </c>
      <c r="G188" t="inlineStr">
        <is>
          <t>HEDEMORA</t>
        </is>
      </c>
      <c r="H188" t="inlineStr">
        <is>
          <t>Sveaskog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54423-2023</t>
        </is>
      </c>
      <c r="B189" t="inlineStr">
        <is>
          <t>avverkningsanmälan</t>
        </is>
      </c>
      <c r="C189" t="inlineStr">
        <is>
          <t>Föryngringsavverkning</t>
        </is>
      </c>
      <c r="D189" s="1" t="n">
        <v>45233</v>
      </c>
      <c r="E189" s="1" t="n">
        <v>46222</v>
      </c>
      <c r="F189" t="inlineStr">
        <is>
          <t>DALARNAS LÄN</t>
        </is>
      </c>
      <c r="G189" t="inlineStr">
        <is>
          <t>HEDEMORA</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36075-2025</t>
        </is>
      </c>
      <c r="B190" t="inlineStr">
        <is>
          <t>avverkningsanmälan</t>
        </is>
      </c>
      <c r="C190" t="inlineStr">
        <is>
          <t>Avverkning för annat ändamål</t>
        </is>
      </c>
      <c r="D190" s="1" t="n">
        <v>45866</v>
      </c>
      <c r="E190" s="1" t="n">
        <v>46222</v>
      </c>
      <c r="F190" t="inlineStr">
        <is>
          <t>DALARNAS LÄN</t>
        </is>
      </c>
      <c r="G190" t="inlineStr">
        <is>
          <t>HEDEMORA</t>
        </is>
      </c>
      <c r="I190" t="n">
        <v>0.8</v>
      </c>
      <c r="J190" t="n">
        <v>0</v>
      </c>
      <c r="K190" t="n">
        <v>0</v>
      </c>
      <c r="L190" t="n">
        <v>0</v>
      </c>
      <c r="M190" t="n">
        <v>0</v>
      </c>
      <c r="N190" t="n">
        <v>0</v>
      </c>
      <c r="O190" t="n">
        <v>0</v>
      </c>
      <c r="P190" t="n">
        <v>0</v>
      </c>
      <c r="Q190" t="n">
        <v>0</v>
      </c>
      <c r="R190" t="n">
        <v>0</v>
      </c>
      <c r="S190" t="n">
        <v>0</v>
      </c>
      <c r="T190" t="n">
        <v>0</v>
      </c>
      <c r="U190" s="2" t="inlineStr"/>
    </row>
    <row r="191" ht="15" customHeight="1">
      <c r="A191" t="inlineStr">
        <is>
          <t>A 36206-2025</t>
        </is>
      </c>
      <c r="B191" t="inlineStr">
        <is>
          <t>avverkningsanmälan</t>
        </is>
      </c>
      <c r="C191" t="inlineStr">
        <is>
          <t>Avverkning för annat ändamål</t>
        </is>
      </c>
      <c r="D191" s="1" t="n">
        <v>45867</v>
      </c>
      <c r="E191" s="1" t="n">
        <v>46222</v>
      </c>
      <c r="F191" t="inlineStr">
        <is>
          <t>DALARNAS LÄN</t>
        </is>
      </c>
      <c r="G191" t="inlineStr">
        <is>
          <t>HEDEMORA</t>
        </is>
      </c>
      <c r="I191" t="n">
        <v>0.1</v>
      </c>
      <c r="J191" t="n">
        <v>0</v>
      </c>
      <c r="K191" t="n">
        <v>0</v>
      </c>
      <c r="L191" t="n">
        <v>0</v>
      </c>
      <c r="M191" t="n">
        <v>0</v>
      </c>
      <c r="N191" t="n">
        <v>0</v>
      </c>
      <c r="O191" t="n">
        <v>0</v>
      </c>
      <c r="P191" t="n">
        <v>0</v>
      </c>
      <c r="Q191" t="n">
        <v>0</v>
      </c>
      <c r="R191" t="n">
        <v>0</v>
      </c>
      <c r="S191" t="n">
        <v>0</v>
      </c>
      <c r="T191" t="n">
        <v>0</v>
      </c>
      <c r="U191" s="2" t="inlineStr"/>
    </row>
    <row r="192" ht="15" customHeight="1">
      <c r="A192" t="inlineStr">
        <is>
          <t>A 36656-2025</t>
        </is>
      </c>
      <c r="B192" t="inlineStr">
        <is>
          <t>avverkningsanmälan</t>
        </is>
      </c>
      <c r="C192" t="inlineStr">
        <is>
          <t>Föryngringsavverkning</t>
        </is>
      </c>
      <c r="D192" s="1" t="n">
        <v>45873</v>
      </c>
      <c r="E192" s="1" t="n">
        <v>46222</v>
      </c>
      <c r="F192" t="inlineStr">
        <is>
          <t>DALARNAS LÄN</t>
        </is>
      </c>
      <c r="G192" t="inlineStr">
        <is>
          <t>HEDEMORA</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7165-2026</t>
        </is>
      </c>
      <c r="B193" t="inlineStr">
        <is>
          <t>avverkningsanmälan</t>
        </is>
      </c>
      <c r="C193" t="inlineStr">
        <is>
          <t>Föryngringsavverkning</t>
        </is>
      </c>
      <c r="D193" s="1" t="n">
        <v>46058</v>
      </c>
      <c r="E193" s="1" t="n">
        <v>46222</v>
      </c>
      <c r="F193" t="inlineStr">
        <is>
          <t>DALARNAS LÄN</t>
        </is>
      </c>
      <c r="G193" t="inlineStr">
        <is>
          <t>HEDEMORA</t>
        </is>
      </c>
      <c r="I193" t="n">
        <v>4.9</v>
      </c>
      <c r="J193" t="n">
        <v>0</v>
      </c>
      <c r="K193" t="n">
        <v>0</v>
      </c>
      <c r="L193" t="n">
        <v>0</v>
      </c>
      <c r="M193" t="n">
        <v>0</v>
      </c>
      <c r="N193" t="n">
        <v>0</v>
      </c>
      <c r="O193" t="n">
        <v>0</v>
      </c>
      <c r="P193" t="n">
        <v>0</v>
      </c>
      <c r="Q193" t="n">
        <v>0</v>
      </c>
      <c r="R193" t="n">
        <v>0</v>
      </c>
      <c r="S193" t="n">
        <v>0</v>
      </c>
      <c r="T193" t="n">
        <v>0</v>
      </c>
      <c r="U193" s="2" t="inlineStr"/>
    </row>
    <row r="194" ht="15" customHeight="1">
      <c r="A194" t="inlineStr">
        <is>
          <t>A 21868-2025</t>
        </is>
      </c>
      <c r="B194" t="inlineStr">
        <is>
          <t>avverkningsanmälan</t>
        </is>
      </c>
      <c r="C194" t="inlineStr">
        <is>
          <t>Föryngringsavverkning</t>
        </is>
      </c>
      <c r="D194" s="1" t="n">
        <v>45784</v>
      </c>
      <c r="E194" s="1" t="n">
        <v>46222</v>
      </c>
      <c r="F194" t="inlineStr">
        <is>
          <t>DALARNAS LÄN</t>
        </is>
      </c>
      <c r="G194" t="inlineStr">
        <is>
          <t>HEDEMORA</t>
        </is>
      </c>
      <c r="H194" t="inlineStr">
        <is>
          <t>Sveaskog</t>
        </is>
      </c>
      <c r="I194" t="n">
        <v>10.1</v>
      </c>
      <c r="J194" t="n">
        <v>0</v>
      </c>
      <c r="K194" t="n">
        <v>0</v>
      </c>
      <c r="L194" t="n">
        <v>0</v>
      </c>
      <c r="M194" t="n">
        <v>0</v>
      </c>
      <c r="N194" t="n">
        <v>0</v>
      </c>
      <c r="O194" t="n">
        <v>0</v>
      </c>
      <c r="P194" t="n">
        <v>0</v>
      </c>
      <c r="Q194" t="n">
        <v>0</v>
      </c>
      <c r="R194" t="n">
        <v>0</v>
      </c>
      <c r="S194" t="n">
        <v>0</v>
      </c>
      <c r="T194" t="n">
        <v>0</v>
      </c>
      <c r="U194" s="2" t="inlineStr"/>
    </row>
    <row r="195" ht="15" customHeight="1">
      <c r="A195" t="inlineStr">
        <is>
          <t>A 58841-2023</t>
        </is>
      </c>
      <c r="B195" t="inlineStr">
        <is>
          <t>avverkningsanmälan</t>
        </is>
      </c>
      <c r="C195" t="inlineStr">
        <is>
          <t>Föryngringsavverkning</t>
        </is>
      </c>
      <c r="D195" s="1" t="n">
        <v>45252</v>
      </c>
      <c r="E195" s="1" t="n">
        <v>46222</v>
      </c>
      <c r="F195" t="inlineStr">
        <is>
          <t>DALARNAS LÄN</t>
        </is>
      </c>
      <c r="G195" t="inlineStr">
        <is>
          <t>HEDEMORA</t>
        </is>
      </c>
      <c r="I195" t="n">
        <v>14.8</v>
      </c>
      <c r="J195" t="n">
        <v>0</v>
      </c>
      <c r="K195" t="n">
        <v>0</v>
      </c>
      <c r="L195" t="n">
        <v>0</v>
      </c>
      <c r="M195" t="n">
        <v>0</v>
      </c>
      <c r="N195" t="n">
        <v>0</v>
      </c>
      <c r="O195" t="n">
        <v>0</v>
      </c>
      <c r="P195" t="n">
        <v>0</v>
      </c>
      <c r="Q195" t="n">
        <v>0</v>
      </c>
      <c r="R195" t="n">
        <v>0</v>
      </c>
      <c r="S195" t="n">
        <v>0</v>
      </c>
      <c r="T195" t="n">
        <v>0</v>
      </c>
      <c r="U195" s="2" t="inlineStr"/>
    </row>
    <row r="196" ht="15" customHeight="1">
      <c r="A196" t="inlineStr">
        <is>
          <t>A 21092-2023</t>
        </is>
      </c>
      <c r="B196" t="inlineStr">
        <is>
          <t>avverkningsanmälan</t>
        </is>
      </c>
      <c r="C196" t="inlineStr">
        <is>
          <t>Avverkning för annat ändamål</t>
        </is>
      </c>
      <c r="D196" s="1" t="n">
        <v>45061</v>
      </c>
      <c r="E196" s="1" t="n">
        <v>46222</v>
      </c>
      <c r="F196" t="inlineStr">
        <is>
          <t>DALARNAS LÄN</t>
        </is>
      </c>
      <c r="G196" t="inlineStr">
        <is>
          <t>HEDEMORA</t>
        </is>
      </c>
      <c r="H196" t="inlineStr">
        <is>
          <t>Sveaskog</t>
        </is>
      </c>
      <c r="I196" t="n">
        <v>0.1</v>
      </c>
      <c r="J196" t="n">
        <v>0</v>
      </c>
      <c r="K196" t="n">
        <v>0</v>
      </c>
      <c r="L196" t="n">
        <v>0</v>
      </c>
      <c r="M196" t="n">
        <v>0</v>
      </c>
      <c r="N196" t="n">
        <v>0</v>
      </c>
      <c r="O196" t="n">
        <v>0</v>
      </c>
      <c r="P196" t="n">
        <v>0</v>
      </c>
      <c r="Q196" t="n">
        <v>0</v>
      </c>
      <c r="R196" t="n">
        <v>0</v>
      </c>
      <c r="S196" t="n">
        <v>0</v>
      </c>
      <c r="T196" t="n">
        <v>0</v>
      </c>
      <c r="U196" s="2" t="inlineStr"/>
    </row>
    <row r="197" ht="15" customHeight="1">
      <c r="A197" t="inlineStr">
        <is>
          <t>A 62398-2023</t>
        </is>
      </c>
      <c r="B197" t="inlineStr">
        <is>
          <t>avverkningsanmälan</t>
        </is>
      </c>
      <c r="C197" t="inlineStr">
        <is>
          <t>Föryngringsavverkning</t>
        </is>
      </c>
      <c r="D197" s="1" t="n">
        <v>45268</v>
      </c>
      <c r="E197" s="1" t="n">
        <v>46222</v>
      </c>
      <c r="F197" t="inlineStr">
        <is>
          <t>DALARNAS LÄN</t>
        </is>
      </c>
      <c r="G197" t="inlineStr">
        <is>
          <t>HEDEMORA</t>
        </is>
      </c>
      <c r="I197" t="n">
        <v>2.1</v>
      </c>
      <c r="J197" t="n">
        <v>0</v>
      </c>
      <c r="K197" t="n">
        <v>0</v>
      </c>
      <c r="L197" t="n">
        <v>0</v>
      </c>
      <c r="M197" t="n">
        <v>0</v>
      </c>
      <c r="N197" t="n">
        <v>0</v>
      </c>
      <c r="O197" t="n">
        <v>0</v>
      </c>
      <c r="P197" t="n">
        <v>0</v>
      </c>
      <c r="Q197" t="n">
        <v>0</v>
      </c>
      <c r="R197" t="n">
        <v>0</v>
      </c>
      <c r="S197" t="n">
        <v>0</v>
      </c>
      <c r="T197" t="n">
        <v>0</v>
      </c>
      <c r="U197" s="2" t="inlineStr"/>
    </row>
    <row r="198" ht="15" customHeight="1">
      <c r="A198" t="inlineStr">
        <is>
          <t>A 60786-2023</t>
        </is>
      </c>
      <c r="B198" t="inlineStr">
        <is>
          <t>avverkningsanmälan</t>
        </is>
      </c>
      <c r="C198" t="inlineStr">
        <is>
          <t>Föryngringsavverkning</t>
        </is>
      </c>
      <c r="D198" s="1" t="n">
        <v>45260</v>
      </c>
      <c r="E198" s="1" t="n">
        <v>46222</v>
      </c>
      <c r="F198" t="inlineStr">
        <is>
          <t>DALARNAS LÄN</t>
        </is>
      </c>
      <c r="G198" t="inlineStr">
        <is>
          <t>HEDEMORA</t>
        </is>
      </c>
      <c r="I198" t="n">
        <v>7.1</v>
      </c>
      <c r="J198" t="n">
        <v>0</v>
      </c>
      <c r="K198" t="n">
        <v>0</v>
      </c>
      <c r="L198" t="n">
        <v>0</v>
      </c>
      <c r="M198" t="n">
        <v>0</v>
      </c>
      <c r="N198" t="n">
        <v>0</v>
      </c>
      <c r="O198" t="n">
        <v>0</v>
      </c>
      <c r="P198" t="n">
        <v>0</v>
      </c>
      <c r="Q198" t="n">
        <v>0</v>
      </c>
      <c r="R198" t="n">
        <v>0</v>
      </c>
      <c r="S198" t="n">
        <v>0</v>
      </c>
      <c r="T198" t="n">
        <v>0</v>
      </c>
      <c r="U198" s="2" t="inlineStr"/>
    </row>
    <row r="199" ht="15" customHeight="1">
      <c r="A199" t="inlineStr">
        <is>
          <t>A 36900-2022</t>
        </is>
      </c>
      <c r="B199" t="inlineStr">
        <is>
          <t>avverkningsanmälan</t>
        </is>
      </c>
      <c r="C199" t="inlineStr">
        <is>
          <t>Föryngringsavverkning</t>
        </is>
      </c>
      <c r="D199" s="1" t="n">
        <v>44805</v>
      </c>
      <c r="E199" s="1" t="n">
        <v>46222</v>
      </c>
      <c r="F199" t="inlineStr">
        <is>
          <t>DALARNAS LÄN</t>
        </is>
      </c>
      <c r="G199" t="inlineStr">
        <is>
          <t>HEDEMORA</t>
        </is>
      </c>
      <c r="H199" t="inlineStr">
        <is>
          <t>Sveaskog</t>
        </is>
      </c>
      <c r="I199" t="n">
        <v>2.9</v>
      </c>
      <c r="J199" t="n">
        <v>0</v>
      </c>
      <c r="K199" t="n">
        <v>0</v>
      </c>
      <c r="L199" t="n">
        <v>0</v>
      </c>
      <c r="M199" t="n">
        <v>0</v>
      </c>
      <c r="N199" t="n">
        <v>0</v>
      </c>
      <c r="O199" t="n">
        <v>0</v>
      </c>
      <c r="P199" t="n">
        <v>0</v>
      </c>
      <c r="Q199" t="n">
        <v>0</v>
      </c>
      <c r="R199" t="n">
        <v>0</v>
      </c>
      <c r="S199" t="n">
        <v>0</v>
      </c>
      <c r="T199" t="n">
        <v>0</v>
      </c>
      <c r="U199" s="2" t="inlineStr"/>
    </row>
    <row r="200" ht="15" customHeight="1">
      <c r="A200" t="inlineStr">
        <is>
          <t>A 51615-2025</t>
        </is>
      </c>
      <c r="B200" t="inlineStr">
        <is>
          <t>avverkningsanmälan</t>
        </is>
      </c>
      <c r="C200" t="inlineStr">
        <is>
          <t>Föryngringsavverkning</t>
        </is>
      </c>
      <c r="D200" s="1" t="n">
        <v>45951</v>
      </c>
      <c r="E200" s="1" t="n">
        <v>46222</v>
      </c>
      <c r="F200" t="inlineStr">
        <is>
          <t>DALARNAS LÄN</t>
        </is>
      </c>
      <c r="G200" t="inlineStr">
        <is>
          <t>HEDEMORA</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51695-2025</t>
        </is>
      </c>
      <c r="B201" t="inlineStr">
        <is>
          <t>avverkningsanmälan</t>
        </is>
      </c>
      <c r="C201" t="inlineStr">
        <is>
          <t>Föryngringsavverkning</t>
        </is>
      </c>
      <c r="D201" s="1" t="n">
        <v>45951</v>
      </c>
      <c r="E201" s="1" t="n">
        <v>46222</v>
      </c>
      <c r="F201" t="inlineStr">
        <is>
          <t>DALARNAS LÄN</t>
        </is>
      </c>
      <c r="G201" t="inlineStr">
        <is>
          <t>HEDEMORA</t>
        </is>
      </c>
      <c r="I201" t="n">
        <v>2.1</v>
      </c>
      <c r="J201" t="n">
        <v>0</v>
      </c>
      <c r="K201" t="n">
        <v>0</v>
      </c>
      <c r="L201" t="n">
        <v>0</v>
      </c>
      <c r="M201" t="n">
        <v>0</v>
      </c>
      <c r="N201" t="n">
        <v>0</v>
      </c>
      <c r="O201" t="n">
        <v>0</v>
      </c>
      <c r="P201" t="n">
        <v>0</v>
      </c>
      <c r="Q201" t="n">
        <v>0</v>
      </c>
      <c r="R201" t="n">
        <v>0</v>
      </c>
      <c r="S201" t="n">
        <v>0</v>
      </c>
      <c r="T201" t="n">
        <v>0</v>
      </c>
      <c r="U201" s="2" t="inlineStr"/>
    </row>
    <row r="202" ht="15" customHeight="1">
      <c r="A202" t="inlineStr">
        <is>
          <t>A 52714-2025</t>
        </is>
      </c>
      <c r="B202" t="inlineStr">
        <is>
          <t>avverkningsanmälan</t>
        </is>
      </c>
      <c r="C202" t="inlineStr">
        <is>
          <t>Föryngringsavverkning</t>
        </is>
      </c>
      <c r="D202" s="1" t="n">
        <v>45953</v>
      </c>
      <c r="E202" s="1" t="n">
        <v>46222</v>
      </c>
      <c r="F202" t="inlineStr">
        <is>
          <t>DALARNAS LÄN</t>
        </is>
      </c>
      <c r="G202" t="inlineStr">
        <is>
          <t>HEDEMORA</t>
        </is>
      </c>
      <c r="H202" t="inlineStr">
        <is>
          <t>Bergvik skog väst AB</t>
        </is>
      </c>
      <c r="I202" t="n">
        <v>14.7</v>
      </c>
      <c r="J202" t="n">
        <v>0</v>
      </c>
      <c r="K202" t="n">
        <v>0</v>
      </c>
      <c r="L202" t="n">
        <v>0</v>
      </c>
      <c r="M202" t="n">
        <v>0</v>
      </c>
      <c r="N202" t="n">
        <v>0</v>
      </c>
      <c r="O202" t="n">
        <v>0</v>
      </c>
      <c r="P202" t="n">
        <v>0</v>
      </c>
      <c r="Q202" t="n">
        <v>0</v>
      </c>
      <c r="R202" t="n">
        <v>0</v>
      </c>
      <c r="S202" t="n">
        <v>0</v>
      </c>
      <c r="T202" t="n">
        <v>0</v>
      </c>
      <c r="U202" s="2" t="inlineStr"/>
    </row>
    <row r="203" ht="15" customHeight="1">
      <c r="A203" t="inlineStr">
        <is>
          <t>A 4809-2026</t>
        </is>
      </c>
      <c r="B203" t="inlineStr">
        <is>
          <t>avverkningsanmälan</t>
        </is>
      </c>
      <c r="C203" t="inlineStr">
        <is>
          <t>Föryngringsavverkning</t>
        </is>
      </c>
      <c r="D203" s="1" t="n">
        <v>46048</v>
      </c>
      <c r="E203" s="1" t="n">
        <v>46222</v>
      </c>
      <c r="F203" t="inlineStr">
        <is>
          <t>DALARNAS LÄN</t>
        </is>
      </c>
      <c r="G203" t="inlineStr">
        <is>
          <t>HEDEMORA</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51943-2025</t>
        </is>
      </c>
      <c r="B204" t="inlineStr">
        <is>
          <t>avverkningsanmälan</t>
        </is>
      </c>
      <c r="C204" t="inlineStr">
        <is>
          <t>Föryngringsavverkning</t>
        </is>
      </c>
      <c r="D204" s="1" t="n">
        <v>45952</v>
      </c>
      <c r="E204" s="1" t="n">
        <v>46222</v>
      </c>
      <c r="F204" t="inlineStr">
        <is>
          <t>DALARNAS LÄN</t>
        </is>
      </c>
      <c r="G204" t="inlineStr">
        <is>
          <t>HEDEMORA</t>
        </is>
      </c>
      <c r="I204" t="n">
        <v>4.5</v>
      </c>
      <c r="J204" t="n">
        <v>0</v>
      </c>
      <c r="K204" t="n">
        <v>0</v>
      </c>
      <c r="L204" t="n">
        <v>0</v>
      </c>
      <c r="M204" t="n">
        <v>0</v>
      </c>
      <c r="N204" t="n">
        <v>0</v>
      </c>
      <c r="O204" t="n">
        <v>0</v>
      </c>
      <c r="P204" t="n">
        <v>0</v>
      </c>
      <c r="Q204" t="n">
        <v>0</v>
      </c>
      <c r="R204" t="n">
        <v>0</v>
      </c>
      <c r="S204" t="n">
        <v>0</v>
      </c>
      <c r="T204" t="n">
        <v>0</v>
      </c>
      <c r="U204" s="2" t="inlineStr"/>
    </row>
    <row r="205" ht="15" customHeight="1">
      <c r="A205" t="inlineStr">
        <is>
          <t>A 53044-2025</t>
        </is>
      </c>
      <c r="B205" t="inlineStr">
        <is>
          <t>avverkningsanmälan</t>
        </is>
      </c>
      <c r="C205" t="inlineStr">
        <is>
          <t>Föryngringsavverkning</t>
        </is>
      </c>
      <c r="D205" s="1" t="n">
        <v>45958</v>
      </c>
      <c r="E205" s="1" t="n">
        <v>46222</v>
      </c>
      <c r="F205" t="inlineStr">
        <is>
          <t>DALARNAS LÄN</t>
        </is>
      </c>
      <c r="G205" t="inlineStr">
        <is>
          <t>HEDEMORA</t>
        </is>
      </c>
      <c r="H205" t="inlineStr">
        <is>
          <t>Sveaskog</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8613-2026</t>
        </is>
      </c>
      <c r="B206" t="inlineStr">
        <is>
          <t>avverkningsanmälan</t>
        </is>
      </c>
      <c r="C206" t="inlineStr">
        <is>
          <t>Föryngringsavverkning</t>
        </is>
      </c>
      <c r="D206" s="1" t="n">
        <v>46065</v>
      </c>
      <c r="E206" s="1" t="n">
        <v>46222</v>
      </c>
      <c r="F206" t="inlineStr">
        <is>
          <t>DALARNAS LÄN</t>
        </is>
      </c>
      <c r="G206" t="inlineStr">
        <is>
          <t>HEDEMORA</t>
        </is>
      </c>
      <c r="H206" t="inlineStr">
        <is>
          <t>Sveaskog</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8824-2026</t>
        </is>
      </c>
      <c r="B207" t="inlineStr">
        <is>
          <t>avverkningsanmälan</t>
        </is>
      </c>
      <c r="C207" t="inlineStr">
        <is>
          <t>Föryngringsavverkning</t>
        </is>
      </c>
      <c r="D207" s="1" t="n">
        <v>46066</v>
      </c>
      <c r="E207" s="1" t="n">
        <v>46222</v>
      </c>
      <c r="F207" t="inlineStr">
        <is>
          <t>DALARNAS LÄN</t>
        </is>
      </c>
      <c r="G207" t="inlineStr">
        <is>
          <t>HEDEMORA</t>
        </is>
      </c>
      <c r="H207" t="inlineStr">
        <is>
          <t>Sveaskog</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53040-2025</t>
        </is>
      </c>
      <c r="B208" t="inlineStr">
        <is>
          <t>avverkningsanmälan</t>
        </is>
      </c>
      <c r="C208" t="inlineStr">
        <is>
          <t>Föryngringsavverkning</t>
        </is>
      </c>
      <c r="D208" s="1" t="n">
        <v>45958</v>
      </c>
      <c r="E208" s="1" t="n">
        <v>46222</v>
      </c>
      <c r="F208" t="inlineStr">
        <is>
          <t>DALARNAS LÄN</t>
        </is>
      </c>
      <c r="G208" t="inlineStr">
        <is>
          <t>HEDEMORA</t>
        </is>
      </c>
      <c r="H208" t="inlineStr">
        <is>
          <t>Sveaskog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54040-2025</t>
        </is>
      </c>
      <c r="B209" t="inlineStr">
        <is>
          <t>avverkningsanmälan</t>
        </is>
      </c>
      <c r="C209" t="inlineStr">
        <is>
          <t>Föryngringsavverkning</t>
        </is>
      </c>
      <c r="D209" s="1" t="n">
        <v>45963</v>
      </c>
      <c r="E209" s="1" t="n">
        <v>46222</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s="2" t="inlineStr"/>
    </row>
    <row r="210" ht="15" customHeight="1">
      <c r="A210" t="inlineStr">
        <is>
          <t>A 8342-2025</t>
        </is>
      </c>
      <c r="B210" t="inlineStr">
        <is>
          <t>avverkningsanmälan</t>
        </is>
      </c>
      <c r="C210" t="inlineStr">
        <is>
          <t>Avverkning för annat ändamål</t>
        </is>
      </c>
      <c r="D210" s="1" t="n">
        <v>45708</v>
      </c>
      <c r="E210" s="1" t="n">
        <v>46222</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9680-2026</t>
        </is>
      </c>
      <c r="B211" t="inlineStr">
        <is>
          <t>avverkningsanmälan</t>
        </is>
      </c>
      <c r="C211" t="inlineStr">
        <is>
          <t>Föryngringsavverkning</t>
        </is>
      </c>
      <c r="D211" s="1" t="n">
        <v>46072</v>
      </c>
      <c r="E211" s="1" t="n">
        <v>46222</v>
      </c>
      <c r="F211" t="inlineStr">
        <is>
          <t>DALARNAS LÄN</t>
        </is>
      </c>
      <c r="G211" t="inlineStr">
        <is>
          <t>HEDEMORA</t>
        </is>
      </c>
      <c r="I211" t="n">
        <v>4.2</v>
      </c>
      <c r="J211" t="n">
        <v>0</v>
      </c>
      <c r="K211" t="n">
        <v>0</v>
      </c>
      <c r="L211" t="n">
        <v>0</v>
      </c>
      <c r="M211" t="n">
        <v>0</v>
      </c>
      <c r="N211" t="n">
        <v>0</v>
      </c>
      <c r="O211" t="n">
        <v>0</v>
      </c>
      <c r="P211" t="n">
        <v>0</v>
      </c>
      <c r="Q211" t="n">
        <v>0</v>
      </c>
      <c r="R211" t="n">
        <v>0</v>
      </c>
      <c r="S211" t="n">
        <v>0</v>
      </c>
      <c r="T211" t="n">
        <v>0</v>
      </c>
      <c r="U211" s="2" t="inlineStr"/>
    </row>
    <row r="212" ht="15" customHeight="1">
      <c r="A212" t="inlineStr">
        <is>
          <t>A 9672-2026</t>
        </is>
      </c>
      <c r="B212" t="inlineStr">
        <is>
          <t>avverkningsanmälan</t>
        </is>
      </c>
      <c r="C212" t="inlineStr">
        <is>
          <t>Föryngringsavverkning</t>
        </is>
      </c>
      <c r="D212" s="1" t="n">
        <v>46072</v>
      </c>
      <c r="E212" s="1" t="n">
        <v>46222</v>
      </c>
      <c r="F212" t="inlineStr">
        <is>
          <t>DALARNAS LÄN</t>
        </is>
      </c>
      <c r="G212" t="inlineStr">
        <is>
          <t>HEDEMORA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9674-2026</t>
        </is>
      </c>
      <c r="B213" t="inlineStr">
        <is>
          <t>avverkningsanmälan</t>
        </is>
      </c>
      <c r="C213" t="inlineStr">
        <is>
          <t>Föryngringsavverkning</t>
        </is>
      </c>
      <c r="D213" s="1" t="n">
        <v>46072</v>
      </c>
      <c r="E213" s="1" t="n">
        <v>46222</v>
      </c>
      <c r="F213" t="inlineStr">
        <is>
          <t>DALARNAS LÄN</t>
        </is>
      </c>
      <c r="G213" t="inlineStr">
        <is>
          <t>HEDEMORA</t>
        </is>
      </c>
      <c r="I213" t="n">
        <v>1.2</v>
      </c>
      <c r="J213" t="n">
        <v>0</v>
      </c>
      <c r="K213" t="n">
        <v>0</v>
      </c>
      <c r="L213" t="n">
        <v>0</v>
      </c>
      <c r="M213" t="n">
        <v>0</v>
      </c>
      <c r="N213" t="n">
        <v>0</v>
      </c>
      <c r="O213" t="n">
        <v>0</v>
      </c>
      <c r="P213" t="n">
        <v>0</v>
      </c>
      <c r="Q213" t="n">
        <v>0</v>
      </c>
      <c r="R213" t="n">
        <v>0</v>
      </c>
      <c r="S213" t="n">
        <v>0</v>
      </c>
      <c r="T213" t="n">
        <v>0</v>
      </c>
      <c r="U213" s="2" t="inlineStr"/>
    </row>
    <row r="214" ht="15" customHeight="1">
      <c r="A214" t="inlineStr">
        <is>
          <t>A 23435-2025</t>
        </is>
      </c>
      <c r="B214" t="inlineStr">
        <is>
          <t>avverkningsanmälan</t>
        </is>
      </c>
      <c r="C214" t="inlineStr">
        <is>
          <t>Föryngringsavverkning</t>
        </is>
      </c>
      <c r="D214" s="1" t="n">
        <v>45792</v>
      </c>
      <c r="E214" s="1" t="n">
        <v>46222</v>
      </c>
      <c r="F214" t="inlineStr">
        <is>
          <t>DALARNAS LÄN</t>
        </is>
      </c>
      <c r="G214" t="inlineStr">
        <is>
          <t>HEDEMORA</t>
        </is>
      </c>
      <c r="H214" t="inlineStr">
        <is>
          <t>Sveaskog</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15833-2025</t>
        </is>
      </c>
      <c r="B215" t="inlineStr">
        <is>
          <t>avverkningsanmälan</t>
        </is>
      </c>
      <c r="C215" t="inlineStr">
        <is>
          <t>Föryngringsavverkning</t>
        </is>
      </c>
      <c r="D215" s="1" t="n">
        <v>45748</v>
      </c>
      <c r="E215" s="1" t="n">
        <v>46222</v>
      </c>
      <c r="F215" t="inlineStr">
        <is>
          <t>DALARNAS LÄN</t>
        </is>
      </c>
      <c r="G215" t="inlineStr">
        <is>
          <t>HEDEMORA</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21869-2025</t>
        </is>
      </c>
      <c r="B216" t="inlineStr">
        <is>
          <t>avverkningsanmälan</t>
        </is>
      </c>
      <c r="C216" t="inlineStr">
        <is>
          <t>Föryngringsavverkning</t>
        </is>
      </c>
      <c r="D216" s="1" t="n">
        <v>45784</v>
      </c>
      <c r="E216" s="1" t="n">
        <v>46222</v>
      </c>
      <c r="F216" t="inlineStr">
        <is>
          <t>DALARNAS LÄN</t>
        </is>
      </c>
      <c r="G216" t="inlineStr">
        <is>
          <t>HEDEMORA</t>
        </is>
      </c>
      <c r="H216" t="inlineStr">
        <is>
          <t>Sveaskog</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32738-2022</t>
        </is>
      </c>
      <c r="B217" t="inlineStr">
        <is>
          <t>avverkningsanmälan</t>
        </is>
      </c>
      <c r="C217" t="inlineStr">
        <is>
          <t>Föryngringsavverkning</t>
        </is>
      </c>
      <c r="D217" s="1" t="n">
        <v>44783</v>
      </c>
      <c r="E217" s="1" t="n">
        <v>46222</v>
      </c>
      <c r="F217" t="inlineStr">
        <is>
          <t>DALARNAS LÄN</t>
        </is>
      </c>
      <c r="G217" t="inlineStr">
        <is>
          <t>HEDEMORA</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33287-2025</t>
        </is>
      </c>
      <c r="B218" t="inlineStr">
        <is>
          <t>avverkningsanmälan</t>
        </is>
      </c>
      <c r="C218" t="inlineStr">
        <is>
          <t>Föryngringsavverkning</t>
        </is>
      </c>
      <c r="D218" s="1" t="n">
        <v>45840</v>
      </c>
      <c r="E218" s="1" t="n">
        <v>46222</v>
      </c>
      <c r="F218" t="inlineStr">
        <is>
          <t>DALARNAS LÄN</t>
        </is>
      </c>
      <c r="G218" t="inlineStr">
        <is>
          <t>HEDEMORA</t>
        </is>
      </c>
      <c r="H218" t="inlineStr">
        <is>
          <t>Sveaskog</t>
        </is>
      </c>
      <c r="I218" t="n">
        <v>4.1</v>
      </c>
      <c r="J218" t="n">
        <v>0</v>
      </c>
      <c r="K218" t="n">
        <v>0</v>
      </c>
      <c r="L218" t="n">
        <v>0</v>
      </c>
      <c r="M218" t="n">
        <v>0</v>
      </c>
      <c r="N218" t="n">
        <v>0</v>
      </c>
      <c r="O218" t="n">
        <v>0</v>
      </c>
      <c r="P218" t="n">
        <v>0</v>
      </c>
      <c r="Q218" t="n">
        <v>0</v>
      </c>
      <c r="R218" t="n">
        <v>0</v>
      </c>
      <c r="S218" t="n">
        <v>0</v>
      </c>
      <c r="T218" t="n">
        <v>0</v>
      </c>
      <c r="U218" s="2" t="inlineStr"/>
    </row>
    <row r="219" ht="15" customHeight="1">
      <c r="A219" t="inlineStr">
        <is>
          <t>A 55159-2025</t>
        </is>
      </c>
      <c r="B219" t="inlineStr">
        <is>
          <t>avverkningsanmälan</t>
        </is>
      </c>
      <c r="C219" t="inlineStr">
        <is>
          <t>Föryngringsavverkning</t>
        </is>
      </c>
      <c r="D219" s="1" t="n">
        <v>45968</v>
      </c>
      <c r="E219" s="1" t="n">
        <v>46222</v>
      </c>
      <c r="F219" t="inlineStr">
        <is>
          <t>DALARNAS LÄN</t>
        </is>
      </c>
      <c r="G219" t="inlineStr">
        <is>
          <t>HEDEMORA</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48147-2025</t>
        </is>
      </c>
      <c r="B220" t="inlineStr">
        <is>
          <t>avverkningsanmälan</t>
        </is>
      </c>
      <c r="C220" t="inlineStr">
        <is>
          <t>Föryngringsavverkning</t>
        </is>
      </c>
      <c r="D220" s="1" t="n">
        <v>45933</v>
      </c>
      <c r="E220" s="1" t="n">
        <v>46222</v>
      </c>
      <c r="F220" t="inlineStr">
        <is>
          <t>DALARNAS LÄN</t>
        </is>
      </c>
      <c r="G220" t="inlineStr">
        <is>
          <t>HEDEMORA</t>
        </is>
      </c>
      <c r="I220" t="n">
        <v>6.6</v>
      </c>
      <c r="J220" t="n">
        <v>0</v>
      </c>
      <c r="K220" t="n">
        <v>0</v>
      </c>
      <c r="L220" t="n">
        <v>0</v>
      </c>
      <c r="M220" t="n">
        <v>0</v>
      </c>
      <c r="N220" t="n">
        <v>0</v>
      </c>
      <c r="O220" t="n">
        <v>0</v>
      </c>
      <c r="P220" t="n">
        <v>0</v>
      </c>
      <c r="Q220" t="n">
        <v>0</v>
      </c>
      <c r="R220" t="n">
        <v>0</v>
      </c>
      <c r="S220" t="n">
        <v>0</v>
      </c>
      <c r="T220" t="n">
        <v>0</v>
      </c>
      <c r="U220" s="2" t="inlineStr"/>
    </row>
    <row r="221" ht="15" customHeight="1">
      <c r="A221" t="inlineStr">
        <is>
          <t>A 39389-2025</t>
        </is>
      </c>
      <c r="B221" t="inlineStr">
        <is>
          <t>avverkningsanmälan</t>
        </is>
      </c>
      <c r="C221" t="inlineStr">
        <is>
          <t>Föryngringsavverkning</t>
        </is>
      </c>
      <c r="D221" s="1" t="n">
        <v>45889</v>
      </c>
      <c r="E221" s="1" t="n">
        <v>46222</v>
      </c>
      <c r="F221" t="inlineStr">
        <is>
          <t>DALARNAS LÄN</t>
        </is>
      </c>
      <c r="G221" t="inlineStr">
        <is>
          <t>HEDEMORA</t>
        </is>
      </c>
      <c r="H221" t="inlineStr">
        <is>
          <t>Sveaskog</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12136-2025</t>
        </is>
      </c>
      <c r="B222" t="inlineStr">
        <is>
          <t>avverkningsanmälan</t>
        </is>
      </c>
      <c r="C222" t="inlineStr">
        <is>
          <t>Föryngringsavverkning</t>
        </is>
      </c>
      <c r="D222" s="1" t="n">
        <v>45729</v>
      </c>
      <c r="E222" s="1" t="n">
        <v>46222</v>
      </c>
      <c r="F222" t="inlineStr">
        <is>
          <t>DALARNAS LÄN</t>
        </is>
      </c>
      <c r="G222" t="inlineStr">
        <is>
          <t>HEDEMORA</t>
        </is>
      </c>
      <c r="I222" t="n">
        <v>1.5</v>
      </c>
      <c r="J222" t="n">
        <v>0</v>
      </c>
      <c r="K222" t="n">
        <v>0</v>
      </c>
      <c r="L222" t="n">
        <v>0</v>
      </c>
      <c r="M222" t="n">
        <v>0</v>
      </c>
      <c r="N222" t="n">
        <v>0</v>
      </c>
      <c r="O222" t="n">
        <v>0</v>
      </c>
      <c r="P222" t="n">
        <v>0</v>
      </c>
      <c r="Q222" t="n">
        <v>0</v>
      </c>
      <c r="R222" t="n">
        <v>0</v>
      </c>
      <c r="S222" t="n">
        <v>0</v>
      </c>
      <c r="T222" t="n">
        <v>0</v>
      </c>
      <c r="U222" s="2" t="inlineStr"/>
    </row>
    <row r="223" ht="15" customHeight="1">
      <c r="A223" t="inlineStr">
        <is>
          <t>A 33288-2025</t>
        </is>
      </c>
      <c r="B223" t="inlineStr">
        <is>
          <t>avverkningsanmälan</t>
        </is>
      </c>
      <c r="C223" t="inlineStr">
        <is>
          <t>Föryngringsavverkning</t>
        </is>
      </c>
      <c r="D223" s="1" t="n">
        <v>45840</v>
      </c>
      <c r="E223" s="1" t="n">
        <v>46222</v>
      </c>
      <c r="F223" t="inlineStr">
        <is>
          <t>DALARNAS LÄN</t>
        </is>
      </c>
      <c r="G223" t="inlineStr">
        <is>
          <t>HEDEMORA</t>
        </is>
      </c>
      <c r="H223" t="inlineStr">
        <is>
          <t>Sveaskog</t>
        </is>
      </c>
      <c r="I223" t="n">
        <v>3.5</v>
      </c>
      <c r="J223" t="n">
        <v>0</v>
      </c>
      <c r="K223" t="n">
        <v>0</v>
      </c>
      <c r="L223" t="n">
        <v>0</v>
      </c>
      <c r="M223" t="n">
        <v>0</v>
      </c>
      <c r="N223" t="n">
        <v>0</v>
      </c>
      <c r="O223" t="n">
        <v>0</v>
      </c>
      <c r="P223" t="n">
        <v>0</v>
      </c>
      <c r="Q223" t="n">
        <v>0</v>
      </c>
      <c r="R223" t="n">
        <v>0</v>
      </c>
      <c r="S223" t="n">
        <v>0</v>
      </c>
      <c r="T223" t="n">
        <v>0</v>
      </c>
      <c r="U223" s="2" t="inlineStr"/>
    </row>
    <row r="224" ht="15" customHeight="1">
      <c r="A224" t="inlineStr">
        <is>
          <t>A 55606-2025</t>
        </is>
      </c>
      <c r="B224" t="inlineStr">
        <is>
          <t>avverkningsanmälan</t>
        </is>
      </c>
      <c r="C224" t="inlineStr">
        <is>
          <t>Föryngringsavverkning</t>
        </is>
      </c>
      <c r="D224" s="1" t="n">
        <v>45971</v>
      </c>
      <c r="E224" s="1" t="n">
        <v>46222</v>
      </c>
      <c r="F224" t="inlineStr">
        <is>
          <t>DALARNAS LÄN</t>
        </is>
      </c>
      <c r="G224" t="inlineStr">
        <is>
          <t>HEDEMORA</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59295-2025</t>
        </is>
      </c>
      <c r="B225" t="inlineStr">
        <is>
          <t>avverkningsanmälan</t>
        </is>
      </c>
      <c r="C225" t="inlineStr">
        <is>
          <t>Föryngringsavverkning</t>
        </is>
      </c>
      <c r="D225" s="1" t="n">
        <v>45988</v>
      </c>
      <c r="E225" s="1" t="n">
        <v>46222</v>
      </c>
      <c r="F225" t="inlineStr">
        <is>
          <t>DALARNAS LÄN</t>
        </is>
      </c>
      <c r="G225" t="inlineStr">
        <is>
          <t>HEDEMORA</t>
        </is>
      </c>
      <c r="H225" t="inlineStr">
        <is>
          <t>Sveaskog</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59350-2025</t>
        </is>
      </c>
      <c r="B226" t="inlineStr">
        <is>
          <t>avverkningsanmälan</t>
        </is>
      </c>
      <c r="C226" t="inlineStr">
        <is>
          <t>Avverkning för att bevara och utveckla /försöksver</t>
        </is>
      </c>
      <c r="D226" s="1" t="n">
        <v>45989</v>
      </c>
      <c r="E226" s="1" t="n">
        <v>46222</v>
      </c>
      <c r="F226" t="inlineStr">
        <is>
          <t>DALARNAS LÄN</t>
        </is>
      </c>
      <c r="G226" t="inlineStr">
        <is>
          <t>HEDEMORA</t>
        </is>
      </c>
      <c r="H226" t="inlineStr">
        <is>
          <t>Sveaskog</t>
        </is>
      </c>
      <c r="I226" t="n">
        <v>4.4</v>
      </c>
      <c r="J226" t="n">
        <v>0</v>
      </c>
      <c r="K226" t="n">
        <v>0</v>
      </c>
      <c r="L226" t="n">
        <v>0</v>
      </c>
      <c r="M226" t="n">
        <v>0</v>
      </c>
      <c r="N226" t="n">
        <v>0</v>
      </c>
      <c r="O226" t="n">
        <v>0</v>
      </c>
      <c r="P226" t="n">
        <v>0</v>
      </c>
      <c r="Q226" t="n">
        <v>0</v>
      </c>
      <c r="R226" t="n">
        <v>0</v>
      </c>
      <c r="S226" t="n">
        <v>0</v>
      </c>
      <c r="T226" t="n">
        <v>0</v>
      </c>
      <c r="U226" s="2" t="inlineStr"/>
    </row>
    <row r="227" ht="15" customHeight="1">
      <c r="A227" t="inlineStr">
        <is>
          <t>A 60445-2025</t>
        </is>
      </c>
      <c r="B227" t="inlineStr">
        <is>
          <t>avverkningsanmälan</t>
        </is>
      </c>
      <c r="C227" t="inlineStr">
        <is>
          <t>Avverkning för att bevara och utveckla /försöksver</t>
        </is>
      </c>
      <c r="D227" s="1" t="n">
        <v>45995</v>
      </c>
      <c r="E227" s="1" t="n">
        <v>46222</v>
      </c>
      <c r="F227" t="inlineStr">
        <is>
          <t>DALARNAS LÄN</t>
        </is>
      </c>
      <c r="G227" t="inlineStr">
        <is>
          <t>HEDEMORA</t>
        </is>
      </c>
      <c r="H227" t="inlineStr">
        <is>
          <t>Sveaskog</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56070-2025</t>
        </is>
      </c>
      <c r="B228" t="inlineStr">
        <is>
          <t>avverkningsanmälan</t>
        </is>
      </c>
      <c r="C228" t="inlineStr">
        <is>
          <t>Föryngringsavverkning</t>
        </is>
      </c>
      <c r="D228" s="1" t="n">
        <v>45973</v>
      </c>
      <c r="E228" s="1" t="n">
        <v>46222</v>
      </c>
      <c r="F228" t="inlineStr">
        <is>
          <t>DALARNAS LÄN</t>
        </is>
      </c>
      <c r="G228" t="inlineStr">
        <is>
          <t>HEDEMORA</t>
        </is>
      </c>
      <c r="H228" t="inlineStr">
        <is>
          <t>Bergvik skog väst AB</t>
        </is>
      </c>
      <c r="I228" t="n">
        <v>5.4</v>
      </c>
      <c r="J228" t="n">
        <v>0</v>
      </c>
      <c r="K228" t="n">
        <v>0</v>
      </c>
      <c r="L228" t="n">
        <v>0</v>
      </c>
      <c r="M228" t="n">
        <v>0</v>
      </c>
      <c r="N228" t="n">
        <v>0</v>
      </c>
      <c r="O228" t="n">
        <v>0</v>
      </c>
      <c r="P228" t="n">
        <v>0</v>
      </c>
      <c r="Q228" t="n">
        <v>0</v>
      </c>
      <c r="R228" t="n">
        <v>0</v>
      </c>
      <c r="S228" t="n">
        <v>0</v>
      </c>
      <c r="T228" t="n">
        <v>0</v>
      </c>
      <c r="U228" s="2" t="inlineStr"/>
    </row>
    <row r="229" ht="15" customHeight="1">
      <c r="A229" t="inlineStr">
        <is>
          <t>A 50333-2023</t>
        </is>
      </c>
      <c r="B229" t="inlineStr">
        <is>
          <t>avverkningsanmälan</t>
        </is>
      </c>
      <c r="C229" t="inlineStr">
        <is>
          <t>Avverkning för att bevara och utveckla /försöksver</t>
        </is>
      </c>
      <c r="D229" s="1" t="n">
        <v>45216</v>
      </c>
      <c r="E229" s="1" t="n">
        <v>46222</v>
      </c>
      <c r="F229" t="inlineStr">
        <is>
          <t>DALARNAS LÄN</t>
        </is>
      </c>
      <c r="G229" t="inlineStr">
        <is>
          <t>HEDEMORA</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56679-2025</t>
        </is>
      </c>
      <c r="B230" t="inlineStr">
        <is>
          <t>avverkningsanmälan</t>
        </is>
      </c>
      <c r="C230" t="inlineStr">
        <is>
          <t>Föryngringsavverkning</t>
        </is>
      </c>
      <c r="D230" s="1" t="n">
        <v>45975</v>
      </c>
      <c r="E230" s="1" t="n">
        <v>46222</v>
      </c>
      <c r="F230" t="inlineStr">
        <is>
          <t>DALARNAS LÄN</t>
        </is>
      </c>
      <c r="G230" t="inlineStr">
        <is>
          <t>HEDEMORA</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22270-2023</t>
        </is>
      </c>
      <c r="B231" t="inlineStr">
        <is>
          <t>avverkningsanmälan</t>
        </is>
      </c>
      <c r="C231" t="inlineStr">
        <is>
          <t>Föryngringsavverkning</t>
        </is>
      </c>
      <c r="D231" s="1" t="n">
        <v>45070</v>
      </c>
      <c r="E231" s="1" t="n">
        <v>46222</v>
      </c>
      <c r="F231" t="inlineStr">
        <is>
          <t>DALARNAS LÄN</t>
        </is>
      </c>
      <c r="G231" t="inlineStr">
        <is>
          <t>HEDEMORA</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53576-2023</t>
        </is>
      </c>
      <c r="B232" t="inlineStr">
        <is>
          <t>avverkningsanmälan</t>
        </is>
      </c>
      <c r="C232" t="inlineStr">
        <is>
          <t>Föryngringsavverkning</t>
        </is>
      </c>
      <c r="D232" s="1" t="n">
        <v>45230</v>
      </c>
      <c r="E232" s="1" t="n">
        <v>46222</v>
      </c>
      <c r="F232" t="inlineStr">
        <is>
          <t>DALARNAS LÄN</t>
        </is>
      </c>
      <c r="G232" t="inlineStr">
        <is>
          <t>HEDEMORA</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11732-2026</t>
        </is>
      </c>
      <c r="B233" t="inlineStr">
        <is>
          <t>avverkningsanmälan</t>
        </is>
      </c>
      <c r="C233" t="inlineStr">
        <is>
          <t>Föryngringsavverkning</t>
        </is>
      </c>
      <c r="D233" s="1" t="n">
        <v>46084</v>
      </c>
      <c r="E233" s="1" t="n">
        <v>46222</v>
      </c>
      <c r="F233" t="inlineStr">
        <is>
          <t>DALARNAS LÄN</t>
        </is>
      </c>
      <c r="G233" t="inlineStr">
        <is>
          <t>HEDEMORA</t>
        </is>
      </c>
      <c r="I233" t="n">
        <v>6.2</v>
      </c>
      <c r="J233" t="n">
        <v>0</v>
      </c>
      <c r="K233" t="n">
        <v>0</v>
      </c>
      <c r="L233" t="n">
        <v>0</v>
      </c>
      <c r="M233" t="n">
        <v>0</v>
      </c>
      <c r="N233" t="n">
        <v>0</v>
      </c>
      <c r="O233" t="n">
        <v>0</v>
      </c>
      <c r="P233" t="n">
        <v>0</v>
      </c>
      <c r="Q233" t="n">
        <v>0</v>
      </c>
      <c r="R233" t="n">
        <v>0</v>
      </c>
      <c r="S233" t="n">
        <v>0</v>
      </c>
      <c r="T233" t="n">
        <v>0</v>
      </c>
      <c r="U233" s="2" t="inlineStr"/>
    </row>
    <row r="234" ht="15" customHeight="1">
      <c r="A234" t="inlineStr">
        <is>
          <t>A 27610-2024</t>
        </is>
      </c>
      <c r="B234" t="inlineStr">
        <is>
          <t>avverkningsanmälan</t>
        </is>
      </c>
      <c r="C234" t="inlineStr">
        <is>
          <t>Föryngringsavverkning</t>
        </is>
      </c>
      <c r="D234" s="1" t="n">
        <v>45474</v>
      </c>
      <c r="E234" s="1" t="n">
        <v>46222</v>
      </c>
      <c r="F234" t="inlineStr">
        <is>
          <t>DALARNAS LÄN</t>
        </is>
      </c>
      <c r="G234" t="inlineStr">
        <is>
          <t>HEDEMORA</t>
        </is>
      </c>
      <c r="H234" t="inlineStr">
        <is>
          <t>Sveaskog</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48323-2021</t>
        </is>
      </c>
      <c r="B235" t="inlineStr">
        <is>
          <t>avverkningsanmälan</t>
        </is>
      </c>
      <c r="C235" t="inlineStr">
        <is>
          <t>Föryngringsavverkning</t>
        </is>
      </c>
      <c r="D235" s="1" t="n">
        <v>44450</v>
      </c>
      <c r="E235" s="1" t="n">
        <v>46222</v>
      </c>
      <c r="F235" t="inlineStr">
        <is>
          <t>DALARNAS LÄN</t>
        </is>
      </c>
      <c r="G235" t="inlineStr">
        <is>
          <t>HEDEMORA</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37574-2025</t>
        </is>
      </c>
      <c r="B236" t="inlineStr">
        <is>
          <t>avverkningsanmälan</t>
        </is>
      </c>
      <c r="C236" t="inlineStr">
        <is>
          <t>Föryngringsavverkning</t>
        </is>
      </c>
      <c r="D236" s="1" t="n">
        <v>45880</v>
      </c>
      <c r="E236" s="1" t="n">
        <v>46222</v>
      </c>
      <c r="F236" t="inlineStr">
        <is>
          <t>DALARNAS LÄN</t>
        </is>
      </c>
      <c r="G236" t="inlineStr">
        <is>
          <t>HEDEMORA</t>
        </is>
      </c>
      <c r="H236" t="inlineStr">
        <is>
          <t>Sveaskog</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37573-2025</t>
        </is>
      </c>
      <c r="B237" t="inlineStr">
        <is>
          <t>avverkningsanmälan</t>
        </is>
      </c>
      <c r="C237" t="inlineStr">
        <is>
          <t>Föryngringsavverkning</t>
        </is>
      </c>
      <c r="D237" s="1" t="n">
        <v>45880</v>
      </c>
      <c r="E237" s="1" t="n">
        <v>46222</v>
      </c>
      <c r="F237" t="inlineStr">
        <is>
          <t>DALARNAS LÄN</t>
        </is>
      </c>
      <c r="G237" t="inlineStr">
        <is>
          <t>HEDEMORA</t>
        </is>
      </c>
      <c r="H237" t="inlineStr">
        <is>
          <t>Sveaskog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12604-2026</t>
        </is>
      </c>
      <c r="B238" t="inlineStr">
        <is>
          <t>avverkningsanmälan</t>
        </is>
      </c>
      <c r="C238" t="inlineStr">
        <is>
          <t>Föryngringsavverkning</t>
        </is>
      </c>
      <c r="D238" s="1" t="n">
        <v>46090</v>
      </c>
      <c r="E238" s="1" t="n">
        <v>46222</v>
      </c>
      <c r="F238" t="inlineStr">
        <is>
          <t>DALARNAS LÄN</t>
        </is>
      </c>
      <c r="G238" t="inlineStr">
        <is>
          <t>HEDEMORA</t>
        </is>
      </c>
      <c r="I238" t="n">
        <v>1</v>
      </c>
      <c r="J238" t="n">
        <v>0</v>
      </c>
      <c r="K238" t="n">
        <v>0</v>
      </c>
      <c r="L238" t="n">
        <v>0</v>
      </c>
      <c r="M238" t="n">
        <v>0</v>
      </c>
      <c r="N238" t="n">
        <v>0</v>
      </c>
      <c r="O238" t="n">
        <v>0</v>
      </c>
      <c r="P238" t="n">
        <v>0</v>
      </c>
      <c r="Q238" t="n">
        <v>0</v>
      </c>
      <c r="R238" t="n">
        <v>0</v>
      </c>
      <c r="S238" t="n">
        <v>0</v>
      </c>
      <c r="T238" t="n">
        <v>0</v>
      </c>
      <c r="U238" s="2" t="inlineStr"/>
    </row>
    <row r="239" ht="15" customHeight="1">
      <c r="A239" t="inlineStr">
        <is>
          <t>A 68553-2021</t>
        </is>
      </c>
      <c r="B239" t="inlineStr">
        <is>
          <t>avverkningsanmälan</t>
        </is>
      </c>
      <c r="C239" t="inlineStr">
        <is>
          <t>Föryngringsavverkning</t>
        </is>
      </c>
      <c r="D239" s="1" t="n">
        <v>44529</v>
      </c>
      <c r="E239" s="1" t="n">
        <v>46222</v>
      </c>
      <c r="F239" t="inlineStr">
        <is>
          <t>DALARNAS LÄN</t>
        </is>
      </c>
      <c r="G239" t="inlineStr">
        <is>
          <t>HEDEMORA</t>
        </is>
      </c>
      <c r="I239" t="n">
        <v>3</v>
      </c>
      <c r="J239" t="n">
        <v>0</v>
      </c>
      <c r="K239" t="n">
        <v>0</v>
      </c>
      <c r="L239" t="n">
        <v>0</v>
      </c>
      <c r="M239" t="n">
        <v>0</v>
      </c>
      <c r="N239" t="n">
        <v>0</v>
      </c>
      <c r="O239" t="n">
        <v>0</v>
      </c>
      <c r="P239" t="n">
        <v>0</v>
      </c>
      <c r="Q239" t="n">
        <v>0</v>
      </c>
      <c r="R239" t="n">
        <v>0</v>
      </c>
      <c r="S239" t="n">
        <v>0</v>
      </c>
      <c r="T239" t="n">
        <v>0</v>
      </c>
      <c r="U239" s="2" t="inlineStr"/>
    </row>
    <row r="240" ht="15" customHeight="1">
      <c r="A240" t="inlineStr">
        <is>
          <t>A 17600-2025</t>
        </is>
      </c>
      <c r="B240" t="inlineStr">
        <is>
          <t>avverkningsanmälan</t>
        </is>
      </c>
      <c r="C240" t="inlineStr">
        <is>
          <t>Föryngringsavverkning</t>
        </is>
      </c>
      <c r="D240" s="1" t="n">
        <v>45757</v>
      </c>
      <c r="E240" s="1" t="n">
        <v>46222</v>
      </c>
      <c r="F240" t="inlineStr">
        <is>
          <t>DALARNAS LÄN</t>
        </is>
      </c>
      <c r="G240" t="inlineStr">
        <is>
          <t>HEDEMORA</t>
        </is>
      </c>
      <c r="I240" t="n">
        <v>1.4</v>
      </c>
      <c r="J240" t="n">
        <v>0</v>
      </c>
      <c r="K240" t="n">
        <v>0</v>
      </c>
      <c r="L240" t="n">
        <v>0</v>
      </c>
      <c r="M240" t="n">
        <v>0</v>
      </c>
      <c r="N240" t="n">
        <v>0</v>
      </c>
      <c r="O240" t="n">
        <v>0</v>
      </c>
      <c r="P240" t="n">
        <v>0</v>
      </c>
      <c r="Q240" t="n">
        <v>0</v>
      </c>
      <c r="R240" t="n">
        <v>0</v>
      </c>
      <c r="S240" t="n">
        <v>0</v>
      </c>
      <c r="T240" t="n">
        <v>0</v>
      </c>
      <c r="U240" s="2" t="inlineStr"/>
    </row>
    <row r="241" ht="15" customHeight="1">
      <c r="A241" t="inlineStr">
        <is>
          <t>A 13336-2026</t>
        </is>
      </c>
      <c r="B241" t="inlineStr">
        <is>
          <t>avverkningsanmälan</t>
        </is>
      </c>
      <c r="C241" t="inlineStr">
        <is>
          <t>Föryngringsavverkning</t>
        </is>
      </c>
      <c r="D241" s="1" t="n">
        <v>46094</v>
      </c>
      <c r="E241" s="1" t="n">
        <v>46222</v>
      </c>
      <c r="F241" t="inlineStr">
        <is>
          <t>DALARNAS LÄN</t>
        </is>
      </c>
      <c r="G241" t="inlineStr">
        <is>
          <t>HEDEMORA</t>
        </is>
      </c>
      <c r="I241" t="n">
        <v>17.5</v>
      </c>
      <c r="J241" t="n">
        <v>0</v>
      </c>
      <c r="K241" t="n">
        <v>0</v>
      </c>
      <c r="L241" t="n">
        <v>0</v>
      </c>
      <c r="M241" t="n">
        <v>0</v>
      </c>
      <c r="N241" t="n">
        <v>0</v>
      </c>
      <c r="O241" t="n">
        <v>0</v>
      </c>
      <c r="P241" t="n">
        <v>0</v>
      </c>
      <c r="Q241" t="n">
        <v>0</v>
      </c>
      <c r="R241" t="n">
        <v>0</v>
      </c>
      <c r="S241" t="n">
        <v>0</v>
      </c>
      <c r="T241" t="n">
        <v>0</v>
      </c>
      <c r="U241" s="2" t="inlineStr"/>
    </row>
    <row r="242" ht="15" customHeight="1">
      <c r="A242" t="inlineStr">
        <is>
          <t>A 28029-2023</t>
        </is>
      </c>
      <c r="B242" t="inlineStr">
        <is>
          <t>avverkningsanmälan</t>
        </is>
      </c>
      <c r="C242" t="inlineStr">
        <is>
          <t>Avverkning för annat ändamål</t>
        </is>
      </c>
      <c r="D242" s="1" t="n">
        <v>45099</v>
      </c>
      <c r="E242" s="1" t="n">
        <v>46222</v>
      </c>
      <c r="F242" t="inlineStr">
        <is>
          <t>DALARNAS LÄN</t>
        </is>
      </c>
      <c r="G242" t="inlineStr">
        <is>
          <t>HEDEMORA</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14228-2026</t>
        </is>
      </c>
      <c r="B243" t="inlineStr">
        <is>
          <t>avverkningsanmälan</t>
        </is>
      </c>
      <c r="C243" t="inlineStr">
        <is>
          <t>Föryngringsavverkning</t>
        </is>
      </c>
      <c r="D243" s="1" t="n">
        <v>46099</v>
      </c>
      <c r="E243" s="1" t="n">
        <v>46222</v>
      </c>
      <c r="F243" t="inlineStr">
        <is>
          <t>DALARNAS LÄN</t>
        </is>
      </c>
      <c r="G243" t="inlineStr">
        <is>
          <t>HEDEMORA</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14239-2026</t>
        </is>
      </c>
      <c r="B244" t="inlineStr">
        <is>
          <t>avverkningsanmälan</t>
        </is>
      </c>
      <c r="C244" t="inlineStr">
        <is>
          <t>Föryngringsavverkning</t>
        </is>
      </c>
      <c r="D244" s="1" t="n">
        <v>46099</v>
      </c>
      <c r="E244" s="1" t="n">
        <v>46222</v>
      </c>
      <c r="F244" t="inlineStr">
        <is>
          <t>DALARNAS LÄN</t>
        </is>
      </c>
      <c r="G244" t="inlineStr">
        <is>
          <t>HEDEMORA</t>
        </is>
      </c>
      <c r="I244" t="n">
        <v>4.4</v>
      </c>
      <c r="J244" t="n">
        <v>0</v>
      </c>
      <c r="K244" t="n">
        <v>0</v>
      </c>
      <c r="L244" t="n">
        <v>0</v>
      </c>
      <c r="M244" t="n">
        <v>0</v>
      </c>
      <c r="N244" t="n">
        <v>0</v>
      </c>
      <c r="O244" t="n">
        <v>0</v>
      </c>
      <c r="P244" t="n">
        <v>0</v>
      </c>
      <c r="Q244" t="n">
        <v>0</v>
      </c>
      <c r="R244" t="n">
        <v>0</v>
      </c>
      <c r="S244" t="n">
        <v>0</v>
      </c>
      <c r="T244" t="n">
        <v>0</v>
      </c>
      <c r="U244" s="2" t="inlineStr"/>
    </row>
    <row r="245" ht="15" customHeight="1">
      <c r="A245" t="inlineStr">
        <is>
          <t>A 13937-2026</t>
        </is>
      </c>
      <c r="B245" t="inlineStr">
        <is>
          <t>avverkningsanmälan</t>
        </is>
      </c>
      <c r="C245" t="inlineStr">
        <is>
          <t>Föryngringsavverkning</t>
        </is>
      </c>
      <c r="D245" s="1" t="n">
        <v>46098</v>
      </c>
      <c r="E245" s="1" t="n">
        <v>46222</v>
      </c>
      <c r="F245" t="inlineStr">
        <is>
          <t>DALARNAS LÄN</t>
        </is>
      </c>
      <c r="G245" t="inlineStr">
        <is>
          <t>HEDEMORA</t>
        </is>
      </c>
      <c r="H245" t="inlineStr">
        <is>
          <t>Sveaskog</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13913-2026</t>
        </is>
      </c>
      <c r="B246" t="inlineStr">
        <is>
          <t>avverkningsanmälan</t>
        </is>
      </c>
      <c r="C246" t="inlineStr">
        <is>
          <t>Föryngringsavverkning</t>
        </is>
      </c>
      <c r="D246" s="1" t="n">
        <v>46098</v>
      </c>
      <c r="E246" s="1" t="n">
        <v>46222</v>
      </c>
      <c r="F246" t="inlineStr">
        <is>
          <t>DALARNAS LÄN</t>
        </is>
      </c>
      <c r="G246" t="inlineStr">
        <is>
          <t>HEDEMORA</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13847-2026</t>
        </is>
      </c>
      <c r="B247" t="inlineStr">
        <is>
          <t>avverkningsanmälan</t>
        </is>
      </c>
      <c r="C247" t="inlineStr">
        <is>
          <t>Föryngringsavverkning</t>
        </is>
      </c>
      <c r="D247" s="1" t="n">
        <v>46098</v>
      </c>
      <c r="E247" s="1" t="n">
        <v>46222</v>
      </c>
      <c r="F247" t="inlineStr">
        <is>
          <t>DALARNAS LÄN</t>
        </is>
      </c>
      <c r="G247" t="inlineStr">
        <is>
          <t>HEDEMORA</t>
        </is>
      </c>
      <c r="H247" t="inlineStr">
        <is>
          <t>Sveaskog</t>
        </is>
      </c>
      <c r="I247" t="n">
        <v>1.3</v>
      </c>
      <c r="J247" t="n">
        <v>0</v>
      </c>
      <c r="K247" t="n">
        <v>0</v>
      </c>
      <c r="L247" t="n">
        <v>0</v>
      </c>
      <c r="M247" t="n">
        <v>0</v>
      </c>
      <c r="N247" t="n">
        <v>0</v>
      </c>
      <c r="O247" t="n">
        <v>0</v>
      </c>
      <c r="P247" t="n">
        <v>0</v>
      </c>
      <c r="Q247" t="n">
        <v>0</v>
      </c>
      <c r="R247" t="n">
        <v>0</v>
      </c>
      <c r="S247" t="n">
        <v>0</v>
      </c>
      <c r="T247" t="n">
        <v>0</v>
      </c>
      <c r="U247" s="2" t="inlineStr"/>
    </row>
    <row r="248" ht="15" customHeight="1">
      <c r="A248" t="inlineStr">
        <is>
          <t>A 13840-2026</t>
        </is>
      </c>
      <c r="B248" t="inlineStr">
        <is>
          <t>avverkningsanmälan</t>
        </is>
      </c>
      <c r="C248" t="inlineStr">
        <is>
          <t>Föryngringsavverkning</t>
        </is>
      </c>
      <c r="D248" s="1" t="n">
        <v>46098</v>
      </c>
      <c r="E248" s="1" t="n">
        <v>46222</v>
      </c>
      <c r="F248" t="inlineStr">
        <is>
          <t>DALARNAS LÄN</t>
        </is>
      </c>
      <c r="G248" t="inlineStr">
        <is>
          <t>HEDEMORA</t>
        </is>
      </c>
      <c r="H248" t="inlineStr">
        <is>
          <t>Sveaskog</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13916-2026</t>
        </is>
      </c>
      <c r="B249" t="inlineStr">
        <is>
          <t>avverkningsanmälan</t>
        </is>
      </c>
      <c r="C249" t="inlineStr">
        <is>
          <t>Föryngringsavverkning</t>
        </is>
      </c>
      <c r="D249" s="1" t="n">
        <v>46098</v>
      </c>
      <c r="E249" s="1" t="n">
        <v>46222</v>
      </c>
      <c r="F249" t="inlineStr">
        <is>
          <t>DALARNAS LÄN</t>
        </is>
      </c>
      <c r="G249" t="inlineStr">
        <is>
          <t>HEDEMORA</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58018-2022</t>
        </is>
      </c>
      <c r="B250" t="inlineStr">
        <is>
          <t>avverkningsanmälan</t>
        </is>
      </c>
      <c r="C250" t="inlineStr">
        <is>
          <t>Föryngringsavverkning</t>
        </is>
      </c>
      <c r="D250" s="1" t="n">
        <v>44900</v>
      </c>
      <c r="E250" s="1" t="n">
        <v>46222</v>
      </c>
      <c r="F250" t="inlineStr">
        <is>
          <t>DALARNAS LÄN</t>
        </is>
      </c>
      <c r="G250" t="inlineStr">
        <is>
          <t>HEDEMORA</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14197-2026</t>
        </is>
      </c>
      <c r="B251" t="inlineStr">
        <is>
          <t>avverkningsanmälan</t>
        </is>
      </c>
      <c r="C251" t="inlineStr">
        <is>
          <t>Föryngringsavverkning</t>
        </is>
      </c>
      <c r="D251" s="1" t="n">
        <v>46099</v>
      </c>
      <c r="E251" s="1" t="n">
        <v>46222</v>
      </c>
      <c r="F251" t="inlineStr">
        <is>
          <t>DALARNAS LÄN</t>
        </is>
      </c>
      <c r="G251" t="inlineStr">
        <is>
          <t>HEDEMORA</t>
        </is>
      </c>
      <c r="H251" t="inlineStr">
        <is>
          <t>Sveaskog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29050-2023</t>
        </is>
      </c>
      <c r="B252" t="inlineStr">
        <is>
          <t>avverkningsanmälan</t>
        </is>
      </c>
      <c r="C252" t="inlineStr">
        <is>
          <t>Avverkning för annat ändamål</t>
        </is>
      </c>
      <c r="D252" s="1" t="n">
        <v>45104</v>
      </c>
      <c r="E252" s="1" t="n">
        <v>46222</v>
      </c>
      <c r="F252" t="inlineStr">
        <is>
          <t>DALARNAS LÄN</t>
        </is>
      </c>
      <c r="G252" t="inlineStr">
        <is>
          <t>HEDEMORA</t>
        </is>
      </c>
      <c r="H252" t="inlineStr">
        <is>
          <t>Sveaskog</t>
        </is>
      </c>
      <c r="I252" t="n">
        <v>1.3</v>
      </c>
      <c r="J252" t="n">
        <v>0</v>
      </c>
      <c r="K252" t="n">
        <v>0</v>
      </c>
      <c r="L252" t="n">
        <v>0</v>
      </c>
      <c r="M252" t="n">
        <v>0</v>
      </c>
      <c r="N252" t="n">
        <v>0</v>
      </c>
      <c r="O252" t="n">
        <v>0</v>
      </c>
      <c r="P252" t="n">
        <v>0</v>
      </c>
      <c r="Q252" t="n">
        <v>0</v>
      </c>
      <c r="R252" t="n">
        <v>0</v>
      </c>
      <c r="S252" t="n">
        <v>0</v>
      </c>
      <c r="T252" t="n">
        <v>0</v>
      </c>
      <c r="U252" s="2" t="inlineStr"/>
    </row>
    <row r="253" ht="15" customHeight="1">
      <c r="A253" t="inlineStr">
        <is>
          <t>A 63929-2023</t>
        </is>
      </c>
      <c r="B253" t="inlineStr">
        <is>
          <t>avverkningsanmälan</t>
        </is>
      </c>
      <c r="C253" t="inlineStr">
        <is>
          <t>Föryngringsavverkning</t>
        </is>
      </c>
      <c r="D253" s="1" t="n">
        <v>45278</v>
      </c>
      <c r="E253" s="1" t="n">
        <v>46222</v>
      </c>
      <c r="F253" t="inlineStr">
        <is>
          <t>DALARNAS LÄN</t>
        </is>
      </c>
      <c r="G253" t="inlineStr">
        <is>
          <t>HEDEMORA</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42510-2025</t>
        </is>
      </c>
      <c r="B254" t="inlineStr">
        <is>
          <t>avverkningsanmälan</t>
        </is>
      </c>
      <c r="C254" t="inlineStr">
        <is>
          <t>Föryngringsavverkning</t>
        </is>
      </c>
      <c r="D254" s="1" t="n">
        <v>45905</v>
      </c>
      <c r="E254" s="1" t="n">
        <v>46222</v>
      </c>
      <c r="F254" t="inlineStr">
        <is>
          <t>DALARNAS LÄN</t>
        </is>
      </c>
      <c r="G254" t="inlineStr">
        <is>
          <t>HEDEMORA</t>
        </is>
      </c>
      <c r="H254" t="inlineStr">
        <is>
          <t>Sveaskog</t>
        </is>
      </c>
      <c r="I254" t="n">
        <v>3.6</v>
      </c>
      <c r="J254" t="n">
        <v>0</v>
      </c>
      <c r="K254" t="n">
        <v>0</v>
      </c>
      <c r="L254" t="n">
        <v>0</v>
      </c>
      <c r="M254" t="n">
        <v>0</v>
      </c>
      <c r="N254" t="n">
        <v>0</v>
      </c>
      <c r="O254" t="n">
        <v>0</v>
      </c>
      <c r="P254" t="n">
        <v>0</v>
      </c>
      <c r="Q254" t="n">
        <v>0</v>
      </c>
      <c r="R254" t="n">
        <v>0</v>
      </c>
      <c r="S254" t="n">
        <v>0</v>
      </c>
      <c r="T254" t="n">
        <v>0</v>
      </c>
      <c r="U254" s="2" t="inlineStr"/>
    </row>
    <row r="255" ht="15" customHeight="1">
      <c r="A255" t="inlineStr">
        <is>
          <t>A 45097-2025</t>
        </is>
      </c>
      <c r="B255" t="inlineStr">
        <is>
          <t>avverkningsanmälan</t>
        </is>
      </c>
      <c r="C255" t="inlineStr">
        <is>
          <t>Föryngringsavverkning</t>
        </is>
      </c>
      <c r="D255" s="1" t="n">
        <v>45919</v>
      </c>
      <c r="E255" s="1" t="n">
        <v>46222</v>
      </c>
      <c r="F255" t="inlineStr">
        <is>
          <t>DALARNAS LÄN</t>
        </is>
      </c>
      <c r="G255" t="inlineStr">
        <is>
          <t>HEDEMORA</t>
        </is>
      </c>
      <c r="H255" t="inlineStr">
        <is>
          <t>Sveaskog</t>
        </is>
      </c>
      <c r="I255" t="n">
        <v>3.1</v>
      </c>
      <c r="J255" t="n">
        <v>0</v>
      </c>
      <c r="K255" t="n">
        <v>0</v>
      </c>
      <c r="L255" t="n">
        <v>0</v>
      </c>
      <c r="M255" t="n">
        <v>0</v>
      </c>
      <c r="N255" t="n">
        <v>0</v>
      </c>
      <c r="O255" t="n">
        <v>0</v>
      </c>
      <c r="P255" t="n">
        <v>0</v>
      </c>
      <c r="Q255" t="n">
        <v>0</v>
      </c>
      <c r="R255" t="n">
        <v>0</v>
      </c>
      <c r="S255" t="n">
        <v>0</v>
      </c>
      <c r="T255" t="n">
        <v>0</v>
      </c>
      <c r="U255" s="2" t="inlineStr"/>
    </row>
    <row r="256" ht="15" customHeight="1">
      <c r="A256" t="inlineStr">
        <is>
          <t>A 62407-2025</t>
        </is>
      </c>
      <c r="B256" t="inlineStr">
        <is>
          <t>avverkningsanmälan</t>
        </is>
      </c>
      <c r="C256" t="inlineStr">
        <is>
          <t>Föryngringsavverkning</t>
        </is>
      </c>
      <c r="D256" s="1" t="n">
        <v>46007</v>
      </c>
      <c r="E256" s="1" t="n">
        <v>46222</v>
      </c>
      <c r="F256" t="inlineStr">
        <is>
          <t>DALARNAS LÄN</t>
        </is>
      </c>
      <c r="G256" t="inlineStr">
        <is>
          <t>HEDEMORA</t>
        </is>
      </c>
      <c r="I256" t="n">
        <v>2.2</v>
      </c>
      <c r="J256" t="n">
        <v>0</v>
      </c>
      <c r="K256" t="n">
        <v>0</v>
      </c>
      <c r="L256" t="n">
        <v>0</v>
      </c>
      <c r="M256" t="n">
        <v>0</v>
      </c>
      <c r="N256" t="n">
        <v>0</v>
      </c>
      <c r="O256" t="n">
        <v>0</v>
      </c>
      <c r="P256" t="n">
        <v>0</v>
      </c>
      <c r="Q256" t="n">
        <v>0</v>
      </c>
      <c r="R256" t="n">
        <v>0</v>
      </c>
      <c r="S256" t="n">
        <v>0</v>
      </c>
      <c r="T256" t="n">
        <v>0</v>
      </c>
      <c r="U256" s="2" t="inlineStr"/>
    </row>
    <row r="257" ht="15" customHeight="1">
      <c r="A257" t="inlineStr">
        <is>
          <t>A 29301-2023</t>
        </is>
      </c>
      <c r="B257" t="inlineStr">
        <is>
          <t>avverkningsanmälan</t>
        </is>
      </c>
      <c r="C257" t="inlineStr">
        <is>
          <t>Föryngringsavverkning</t>
        </is>
      </c>
      <c r="D257" s="1" t="n">
        <v>45105</v>
      </c>
      <c r="E257" s="1" t="n">
        <v>46222</v>
      </c>
      <c r="F257" t="inlineStr">
        <is>
          <t>DALARNAS LÄN</t>
        </is>
      </c>
      <c r="G257" t="inlineStr">
        <is>
          <t>HEDEMORA</t>
        </is>
      </c>
      <c r="H257" t="inlineStr">
        <is>
          <t>Sveaskog</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7172-2025</t>
        </is>
      </c>
      <c r="B258" t="inlineStr">
        <is>
          <t>avverkningsanmälan</t>
        </is>
      </c>
      <c r="C258" t="inlineStr">
        <is>
          <t>Föryngringsavverkning</t>
        </is>
      </c>
      <c r="D258" s="1" t="n">
        <v>45702</v>
      </c>
      <c r="E258" s="1" t="n">
        <v>46222</v>
      </c>
      <c r="F258" t="inlineStr">
        <is>
          <t>DALARNAS LÄN</t>
        </is>
      </c>
      <c r="G258" t="inlineStr">
        <is>
          <t>HEDEMORA</t>
        </is>
      </c>
      <c r="I258" t="n">
        <v>0.8</v>
      </c>
      <c r="J258" t="n">
        <v>0</v>
      </c>
      <c r="K258" t="n">
        <v>0</v>
      </c>
      <c r="L258" t="n">
        <v>0</v>
      </c>
      <c r="M258" t="n">
        <v>0</v>
      </c>
      <c r="N258" t="n">
        <v>0</v>
      </c>
      <c r="O258" t="n">
        <v>0</v>
      </c>
      <c r="P258" t="n">
        <v>0</v>
      </c>
      <c r="Q258" t="n">
        <v>0</v>
      </c>
      <c r="R258" t="n">
        <v>0</v>
      </c>
      <c r="S258" t="n">
        <v>0</v>
      </c>
      <c r="T258" t="n">
        <v>0</v>
      </c>
      <c r="U258" s="2" t="inlineStr"/>
    </row>
    <row r="259" ht="15" customHeight="1">
      <c r="A259" t="inlineStr">
        <is>
          <t>A 48381-2025</t>
        </is>
      </c>
      <c r="B259" t="inlineStr">
        <is>
          <t>avverkningsanmälan</t>
        </is>
      </c>
      <c r="C259" t="inlineStr">
        <is>
          <t>Föryngringsavverkning</t>
        </is>
      </c>
      <c r="D259" s="1" t="n">
        <v>45933</v>
      </c>
      <c r="E259" s="1" t="n">
        <v>46222</v>
      </c>
      <c r="F259" t="inlineStr">
        <is>
          <t>DALARNAS LÄN</t>
        </is>
      </c>
      <c r="G259" t="inlineStr">
        <is>
          <t>HEDEMORA</t>
        </is>
      </c>
      <c r="H259" t="inlineStr">
        <is>
          <t>Sveaskog</t>
        </is>
      </c>
      <c r="I259" t="n">
        <v>6.3</v>
      </c>
      <c r="J259" t="n">
        <v>0</v>
      </c>
      <c r="K259" t="n">
        <v>0</v>
      </c>
      <c r="L259" t="n">
        <v>0</v>
      </c>
      <c r="M259" t="n">
        <v>0</v>
      </c>
      <c r="N259" t="n">
        <v>0</v>
      </c>
      <c r="O259" t="n">
        <v>0</v>
      </c>
      <c r="P259" t="n">
        <v>0</v>
      </c>
      <c r="Q259" t="n">
        <v>0</v>
      </c>
      <c r="R259" t="n">
        <v>0</v>
      </c>
      <c r="S259" t="n">
        <v>0</v>
      </c>
      <c r="T259" t="n">
        <v>0</v>
      </c>
      <c r="U259" s="2" t="inlineStr"/>
    </row>
    <row r="260" ht="15" customHeight="1">
      <c r="A260" t="inlineStr">
        <is>
          <t>A 45290-2025</t>
        </is>
      </c>
      <c r="B260" t="inlineStr">
        <is>
          <t>avverkningsanmälan</t>
        </is>
      </c>
      <c r="C260" t="inlineStr">
        <is>
          <t>Föryngringsavverkning</t>
        </is>
      </c>
      <c r="D260" s="1" t="n">
        <v>45920</v>
      </c>
      <c r="E260" s="1" t="n">
        <v>46222</v>
      </c>
      <c r="F260" t="inlineStr">
        <is>
          <t>DALARNAS LÄN</t>
        </is>
      </c>
      <c r="G260" t="inlineStr">
        <is>
          <t>HEDEMORA</t>
        </is>
      </c>
      <c r="H260" t="inlineStr">
        <is>
          <t>Sveaskog</t>
        </is>
      </c>
      <c r="I260" t="n">
        <v>2.8</v>
      </c>
      <c r="J260" t="n">
        <v>0</v>
      </c>
      <c r="K260" t="n">
        <v>0</v>
      </c>
      <c r="L260" t="n">
        <v>0</v>
      </c>
      <c r="M260" t="n">
        <v>0</v>
      </c>
      <c r="N260" t="n">
        <v>0</v>
      </c>
      <c r="O260" t="n">
        <v>0</v>
      </c>
      <c r="P260" t="n">
        <v>0</v>
      </c>
      <c r="Q260" t="n">
        <v>0</v>
      </c>
      <c r="R260" t="n">
        <v>0</v>
      </c>
      <c r="S260" t="n">
        <v>0</v>
      </c>
      <c r="T260" t="n">
        <v>0</v>
      </c>
      <c r="U260" s="2" t="inlineStr"/>
    </row>
    <row r="261" ht="15" customHeight="1">
      <c r="A261" t="inlineStr">
        <is>
          <t>A 42894-2024</t>
        </is>
      </c>
      <c r="B261" t="inlineStr">
        <is>
          <t>avverkningsanmälan</t>
        </is>
      </c>
      <c r="C261" t="inlineStr">
        <is>
          <t>Föryngringsavverkning</t>
        </is>
      </c>
      <c r="D261" s="1" t="n">
        <v>45566</v>
      </c>
      <c r="E261" s="1" t="n">
        <v>46222</v>
      </c>
      <c r="F261" t="inlineStr">
        <is>
          <t>DALARNAS LÄN</t>
        </is>
      </c>
      <c r="G261" t="inlineStr">
        <is>
          <t>HEDEMORA</t>
        </is>
      </c>
      <c r="H261" t="inlineStr">
        <is>
          <t>Sveaskog</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63900-2025</t>
        </is>
      </c>
      <c r="B262" t="inlineStr">
        <is>
          <t>avverkningsanmälan</t>
        </is>
      </c>
      <c r="C262" t="inlineStr">
        <is>
          <t>Föryngringsavverkning</t>
        </is>
      </c>
      <c r="D262" s="1" t="n">
        <v>46020</v>
      </c>
      <c r="E262" s="1" t="n">
        <v>46222</v>
      </c>
      <c r="F262" t="inlineStr">
        <is>
          <t>DALARNAS LÄN</t>
        </is>
      </c>
      <c r="G262" t="inlineStr">
        <is>
          <t>HEDEMORA</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15145-2026</t>
        </is>
      </c>
      <c r="B263" t="inlineStr">
        <is>
          <t>avverkningsanmälan</t>
        </is>
      </c>
      <c r="C263" t="inlineStr">
        <is>
          <t>Föryngringsavverkning</t>
        </is>
      </c>
      <c r="D263" s="1" t="n">
        <v>46105</v>
      </c>
      <c r="E263" s="1" t="n">
        <v>46222</v>
      </c>
      <c r="F263" t="inlineStr">
        <is>
          <t>DALARNAS LÄN</t>
        </is>
      </c>
      <c r="G263" t="inlineStr">
        <is>
          <t>HEDEMORA</t>
        </is>
      </c>
      <c r="H263" t="inlineStr">
        <is>
          <t>Sveaskog</t>
        </is>
      </c>
      <c r="I263" t="n">
        <v>1.6</v>
      </c>
      <c r="J263" t="n">
        <v>0</v>
      </c>
      <c r="K263" t="n">
        <v>0</v>
      </c>
      <c r="L263" t="n">
        <v>0</v>
      </c>
      <c r="M263" t="n">
        <v>0</v>
      </c>
      <c r="N263" t="n">
        <v>0</v>
      </c>
      <c r="O263" t="n">
        <v>0</v>
      </c>
      <c r="P263" t="n">
        <v>0</v>
      </c>
      <c r="Q263" t="n">
        <v>0</v>
      </c>
      <c r="R263" t="n">
        <v>0</v>
      </c>
      <c r="S263" t="n">
        <v>0</v>
      </c>
      <c r="T263" t="n">
        <v>0</v>
      </c>
      <c r="U263" s="2" t="inlineStr"/>
    </row>
    <row r="264" ht="15" customHeight="1">
      <c r="A264" t="inlineStr">
        <is>
          <t>A 63853-2025</t>
        </is>
      </c>
      <c r="B264" t="inlineStr">
        <is>
          <t>avverkningsanmälan</t>
        </is>
      </c>
      <c r="C264" t="inlineStr">
        <is>
          <t>Föryngringsavverkning</t>
        </is>
      </c>
      <c r="D264" s="1" t="n">
        <v>46020</v>
      </c>
      <c r="E264" s="1" t="n">
        <v>46222</v>
      </c>
      <c r="F264" t="inlineStr">
        <is>
          <t>DALARNAS LÄN</t>
        </is>
      </c>
      <c r="G264" t="inlineStr">
        <is>
          <t>HEDEMORA</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7914-2024</t>
        </is>
      </c>
      <c r="B265" t="inlineStr">
        <is>
          <t>avverkningsanmälan</t>
        </is>
      </c>
      <c r="C265" t="inlineStr">
        <is>
          <t>Föryngringsavverkning</t>
        </is>
      </c>
      <c r="D265" s="1" t="n">
        <v>45350</v>
      </c>
      <c r="E265" s="1" t="n">
        <v>46222</v>
      </c>
      <c r="F265" t="inlineStr">
        <is>
          <t>DALARNAS LÄN</t>
        </is>
      </c>
      <c r="G265" t="inlineStr">
        <is>
          <t>HEDEMORA</t>
        </is>
      </c>
      <c r="I265" t="n">
        <v>4.1</v>
      </c>
      <c r="J265" t="n">
        <v>0</v>
      </c>
      <c r="K265" t="n">
        <v>0</v>
      </c>
      <c r="L265" t="n">
        <v>0</v>
      </c>
      <c r="M265" t="n">
        <v>0</v>
      </c>
      <c r="N265" t="n">
        <v>0</v>
      </c>
      <c r="O265" t="n">
        <v>0</v>
      </c>
      <c r="P265" t="n">
        <v>0</v>
      </c>
      <c r="Q265" t="n">
        <v>0</v>
      </c>
      <c r="R265" t="n">
        <v>0</v>
      </c>
      <c r="S265" t="n">
        <v>0</v>
      </c>
      <c r="T265" t="n">
        <v>0</v>
      </c>
      <c r="U265" s="2" t="inlineStr"/>
    </row>
    <row r="266" ht="15" customHeight="1">
      <c r="A266" t="inlineStr">
        <is>
          <t>A 61533-2021</t>
        </is>
      </c>
      <c r="B266" t="inlineStr">
        <is>
          <t>avverkningsanmälan</t>
        </is>
      </c>
      <c r="C266" t="inlineStr">
        <is>
          <t>Föryngringsavverkning</t>
        </is>
      </c>
      <c r="D266" s="1" t="n">
        <v>44501</v>
      </c>
      <c r="E266" s="1" t="n">
        <v>46222</v>
      </c>
      <c r="F266" t="inlineStr">
        <is>
          <t>DALARNAS LÄN</t>
        </is>
      </c>
      <c r="G266" t="inlineStr">
        <is>
          <t>HEDEMORA</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49772-2025</t>
        </is>
      </c>
      <c r="B267" t="inlineStr">
        <is>
          <t>avverkningsanmälan</t>
        </is>
      </c>
      <c r="C267" t="inlineStr">
        <is>
          <t>Föryngringsavverkning</t>
        </is>
      </c>
      <c r="D267" s="1" t="n">
        <v>45940</v>
      </c>
      <c r="E267" s="1" t="n">
        <v>46222</v>
      </c>
      <c r="F267" t="inlineStr">
        <is>
          <t>DALARNAS LÄN</t>
        </is>
      </c>
      <c r="G267" t="inlineStr">
        <is>
          <t>HEDEMORA</t>
        </is>
      </c>
      <c r="H267" t="inlineStr">
        <is>
          <t>Sveaskog</t>
        </is>
      </c>
      <c r="I267" t="n">
        <v>2.5</v>
      </c>
      <c r="J267" t="n">
        <v>0</v>
      </c>
      <c r="K267" t="n">
        <v>0</v>
      </c>
      <c r="L267" t="n">
        <v>0</v>
      </c>
      <c r="M267" t="n">
        <v>0</v>
      </c>
      <c r="N267" t="n">
        <v>0</v>
      </c>
      <c r="O267" t="n">
        <v>0</v>
      </c>
      <c r="P267" t="n">
        <v>0</v>
      </c>
      <c r="Q267" t="n">
        <v>0</v>
      </c>
      <c r="R267" t="n">
        <v>0</v>
      </c>
      <c r="S267" t="n">
        <v>0</v>
      </c>
      <c r="T267" t="n">
        <v>0</v>
      </c>
      <c r="U267" s="2" t="inlineStr"/>
    </row>
    <row r="268" ht="15" customHeight="1">
      <c r="A268" t="inlineStr">
        <is>
          <t>A 49771-2025</t>
        </is>
      </c>
      <c r="B268" t="inlineStr">
        <is>
          <t>avverkningsanmälan</t>
        </is>
      </c>
      <c r="C268" t="inlineStr">
        <is>
          <t>Föryngringsavverkning</t>
        </is>
      </c>
      <c r="D268" s="1" t="n">
        <v>45940</v>
      </c>
      <c r="E268" s="1" t="n">
        <v>46222</v>
      </c>
      <c r="F268" t="inlineStr">
        <is>
          <t>DALARNAS LÄN</t>
        </is>
      </c>
      <c r="G268" t="inlineStr">
        <is>
          <t>HEDEMORA</t>
        </is>
      </c>
      <c r="H268" t="inlineStr">
        <is>
          <t>Sveaskog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64045-2025</t>
        </is>
      </c>
      <c r="B269" t="inlineStr">
        <is>
          <t>avverkningsanmälan</t>
        </is>
      </c>
      <c r="C269" t="inlineStr">
        <is>
          <t>Föryngringsavverkning</t>
        </is>
      </c>
      <c r="D269" s="1" t="n">
        <v>46021</v>
      </c>
      <c r="E269" s="1" t="n">
        <v>46222</v>
      </c>
      <c r="F269" t="inlineStr">
        <is>
          <t>DALARNAS LÄN</t>
        </is>
      </c>
      <c r="G269" t="inlineStr">
        <is>
          <t>HEDEMORA</t>
        </is>
      </c>
      <c r="I269" t="n">
        <v>3.1</v>
      </c>
      <c r="J269" t="n">
        <v>0</v>
      </c>
      <c r="K269" t="n">
        <v>0</v>
      </c>
      <c r="L269" t="n">
        <v>0</v>
      </c>
      <c r="M269" t="n">
        <v>0</v>
      </c>
      <c r="N269" t="n">
        <v>0</v>
      </c>
      <c r="O269" t="n">
        <v>0</v>
      </c>
      <c r="P269" t="n">
        <v>0</v>
      </c>
      <c r="Q269" t="n">
        <v>0</v>
      </c>
      <c r="R269" t="n">
        <v>0</v>
      </c>
      <c r="S269" t="n">
        <v>0</v>
      </c>
      <c r="T269" t="n">
        <v>0</v>
      </c>
      <c r="U269" s="2" t="inlineStr"/>
    </row>
    <row r="270" ht="15" customHeight="1">
      <c r="A270" t="inlineStr">
        <is>
          <t>A 15146-2026</t>
        </is>
      </c>
      <c r="B270" t="inlineStr">
        <is>
          <t>avverkningsanmälan</t>
        </is>
      </c>
      <c r="C270" t="inlineStr">
        <is>
          <t>Föryngringsavverkning</t>
        </is>
      </c>
      <c r="D270" s="1" t="n">
        <v>46105</v>
      </c>
      <c r="E270" s="1" t="n">
        <v>46222</v>
      </c>
      <c r="F270" t="inlineStr">
        <is>
          <t>DALARNAS LÄN</t>
        </is>
      </c>
      <c r="G270" t="inlineStr">
        <is>
          <t>HEDEMORA</t>
        </is>
      </c>
      <c r="H270" t="inlineStr">
        <is>
          <t>Sveaskog</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50040-2025</t>
        </is>
      </c>
      <c r="B271" t="inlineStr">
        <is>
          <t>avverkningsanmälan</t>
        </is>
      </c>
      <c r="C271" t="inlineStr">
        <is>
          <t>Föryngringsavverkning</t>
        </is>
      </c>
      <c r="D271" s="1" t="n">
        <v>45943</v>
      </c>
      <c r="E271" s="1" t="n">
        <v>46222</v>
      </c>
      <c r="F271" t="inlineStr">
        <is>
          <t>DALARNAS LÄN</t>
        </is>
      </c>
      <c r="G271" t="inlineStr">
        <is>
          <t>HEDEMORA</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15232-2026</t>
        </is>
      </c>
      <c r="B272" t="inlineStr">
        <is>
          <t>avverkningsanmälan</t>
        </is>
      </c>
      <c r="C272" t="inlineStr">
        <is>
          <t>Föryngringsavverkning</t>
        </is>
      </c>
      <c r="D272" s="1" t="n">
        <v>46105</v>
      </c>
      <c r="E272" s="1" t="n">
        <v>46222</v>
      </c>
      <c r="F272" t="inlineStr">
        <is>
          <t>DALARNAS LÄN</t>
        </is>
      </c>
      <c r="G272" t="inlineStr">
        <is>
          <t>HEDEMORA</t>
        </is>
      </c>
      <c r="H272" t="inlineStr">
        <is>
          <t>Sveaskog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834-2026</t>
        </is>
      </c>
      <c r="B273" t="inlineStr">
        <is>
          <t>avverkningsanmälan</t>
        </is>
      </c>
      <c r="C273" t="inlineStr">
        <is>
          <t>Föryngringsavverkning</t>
        </is>
      </c>
      <c r="D273" s="1" t="n">
        <v>46030</v>
      </c>
      <c r="E273" s="1" t="n">
        <v>46222</v>
      </c>
      <c r="F273" t="inlineStr">
        <is>
          <t>DALARNAS LÄN</t>
        </is>
      </c>
      <c r="G273" t="inlineStr">
        <is>
          <t>HEDEMORA</t>
        </is>
      </c>
      <c r="I273" t="n">
        <v>2.8</v>
      </c>
      <c r="J273" t="n">
        <v>0</v>
      </c>
      <c r="K273" t="n">
        <v>0</v>
      </c>
      <c r="L273" t="n">
        <v>0</v>
      </c>
      <c r="M273" t="n">
        <v>0</v>
      </c>
      <c r="N273" t="n">
        <v>0</v>
      </c>
      <c r="O273" t="n">
        <v>0</v>
      </c>
      <c r="P273" t="n">
        <v>0</v>
      </c>
      <c r="Q273" t="n">
        <v>0</v>
      </c>
      <c r="R273" t="n">
        <v>0</v>
      </c>
      <c r="S273" t="n">
        <v>0</v>
      </c>
      <c r="T273" t="n">
        <v>0</v>
      </c>
      <c r="U273" s="2" t="inlineStr"/>
    </row>
    <row r="274" ht="15" customHeight="1">
      <c r="A274" t="inlineStr">
        <is>
          <t>A 9314-2024</t>
        </is>
      </c>
      <c r="B274" t="inlineStr">
        <is>
          <t>avverkningsanmälan</t>
        </is>
      </c>
      <c r="C274" t="inlineStr">
        <is>
          <t>Föryngringsavverkning</t>
        </is>
      </c>
      <c r="D274" s="1" t="n">
        <v>45358</v>
      </c>
      <c r="E274" s="1" t="n">
        <v>46222</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1451-2026</t>
        </is>
      </c>
      <c r="B275" t="inlineStr">
        <is>
          <t>avverkningsanmälan</t>
        </is>
      </c>
      <c r="C275" t="inlineStr">
        <is>
          <t>Föryngringsavverkning</t>
        </is>
      </c>
      <c r="D275" s="1" t="n">
        <v>46033</v>
      </c>
      <c r="E275" s="1" t="n">
        <v>46222</v>
      </c>
      <c r="F275" t="inlineStr">
        <is>
          <t>DALARNAS LÄN</t>
        </is>
      </c>
      <c r="G275" t="inlineStr">
        <is>
          <t>HEDEMORA</t>
        </is>
      </c>
      <c r="I275" t="n">
        <v>7</v>
      </c>
      <c r="J275" t="n">
        <v>0</v>
      </c>
      <c r="K275" t="n">
        <v>0</v>
      </c>
      <c r="L275" t="n">
        <v>0</v>
      </c>
      <c r="M275" t="n">
        <v>0</v>
      </c>
      <c r="N275" t="n">
        <v>0</v>
      </c>
      <c r="O275" t="n">
        <v>0</v>
      </c>
      <c r="P275" t="n">
        <v>0</v>
      </c>
      <c r="Q275" t="n">
        <v>0</v>
      </c>
      <c r="R275" t="n">
        <v>0</v>
      </c>
      <c r="S275" t="n">
        <v>0</v>
      </c>
      <c r="T275" t="n">
        <v>0</v>
      </c>
      <c r="U275" s="2" t="inlineStr"/>
    </row>
    <row r="276" ht="15" customHeight="1">
      <c r="A276" t="inlineStr">
        <is>
          <t>A 73099-2021</t>
        </is>
      </c>
      <c r="B276" t="inlineStr">
        <is>
          <t>avverkningsanmälan</t>
        </is>
      </c>
      <c r="C276" t="inlineStr">
        <is>
          <t>Föryngringsavverkning</t>
        </is>
      </c>
      <c r="D276" s="1" t="n">
        <v>44546</v>
      </c>
      <c r="E276" s="1" t="n">
        <v>46222</v>
      </c>
      <c r="F276" t="inlineStr">
        <is>
          <t>DALARNAS LÄN</t>
        </is>
      </c>
      <c r="G276" t="inlineStr">
        <is>
          <t>HEDEMORA</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1449-2026</t>
        </is>
      </c>
      <c r="B277" t="inlineStr">
        <is>
          <t>avverkningsanmälan</t>
        </is>
      </c>
      <c r="C277" t="inlineStr">
        <is>
          <t>Föryngringsavverkning</t>
        </is>
      </c>
      <c r="D277" s="1" t="n">
        <v>46033</v>
      </c>
      <c r="E277" s="1" t="n">
        <v>46222</v>
      </c>
      <c r="F277" t="inlineStr">
        <is>
          <t>DALARNAS LÄN</t>
        </is>
      </c>
      <c r="G277" t="inlineStr">
        <is>
          <t>HEDEMORA</t>
        </is>
      </c>
      <c r="I277" t="n">
        <v>13.5</v>
      </c>
      <c r="J277" t="n">
        <v>0</v>
      </c>
      <c r="K277" t="n">
        <v>0</v>
      </c>
      <c r="L277" t="n">
        <v>0</v>
      </c>
      <c r="M277" t="n">
        <v>0</v>
      </c>
      <c r="N277" t="n">
        <v>0</v>
      </c>
      <c r="O277" t="n">
        <v>0</v>
      </c>
      <c r="P277" t="n">
        <v>0</v>
      </c>
      <c r="Q277" t="n">
        <v>0</v>
      </c>
      <c r="R277" t="n">
        <v>0</v>
      </c>
      <c r="S277" t="n">
        <v>0</v>
      </c>
      <c r="T277" t="n">
        <v>0</v>
      </c>
      <c r="U277" s="2" t="inlineStr"/>
    </row>
    <row r="278" ht="15" customHeight="1">
      <c r="A278" t="inlineStr">
        <is>
          <t>A 53042-2025</t>
        </is>
      </c>
      <c r="B278" t="inlineStr">
        <is>
          <t>avverkningsanmälan</t>
        </is>
      </c>
      <c r="C278" t="inlineStr">
        <is>
          <t>Föryngringsavverkning</t>
        </is>
      </c>
      <c r="D278" s="1" t="n">
        <v>45958</v>
      </c>
      <c r="E278" s="1" t="n">
        <v>46222</v>
      </c>
      <c r="F278" t="inlineStr">
        <is>
          <t>DALARNAS LÄN</t>
        </is>
      </c>
      <c r="G278" t="inlineStr">
        <is>
          <t>HEDEMORA</t>
        </is>
      </c>
      <c r="H278" t="inlineStr">
        <is>
          <t>Sveaskog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1573-2026</t>
        </is>
      </c>
      <c r="B279" t="inlineStr">
        <is>
          <t>avverkningsanmälan</t>
        </is>
      </c>
      <c r="C279" t="inlineStr">
        <is>
          <t>Föryngringsavverkning</t>
        </is>
      </c>
      <c r="D279" s="1" t="n">
        <v>46034</v>
      </c>
      <c r="E279" s="1" t="n">
        <v>46222</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55882-2023</t>
        </is>
      </c>
      <c r="B280" t="inlineStr">
        <is>
          <t>avverkningsanmälan</t>
        </is>
      </c>
      <c r="C280" t="inlineStr">
        <is>
          <t>Föryngringsavverkning</t>
        </is>
      </c>
      <c r="D280" s="1" t="n">
        <v>45239</v>
      </c>
      <c r="E280" s="1" t="n">
        <v>46222</v>
      </c>
      <c r="F280" t="inlineStr">
        <is>
          <t>DALARNAS LÄN</t>
        </is>
      </c>
      <c r="G280" t="inlineStr">
        <is>
          <t>HEDEMORA</t>
        </is>
      </c>
      <c r="H280" t="inlineStr">
        <is>
          <t>Sveaskog</t>
        </is>
      </c>
      <c r="I280" t="n">
        <v>5.2</v>
      </c>
      <c r="J280" t="n">
        <v>0</v>
      </c>
      <c r="K280" t="n">
        <v>0</v>
      </c>
      <c r="L280" t="n">
        <v>0</v>
      </c>
      <c r="M280" t="n">
        <v>0</v>
      </c>
      <c r="N280" t="n">
        <v>0</v>
      </c>
      <c r="O280" t="n">
        <v>0</v>
      </c>
      <c r="P280" t="n">
        <v>0</v>
      </c>
      <c r="Q280" t="n">
        <v>0</v>
      </c>
      <c r="R280" t="n">
        <v>0</v>
      </c>
      <c r="S280" t="n">
        <v>0</v>
      </c>
      <c r="T280" t="n">
        <v>0</v>
      </c>
      <c r="U280" s="2" t="inlineStr"/>
    </row>
    <row r="281" ht="15" customHeight="1">
      <c r="A281" t="inlineStr">
        <is>
          <t>A 1885-2026</t>
        </is>
      </c>
      <c r="B281" t="inlineStr">
        <is>
          <t>avverkningsanmälan</t>
        </is>
      </c>
      <c r="C281" t="inlineStr">
        <is>
          <t>Föryngringsavverkning</t>
        </is>
      </c>
      <c r="D281" s="1" t="n">
        <v>46035</v>
      </c>
      <c r="E281" s="1" t="n">
        <v>46222</v>
      </c>
      <c r="F281" t="inlineStr">
        <is>
          <t>DALARNAS LÄN</t>
        </is>
      </c>
      <c r="G281" t="inlineStr">
        <is>
          <t>HEDEMORA</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50885-2023</t>
        </is>
      </c>
      <c r="B282" t="inlineStr">
        <is>
          <t>avverkningsanmälan</t>
        </is>
      </c>
      <c r="C282" t="inlineStr">
        <is>
          <t>Föryngringsavverkning</t>
        </is>
      </c>
      <c r="D282" s="1" t="n">
        <v>45218</v>
      </c>
      <c r="E282" s="1" t="n">
        <v>46222</v>
      </c>
      <c r="F282" t="inlineStr">
        <is>
          <t>DALARNAS LÄN</t>
        </is>
      </c>
      <c r="G282" t="inlineStr">
        <is>
          <t>HEDEMORA</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65057-2023</t>
        </is>
      </c>
      <c r="B283" t="inlineStr">
        <is>
          <t>avverkningsanmälan</t>
        </is>
      </c>
      <c r="C283" t="inlineStr">
        <is>
          <t>Föryngringsavverkning</t>
        </is>
      </c>
      <c r="D283" s="1" t="n">
        <v>45287</v>
      </c>
      <c r="E283" s="1" t="n">
        <v>46222</v>
      </c>
      <c r="F283" t="inlineStr">
        <is>
          <t>DALARNAS LÄN</t>
        </is>
      </c>
      <c r="G283" t="inlineStr">
        <is>
          <t>HEDEMORA</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2159-2026</t>
        </is>
      </c>
      <c r="B284" t="inlineStr">
        <is>
          <t>avverkningsanmälan</t>
        </is>
      </c>
      <c r="C284" t="inlineStr">
        <is>
          <t>Föryngringsavverkning</t>
        </is>
      </c>
      <c r="D284" s="1" t="n">
        <v>46036</v>
      </c>
      <c r="E284" s="1" t="n">
        <v>46222</v>
      </c>
      <c r="F284" t="inlineStr">
        <is>
          <t>DALARNAS LÄN</t>
        </is>
      </c>
      <c r="G284" t="inlineStr">
        <is>
          <t>HEDEMORA</t>
        </is>
      </c>
      <c r="H284" t="inlineStr">
        <is>
          <t>Kyrkan</t>
        </is>
      </c>
      <c r="I284" t="n">
        <v>3.8</v>
      </c>
      <c r="J284" t="n">
        <v>0</v>
      </c>
      <c r="K284" t="n">
        <v>0</v>
      </c>
      <c r="L284" t="n">
        <v>0</v>
      </c>
      <c r="M284" t="n">
        <v>0</v>
      </c>
      <c r="N284" t="n">
        <v>0</v>
      </c>
      <c r="O284" t="n">
        <v>0</v>
      </c>
      <c r="P284" t="n">
        <v>0</v>
      </c>
      <c r="Q284" t="n">
        <v>0</v>
      </c>
      <c r="R284" t="n">
        <v>0</v>
      </c>
      <c r="S284" t="n">
        <v>0</v>
      </c>
      <c r="T284" t="n">
        <v>0</v>
      </c>
      <c r="U284" s="2" t="inlineStr"/>
    </row>
    <row r="285" ht="15" customHeight="1">
      <c r="A285" t="inlineStr">
        <is>
          <t>A 11046-2022</t>
        </is>
      </c>
      <c r="B285" t="inlineStr">
        <is>
          <t>avverkningsanmälan</t>
        </is>
      </c>
      <c r="C285" t="inlineStr">
        <is>
          <t>Föryngringsavverkning</t>
        </is>
      </c>
      <c r="D285" s="1" t="n">
        <v>44628</v>
      </c>
      <c r="E285" s="1" t="n">
        <v>46222</v>
      </c>
      <c r="F285" t="inlineStr">
        <is>
          <t>DALARNAS LÄN</t>
        </is>
      </c>
      <c r="G285" t="inlineStr">
        <is>
          <t>HEDEMORA</t>
        </is>
      </c>
      <c r="H285" t="inlineStr">
        <is>
          <t>Bergvik skog väst AB</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16260-2026</t>
        </is>
      </c>
      <c r="B286" t="inlineStr">
        <is>
          <t>avverkningsanmälan</t>
        </is>
      </c>
      <c r="C286" t="inlineStr">
        <is>
          <t>Föryngringsavverkning</t>
        </is>
      </c>
      <c r="D286" s="1" t="n">
        <v>46108</v>
      </c>
      <c r="E286" s="1" t="n">
        <v>46222</v>
      </c>
      <c r="F286" t="inlineStr">
        <is>
          <t>DALARNAS LÄN</t>
        </is>
      </c>
      <c r="G286" t="inlineStr">
        <is>
          <t>HEDEMORA</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2599-2026</t>
        </is>
      </c>
      <c r="B287" t="inlineStr">
        <is>
          <t>avverkningsanmälan</t>
        </is>
      </c>
      <c r="C287" t="inlineStr">
        <is>
          <t>Föryngringsavverkning</t>
        </is>
      </c>
      <c r="D287" s="1" t="n">
        <v>46037</v>
      </c>
      <c r="E287" s="1" t="n">
        <v>46222</v>
      </c>
      <c r="F287" t="inlineStr">
        <is>
          <t>DALARNAS LÄN</t>
        </is>
      </c>
      <c r="G287" t="inlineStr">
        <is>
          <t>HEDEMORA</t>
        </is>
      </c>
      <c r="I287" t="n">
        <v>6.5</v>
      </c>
      <c r="J287" t="n">
        <v>0</v>
      </c>
      <c r="K287" t="n">
        <v>0</v>
      </c>
      <c r="L287" t="n">
        <v>0</v>
      </c>
      <c r="M287" t="n">
        <v>0</v>
      </c>
      <c r="N287" t="n">
        <v>0</v>
      </c>
      <c r="O287" t="n">
        <v>0</v>
      </c>
      <c r="P287" t="n">
        <v>0</v>
      </c>
      <c r="Q287" t="n">
        <v>0</v>
      </c>
      <c r="R287" t="n">
        <v>0</v>
      </c>
      <c r="S287" t="n">
        <v>0</v>
      </c>
      <c r="T287" t="n">
        <v>0</v>
      </c>
      <c r="U287" s="2" t="inlineStr"/>
    </row>
    <row r="288" ht="15" customHeight="1">
      <c r="A288" t="inlineStr">
        <is>
          <t>A 38947-2023</t>
        </is>
      </c>
      <c r="B288" t="inlineStr">
        <is>
          <t>avverkningsanmälan</t>
        </is>
      </c>
      <c r="C288" t="inlineStr">
        <is>
          <t>Föryngringsavverkning</t>
        </is>
      </c>
      <c r="D288" s="1" t="n">
        <v>45163</v>
      </c>
      <c r="E288" s="1" t="n">
        <v>46222</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16279-2026</t>
        </is>
      </c>
      <c r="B289" t="inlineStr">
        <is>
          <t>avverkningsanmälan</t>
        </is>
      </c>
      <c r="C289" t="inlineStr">
        <is>
          <t>Föryngringsavverkning</t>
        </is>
      </c>
      <c r="D289" s="1" t="n">
        <v>46111</v>
      </c>
      <c r="E289" s="1" t="n">
        <v>46222</v>
      </c>
      <c r="F289" t="inlineStr">
        <is>
          <t>DALARNAS LÄN</t>
        </is>
      </c>
      <c r="G289" t="inlineStr">
        <is>
          <t>HEDEMORA</t>
        </is>
      </c>
      <c r="I289" t="n">
        <v>7.6</v>
      </c>
      <c r="J289" t="n">
        <v>0</v>
      </c>
      <c r="K289" t="n">
        <v>0</v>
      </c>
      <c r="L289" t="n">
        <v>0</v>
      </c>
      <c r="M289" t="n">
        <v>0</v>
      </c>
      <c r="N289" t="n">
        <v>0</v>
      </c>
      <c r="O289" t="n">
        <v>0</v>
      </c>
      <c r="P289" t="n">
        <v>0</v>
      </c>
      <c r="Q289" t="n">
        <v>0</v>
      </c>
      <c r="R289" t="n">
        <v>0</v>
      </c>
      <c r="S289" t="n">
        <v>0</v>
      </c>
      <c r="T289" t="n">
        <v>0</v>
      </c>
      <c r="U289" s="2" t="inlineStr"/>
    </row>
    <row r="290" ht="15" customHeight="1">
      <c r="A290" t="inlineStr">
        <is>
          <t>A 16268-2026</t>
        </is>
      </c>
      <c r="B290" t="inlineStr">
        <is>
          <t>avverkningsanmälan</t>
        </is>
      </c>
      <c r="C290" t="inlineStr">
        <is>
          <t>Föryngringsavverkning</t>
        </is>
      </c>
      <c r="D290" s="1" t="n">
        <v>46108</v>
      </c>
      <c r="E290" s="1" t="n">
        <v>46222</v>
      </c>
      <c r="F290" t="inlineStr">
        <is>
          <t>DALARNAS LÄN</t>
        </is>
      </c>
      <c r="G290" t="inlineStr">
        <is>
          <t>HEDEMORA</t>
        </is>
      </c>
      <c r="I290" t="n">
        <v>1</v>
      </c>
      <c r="J290" t="n">
        <v>0</v>
      </c>
      <c r="K290" t="n">
        <v>0</v>
      </c>
      <c r="L290" t="n">
        <v>0</v>
      </c>
      <c r="M290" t="n">
        <v>0</v>
      </c>
      <c r="N290" t="n">
        <v>0</v>
      </c>
      <c r="O290" t="n">
        <v>0</v>
      </c>
      <c r="P290" t="n">
        <v>0</v>
      </c>
      <c r="Q290" t="n">
        <v>0</v>
      </c>
      <c r="R290" t="n">
        <v>0</v>
      </c>
      <c r="S290" t="n">
        <v>0</v>
      </c>
      <c r="T290" t="n">
        <v>0</v>
      </c>
      <c r="U290" s="2" t="inlineStr"/>
    </row>
    <row r="291" ht="15" customHeight="1">
      <c r="A291" t="inlineStr">
        <is>
          <t>A 16282-2026</t>
        </is>
      </c>
      <c r="B291" t="inlineStr">
        <is>
          <t>avverkningsanmälan</t>
        </is>
      </c>
      <c r="C291" t="inlineStr">
        <is>
          <t>Föryngringsavverkning</t>
        </is>
      </c>
      <c r="D291" s="1" t="n">
        <v>46111</v>
      </c>
      <c r="E291" s="1" t="n">
        <v>46222</v>
      </c>
      <c r="F291" t="inlineStr">
        <is>
          <t>DALARNAS LÄN</t>
        </is>
      </c>
      <c r="G291" t="inlineStr">
        <is>
          <t>HEDEMORA</t>
        </is>
      </c>
      <c r="I291" t="n">
        <v>6</v>
      </c>
      <c r="J291" t="n">
        <v>0</v>
      </c>
      <c r="K291" t="n">
        <v>0</v>
      </c>
      <c r="L291" t="n">
        <v>0</v>
      </c>
      <c r="M291" t="n">
        <v>0</v>
      </c>
      <c r="N291" t="n">
        <v>0</v>
      </c>
      <c r="O291" t="n">
        <v>0</v>
      </c>
      <c r="P291" t="n">
        <v>0</v>
      </c>
      <c r="Q291" t="n">
        <v>0</v>
      </c>
      <c r="R291" t="n">
        <v>0</v>
      </c>
      <c r="S291" t="n">
        <v>0</v>
      </c>
      <c r="T291" t="n">
        <v>0</v>
      </c>
      <c r="U291" s="2" t="inlineStr"/>
    </row>
    <row r="292" ht="15" customHeight="1">
      <c r="A292" t="inlineStr">
        <is>
          <t>A 17206-2026</t>
        </is>
      </c>
      <c r="B292" t="inlineStr">
        <is>
          <t>avverkningsanmälan</t>
        </is>
      </c>
      <c r="C292" t="inlineStr">
        <is>
          <t>Föryngringsavverkning</t>
        </is>
      </c>
      <c r="D292" s="1" t="n">
        <v>46119</v>
      </c>
      <c r="E292" s="1" t="n">
        <v>46222</v>
      </c>
      <c r="F292" t="inlineStr">
        <is>
          <t>DALARNAS LÄN</t>
        </is>
      </c>
      <c r="G292" t="inlineStr">
        <is>
          <t>HEDEMORA</t>
        </is>
      </c>
      <c r="H292" t="inlineStr">
        <is>
          <t>Sveaskog</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27609-2024</t>
        </is>
      </c>
      <c r="B293" t="inlineStr">
        <is>
          <t>avverkningsanmälan</t>
        </is>
      </c>
      <c r="C293" t="inlineStr">
        <is>
          <t>Föryngringsavverkning</t>
        </is>
      </c>
      <c r="D293" s="1" t="n">
        <v>45474</v>
      </c>
      <c r="E293" s="1" t="n">
        <v>46222</v>
      </c>
      <c r="F293" t="inlineStr">
        <is>
          <t>DALARNAS LÄN</t>
        </is>
      </c>
      <c r="G293" t="inlineStr">
        <is>
          <t>HEDEMORA</t>
        </is>
      </c>
      <c r="H293" t="inlineStr">
        <is>
          <t>Sveaskog</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18015-2026</t>
        </is>
      </c>
      <c r="B294" t="inlineStr">
        <is>
          <t>avverkningsanmälan</t>
        </is>
      </c>
      <c r="C294" t="inlineStr">
        <is>
          <t>Avverkning för annat ändamål</t>
        </is>
      </c>
      <c r="D294" s="1" t="n">
        <v>46125</v>
      </c>
      <c r="E294" s="1" t="n">
        <v>46222</v>
      </c>
      <c r="F294" t="inlineStr">
        <is>
          <t>DALARNAS LÄN</t>
        </is>
      </c>
      <c r="G294" t="inlineStr">
        <is>
          <t>HEDEMORA</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16413-2024</t>
        </is>
      </c>
      <c r="B295" t="inlineStr">
        <is>
          <t>avverkningsanmälan</t>
        </is>
      </c>
      <c r="C295" t="inlineStr">
        <is>
          <t>Avverkning för annat ändamål</t>
        </is>
      </c>
      <c r="D295" s="1" t="n">
        <v>45407</v>
      </c>
      <c r="E295" s="1" t="n">
        <v>46222</v>
      </c>
      <c r="F295" t="inlineStr">
        <is>
          <t>DALARNAS LÄN</t>
        </is>
      </c>
      <c r="G295" t="inlineStr">
        <is>
          <t>HEDEMORA</t>
        </is>
      </c>
      <c r="H295" t="inlineStr">
        <is>
          <t>Sveaskog</t>
        </is>
      </c>
      <c r="I295" t="n">
        <v>0.4</v>
      </c>
      <c r="J295" t="n">
        <v>0</v>
      </c>
      <c r="K295" t="n">
        <v>0</v>
      </c>
      <c r="L295" t="n">
        <v>0</v>
      </c>
      <c r="M295" t="n">
        <v>0</v>
      </c>
      <c r="N295" t="n">
        <v>0</v>
      </c>
      <c r="O295" t="n">
        <v>0</v>
      </c>
      <c r="P295" t="n">
        <v>0</v>
      </c>
      <c r="Q295" t="n">
        <v>0</v>
      </c>
      <c r="R295" t="n">
        <v>0</v>
      </c>
      <c r="S295" t="n">
        <v>0</v>
      </c>
      <c r="T295" t="n">
        <v>0</v>
      </c>
      <c r="U295" s="2" t="inlineStr"/>
    </row>
    <row r="296" ht="15" customHeight="1">
      <c r="A296" t="inlineStr">
        <is>
          <t>A 17978-2026</t>
        </is>
      </c>
      <c r="B296" t="inlineStr">
        <is>
          <t>avverkningsanmälan</t>
        </is>
      </c>
      <c r="C296" t="inlineStr">
        <is>
          <t>Föryngringsavverkning</t>
        </is>
      </c>
      <c r="D296" s="1" t="n">
        <v>46124</v>
      </c>
      <c r="E296" s="1" t="n">
        <v>46222</v>
      </c>
      <c r="F296" t="inlineStr">
        <is>
          <t>DALARNAS LÄN</t>
        </is>
      </c>
      <c r="G296" t="inlineStr">
        <is>
          <t>HEDEMORA</t>
        </is>
      </c>
      <c r="H296" t="inlineStr">
        <is>
          <t>Sveaskog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17884-2026</t>
        </is>
      </c>
      <c r="B297" t="inlineStr">
        <is>
          <t>avverkningsanmälan</t>
        </is>
      </c>
      <c r="C297" t="inlineStr">
        <is>
          <t>Föryngringsavverkning</t>
        </is>
      </c>
      <c r="D297" s="1" t="n">
        <v>46122</v>
      </c>
      <c r="E297" s="1" t="n">
        <v>46222</v>
      </c>
      <c r="F297" t="inlineStr">
        <is>
          <t>DALARNAS LÄN</t>
        </is>
      </c>
      <c r="G297" t="inlineStr">
        <is>
          <t>HEDEMORA</t>
        </is>
      </c>
      <c r="H297" t="inlineStr">
        <is>
          <t>Sveaskog</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19473-2024</t>
        </is>
      </c>
      <c r="B298" t="inlineStr">
        <is>
          <t>avverkningsanmälan</t>
        </is>
      </c>
      <c r="C298" t="inlineStr">
        <is>
          <t>Föryngringsavverkning</t>
        </is>
      </c>
      <c r="D298" s="1" t="n">
        <v>45429</v>
      </c>
      <c r="E298" s="1" t="n">
        <v>46222</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18017-2026</t>
        </is>
      </c>
      <c r="B299" t="inlineStr">
        <is>
          <t>avverkningsanmälan</t>
        </is>
      </c>
      <c r="C299" t="inlineStr">
        <is>
          <t>Avverkning för annat ändamål</t>
        </is>
      </c>
      <c r="D299" s="1" t="n">
        <v>46125</v>
      </c>
      <c r="E299" s="1" t="n">
        <v>46222</v>
      </c>
      <c r="F299" t="inlineStr">
        <is>
          <t>DALARNAS LÄN</t>
        </is>
      </c>
      <c r="G299" t="inlineStr">
        <is>
          <t>HEDEMORA</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41435-2023</t>
        </is>
      </c>
      <c r="B300" t="inlineStr">
        <is>
          <t>avverkningsanmälan</t>
        </is>
      </c>
      <c r="C300" t="inlineStr">
        <is>
          <t>Föryngringsavverkning</t>
        </is>
      </c>
      <c r="D300" s="1" t="n">
        <v>45170</v>
      </c>
      <c r="E300" s="1" t="n">
        <v>46222</v>
      </c>
      <c r="F300" t="inlineStr">
        <is>
          <t>DALARNAS LÄN</t>
        </is>
      </c>
      <c r="G300" t="inlineStr">
        <is>
          <t>HEDEMORA</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54312-2024</t>
        </is>
      </c>
      <c r="B301" t="inlineStr">
        <is>
          <t>avverkningsanmälan</t>
        </is>
      </c>
      <c r="C301" t="inlineStr">
        <is>
          <t>Föryngringsavverkning</t>
        </is>
      </c>
      <c r="D301" s="1" t="n">
        <v>45617</v>
      </c>
      <c r="E301" s="1" t="n">
        <v>46222</v>
      </c>
      <c r="F301" t="inlineStr">
        <is>
          <t>DALARNAS LÄN</t>
        </is>
      </c>
      <c r="G301" t="inlineStr">
        <is>
          <t>HEDEMORA</t>
        </is>
      </c>
      <c r="H301" t="inlineStr">
        <is>
          <t>Bergvik skog väst AB</t>
        </is>
      </c>
      <c r="I301" t="n">
        <v>13.9</v>
      </c>
      <c r="J301" t="n">
        <v>0</v>
      </c>
      <c r="K301" t="n">
        <v>0</v>
      </c>
      <c r="L301" t="n">
        <v>0</v>
      </c>
      <c r="M301" t="n">
        <v>0</v>
      </c>
      <c r="N301" t="n">
        <v>0</v>
      </c>
      <c r="O301" t="n">
        <v>0</v>
      </c>
      <c r="P301" t="n">
        <v>0</v>
      </c>
      <c r="Q301" t="n">
        <v>0</v>
      </c>
      <c r="R301" t="n">
        <v>0</v>
      </c>
      <c r="S301" t="n">
        <v>0</v>
      </c>
      <c r="T301" t="n">
        <v>0</v>
      </c>
      <c r="U301" s="2" t="inlineStr"/>
    </row>
    <row r="302" ht="15" customHeight="1">
      <c r="A302" t="inlineStr">
        <is>
          <t>A 69624-2021</t>
        </is>
      </c>
      <c r="B302" t="inlineStr">
        <is>
          <t>avverkningsanmälan</t>
        </is>
      </c>
      <c r="C302" t="inlineStr">
        <is>
          <t>Föryngringsavverkning</t>
        </is>
      </c>
      <c r="D302" s="1" t="n">
        <v>44532</v>
      </c>
      <c r="E302" s="1" t="n">
        <v>46222</v>
      </c>
      <c r="F302" t="inlineStr">
        <is>
          <t>DALARNAS LÄN</t>
        </is>
      </c>
      <c r="G302" t="inlineStr">
        <is>
          <t>HEDEMORA</t>
        </is>
      </c>
      <c r="I302" t="n">
        <v>0.4</v>
      </c>
      <c r="J302" t="n">
        <v>0</v>
      </c>
      <c r="K302" t="n">
        <v>0</v>
      </c>
      <c r="L302" t="n">
        <v>0</v>
      </c>
      <c r="M302" t="n">
        <v>0</v>
      </c>
      <c r="N302" t="n">
        <v>0</v>
      </c>
      <c r="O302" t="n">
        <v>0</v>
      </c>
      <c r="P302" t="n">
        <v>0</v>
      </c>
      <c r="Q302" t="n">
        <v>0</v>
      </c>
      <c r="R302" t="n">
        <v>0</v>
      </c>
      <c r="S302" t="n">
        <v>0</v>
      </c>
      <c r="T302" t="n">
        <v>0</v>
      </c>
      <c r="U302" s="2" t="inlineStr"/>
    </row>
    <row r="303" ht="15" customHeight="1">
      <c r="A303" t="inlineStr">
        <is>
          <t>A 18665-2026</t>
        </is>
      </c>
      <c r="B303" t="inlineStr">
        <is>
          <t>avverkningsanmälan</t>
        </is>
      </c>
      <c r="C303" t="inlineStr">
        <is>
          <t>Avverkning för annat ändamål</t>
        </is>
      </c>
      <c r="D303" s="1" t="n">
        <v>46128</v>
      </c>
      <c r="E303" s="1" t="n">
        <v>46222</v>
      </c>
      <c r="F303" t="inlineStr">
        <is>
          <t>DALARNAS LÄN</t>
        </is>
      </c>
      <c r="G303" t="inlineStr">
        <is>
          <t>HEDEMORA</t>
        </is>
      </c>
      <c r="H303" t="inlineStr">
        <is>
          <t>Sveaskog</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18654-2026</t>
        </is>
      </c>
      <c r="B304" t="inlineStr">
        <is>
          <t>avverkningsanmälan</t>
        </is>
      </c>
      <c r="C304" t="inlineStr">
        <is>
          <t>Avverkning för annat ändamål</t>
        </is>
      </c>
      <c r="D304" s="1" t="n">
        <v>46128</v>
      </c>
      <c r="E304" s="1" t="n">
        <v>46222</v>
      </c>
      <c r="F304" t="inlineStr">
        <is>
          <t>DALARNAS LÄN</t>
        </is>
      </c>
      <c r="G304" t="inlineStr">
        <is>
          <t>HEDEMORA</t>
        </is>
      </c>
      <c r="H304" t="inlineStr">
        <is>
          <t>Sveaskog</t>
        </is>
      </c>
      <c r="I304" t="n">
        <v>1.1</v>
      </c>
      <c r="J304" t="n">
        <v>0</v>
      </c>
      <c r="K304" t="n">
        <v>0</v>
      </c>
      <c r="L304" t="n">
        <v>0</v>
      </c>
      <c r="M304" t="n">
        <v>0</v>
      </c>
      <c r="N304" t="n">
        <v>0</v>
      </c>
      <c r="O304" t="n">
        <v>0</v>
      </c>
      <c r="P304" t="n">
        <v>0</v>
      </c>
      <c r="Q304" t="n">
        <v>0</v>
      </c>
      <c r="R304" t="n">
        <v>0</v>
      </c>
      <c r="S304" t="n">
        <v>0</v>
      </c>
      <c r="T304" t="n">
        <v>0</v>
      </c>
      <c r="U304" s="2" t="inlineStr"/>
    </row>
    <row r="305" ht="15" customHeight="1">
      <c r="A305" t="inlineStr">
        <is>
          <t>A 18661-2026</t>
        </is>
      </c>
      <c r="B305" t="inlineStr">
        <is>
          <t>avverkningsanmälan</t>
        </is>
      </c>
      <c r="C305" t="inlineStr">
        <is>
          <t>Avverkning för annat ändamål</t>
        </is>
      </c>
      <c r="D305" s="1" t="n">
        <v>46128</v>
      </c>
      <c r="E305" s="1" t="n">
        <v>46222</v>
      </c>
      <c r="F305" t="inlineStr">
        <is>
          <t>DALARNAS LÄN</t>
        </is>
      </c>
      <c r="G305" t="inlineStr">
        <is>
          <t>HEDEMORA</t>
        </is>
      </c>
      <c r="H305" t="inlineStr">
        <is>
          <t>Sveaskog</t>
        </is>
      </c>
      <c r="I305" t="n">
        <v>0.7</v>
      </c>
      <c r="J305" t="n">
        <v>0</v>
      </c>
      <c r="K305" t="n">
        <v>0</v>
      </c>
      <c r="L305" t="n">
        <v>0</v>
      </c>
      <c r="M305" t="n">
        <v>0</v>
      </c>
      <c r="N305" t="n">
        <v>0</v>
      </c>
      <c r="O305" t="n">
        <v>0</v>
      </c>
      <c r="P305" t="n">
        <v>0</v>
      </c>
      <c r="Q305" t="n">
        <v>0</v>
      </c>
      <c r="R305" t="n">
        <v>0</v>
      </c>
      <c r="S305" t="n">
        <v>0</v>
      </c>
      <c r="T305" t="n">
        <v>0</v>
      </c>
      <c r="U305" s="2" t="inlineStr"/>
    </row>
    <row r="306" ht="15" customHeight="1">
      <c r="A306" t="inlineStr">
        <is>
          <t>A 63925-2023</t>
        </is>
      </c>
      <c r="B306" t="inlineStr">
        <is>
          <t>avverkningsanmälan</t>
        </is>
      </c>
      <c r="C306" t="inlineStr">
        <is>
          <t>Föryngringsavverkning</t>
        </is>
      </c>
      <c r="D306" s="1" t="n">
        <v>45278</v>
      </c>
      <c r="E306" s="1" t="n">
        <v>46222</v>
      </c>
      <c r="F306" t="inlineStr">
        <is>
          <t>DALARNAS LÄN</t>
        </is>
      </c>
      <c r="G306" t="inlineStr">
        <is>
          <t>HEDEMORA</t>
        </is>
      </c>
      <c r="I306" t="n">
        <v>5.2</v>
      </c>
      <c r="J306" t="n">
        <v>0</v>
      </c>
      <c r="K306" t="n">
        <v>0</v>
      </c>
      <c r="L306" t="n">
        <v>0</v>
      </c>
      <c r="M306" t="n">
        <v>0</v>
      </c>
      <c r="N306" t="n">
        <v>0</v>
      </c>
      <c r="O306" t="n">
        <v>0</v>
      </c>
      <c r="P306" t="n">
        <v>0</v>
      </c>
      <c r="Q306" t="n">
        <v>0</v>
      </c>
      <c r="R306" t="n">
        <v>0</v>
      </c>
      <c r="S306" t="n">
        <v>0</v>
      </c>
      <c r="T306" t="n">
        <v>0</v>
      </c>
      <c r="U306" s="2" t="inlineStr"/>
    </row>
    <row r="307" ht="15" customHeight="1">
      <c r="A307" t="inlineStr">
        <is>
          <t>A 18920-2026</t>
        </is>
      </c>
      <c r="B307" t="inlineStr">
        <is>
          <t>avverkningsanmälan</t>
        </is>
      </c>
      <c r="C307" t="inlineStr">
        <is>
          <t>Föryngringsavverkning</t>
        </is>
      </c>
      <c r="D307" s="1" t="n">
        <v>46129</v>
      </c>
      <c r="E307" s="1" t="n">
        <v>46222</v>
      </c>
      <c r="F307" t="inlineStr">
        <is>
          <t>DALARNAS LÄN</t>
        </is>
      </c>
      <c r="G307" t="inlineStr">
        <is>
          <t>HEDEMORA</t>
        </is>
      </c>
      <c r="H307" t="inlineStr">
        <is>
          <t>Sveaskog</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6881-2024</t>
        </is>
      </c>
      <c r="B308" t="inlineStr">
        <is>
          <t>avverkningsanmälan</t>
        </is>
      </c>
      <c r="C308" t="inlineStr">
        <is>
          <t>Föryngringsavverkning</t>
        </is>
      </c>
      <c r="D308" s="1" t="n">
        <v>45342</v>
      </c>
      <c r="E308" s="1" t="n">
        <v>46222</v>
      </c>
      <c r="F308" t="inlineStr">
        <is>
          <t>DALARNAS LÄN</t>
        </is>
      </c>
      <c r="G308" t="inlineStr">
        <is>
          <t>HEDEMORA</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19002-2026</t>
        </is>
      </c>
      <c r="B309" t="inlineStr">
        <is>
          <t>avverkningsanmälan</t>
        </is>
      </c>
      <c r="C309" t="inlineStr">
        <is>
          <t>Föryngringsavverkning</t>
        </is>
      </c>
      <c r="D309" s="1" t="n">
        <v>46129</v>
      </c>
      <c r="E309" s="1" t="n">
        <v>46222</v>
      </c>
      <c r="F309" t="inlineStr">
        <is>
          <t>DALARNAS LÄN</t>
        </is>
      </c>
      <c r="G309" t="inlineStr">
        <is>
          <t>HEDEMORA</t>
        </is>
      </c>
      <c r="H309" t="inlineStr">
        <is>
          <t>Sveaskog</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19564-2026</t>
        </is>
      </c>
      <c r="B310" t="inlineStr">
        <is>
          <t>avverkningsanmälan</t>
        </is>
      </c>
      <c r="C310" t="inlineStr">
        <is>
          <t>Föryngringsavverkning</t>
        </is>
      </c>
      <c r="D310" s="1" t="n">
        <v>46134</v>
      </c>
      <c r="E310" s="1" t="n">
        <v>46222</v>
      </c>
      <c r="F310" t="inlineStr">
        <is>
          <t>DALARNAS LÄN</t>
        </is>
      </c>
      <c r="G310" t="inlineStr">
        <is>
          <t>HEDEMORA</t>
        </is>
      </c>
      <c r="H310" t="inlineStr">
        <is>
          <t>Sveaskog</t>
        </is>
      </c>
      <c r="I310" t="n">
        <v>7.7</v>
      </c>
      <c r="J310" t="n">
        <v>0</v>
      </c>
      <c r="K310" t="n">
        <v>0</v>
      </c>
      <c r="L310" t="n">
        <v>0</v>
      </c>
      <c r="M310" t="n">
        <v>0</v>
      </c>
      <c r="N310" t="n">
        <v>0</v>
      </c>
      <c r="O310" t="n">
        <v>0</v>
      </c>
      <c r="P310" t="n">
        <v>0</v>
      </c>
      <c r="Q310" t="n">
        <v>0</v>
      </c>
      <c r="R310" t="n">
        <v>0</v>
      </c>
      <c r="S310" t="n">
        <v>0</v>
      </c>
      <c r="T310" t="n">
        <v>0</v>
      </c>
      <c r="U310" s="2" t="inlineStr"/>
    </row>
    <row r="311" ht="15" customHeight="1">
      <c r="A311" t="inlineStr">
        <is>
          <t>A 19262-2026</t>
        </is>
      </c>
      <c r="B311" t="inlineStr">
        <is>
          <t>avverkningsanmälan</t>
        </is>
      </c>
      <c r="C311" t="inlineStr">
        <is>
          <t>Avverkning för annat ändamål</t>
        </is>
      </c>
      <c r="D311" s="1" t="n">
        <v>46132</v>
      </c>
      <c r="E311" s="1" t="n">
        <v>46222</v>
      </c>
      <c r="F311" t="inlineStr">
        <is>
          <t>DALARNAS LÄN</t>
        </is>
      </c>
      <c r="G311" t="inlineStr">
        <is>
          <t>HEDEMORA</t>
        </is>
      </c>
      <c r="H311" t="inlineStr">
        <is>
          <t>Sveaskog</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19670-2026</t>
        </is>
      </c>
      <c r="B312" t="inlineStr">
        <is>
          <t>avverkningsanmälan</t>
        </is>
      </c>
      <c r="C312" t="inlineStr">
        <is>
          <t>Föryngringsavverkning</t>
        </is>
      </c>
      <c r="D312" s="1" t="n">
        <v>46134</v>
      </c>
      <c r="E312" s="1" t="n">
        <v>46222</v>
      </c>
      <c r="F312" t="inlineStr">
        <is>
          <t>DALARNAS LÄN</t>
        </is>
      </c>
      <c r="G312" t="inlineStr">
        <is>
          <t>HEDEMORA</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52199-2021</t>
        </is>
      </c>
      <c r="B313" t="inlineStr">
        <is>
          <t>avverkningsanmälan</t>
        </is>
      </c>
      <c r="C313" t="inlineStr">
        <is>
          <t>Föryngringsavverkning</t>
        </is>
      </c>
      <c r="D313" s="1" t="n">
        <v>44462</v>
      </c>
      <c r="E313" s="1" t="n">
        <v>46222</v>
      </c>
      <c r="F313" t="inlineStr">
        <is>
          <t>DALARNAS LÄN</t>
        </is>
      </c>
      <c r="G313" t="inlineStr">
        <is>
          <t>HEDEMORA</t>
        </is>
      </c>
      <c r="H313" t="inlineStr">
        <is>
          <t>Bergvik skog väst AB</t>
        </is>
      </c>
      <c r="I313" t="n">
        <v>4.4</v>
      </c>
      <c r="J313" t="n">
        <v>0</v>
      </c>
      <c r="K313" t="n">
        <v>0</v>
      </c>
      <c r="L313" t="n">
        <v>0</v>
      </c>
      <c r="M313" t="n">
        <v>0</v>
      </c>
      <c r="N313" t="n">
        <v>0</v>
      </c>
      <c r="O313" t="n">
        <v>0</v>
      </c>
      <c r="P313" t="n">
        <v>0</v>
      </c>
      <c r="Q313" t="n">
        <v>0</v>
      </c>
      <c r="R313" t="n">
        <v>0</v>
      </c>
      <c r="S313" t="n">
        <v>0</v>
      </c>
      <c r="T313" t="n">
        <v>0</v>
      </c>
      <c r="U313" s="2" t="inlineStr"/>
    </row>
    <row r="314" ht="15" customHeight="1">
      <c r="A314" t="inlineStr">
        <is>
          <t>A 19932-2026</t>
        </is>
      </c>
      <c r="B314" t="inlineStr">
        <is>
          <t>avverkningsanmälan</t>
        </is>
      </c>
      <c r="C314" t="inlineStr">
        <is>
          <t>Föryngringsavverkning</t>
        </is>
      </c>
      <c r="D314" s="1" t="n">
        <v>46136</v>
      </c>
      <c r="E314" s="1" t="n">
        <v>46222</v>
      </c>
      <c r="F314" t="inlineStr">
        <is>
          <t>DALARNAS LÄN</t>
        </is>
      </c>
      <c r="G314" t="inlineStr">
        <is>
          <t>HEDEMORA</t>
        </is>
      </c>
      <c r="H314" t="inlineStr">
        <is>
          <t>Sveaskog</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39531-2024</t>
        </is>
      </c>
      <c r="B315" t="inlineStr">
        <is>
          <t>avverkningsanmälan</t>
        </is>
      </c>
      <c r="C315" t="inlineStr">
        <is>
          <t>Föryngringsavverkning</t>
        </is>
      </c>
      <c r="D315" s="1" t="n">
        <v>45551</v>
      </c>
      <c r="E315" s="1" t="n">
        <v>46222</v>
      </c>
      <c r="F315" t="inlineStr">
        <is>
          <t>DALARNAS LÄN</t>
        </is>
      </c>
      <c r="G315" t="inlineStr">
        <is>
          <t>HEDEMORA</t>
        </is>
      </c>
      <c r="H315" t="inlineStr">
        <is>
          <t>Bergvik skog väst AB</t>
        </is>
      </c>
      <c r="I315" t="n">
        <v>1.9</v>
      </c>
      <c r="J315" t="n">
        <v>0</v>
      </c>
      <c r="K315" t="n">
        <v>0</v>
      </c>
      <c r="L315" t="n">
        <v>0</v>
      </c>
      <c r="M315" t="n">
        <v>0</v>
      </c>
      <c r="N315" t="n">
        <v>0</v>
      </c>
      <c r="O315" t="n">
        <v>0</v>
      </c>
      <c r="P315" t="n">
        <v>0</v>
      </c>
      <c r="Q315" t="n">
        <v>0</v>
      </c>
      <c r="R315" t="n">
        <v>0</v>
      </c>
      <c r="S315" t="n">
        <v>0</v>
      </c>
      <c r="T315" t="n">
        <v>0</v>
      </c>
      <c r="U315" s="2" t="inlineStr"/>
    </row>
    <row r="316" ht="15" customHeight="1">
      <c r="A316" t="inlineStr">
        <is>
          <t>A 15635-2022</t>
        </is>
      </c>
      <c r="B316" t="inlineStr">
        <is>
          <t>avverkningsanmälan</t>
        </is>
      </c>
      <c r="C316" t="inlineStr">
        <is>
          <t>Föryngringsavverkning</t>
        </is>
      </c>
      <c r="D316" s="1" t="n">
        <v>44662</v>
      </c>
      <c r="E316" s="1" t="n">
        <v>46222</v>
      </c>
      <c r="F316" t="inlineStr">
        <is>
          <t>DALARNAS LÄN</t>
        </is>
      </c>
      <c r="G316" t="inlineStr">
        <is>
          <t>HEDEMORA</t>
        </is>
      </c>
      <c r="H316" t="inlineStr">
        <is>
          <t>Bergvik skog väst AB</t>
        </is>
      </c>
      <c r="I316" t="n">
        <v>2.3</v>
      </c>
      <c r="J316" t="n">
        <v>0</v>
      </c>
      <c r="K316" t="n">
        <v>0</v>
      </c>
      <c r="L316" t="n">
        <v>0</v>
      </c>
      <c r="M316" t="n">
        <v>0</v>
      </c>
      <c r="N316" t="n">
        <v>0</v>
      </c>
      <c r="O316" t="n">
        <v>0</v>
      </c>
      <c r="P316" t="n">
        <v>0</v>
      </c>
      <c r="Q316" t="n">
        <v>0</v>
      </c>
      <c r="R316" t="n">
        <v>0</v>
      </c>
      <c r="S316" t="n">
        <v>0</v>
      </c>
      <c r="T316" t="n">
        <v>0</v>
      </c>
      <c r="U316" s="2" t="inlineStr"/>
    </row>
    <row r="317" ht="15" customHeight="1">
      <c r="A317" t="inlineStr">
        <is>
          <t>A 11541-2026</t>
        </is>
      </c>
      <c r="B317" t="inlineStr">
        <is>
          <t>avverkningsanmälan</t>
        </is>
      </c>
      <c r="C317" t="inlineStr">
        <is>
          <t>Föryngringsavverkning</t>
        </is>
      </c>
      <c r="D317" s="1" t="n">
        <v>46083</v>
      </c>
      <c r="E317" s="1" t="n">
        <v>46222</v>
      </c>
      <c r="F317" t="inlineStr">
        <is>
          <t>DALARNAS LÄN</t>
        </is>
      </c>
      <c r="G317" t="inlineStr">
        <is>
          <t>HEDEMORA</t>
        </is>
      </c>
      <c r="I317" t="n">
        <v>1.4</v>
      </c>
      <c r="J317" t="n">
        <v>0</v>
      </c>
      <c r="K317" t="n">
        <v>0</v>
      </c>
      <c r="L317" t="n">
        <v>0</v>
      </c>
      <c r="M317" t="n">
        <v>0</v>
      </c>
      <c r="N317" t="n">
        <v>0</v>
      </c>
      <c r="O317" t="n">
        <v>0</v>
      </c>
      <c r="P317" t="n">
        <v>0</v>
      </c>
      <c r="Q317" t="n">
        <v>0</v>
      </c>
      <c r="R317" t="n">
        <v>0</v>
      </c>
      <c r="S317" t="n">
        <v>0</v>
      </c>
      <c r="T317" t="n">
        <v>0</v>
      </c>
      <c r="U317" s="2" t="inlineStr"/>
    </row>
    <row r="318" ht="15" customHeight="1">
      <c r="A318" t="inlineStr">
        <is>
          <t>A 7916-2024</t>
        </is>
      </c>
      <c r="B318" t="inlineStr">
        <is>
          <t>avverkningsanmälan</t>
        </is>
      </c>
      <c r="C318" t="inlineStr">
        <is>
          <t>Föryngringsavverkning</t>
        </is>
      </c>
      <c r="D318" s="1" t="n">
        <v>45350</v>
      </c>
      <c r="E318" s="1" t="n">
        <v>46222</v>
      </c>
      <c r="F318" t="inlineStr">
        <is>
          <t>DALARNAS LÄN</t>
        </is>
      </c>
      <c r="G318" t="inlineStr">
        <is>
          <t>HEDEMORA</t>
        </is>
      </c>
      <c r="I318" t="n">
        <v>5.8</v>
      </c>
      <c r="J318" t="n">
        <v>0</v>
      </c>
      <c r="K318" t="n">
        <v>0</v>
      </c>
      <c r="L318" t="n">
        <v>0</v>
      </c>
      <c r="M318" t="n">
        <v>0</v>
      </c>
      <c r="N318" t="n">
        <v>0</v>
      </c>
      <c r="O318" t="n">
        <v>0</v>
      </c>
      <c r="P318" t="n">
        <v>0</v>
      </c>
      <c r="Q318" t="n">
        <v>0</v>
      </c>
      <c r="R318" t="n">
        <v>0</v>
      </c>
      <c r="S318" t="n">
        <v>0</v>
      </c>
      <c r="T318" t="n">
        <v>0</v>
      </c>
      <c r="U318" s="2" t="inlineStr"/>
    </row>
    <row r="319" ht="15" customHeight="1">
      <c r="A319" t="inlineStr">
        <is>
          <t>A 52944-2024</t>
        </is>
      </c>
      <c r="B319" t="inlineStr">
        <is>
          <t>avverkningsanmälan</t>
        </is>
      </c>
      <c r="C319" t="inlineStr">
        <is>
          <t>Föryngringsavverkning</t>
        </is>
      </c>
      <c r="D319" s="1" t="n">
        <v>45610</v>
      </c>
      <c r="E319" s="1" t="n">
        <v>46222</v>
      </c>
      <c r="F319" t="inlineStr">
        <is>
          <t>DALARNAS LÄN</t>
        </is>
      </c>
      <c r="G319" t="inlineStr">
        <is>
          <t>HEDEMORA</t>
        </is>
      </c>
      <c r="H319" t="inlineStr">
        <is>
          <t>Sveaskog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6687-2026</t>
        </is>
      </c>
      <c r="B320" t="inlineStr">
        <is>
          <t>avverkningsanmälan</t>
        </is>
      </c>
      <c r="C320" t="inlineStr">
        <is>
          <t>Föryngringsavverkning</t>
        </is>
      </c>
      <c r="D320" s="1" t="n">
        <v>46056</v>
      </c>
      <c r="E320" s="1" t="n">
        <v>46222</v>
      </c>
      <c r="F320" t="inlineStr">
        <is>
          <t>DALARNAS LÄN</t>
        </is>
      </c>
      <c r="G320" t="inlineStr">
        <is>
          <t>HEDEMORA</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12133-2025</t>
        </is>
      </c>
      <c r="B321" t="inlineStr">
        <is>
          <t>avverkningsanmälan</t>
        </is>
      </c>
      <c r="C321" t="inlineStr">
        <is>
          <t>Föryngringsavverkning</t>
        </is>
      </c>
      <c r="D321" s="1" t="n">
        <v>45729</v>
      </c>
      <c r="E321" s="1" t="n">
        <v>46222</v>
      </c>
      <c r="F321" t="inlineStr">
        <is>
          <t>DALARNAS LÄN</t>
        </is>
      </c>
      <c r="G321" t="inlineStr">
        <is>
          <t>HEDEMORA</t>
        </is>
      </c>
      <c r="I321" t="n">
        <v>4.8</v>
      </c>
      <c r="J321" t="n">
        <v>0</v>
      </c>
      <c r="K321" t="n">
        <v>0</v>
      </c>
      <c r="L321" t="n">
        <v>0</v>
      </c>
      <c r="M321" t="n">
        <v>0</v>
      </c>
      <c r="N321" t="n">
        <v>0</v>
      </c>
      <c r="O321" t="n">
        <v>0</v>
      </c>
      <c r="P321" t="n">
        <v>0</v>
      </c>
      <c r="Q321" t="n">
        <v>0</v>
      </c>
      <c r="R321" t="n">
        <v>0</v>
      </c>
      <c r="S321" t="n">
        <v>0</v>
      </c>
      <c r="T321" t="n">
        <v>0</v>
      </c>
      <c r="U321" s="2" t="inlineStr"/>
    </row>
    <row r="322" ht="15" customHeight="1">
      <c r="A322" t="inlineStr">
        <is>
          <t>A 29283-2022</t>
        </is>
      </c>
      <c r="B322" t="inlineStr">
        <is>
          <t>avverkningsanmälan</t>
        </is>
      </c>
      <c r="C322" t="inlineStr">
        <is>
          <t>Föryngringsavverkning</t>
        </is>
      </c>
      <c r="D322" s="1" t="n">
        <v>44750</v>
      </c>
      <c r="E322" s="1" t="n">
        <v>46222</v>
      </c>
      <c r="F322" t="inlineStr">
        <is>
          <t>DALARNAS LÄN</t>
        </is>
      </c>
      <c r="G322" t="inlineStr">
        <is>
          <t>HEDEMORA</t>
        </is>
      </c>
      <c r="H322" t="inlineStr">
        <is>
          <t>Sveaskog</t>
        </is>
      </c>
      <c r="I322" t="n">
        <v>1.1</v>
      </c>
      <c r="J322" t="n">
        <v>0</v>
      </c>
      <c r="K322" t="n">
        <v>0</v>
      </c>
      <c r="L322" t="n">
        <v>0</v>
      </c>
      <c r="M322" t="n">
        <v>0</v>
      </c>
      <c r="N322" t="n">
        <v>0</v>
      </c>
      <c r="O322" t="n">
        <v>0</v>
      </c>
      <c r="P322" t="n">
        <v>0</v>
      </c>
      <c r="Q322" t="n">
        <v>0</v>
      </c>
      <c r="R322" t="n">
        <v>0</v>
      </c>
      <c r="S322" t="n">
        <v>0</v>
      </c>
      <c r="T322" t="n">
        <v>0</v>
      </c>
      <c r="U322" s="2" t="inlineStr"/>
    </row>
    <row r="323" ht="15" customHeight="1">
      <c r="A323" t="inlineStr">
        <is>
          <t>A 40419-2025</t>
        </is>
      </c>
      <c r="B323" t="inlineStr">
        <is>
          <t>avverkningsanmälan</t>
        </is>
      </c>
      <c r="C323" t="inlineStr">
        <is>
          <t>Föryngringsavverkning</t>
        </is>
      </c>
      <c r="D323" s="1" t="n">
        <v>45895</v>
      </c>
      <c r="E323" s="1" t="n">
        <v>46222</v>
      </c>
      <c r="F323" t="inlineStr">
        <is>
          <t>DALARNAS LÄN</t>
        </is>
      </c>
      <c r="G323" t="inlineStr">
        <is>
          <t>HEDEMORA</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25925-2026</t>
        </is>
      </c>
      <c r="B324" t="inlineStr">
        <is>
          <t>avverkningsanmälan</t>
        </is>
      </c>
      <c r="C324" t="inlineStr">
        <is>
          <t>Föryngringsavverkning</t>
        </is>
      </c>
      <c r="D324" s="1" t="n">
        <v>46178</v>
      </c>
      <c r="E324" s="1" t="n">
        <v>46222</v>
      </c>
      <c r="F324" t="inlineStr">
        <is>
          <t>DALARNAS LÄN</t>
        </is>
      </c>
      <c r="G324" t="inlineStr">
        <is>
          <t>HEDEMORA</t>
        </is>
      </c>
      <c r="H324" t="inlineStr">
        <is>
          <t>Sveaskog</t>
        </is>
      </c>
      <c r="I324" t="n">
        <v>8</v>
      </c>
      <c r="J324" t="n">
        <v>0</v>
      </c>
      <c r="K324" t="n">
        <v>0</v>
      </c>
      <c r="L324" t="n">
        <v>0</v>
      </c>
      <c r="M324" t="n">
        <v>0</v>
      </c>
      <c r="N324" t="n">
        <v>0</v>
      </c>
      <c r="O324" t="n">
        <v>0</v>
      </c>
      <c r="P324" t="n">
        <v>0</v>
      </c>
      <c r="Q324" t="n">
        <v>0</v>
      </c>
      <c r="R324" t="n">
        <v>0</v>
      </c>
      <c r="S324" t="n">
        <v>0</v>
      </c>
      <c r="T324" t="n">
        <v>0</v>
      </c>
      <c r="U324" s="2" t="inlineStr"/>
    </row>
    <row r="325" ht="15" customHeight="1">
      <c r="A325" t="inlineStr">
        <is>
          <t>A 29585-2024</t>
        </is>
      </c>
      <c r="B325" t="inlineStr">
        <is>
          <t>avverkningsanmälan</t>
        </is>
      </c>
      <c r="C325" t="inlineStr">
        <is>
          <t>Föryngringsavverkning</t>
        </is>
      </c>
      <c r="D325" s="1" t="n">
        <v>45484</v>
      </c>
      <c r="E325" s="1" t="n">
        <v>46222</v>
      </c>
      <c r="F325" t="inlineStr">
        <is>
          <t>DALARNAS LÄN</t>
        </is>
      </c>
      <c r="G325" t="inlineStr">
        <is>
          <t>HEDEMORA</t>
        </is>
      </c>
      <c r="H325" t="inlineStr">
        <is>
          <t>Bergvik skog väst AB</t>
        </is>
      </c>
      <c r="I325" t="n">
        <v>8.1</v>
      </c>
      <c r="J325" t="n">
        <v>0</v>
      </c>
      <c r="K325" t="n">
        <v>0</v>
      </c>
      <c r="L325" t="n">
        <v>0</v>
      </c>
      <c r="M325" t="n">
        <v>0</v>
      </c>
      <c r="N325" t="n">
        <v>0</v>
      </c>
      <c r="O325" t="n">
        <v>0</v>
      </c>
      <c r="P325" t="n">
        <v>0</v>
      </c>
      <c r="Q325" t="n">
        <v>0</v>
      </c>
      <c r="R325" t="n">
        <v>0</v>
      </c>
      <c r="S325" t="n">
        <v>0</v>
      </c>
      <c r="T325" t="n">
        <v>0</v>
      </c>
      <c r="U325" s="2" t="inlineStr"/>
    </row>
    <row r="326" ht="15" customHeight="1">
      <c r="A326" t="inlineStr">
        <is>
          <t>A 26705-2025</t>
        </is>
      </c>
      <c r="B326" t="inlineStr">
        <is>
          <t>avverkningsanmälan</t>
        </is>
      </c>
      <c r="C326" t="inlineStr">
        <is>
          <t>Föryngringsavverkning</t>
        </is>
      </c>
      <c r="D326" s="1" t="n">
        <v>45810</v>
      </c>
      <c r="E326" s="1" t="n">
        <v>46222</v>
      </c>
      <c r="F326" t="inlineStr">
        <is>
          <t>DALARNAS LÄN</t>
        </is>
      </c>
      <c r="G326" t="inlineStr">
        <is>
          <t>HEDEMORA</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48834-2023</t>
        </is>
      </c>
      <c r="B327" t="inlineStr">
        <is>
          <t>avverkningsanmälan</t>
        </is>
      </c>
      <c r="C327" t="inlineStr">
        <is>
          <t>Föryngringsavverkning</t>
        </is>
      </c>
      <c r="D327" s="1" t="n">
        <v>45209</v>
      </c>
      <c r="E327" s="1" t="n">
        <v>46222</v>
      </c>
      <c r="F327" t="inlineStr">
        <is>
          <t>DALARNAS LÄN</t>
        </is>
      </c>
      <c r="G327" t="inlineStr">
        <is>
          <t>HEDEMORA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39552-2024</t>
        </is>
      </c>
      <c r="B328" t="inlineStr">
        <is>
          <t>avverkningsanmälan</t>
        </is>
      </c>
      <c r="C328" t="inlineStr">
        <is>
          <t>Föryngringsavverkning</t>
        </is>
      </c>
      <c r="D328" s="1" t="n">
        <v>45551</v>
      </c>
      <c r="E328" s="1" t="n">
        <v>46222</v>
      </c>
      <c r="F328" t="inlineStr">
        <is>
          <t>DALARNAS LÄN</t>
        </is>
      </c>
      <c r="G328" t="inlineStr">
        <is>
          <t>HEDEMORA</t>
        </is>
      </c>
      <c r="H328" t="inlineStr">
        <is>
          <t>Bergvik skog väst AB</t>
        </is>
      </c>
      <c r="I328" t="n">
        <v>24.1</v>
      </c>
      <c r="J328" t="n">
        <v>0</v>
      </c>
      <c r="K328" t="n">
        <v>0</v>
      </c>
      <c r="L328" t="n">
        <v>0</v>
      </c>
      <c r="M328" t="n">
        <v>0</v>
      </c>
      <c r="N328" t="n">
        <v>0</v>
      </c>
      <c r="O328" t="n">
        <v>0</v>
      </c>
      <c r="P328" t="n">
        <v>0</v>
      </c>
      <c r="Q328" t="n">
        <v>0</v>
      </c>
      <c r="R328" t="n">
        <v>0</v>
      </c>
      <c r="S328" t="n">
        <v>0</v>
      </c>
      <c r="T328" t="n">
        <v>0</v>
      </c>
      <c r="U328" s="2" t="inlineStr"/>
    </row>
    <row r="329" ht="15" customHeight="1">
      <c r="A329" t="inlineStr">
        <is>
          <t>A 9106-2026</t>
        </is>
      </c>
      <c r="B329" t="inlineStr">
        <is>
          <t>avverkningsanmälan</t>
        </is>
      </c>
      <c r="C329" t="inlineStr">
        <is>
          <t>Föryngringsavverkning</t>
        </is>
      </c>
      <c r="D329" s="1" t="n">
        <v>46069</v>
      </c>
      <c r="E329" s="1" t="n">
        <v>46222</v>
      </c>
      <c r="F329" t="inlineStr">
        <is>
          <t>DALARNAS LÄN</t>
        </is>
      </c>
      <c r="G329" t="inlineStr">
        <is>
          <t>HEDEMORA</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25924-2026</t>
        </is>
      </c>
      <c r="B330" t="inlineStr">
        <is>
          <t>avverkningsanmälan</t>
        </is>
      </c>
      <c r="C330" t="inlineStr">
        <is>
          <t>Föryngringsavverkning</t>
        </is>
      </c>
      <c r="D330" s="1" t="n">
        <v>46178</v>
      </c>
      <c r="E330" s="1" t="n">
        <v>46222</v>
      </c>
      <c r="F330" t="inlineStr">
        <is>
          <t>DALARNAS LÄN</t>
        </is>
      </c>
      <c r="G330" t="inlineStr">
        <is>
          <t>HEDEMORA</t>
        </is>
      </c>
      <c r="H330" t="inlineStr">
        <is>
          <t>Sveaskog</t>
        </is>
      </c>
      <c r="I330" t="n">
        <v>18.3</v>
      </c>
      <c r="J330" t="n">
        <v>0</v>
      </c>
      <c r="K330" t="n">
        <v>0</v>
      </c>
      <c r="L330" t="n">
        <v>0</v>
      </c>
      <c r="M330" t="n">
        <v>0</v>
      </c>
      <c r="N330" t="n">
        <v>0</v>
      </c>
      <c r="O330" t="n">
        <v>0</v>
      </c>
      <c r="P330" t="n">
        <v>0</v>
      </c>
      <c r="Q330" t="n">
        <v>0</v>
      </c>
      <c r="R330" t="n">
        <v>0</v>
      </c>
      <c r="S330" t="n">
        <v>0</v>
      </c>
      <c r="T330" t="n">
        <v>0</v>
      </c>
      <c r="U330" s="2" t="inlineStr"/>
    </row>
    <row r="331" ht="15" customHeight="1">
      <c r="A331" t="inlineStr">
        <is>
          <t>A 1721-2026</t>
        </is>
      </c>
      <c r="B331" t="inlineStr">
        <is>
          <t>avverkningsanmälan</t>
        </is>
      </c>
      <c r="C331" t="inlineStr">
        <is>
          <t>Föryngringsavverkning</t>
        </is>
      </c>
      <c r="D331" s="1" t="n">
        <v>46034</v>
      </c>
      <c r="E331" s="1" t="n">
        <v>46222</v>
      </c>
      <c r="F331" t="inlineStr">
        <is>
          <t>DALARNAS LÄN</t>
        </is>
      </c>
      <c r="G331" t="inlineStr">
        <is>
          <t>HEDEMORA</t>
        </is>
      </c>
      <c r="I331" t="n">
        <v>4.4</v>
      </c>
      <c r="J331" t="n">
        <v>0</v>
      </c>
      <c r="K331" t="n">
        <v>0</v>
      </c>
      <c r="L331" t="n">
        <v>0</v>
      </c>
      <c r="M331" t="n">
        <v>0</v>
      </c>
      <c r="N331" t="n">
        <v>0</v>
      </c>
      <c r="O331" t="n">
        <v>0</v>
      </c>
      <c r="P331" t="n">
        <v>0</v>
      </c>
      <c r="Q331" t="n">
        <v>0</v>
      </c>
      <c r="R331" t="n">
        <v>0</v>
      </c>
      <c r="S331" t="n">
        <v>0</v>
      </c>
      <c r="T331" t="n">
        <v>0</v>
      </c>
      <c r="U331" s="2" t="inlineStr"/>
    </row>
    <row r="332" ht="15" customHeight="1">
      <c r="A332" t="inlineStr">
        <is>
          <t>A 20385-2026</t>
        </is>
      </c>
      <c r="B332" t="inlineStr">
        <is>
          <t>avverkningsanmälan</t>
        </is>
      </c>
      <c r="C332" t="inlineStr">
        <is>
          <t>Föryngringsavverkning</t>
        </is>
      </c>
      <c r="D332" s="1" t="n">
        <v>46139</v>
      </c>
      <c r="E332" s="1" t="n">
        <v>46222</v>
      </c>
      <c r="F332" t="inlineStr">
        <is>
          <t>DALARNAS LÄN</t>
        </is>
      </c>
      <c r="G332" t="inlineStr">
        <is>
          <t>HEDEMORA</t>
        </is>
      </c>
      <c r="H332" t="inlineStr">
        <is>
          <t>Sveaskog</t>
        </is>
      </c>
      <c r="I332" t="n">
        <v>15.4</v>
      </c>
      <c r="J332" t="n">
        <v>0</v>
      </c>
      <c r="K332" t="n">
        <v>0</v>
      </c>
      <c r="L332" t="n">
        <v>0</v>
      </c>
      <c r="M332" t="n">
        <v>0</v>
      </c>
      <c r="N332" t="n">
        <v>0</v>
      </c>
      <c r="O332" t="n">
        <v>0</v>
      </c>
      <c r="P332" t="n">
        <v>0</v>
      </c>
      <c r="Q332" t="n">
        <v>0</v>
      </c>
      <c r="R332" t="n">
        <v>0</v>
      </c>
      <c r="S332" t="n">
        <v>0</v>
      </c>
      <c r="T332" t="n">
        <v>0</v>
      </c>
      <c r="U332" s="2" t="inlineStr"/>
    </row>
    <row r="333" ht="15" customHeight="1">
      <c r="A333" t="inlineStr">
        <is>
          <t>A 7052-2025</t>
        </is>
      </c>
      <c r="B333" t="inlineStr">
        <is>
          <t>avverkningsanmälan</t>
        </is>
      </c>
      <c r="C333" t="inlineStr">
        <is>
          <t>Föryngringsavverkning</t>
        </is>
      </c>
      <c r="D333" s="1" t="n">
        <v>45701</v>
      </c>
      <c r="E333" s="1" t="n">
        <v>46222</v>
      </c>
      <c r="F333" t="inlineStr">
        <is>
          <t>DALARNAS LÄN</t>
        </is>
      </c>
      <c r="G333" t="inlineStr">
        <is>
          <t>HEDEMORA</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41642-2023</t>
        </is>
      </c>
      <c r="B334" t="inlineStr">
        <is>
          <t>avverkningsanmälan</t>
        </is>
      </c>
      <c r="C334" t="inlineStr">
        <is>
          <t>Föryngringsavverkning</t>
        </is>
      </c>
      <c r="D334" s="1" t="n">
        <v>45175</v>
      </c>
      <c r="E334" s="1" t="n">
        <v>46222</v>
      </c>
      <c r="F334" t="inlineStr">
        <is>
          <t>DALARNAS LÄN</t>
        </is>
      </c>
      <c r="G334" t="inlineStr">
        <is>
          <t>HEDEMORA</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63829-2025</t>
        </is>
      </c>
      <c r="B335" t="inlineStr">
        <is>
          <t>avverkningsanmälan</t>
        </is>
      </c>
      <c r="C335" t="inlineStr">
        <is>
          <t>Föryngringsavverkning</t>
        </is>
      </c>
      <c r="D335" s="1" t="n">
        <v>46020</v>
      </c>
      <c r="E335" s="1" t="n">
        <v>46222</v>
      </c>
      <c r="F335" t="inlineStr">
        <is>
          <t>DALARNAS LÄN</t>
        </is>
      </c>
      <c r="G335" t="inlineStr">
        <is>
          <t>HEDEMORA</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17222-2025</t>
        </is>
      </c>
      <c r="B336" t="inlineStr">
        <is>
          <t>avverkningsanmälan</t>
        </is>
      </c>
      <c r="C336" t="inlineStr">
        <is>
          <t>Föryngringsavverkning</t>
        </is>
      </c>
      <c r="D336" s="1" t="n">
        <v>45756</v>
      </c>
      <c r="E336" s="1" t="n">
        <v>46222</v>
      </c>
      <c r="F336" t="inlineStr">
        <is>
          <t>DALARNAS LÄN</t>
        </is>
      </c>
      <c r="G336" t="inlineStr">
        <is>
          <t>HEDEMORA</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59232-2023</t>
        </is>
      </c>
      <c r="B337" t="inlineStr">
        <is>
          <t>avverkningsanmälan</t>
        </is>
      </c>
      <c r="C337" t="inlineStr">
        <is>
          <t>Föryngringsavverkning</t>
        </is>
      </c>
      <c r="D337" s="1" t="n">
        <v>45253</v>
      </c>
      <c r="E337" s="1" t="n">
        <v>46222</v>
      </c>
      <c r="F337" t="inlineStr">
        <is>
          <t>DALARNAS LÄN</t>
        </is>
      </c>
      <c r="G337" t="inlineStr">
        <is>
          <t>HEDEMORA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45589-2023</t>
        </is>
      </c>
      <c r="B338" t="inlineStr">
        <is>
          <t>avverkningsanmälan</t>
        </is>
      </c>
      <c r="C338" t="inlineStr">
        <is>
          <t>Föryngringsavverkning</t>
        </is>
      </c>
      <c r="D338" s="1" t="n">
        <v>45194</v>
      </c>
      <c r="E338" s="1" t="n">
        <v>46222</v>
      </c>
      <c r="F338" t="inlineStr">
        <is>
          <t>DALARNAS LÄN</t>
        </is>
      </c>
      <c r="G338" t="inlineStr">
        <is>
          <t>HEDEMORA</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34409-2022</t>
        </is>
      </c>
      <c r="B339" t="inlineStr">
        <is>
          <t>avverkningsanmälan</t>
        </is>
      </c>
      <c r="C339" t="inlineStr">
        <is>
          <t>Föryngringsavverkning</t>
        </is>
      </c>
      <c r="D339" s="1" t="n">
        <v>44792</v>
      </c>
      <c r="E339" s="1" t="n">
        <v>46222</v>
      </c>
      <c r="F339" t="inlineStr">
        <is>
          <t>DALARNAS LÄN</t>
        </is>
      </c>
      <c r="G339" t="inlineStr">
        <is>
          <t>HEDEMORA</t>
        </is>
      </c>
      <c r="I339" t="n">
        <v>13.7</v>
      </c>
      <c r="J339" t="n">
        <v>0</v>
      </c>
      <c r="K339" t="n">
        <v>0</v>
      </c>
      <c r="L339" t="n">
        <v>0</v>
      </c>
      <c r="M339" t="n">
        <v>0</v>
      </c>
      <c r="N339" t="n">
        <v>0</v>
      </c>
      <c r="O339" t="n">
        <v>0</v>
      </c>
      <c r="P339" t="n">
        <v>0</v>
      </c>
      <c r="Q339" t="n">
        <v>0</v>
      </c>
      <c r="R339" t="n">
        <v>0</v>
      </c>
      <c r="S339" t="n">
        <v>0</v>
      </c>
      <c r="T339" t="n">
        <v>0</v>
      </c>
      <c r="U339" s="2" t="inlineStr"/>
    </row>
    <row r="340" ht="15" customHeight="1">
      <c r="A340" t="inlineStr">
        <is>
          <t>A 3089-2024</t>
        </is>
      </c>
      <c r="B340" t="inlineStr">
        <is>
          <t>avverkningsanmälan</t>
        </is>
      </c>
      <c r="C340" t="inlineStr">
        <is>
          <t>Föryngringsavverkning</t>
        </is>
      </c>
      <c r="D340" s="1" t="n">
        <v>45316</v>
      </c>
      <c r="E340" s="1" t="n">
        <v>46222</v>
      </c>
      <c r="F340" t="inlineStr">
        <is>
          <t>DALARNAS LÄN</t>
        </is>
      </c>
      <c r="G340" t="inlineStr">
        <is>
          <t>HEDEMORA</t>
        </is>
      </c>
      <c r="I340" t="n">
        <v>5.5</v>
      </c>
      <c r="J340" t="n">
        <v>0</v>
      </c>
      <c r="K340" t="n">
        <v>0</v>
      </c>
      <c r="L340" t="n">
        <v>0</v>
      </c>
      <c r="M340" t="n">
        <v>0</v>
      </c>
      <c r="N340" t="n">
        <v>0</v>
      </c>
      <c r="O340" t="n">
        <v>0</v>
      </c>
      <c r="P340" t="n">
        <v>0</v>
      </c>
      <c r="Q340" t="n">
        <v>0</v>
      </c>
      <c r="R340" t="n">
        <v>0</v>
      </c>
      <c r="S340" t="n">
        <v>0</v>
      </c>
      <c r="T340" t="n">
        <v>0</v>
      </c>
      <c r="U340" s="2" t="inlineStr"/>
    </row>
    <row r="341" ht="15" customHeight="1">
      <c r="A341" t="inlineStr">
        <is>
          <t>A 62386-2023</t>
        </is>
      </c>
      <c r="B341" t="inlineStr">
        <is>
          <t>avverkningsanmälan</t>
        </is>
      </c>
      <c r="C341" t="inlineStr">
        <is>
          <t>Föryngringsavverkning</t>
        </is>
      </c>
      <c r="D341" s="1" t="n">
        <v>45268</v>
      </c>
      <c r="E341" s="1" t="n">
        <v>46222</v>
      </c>
      <c r="F341" t="inlineStr">
        <is>
          <t>DALARNAS LÄN</t>
        </is>
      </c>
      <c r="G341" t="inlineStr">
        <is>
          <t>HEDEMORA</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17594-2025</t>
        </is>
      </c>
      <c r="B342" t="inlineStr">
        <is>
          <t>avverkningsanmälan</t>
        </is>
      </c>
      <c r="C342" t="inlineStr">
        <is>
          <t>Föryngringsavverkning</t>
        </is>
      </c>
      <c r="D342" s="1" t="n">
        <v>45757</v>
      </c>
      <c r="E342" s="1" t="n">
        <v>46222</v>
      </c>
      <c r="F342" t="inlineStr">
        <is>
          <t>DALARNAS LÄN</t>
        </is>
      </c>
      <c r="G342" t="inlineStr">
        <is>
          <t>HEDEMORA</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26906-2026</t>
        </is>
      </c>
      <c r="B343" t="inlineStr">
        <is>
          <t>avverkningsanmälan</t>
        </is>
      </c>
      <c r="C343" t="inlineStr">
        <is>
          <t>Föryngringsavverkning</t>
        </is>
      </c>
      <c r="D343" s="1" t="n">
        <v>46185</v>
      </c>
      <c r="E343" s="1" t="n">
        <v>46222</v>
      </c>
      <c r="F343" t="inlineStr">
        <is>
          <t>DALARNAS LÄN</t>
        </is>
      </c>
      <c r="G343" t="inlineStr">
        <is>
          <t>HEDEMORA</t>
        </is>
      </c>
      <c r="H343" t="inlineStr">
        <is>
          <t>Sveaskog</t>
        </is>
      </c>
      <c r="I343" t="n">
        <v>3.5</v>
      </c>
      <c r="J343" t="n">
        <v>0</v>
      </c>
      <c r="K343" t="n">
        <v>0</v>
      </c>
      <c r="L343" t="n">
        <v>0</v>
      </c>
      <c r="M343" t="n">
        <v>0</v>
      </c>
      <c r="N343" t="n">
        <v>0</v>
      </c>
      <c r="O343" t="n">
        <v>0</v>
      </c>
      <c r="P343" t="n">
        <v>0</v>
      </c>
      <c r="Q343" t="n">
        <v>0</v>
      </c>
      <c r="R343" t="n">
        <v>0</v>
      </c>
      <c r="S343" t="n">
        <v>0</v>
      </c>
      <c r="T343" t="n">
        <v>0</v>
      </c>
      <c r="U343" s="2" t="inlineStr"/>
    </row>
    <row r="344" ht="15" customHeight="1">
      <c r="A344" t="inlineStr">
        <is>
          <t>A 26395-2026</t>
        </is>
      </c>
      <c r="B344" t="inlineStr">
        <is>
          <t>avverkningsanmälan</t>
        </is>
      </c>
      <c r="C344" t="inlineStr">
        <is>
          <t>Föryngringsavverkning</t>
        </is>
      </c>
      <c r="D344" s="1" t="n">
        <v>46183</v>
      </c>
      <c r="E344" s="1" t="n">
        <v>46222</v>
      </c>
      <c r="F344" t="inlineStr">
        <is>
          <t>DALARNAS LÄN</t>
        </is>
      </c>
      <c r="G344" t="inlineStr">
        <is>
          <t>HEDEMORA</t>
        </is>
      </c>
      <c r="H344" t="inlineStr">
        <is>
          <t>Bergvik skog väst AB</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21581-2026</t>
        </is>
      </c>
      <c r="B345" t="inlineStr">
        <is>
          <t>avverkningsanmälan</t>
        </is>
      </c>
      <c r="C345" t="inlineStr">
        <is>
          <t>Föryngringsavverkning</t>
        </is>
      </c>
      <c r="D345" s="1" t="n">
        <v>46148</v>
      </c>
      <c r="E345" s="1" t="n">
        <v>46222</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62188-2023</t>
        </is>
      </c>
      <c r="B346" t="inlineStr">
        <is>
          <t>avverkningsanmälan</t>
        </is>
      </c>
      <c r="C346" t="inlineStr">
        <is>
          <t>Föryngringsavverkning</t>
        </is>
      </c>
      <c r="D346" s="1" t="n">
        <v>45267</v>
      </c>
      <c r="E346" s="1" t="n">
        <v>46222</v>
      </c>
      <c r="F346" t="inlineStr">
        <is>
          <t>DALARNAS LÄN</t>
        </is>
      </c>
      <c r="G346" t="inlineStr">
        <is>
          <t>HEDEMORA</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60408-2021</t>
        </is>
      </c>
      <c r="B347" t="inlineStr">
        <is>
          <t>avverkningsanmälan</t>
        </is>
      </c>
      <c r="C347" t="inlineStr">
        <is>
          <t>Föryngringsavverkning</t>
        </is>
      </c>
      <c r="D347" s="1" t="n">
        <v>44495</v>
      </c>
      <c r="E347" s="1" t="n">
        <v>46222</v>
      </c>
      <c r="F347" t="inlineStr">
        <is>
          <t>DALARNAS LÄN</t>
        </is>
      </c>
      <c r="G347" t="inlineStr">
        <is>
          <t>HEDEMORA</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62401-2023</t>
        </is>
      </c>
      <c r="B348" t="inlineStr">
        <is>
          <t>avverkningsanmälan</t>
        </is>
      </c>
      <c r="C348" t="inlineStr">
        <is>
          <t>Föryngringsavverkning</t>
        </is>
      </c>
      <c r="D348" s="1" t="n">
        <v>45268</v>
      </c>
      <c r="E348" s="1" t="n">
        <v>46222</v>
      </c>
      <c r="F348" t="inlineStr">
        <is>
          <t>DALARNAS LÄN</t>
        </is>
      </c>
      <c r="G348" t="inlineStr">
        <is>
          <t>HEDEMORA</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53923-2024</t>
        </is>
      </c>
      <c r="B349" t="inlineStr">
        <is>
          <t>avverkningsanmälan</t>
        </is>
      </c>
      <c r="C349" t="inlineStr">
        <is>
          <t>Föryngringsavverkning</t>
        </is>
      </c>
      <c r="D349" s="1" t="n">
        <v>45615</v>
      </c>
      <c r="E349" s="1" t="n">
        <v>46222</v>
      </c>
      <c r="F349" t="inlineStr">
        <is>
          <t>DALARNAS LÄN</t>
        </is>
      </c>
      <c r="G349" t="inlineStr">
        <is>
          <t>HEDEMORA</t>
        </is>
      </c>
      <c r="H349" t="inlineStr">
        <is>
          <t>Sveaskog</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385-2024</t>
        </is>
      </c>
      <c r="B350" t="inlineStr">
        <is>
          <t>avverkningsanmälan</t>
        </is>
      </c>
      <c r="C350" t="inlineStr">
        <is>
          <t>Föryngringsavverkning</t>
        </is>
      </c>
      <c r="D350" s="1" t="n">
        <v>45296</v>
      </c>
      <c r="E350" s="1" t="n">
        <v>46222</v>
      </c>
      <c r="F350" t="inlineStr">
        <is>
          <t>DALARNAS LÄN</t>
        </is>
      </c>
      <c r="G350" t="inlineStr">
        <is>
          <t>HEDEMORA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40919-2023</t>
        </is>
      </c>
      <c r="B351" t="inlineStr">
        <is>
          <t>avverkningsanmälan</t>
        </is>
      </c>
      <c r="C351" t="inlineStr">
        <is>
          <t>Föryngringsavverkning</t>
        </is>
      </c>
      <c r="D351" s="1" t="n">
        <v>45173</v>
      </c>
      <c r="E351" s="1" t="n">
        <v>46222</v>
      </c>
      <c r="F351" t="inlineStr">
        <is>
          <t>DALARNAS LÄN</t>
        </is>
      </c>
      <c r="G351" t="inlineStr">
        <is>
          <t>HEDEMORA</t>
        </is>
      </c>
      <c r="H351" t="inlineStr">
        <is>
          <t>Bergvik skog väst AB</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22490-2026</t>
        </is>
      </c>
      <c r="B352" t="inlineStr">
        <is>
          <t>avverkningsanmälan</t>
        </is>
      </c>
      <c r="C352" t="inlineStr">
        <is>
          <t>Föryngringsavverkning</t>
        </is>
      </c>
      <c r="D352" s="1" t="n">
        <v>46154</v>
      </c>
      <c r="E352" s="1" t="n">
        <v>46222</v>
      </c>
      <c r="F352" t="inlineStr">
        <is>
          <t>DALARNAS LÄN</t>
        </is>
      </c>
      <c r="G352" t="inlineStr">
        <is>
          <t>HEDEMORA</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22396-2026</t>
        </is>
      </c>
      <c r="B353" t="inlineStr">
        <is>
          <t>avverkningsanmälan</t>
        </is>
      </c>
      <c r="C353" t="inlineStr">
        <is>
          <t>Avverkning för annat ändamål</t>
        </is>
      </c>
      <c r="D353" s="1" t="n">
        <v>46154</v>
      </c>
      <c r="E353" s="1" t="n">
        <v>46222</v>
      </c>
      <c r="F353" t="inlineStr">
        <is>
          <t>DALARNAS LÄN</t>
        </is>
      </c>
      <c r="G353" t="inlineStr">
        <is>
          <t>HEDEMORA</t>
        </is>
      </c>
      <c r="H353" t="inlineStr">
        <is>
          <t>Övriga Aktiebolag</t>
        </is>
      </c>
      <c r="I353" t="n">
        <v>2.5</v>
      </c>
      <c r="J353" t="n">
        <v>0</v>
      </c>
      <c r="K353" t="n">
        <v>0</v>
      </c>
      <c r="L353" t="n">
        <v>0</v>
      </c>
      <c r="M353" t="n">
        <v>0</v>
      </c>
      <c r="N353" t="n">
        <v>0</v>
      </c>
      <c r="O353" t="n">
        <v>0</v>
      </c>
      <c r="P353" t="n">
        <v>0</v>
      </c>
      <c r="Q353" t="n">
        <v>0</v>
      </c>
      <c r="R353" t="n">
        <v>0</v>
      </c>
      <c r="S353" t="n">
        <v>0</v>
      </c>
      <c r="T353" t="n">
        <v>0</v>
      </c>
      <c r="U353" s="2" t="inlineStr"/>
    </row>
    <row r="354" ht="15" customHeight="1">
      <c r="A354" t="inlineStr">
        <is>
          <t>A 17147-2026</t>
        </is>
      </c>
      <c r="B354" t="inlineStr">
        <is>
          <t>avverkningsanmälan</t>
        </is>
      </c>
      <c r="C354" t="inlineStr">
        <is>
          <t>Föryngringsavverkning</t>
        </is>
      </c>
      <c r="D354" s="1" t="n">
        <v>46114</v>
      </c>
      <c r="E354" s="1" t="n">
        <v>46222</v>
      </c>
      <c r="F354" t="inlineStr">
        <is>
          <t>DALARNAS LÄN</t>
        </is>
      </c>
      <c r="G354" t="inlineStr">
        <is>
          <t>HEDEMORA</t>
        </is>
      </c>
      <c r="H354" t="inlineStr">
        <is>
          <t>Sveaskog</t>
        </is>
      </c>
      <c r="I354" t="n">
        <v>1.6</v>
      </c>
      <c r="J354" t="n">
        <v>0</v>
      </c>
      <c r="K354" t="n">
        <v>0</v>
      </c>
      <c r="L354" t="n">
        <v>0</v>
      </c>
      <c r="M354" t="n">
        <v>0</v>
      </c>
      <c r="N354" t="n">
        <v>0</v>
      </c>
      <c r="O354" t="n">
        <v>0</v>
      </c>
      <c r="P354" t="n">
        <v>0</v>
      </c>
      <c r="Q354" t="n">
        <v>0</v>
      </c>
      <c r="R354" t="n">
        <v>0</v>
      </c>
      <c r="S354" t="n">
        <v>0</v>
      </c>
      <c r="T354" t="n">
        <v>0</v>
      </c>
      <c r="U354" s="2" t="inlineStr"/>
    </row>
    <row r="355" ht="15" customHeight="1">
      <c r="A355" t="inlineStr">
        <is>
          <t>A 26452-2024</t>
        </is>
      </c>
      <c r="B355" t="inlineStr">
        <is>
          <t>avverkningsanmälan</t>
        </is>
      </c>
      <c r="C355" t="inlineStr">
        <is>
          <t>Föryngringsavverkning</t>
        </is>
      </c>
      <c r="D355" s="1" t="n">
        <v>45469</v>
      </c>
      <c r="E355" s="1" t="n">
        <v>46222</v>
      </c>
      <c r="F355" t="inlineStr">
        <is>
          <t>DALARNAS LÄN</t>
        </is>
      </c>
      <c r="G355" t="inlineStr">
        <is>
          <t>HEDEMORA</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1917-2022</t>
        </is>
      </c>
      <c r="B356" t="inlineStr">
        <is>
          <t>avverkningsanmälan</t>
        </is>
      </c>
      <c r="C356" t="inlineStr">
        <is>
          <t>Avverkning för annat ändamål</t>
        </is>
      </c>
      <c r="D356" s="1" t="n">
        <v>44574</v>
      </c>
      <c r="E356" s="1" t="n">
        <v>46222</v>
      </c>
      <c r="F356" t="inlineStr">
        <is>
          <t>DALARNAS LÄN</t>
        </is>
      </c>
      <c r="G356" t="inlineStr">
        <is>
          <t>HEDEMORA</t>
        </is>
      </c>
      <c r="H356" t="inlineStr">
        <is>
          <t>Övriga Aktiebolag</t>
        </is>
      </c>
      <c r="I356" t="n">
        <v>1.4</v>
      </c>
      <c r="J356" t="n">
        <v>0</v>
      </c>
      <c r="K356" t="n">
        <v>0</v>
      </c>
      <c r="L356" t="n">
        <v>0</v>
      </c>
      <c r="M356" t="n">
        <v>0</v>
      </c>
      <c r="N356" t="n">
        <v>0</v>
      </c>
      <c r="O356" t="n">
        <v>0</v>
      </c>
      <c r="P356" t="n">
        <v>0</v>
      </c>
      <c r="Q356" t="n">
        <v>0</v>
      </c>
      <c r="R356" t="n">
        <v>0</v>
      </c>
      <c r="S356" t="n">
        <v>0</v>
      </c>
      <c r="T356" t="n">
        <v>0</v>
      </c>
      <c r="U356" s="2" t="inlineStr"/>
    </row>
    <row r="357" ht="15" customHeight="1">
      <c r="A357" t="inlineStr">
        <is>
          <t>A 1973-2022</t>
        </is>
      </c>
      <c r="B357" t="inlineStr">
        <is>
          <t>avverkningsanmälan</t>
        </is>
      </c>
      <c r="C357" t="inlineStr">
        <is>
          <t>Föryngringsavverkning</t>
        </is>
      </c>
      <c r="D357" s="1" t="n">
        <v>44575</v>
      </c>
      <c r="E357" s="1" t="n">
        <v>46222</v>
      </c>
      <c r="F357" t="inlineStr">
        <is>
          <t>DALARNAS LÄN</t>
        </is>
      </c>
      <c r="G357" t="inlineStr">
        <is>
          <t>HEDEMORA</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49636-2021</t>
        </is>
      </c>
      <c r="B358" t="inlineStr">
        <is>
          <t>avverkningsanmälan</t>
        </is>
      </c>
      <c r="C358" t="inlineStr">
        <is>
          <t>Föryngringsavverkning</t>
        </is>
      </c>
      <c r="D358" s="1" t="n">
        <v>44455</v>
      </c>
      <c r="E358" s="1" t="n">
        <v>46222</v>
      </c>
      <c r="F358" t="inlineStr">
        <is>
          <t>DALARNAS LÄN</t>
        </is>
      </c>
      <c r="G358" t="inlineStr">
        <is>
          <t>HEDEMORA</t>
        </is>
      </c>
      <c r="I358" t="n">
        <v>1.3</v>
      </c>
      <c r="J358" t="n">
        <v>0</v>
      </c>
      <c r="K358" t="n">
        <v>0</v>
      </c>
      <c r="L358" t="n">
        <v>0</v>
      </c>
      <c r="M358" t="n">
        <v>0</v>
      </c>
      <c r="N358" t="n">
        <v>0</v>
      </c>
      <c r="O358" t="n">
        <v>0</v>
      </c>
      <c r="P358" t="n">
        <v>0</v>
      </c>
      <c r="Q358" t="n">
        <v>0</v>
      </c>
      <c r="R358" t="n">
        <v>0</v>
      </c>
      <c r="S358" t="n">
        <v>0</v>
      </c>
      <c r="T358" t="n">
        <v>0</v>
      </c>
      <c r="U358" s="2" t="inlineStr"/>
    </row>
    <row r="359" ht="15" customHeight="1">
      <c r="A359" t="inlineStr">
        <is>
          <t>A 6372-2026</t>
        </is>
      </c>
      <c r="B359" t="inlineStr">
        <is>
          <t>avverkningsanmälan</t>
        </is>
      </c>
      <c r="C359" t="inlineStr">
        <is>
          <t>Föryngringsavverkning</t>
        </is>
      </c>
      <c r="D359" s="1" t="n">
        <v>46055</v>
      </c>
      <c r="E359" s="1" t="n">
        <v>46222</v>
      </c>
      <c r="F359" t="inlineStr">
        <is>
          <t>DALARNAS LÄN</t>
        </is>
      </c>
      <c r="G359" t="inlineStr">
        <is>
          <t>HEDEMORA</t>
        </is>
      </c>
      <c r="H359" t="inlineStr">
        <is>
          <t>Sveaskog</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17148-2026</t>
        </is>
      </c>
      <c r="B360" t="inlineStr">
        <is>
          <t>avverkningsanmälan</t>
        </is>
      </c>
      <c r="C360" t="inlineStr">
        <is>
          <t>Föryngringsavverkning</t>
        </is>
      </c>
      <c r="D360" s="1" t="n">
        <v>46114</v>
      </c>
      <c r="E360" s="1" t="n">
        <v>46222</v>
      </c>
      <c r="F360" t="inlineStr">
        <is>
          <t>DALARNAS LÄN</t>
        </is>
      </c>
      <c r="G360" t="inlineStr">
        <is>
          <t>HEDEMORA</t>
        </is>
      </c>
      <c r="H360" t="inlineStr">
        <is>
          <t>Sveaskog</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60475-2022</t>
        </is>
      </c>
      <c r="B361" t="inlineStr">
        <is>
          <t>avverkningsanmälan</t>
        </is>
      </c>
      <c r="C361" t="inlineStr">
        <is>
          <t>Föryngringsavverkning</t>
        </is>
      </c>
      <c r="D361" s="1" t="n">
        <v>44911</v>
      </c>
      <c r="E361" s="1" t="n">
        <v>46222</v>
      </c>
      <c r="F361" t="inlineStr">
        <is>
          <t>DALARNAS LÄN</t>
        </is>
      </c>
      <c r="G361" t="inlineStr">
        <is>
          <t>HEDEMORA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30205-2022</t>
        </is>
      </c>
      <c r="B362" t="inlineStr">
        <is>
          <t>avverkningsanmälan</t>
        </is>
      </c>
      <c r="C362" t="inlineStr">
        <is>
          <t>Föryngringsavverkning</t>
        </is>
      </c>
      <c r="D362" s="1" t="n">
        <v>44757</v>
      </c>
      <c r="E362" s="1" t="n">
        <v>46222</v>
      </c>
      <c r="F362" t="inlineStr">
        <is>
          <t>DALARNAS LÄN</t>
        </is>
      </c>
      <c r="G362" t="inlineStr">
        <is>
          <t>HEDEMORA</t>
        </is>
      </c>
      <c r="H362" t="inlineStr">
        <is>
          <t>Sveaskog</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57745-2024</t>
        </is>
      </c>
      <c r="B363" t="inlineStr">
        <is>
          <t>avverkningsanmälan</t>
        </is>
      </c>
      <c r="C363" t="inlineStr">
        <is>
          <t>Föryngringsavverkning</t>
        </is>
      </c>
      <c r="D363" s="1" t="n">
        <v>45630</v>
      </c>
      <c r="E363" s="1" t="n">
        <v>46222</v>
      </c>
      <c r="F363" t="inlineStr">
        <is>
          <t>DALARNAS LÄN</t>
        </is>
      </c>
      <c r="G363" t="inlineStr">
        <is>
          <t>HEDEMORA</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54310-2021</t>
        </is>
      </c>
      <c r="B364" t="inlineStr">
        <is>
          <t>avverkningsanmälan</t>
        </is>
      </c>
      <c r="C364" t="inlineStr">
        <is>
          <t>Föryngringsavverkning</t>
        </is>
      </c>
      <c r="D364" s="1" t="n">
        <v>44472</v>
      </c>
      <c r="E364" s="1" t="n">
        <v>46222</v>
      </c>
      <c r="F364" t="inlineStr">
        <is>
          <t>DALARNAS LÄN</t>
        </is>
      </c>
      <c r="G364" t="inlineStr">
        <is>
          <t>HEDEMORA</t>
        </is>
      </c>
      <c r="H364" t="inlineStr">
        <is>
          <t>Sveaskog</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19938-2026</t>
        </is>
      </c>
      <c r="B365" t="inlineStr">
        <is>
          <t>avverkningsanmälan</t>
        </is>
      </c>
      <c r="C365" t="inlineStr">
        <is>
          <t>Föryngringsavverkning</t>
        </is>
      </c>
      <c r="D365" s="1" t="n">
        <v>46136</v>
      </c>
      <c r="E365" s="1" t="n">
        <v>46222</v>
      </c>
      <c r="F365" t="inlineStr">
        <is>
          <t>DALARNAS LÄN</t>
        </is>
      </c>
      <c r="G365" t="inlineStr">
        <is>
          <t>HEDEMORA</t>
        </is>
      </c>
      <c r="H365" t="inlineStr">
        <is>
          <t>Sveaskog</t>
        </is>
      </c>
      <c r="I365" t="n">
        <v>1.7</v>
      </c>
      <c r="J365" t="n">
        <v>0</v>
      </c>
      <c r="K365" t="n">
        <v>0</v>
      </c>
      <c r="L365" t="n">
        <v>0</v>
      </c>
      <c r="M365" t="n">
        <v>0</v>
      </c>
      <c r="N365" t="n">
        <v>0</v>
      </c>
      <c r="O365" t="n">
        <v>0</v>
      </c>
      <c r="P365" t="n">
        <v>0</v>
      </c>
      <c r="Q365" t="n">
        <v>0</v>
      </c>
      <c r="R365" t="n">
        <v>0</v>
      </c>
      <c r="S365" t="n">
        <v>0</v>
      </c>
      <c r="T365" t="n">
        <v>0</v>
      </c>
      <c r="U365" s="2" t="inlineStr"/>
    </row>
    <row r="366" ht="15" customHeight="1">
      <c r="A366" t="inlineStr">
        <is>
          <t>A 28870-2026</t>
        </is>
      </c>
      <c r="B366" t="inlineStr">
        <is>
          <t>avverkningsanmälan</t>
        </is>
      </c>
      <c r="C366" t="inlineStr">
        <is>
          <t>Föryngringsavverkning</t>
        </is>
      </c>
      <c r="D366" s="1" t="n">
        <v>46199</v>
      </c>
      <c r="E366" s="1" t="n">
        <v>46222</v>
      </c>
      <c r="F366" t="inlineStr">
        <is>
          <t>DALARNAS LÄN</t>
        </is>
      </c>
      <c r="G366" t="inlineStr">
        <is>
          <t>HEDEMORA</t>
        </is>
      </c>
      <c r="H366" t="inlineStr">
        <is>
          <t>Sveaskog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19929-2026</t>
        </is>
      </c>
      <c r="B367" t="inlineStr">
        <is>
          <t>avverkningsanmälan</t>
        </is>
      </c>
      <c r="C367" t="inlineStr">
        <is>
          <t>Föryngringsavverkning</t>
        </is>
      </c>
      <c r="D367" s="1" t="n">
        <v>46136</v>
      </c>
      <c r="E367" s="1" t="n">
        <v>46222</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s="2" t="inlineStr"/>
    </row>
    <row r="368" ht="15" customHeight="1">
      <c r="A368" t="inlineStr">
        <is>
          <t>A 25155-2023</t>
        </is>
      </c>
      <c r="B368" t="inlineStr">
        <is>
          <t>avverkningsanmälan</t>
        </is>
      </c>
      <c r="C368" t="inlineStr">
        <is>
          <t>Föryngringsavverkning</t>
        </is>
      </c>
      <c r="D368" s="1" t="n">
        <v>45086</v>
      </c>
      <c r="E368" s="1" t="n">
        <v>46222</v>
      </c>
      <c r="F368" t="inlineStr">
        <is>
          <t>DALARNAS LÄN</t>
        </is>
      </c>
      <c r="G368" t="inlineStr">
        <is>
          <t>HEDEMORA</t>
        </is>
      </c>
      <c r="H368" t="inlineStr">
        <is>
          <t>Sveaskog</t>
        </is>
      </c>
      <c r="I368" t="n">
        <v>3.8</v>
      </c>
      <c r="J368" t="n">
        <v>0</v>
      </c>
      <c r="K368" t="n">
        <v>0</v>
      </c>
      <c r="L368" t="n">
        <v>0</v>
      </c>
      <c r="M368" t="n">
        <v>0</v>
      </c>
      <c r="N368" t="n">
        <v>0</v>
      </c>
      <c r="O368" t="n">
        <v>0</v>
      </c>
      <c r="P368" t="n">
        <v>0</v>
      </c>
      <c r="Q368" t="n">
        <v>0</v>
      </c>
      <c r="R368" t="n">
        <v>0</v>
      </c>
      <c r="S368" t="n">
        <v>0</v>
      </c>
      <c r="T368" t="n">
        <v>0</v>
      </c>
      <c r="U368" s="2" t="inlineStr"/>
    </row>
    <row r="369" ht="15" customHeight="1">
      <c r="A369" t="inlineStr">
        <is>
          <t>A 25150-2023</t>
        </is>
      </c>
      <c r="B369" t="inlineStr">
        <is>
          <t>avverkningsanmälan</t>
        </is>
      </c>
      <c r="C369" t="inlineStr">
        <is>
          <t>Föryngringsavverkning</t>
        </is>
      </c>
      <c r="D369" s="1" t="n">
        <v>45086</v>
      </c>
      <c r="E369" s="1" t="n">
        <v>46222</v>
      </c>
      <c r="F369" t="inlineStr">
        <is>
          <t>DALARNAS LÄN</t>
        </is>
      </c>
      <c r="G369" t="inlineStr">
        <is>
          <t>HEDEMORA</t>
        </is>
      </c>
      <c r="H369" t="inlineStr">
        <is>
          <t>Sveaskog</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22882-2026</t>
        </is>
      </c>
      <c r="B370" t="inlineStr">
        <is>
          <t>avverkningsanmälan</t>
        </is>
      </c>
      <c r="C370" t="inlineStr">
        <is>
          <t>Föryngringsavverkning</t>
        </is>
      </c>
      <c r="D370" s="1" t="n">
        <v>46157</v>
      </c>
      <c r="E370" s="1" t="n">
        <v>46222</v>
      </c>
      <c r="F370" t="inlineStr">
        <is>
          <t>DALARNAS LÄN</t>
        </is>
      </c>
      <c r="G370" t="inlineStr">
        <is>
          <t>HEDEMORA</t>
        </is>
      </c>
      <c r="H370" t="inlineStr">
        <is>
          <t>Bergvik skog väst AB</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19942-2026</t>
        </is>
      </c>
      <c r="B371" t="inlineStr">
        <is>
          <t>avverkningsanmälan</t>
        </is>
      </c>
      <c r="C371" t="inlineStr">
        <is>
          <t>Föryngringsavverkning</t>
        </is>
      </c>
      <c r="D371" s="1" t="n">
        <v>46136</v>
      </c>
      <c r="E371" s="1" t="n">
        <v>46222</v>
      </c>
      <c r="F371" t="inlineStr">
        <is>
          <t>DALARNAS LÄN</t>
        </is>
      </c>
      <c r="G371" t="inlineStr">
        <is>
          <t>HEDEMORA</t>
        </is>
      </c>
      <c r="H371" t="inlineStr">
        <is>
          <t>Sveaskog</t>
        </is>
      </c>
      <c r="I371" t="n">
        <v>3.3</v>
      </c>
      <c r="J371" t="n">
        <v>0</v>
      </c>
      <c r="K371" t="n">
        <v>0</v>
      </c>
      <c r="L371" t="n">
        <v>0</v>
      </c>
      <c r="M371" t="n">
        <v>0</v>
      </c>
      <c r="N371" t="n">
        <v>0</v>
      </c>
      <c r="O371" t="n">
        <v>0</v>
      </c>
      <c r="P371" t="n">
        <v>0</v>
      </c>
      <c r="Q371" t="n">
        <v>0</v>
      </c>
      <c r="R371" t="n">
        <v>0</v>
      </c>
      <c r="S371" t="n">
        <v>0</v>
      </c>
      <c r="T371" t="n">
        <v>0</v>
      </c>
      <c r="U371" s="2" t="inlineStr"/>
    </row>
    <row r="372" ht="15" customHeight="1">
      <c r="A372" t="inlineStr">
        <is>
          <t>A 41523-2023</t>
        </is>
      </c>
      <c r="B372" t="inlineStr">
        <is>
          <t>avverkningsanmälan</t>
        </is>
      </c>
      <c r="C372" t="inlineStr">
        <is>
          <t>Föryngringsavverkning</t>
        </is>
      </c>
      <c r="D372" s="1" t="n">
        <v>45172</v>
      </c>
      <c r="E372" s="1" t="n">
        <v>46222</v>
      </c>
      <c r="F372" t="inlineStr">
        <is>
          <t>DALARNAS LÄN</t>
        </is>
      </c>
      <c r="G372" t="inlineStr">
        <is>
          <t>HEDEMORA</t>
        </is>
      </c>
      <c r="H372" t="inlineStr">
        <is>
          <t>Bergvik skog väst AB</t>
        </is>
      </c>
      <c r="I372" t="n">
        <v>3.7</v>
      </c>
      <c r="J372" t="n">
        <v>0</v>
      </c>
      <c r="K372" t="n">
        <v>0</v>
      </c>
      <c r="L372" t="n">
        <v>0</v>
      </c>
      <c r="M372" t="n">
        <v>0</v>
      </c>
      <c r="N372" t="n">
        <v>0</v>
      </c>
      <c r="O372" t="n">
        <v>0</v>
      </c>
      <c r="P372" t="n">
        <v>0</v>
      </c>
      <c r="Q372" t="n">
        <v>0</v>
      </c>
      <c r="R372" t="n">
        <v>0</v>
      </c>
      <c r="S372" t="n">
        <v>0</v>
      </c>
      <c r="T372" t="n">
        <v>0</v>
      </c>
      <c r="U372" s="2" t="inlineStr"/>
    </row>
    <row r="373" ht="15" customHeight="1">
      <c r="A373" t="inlineStr">
        <is>
          <t>A 28883-2026</t>
        </is>
      </c>
      <c r="B373" t="inlineStr">
        <is>
          <t>avverkningsanmälan</t>
        </is>
      </c>
      <c r="C373" t="inlineStr">
        <is>
          <t>Föryngringsavverkning</t>
        </is>
      </c>
      <c r="D373" s="1" t="n">
        <v>46199</v>
      </c>
      <c r="E373" s="1" t="n">
        <v>46222</v>
      </c>
      <c r="F373" t="inlineStr">
        <is>
          <t>DALARNAS LÄN</t>
        </is>
      </c>
      <c r="G373" t="inlineStr">
        <is>
          <t>HEDEMORA</t>
        </is>
      </c>
      <c r="H373" t="inlineStr">
        <is>
          <t>Sveaskog</t>
        </is>
      </c>
      <c r="I373" t="n">
        <v>6.3</v>
      </c>
      <c r="J373" t="n">
        <v>0</v>
      </c>
      <c r="K373" t="n">
        <v>0</v>
      </c>
      <c r="L373" t="n">
        <v>0</v>
      </c>
      <c r="M373" t="n">
        <v>0</v>
      </c>
      <c r="N373" t="n">
        <v>0</v>
      </c>
      <c r="O373" t="n">
        <v>0</v>
      </c>
      <c r="P373" t="n">
        <v>0</v>
      </c>
      <c r="Q373" t="n">
        <v>0</v>
      </c>
      <c r="R373" t="n">
        <v>0</v>
      </c>
      <c r="S373" t="n">
        <v>0</v>
      </c>
      <c r="T373" t="n">
        <v>0</v>
      </c>
      <c r="U373" s="2" t="inlineStr"/>
    </row>
    <row r="374" ht="15" customHeight="1">
      <c r="A374" t="inlineStr">
        <is>
          <t>A 29522-2026</t>
        </is>
      </c>
      <c r="B374" t="inlineStr">
        <is>
          <t>avverkningsanmälan</t>
        </is>
      </c>
      <c r="C374" t="inlineStr">
        <is>
          <t>Föryngringsavverkning</t>
        </is>
      </c>
      <c r="D374" s="1" t="n">
        <v>46198</v>
      </c>
      <c r="E374" s="1" t="n">
        <v>46222</v>
      </c>
      <c r="F374" t="inlineStr">
        <is>
          <t>DALARNAS LÄN</t>
        </is>
      </c>
      <c r="G374" t="inlineStr">
        <is>
          <t>HEDEMORA</t>
        </is>
      </c>
      <c r="H374" t="inlineStr">
        <is>
          <t>Kyrkan</t>
        </is>
      </c>
      <c r="I374" t="n">
        <v>8.9</v>
      </c>
      <c r="J374" t="n">
        <v>0</v>
      </c>
      <c r="K374" t="n">
        <v>0</v>
      </c>
      <c r="L374" t="n">
        <v>0</v>
      </c>
      <c r="M374" t="n">
        <v>0</v>
      </c>
      <c r="N374" t="n">
        <v>0</v>
      </c>
      <c r="O374" t="n">
        <v>0</v>
      </c>
      <c r="P374" t="n">
        <v>0</v>
      </c>
      <c r="Q374" t="n">
        <v>0</v>
      </c>
      <c r="R374" t="n">
        <v>0</v>
      </c>
      <c r="S374" t="n">
        <v>0</v>
      </c>
      <c r="T374" t="n">
        <v>0</v>
      </c>
      <c r="U374" s="2" t="inlineStr"/>
    </row>
    <row r="375" ht="15" customHeight="1">
      <c r="A375" t="inlineStr">
        <is>
          <t>A 30939-2023</t>
        </is>
      </c>
      <c r="B375" t="inlineStr">
        <is>
          <t>avverkningsanmälan</t>
        </is>
      </c>
      <c r="C375" t="inlineStr">
        <is>
          <t>Föryngringsavverkning</t>
        </is>
      </c>
      <c r="D375" s="1" t="n">
        <v>45113</v>
      </c>
      <c r="E375" s="1" t="n">
        <v>46222</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60078-2022</t>
        </is>
      </c>
      <c r="B376" t="inlineStr">
        <is>
          <t>avverkningsanmälan</t>
        </is>
      </c>
      <c r="C376" t="inlineStr">
        <is>
          <t>Föryngringsavverkning</t>
        </is>
      </c>
      <c r="D376" s="1" t="n">
        <v>44909</v>
      </c>
      <c r="E376" s="1" t="n">
        <v>46222</v>
      </c>
      <c r="F376" t="inlineStr">
        <is>
          <t>DALARNAS LÄN</t>
        </is>
      </c>
      <c r="G376" t="inlineStr">
        <is>
          <t>HEDEMORA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53568-2023</t>
        </is>
      </c>
      <c r="B377" t="inlineStr">
        <is>
          <t>avverkningsanmälan</t>
        </is>
      </c>
      <c r="C377" t="inlineStr">
        <is>
          <t>Föryngringsavverkning</t>
        </is>
      </c>
      <c r="D377" s="1" t="n">
        <v>45230</v>
      </c>
      <c r="E377" s="1" t="n">
        <v>46222</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s="2" t="inlineStr"/>
    </row>
    <row r="378" ht="15" customHeight="1">
      <c r="A378" t="inlineStr">
        <is>
          <t>A 29303-2023</t>
        </is>
      </c>
      <c r="B378" t="inlineStr">
        <is>
          <t>avverkningsanmälan</t>
        </is>
      </c>
      <c r="C378" t="inlineStr">
        <is>
          <t>Föryngringsavverkning</t>
        </is>
      </c>
      <c r="D378" s="1" t="n">
        <v>45105</v>
      </c>
      <c r="E378" s="1" t="n">
        <v>46222</v>
      </c>
      <c r="F378" t="inlineStr">
        <is>
          <t>DALARNAS LÄN</t>
        </is>
      </c>
      <c r="G378" t="inlineStr">
        <is>
          <t>HEDEMORA</t>
        </is>
      </c>
      <c r="H378" t="inlineStr">
        <is>
          <t>Sveaskog</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49904-2021</t>
        </is>
      </c>
      <c r="B379" t="inlineStr">
        <is>
          <t>avverkningsanmälan</t>
        </is>
      </c>
      <c r="C379" t="inlineStr">
        <is>
          <t>Föryngringsavverkning</t>
        </is>
      </c>
      <c r="D379" s="1" t="n">
        <v>44455</v>
      </c>
      <c r="E379" s="1" t="n">
        <v>46222</v>
      </c>
      <c r="F379" t="inlineStr">
        <is>
          <t>DALARNAS LÄN</t>
        </is>
      </c>
      <c r="G379" t="inlineStr">
        <is>
          <t>HEDEMORA</t>
        </is>
      </c>
      <c r="H379" t="inlineStr">
        <is>
          <t>Sveaskog</t>
        </is>
      </c>
      <c r="I379" t="n">
        <v>7.1</v>
      </c>
      <c r="J379" t="n">
        <v>0</v>
      </c>
      <c r="K379" t="n">
        <v>0</v>
      </c>
      <c r="L379" t="n">
        <v>0</v>
      </c>
      <c r="M379" t="n">
        <v>0</v>
      </c>
      <c r="N379" t="n">
        <v>0</v>
      </c>
      <c r="O379" t="n">
        <v>0</v>
      </c>
      <c r="P379" t="n">
        <v>0</v>
      </c>
      <c r="Q379" t="n">
        <v>0</v>
      </c>
      <c r="R379" t="n">
        <v>0</v>
      </c>
      <c r="S379" t="n">
        <v>0</v>
      </c>
      <c r="T379" t="n">
        <v>0</v>
      </c>
      <c r="U379" s="2" t="inlineStr"/>
    </row>
    <row r="380" ht="15" customHeight="1">
      <c r="A380" t="inlineStr">
        <is>
          <t>A 46217-2023</t>
        </is>
      </c>
      <c r="B380" t="inlineStr">
        <is>
          <t>avverkningsanmälan</t>
        </is>
      </c>
      <c r="C380" t="inlineStr">
        <is>
          <t>Föryngringsavverkning</t>
        </is>
      </c>
      <c r="D380" s="1" t="n">
        <v>45190</v>
      </c>
      <c r="E380" s="1" t="n">
        <v>46222</v>
      </c>
      <c r="F380" t="inlineStr">
        <is>
          <t>DALARNAS LÄN</t>
        </is>
      </c>
      <c r="G380" t="inlineStr">
        <is>
          <t>HEDEMORA</t>
        </is>
      </c>
      <c r="H380" t="inlineStr">
        <is>
          <t>Bergvik skog väst AB</t>
        </is>
      </c>
      <c r="I380" t="n">
        <v>8.800000000000001</v>
      </c>
      <c r="J380" t="n">
        <v>0</v>
      </c>
      <c r="K380" t="n">
        <v>0</v>
      </c>
      <c r="L380" t="n">
        <v>0</v>
      </c>
      <c r="M380" t="n">
        <v>0</v>
      </c>
      <c r="N380" t="n">
        <v>0</v>
      </c>
      <c r="O380" t="n">
        <v>0</v>
      </c>
      <c r="P380" t="n">
        <v>0</v>
      </c>
      <c r="Q380" t="n">
        <v>0</v>
      </c>
      <c r="R380" t="n">
        <v>0</v>
      </c>
      <c r="S380" t="n">
        <v>0</v>
      </c>
      <c r="T380" t="n">
        <v>0</v>
      </c>
      <c r="U380" s="2" t="inlineStr"/>
    </row>
    <row r="381" ht="15" customHeight="1">
      <c r="A381" t="inlineStr">
        <is>
          <t>A 5766-2025</t>
        </is>
      </c>
      <c r="B381" t="inlineStr">
        <is>
          <t>avverkningsanmälan</t>
        </is>
      </c>
      <c r="C381" t="inlineStr">
        <is>
          <t>Föryngringsavverkning</t>
        </is>
      </c>
      <c r="D381" s="1" t="n">
        <v>45694</v>
      </c>
      <c r="E381" s="1" t="n">
        <v>46222</v>
      </c>
      <c r="F381" t="inlineStr">
        <is>
          <t>DALARNAS LÄN</t>
        </is>
      </c>
      <c r="G381" t="inlineStr">
        <is>
          <t>HEDEMORA</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23639-2026</t>
        </is>
      </c>
      <c r="B382" t="inlineStr">
        <is>
          <t>avverkningsanmälan</t>
        </is>
      </c>
      <c r="C382" t="inlineStr">
        <is>
          <t>Föryngringsavverkning</t>
        </is>
      </c>
      <c r="D382" s="1" t="n">
        <v>46164</v>
      </c>
      <c r="E382" s="1" t="n">
        <v>46222</v>
      </c>
      <c r="F382" t="inlineStr">
        <is>
          <t>DALARNAS LÄN</t>
        </is>
      </c>
      <c r="G382" t="inlineStr">
        <is>
          <t>HEDEMORA</t>
        </is>
      </c>
      <c r="H382" t="inlineStr">
        <is>
          <t>Sveaskog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23194-2026</t>
        </is>
      </c>
      <c r="B383" t="inlineStr">
        <is>
          <t>avverkningsanmälan</t>
        </is>
      </c>
      <c r="C383" t="inlineStr">
        <is>
          <t>Föryngringsavverkning</t>
        </is>
      </c>
      <c r="D383" s="1" t="n">
        <v>46161</v>
      </c>
      <c r="E383" s="1" t="n">
        <v>46222</v>
      </c>
      <c r="F383" t="inlineStr">
        <is>
          <t>DALARNAS LÄN</t>
        </is>
      </c>
      <c r="G383" t="inlineStr">
        <is>
          <t>HEDEMORA</t>
        </is>
      </c>
      <c r="I383" t="n">
        <v>3</v>
      </c>
      <c r="J383" t="n">
        <v>0</v>
      </c>
      <c r="K383" t="n">
        <v>0</v>
      </c>
      <c r="L383" t="n">
        <v>0</v>
      </c>
      <c r="M383" t="n">
        <v>0</v>
      </c>
      <c r="N383" t="n">
        <v>0</v>
      </c>
      <c r="O383" t="n">
        <v>0</v>
      </c>
      <c r="P383" t="n">
        <v>0</v>
      </c>
      <c r="Q383" t="n">
        <v>0</v>
      </c>
      <c r="R383" t="n">
        <v>0</v>
      </c>
      <c r="S383" t="n">
        <v>0</v>
      </c>
      <c r="T383" t="n">
        <v>0</v>
      </c>
      <c r="U383" s="2" t="inlineStr"/>
    </row>
    <row r="384" ht="15" customHeight="1">
      <c r="A384" t="inlineStr">
        <is>
          <t>A 25691-2022</t>
        </is>
      </c>
      <c r="B384" t="inlineStr">
        <is>
          <t>avverkningsanmälan</t>
        </is>
      </c>
      <c r="C384" t="inlineStr">
        <is>
          <t>Föryngringsavverkning</t>
        </is>
      </c>
      <c r="D384" s="1" t="n">
        <v>44733</v>
      </c>
      <c r="E384" s="1" t="n">
        <v>46222</v>
      </c>
      <c r="F384" t="inlineStr">
        <is>
          <t>DALARNAS LÄN</t>
        </is>
      </c>
      <c r="G384" t="inlineStr">
        <is>
          <t>HEDEMORA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23466-2026</t>
        </is>
      </c>
      <c r="B385" t="inlineStr">
        <is>
          <t>avverkningsanmälan</t>
        </is>
      </c>
      <c r="C385" t="inlineStr">
        <is>
          <t>Föryngringsavverkning</t>
        </is>
      </c>
      <c r="D385" s="1" t="n">
        <v>46163</v>
      </c>
      <c r="E385" s="1" t="n">
        <v>46222</v>
      </c>
      <c r="F385" t="inlineStr">
        <is>
          <t>DALARNAS LÄN</t>
        </is>
      </c>
      <c r="G385" t="inlineStr">
        <is>
          <t>HEDEMORA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53584-2023</t>
        </is>
      </c>
      <c r="B386" t="inlineStr">
        <is>
          <t>avverkningsanmälan</t>
        </is>
      </c>
      <c r="C386" t="inlineStr">
        <is>
          <t>Föryngringsavverkning</t>
        </is>
      </c>
      <c r="D386" s="1" t="n">
        <v>45230</v>
      </c>
      <c r="E386" s="1" t="n">
        <v>46222</v>
      </c>
      <c r="F386" t="inlineStr">
        <is>
          <t>DALARNAS LÄN</t>
        </is>
      </c>
      <c r="G386" t="inlineStr">
        <is>
          <t>HEDEMORA</t>
        </is>
      </c>
      <c r="I386" t="n">
        <v>6.6</v>
      </c>
      <c r="J386" t="n">
        <v>0</v>
      </c>
      <c r="K386" t="n">
        <v>0</v>
      </c>
      <c r="L386" t="n">
        <v>0</v>
      </c>
      <c r="M386" t="n">
        <v>0</v>
      </c>
      <c r="N386" t="n">
        <v>0</v>
      </c>
      <c r="O386" t="n">
        <v>0</v>
      </c>
      <c r="P386" t="n">
        <v>0</v>
      </c>
      <c r="Q386" t="n">
        <v>0</v>
      </c>
      <c r="R386" t="n">
        <v>0</v>
      </c>
      <c r="S386" t="n">
        <v>0</v>
      </c>
      <c r="T386" t="n">
        <v>0</v>
      </c>
      <c r="U386" s="2" t="inlineStr"/>
    </row>
    <row r="387" ht="15" customHeight="1">
      <c r="A387" t="inlineStr">
        <is>
          <t>A 23843-2026</t>
        </is>
      </c>
      <c r="B387" t="inlineStr">
        <is>
          <t>avverkningsanmälan</t>
        </is>
      </c>
      <c r="C387" t="inlineStr">
        <is>
          <t>Föryngringsavverkning</t>
        </is>
      </c>
      <c r="D387" s="1" t="n">
        <v>46167</v>
      </c>
      <c r="E387" s="1" t="n">
        <v>46222</v>
      </c>
      <c r="F387" t="inlineStr">
        <is>
          <t>DALARNAS LÄN</t>
        </is>
      </c>
      <c r="G387" t="inlineStr">
        <is>
          <t>HEDEMORA</t>
        </is>
      </c>
      <c r="H387" t="inlineStr">
        <is>
          <t>Sveaskog</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23998-2026</t>
        </is>
      </c>
      <c r="B388" t="inlineStr">
        <is>
          <t>avverkningsanmälan</t>
        </is>
      </c>
      <c r="C388" t="inlineStr">
        <is>
          <t>Föryngringsavverkning</t>
        </is>
      </c>
      <c r="D388" s="1" t="n">
        <v>46167</v>
      </c>
      <c r="E388" s="1" t="n">
        <v>46222</v>
      </c>
      <c r="F388" t="inlineStr">
        <is>
          <t>DALARNAS LÄN</t>
        </is>
      </c>
      <c r="G388" t="inlineStr">
        <is>
          <t>HEDEMORA</t>
        </is>
      </c>
      <c r="H388" t="inlineStr">
        <is>
          <t>Sveaskog</t>
        </is>
      </c>
      <c r="I388" t="n">
        <v>3.7</v>
      </c>
      <c r="J388" t="n">
        <v>0</v>
      </c>
      <c r="K388" t="n">
        <v>0</v>
      </c>
      <c r="L388" t="n">
        <v>0</v>
      </c>
      <c r="M388" t="n">
        <v>0</v>
      </c>
      <c r="N388" t="n">
        <v>0</v>
      </c>
      <c r="O388" t="n">
        <v>0</v>
      </c>
      <c r="P388" t="n">
        <v>0</v>
      </c>
      <c r="Q388" t="n">
        <v>0</v>
      </c>
      <c r="R388" t="n">
        <v>0</v>
      </c>
      <c r="S388" t="n">
        <v>0</v>
      </c>
      <c r="T388" t="n">
        <v>0</v>
      </c>
      <c r="U388" s="2" t="inlineStr"/>
    </row>
    <row r="389" ht="15" customHeight="1">
      <c r="A389" t="inlineStr">
        <is>
          <t>A 24339-2026</t>
        </is>
      </c>
      <c r="B389" t="inlineStr">
        <is>
          <t>avverkningsanmälan</t>
        </is>
      </c>
      <c r="C389" t="inlineStr">
        <is>
          <t>Föryngringsavverkning</t>
        </is>
      </c>
      <c r="D389" s="1" t="n">
        <v>46169</v>
      </c>
      <c r="E389" s="1" t="n">
        <v>46222</v>
      </c>
      <c r="F389" t="inlineStr">
        <is>
          <t>DALARNAS LÄN</t>
        </is>
      </c>
      <c r="G389" t="inlineStr">
        <is>
          <t>HEDEMORA</t>
        </is>
      </c>
      <c r="H389" t="inlineStr">
        <is>
          <t>Sveaskog</t>
        </is>
      </c>
      <c r="I389" t="n">
        <v>5.8</v>
      </c>
      <c r="J389" t="n">
        <v>0</v>
      </c>
      <c r="K389" t="n">
        <v>0</v>
      </c>
      <c r="L389" t="n">
        <v>0</v>
      </c>
      <c r="M389" t="n">
        <v>0</v>
      </c>
      <c r="N389" t="n">
        <v>0</v>
      </c>
      <c r="O389" t="n">
        <v>0</v>
      </c>
      <c r="P389" t="n">
        <v>0</v>
      </c>
      <c r="Q389" t="n">
        <v>0</v>
      </c>
      <c r="R389" t="n">
        <v>0</v>
      </c>
      <c r="S389" t="n">
        <v>0</v>
      </c>
      <c r="T389" t="n">
        <v>0</v>
      </c>
      <c r="U389" s="2" t="inlineStr"/>
    </row>
    <row r="390" ht="15" customHeight="1">
      <c r="A390" t="inlineStr">
        <is>
          <t>A 52853-2025</t>
        </is>
      </c>
      <c r="B390" t="inlineStr">
        <is>
          <t>avverkningsanmälan</t>
        </is>
      </c>
      <c r="C390" t="inlineStr">
        <is>
          <t>Föryngringsavverkning</t>
        </is>
      </c>
      <c r="D390" s="1" t="n">
        <v>45957</v>
      </c>
      <c r="E390" s="1" t="n">
        <v>46222</v>
      </c>
      <c r="F390" t="inlineStr">
        <is>
          <t>DALARNAS LÄN</t>
        </is>
      </c>
      <c r="G390" t="inlineStr">
        <is>
          <t>HEDEMORA</t>
        </is>
      </c>
      <c r="I390" t="n">
        <v>1.5</v>
      </c>
      <c r="J390" t="n">
        <v>0</v>
      </c>
      <c r="K390" t="n">
        <v>0</v>
      </c>
      <c r="L390" t="n">
        <v>0</v>
      </c>
      <c r="M390" t="n">
        <v>0</v>
      </c>
      <c r="N390" t="n">
        <v>0</v>
      </c>
      <c r="O390" t="n">
        <v>0</v>
      </c>
      <c r="P390" t="n">
        <v>0</v>
      </c>
      <c r="Q390" t="n">
        <v>0</v>
      </c>
      <c r="R390" t="n">
        <v>0</v>
      </c>
      <c r="S390" t="n">
        <v>0</v>
      </c>
      <c r="T390" t="n">
        <v>0</v>
      </c>
      <c r="U390" s="2" t="inlineStr"/>
    </row>
    <row r="391" ht="15" customHeight="1">
      <c r="A391" t="inlineStr">
        <is>
          <t>A 30878-2026</t>
        </is>
      </c>
      <c r="B391" t="inlineStr">
        <is>
          <t>avverkningsanmälan</t>
        </is>
      </c>
      <c r="C391" t="inlineStr">
        <is>
          <t>Föryngringsavverkning</t>
        </is>
      </c>
      <c r="D391" s="1" t="n">
        <v>46212</v>
      </c>
      <c r="E391" s="1" t="n">
        <v>46222</v>
      </c>
      <c r="F391" t="inlineStr">
        <is>
          <t>DALARNAS LÄN</t>
        </is>
      </c>
      <c r="G391" t="inlineStr">
        <is>
          <t>HEDEMORA</t>
        </is>
      </c>
      <c r="H391" t="inlineStr">
        <is>
          <t>Sveaskog</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24340-2026</t>
        </is>
      </c>
      <c r="B392" t="inlineStr">
        <is>
          <t>avverkningsanmälan</t>
        </is>
      </c>
      <c r="C392" t="inlineStr">
        <is>
          <t>Föryngringsavverkning</t>
        </is>
      </c>
      <c r="D392" s="1" t="n">
        <v>46169</v>
      </c>
      <c r="E392" s="1" t="n">
        <v>46222</v>
      </c>
      <c r="F392" t="inlineStr">
        <is>
          <t>DALARNAS LÄN</t>
        </is>
      </c>
      <c r="G392" t="inlineStr">
        <is>
          <t>HEDEMORA</t>
        </is>
      </c>
      <c r="H392" t="inlineStr">
        <is>
          <t>Sveaskog</t>
        </is>
      </c>
      <c r="I392" t="n">
        <v>8.5</v>
      </c>
      <c r="J392" t="n">
        <v>0</v>
      </c>
      <c r="K392" t="n">
        <v>0</v>
      </c>
      <c r="L392" t="n">
        <v>0</v>
      </c>
      <c r="M392" t="n">
        <v>0</v>
      </c>
      <c r="N392" t="n">
        <v>0</v>
      </c>
      <c r="O392" t="n">
        <v>0</v>
      </c>
      <c r="P392" t="n">
        <v>0</v>
      </c>
      <c r="Q392" t="n">
        <v>0</v>
      </c>
      <c r="R392" t="n">
        <v>0</v>
      </c>
      <c r="S392" t="n">
        <v>0</v>
      </c>
      <c r="T392" t="n">
        <v>0</v>
      </c>
      <c r="U392" s="2" t="inlineStr"/>
    </row>
    <row r="393" ht="15" customHeight="1">
      <c r="A393" t="inlineStr">
        <is>
          <t>A 30880-2026</t>
        </is>
      </c>
      <c r="B393" t="inlineStr">
        <is>
          <t>avverkningsanmälan</t>
        </is>
      </c>
      <c r="C393" t="inlineStr">
        <is>
          <t>Föryngringsavverkning</t>
        </is>
      </c>
      <c r="D393" s="1" t="n">
        <v>46212</v>
      </c>
      <c r="E393" s="1" t="n">
        <v>46222</v>
      </c>
      <c r="F393" t="inlineStr">
        <is>
          <t>DALARNAS LÄN</t>
        </is>
      </c>
      <c r="G393" t="inlineStr">
        <is>
          <t>HEDEMORA</t>
        </is>
      </c>
      <c r="H393" t="inlineStr">
        <is>
          <t>Sveaskog</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18579-2025</t>
        </is>
      </c>
      <c r="B394" t="inlineStr">
        <is>
          <t>avverkningsanmälan</t>
        </is>
      </c>
      <c r="C394" t="inlineStr">
        <is>
          <t>Avverkning för annat ändamål</t>
        </is>
      </c>
      <c r="D394" s="1" t="n">
        <v>45763</v>
      </c>
      <c r="E394" s="1" t="n">
        <v>46222</v>
      </c>
      <c r="F394" t="inlineStr">
        <is>
          <t>DALARNAS LÄN</t>
        </is>
      </c>
      <c r="G394" t="inlineStr">
        <is>
          <t>HEDEMORA</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7743-2026</t>
        </is>
      </c>
      <c r="B395" t="inlineStr">
        <is>
          <t>avverkningsanmälan</t>
        </is>
      </c>
      <c r="C395" t="inlineStr">
        <is>
          <t>Föryngringsavverkning</t>
        </is>
      </c>
      <c r="D395" s="1" t="n">
        <v>46062</v>
      </c>
      <c r="E395" s="1" t="n">
        <v>46222</v>
      </c>
      <c r="F395" t="inlineStr">
        <is>
          <t>DALARNAS LÄN</t>
        </is>
      </c>
      <c r="G395" t="inlineStr">
        <is>
          <t>HEDEMORA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46825-2024</t>
        </is>
      </c>
      <c r="B396" t="inlineStr">
        <is>
          <t>avverkningsanmälan</t>
        </is>
      </c>
      <c r="C396" t="inlineStr">
        <is>
          <t>Föryngringsavverkning</t>
        </is>
      </c>
      <c r="D396" s="1" t="n">
        <v>45583</v>
      </c>
      <c r="E396" s="1" t="n">
        <v>46222</v>
      </c>
      <c r="F396" t="inlineStr">
        <is>
          <t>DALARNAS LÄN</t>
        </is>
      </c>
      <c r="G396" t="inlineStr">
        <is>
          <t>HEDEMORA</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52942-2024</t>
        </is>
      </c>
      <c r="B397" t="inlineStr">
        <is>
          <t>avverkningsanmälan</t>
        </is>
      </c>
      <c r="C397" t="inlineStr">
        <is>
          <t>Föryngringsavverkning</t>
        </is>
      </c>
      <c r="D397" s="1" t="n">
        <v>45610</v>
      </c>
      <c r="E397" s="1" t="n">
        <v>46222</v>
      </c>
      <c r="F397" t="inlineStr">
        <is>
          <t>DALARNAS LÄN</t>
        </is>
      </c>
      <c r="G397" t="inlineStr">
        <is>
          <t>HEDEMORA</t>
        </is>
      </c>
      <c r="H397" t="inlineStr">
        <is>
          <t>Sveaskog</t>
        </is>
      </c>
      <c r="I397" t="n">
        <v>14.5</v>
      </c>
      <c r="J397" t="n">
        <v>0</v>
      </c>
      <c r="K397" t="n">
        <v>0</v>
      </c>
      <c r="L397" t="n">
        <v>0</v>
      </c>
      <c r="M397" t="n">
        <v>0</v>
      </c>
      <c r="N397" t="n">
        <v>0</v>
      </c>
      <c r="O397" t="n">
        <v>0</v>
      </c>
      <c r="P397" t="n">
        <v>0</v>
      </c>
      <c r="Q397" t="n">
        <v>0</v>
      </c>
      <c r="R397" t="n">
        <v>0</v>
      </c>
      <c r="S397" t="n">
        <v>0</v>
      </c>
      <c r="T397" t="n">
        <v>0</v>
      </c>
      <c r="U397" s="2" t="inlineStr"/>
    </row>
    <row r="398" ht="15" customHeight="1">
      <c r="A398" t="inlineStr">
        <is>
          <t>A 22273-2023</t>
        </is>
      </c>
      <c r="B398" t="inlineStr">
        <is>
          <t>avverkningsanmälan</t>
        </is>
      </c>
      <c r="C398" t="inlineStr">
        <is>
          <t>Föryngringsavverkning</t>
        </is>
      </c>
      <c r="D398" s="1" t="n">
        <v>45070</v>
      </c>
      <c r="E398" s="1" t="n">
        <v>46222</v>
      </c>
      <c r="F398" t="inlineStr">
        <is>
          <t>DALARNAS LÄN</t>
        </is>
      </c>
      <c r="G398" t="inlineStr">
        <is>
          <t>HEDEMORA</t>
        </is>
      </c>
      <c r="I398" t="n">
        <v>1.3</v>
      </c>
      <c r="J398" t="n">
        <v>0</v>
      </c>
      <c r="K398" t="n">
        <v>0</v>
      </c>
      <c r="L398" t="n">
        <v>0</v>
      </c>
      <c r="M398" t="n">
        <v>0</v>
      </c>
      <c r="N398" t="n">
        <v>0</v>
      </c>
      <c r="O398" t="n">
        <v>0</v>
      </c>
      <c r="P398" t="n">
        <v>0</v>
      </c>
      <c r="Q398" t="n">
        <v>0</v>
      </c>
      <c r="R398" t="n">
        <v>0</v>
      </c>
      <c r="S398" t="n">
        <v>0</v>
      </c>
      <c r="T398" t="n">
        <v>0</v>
      </c>
      <c r="U398" s="2" t="inlineStr"/>
    </row>
    <row r="399" ht="15" customHeight="1">
      <c r="A399" t="inlineStr">
        <is>
          <t>A 886-2026</t>
        </is>
      </c>
      <c r="B399" t="inlineStr">
        <is>
          <t>avverkningsanmälan</t>
        </is>
      </c>
      <c r="C399" t="inlineStr">
        <is>
          <t>Föryngringsavverkning</t>
        </is>
      </c>
      <c r="D399" s="1" t="n">
        <v>46030</v>
      </c>
      <c r="E399" s="1" t="n">
        <v>46222</v>
      </c>
      <c r="F399" t="inlineStr">
        <is>
          <t>DALARNAS LÄN</t>
        </is>
      </c>
      <c r="G399" t="inlineStr">
        <is>
          <t>HEDEMORA</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24955-2026</t>
        </is>
      </c>
      <c r="B400" t="inlineStr">
        <is>
          <t>avverkningsanmälan</t>
        </is>
      </c>
      <c r="C400" t="inlineStr">
        <is>
          <t>Föryngringsavverkning</t>
        </is>
      </c>
      <c r="D400" s="1" t="n">
        <v>46174</v>
      </c>
      <c r="E400" s="1" t="n">
        <v>46222</v>
      </c>
      <c r="F400" t="inlineStr">
        <is>
          <t>DALARNAS LÄN</t>
        </is>
      </c>
      <c r="G400" t="inlineStr">
        <is>
          <t>HEDEMORA</t>
        </is>
      </c>
      <c r="H400" t="inlineStr">
        <is>
          <t>Sveaskog</t>
        </is>
      </c>
      <c r="I400" t="n">
        <v>2.7</v>
      </c>
      <c r="J400" t="n">
        <v>0</v>
      </c>
      <c r="K400" t="n">
        <v>0</v>
      </c>
      <c r="L400" t="n">
        <v>0</v>
      </c>
      <c r="M400" t="n">
        <v>0</v>
      </c>
      <c r="N400" t="n">
        <v>0</v>
      </c>
      <c r="O400" t="n">
        <v>0</v>
      </c>
      <c r="P400" t="n">
        <v>0</v>
      </c>
      <c r="Q400" t="n">
        <v>0</v>
      </c>
      <c r="R400" t="n">
        <v>0</v>
      </c>
      <c r="S400" t="n">
        <v>0</v>
      </c>
      <c r="T400" t="n">
        <v>0</v>
      </c>
      <c r="U400" s="2" t="inlineStr"/>
    </row>
    <row r="401" ht="15" customHeight="1">
      <c r="A401" t="inlineStr">
        <is>
          <t>A 24959-2026</t>
        </is>
      </c>
      <c r="B401" t="inlineStr">
        <is>
          <t>avverkningsanmälan</t>
        </is>
      </c>
      <c r="C401" t="inlineStr">
        <is>
          <t>Föryngringsavverkning</t>
        </is>
      </c>
      <c r="D401" s="1" t="n">
        <v>46174</v>
      </c>
      <c r="E401" s="1" t="n">
        <v>46222</v>
      </c>
      <c r="F401" t="inlineStr">
        <is>
          <t>DALARNAS LÄN</t>
        </is>
      </c>
      <c r="G401" t="inlineStr">
        <is>
          <t>HEDEMORA</t>
        </is>
      </c>
      <c r="H401" t="inlineStr">
        <is>
          <t>Sveaskog</t>
        </is>
      </c>
      <c r="I401" t="n">
        <v>6.7</v>
      </c>
      <c r="J401" t="n">
        <v>0</v>
      </c>
      <c r="K401" t="n">
        <v>0</v>
      </c>
      <c r="L401" t="n">
        <v>0</v>
      </c>
      <c r="M401" t="n">
        <v>0</v>
      </c>
      <c r="N401" t="n">
        <v>0</v>
      </c>
      <c r="O401" t="n">
        <v>0</v>
      </c>
      <c r="P401" t="n">
        <v>0</v>
      </c>
      <c r="Q401" t="n">
        <v>0</v>
      </c>
      <c r="R401" t="n">
        <v>0</v>
      </c>
      <c r="S401" t="n">
        <v>0</v>
      </c>
      <c r="T401" t="n">
        <v>0</v>
      </c>
      <c r="U401" s="2" t="inlineStr"/>
    </row>
    <row r="402" ht="15" customHeight="1">
      <c r="A402" t="inlineStr">
        <is>
          <t>A 24949-2026</t>
        </is>
      </c>
      <c r="B402" t="inlineStr">
        <is>
          <t>avverkningsanmälan</t>
        </is>
      </c>
      <c r="C402" t="inlineStr">
        <is>
          <t>Föryngringsavverkning</t>
        </is>
      </c>
      <c r="D402" s="1" t="n">
        <v>46174</v>
      </c>
      <c r="E402" s="1" t="n">
        <v>46222</v>
      </c>
      <c r="F402" t="inlineStr">
        <is>
          <t>DALARNAS LÄN</t>
        </is>
      </c>
      <c r="G402" t="inlineStr">
        <is>
          <t>HEDEMORA</t>
        </is>
      </c>
      <c r="H402" t="inlineStr">
        <is>
          <t>Sveaskog</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25419-2026</t>
        </is>
      </c>
      <c r="B403" t="inlineStr">
        <is>
          <t>avverkningsanmälan</t>
        </is>
      </c>
      <c r="C403" t="inlineStr">
        <is>
          <t>Föryngringsavverkning</t>
        </is>
      </c>
      <c r="D403" s="1" t="n">
        <v>46177</v>
      </c>
      <c r="E403" s="1" t="n">
        <v>46222</v>
      </c>
      <c r="F403" t="inlineStr">
        <is>
          <t>DALARNAS LÄN</t>
        </is>
      </c>
      <c r="G403" t="inlineStr">
        <is>
          <t>HEDEMORA</t>
        </is>
      </c>
      <c r="H403" t="inlineStr">
        <is>
          <t>Sveaskog</t>
        </is>
      </c>
      <c r="I403" t="n">
        <v>3.2</v>
      </c>
      <c r="J403" t="n">
        <v>0</v>
      </c>
      <c r="K403" t="n">
        <v>0</v>
      </c>
      <c r="L403" t="n">
        <v>0</v>
      </c>
      <c r="M403" t="n">
        <v>0</v>
      </c>
      <c r="N403" t="n">
        <v>0</v>
      </c>
      <c r="O403" t="n">
        <v>0</v>
      </c>
      <c r="P403" t="n">
        <v>0</v>
      </c>
      <c r="Q403" t="n">
        <v>0</v>
      </c>
      <c r="R403" t="n">
        <v>0</v>
      </c>
      <c r="S403" t="n">
        <v>0</v>
      </c>
      <c r="T403" t="n">
        <v>0</v>
      </c>
      <c r="U403" s="2" t="inlineStr"/>
    </row>
    <row r="404" ht="15" customHeight="1">
      <c r="A404" t="inlineStr">
        <is>
          <t>A 25830-2026</t>
        </is>
      </c>
      <c r="B404" t="inlineStr">
        <is>
          <t>avverkningsanmälan</t>
        </is>
      </c>
      <c r="C404" t="inlineStr">
        <is>
          <t>Föryngringsavverkning</t>
        </is>
      </c>
      <c r="D404" s="1" t="n">
        <v>46178</v>
      </c>
      <c r="E404" s="1" t="n">
        <v>46222</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40801-2024</t>
        </is>
      </c>
      <c r="B405" t="inlineStr">
        <is>
          <t>avverkningsanmälan</t>
        </is>
      </c>
      <c r="C405" t="inlineStr">
        <is>
          <t>Föryngringsavverkning</t>
        </is>
      </c>
      <c r="D405" s="1" t="n">
        <v>45558</v>
      </c>
      <c r="E405" s="1" t="n">
        <v>46222</v>
      </c>
      <c r="F405" t="inlineStr">
        <is>
          <t>DALARNAS LÄN</t>
        </is>
      </c>
      <c r="G405" t="inlineStr">
        <is>
          <t>HEDEMORA</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25421-2026</t>
        </is>
      </c>
      <c r="B406" t="inlineStr">
        <is>
          <t>avverkningsanmälan</t>
        </is>
      </c>
      <c r="C406" t="inlineStr">
        <is>
          <t>Föryngringsavverkning</t>
        </is>
      </c>
      <c r="D406" s="1" t="n">
        <v>46177</v>
      </c>
      <c r="E406" s="1" t="n">
        <v>46222</v>
      </c>
      <c r="F406" t="inlineStr">
        <is>
          <t>DALARNAS LÄN</t>
        </is>
      </c>
      <c r="G406" t="inlineStr">
        <is>
          <t>HEDEMORA</t>
        </is>
      </c>
      <c r="H406" t="inlineStr">
        <is>
          <t>Sveaskog</t>
        </is>
      </c>
      <c r="I406" t="n">
        <v>1.1</v>
      </c>
      <c r="J406" t="n">
        <v>0</v>
      </c>
      <c r="K406" t="n">
        <v>0</v>
      </c>
      <c r="L406" t="n">
        <v>0</v>
      </c>
      <c r="M406" t="n">
        <v>0</v>
      </c>
      <c r="N406" t="n">
        <v>0</v>
      </c>
      <c r="O406" t="n">
        <v>0</v>
      </c>
      <c r="P406" t="n">
        <v>0</v>
      </c>
      <c r="Q406" t="n">
        <v>0</v>
      </c>
      <c r="R406" t="n">
        <v>0</v>
      </c>
      <c r="S406" t="n">
        <v>0</v>
      </c>
      <c r="T406" t="n">
        <v>0</v>
      </c>
      <c r="U406" s="2" t="inlineStr"/>
    </row>
    <row r="407" ht="15" customHeight="1">
      <c r="A407" t="inlineStr">
        <is>
          <t>A 53588-2023</t>
        </is>
      </c>
      <c r="B407" t="inlineStr">
        <is>
          <t>avverkningsanmälan</t>
        </is>
      </c>
      <c r="C407" t="inlineStr">
        <is>
          <t>Föryngringsavverkning</t>
        </is>
      </c>
      <c r="D407" s="1" t="n">
        <v>45230</v>
      </c>
      <c r="E407" s="1" t="n">
        <v>46222</v>
      </c>
      <c r="F407" t="inlineStr">
        <is>
          <t>DALARNAS LÄN</t>
        </is>
      </c>
      <c r="G407" t="inlineStr">
        <is>
          <t>HEDEMORA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55832-2024</t>
        </is>
      </c>
      <c r="B408" t="inlineStr">
        <is>
          <t>avverkningsanmälan</t>
        </is>
      </c>
      <c r="C408" t="inlineStr">
        <is>
          <t>Föryngringsavverkning</t>
        </is>
      </c>
      <c r="D408" s="1" t="n">
        <v>45623</v>
      </c>
      <c r="E408" s="1" t="n">
        <v>46222</v>
      </c>
      <c r="F408" t="inlineStr">
        <is>
          <t>DALARNAS LÄN</t>
        </is>
      </c>
      <c r="G408" t="inlineStr">
        <is>
          <t>HEDEMORA</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52945-2024</t>
        </is>
      </c>
      <c r="B409" t="inlineStr">
        <is>
          <t>avverkningsanmälan</t>
        </is>
      </c>
      <c r="C409" t="inlineStr">
        <is>
          <t>Föryngringsavverkning</t>
        </is>
      </c>
      <c r="D409" s="1" t="n">
        <v>45610</v>
      </c>
      <c r="E409" s="1" t="n">
        <v>46222</v>
      </c>
      <c r="F409" t="inlineStr">
        <is>
          <t>DALARNAS LÄN</t>
        </is>
      </c>
      <c r="G409" t="inlineStr">
        <is>
          <t>HEDEMORA</t>
        </is>
      </c>
      <c r="H409" t="inlineStr">
        <is>
          <t>Sveaskog</t>
        </is>
      </c>
      <c r="I409" t="n">
        <v>5</v>
      </c>
      <c r="J409" t="n">
        <v>0</v>
      </c>
      <c r="K409" t="n">
        <v>0</v>
      </c>
      <c r="L409" t="n">
        <v>0</v>
      </c>
      <c r="M409" t="n">
        <v>0</v>
      </c>
      <c r="N409" t="n">
        <v>0</v>
      </c>
      <c r="O409" t="n">
        <v>0</v>
      </c>
      <c r="P409" t="n">
        <v>0</v>
      </c>
      <c r="Q409" t="n">
        <v>0</v>
      </c>
      <c r="R409" t="n">
        <v>0</v>
      </c>
      <c r="S409" t="n">
        <v>0</v>
      </c>
      <c r="T409" t="n">
        <v>0</v>
      </c>
      <c r="U409" s="2" t="inlineStr"/>
    </row>
    <row r="410" ht="15" customHeight="1">
      <c r="A410" t="inlineStr">
        <is>
          <t>A 53922-2024</t>
        </is>
      </c>
      <c r="B410" t="inlineStr">
        <is>
          <t>avverkningsanmälan</t>
        </is>
      </c>
      <c r="C410" t="inlineStr">
        <is>
          <t>Föryngringsavverkning</t>
        </is>
      </c>
      <c r="D410" s="1" t="n">
        <v>45615</v>
      </c>
      <c r="E410" s="1" t="n">
        <v>46222</v>
      </c>
      <c r="F410" t="inlineStr">
        <is>
          <t>DALARNAS LÄN</t>
        </is>
      </c>
      <c r="G410" t="inlineStr">
        <is>
          <t>HEDEMORA</t>
        </is>
      </c>
      <c r="H410" t="inlineStr">
        <is>
          <t>Sveaskog</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14949-2025</t>
        </is>
      </c>
      <c r="B411" t="inlineStr">
        <is>
          <t>avverkningsanmälan</t>
        </is>
      </c>
      <c r="C411" t="inlineStr">
        <is>
          <t>Föryngringsavverkning</t>
        </is>
      </c>
      <c r="D411" s="1" t="n">
        <v>45743</v>
      </c>
      <c r="E411" s="1" t="n">
        <v>46222</v>
      </c>
      <c r="F411" t="inlineStr">
        <is>
          <t>DALARNAS LÄN</t>
        </is>
      </c>
      <c r="G411" t="inlineStr">
        <is>
          <t>HEDEMORA</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63941-2023</t>
        </is>
      </c>
      <c r="B412" t="inlineStr">
        <is>
          <t>avverkningsanmälan</t>
        </is>
      </c>
      <c r="C412" t="inlineStr">
        <is>
          <t>Föryngringsavverkning</t>
        </is>
      </c>
      <c r="D412" s="1" t="n">
        <v>45278</v>
      </c>
      <c r="E412" s="1" t="n">
        <v>46222</v>
      </c>
      <c r="F412" t="inlineStr">
        <is>
          <t>DALARNAS LÄN</t>
        </is>
      </c>
      <c r="G412" t="inlineStr">
        <is>
          <t>HEDEMORA</t>
        </is>
      </c>
      <c r="I412" t="n">
        <v>1.1</v>
      </c>
      <c r="J412" t="n">
        <v>0</v>
      </c>
      <c r="K412" t="n">
        <v>0</v>
      </c>
      <c r="L412" t="n">
        <v>0</v>
      </c>
      <c r="M412" t="n">
        <v>0</v>
      </c>
      <c r="N412" t="n">
        <v>0</v>
      </c>
      <c r="O412" t="n">
        <v>0</v>
      </c>
      <c r="P412" t="n">
        <v>0</v>
      </c>
      <c r="Q412" t="n">
        <v>0</v>
      </c>
      <c r="R412" t="n">
        <v>0</v>
      </c>
      <c r="S412" t="n">
        <v>0</v>
      </c>
      <c r="T412" t="n">
        <v>0</v>
      </c>
      <c r="U412" s="2" t="inlineStr"/>
    </row>
    <row r="413" ht="15" customHeight="1">
      <c r="A413" t="inlineStr">
        <is>
          <t>A 43785-2023</t>
        </is>
      </c>
      <c r="B413" t="inlineStr">
        <is>
          <t>avverkningsanmälan</t>
        </is>
      </c>
      <c r="C413" t="inlineStr">
        <is>
          <t>Föryngringsavverkning</t>
        </is>
      </c>
      <c r="D413" s="1" t="n">
        <v>45187</v>
      </c>
      <c r="E413" s="1" t="n">
        <v>46222</v>
      </c>
      <c r="F413" t="inlineStr">
        <is>
          <t>DALARNAS LÄN</t>
        </is>
      </c>
      <c r="G413" t="inlineStr">
        <is>
          <t>HEDEMORA</t>
        </is>
      </c>
      <c r="H413" t="inlineStr">
        <is>
          <t>Sveaskog</t>
        </is>
      </c>
      <c r="I413" t="n">
        <v>5.7</v>
      </c>
      <c r="J413" t="n">
        <v>0</v>
      </c>
      <c r="K413" t="n">
        <v>0</v>
      </c>
      <c r="L413" t="n">
        <v>0</v>
      </c>
      <c r="M413" t="n">
        <v>0</v>
      </c>
      <c r="N413" t="n">
        <v>0</v>
      </c>
      <c r="O413" t="n">
        <v>0</v>
      </c>
      <c r="P413" t="n">
        <v>0</v>
      </c>
      <c r="Q413" t="n">
        <v>0</v>
      </c>
      <c r="R413" t="n">
        <v>0</v>
      </c>
      <c r="S413" t="n">
        <v>0</v>
      </c>
      <c r="T413" t="n">
        <v>0</v>
      </c>
      <c r="U413" s="2" t="inlineStr"/>
    </row>
    <row r="414" ht="15" customHeight="1">
      <c r="A414" t="inlineStr">
        <is>
          <t>A 6210-2024</t>
        </is>
      </c>
      <c r="B414" t="inlineStr">
        <is>
          <t>avverkningsanmälan</t>
        </is>
      </c>
      <c r="C414" t="inlineStr">
        <is>
          <t>Föryngringsavverkning</t>
        </is>
      </c>
      <c r="D414" s="1" t="n">
        <v>45337</v>
      </c>
      <c r="E414" s="1" t="n">
        <v>46222</v>
      </c>
      <c r="F414" t="inlineStr">
        <is>
          <t>DALARNAS LÄN</t>
        </is>
      </c>
      <c r="G414" t="inlineStr">
        <is>
          <t>HEDEMORA</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30430-2023</t>
        </is>
      </c>
      <c r="B415" t="inlineStr">
        <is>
          <t>avverkningsanmälan</t>
        </is>
      </c>
      <c r="C415" t="inlineStr">
        <is>
          <t>Föryngringsavverkning</t>
        </is>
      </c>
      <c r="D415" s="1" t="n">
        <v>45111</v>
      </c>
      <c r="E415" s="1" t="n">
        <v>46222</v>
      </c>
      <c r="F415" t="inlineStr">
        <is>
          <t>DALARNAS LÄN</t>
        </is>
      </c>
      <c r="G415" t="inlineStr">
        <is>
          <t>HEDEMORA</t>
        </is>
      </c>
      <c r="H415" t="inlineStr">
        <is>
          <t>Sveaskog</t>
        </is>
      </c>
      <c r="I415" t="n">
        <v>1.7</v>
      </c>
      <c r="J415" t="n">
        <v>0</v>
      </c>
      <c r="K415" t="n">
        <v>0</v>
      </c>
      <c r="L415" t="n">
        <v>0</v>
      </c>
      <c r="M415" t="n">
        <v>0</v>
      </c>
      <c r="N415" t="n">
        <v>0</v>
      </c>
      <c r="O415" t="n">
        <v>0</v>
      </c>
      <c r="P415" t="n">
        <v>0</v>
      </c>
      <c r="Q415" t="n">
        <v>0</v>
      </c>
      <c r="R415" t="n">
        <v>0</v>
      </c>
      <c r="S415" t="n">
        <v>0</v>
      </c>
      <c r="T415" t="n">
        <v>0</v>
      </c>
      <c r="U415" s="2" t="inlineStr"/>
    </row>
    <row r="416" ht="15" customHeight="1">
      <c r="A416" t="inlineStr">
        <is>
          <t>A 48380-2024</t>
        </is>
      </c>
      <c r="B416" t="inlineStr">
        <is>
          <t>avverkningsanmälan</t>
        </is>
      </c>
      <c r="C416" t="inlineStr">
        <is>
          <t>Föryngringsavverkning</t>
        </is>
      </c>
      <c r="D416" s="1" t="n">
        <v>45590</v>
      </c>
      <c r="E416" s="1" t="n">
        <v>46222</v>
      </c>
      <c r="F416" t="inlineStr">
        <is>
          <t>DALARNAS LÄN</t>
        </is>
      </c>
      <c r="G416" t="inlineStr">
        <is>
          <t>HEDEMORA</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51256-2024</t>
        </is>
      </c>
      <c r="B417" t="inlineStr">
        <is>
          <t>avverkningsanmälan</t>
        </is>
      </c>
      <c r="C417" t="inlineStr">
        <is>
          <t>Föryngringsavverkning</t>
        </is>
      </c>
      <c r="D417" s="1" t="n">
        <v>45603</v>
      </c>
      <c r="E417" s="1" t="n">
        <v>46222</v>
      </c>
      <c r="F417" t="inlineStr">
        <is>
          <t>DALARNAS LÄN</t>
        </is>
      </c>
      <c r="G417" t="inlineStr">
        <is>
          <t>HEDEMORA</t>
        </is>
      </c>
      <c r="I417" t="n">
        <v>1.3</v>
      </c>
      <c r="J417" t="n">
        <v>0</v>
      </c>
      <c r="K417" t="n">
        <v>0</v>
      </c>
      <c r="L417" t="n">
        <v>0</v>
      </c>
      <c r="M417" t="n">
        <v>0</v>
      </c>
      <c r="N417" t="n">
        <v>0</v>
      </c>
      <c r="O417" t="n">
        <v>0</v>
      </c>
      <c r="P417" t="n">
        <v>0</v>
      </c>
      <c r="Q417" t="n">
        <v>0</v>
      </c>
      <c r="R417" t="n">
        <v>0</v>
      </c>
      <c r="S417" t="n">
        <v>0</v>
      </c>
      <c r="T417" t="n">
        <v>0</v>
      </c>
      <c r="U417" s="2" t="inlineStr"/>
    </row>
    <row r="418" ht="15" customHeight="1">
      <c r="A418" t="inlineStr">
        <is>
          <t>A 25195-2024</t>
        </is>
      </c>
      <c r="B418" t="inlineStr">
        <is>
          <t>avverkningsanmälan</t>
        </is>
      </c>
      <c r="C418" t="inlineStr">
        <is>
          <t>Avverkning för annat ändamål</t>
        </is>
      </c>
      <c r="D418" s="1" t="n">
        <v>45462</v>
      </c>
      <c r="E418" s="1" t="n">
        <v>46222</v>
      </c>
      <c r="F418" t="inlineStr">
        <is>
          <t>DALARNAS LÄN</t>
        </is>
      </c>
      <c r="G418" t="inlineStr">
        <is>
          <t>HEDEMORA</t>
        </is>
      </c>
      <c r="H418" t="inlineStr">
        <is>
          <t>Övriga statliga verk och myndigheter</t>
        </is>
      </c>
      <c r="I418" t="n">
        <v>3.3</v>
      </c>
      <c r="J418" t="n">
        <v>0</v>
      </c>
      <c r="K418" t="n">
        <v>0</v>
      </c>
      <c r="L418" t="n">
        <v>0</v>
      </c>
      <c r="M418" t="n">
        <v>0</v>
      </c>
      <c r="N418" t="n">
        <v>0</v>
      </c>
      <c r="O418" t="n">
        <v>0</v>
      </c>
      <c r="P418" t="n">
        <v>0</v>
      </c>
      <c r="Q418" t="n">
        <v>0</v>
      </c>
      <c r="R418" t="n">
        <v>0</v>
      </c>
      <c r="S418" t="n">
        <v>0</v>
      </c>
      <c r="T418" t="n">
        <v>0</v>
      </c>
      <c r="U418" s="2" t="inlineStr"/>
    </row>
    <row r="419" ht="15" customHeight="1">
      <c r="A419" t="inlineStr">
        <is>
          <t>A 25021-2025</t>
        </is>
      </c>
      <c r="B419" t="inlineStr">
        <is>
          <t>avverkningsanmälan</t>
        </is>
      </c>
      <c r="C419" t="inlineStr">
        <is>
          <t>Föryngringsavverkning</t>
        </is>
      </c>
      <c r="D419" s="1" t="n">
        <v>45799</v>
      </c>
      <c r="E419" s="1" t="n">
        <v>46222</v>
      </c>
      <c r="F419" t="inlineStr">
        <is>
          <t>DALARNAS LÄN</t>
        </is>
      </c>
      <c r="G419" t="inlineStr">
        <is>
          <t>HEDEMORA</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19397-2024</t>
        </is>
      </c>
      <c r="B420" t="inlineStr">
        <is>
          <t>avverkningsanmälan</t>
        </is>
      </c>
      <c r="C420" t="inlineStr">
        <is>
          <t>Föryngringsavverkning</t>
        </is>
      </c>
      <c r="D420" s="1" t="n">
        <v>45429</v>
      </c>
      <c r="E420" s="1" t="n">
        <v>46222</v>
      </c>
      <c r="F420" t="inlineStr">
        <is>
          <t>DALARNAS LÄN</t>
        </is>
      </c>
      <c r="G420" t="inlineStr">
        <is>
          <t>HEDEMORA</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S 2070-2020</t>
        </is>
      </c>
      <c r="B421" t="inlineStr">
        <is>
          <t>samrådsanmälan</t>
        </is>
      </c>
      <c r="C421" t="inlineStr">
        <is>
          <t>Askåterföring</t>
        </is>
      </c>
      <c r="D421" s="1" t="n">
        <v>44102</v>
      </c>
      <c r="E421" s="1" t="n">
        <v>46222</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s="2" t="inlineStr"/>
    </row>
    <row r="422" ht="15" customHeight="1">
      <c r="A422" t="inlineStr">
        <is>
          <t>S 404-2022</t>
        </is>
      </c>
      <c r="B422" t="inlineStr">
        <is>
          <t>samrådsanmälan</t>
        </is>
      </c>
      <c r="C422" t="inlineStr">
        <is>
          <t>Skogsgödsling</t>
        </is>
      </c>
      <c r="D422" s="1" t="n">
        <v>44585</v>
      </c>
      <c r="E422" s="1" t="n">
        <v>46222</v>
      </c>
      <c r="F422" t="inlineStr">
        <is>
          <t>DALARNAS LÄN</t>
        </is>
      </c>
      <c r="G422" t="inlineStr">
        <is>
          <t>HEDEMORA</t>
        </is>
      </c>
      <c r="H422" t="inlineStr">
        <is>
          <t>Bergvik skog väst AB</t>
        </is>
      </c>
      <c r="I422" t="n">
        <v>23.2</v>
      </c>
      <c r="J422" t="n">
        <v>0</v>
      </c>
      <c r="K422" t="n">
        <v>0</v>
      </c>
      <c r="L422" t="n">
        <v>0</v>
      </c>
      <c r="M422" t="n">
        <v>0</v>
      </c>
      <c r="N422" t="n">
        <v>0</v>
      </c>
      <c r="O422" t="n">
        <v>0</v>
      </c>
      <c r="P422" t="n">
        <v>0</v>
      </c>
      <c r="Q422" t="n">
        <v>0</v>
      </c>
      <c r="R422" t="n">
        <v>0</v>
      </c>
      <c r="S422" t="n">
        <v>0</v>
      </c>
      <c r="T422" t="n">
        <v>0</v>
      </c>
      <c r="U422" s="2" t="inlineStr"/>
    </row>
    <row r="423" ht="15" customHeight="1">
      <c r="A423" t="inlineStr">
        <is>
          <t>S 10365-2021</t>
        </is>
      </c>
      <c r="B423" t="inlineStr">
        <is>
          <t>samrådsanmälan</t>
        </is>
      </c>
      <c r="C423" t="inlineStr">
        <is>
          <t>Skogsgödsling</t>
        </is>
      </c>
      <c r="D423" s="1" t="n">
        <v>44550</v>
      </c>
      <c r="E423" s="1" t="n">
        <v>46222</v>
      </c>
      <c r="F423" t="inlineStr">
        <is>
          <t>DALARNAS LÄN</t>
        </is>
      </c>
      <c r="G423" t="inlineStr">
        <is>
          <t>HEDEMORA</t>
        </is>
      </c>
      <c r="H423" t="inlineStr">
        <is>
          <t>Sveaskog</t>
        </is>
      </c>
      <c r="I423" t="n">
        <v>121</v>
      </c>
      <c r="J423" t="n">
        <v>0</v>
      </c>
      <c r="K423" t="n">
        <v>0</v>
      </c>
      <c r="L423" t="n">
        <v>0</v>
      </c>
      <c r="M423" t="n">
        <v>0</v>
      </c>
      <c r="N423" t="n">
        <v>0</v>
      </c>
      <c r="O423" t="n">
        <v>0</v>
      </c>
      <c r="P423" t="n">
        <v>0</v>
      </c>
      <c r="Q423" t="n">
        <v>0</v>
      </c>
      <c r="R423" t="n">
        <v>0</v>
      </c>
      <c r="S423" t="n">
        <v>0</v>
      </c>
      <c r="T423" t="n">
        <v>0</v>
      </c>
      <c r="U423" s="2" t="inlineStr"/>
    </row>
    <row r="424" ht="15" customHeight="1">
      <c r="A424" t="inlineStr">
        <is>
          <t>S 2034-2022</t>
        </is>
      </c>
      <c r="B424" t="inlineStr">
        <is>
          <t>samrådsanmälan</t>
        </is>
      </c>
      <c r="C424" t="inlineStr">
        <is>
          <t>Skogsbilväg</t>
        </is>
      </c>
      <c r="D424" s="1" t="n">
        <v>44671</v>
      </c>
      <c r="E424" s="1" t="n">
        <v>46222</v>
      </c>
      <c r="F424" t="inlineStr">
        <is>
          <t>DALARNAS LÄN</t>
        </is>
      </c>
      <c r="G424" t="inlineStr">
        <is>
          <t>HEDEMORA</t>
        </is>
      </c>
      <c r="H424" t="inlineStr">
        <is>
          <t>Kommuner</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S 435-2025</t>
        </is>
      </c>
      <c r="B425" t="inlineStr">
        <is>
          <t>samrådsanmälan</t>
        </is>
      </c>
      <c r="C425" t="inlineStr">
        <is>
          <t>Skogsgödsling</t>
        </is>
      </c>
      <c r="D425" s="1" t="n">
        <v>45700</v>
      </c>
      <c r="E425" s="1" t="n">
        <v>46222</v>
      </c>
      <c r="F425" t="inlineStr">
        <is>
          <t>DALARNAS LÄN</t>
        </is>
      </c>
      <c r="G425" t="inlineStr">
        <is>
          <t>HEDEMORA</t>
        </is>
      </c>
      <c r="H425" t="inlineStr">
        <is>
          <t>Sveaskog</t>
        </is>
      </c>
      <c r="I425" t="n">
        <v>41.9</v>
      </c>
      <c r="J425" t="n">
        <v>0</v>
      </c>
      <c r="K425" t="n">
        <v>0</v>
      </c>
      <c r="L425" t="n">
        <v>0</v>
      </c>
      <c r="M425" t="n">
        <v>0</v>
      </c>
      <c r="N425" t="n">
        <v>0</v>
      </c>
      <c r="O425" t="n">
        <v>0</v>
      </c>
      <c r="P425" t="n">
        <v>0</v>
      </c>
      <c r="Q425" t="n">
        <v>0</v>
      </c>
      <c r="R425" t="n">
        <v>0</v>
      </c>
      <c r="S425" t="n">
        <v>0</v>
      </c>
      <c r="T425" t="n">
        <v>0</v>
      </c>
      <c r="U425" s="2" t="inlineStr"/>
    </row>
    <row r="426" ht="15" customHeight="1">
      <c r="A426" t="inlineStr">
        <is>
          <t>S 433-2025</t>
        </is>
      </c>
      <c r="B426" t="inlineStr">
        <is>
          <t>samrådsanmälan</t>
        </is>
      </c>
      <c r="C426" t="inlineStr">
        <is>
          <t>Skogsgödsling</t>
        </is>
      </c>
      <c r="D426" s="1" t="n">
        <v>45700</v>
      </c>
      <c r="E426" s="1" t="n">
        <v>46222</v>
      </c>
      <c r="F426" t="inlineStr">
        <is>
          <t>DALARNAS LÄN</t>
        </is>
      </c>
      <c r="G426" t="inlineStr">
        <is>
          <t>HEDEMORA</t>
        </is>
      </c>
      <c r="H426" t="inlineStr">
        <is>
          <t>Sveaskog</t>
        </is>
      </c>
      <c r="I426" t="n">
        <v>14.2</v>
      </c>
      <c r="J426" t="n">
        <v>0</v>
      </c>
      <c r="K426" t="n">
        <v>0</v>
      </c>
      <c r="L426" t="n">
        <v>0</v>
      </c>
      <c r="M426" t="n">
        <v>0</v>
      </c>
      <c r="N426" t="n">
        <v>0</v>
      </c>
      <c r="O426" t="n">
        <v>0</v>
      </c>
      <c r="P426" t="n">
        <v>0</v>
      </c>
      <c r="Q426" t="n">
        <v>0</v>
      </c>
      <c r="R426" t="n">
        <v>0</v>
      </c>
      <c r="S426" t="n">
        <v>0</v>
      </c>
      <c r="T426" t="n">
        <v>0</v>
      </c>
      <c r="U426" s="2" t="inlineStr"/>
    </row>
    <row r="427" ht="15" customHeight="1">
      <c r="A427" t="inlineStr">
        <is>
          <t>S 229-2024</t>
        </is>
      </c>
      <c r="B427" t="inlineStr">
        <is>
          <t>samrådsanmälan</t>
        </is>
      </c>
      <c r="C427" t="inlineStr">
        <is>
          <t>Skogsgödsling</t>
        </is>
      </c>
      <c r="D427" s="1" t="n">
        <v>45317</v>
      </c>
      <c r="E427" s="1" t="n">
        <v>46222</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s="2" t="inlineStr"/>
    </row>
    <row r="428" ht="15" customHeight="1">
      <c r="A428" t="inlineStr">
        <is>
          <t>S 222-2024</t>
        </is>
      </c>
      <c r="B428" t="inlineStr">
        <is>
          <t>samrådsanmälan</t>
        </is>
      </c>
      <c r="C428" t="inlineStr">
        <is>
          <t>Skogsgödsling</t>
        </is>
      </c>
      <c r="D428" s="1" t="n">
        <v>45316</v>
      </c>
      <c r="E428" s="1" t="n">
        <v>46222</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s="2" t="inlineStr"/>
    </row>
    <row r="429" ht="15" customHeight="1">
      <c r="A429" t="inlineStr">
        <is>
          <t>S 708-2025</t>
        </is>
      </c>
      <c r="B429" t="inlineStr">
        <is>
          <t>samrådsanmälan</t>
        </is>
      </c>
      <c r="C429" t="inlineStr">
        <is>
          <t>Skogsgödsling</t>
        </is>
      </c>
      <c r="D429" s="1" t="n">
        <v>45720</v>
      </c>
      <c r="E429" s="1" t="n">
        <v>46222</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S 503-2025</t>
        </is>
      </c>
      <c r="B430" t="inlineStr">
        <is>
          <t>samrådsanmälan</t>
        </is>
      </c>
      <c r="C430" t="inlineStr">
        <is>
          <t>Askåterföring</t>
        </is>
      </c>
      <c r="D430" s="1" t="n">
        <v>45706</v>
      </c>
      <c r="E430" s="1" t="n">
        <v>46222</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s="2" t="inlineStr"/>
    </row>
    <row r="431" ht="15" customHeight="1">
      <c r="A431" t="inlineStr">
        <is>
          <t>S 2513-2025</t>
        </is>
      </c>
      <c r="B431" t="inlineStr">
        <is>
          <t>samrådsanmälan</t>
        </is>
      </c>
      <c r="C431" t="inlineStr">
        <is>
          <t>Annan skogsbruksåtgärd</t>
        </is>
      </c>
      <c r="D431" s="1" t="n">
        <v>45906</v>
      </c>
      <c r="E431" s="1" t="n">
        <v>46222</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S 3319-2025</t>
        </is>
      </c>
      <c r="B432" t="inlineStr">
        <is>
          <t>samrådsanmälan</t>
        </is>
      </c>
      <c r="C432" t="inlineStr">
        <is>
          <t>Annan skogsbruksåtgärd</t>
        </is>
      </c>
      <c r="D432" s="1" t="n">
        <v>45989</v>
      </c>
      <c r="E432" s="1" t="n">
        <v>46222</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s="2" t="inlineStr"/>
    </row>
    <row r="433" ht="15" customHeight="1">
      <c r="A433" t="inlineStr">
        <is>
          <t>S 3401-2025</t>
        </is>
      </c>
      <c r="B433" t="inlineStr">
        <is>
          <t>samrådsanmälan</t>
        </is>
      </c>
      <c r="C433" t="inlineStr">
        <is>
          <t>Annan skogsbruksåtgärd</t>
        </is>
      </c>
      <c r="D433" s="1" t="n">
        <v>45995</v>
      </c>
      <c r="E433" s="1" t="n">
        <v>46222</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S 410-2026</t>
        </is>
      </c>
      <c r="B434" t="inlineStr">
        <is>
          <t>samrådsanmälan</t>
        </is>
      </c>
      <c r="C434" t="inlineStr">
        <is>
          <t>Skogsgödsling</t>
        </is>
      </c>
      <c r="D434" s="1" t="n">
        <v>46070</v>
      </c>
      <c r="E434" s="1" t="n">
        <v>46222</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s="2" t="inlineStr"/>
    </row>
    <row r="435" ht="15" customHeight="1">
      <c r="A435" t="inlineStr">
        <is>
          <t>S 432-2025</t>
        </is>
      </c>
      <c r="B435" t="inlineStr">
        <is>
          <t>samrådsanmälan</t>
        </is>
      </c>
      <c r="C435" t="inlineStr">
        <is>
          <t>Skogsgödsling</t>
        </is>
      </c>
      <c r="D435" s="1" t="n">
        <v>45700</v>
      </c>
      <c r="E435" s="1" t="n">
        <v>46222</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s="2" t="inlineStr"/>
    </row>
    <row r="436" ht="15" customHeight="1">
      <c r="A436" t="inlineStr">
        <is>
          <t>S 1271-2026</t>
        </is>
      </c>
      <c r="B436" t="inlineStr">
        <is>
          <t>samrådsanmälan</t>
        </is>
      </c>
      <c r="C436" t="inlineStr">
        <is>
          <t>Askåterföring</t>
        </is>
      </c>
      <c r="D436" s="1" t="n">
        <v>46142</v>
      </c>
      <c r="E436" s="1" t="n">
        <v>46222</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s="2" t="inlineStr"/>
    </row>
    <row r="437" ht="15" customHeight="1">
      <c r="A437" t="inlineStr">
        <is>
          <t>S 1039-2026</t>
        </is>
      </c>
      <c r="B437" t="inlineStr">
        <is>
          <t>samrådsanmälan</t>
        </is>
      </c>
      <c r="C437" t="inlineStr">
        <is>
          <t>Askåterföring</t>
        </is>
      </c>
      <c r="D437" s="1" t="n">
        <v>46125</v>
      </c>
      <c r="E437" s="1" t="n">
        <v>46222</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s="2" t="inlineStr"/>
    </row>
    <row r="438">
      <c r="A438" t="inlineStr">
        <is>
          <t>S 3125-2025</t>
        </is>
      </c>
      <c r="B438" t="inlineStr">
        <is>
          <t>samrådsanmälan</t>
        </is>
      </c>
      <c r="C438" t="inlineStr">
        <is>
          <t>Annan skogsbruksåtgärd</t>
        </is>
      </c>
      <c r="D438" s="1" t="n">
        <v>45971</v>
      </c>
      <c r="E438" s="1" t="n">
        <v>46222</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2026-07-19T01:32:34Z</dcterms:created>
  <dcterms:modified xmlns:dcterms="http://purl.org/dc/terms/" xmlns:xsi="http://www.w3.org/2001/XMLSchema-instance" xsi:type="dcterms:W3CDTF">2026-07-19T01:32:34Z</dcterms:modified>
</cp:coreProperties>
</file>