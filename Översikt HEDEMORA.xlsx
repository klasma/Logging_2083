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46032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46032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46032</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46032</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46032</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60987-2025</t>
        </is>
      </c>
      <c r="B9" s="1" t="n">
        <v>45996</v>
      </c>
      <c r="C9" s="1" t="n">
        <v>46032</v>
      </c>
      <c r="D9" t="inlineStr">
        <is>
          <t>DALARNAS LÄN</t>
        </is>
      </c>
      <c r="E9" t="inlineStr">
        <is>
          <t>HEDEMORA</t>
        </is>
      </c>
      <c r="G9" t="n">
        <v>12.9</v>
      </c>
      <c r="H9" t="n">
        <v>5</v>
      </c>
      <c r="I9" t="n">
        <v>0</v>
      </c>
      <c r="J9" t="n">
        <v>5</v>
      </c>
      <c r="K9" t="n">
        <v>1</v>
      </c>
      <c r="L9" t="n">
        <v>0</v>
      </c>
      <c r="M9" t="n">
        <v>0</v>
      </c>
      <c r="N9" t="n">
        <v>0</v>
      </c>
      <c r="O9" t="n">
        <v>6</v>
      </c>
      <c r="P9" t="n">
        <v>1</v>
      </c>
      <c r="Q9" t="n">
        <v>10</v>
      </c>
      <c r="R9" s="2" t="inlineStr">
        <is>
          <t>Rynkskinn
Blågrå svartspik
Garnlav
Tallticka
Tretåig hackspett
Ullticka
Kungsfågel
Orre
Tjäder
Fläcknycklar</t>
        </is>
      </c>
      <c r="S9">
        <f>HYPERLINK("https://klasma.github.io/Logging_2083/artfynd/A 60987-2025 artfynd.xlsx", "A 60987-2025")</f>
        <v/>
      </c>
      <c r="T9">
        <f>HYPERLINK("https://klasma.github.io/Logging_2083/kartor/A 60987-2025 karta.png", "A 60987-2025")</f>
        <v/>
      </c>
      <c r="V9">
        <f>HYPERLINK("https://klasma.github.io/Logging_2083/klagomål/A 60987-2025 FSC-klagomål.docx", "A 60987-2025")</f>
        <v/>
      </c>
      <c r="W9">
        <f>HYPERLINK("https://klasma.github.io/Logging_2083/klagomålsmail/A 60987-2025 FSC-klagomål mail.docx", "A 60987-2025")</f>
        <v/>
      </c>
      <c r="X9">
        <f>HYPERLINK("https://klasma.github.io/Logging_2083/tillsyn/A 60987-2025 tillsynsbegäran.docx", "A 60987-2025")</f>
        <v/>
      </c>
      <c r="Y9">
        <f>HYPERLINK("https://klasma.github.io/Logging_2083/tillsynsmail/A 60987-2025 tillsynsbegäran mail.docx", "A 60987-2025")</f>
        <v/>
      </c>
      <c r="Z9">
        <f>HYPERLINK("https://klasma.github.io/Logging_2083/fåglar/A 60987-2025 prioriterade fågelarter.docx", "A 60987-2025")</f>
        <v/>
      </c>
    </row>
    <row r="10" ht="15" customHeight="1">
      <c r="A10" t="inlineStr">
        <is>
          <t>A 58943-2023</t>
        </is>
      </c>
      <c r="B10" s="1" t="n">
        <v>45250</v>
      </c>
      <c r="C10" s="1" t="n">
        <v>46032</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46032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46032</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45887.29802083333</v>
      </c>
      <c r="C13" s="1" t="n">
        <v>46032</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53820-2025</t>
        </is>
      </c>
      <c r="B14" s="1" t="n">
        <v>45961.32736111111</v>
      </c>
      <c r="C14" s="1" t="n">
        <v>46032</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46032</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49269-2024</t>
        </is>
      </c>
      <c r="B16" s="1" t="n">
        <v>45595.49747685185</v>
      </c>
      <c r="C16" s="1" t="n">
        <v>46032</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46032</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46032</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46032</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46032</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v>
      </c>
      <c r="C21" s="1" t="n">
        <v>46032</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46032</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46032</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46032</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46032</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46032</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46032</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46032</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46032</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46032</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46032</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43679-2025</t>
        </is>
      </c>
      <c r="B32" s="1" t="n">
        <v>45912.36710648148</v>
      </c>
      <c r="C32" s="1" t="n">
        <v>46032</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43681-2025</t>
        </is>
      </c>
      <c r="B33" s="1" t="n">
        <v>45912.37243055556</v>
      </c>
      <c r="C33" s="1" t="n">
        <v>46032</v>
      </c>
      <c r="D33" t="inlineStr">
        <is>
          <t>DALARNAS LÄN</t>
        </is>
      </c>
      <c r="E33" t="inlineStr">
        <is>
          <t>HEDEMORA</t>
        </is>
      </c>
      <c r="F33" t="inlineStr">
        <is>
          <t>Sveaskog</t>
        </is>
      </c>
      <c r="G33" t="n">
        <v>13.2</v>
      </c>
      <c r="H33" t="n">
        <v>2</v>
      </c>
      <c r="I33" t="n">
        <v>0</v>
      </c>
      <c r="J33" t="n">
        <v>0</v>
      </c>
      <c r="K33" t="n">
        <v>0</v>
      </c>
      <c r="L33" t="n">
        <v>0</v>
      </c>
      <c r="M33" t="n">
        <v>0</v>
      </c>
      <c r="N33" t="n">
        <v>0</v>
      </c>
      <c r="O33" t="n">
        <v>0</v>
      </c>
      <c r="P33" t="n">
        <v>0</v>
      </c>
      <c r="Q33" t="n">
        <v>2</v>
      </c>
      <c r="R33" s="2" t="inlineStr">
        <is>
          <t>Blåsippa
Revlummer</t>
        </is>
      </c>
      <c r="S33">
        <f>HYPERLINK("https://klasma.github.io/Logging_2083/artfynd/A 43681-2025 artfynd.xlsx", "A 43681-2025")</f>
        <v/>
      </c>
      <c r="T33">
        <f>HYPERLINK("https://klasma.github.io/Logging_2083/kartor/A 43681-2025 karta.png", "A 43681-2025")</f>
        <v/>
      </c>
      <c r="U33">
        <f>HYPERLINK("https://klasma.github.io/Logging_2083/knärot/A 43681-2025 karta knärot.png", "A 43681-2025")</f>
        <v/>
      </c>
      <c r="V33">
        <f>HYPERLINK("https://klasma.github.io/Logging_2083/klagomål/A 43681-2025 FSC-klagomål.docx", "A 43681-2025")</f>
        <v/>
      </c>
      <c r="W33">
        <f>HYPERLINK("https://klasma.github.io/Logging_2083/klagomålsmail/A 43681-2025 FSC-klagomål mail.docx", "A 43681-2025")</f>
        <v/>
      </c>
      <c r="X33">
        <f>HYPERLINK("https://klasma.github.io/Logging_2083/tillsyn/A 43681-2025 tillsynsbegäran.docx", "A 43681-2025")</f>
        <v/>
      </c>
      <c r="Y33">
        <f>HYPERLINK("https://klasma.github.io/Logging_2083/tillsynsmail/A 43681-2025 tillsynsbegäran mail.docx", "A 43681-2025")</f>
        <v/>
      </c>
    </row>
    <row r="34" ht="15" customHeight="1">
      <c r="A34" t="inlineStr">
        <is>
          <t>A 54849-2022</t>
        </is>
      </c>
      <c r="B34" s="1" t="n">
        <v>44883</v>
      </c>
      <c r="C34" s="1" t="n">
        <v>46032</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41332-2025</t>
        </is>
      </c>
      <c r="B35" s="1" t="n">
        <v>45899.35592592593</v>
      </c>
      <c r="C35" s="1" t="n">
        <v>46032</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3152-2022</t>
        </is>
      </c>
      <c r="B36" s="1" t="n">
        <v>44582</v>
      </c>
      <c r="C36" s="1" t="n">
        <v>46032</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19352-2024</t>
        </is>
      </c>
      <c r="B37" s="1" t="n">
        <v>45429.29493055555</v>
      </c>
      <c r="C37" s="1" t="n">
        <v>46032</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59035-2023</t>
        </is>
      </c>
      <c r="B38" s="1" t="n">
        <v>45252</v>
      </c>
      <c r="C38" s="1" t="n">
        <v>46032</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46032</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1518-2025</t>
        </is>
      </c>
      <c r="B40" s="1" t="n">
        <v>45670</v>
      </c>
      <c r="C40" s="1" t="n">
        <v>46032</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512-2026</t>
        </is>
      </c>
      <c r="B41" s="1" t="n">
        <v>46029.44150462963</v>
      </c>
      <c r="C41" s="1" t="n">
        <v>46032</v>
      </c>
      <c r="D41" t="inlineStr">
        <is>
          <t>DALARNAS LÄN</t>
        </is>
      </c>
      <c r="E41" t="inlineStr">
        <is>
          <t>HEDEMORA</t>
        </is>
      </c>
      <c r="G41" t="n">
        <v>42.3</v>
      </c>
      <c r="H41" t="n">
        <v>0</v>
      </c>
      <c r="I41" t="n">
        <v>1</v>
      </c>
      <c r="J41" t="n">
        <v>1</v>
      </c>
      <c r="K41" t="n">
        <v>0</v>
      </c>
      <c r="L41" t="n">
        <v>0</v>
      </c>
      <c r="M41" t="n">
        <v>0</v>
      </c>
      <c r="N41" t="n">
        <v>0</v>
      </c>
      <c r="O41" t="n">
        <v>1</v>
      </c>
      <c r="P41" t="n">
        <v>0</v>
      </c>
      <c r="Q41" t="n">
        <v>2</v>
      </c>
      <c r="R41" s="2" t="inlineStr">
        <is>
          <t>Reliktbock
Bronshjon</t>
        </is>
      </c>
      <c r="S41">
        <f>HYPERLINK("https://klasma.github.io/Logging_2083/artfynd/A 512-2026 artfynd.xlsx", "A 512-2026")</f>
        <v/>
      </c>
      <c r="T41">
        <f>HYPERLINK("https://klasma.github.io/Logging_2083/kartor/A 512-2026 karta.png", "A 512-2026")</f>
        <v/>
      </c>
      <c r="U41">
        <f>HYPERLINK("https://klasma.github.io/Logging_2083/knärot/A 512-2026 karta knärot.png", "A 512-2026")</f>
        <v/>
      </c>
      <c r="V41">
        <f>HYPERLINK("https://klasma.github.io/Logging_2083/klagomål/A 512-2026 FSC-klagomål.docx", "A 512-2026")</f>
        <v/>
      </c>
      <c r="W41">
        <f>HYPERLINK("https://klasma.github.io/Logging_2083/klagomålsmail/A 512-2026 FSC-klagomål mail.docx", "A 512-2026")</f>
        <v/>
      </c>
      <c r="X41">
        <f>HYPERLINK("https://klasma.github.io/Logging_2083/tillsyn/A 512-2026 tillsynsbegäran.docx", "A 512-2026")</f>
        <v/>
      </c>
      <c r="Y41">
        <f>HYPERLINK("https://klasma.github.io/Logging_2083/tillsynsmail/A 512-2026 tillsynsbegäran mail.docx", "A 512-2026")</f>
        <v/>
      </c>
    </row>
    <row r="42" ht="15" customHeight="1">
      <c r="A42" t="inlineStr">
        <is>
          <t>A 45884-2021</t>
        </is>
      </c>
      <c r="B42" s="1" t="n">
        <v>44441</v>
      </c>
      <c r="C42" s="1" t="n">
        <v>46032</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53915-2022</t>
        </is>
      </c>
      <c r="B43" s="1" t="n">
        <v>44880.87587962963</v>
      </c>
      <c r="C43" s="1" t="n">
        <v>46032</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46032</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53916-2022</t>
        </is>
      </c>
      <c r="B45" s="1" t="n">
        <v>44880.87695601852</v>
      </c>
      <c r="C45" s="1" t="n">
        <v>46032</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49889-2022</t>
        </is>
      </c>
      <c r="B46" s="1" t="n">
        <v>44864</v>
      </c>
      <c r="C46" s="1" t="n">
        <v>46032</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42614-2024</t>
        </is>
      </c>
      <c r="B47" s="1" t="n">
        <v>45565</v>
      </c>
      <c r="C47" s="1" t="n">
        <v>46032</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39396-2025</t>
        </is>
      </c>
      <c r="B48" s="1" t="n">
        <v>45889.63289351852</v>
      </c>
      <c r="C48" s="1" t="n">
        <v>46032</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23815-2023</t>
        </is>
      </c>
      <c r="B49" s="1" t="n">
        <v>45078</v>
      </c>
      <c r="C49" s="1" t="n">
        <v>46032</v>
      </c>
      <c r="D49" t="inlineStr">
        <is>
          <t>DALARNAS LÄN</t>
        </is>
      </c>
      <c r="E49" t="inlineStr">
        <is>
          <t>HEDEMORA</t>
        </is>
      </c>
      <c r="G49" t="n">
        <v>3.1</v>
      </c>
      <c r="H49" t="n">
        <v>1</v>
      </c>
      <c r="I49" t="n">
        <v>0</v>
      </c>
      <c r="J49" t="n">
        <v>0</v>
      </c>
      <c r="K49" t="n">
        <v>1</v>
      </c>
      <c r="L49" t="n">
        <v>0</v>
      </c>
      <c r="M49" t="n">
        <v>0</v>
      </c>
      <c r="N49" t="n">
        <v>0</v>
      </c>
      <c r="O49" t="n">
        <v>1</v>
      </c>
      <c r="P49" t="n">
        <v>1</v>
      </c>
      <c r="Q49" t="n">
        <v>1</v>
      </c>
      <c r="R49" s="2" t="inlineStr">
        <is>
          <t>Knärot</t>
        </is>
      </c>
      <c r="S49">
        <f>HYPERLINK("https://klasma.github.io/Logging_2083/artfynd/A 23815-2023 artfynd.xlsx", "A 23815-2023")</f>
        <v/>
      </c>
      <c r="T49">
        <f>HYPERLINK("https://klasma.github.io/Logging_2083/kartor/A 23815-2023 karta.png", "A 23815-2023")</f>
        <v/>
      </c>
      <c r="U49">
        <f>HYPERLINK("https://klasma.github.io/Logging_2083/knärot/A 23815-2023 karta knärot.png", "A 23815-2023")</f>
        <v/>
      </c>
      <c r="V49">
        <f>HYPERLINK("https://klasma.github.io/Logging_2083/klagomål/A 23815-2023 FSC-klagomål.docx", "A 23815-2023")</f>
        <v/>
      </c>
      <c r="W49">
        <f>HYPERLINK("https://klasma.github.io/Logging_2083/klagomålsmail/A 23815-2023 FSC-klagomål mail.docx", "A 23815-2023")</f>
        <v/>
      </c>
      <c r="X49">
        <f>HYPERLINK("https://klasma.github.io/Logging_2083/tillsyn/A 23815-2023 tillsynsbegäran.docx", "A 23815-2023")</f>
        <v/>
      </c>
      <c r="Y49">
        <f>HYPERLINK("https://klasma.github.io/Logging_2083/tillsynsmail/A 23815-2023 tillsynsbegäran mail.docx", "A 23815-2023")</f>
        <v/>
      </c>
    </row>
    <row r="50" ht="15" customHeight="1">
      <c r="A50" t="inlineStr">
        <is>
          <t>A 28181-2025</t>
        </is>
      </c>
      <c r="B50" s="1" t="n">
        <v>45818.39921296296</v>
      </c>
      <c r="C50" s="1" t="n">
        <v>46032</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46032</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46032</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48382-2025</t>
        </is>
      </c>
      <c r="B53" s="1" t="n">
        <v>45933.82043981482</v>
      </c>
      <c r="C53" s="1" t="n">
        <v>46032</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60017-2024</t>
        </is>
      </c>
      <c r="B54" s="1" t="n">
        <v>45642</v>
      </c>
      <c r="C54" s="1" t="n">
        <v>46032</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33968-2025</t>
        </is>
      </c>
      <c r="B55" s="1" t="n">
        <v>45842</v>
      </c>
      <c r="C55" s="1" t="n">
        <v>46032</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15058-2025</t>
        </is>
      </c>
      <c r="B56" s="1" t="n">
        <v>45743.70716435185</v>
      </c>
      <c r="C56" s="1" t="n">
        <v>46032</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19094-2025</t>
        </is>
      </c>
      <c r="B57" s="1" t="n">
        <v>45767.54942129629</v>
      </c>
      <c r="C57" s="1" t="n">
        <v>46032</v>
      </c>
      <c r="D57" t="inlineStr">
        <is>
          <t>DALARNAS LÄN</t>
        </is>
      </c>
      <c r="E57" t="inlineStr">
        <is>
          <t>HEDEMORA</t>
        </is>
      </c>
      <c r="F57" t="inlineStr">
        <is>
          <t>Sveaskog</t>
        </is>
      </c>
      <c r="G57" t="n">
        <v>16.9</v>
      </c>
      <c r="H57" t="n">
        <v>1</v>
      </c>
      <c r="I57" t="n">
        <v>1</v>
      </c>
      <c r="J57" t="n">
        <v>0</v>
      </c>
      <c r="K57" t="n">
        <v>0</v>
      </c>
      <c r="L57" t="n">
        <v>0</v>
      </c>
      <c r="M57" t="n">
        <v>0</v>
      </c>
      <c r="N57" t="n">
        <v>0</v>
      </c>
      <c r="O57" t="n">
        <v>0</v>
      </c>
      <c r="P57" t="n">
        <v>0</v>
      </c>
      <c r="Q57" t="n">
        <v>1</v>
      </c>
      <c r="R57" s="2" t="inlineStr">
        <is>
          <t>Plattlummer</t>
        </is>
      </c>
      <c r="S57">
        <f>HYPERLINK("https://klasma.github.io/Logging_2083/artfynd/A 19094-2025 artfynd.xlsx", "A 19094-2025")</f>
        <v/>
      </c>
      <c r="T57">
        <f>HYPERLINK("https://klasma.github.io/Logging_2083/kartor/A 19094-2025 karta.png", "A 19094-2025")</f>
        <v/>
      </c>
      <c r="V57">
        <f>HYPERLINK("https://klasma.github.io/Logging_2083/klagomål/A 19094-2025 FSC-klagomål.docx", "A 19094-2025")</f>
        <v/>
      </c>
      <c r="W57">
        <f>HYPERLINK("https://klasma.github.io/Logging_2083/klagomålsmail/A 19094-2025 FSC-klagomål mail.docx", "A 19094-2025")</f>
        <v/>
      </c>
      <c r="X57">
        <f>HYPERLINK("https://klasma.github.io/Logging_2083/tillsyn/A 19094-2025 tillsynsbegäran.docx", "A 19094-2025")</f>
        <v/>
      </c>
      <c r="Y57">
        <f>HYPERLINK("https://klasma.github.io/Logging_2083/tillsynsmail/A 19094-2025 tillsynsbegäran mail.docx", "A 19094-2025")</f>
        <v/>
      </c>
    </row>
    <row r="58" ht="15" customHeight="1">
      <c r="A58" t="inlineStr">
        <is>
          <t>A 45291-2025</t>
        </is>
      </c>
      <c r="B58" s="1" t="n">
        <v>45920.3734837963</v>
      </c>
      <c r="C58" s="1" t="n">
        <v>46032</v>
      </c>
      <c r="D58" t="inlineStr">
        <is>
          <t>DALARNAS LÄN</t>
        </is>
      </c>
      <c r="E58" t="inlineStr">
        <is>
          <t>HEDEMORA</t>
        </is>
      </c>
      <c r="F58" t="inlineStr">
        <is>
          <t>Sveaskog</t>
        </is>
      </c>
      <c r="G58" t="n">
        <v>1.2</v>
      </c>
      <c r="H58" t="n">
        <v>1</v>
      </c>
      <c r="I58" t="n">
        <v>1</v>
      </c>
      <c r="J58" t="n">
        <v>0</v>
      </c>
      <c r="K58" t="n">
        <v>0</v>
      </c>
      <c r="L58" t="n">
        <v>0</v>
      </c>
      <c r="M58" t="n">
        <v>0</v>
      </c>
      <c r="N58" t="n">
        <v>0</v>
      </c>
      <c r="O58" t="n">
        <v>0</v>
      </c>
      <c r="P58" t="n">
        <v>0</v>
      </c>
      <c r="Q58" t="n">
        <v>1</v>
      </c>
      <c r="R58" s="2" t="inlineStr">
        <is>
          <t>Plattlummer</t>
        </is>
      </c>
      <c r="S58">
        <f>HYPERLINK("https://klasma.github.io/Logging_2083/artfynd/A 45291-2025 artfynd.xlsx", "A 45291-2025")</f>
        <v/>
      </c>
      <c r="T58">
        <f>HYPERLINK("https://klasma.github.io/Logging_2083/kartor/A 45291-2025 karta.png", "A 45291-2025")</f>
        <v/>
      </c>
      <c r="V58">
        <f>HYPERLINK("https://klasma.github.io/Logging_2083/klagomål/A 45291-2025 FSC-klagomål.docx", "A 45291-2025")</f>
        <v/>
      </c>
      <c r="W58">
        <f>HYPERLINK("https://klasma.github.io/Logging_2083/klagomålsmail/A 45291-2025 FSC-klagomål mail.docx", "A 45291-2025")</f>
        <v/>
      </c>
      <c r="X58">
        <f>HYPERLINK("https://klasma.github.io/Logging_2083/tillsyn/A 45291-2025 tillsynsbegäran.docx", "A 45291-2025")</f>
        <v/>
      </c>
      <c r="Y58">
        <f>HYPERLINK("https://klasma.github.io/Logging_2083/tillsynsmail/A 45291-2025 tillsynsbegäran mail.docx", "A 45291-2025")</f>
        <v/>
      </c>
    </row>
    <row r="59" ht="15" customHeight="1">
      <c r="A59" t="inlineStr">
        <is>
          <t>A 12905-2025</t>
        </is>
      </c>
      <c r="B59" s="1" t="n">
        <v>45733</v>
      </c>
      <c r="C59" s="1" t="n">
        <v>46032</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12905-2025 artfynd.xlsx", "A 12905-2025")</f>
        <v/>
      </c>
      <c r="T59">
        <f>HYPERLINK("https://klasma.github.io/Logging_2083/kartor/A 12905-2025 karta.png", "A 12905-2025")</f>
        <v/>
      </c>
      <c r="U59">
        <f>HYPERLINK("https://klasma.github.io/Logging_2083/knärot/A 12905-2025 karta knärot.png", "A 12905-2025")</f>
        <v/>
      </c>
      <c r="V59">
        <f>HYPERLINK("https://klasma.github.io/Logging_2083/klagomål/A 12905-2025 FSC-klagomål.docx", "A 12905-2025")</f>
        <v/>
      </c>
      <c r="W59">
        <f>HYPERLINK("https://klasma.github.io/Logging_2083/klagomålsmail/A 12905-2025 FSC-klagomål mail.docx", "A 12905-2025")</f>
        <v/>
      </c>
      <c r="X59">
        <f>HYPERLINK("https://klasma.github.io/Logging_2083/tillsyn/A 12905-2025 tillsynsbegäran.docx", "A 12905-2025")</f>
        <v/>
      </c>
      <c r="Y59">
        <f>HYPERLINK("https://klasma.github.io/Logging_2083/tillsynsmail/A 12905-2025 tillsynsbegäran mail.docx", "A 12905-2025")</f>
        <v/>
      </c>
    </row>
    <row r="60" ht="15" customHeight="1">
      <c r="A60" t="inlineStr">
        <is>
          <t>A 63851-2025</t>
        </is>
      </c>
      <c r="B60" s="1" t="n">
        <v>46020.45883101852</v>
      </c>
      <c r="C60" s="1" t="n">
        <v>46032</v>
      </c>
      <c r="D60" t="inlineStr">
        <is>
          <t>DALARNAS LÄN</t>
        </is>
      </c>
      <c r="E60" t="inlineStr">
        <is>
          <t>HEDEMORA</t>
        </is>
      </c>
      <c r="G60" t="n">
        <v>9.800000000000001</v>
      </c>
      <c r="H60" t="n">
        <v>1</v>
      </c>
      <c r="I60" t="n">
        <v>0</v>
      </c>
      <c r="J60" t="n">
        <v>0</v>
      </c>
      <c r="K60" t="n">
        <v>1</v>
      </c>
      <c r="L60" t="n">
        <v>0</v>
      </c>
      <c r="M60" t="n">
        <v>0</v>
      </c>
      <c r="N60" t="n">
        <v>0</v>
      </c>
      <c r="O60" t="n">
        <v>1</v>
      </c>
      <c r="P60" t="n">
        <v>1</v>
      </c>
      <c r="Q60" t="n">
        <v>1</v>
      </c>
      <c r="R60" s="2" t="inlineStr">
        <is>
          <t>Knärot</t>
        </is>
      </c>
      <c r="S60">
        <f>HYPERLINK("https://klasma.github.io/Logging_2083/artfynd/A 63851-2025 artfynd.xlsx", "A 63851-2025")</f>
        <v/>
      </c>
      <c r="T60">
        <f>HYPERLINK("https://klasma.github.io/Logging_2083/kartor/A 63851-2025 karta.png", "A 63851-2025")</f>
        <v/>
      </c>
      <c r="U60">
        <f>HYPERLINK("https://klasma.github.io/Logging_2083/knärot/A 63851-2025 karta knärot.png", "A 63851-2025")</f>
        <v/>
      </c>
      <c r="V60">
        <f>HYPERLINK("https://klasma.github.io/Logging_2083/klagomål/A 63851-2025 FSC-klagomål.docx", "A 63851-2025")</f>
        <v/>
      </c>
      <c r="W60">
        <f>HYPERLINK("https://klasma.github.io/Logging_2083/klagomålsmail/A 63851-2025 FSC-klagomål mail.docx", "A 63851-2025")</f>
        <v/>
      </c>
      <c r="X60">
        <f>HYPERLINK("https://klasma.github.io/Logging_2083/tillsyn/A 63851-2025 tillsynsbegäran.docx", "A 63851-2025")</f>
        <v/>
      </c>
      <c r="Y60">
        <f>HYPERLINK("https://klasma.github.io/Logging_2083/tillsynsmail/A 63851-2025 tillsynsbegäran mail.docx", "A 63851-2025")</f>
        <v/>
      </c>
    </row>
    <row r="61" ht="15" customHeight="1">
      <c r="A61" t="inlineStr">
        <is>
          <t>A 13986-2023</t>
        </is>
      </c>
      <c r="B61" s="1" t="n">
        <v>45008</v>
      </c>
      <c r="C61" s="1" t="n">
        <v>46032</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63897-2025</t>
        </is>
      </c>
      <c r="B62" s="1" t="n">
        <v>46020</v>
      </c>
      <c r="C62" s="1" t="n">
        <v>46032</v>
      </c>
      <c r="D62" t="inlineStr">
        <is>
          <t>DALARNAS LÄN</t>
        </is>
      </c>
      <c r="E62" t="inlineStr">
        <is>
          <t>HEDEMORA</t>
        </is>
      </c>
      <c r="G62" t="n">
        <v>7.1</v>
      </c>
      <c r="H62" t="n">
        <v>1</v>
      </c>
      <c r="I62" t="n">
        <v>0</v>
      </c>
      <c r="J62" t="n">
        <v>0</v>
      </c>
      <c r="K62" t="n">
        <v>1</v>
      </c>
      <c r="L62" t="n">
        <v>0</v>
      </c>
      <c r="M62" t="n">
        <v>0</v>
      </c>
      <c r="N62" t="n">
        <v>0</v>
      </c>
      <c r="O62" t="n">
        <v>1</v>
      </c>
      <c r="P62" t="n">
        <v>1</v>
      </c>
      <c r="Q62" t="n">
        <v>1</v>
      </c>
      <c r="R62" s="2" t="inlineStr">
        <is>
          <t>Knärot</t>
        </is>
      </c>
      <c r="S62">
        <f>HYPERLINK("https://klasma.github.io/Logging_2083/artfynd/A 63897-2025 artfynd.xlsx", "A 63897-2025")</f>
        <v/>
      </c>
      <c r="T62">
        <f>HYPERLINK("https://klasma.github.io/Logging_2083/kartor/A 63897-2025 karta.png", "A 63897-2025")</f>
        <v/>
      </c>
      <c r="U62">
        <f>HYPERLINK("https://klasma.github.io/Logging_2083/knärot/A 63897-2025 karta knärot.png", "A 63897-2025")</f>
        <v/>
      </c>
      <c r="V62">
        <f>HYPERLINK("https://klasma.github.io/Logging_2083/klagomål/A 63897-2025 FSC-klagomål.docx", "A 63897-2025")</f>
        <v/>
      </c>
      <c r="W62">
        <f>HYPERLINK("https://klasma.github.io/Logging_2083/klagomålsmail/A 63897-2025 FSC-klagomål mail.docx", "A 63897-2025")</f>
        <v/>
      </c>
      <c r="X62">
        <f>HYPERLINK("https://klasma.github.io/Logging_2083/tillsyn/A 63897-2025 tillsynsbegäran.docx", "A 63897-2025")</f>
        <v/>
      </c>
      <c r="Y62">
        <f>HYPERLINK("https://klasma.github.io/Logging_2083/tillsynsmail/A 63897-2025 tillsynsbegäran mail.docx", "A 63897-2025")</f>
        <v/>
      </c>
    </row>
    <row r="63" ht="15" customHeight="1">
      <c r="A63" t="inlineStr">
        <is>
          <t>A 41333-2025</t>
        </is>
      </c>
      <c r="B63" s="1" t="n">
        <v>45899.35854166667</v>
      </c>
      <c r="C63" s="1" t="n">
        <v>46032</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63931-2025</t>
        </is>
      </c>
      <c r="B64" s="1" t="n">
        <v>46020</v>
      </c>
      <c r="C64" s="1" t="n">
        <v>46032</v>
      </c>
      <c r="D64" t="inlineStr">
        <is>
          <t>DALARNAS LÄN</t>
        </is>
      </c>
      <c r="E64" t="inlineStr">
        <is>
          <t>HEDEMORA</t>
        </is>
      </c>
      <c r="G64" t="n">
        <v>3.5</v>
      </c>
      <c r="H64" t="n">
        <v>1</v>
      </c>
      <c r="I64" t="n">
        <v>0</v>
      </c>
      <c r="J64" t="n">
        <v>0</v>
      </c>
      <c r="K64" t="n">
        <v>1</v>
      </c>
      <c r="L64" t="n">
        <v>0</v>
      </c>
      <c r="M64" t="n">
        <v>0</v>
      </c>
      <c r="N64" t="n">
        <v>0</v>
      </c>
      <c r="O64" t="n">
        <v>1</v>
      </c>
      <c r="P64" t="n">
        <v>1</v>
      </c>
      <c r="Q64" t="n">
        <v>1</v>
      </c>
      <c r="R64" s="2" t="inlineStr">
        <is>
          <t>Knärot</t>
        </is>
      </c>
      <c r="S64">
        <f>HYPERLINK("https://klasma.github.io/Logging_2083/artfynd/A 63931-2025 artfynd.xlsx", "A 63931-2025")</f>
        <v/>
      </c>
      <c r="T64">
        <f>HYPERLINK("https://klasma.github.io/Logging_2083/kartor/A 63931-2025 karta.png", "A 63931-2025")</f>
        <v/>
      </c>
      <c r="U64">
        <f>HYPERLINK("https://klasma.github.io/Logging_2083/knärot/A 63931-2025 karta knärot.png", "A 63931-2025")</f>
        <v/>
      </c>
      <c r="V64">
        <f>HYPERLINK("https://klasma.github.io/Logging_2083/klagomål/A 63931-2025 FSC-klagomål.docx", "A 63931-2025")</f>
        <v/>
      </c>
      <c r="W64">
        <f>HYPERLINK("https://klasma.github.io/Logging_2083/klagomålsmail/A 63931-2025 FSC-klagomål mail.docx", "A 63931-2025")</f>
        <v/>
      </c>
      <c r="X64">
        <f>HYPERLINK("https://klasma.github.io/Logging_2083/tillsyn/A 63931-2025 tillsynsbegäran.docx", "A 63931-2025")</f>
        <v/>
      </c>
      <c r="Y64">
        <f>HYPERLINK("https://klasma.github.io/Logging_2083/tillsynsmail/A 63931-2025 tillsynsbegäran mail.docx", "A 63931-2025")</f>
        <v/>
      </c>
    </row>
    <row r="65" ht="15" customHeight="1">
      <c r="A65" t="inlineStr">
        <is>
          <t>A 63899-2025</t>
        </is>
      </c>
      <c r="B65" s="1" t="n">
        <v>46020</v>
      </c>
      <c r="C65" s="1" t="n">
        <v>46032</v>
      </c>
      <c r="D65" t="inlineStr">
        <is>
          <t>DALARNAS LÄN</t>
        </is>
      </c>
      <c r="E65" t="inlineStr">
        <is>
          <t>HEDEMORA</t>
        </is>
      </c>
      <c r="G65" t="n">
        <v>6.5</v>
      </c>
      <c r="H65" t="n">
        <v>1</v>
      </c>
      <c r="I65" t="n">
        <v>0</v>
      </c>
      <c r="J65" t="n">
        <v>0</v>
      </c>
      <c r="K65" t="n">
        <v>1</v>
      </c>
      <c r="L65" t="n">
        <v>0</v>
      </c>
      <c r="M65" t="n">
        <v>0</v>
      </c>
      <c r="N65" t="n">
        <v>0</v>
      </c>
      <c r="O65" t="n">
        <v>1</v>
      </c>
      <c r="P65" t="n">
        <v>1</v>
      </c>
      <c r="Q65" t="n">
        <v>1</v>
      </c>
      <c r="R65" s="2" t="inlineStr">
        <is>
          <t>Knärot</t>
        </is>
      </c>
      <c r="S65">
        <f>HYPERLINK("https://klasma.github.io/Logging_2083/artfynd/A 63899-2025 artfynd.xlsx", "A 63899-2025")</f>
        <v/>
      </c>
      <c r="T65">
        <f>HYPERLINK("https://klasma.github.io/Logging_2083/kartor/A 63899-2025 karta.png", "A 63899-2025")</f>
        <v/>
      </c>
      <c r="U65">
        <f>HYPERLINK("https://klasma.github.io/Logging_2083/knärot/A 63899-2025 karta knärot.png", "A 63899-2025")</f>
        <v/>
      </c>
      <c r="V65">
        <f>HYPERLINK("https://klasma.github.io/Logging_2083/klagomål/A 63899-2025 FSC-klagomål.docx", "A 63899-2025")</f>
        <v/>
      </c>
      <c r="W65">
        <f>HYPERLINK("https://klasma.github.io/Logging_2083/klagomålsmail/A 63899-2025 FSC-klagomål mail.docx", "A 63899-2025")</f>
        <v/>
      </c>
      <c r="X65">
        <f>HYPERLINK("https://klasma.github.io/Logging_2083/tillsyn/A 63899-2025 tillsynsbegäran.docx", "A 63899-2025")</f>
        <v/>
      </c>
      <c r="Y65">
        <f>HYPERLINK("https://klasma.github.io/Logging_2083/tillsynsmail/A 63899-2025 tillsynsbegäran mail.docx", "A 63899-2025")</f>
        <v/>
      </c>
    </row>
    <row r="66" ht="15" customHeight="1">
      <c r="A66" t="inlineStr">
        <is>
          <t>A 41477-2023</t>
        </is>
      </c>
      <c r="B66" s="1" t="n">
        <v>45171</v>
      </c>
      <c r="C66" s="1" t="n">
        <v>46032</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51111-2021</t>
        </is>
      </c>
      <c r="B67" s="1" t="n">
        <v>44461</v>
      </c>
      <c r="C67" s="1" t="n">
        <v>46032</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63542-2023</t>
        </is>
      </c>
      <c r="B68" s="1" t="n">
        <v>45275.32708333333</v>
      </c>
      <c r="C68" s="1" t="n">
        <v>46032</v>
      </c>
      <c r="D68" t="inlineStr">
        <is>
          <t>DALARNAS LÄN</t>
        </is>
      </c>
      <c r="E68" t="inlineStr">
        <is>
          <t>HEDEMORA</t>
        </is>
      </c>
      <c r="G68" t="n">
        <v>2.1</v>
      </c>
      <c r="H68" t="n">
        <v>1</v>
      </c>
      <c r="I68" t="n">
        <v>0</v>
      </c>
      <c r="J68" t="n">
        <v>1</v>
      </c>
      <c r="K68" t="n">
        <v>0</v>
      </c>
      <c r="L68" t="n">
        <v>0</v>
      </c>
      <c r="M68" t="n">
        <v>0</v>
      </c>
      <c r="N68" t="n">
        <v>0</v>
      </c>
      <c r="O68" t="n">
        <v>1</v>
      </c>
      <c r="P68" t="n">
        <v>0</v>
      </c>
      <c r="Q68" t="n">
        <v>1</v>
      </c>
      <c r="R68" s="2" t="inlineStr">
        <is>
          <t>Spillkråka</t>
        </is>
      </c>
      <c r="S68">
        <f>HYPERLINK("https://klasma.github.io/Logging_2083/artfynd/A 63542-2023 artfynd.xlsx", "A 63542-2023")</f>
        <v/>
      </c>
      <c r="T68">
        <f>HYPERLINK("https://klasma.github.io/Logging_2083/kartor/A 63542-2023 karta.png", "A 63542-2023")</f>
        <v/>
      </c>
      <c r="V68">
        <f>HYPERLINK("https://klasma.github.io/Logging_2083/klagomål/A 63542-2023 FSC-klagomål.docx", "A 63542-2023")</f>
        <v/>
      </c>
      <c r="W68">
        <f>HYPERLINK("https://klasma.github.io/Logging_2083/klagomålsmail/A 63542-2023 FSC-klagomål mail.docx", "A 63542-2023")</f>
        <v/>
      </c>
      <c r="X68">
        <f>HYPERLINK("https://klasma.github.io/Logging_2083/tillsyn/A 63542-2023 tillsynsbegäran.docx", "A 63542-2023")</f>
        <v/>
      </c>
      <c r="Y68">
        <f>HYPERLINK("https://klasma.github.io/Logging_2083/tillsynsmail/A 63542-2023 tillsynsbegäran mail.docx", "A 63542-2023")</f>
        <v/>
      </c>
      <c r="Z68">
        <f>HYPERLINK("https://klasma.github.io/Logging_2083/fåglar/A 63542-2023 prioriterade fågelarter.docx", "A 63542-2023")</f>
        <v/>
      </c>
    </row>
    <row r="69" ht="15" customHeight="1">
      <c r="A69" t="inlineStr">
        <is>
          <t>A 52941-2024</t>
        </is>
      </c>
      <c r="B69" s="1" t="n">
        <v>45610.80650462963</v>
      </c>
      <c r="C69" s="1" t="n">
        <v>46032</v>
      </c>
      <c r="D69" t="inlineStr">
        <is>
          <t>DALARNAS LÄN</t>
        </is>
      </c>
      <c r="E69" t="inlineStr">
        <is>
          <t>HEDEMORA</t>
        </is>
      </c>
      <c r="F69" t="inlineStr">
        <is>
          <t>Sveaskog</t>
        </is>
      </c>
      <c r="G69" t="n">
        <v>18.3</v>
      </c>
      <c r="H69" t="n">
        <v>1</v>
      </c>
      <c r="I69" t="n">
        <v>0</v>
      </c>
      <c r="J69" t="n">
        <v>0</v>
      </c>
      <c r="K69" t="n">
        <v>1</v>
      </c>
      <c r="L69" t="n">
        <v>0</v>
      </c>
      <c r="M69" t="n">
        <v>0</v>
      </c>
      <c r="N69" t="n">
        <v>0</v>
      </c>
      <c r="O69" t="n">
        <v>1</v>
      </c>
      <c r="P69" t="n">
        <v>1</v>
      </c>
      <c r="Q69" t="n">
        <v>1</v>
      </c>
      <c r="R69" s="2" t="inlineStr">
        <is>
          <t>Knärot</t>
        </is>
      </c>
      <c r="S69">
        <f>HYPERLINK("https://klasma.github.io/Logging_2083/artfynd/A 52941-2024 artfynd.xlsx", "A 52941-2024")</f>
        <v/>
      </c>
      <c r="T69">
        <f>HYPERLINK("https://klasma.github.io/Logging_2083/kartor/A 52941-2024 karta.png", "A 52941-2024")</f>
        <v/>
      </c>
      <c r="U69">
        <f>HYPERLINK("https://klasma.github.io/Logging_2083/knärot/A 52941-2024 karta knärot.png", "A 52941-2024")</f>
        <v/>
      </c>
      <c r="V69">
        <f>HYPERLINK("https://klasma.github.io/Logging_2083/klagomål/A 52941-2024 FSC-klagomål.docx", "A 52941-2024")</f>
        <v/>
      </c>
      <c r="W69">
        <f>HYPERLINK("https://klasma.github.io/Logging_2083/klagomålsmail/A 52941-2024 FSC-klagomål mail.docx", "A 52941-2024")</f>
        <v/>
      </c>
      <c r="X69">
        <f>HYPERLINK("https://klasma.github.io/Logging_2083/tillsyn/A 52941-2024 tillsynsbegäran.docx", "A 52941-2024")</f>
        <v/>
      </c>
      <c r="Y69">
        <f>HYPERLINK("https://klasma.github.io/Logging_2083/tillsynsmail/A 52941-2024 tillsynsbegäran mail.docx", "A 52941-2024")</f>
        <v/>
      </c>
    </row>
    <row r="70" ht="15" customHeight="1">
      <c r="A70" t="inlineStr">
        <is>
          <t>A 53031-2023</t>
        </is>
      </c>
      <c r="B70" s="1" t="n">
        <v>45226</v>
      </c>
      <c r="C70" s="1" t="n">
        <v>46032</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53924-2024</t>
        </is>
      </c>
      <c r="B71" s="1" t="n">
        <v>45615</v>
      </c>
      <c r="C71" s="1" t="n">
        <v>46032</v>
      </c>
      <c r="D71" t="inlineStr">
        <is>
          <t>DALARNAS LÄN</t>
        </is>
      </c>
      <c r="E71" t="inlineStr">
        <is>
          <t>HEDEMORA</t>
        </is>
      </c>
      <c r="F71" t="inlineStr">
        <is>
          <t>Sveaskog</t>
        </is>
      </c>
      <c r="G71" t="n">
        <v>3.8</v>
      </c>
      <c r="H71" t="n">
        <v>1</v>
      </c>
      <c r="I71" t="n">
        <v>1</v>
      </c>
      <c r="J71" t="n">
        <v>0</v>
      </c>
      <c r="K71" t="n">
        <v>0</v>
      </c>
      <c r="L71" t="n">
        <v>0</v>
      </c>
      <c r="M71" t="n">
        <v>0</v>
      </c>
      <c r="N71" t="n">
        <v>0</v>
      </c>
      <c r="O71" t="n">
        <v>0</v>
      </c>
      <c r="P71" t="n">
        <v>0</v>
      </c>
      <c r="Q71" t="n">
        <v>1</v>
      </c>
      <c r="R71" s="2" t="inlineStr">
        <is>
          <t>Plattlummer</t>
        </is>
      </c>
      <c r="S71">
        <f>HYPERLINK("https://klasma.github.io/Logging_2083/artfynd/A 53924-2024 artfynd.xlsx", "A 53924-2024")</f>
        <v/>
      </c>
      <c r="T71">
        <f>HYPERLINK("https://klasma.github.io/Logging_2083/kartor/A 53924-2024 karta.png", "A 53924-2024")</f>
        <v/>
      </c>
      <c r="V71">
        <f>HYPERLINK("https://klasma.github.io/Logging_2083/klagomål/A 53924-2024 FSC-klagomål.docx", "A 53924-2024")</f>
        <v/>
      </c>
      <c r="W71">
        <f>HYPERLINK("https://klasma.github.io/Logging_2083/klagomålsmail/A 53924-2024 FSC-klagomål mail.docx", "A 53924-2024")</f>
        <v/>
      </c>
      <c r="X71">
        <f>HYPERLINK("https://klasma.github.io/Logging_2083/tillsyn/A 53924-2024 tillsynsbegäran.docx", "A 53924-2024")</f>
        <v/>
      </c>
      <c r="Y71">
        <f>HYPERLINK("https://klasma.github.io/Logging_2083/tillsynsmail/A 53924-2024 tillsynsbegäran mail.docx", "A 53924-2024")</f>
        <v/>
      </c>
    </row>
    <row r="72" ht="15" customHeight="1">
      <c r="A72" t="inlineStr">
        <is>
          <t>A 17590-2025</t>
        </is>
      </c>
      <c r="B72" s="1" t="n">
        <v>45757.69396990741</v>
      </c>
      <c r="C72" s="1" t="n">
        <v>46032</v>
      </c>
      <c r="D72" t="inlineStr">
        <is>
          <t>DALARNAS LÄN</t>
        </is>
      </c>
      <c r="E72" t="inlineStr">
        <is>
          <t>HEDEMORA</t>
        </is>
      </c>
      <c r="G72" t="n">
        <v>0.6</v>
      </c>
      <c r="H72" t="n">
        <v>0</v>
      </c>
      <c r="I72" t="n">
        <v>0</v>
      </c>
      <c r="J72" t="n">
        <v>1</v>
      </c>
      <c r="K72" t="n">
        <v>0</v>
      </c>
      <c r="L72" t="n">
        <v>0</v>
      </c>
      <c r="M72" t="n">
        <v>0</v>
      </c>
      <c r="N72" t="n">
        <v>0</v>
      </c>
      <c r="O72" t="n">
        <v>1</v>
      </c>
      <c r="P72" t="n">
        <v>0</v>
      </c>
      <c r="Q72" t="n">
        <v>1</v>
      </c>
      <c r="R72" s="2" t="inlineStr">
        <is>
          <t>Garnlav</t>
        </is>
      </c>
      <c r="S72">
        <f>HYPERLINK("https://klasma.github.io/Logging_2083/artfynd/A 17590-2025 artfynd.xlsx", "A 17590-2025")</f>
        <v/>
      </c>
      <c r="T72">
        <f>HYPERLINK("https://klasma.github.io/Logging_2083/kartor/A 17590-2025 karta.png", "A 17590-2025")</f>
        <v/>
      </c>
      <c r="V72">
        <f>HYPERLINK("https://klasma.github.io/Logging_2083/klagomål/A 17590-2025 FSC-klagomål.docx", "A 17590-2025")</f>
        <v/>
      </c>
      <c r="W72">
        <f>HYPERLINK("https://klasma.github.io/Logging_2083/klagomålsmail/A 17590-2025 FSC-klagomål mail.docx", "A 17590-2025")</f>
        <v/>
      </c>
      <c r="X72">
        <f>HYPERLINK("https://klasma.github.io/Logging_2083/tillsyn/A 17590-2025 tillsynsbegäran.docx", "A 17590-2025")</f>
        <v/>
      </c>
      <c r="Y72">
        <f>HYPERLINK("https://klasma.github.io/Logging_2083/tillsynsmail/A 17590-2025 tillsynsbegäran mail.docx", "A 17590-2025")</f>
        <v/>
      </c>
    </row>
    <row r="73" ht="15" customHeight="1">
      <c r="A73" t="inlineStr">
        <is>
          <t>A 15125-2021</t>
        </is>
      </c>
      <c r="B73" s="1" t="n">
        <v>44283</v>
      </c>
      <c r="C73" s="1" t="n">
        <v>46032</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67288-2021</t>
        </is>
      </c>
      <c r="B74" s="1" t="n">
        <v>44523.61842592592</v>
      </c>
      <c r="C74" s="1" t="n">
        <v>46032</v>
      </c>
      <c r="D74" t="inlineStr">
        <is>
          <t>DALARNAS LÄN</t>
        </is>
      </c>
      <c r="E74" t="inlineStr">
        <is>
          <t>HEDEMORA</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295-2022</t>
        </is>
      </c>
      <c r="B75" s="1" t="n">
        <v>44565</v>
      </c>
      <c r="C75" s="1" t="n">
        <v>46032</v>
      </c>
      <c r="D75" t="inlineStr">
        <is>
          <t>DALARNAS LÄN</t>
        </is>
      </c>
      <c r="E75" t="inlineStr">
        <is>
          <t>HEDEMORA</t>
        </is>
      </c>
      <c r="G75" t="n">
        <v>0.5</v>
      </c>
      <c r="H75" t="n">
        <v>0</v>
      </c>
      <c r="I75" t="n">
        <v>0</v>
      </c>
      <c r="J75" t="n">
        <v>0</v>
      </c>
      <c r="K75" t="n">
        <v>0</v>
      </c>
      <c r="L75" t="n">
        <v>0</v>
      </c>
      <c r="M75" t="n">
        <v>0</v>
      </c>
      <c r="N75" t="n">
        <v>0</v>
      </c>
      <c r="O75" t="n">
        <v>0</v>
      </c>
      <c r="P75" t="n">
        <v>0</v>
      </c>
      <c r="Q75" t="n">
        <v>0</v>
      </c>
      <c r="R75" s="2" t="inlineStr"/>
    </row>
    <row r="76" ht="15" customHeight="1">
      <c r="A76" t="inlineStr">
        <is>
          <t>A 32748-2022</t>
        </is>
      </c>
      <c r="B76" s="1" t="n">
        <v>44783.71745370371</v>
      </c>
      <c r="C76" s="1" t="n">
        <v>46032</v>
      </c>
      <c r="D76" t="inlineStr">
        <is>
          <t>DALARNAS LÄN</t>
        </is>
      </c>
      <c r="E76" t="inlineStr">
        <is>
          <t>HEDEMORA</t>
        </is>
      </c>
      <c r="G76" t="n">
        <v>1</v>
      </c>
      <c r="H76" t="n">
        <v>0</v>
      </c>
      <c r="I76" t="n">
        <v>0</v>
      </c>
      <c r="J76" t="n">
        <v>0</v>
      </c>
      <c r="K76" t="n">
        <v>0</v>
      </c>
      <c r="L76" t="n">
        <v>0</v>
      </c>
      <c r="M76" t="n">
        <v>0</v>
      </c>
      <c r="N76" t="n">
        <v>0</v>
      </c>
      <c r="O76" t="n">
        <v>0</v>
      </c>
      <c r="P76" t="n">
        <v>0</v>
      </c>
      <c r="Q76" t="n">
        <v>0</v>
      </c>
      <c r="R76" s="2" t="inlineStr"/>
    </row>
    <row r="77" ht="15" customHeight="1">
      <c r="A77" t="inlineStr">
        <is>
          <t>A 55195-2021</t>
        </is>
      </c>
      <c r="B77" s="1" t="n">
        <v>44475.35819444444</v>
      </c>
      <c r="C77" s="1" t="n">
        <v>46032</v>
      </c>
      <c r="D77" t="inlineStr">
        <is>
          <t>DALARNAS LÄN</t>
        </is>
      </c>
      <c r="E77" t="inlineStr">
        <is>
          <t>HEDEMORA</t>
        </is>
      </c>
      <c r="G77" t="n">
        <v>0.9</v>
      </c>
      <c r="H77" t="n">
        <v>0</v>
      </c>
      <c r="I77" t="n">
        <v>0</v>
      </c>
      <c r="J77" t="n">
        <v>0</v>
      </c>
      <c r="K77" t="n">
        <v>0</v>
      </c>
      <c r="L77" t="n">
        <v>0</v>
      </c>
      <c r="M77" t="n">
        <v>0</v>
      </c>
      <c r="N77" t="n">
        <v>0</v>
      </c>
      <c r="O77" t="n">
        <v>0</v>
      </c>
      <c r="P77" t="n">
        <v>0</v>
      </c>
      <c r="Q77" t="n">
        <v>0</v>
      </c>
      <c r="R77" s="2" t="inlineStr"/>
    </row>
    <row r="78" ht="15" customHeight="1">
      <c r="A78" t="inlineStr">
        <is>
          <t>A 20353-2021</t>
        </is>
      </c>
      <c r="B78" s="1" t="n">
        <v>44315.4233912037</v>
      </c>
      <c r="C78" s="1" t="n">
        <v>46032</v>
      </c>
      <c r="D78" t="inlineStr">
        <is>
          <t>DALARNAS LÄN</t>
        </is>
      </c>
      <c r="E78" t="inlineStr">
        <is>
          <t>HEDEMORA</t>
        </is>
      </c>
      <c r="G78" t="n">
        <v>0.5</v>
      </c>
      <c r="H78" t="n">
        <v>0</v>
      </c>
      <c r="I78" t="n">
        <v>0</v>
      </c>
      <c r="J78" t="n">
        <v>0</v>
      </c>
      <c r="K78" t="n">
        <v>0</v>
      </c>
      <c r="L78" t="n">
        <v>0</v>
      </c>
      <c r="M78" t="n">
        <v>0</v>
      </c>
      <c r="N78" t="n">
        <v>0</v>
      </c>
      <c r="O78" t="n">
        <v>0</v>
      </c>
      <c r="P78" t="n">
        <v>0</v>
      </c>
      <c r="Q78" t="n">
        <v>0</v>
      </c>
      <c r="R78" s="2" t="inlineStr"/>
    </row>
    <row r="79" ht="15" customHeight="1">
      <c r="A79" t="inlineStr">
        <is>
          <t>A 52221-2021</t>
        </is>
      </c>
      <c r="B79" s="1" t="n">
        <v>44462</v>
      </c>
      <c r="C79" s="1" t="n">
        <v>46032</v>
      </c>
      <c r="D79" t="inlineStr">
        <is>
          <t>DALARNAS LÄN</t>
        </is>
      </c>
      <c r="E79" t="inlineStr">
        <is>
          <t>HEDEMORA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45741-2022</t>
        </is>
      </c>
      <c r="B80" s="1" t="n">
        <v>44846.33142361111</v>
      </c>
      <c r="C80" s="1" t="n">
        <v>46032</v>
      </c>
      <c r="D80" t="inlineStr">
        <is>
          <t>DALARNAS LÄN</t>
        </is>
      </c>
      <c r="E80" t="inlineStr">
        <is>
          <t>HEDEMORA</t>
        </is>
      </c>
      <c r="F80" t="inlineStr">
        <is>
          <t>Sveaskog</t>
        </is>
      </c>
      <c r="G80" t="n">
        <v>2.8</v>
      </c>
      <c r="H80" t="n">
        <v>0</v>
      </c>
      <c r="I80" t="n">
        <v>0</v>
      </c>
      <c r="J80" t="n">
        <v>0</v>
      </c>
      <c r="K80" t="n">
        <v>0</v>
      </c>
      <c r="L80" t="n">
        <v>0</v>
      </c>
      <c r="M80" t="n">
        <v>0</v>
      </c>
      <c r="N80" t="n">
        <v>0</v>
      </c>
      <c r="O80" t="n">
        <v>0</v>
      </c>
      <c r="P80" t="n">
        <v>0</v>
      </c>
      <c r="Q80" t="n">
        <v>0</v>
      </c>
      <c r="R80" s="2" t="inlineStr"/>
    </row>
    <row r="81" ht="15" customHeight="1">
      <c r="A81" t="inlineStr">
        <is>
          <t>A 54198-2022</t>
        </is>
      </c>
      <c r="B81" s="1" t="n">
        <v>44881.69982638889</v>
      </c>
      <c r="C81" s="1" t="n">
        <v>46032</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46032</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52425-2021</t>
        </is>
      </c>
      <c r="B83" s="1" t="n">
        <v>44466.33798611111</v>
      </c>
      <c r="C83" s="1" t="n">
        <v>46032</v>
      </c>
      <c r="D83" t="inlineStr">
        <is>
          <t>DALARNAS LÄN</t>
        </is>
      </c>
      <c r="E83" t="inlineStr">
        <is>
          <t>HEDEMORA</t>
        </is>
      </c>
      <c r="G83" t="n">
        <v>2.3</v>
      </c>
      <c r="H83" t="n">
        <v>0</v>
      </c>
      <c r="I83" t="n">
        <v>0</v>
      </c>
      <c r="J83" t="n">
        <v>0</v>
      </c>
      <c r="K83" t="n">
        <v>0</v>
      </c>
      <c r="L83" t="n">
        <v>0</v>
      </c>
      <c r="M83" t="n">
        <v>0</v>
      </c>
      <c r="N83" t="n">
        <v>0</v>
      </c>
      <c r="O83" t="n">
        <v>0</v>
      </c>
      <c r="P83" t="n">
        <v>0</v>
      </c>
      <c r="Q83" t="n">
        <v>0</v>
      </c>
      <c r="R83" s="2" t="inlineStr"/>
    </row>
    <row r="84" ht="15" customHeight="1">
      <c r="A84" t="inlineStr">
        <is>
          <t>A 15290-2021</t>
        </is>
      </c>
      <c r="B84" s="1" t="n">
        <v>44284.59565972222</v>
      </c>
      <c r="C84" s="1" t="n">
        <v>46032</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20177-2022</t>
        </is>
      </c>
      <c r="B85" s="1" t="n">
        <v>44698.52960648148</v>
      </c>
      <c r="C85" s="1" t="n">
        <v>46032</v>
      </c>
      <c r="D85" t="inlineStr">
        <is>
          <t>DALARNAS LÄN</t>
        </is>
      </c>
      <c r="E85" t="inlineStr">
        <is>
          <t>HEDEMORA</t>
        </is>
      </c>
      <c r="G85" t="n">
        <v>3.9</v>
      </c>
      <c r="H85" t="n">
        <v>0</v>
      </c>
      <c r="I85" t="n">
        <v>0</v>
      </c>
      <c r="J85" t="n">
        <v>0</v>
      </c>
      <c r="K85" t="n">
        <v>0</v>
      </c>
      <c r="L85" t="n">
        <v>0</v>
      </c>
      <c r="M85" t="n">
        <v>0</v>
      </c>
      <c r="N85" t="n">
        <v>0</v>
      </c>
      <c r="O85" t="n">
        <v>0</v>
      </c>
      <c r="P85" t="n">
        <v>0</v>
      </c>
      <c r="Q85" t="n">
        <v>0</v>
      </c>
      <c r="R85" s="2" t="inlineStr"/>
    </row>
    <row r="86" ht="15" customHeight="1">
      <c r="A86" t="inlineStr">
        <is>
          <t>A 51167-2022</t>
        </is>
      </c>
      <c r="B86" s="1" t="n">
        <v>44868.54824074074</v>
      </c>
      <c r="C86" s="1" t="n">
        <v>46032</v>
      </c>
      <c r="D86" t="inlineStr">
        <is>
          <t>DALARNAS LÄN</t>
        </is>
      </c>
      <c r="E86" t="inlineStr">
        <is>
          <t>HEDEMORA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68457-2021</t>
        </is>
      </c>
      <c r="B87" s="1" t="n">
        <v>44529</v>
      </c>
      <c r="C87" s="1" t="n">
        <v>46032</v>
      </c>
      <c r="D87" t="inlineStr">
        <is>
          <t>DALARNAS LÄN</t>
        </is>
      </c>
      <c r="E87" t="inlineStr">
        <is>
          <t>HEDEMORA</t>
        </is>
      </c>
      <c r="G87" t="n">
        <v>1.9</v>
      </c>
      <c r="H87" t="n">
        <v>0</v>
      </c>
      <c r="I87" t="n">
        <v>0</v>
      </c>
      <c r="J87" t="n">
        <v>0</v>
      </c>
      <c r="K87" t="n">
        <v>0</v>
      </c>
      <c r="L87" t="n">
        <v>0</v>
      </c>
      <c r="M87" t="n">
        <v>0</v>
      </c>
      <c r="N87" t="n">
        <v>0</v>
      </c>
      <c r="O87" t="n">
        <v>0</v>
      </c>
      <c r="P87" t="n">
        <v>0</v>
      </c>
      <c r="Q87" t="n">
        <v>0</v>
      </c>
      <c r="R87" s="2" t="inlineStr"/>
    </row>
    <row r="88" ht="15" customHeight="1">
      <c r="A88" t="inlineStr">
        <is>
          <t>A 4030-2022</t>
        </is>
      </c>
      <c r="B88" s="1" t="n">
        <v>44588</v>
      </c>
      <c r="C88" s="1" t="n">
        <v>46032</v>
      </c>
      <c r="D88" t="inlineStr">
        <is>
          <t>DALARNAS LÄN</t>
        </is>
      </c>
      <c r="E88" t="inlineStr">
        <is>
          <t>HEDEMORA</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1916-2021</t>
        </is>
      </c>
      <c r="B89" s="1" t="n">
        <v>44210</v>
      </c>
      <c r="C89" s="1" t="n">
        <v>46032</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51181-2022</t>
        </is>
      </c>
      <c r="B90" s="1" t="n">
        <v>44868.5756712963</v>
      </c>
      <c r="C90" s="1" t="n">
        <v>46032</v>
      </c>
      <c r="D90" t="inlineStr">
        <is>
          <t>DALARNAS LÄN</t>
        </is>
      </c>
      <c r="E90" t="inlineStr">
        <is>
          <t>HEDEMORA</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39506-2022</t>
        </is>
      </c>
      <c r="B91" s="1" t="n">
        <v>44817</v>
      </c>
      <c r="C91" s="1" t="n">
        <v>46032</v>
      </c>
      <c r="D91" t="inlineStr">
        <is>
          <t>DALARNAS LÄN</t>
        </is>
      </c>
      <c r="E91" t="inlineStr">
        <is>
          <t>HEDEMORA</t>
        </is>
      </c>
      <c r="F91" t="inlineStr">
        <is>
          <t>Bergvik skog väst AB</t>
        </is>
      </c>
      <c r="G91" t="n">
        <v>1.4</v>
      </c>
      <c r="H91" t="n">
        <v>0</v>
      </c>
      <c r="I91" t="n">
        <v>0</v>
      </c>
      <c r="J91" t="n">
        <v>0</v>
      </c>
      <c r="K91" t="n">
        <v>0</v>
      </c>
      <c r="L91" t="n">
        <v>0</v>
      </c>
      <c r="M91" t="n">
        <v>0</v>
      </c>
      <c r="N91" t="n">
        <v>0</v>
      </c>
      <c r="O91" t="n">
        <v>0</v>
      </c>
      <c r="P91" t="n">
        <v>0</v>
      </c>
      <c r="Q91" t="n">
        <v>0</v>
      </c>
      <c r="R91" s="2" t="inlineStr"/>
    </row>
    <row r="92" ht="15" customHeight="1">
      <c r="A92" t="inlineStr">
        <is>
          <t>A 46235-2021</t>
        </is>
      </c>
      <c r="B92" s="1" t="n">
        <v>44442</v>
      </c>
      <c r="C92" s="1" t="n">
        <v>46032</v>
      </c>
      <c r="D92" t="inlineStr">
        <is>
          <t>DALARNAS LÄN</t>
        </is>
      </c>
      <c r="E92" t="inlineStr">
        <is>
          <t>HEDEMORA</t>
        </is>
      </c>
      <c r="G92" t="n">
        <v>2.5</v>
      </c>
      <c r="H92" t="n">
        <v>0</v>
      </c>
      <c r="I92" t="n">
        <v>0</v>
      </c>
      <c r="J92" t="n">
        <v>0</v>
      </c>
      <c r="K92" t="n">
        <v>0</v>
      </c>
      <c r="L92" t="n">
        <v>0</v>
      </c>
      <c r="M92" t="n">
        <v>0</v>
      </c>
      <c r="N92" t="n">
        <v>0</v>
      </c>
      <c r="O92" t="n">
        <v>0</v>
      </c>
      <c r="P92" t="n">
        <v>0</v>
      </c>
      <c r="Q92" t="n">
        <v>0</v>
      </c>
      <c r="R92" s="2" t="inlineStr"/>
    </row>
    <row r="93" ht="15" customHeight="1">
      <c r="A93" t="inlineStr">
        <is>
          <t>A 59495-2021</t>
        </is>
      </c>
      <c r="B93" s="1" t="n">
        <v>44491.53346064815</v>
      </c>
      <c r="C93" s="1" t="n">
        <v>46032</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30574-2021</t>
        </is>
      </c>
      <c r="B94" s="1" t="n">
        <v>44364.83538194445</v>
      </c>
      <c r="C94" s="1" t="n">
        <v>46032</v>
      </c>
      <c r="D94" t="inlineStr">
        <is>
          <t>DALARNAS LÄN</t>
        </is>
      </c>
      <c r="E94" t="inlineStr">
        <is>
          <t>HEDEMORA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53443-2021</t>
        </is>
      </c>
      <c r="B95" s="1" t="n">
        <v>44468</v>
      </c>
      <c r="C95" s="1" t="n">
        <v>46032</v>
      </c>
      <c r="D95" t="inlineStr">
        <is>
          <t>DALARNAS LÄN</t>
        </is>
      </c>
      <c r="E95" t="inlineStr">
        <is>
          <t>HEDEMORA</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52511-2021</t>
        </is>
      </c>
      <c r="B96" s="1" t="n">
        <v>44466.44400462963</v>
      </c>
      <c r="C96" s="1" t="n">
        <v>46032</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50441-2021</t>
        </is>
      </c>
      <c r="B97" s="1" t="n">
        <v>44456</v>
      </c>
      <c r="C97" s="1" t="n">
        <v>46032</v>
      </c>
      <c r="D97" t="inlineStr">
        <is>
          <t>DALARNAS LÄN</t>
        </is>
      </c>
      <c r="E97" t="inlineStr">
        <is>
          <t>HEDEMORA</t>
        </is>
      </c>
      <c r="F97" t="inlineStr">
        <is>
          <t>Bergvik skog väst AB</t>
        </is>
      </c>
      <c r="G97" t="n">
        <v>6.4</v>
      </c>
      <c r="H97" t="n">
        <v>0</v>
      </c>
      <c r="I97" t="n">
        <v>0</v>
      </c>
      <c r="J97" t="n">
        <v>0</v>
      </c>
      <c r="K97" t="n">
        <v>0</v>
      </c>
      <c r="L97" t="n">
        <v>0</v>
      </c>
      <c r="M97" t="n">
        <v>0</v>
      </c>
      <c r="N97" t="n">
        <v>0</v>
      </c>
      <c r="O97" t="n">
        <v>0</v>
      </c>
      <c r="P97" t="n">
        <v>0</v>
      </c>
      <c r="Q97" t="n">
        <v>0</v>
      </c>
      <c r="R97" s="2" t="inlineStr"/>
    </row>
    <row r="98" ht="15" customHeight="1">
      <c r="A98" t="inlineStr">
        <is>
          <t>A 1666-2022</t>
        </is>
      </c>
      <c r="B98" s="1" t="n">
        <v>44574</v>
      </c>
      <c r="C98" s="1" t="n">
        <v>46032</v>
      </c>
      <c r="D98" t="inlineStr">
        <is>
          <t>DALARNAS LÄN</t>
        </is>
      </c>
      <c r="E98" t="inlineStr">
        <is>
          <t>HEDEMORA</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17464-2021</t>
        </is>
      </c>
      <c r="B99" s="1" t="n">
        <v>44299</v>
      </c>
      <c r="C99" s="1" t="n">
        <v>46032</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46032</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52221-2021</t>
        </is>
      </c>
      <c r="B101" s="1" t="n">
        <v>44462</v>
      </c>
      <c r="C101" s="1" t="n">
        <v>46032</v>
      </c>
      <c r="D101" t="inlineStr">
        <is>
          <t>DALARNAS LÄN</t>
        </is>
      </c>
      <c r="E101" t="inlineStr">
        <is>
          <t>HEDEMORA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36865-2022</t>
        </is>
      </c>
      <c r="B102" s="1" t="n">
        <v>44805</v>
      </c>
      <c r="C102" s="1" t="n">
        <v>46032</v>
      </c>
      <c r="D102" t="inlineStr">
        <is>
          <t>DALARNAS LÄN</t>
        </is>
      </c>
      <c r="E102" t="inlineStr">
        <is>
          <t>HEDEMORA</t>
        </is>
      </c>
      <c r="G102" t="n">
        <v>2.1</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46032</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46032</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46032</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36943-2021</t>
        </is>
      </c>
      <c r="B106" s="1" t="n">
        <v>44393.52391203704</v>
      </c>
      <c r="C106" s="1" t="n">
        <v>46032</v>
      </c>
      <c r="D106" t="inlineStr">
        <is>
          <t>DALARNAS LÄN</t>
        </is>
      </c>
      <c r="E106" t="inlineStr">
        <is>
          <t>HEDEMORA</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44065-2021</t>
        </is>
      </c>
      <c r="B107" s="1" t="n">
        <v>44434</v>
      </c>
      <c r="C107" s="1" t="n">
        <v>46032</v>
      </c>
      <c r="D107" t="inlineStr">
        <is>
          <t>DALARNAS LÄN</t>
        </is>
      </c>
      <c r="E107" t="inlineStr">
        <is>
          <t>HEDEMORA</t>
        </is>
      </c>
      <c r="F107" t="inlineStr">
        <is>
          <t>Bergvik skog väst AB</t>
        </is>
      </c>
      <c r="G107" t="n">
        <v>9.1</v>
      </c>
      <c r="H107" t="n">
        <v>0</v>
      </c>
      <c r="I107" t="n">
        <v>0</v>
      </c>
      <c r="J107" t="n">
        <v>0</v>
      </c>
      <c r="K107" t="n">
        <v>0</v>
      </c>
      <c r="L107" t="n">
        <v>0</v>
      </c>
      <c r="M107" t="n">
        <v>0</v>
      </c>
      <c r="N107" t="n">
        <v>0</v>
      </c>
      <c r="O107" t="n">
        <v>0</v>
      </c>
      <c r="P107" t="n">
        <v>0</v>
      </c>
      <c r="Q107" t="n">
        <v>0</v>
      </c>
      <c r="R107" s="2" t="inlineStr"/>
    </row>
    <row r="108" ht="15" customHeight="1">
      <c r="A108" t="inlineStr">
        <is>
          <t>A 3527-2021</t>
        </is>
      </c>
      <c r="B108" s="1" t="n">
        <v>44218</v>
      </c>
      <c r="C108" s="1" t="n">
        <v>46032</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46032</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46032</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48639-2022</t>
        </is>
      </c>
      <c r="B111" s="1" t="n">
        <v>44859</v>
      </c>
      <c r="C111" s="1" t="n">
        <v>46032</v>
      </c>
      <c r="D111" t="inlineStr">
        <is>
          <t>DALARNAS LÄN</t>
        </is>
      </c>
      <c r="E111" t="inlineStr">
        <is>
          <t>HEDEMORA</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67282-2021</t>
        </is>
      </c>
      <c r="B112" s="1" t="n">
        <v>44523.6131712963</v>
      </c>
      <c r="C112" s="1" t="n">
        <v>46032</v>
      </c>
      <c r="D112" t="inlineStr">
        <is>
          <t>DALARNAS LÄN</t>
        </is>
      </c>
      <c r="E112" t="inlineStr">
        <is>
          <t>HEDEMORA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60418-2021</t>
        </is>
      </c>
      <c r="B113" s="1" t="n">
        <v>44495</v>
      </c>
      <c r="C113" s="1" t="n">
        <v>46032</v>
      </c>
      <c r="D113" t="inlineStr">
        <is>
          <t>DALARNAS LÄN</t>
        </is>
      </c>
      <c r="E113" t="inlineStr">
        <is>
          <t>HEDEMORA</t>
        </is>
      </c>
      <c r="G113" t="n">
        <v>0.7</v>
      </c>
      <c r="H113" t="n">
        <v>0</v>
      </c>
      <c r="I113" t="n">
        <v>0</v>
      </c>
      <c r="J113" t="n">
        <v>0</v>
      </c>
      <c r="K113" t="n">
        <v>0</v>
      </c>
      <c r="L113" t="n">
        <v>0</v>
      </c>
      <c r="M113" t="n">
        <v>0</v>
      </c>
      <c r="N113" t="n">
        <v>0</v>
      </c>
      <c r="O113" t="n">
        <v>0</v>
      </c>
      <c r="P113" t="n">
        <v>0</v>
      </c>
      <c r="Q113" t="n">
        <v>0</v>
      </c>
      <c r="R113" s="2" t="inlineStr"/>
    </row>
    <row r="114" ht="15" customHeight="1">
      <c r="A114" t="inlineStr">
        <is>
          <t>A 40938-2021</t>
        </is>
      </c>
      <c r="B114" s="1" t="n">
        <v>44421.53498842593</v>
      </c>
      <c r="C114" s="1" t="n">
        <v>46032</v>
      </c>
      <c r="D114" t="inlineStr">
        <is>
          <t>DALARNAS LÄN</t>
        </is>
      </c>
      <c r="E114" t="inlineStr">
        <is>
          <t>HEDEMORA</t>
        </is>
      </c>
      <c r="G114" t="n">
        <v>1</v>
      </c>
      <c r="H114" t="n">
        <v>0</v>
      </c>
      <c r="I114" t="n">
        <v>0</v>
      </c>
      <c r="J114" t="n">
        <v>0</v>
      </c>
      <c r="K114" t="n">
        <v>0</v>
      </c>
      <c r="L114" t="n">
        <v>0</v>
      </c>
      <c r="M114" t="n">
        <v>0</v>
      </c>
      <c r="N114" t="n">
        <v>0</v>
      </c>
      <c r="O114" t="n">
        <v>0</v>
      </c>
      <c r="P114" t="n">
        <v>0</v>
      </c>
      <c r="Q114" t="n">
        <v>0</v>
      </c>
      <c r="R114" s="2" t="inlineStr"/>
    </row>
    <row r="115" ht="15" customHeight="1">
      <c r="A115" t="inlineStr">
        <is>
          <t>A 1976-2022</t>
        </is>
      </c>
      <c r="B115" s="1" t="n">
        <v>44575.54618055555</v>
      </c>
      <c r="C115" s="1" t="n">
        <v>46032</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2996-2023</t>
        </is>
      </c>
      <c r="B116" s="1" t="n">
        <v>44945</v>
      </c>
      <c r="C116" s="1" t="n">
        <v>46032</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46032</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49904-2021</t>
        </is>
      </c>
      <c r="B118" s="1" t="n">
        <v>44455.77041666667</v>
      </c>
      <c r="C118" s="1" t="n">
        <v>46032</v>
      </c>
      <c r="D118" t="inlineStr">
        <is>
          <t>DALARNAS LÄN</t>
        </is>
      </c>
      <c r="E118" t="inlineStr">
        <is>
          <t>HEDEMORA</t>
        </is>
      </c>
      <c r="F118" t="inlineStr">
        <is>
          <t>Sveaskog</t>
        </is>
      </c>
      <c r="G118" t="n">
        <v>7.1</v>
      </c>
      <c r="H118" t="n">
        <v>0</v>
      </c>
      <c r="I118" t="n">
        <v>0</v>
      </c>
      <c r="J118" t="n">
        <v>0</v>
      </c>
      <c r="K118" t="n">
        <v>0</v>
      </c>
      <c r="L118" t="n">
        <v>0</v>
      </c>
      <c r="M118" t="n">
        <v>0</v>
      </c>
      <c r="N118" t="n">
        <v>0</v>
      </c>
      <c r="O118" t="n">
        <v>0</v>
      </c>
      <c r="P118" t="n">
        <v>0</v>
      </c>
      <c r="Q118" t="n">
        <v>0</v>
      </c>
      <c r="R118" s="2" t="inlineStr"/>
    </row>
    <row r="119" ht="15" customHeight="1">
      <c r="A119" t="inlineStr">
        <is>
          <t>A 63941-2023</t>
        </is>
      </c>
      <c r="B119" s="1" t="n">
        <v>45278.61277777778</v>
      </c>
      <c r="C119" s="1" t="n">
        <v>46032</v>
      </c>
      <c r="D119" t="inlineStr">
        <is>
          <t>DALARNAS LÄN</t>
        </is>
      </c>
      <c r="E119" t="inlineStr">
        <is>
          <t>HEDEMORA</t>
        </is>
      </c>
      <c r="G119" t="n">
        <v>1.1</v>
      </c>
      <c r="H119" t="n">
        <v>0</v>
      </c>
      <c r="I119" t="n">
        <v>0</v>
      </c>
      <c r="J119" t="n">
        <v>0</v>
      </c>
      <c r="K119" t="n">
        <v>0</v>
      </c>
      <c r="L119" t="n">
        <v>0</v>
      </c>
      <c r="M119" t="n">
        <v>0</v>
      </c>
      <c r="N119" t="n">
        <v>0</v>
      </c>
      <c r="O119" t="n">
        <v>0</v>
      </c>
      <c r="P119" t="n">
        <v>0</v>
      </c>
      <c r="Q119" t="n">
        <v>0</v>
      </c>
      <c r="R119" s="2" t="inlineStr"/>
    </row>
    <row r="120" ht="15" customHeight="1">
      <c r="A120" t="inlineStr">
        <is>
          <t>A 36306-2024</t>
        </is>
      </c>
      <c r="B120" s="1" t="n">
        <v>45534.61327546297</v>
      </c>
      <c r="C120" s="1" t="n">
        <v>46032</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15863-2023</t>
        </is>
      </c>
      <c r="B121" s="1" t="n">
        <v>45022</v>
      </c>
      <c r="C121" s="1" t="n">
        <v>46032</v>
      </c>
      <c r="D121" t="inlineStr">
        <is>
          <t>DALARNAS LÄN</t>
        </is>
      </c>
      <c r="E121" t="inlineStr">
        <is>
          <t>HEDEMORA</t>
        </is>
      </c>
      <c r="F121" t="inlineStr">
        <is>
          <t>Bergvik skog väst AB</t>
        </is>
      </c>
      <c r="G121" t="n">
        <v>4.7</v>
      </c>
      <c r="H121" t="n">
        <v>0</v>
      </c>
      <c r="I121" t="n">
        <v>0</v>
      </c>
      <c r="J121" t="n">
        <v>0</v>
      </c>
      <c r="K121" t="n">
        <v>0</v>
      </c>
      <c r="L121" t="n">
        <v>0</v>
      </c>
      <c r="M121" t="n">
        <v>0</v>
      </c>
      <c r="N121" t="n">
        <v>0</v>
      </c>
      <c r="O121" t="n">
        <v>0</v>
      </c>
      <c r="P121" t="n">
        <v>0</v>
      </c>
      <c r="Q121" t="n">
        <v>0</v>
      </c>
      <c r="R121" s="2" t="inlineStr"/>
    </row>
    <row r="122" ht="15" customHeight="1">
      <c r="A122" t="inlineStr">
        <is>
          <t>A 48380-2024</t>
        </is>
      </c>
      <c r="B122" s="1" t="n">
        <v>45590</v>
      </c>
      <c r="C122" s="1" t="n">
        <v>46032</v>
      </c>
      <c r="D122" t="inlineStr">
        <is>
          <t>DALARNAS LÄN</t>
        </is>
      </c>
      <c r="E122" t="inlineStr">
        <is>
          <t>HEDEMORA</t>
        </is>
      </c>
      <c r="G122" t="n">
        <v>1.5</v>
      </c>
      <c r="H122" t="n">
        <v>0</v>
      </c>
      <c r="I122" t="n">
        <v>0</v>
      </c>
      <c r="J122" t="n">
        <v>0</v>
      </c>
      <c r="K122" t="n">
        <v>0</v>
      </c>
      <c r="L122" t="n">
        <v>0</v>
      </c>
      <c r="M122" t="n">
        <v>0</v>
      </c>
      <c r="N122" t="n">
        <v>0</v>
      </c>
      <c r="O122" t="n">
        <v>0</v>
      </c>
      <c r="P122" t="n">
        <v>0</v>
      </c>
      <c r="Q122" t="n">
        <v>0</v>
      </c>
      <c r="R122" s="2" t="inlineStr"/>
    </row>
    <row r="123" ht="15" customHeight="1">
      <c r="A123" t="inlineStr">
        <is>
          <t>A 43785-2023</t>
        </is>
      </c>
      <c r="B123" s="1" t="n">
        <v>45187</v>
      </c>
      <c r="C123" s="1" t="n">
        <v>46032</v>
      </c>
      <c r="D123" t="inlineStr">
        <is>
          <t>DALARNAS LÄN</t>
        </is>
      </c>
      <c r="E123" t="inlineStr">
        <is>
          <t>HEDEMORA</t>
        </is>
      </c>
      <c r="F123" t="inlineStr">
        <is>
          <t>Sveaskog</t>
        </is>
      </c>
      <c r="G123" t="n">
        <v>5.7</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46032</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11046-2022</t>
        </is>
      </c>
      <c r="B125" s="1" t="n">
        <v>44628</v>
      </c>
      <c r="C125" s="1" t="n">
        <v>46032</v>
      </c>
      <c r="D125" t="inlineStr">
        <is>
          <t>DALARNAS LÄN</t>
        </is>
      </c>
      <c r="E125" t="inlineStr">
        <is>
          <t>HEDEMORA</t>
        </is>
      </c>
      <c r="F125" t="inlineStr">
        <is>
          <t>Bergvik skog väst AB</t>
        </is>
      </c>
      <c r="G125" t="n">
        <v>1</v>
      </c>
      <c r="H125" t="n">
        <v>0</v>
      </c>
      <c r="I125" t="n">
        <v>0</v>
      </c>
      <c r="J125" t="n">
        <v>0</v>
      </c>
      <c r="K125" t="n">
        <v>0</v>
      </c>
      <c r="L125" t="n">
        <v>0</v>
      </c>
      <c r="M125" t="n">
        <v>0</v>
      </c>
      <c r="N125" t="n">
        <v>0</v>
      </c>
      <c r="O125" t="n">
        <v>0</v>
      </c>
      <c r="P125" t="n">
        <v>0</v>
      </c>
      <c r="Q125" t="n">
        <v>0</v>
      </c>
      <c r="R125" s="2" t="inlineStr"/>
    </row>
    <row r="126" ht="15" customHeight="1">
      <c r="A126" t="inlineStr">
        <is>
          <t>A 6210-2024</t>
        </is>
      </c>
      <c r="B126" s="1" t="n">
        <v>45337</v>
      </c>
      <c r="C126" s="1" t="n">
        <v>46032</v>
      </c>
      <c r="D126" t="inlineStr">
        <is>
          <t>DALARNAS LÄN</t>
        </is>
      </c>
      <c r="E126" t="inlineStr">
        <is>
          <t>HEDEMORA</t>
        </is>
      </c>
      <c r="G126" t="n">
        <v>2.6</v>
      </c>
      <c r="H126" t="n">
        <v>0</v>
      </c>
      <c r="I126" t="n">
        <v>0</v>
      </c>
      <c r="J126" t="n">
        <v>0</v>
      </c>
      <c r="K126" t="n">
        <v>0</v>
      </c>
      <c r="L126" t="n">
        <v>0</v>
      </c>
      <c r="M126" t="n">
        <v>0</v>
      </c>
      <c r="N126" t="n">
        <v>0</v>
      </c>
      <c r="O126" t="n">
        <v>0</v>
      </c>
      <c r="P126" t="n">
        <v>0</v>
      </c>
      <c r="Q126" t="n">
        <v>0</v>
      </c>
      <c r="R126" s="2" t="inlineStr"/>
    </row>
    <row r="127" ht="15" customHeight="1">
      <c r="A127" t="inlineStr">
        <is>
          <t>A 41642-2023</t>
        </is>
      </c>
      <c r="B127" s="1" t="n">
        <v>45175</v>
      </c>
      <c r="C127" s="1" t="n">
        <v>46032</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30572-2021</t>
        </is>
      </c>
      <c r="B128" s="1" t="n">
        <v>44364.83369212963</v>
      </c>
      <c r="C128" s="1" t="n">
        <v>46032</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29591-2024</t>
        </is>
      </c>
      <c r="B129" s="1" t="n">
        <v>45484.58222222222</v>
      </c>
      <c r="C129" s="1" t="n">
        <v>46032</v>
      </c>
      <c r="D129" t="inlineStr">
        <is>
          <t>DALARNAS LÄN</t>
        </is>
      </c>
      <c r="E129" t="inlineStr">
        <is>
          <t>HEDEMORA</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51256-2024</t>
        </is>
      </c>
      <c r="B130" s="1" t="n">
        <v>45603.68902777778</v>
      </c>
      <c r="C130" s="1" t="n">
        <v>46032</v>
      </c>
      <c r="D130" t="inlineStr">
        <is>
          <t>DALARNAS LÄN</t>
        </is>
      </c>
      <c r="E130" t="inlineStr">
        <is>
          <t>HEDEMORA</t>
        </is>
      </c>
      <c r="G130" t="n">
        <v>1.3</v>
      </c>
      <c r="H130" t="n">
        <v>0</v>
      </c>
      <c r="I130" t="n">
        <v>0</v>
      </c>
      <c r="J130" t="n">
        <v>0</v>
      </c>
      <c r="K130" t="n">
        <v>0</v>
      </c>
      <c r="L130" t="n">
        <v>0</v>
      </c>
      <c r="M130" t="n">
        <v>0</v>
      </c>
      <c r="N130" t="n">
        <v>0</v>
      </c>
      <c r="O130" t="n">
        <v>0</v>
      </c>
      <c r="P130" t="n">
        <v>0</v>
      </c>
      <c r="Q130" t="n">
        <v>0</v>
      </c>
      <c r="R130" s="2" t="inlineStr"/>
    </row>
    <row r="131" ht="15" customHeight="1">
      <c r="A131" t="inlineStr">
        <is>
          <t>A 44957-2021</t>
        </is>
      </c>
      <c r="B131" s="1" t="n">
        <v>44438.71809027778</v>
      </c>
      <c r="C131" s="1" t="n">
        <v>46032</v>
      </c>
      <c r="D131" t="inlineStr">
        <is>
          <t>DALARNAS LÄN</t>
        </is>
      </c>
      <c r="E131" t="inlineStr">
        <is>
          <t>HEDEMORA</t>
        </is>
      </c>
      <c r="F131" t="inlineStr">
        <is>
          <t>Sveaskog</t>
        </is>
      </c>
      <c r="G131" t="n">
        <v>4.5</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46032</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58018-2022</t>
        </is>
      </c>
      <c r="B133" s="1" t="n">
        <v>44900.53383101852</v>
      </c>
      <c r="C133" s="1" t="n">
        <v>46032</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69624-2021</t>
        </is>
      </c>
      <c r="B134" s="1" t="n">
        <v>44532.41442129629</v>
      </c>
      <c r="C134" s="1" t="n">
        <v>46032</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51615-2025</t>
        </is>
      </c>
      <c r="B135" s="1" t="n">
        <v>45951.40246527778</v>
      </c>
      <c r="C135" s="1" t="n">
        <v>46032</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14968-2025</t>
        </is>
      </c>
      <c r="B136" s="1" t="n">
        <v>45743.59052083334</v>
      </c>
      <c r="C136" s="1" t="n">
        <v>46032</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19920-2025</t>
        </is>
      </c>
      <c r="B137" s="1" t="n">
        <v>45771</v>
      </c>
      <c r="C137" s="1" t="n">
        <v>46032</v>
      </c>
      <c r="D137" t="inlineStr">
        <is>
          <t>DALARNAS LÄN</t>
        </is>
      </c>
      <c r="E137" t="inlineStr">
        <is>
          <t>HEDEMORA</t>
        </is>
      </c>
      <c r="G137" t="n">
        <v>2.8</v>
      </c>
      <c r="H137" t="n">
        <v>0</v>
      </c>
      <c r="I137" t="n">
        <v>0</v>
      </c>
      <c r="J137" t="n">
        <v>0</v>
      </c>
      <c r="K137" t="n">
        <v>0</v>
      </c>
      <c r="L137" t="n">
        <v>0</v>
      </c>
      <c r="M137" t="n">
        <v>0</v>
      </c>
      <c r="N137" t="n">
        <v>0</v>
      </c>
      <c r="O137" t="n">
        <v>0</v>
      </c>
      <c r="P137" t="n">
        <v>0</v>
      </c>
      <c r="Q137" t="n">
        <v>0</v>
      </c>
      <c r="R137" s="2" t="inlineStr"/>
    </row>
    <row r="138" ht="15" customHeight="1">
      <c r="A138" t="inlineStr">
        <is>
          <t>A 59581-2025</t>
        </is>
      </c>
      <c r="B138" s="1" t="n">
        <v>45992.31182870371</v>
      </c>
      <c r="C138" s="1" t="n">
        <v>46032</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39390-2025</t>
        </is>
      </c>
      <c r="B139" s="1" t="n">
        <v>45889.6240625</v>
      </c>
      <c r="C139" s="1" t="n">
        <v>46032</v>
      </c>
      <c r="D139" t="inlineStr">
        <is>
          <t>DALARNAS LÄN</t>
        </is>
      </c>
      <c r="E139" t="inlineStr">
        <is>
          <t>HEDEMORA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51695-2025</t>
        </is>
      </c>
      <c r="B140" s="1" t="n">
        <v>45951.54824074074</v>
      </c>
      <c r="C140" s="1" t="n">
        <v>46032</v>
      </c>
      <c r="D140" t="inlineStr">
        <is>
          <t>DALARNAS LÄN</t>
        </is>
      </c>
      <c r="E140" t="inlineStr">
        <is>
          <t>HEDEMORA</t>
        </is>
      </c>
      <c r="G140" t="n">
        <v>2.1</v>
      </c>
      <c r="H140" t="n">
        <v>0</v>
      </c>
      <c r="I140" t="n">
        <v>0</v>
      </c>
      <c r="J140" t="n">
        <v>0</v>
      </c>
      <c r="K140" t="n">
        <v>0</v>
      </c>
      <c r="L140" t="n">
        <v>0</v>
      </c>
      <c r="M140" t="n">
        <v>0</v>
      </c>
      <c r="N140" t="n">
        <v>0</v>
      </c>
      <c r="O140" t="n">
        <v>0</v>
      </c>
      <c r="P140" t="n">
        <v>0</v>
      </c>
      <c r="Q140" t="n">
        <v>0</v>
      </c>
      <c r="R140" s="2" t="inlineStr"/>
    </row>
    <row r="141" ht="15" customHeight="1">
      <c r="A141" t="inlineStr">
        <is>
          <t>A 39393-2025</t>
        </is>
      </c>
      <c r="B141" s="1" t="n">
        <v>45889.62287037037</v>
      </c>
      <c r="C141" s="1" t="n">
        <v>46032</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25195-2024</t>
        </is>
      </c>
      <c r="B142" s="1" t="n">
        <v>45462</v>
      </c>
      <c r="C142" s="1" t="n">
        <v>46032</v>
      </c>
      <c r="D142" t="inlineStr">
        <is>
          <t>DALARNAS LÄN</t>
        </is>
      </c>
      <c r="E142" t="inlineStr">
        <is>
          <t>HEDEMORA</t>
        </is>
      </c>
      <c r="F142" t="inlineStr">
        <is>
          <t>Övriga statliga verk och myndigheter</t>
        </is>
      </c>
      <c r="G142" t="n">
        <v>3.3</v>
      </c>
      <c r="H142" t="n">
        <v>0</v>
      </c>
      <c r="I142" t="n">
        <v>0</v>
      </c>
      <c r="J142" t="n">
        <v>0</v>
      </c>
      <c r="K142" t="n">
        <v>0</v>
      </c>
      <c r="L142" t="n">
        <v>0</v>
      </c>
      <c r="M142" t="n">
        <v>0</v>
      </c>
      <c r="N142" t="n">
        <v>0</v>
      </c>
      <c r="O142" t="n">
        <v>0</v>
      </c>
      <c r="P142" t="n">
        <v>0</v>
      </c>
      <c r="Q142" t="n">
        <v>0</v>
      </c>
      <c r="R142" s="2" t="inlineStr"/>
    </row>
    <row r="143" ht="15" customHeight="1">
      <c r="A143" t="inlineStr">
        <is>
          <t>A 40419-2025</t>
        </is>
      </c>
      <c r="B143" s="1" t="n">
        <v>45895.57958333333</v>
      </c>
      <c r="C143" s="1" t="n">
        <v>46032</v>
      </c>
      <c r="D143" t="inlineStr">
        <is>
          <t>DALARNAS LÄN</t>
        </is>
      </c>
      <c r="E143" t="inlineStr">
        <is>
          <t>HEDEMORA</t>
        </is>
      </c>
      <c r="G143" t="n">
        <v>3.1</v>
      </c>
      <c r="H143" t="n">
        <v>0</v>
      </c>
      <c r="I143" t="n">
        <v>0</v>
      </c>
      <c r="J143" t="n">
        <v>0</v>
      </c>
      <c r="K143" t="n">
        <v>0</v>
      </c>
      <c r="L143" t="n">
        <v>0</v>
      </c>
      <c r="M143" t="n">
        <v>0</v>
      </c>
      <c r="N143" t="n">
        <v>0</v>
      </c>
      <c r="O143" t="n">
        <v>0</v>
      </c>
      <c r="P143" t="n">
        <v>0</v>
      </c>
      <c r="Q143" t="n">
        <v>0</v>
      </c>
      <c r="R143" s="2" t="inlineStr"/>
    </row>
    <row r="144" ht="15" customHeight="1">
      <c r="A144" t="inlineStr">
        <is>
          <t>A 40421-2025</t>
        </is>
      </c>
      <c r="B144" s="1" t="n">
        <v>45895.58449074074</v>
      </c>
      <c r="C144" s="1" t="n">
        <v>46032</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46032</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23934-2023</t>
        </is>
      </c>
      <c r="B146" s="1" t="n">
        <v>45078.59590277778</v>
      </c>
      <c r="C146" s="1" t="n">
        <v>46032</v>
      </c>
      <c r="D146" t="inlineStr">
        <is>
          <t>DALARNAS LÄN</t>
        </is>
      </c>
      <c r="E146" t="inlineStr">
        <is>
          <t>HEDEMORA</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19688-2025</t>
        </is>
      </c>
      <c r="B147" s="1" t="n">
        <v>45770.88217592592</v>
      </c>
      <c r="C147" s="1" t="n">
        <v>46032</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19689-2025</t>
        </is>
      </c>
      <c r="B148" s="1" t="n">
        <v>45770.88462962963</v>
      </c>
      <c r="C148" s="1" t="n">
        <v>46032</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59582-2025</t>
        </is>
      </c>
      <c r="B149" s="1" t="n">
        <v>45992.31405092592</v>
      </c>
      <c r="C149" s="1" t="n">
        <v>46032</v>
      </c>
      <c r="D149" t="inlineStr">
        <is>
          <t>DALARNAS LÄN</t>
        </is>
      </c>
      <c r="E149" t="inlineStr">
        <is>
          <t>HEDEMORA</t>
        </is>
      </c>
      <c r="G149" t="n">
        <v>3.9</v>
      </c>
      <c r="H149" t="n">
        <v>0</v>
      </c>
      <c r="I149" t="n">
        <v>0</v>
      </c>
      <c r="J149" t="n">
        <v>0</v>
      </c>
      <c r="K149" t="n">
        <v>0</v>
      </c>
      <c r="L149" t="n">
        <v>0</v>
      </c>
      <c r="M149" t="n">
        <v>0</v>
      </c>
      <c r="N149" t="n">
        <v>0</v>
      </c>
      <c r="O149" t="n">
        <v>0</v>
      </c>
      <c r="P149" t="n">
        <v>0</v>
      </c>
      <c r="Q149" t="n">
        <v>0</v>
      </c>
      <c r="R149" s="2" t="inlineStr"/>
    </row>
    <row r="150" ht="15" customHeight="1">
      <c r="A150" t="inlineStr">
        <is>
          <t>A 25021-2025</t>
        </is>
      </c>
      <c r="B150" s="1" t="n">
        <v>45799.64574074074</v>
      </c>
      <c r="C150" s="1" t="n">
        <v>46032</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45541.78678240741</v>
      </c>
      <c r="C151" s="1" t="n">
        <v>46032</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19397-2024</t>
        </is>
      </c>
      <c r="B152" s="1" t="n">
        <v>45429.38474537037</v>
      </c>
      <c r="C152" s="1" t="n">
        <v>46032</v>
      </c>
      <c r="D152" t="inlineStr">
        <is>
          <t>DALARNAS LÄN</t>
        </is>
      </c>
      <c r="E152" t="inlineStr">
        <is>
          <t>HEDEMORA</t>
        </is>
      </c>
      <c r="G152" t="n">
        <v>1.8</v>
      </c>
      <c r="H152" t="n">
        <v>0</v>
      </c>
      <c r="I152" t="n">
        <v>0</v>
      </c>
      <c r="J152" t="n">
        <v>0</v>
      </c>
      <c r="K152" t="n">
        <v>0</v>
      </c>
      <c r="L152" t="n">
        <v>0</v>
      </c>
      <c r="M152" t="n">
        <v>0</v>
      </c>
      <c r="N152" t="n">
        <v>0</v>
      </c>
      <c r="O152" t="n">
        <v>0</v>
      </c>
      <c r="P152" t="n">
        <v>0</v>
      </c>
      <c r="Q152" t="n">
        <v>0</v>
      </c>
      <c r="R152" s="2" t="inlineStr"/>
    </row>
    <row r="153" ht="15" customHeight="1">
      <c r="A153" t="inlineStr">
        <is>
          <t>A 40801-2024</t>
        </is>
      </c>
      <c r="B153" s="1" t="n">
        <v>45558.52905092593</v>
      </c>
      <c r="C153" s="1" t="n">
        <v>46032</v>
      </c>
      <c r="D153" t="inlineStr">
        <is>
          <t>DALARNAS LÄN</t>
        </is>
      </c>
      <c r="E153" t="inlineStr">
        <is>
          <t>HEDEMORA</t>
        </is>
      </c>
      <c r="G153" t="n">
        <v>2.2</v>
      </c>
      <c r="H153" t="n">
        <v>0</v>
      </c>
      <c r="I153" t="n">
        <v>0</v>
      </c>
      <c r="J153" t="n">
        <v>0</v>
      </c>
      <c r="K153" t="n">
        <v>0</v>
      </c>
      <c r="L153" t="n">
        <v>0</v>
      </c>
      <c r="M153" t="n">
        <v>0</v>
      </c>
      <c r="N153" t="n">
        <v>0</v>
      </c>
      <c r="O153" t="n">
        <v>0</v>
      </c>
      <c r="P153" t="n">
        <v>0</v>
      </c>
      <c r="Q153" t="n">
        <v>0</v>
      </c>
      <c r="R153" s="2" t="inlineStr"/>
    </row>
    <row r="154" ht="15" customHeight="1">
      <c r="A154" t="inlineStr">
        <is>
          <t>A 61883-2022</t>
        </is>
      </c>
      <c r="B154" s="1" t="n">
        <v>44917.67262731482</v>
      </c>
      <c r="C154" s="1" t="n">
        <v>46032</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26204-2025</t>
        </is>
      </c>
      <c r="B155" s="1" t="n">
        <v>45805.51065972223</v>
      </c>
      <c r="C155" s="1" t="n">
        <v>46032</v>
      </c>
      <c r="D155" t="inlineStr">
        <is>
          <t>DALARNAS LÄN</t>
        </is>
      </c>
      <c r="E155" t="inlineStr">
        <is>
          <t>HEDEMORA</t>
        </is>
      </c>
      <c r="F155" t="inlineStr">
        <is>
          <t>Sveaskog</t>
        </is>
      </c>
      <c r="G155" t="n">
        <v>0.7</v>
      </c>
      <c r="H155" t="n">
        <v>0</v>
      </c>
      <c r="I155" t="n">
        <v>0</v>
      </c>
      <c r="J155" t="n">
        <v>0</v>
      </c>
      <c r="K155" t="n">
        <v>0</v>
      </c>
      <c r="L155" t="n">
        <v>0</v>
      </c>
      <c r="M155" t="n">
        <v>0</v>
      </c>
      <c r="N155" t="n">
        <v>0</v>
      </c>
      <c r="O155" t="n">
        <v>0</v>
      </c>
      <c r="P155" t="n">
        <v>0</v>
      </c>
      <c r="Q155" t="n">
        <v>0</v>
      </c>
      <c r="R155" s="2" t="inlineStr"/>
    </row>
    <row r="156" ht="15" customHeight="1">
      <c r="A156" t="inlineStr">
        <is>
          <t>A 42510-2025</t>
        </is>
      </c>
      <c r="B156" s="1" t="n">
        <v>45905.54068287037</v>
      </c>
      <c r="C156" s="1" t="n">
        <v>46032</v>
      </c>
      <c r="D156" t="inlineStr">
        <is>
          <t>DALARNAS LÄN</t>
        </is>
      </c>
      <c r="E156" t="inlineStr">
        <is>
          <t>HEDEMORA</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6881-2024</t>
        </is>
      </c>
      <c r="B157" s="1" t="n">
        <v>45342.8779050926</v>
      </c>
      <c r="C157" s="1" t="n">
        <v>46032</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43621-2024</t>
        </is>
      </c>
      <c r="B158" s="1" t="n">
        <v>45569.48200231481</v>
      </c>
      <c r="C158" s="1" t="n">
        <v>46032</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46032</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5010-2023</t>
        </is>
      </c>
      <c r="B160" s="1" t="n">
        <v>44956</v>
      </c>
      <c r="C160" s="1" t="n">
        <v>46032</v>
      </c>
      <c r="D160" t="inlineStr">
        <is>
          <t>DALARNAS LÄN</t>
        </is>
      </c>
      <c r="E160" t="inlineStr">
        <is>
          <t>HEDEMORA</t>
        </is>
      </c>
      <c r="F160" t="inlineStr">
        <is>
          <t>Bergvik skog väst AB</t>
        </is>
      </c>
      <c r="G160" t="n">
        <v>5</v>
      </c>
      <c r="H160" t="n">
        <v>0</v>
      </c>
      <c r="I160" t="n">
        <v>0</v>
      </c>
      <c r="J160" t="n">
        <v>0</v>
      </c>
      <c r="K160" t="n">
        <v>0</v>
      </c>
      <c r="L160" t="n">
        <v>0</v>
      </c>
      <c r="M160" t="n">
        <v>0</v>
      </c>
      <c r="N160" t="n">
        <v>0</v>
      </c>
      <c r="O160" t="n">
        <v>0</v>
      </c>
      <c r="P160" t="n">
        <v>0</v>
      </c>
      <c r="Q160" t="n">
        <v>0</v>
      </c>
      <c r="R160" s="2" t="inlineStr"/>
    </row>
    <row r="161" ht="15" customHeight="1">
      <c r="A161" t="inlineStr">
        <is>
          <t>A 26705-2025</t>
        </is>
      </c>
      <c r="B161" s="1" t="n">
        <v>45810.45325231482</v>
      </c>
      <c r="C161" s="1" t="n">
        <v>46032</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42645-2025</t>
        </is>
      </c>
      <c r="B162" s="1" t="n">
        <v>45906.40199074074</v>
      </c>
      <c r="C162" s="1" t="n">
        <v>46032</v>
      </c>
      <c r="D162" t="inlineStr">
        <is>
          <t>DALARNAS LÄN</t>
        </is>
      </c>
      <c r="E162" t="inlineStr">
        <is>
          <t>HEDEMORA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43193-2025</t>
        </is>
      </c>
      <c r="B163" s="1" t="n">
        <v>45910.42417824074</v>
      </c>
      <c r="C163" s="1" t="n">
        <v>46032</v>
      </c>
      <c r="D163" t="inlineStr">
        <is>
          <t>DALARNAS LÄN</t>
        </is>
      </c>
      <c r="E163" t="inlineStr">
        <is>
          <t>HEDEMORA</t>
        </is>
      </c>
      <c r="G163" t="n">
        <v>3.9</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46032</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28183-2025</t>
        </is>
      </c>
      <c r="B165" s="1" t="n">
        <v>45818.4021875</v>
      </c>
      <c r="C165" s="1" t="n">
        <v>46032</v>
      </c>
      <c r="D165" t="inlineStr">
        <is>
          <t>DALARNAS LÄN</t>
        </is>
      </c>
      <c r="E165" t="inlineStr">
        <is>
          <t>HEDEMORA</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45818.39755787037</v>
      </c>
      <c r="C166" s="1" t="n">
        <v>46032</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45818.40069444444</v>
      </c>
      <c r="C167" s="1" t="n">
        <v>46032</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44850-2025</t>
        </is>
      </c>
      <c r="B168" s="1" t="n">
        <v>45918.44587962963</v>
      </c>
      <c r="C168" s="1" t="n">
        <v>46032</v>
      </c>
      <c r="D168" t="inlineStr">
        <is>
          <t>DALARNAS LÄN</t>
        </is>
      </c>
      <c r="E168" t="inlineStr">
        <is>
          <t>HEDEMORA</t>
        </is>
      </c>
      <c r="G168" t="n">
        <v>3.9</v>
      </c>
      <c r="H168" t="n">
        <v>0</v>
      </c>
      <c r="I168" t="n">
        <v>0</v>
      </c>
      <c r="J168" t="n">
        <v>0</v>
      </c>
      <c r="K168" t="n">
        <v>0</v>
      </c>
      <c r="L168" t="n">
        <v>0</v>
      </c>
      <c r="M168" t="n">
        <v>0</v>
      </c>
      <c r="N168" t="n">
        <v>0</v>
      </c>
      <c r="O168" t="n">
        <v>0</v>
      </c>
      <c r="P168" t="n">
        <v>0</v>
      </c>
      <c r="Q168" t="n">
        <v>0</v>
      </c>
      <c r="R168" s="2" t="inlineStr"/>
    </row>
    <row r="169" ht="15" customHeight="1">
      <c r="A169" t="inlineStr">
        <is>
          <t>A 29690-2025</t>
        </is>
      </c>
      <c r="B169" s="1" t="n">
        <v>45825.53508101852</v>
      </c>
      <c r="C169" s="1" t="n">
        <v>46032</v>
      </c>
      <c r="D169" t="inlineStr">
        <is>
          <t>DALARNAS LÄN</t>
        </is>
      </c>
      <c r="E169" t="inlineStr">
        <is>
          <t>HEDEMORA</t>
        </is>
      </c>
      <c r="G169" t="n">
        <v>4.1</v>
      </c>
      <c r="H169" t="n">
        <v>0</v>
      </c>
      <c r="I169" t="n">
        <v>0</v>
      </c>
      <c r="J169" t="n">
        <v>0</v>
      </c>
      <c r="K169" t="n">
        <v>0</v>
      </c>
      <c r="L169" t="n">
        <v>0</v>
      </c>
      <c r="M169" t="n">
        <v>0</v>
      </c>
      <c r="N169" t="n">
        <v>0</v>
      </c>
      <c r="O169" t="n">
        <v>0</v>
      </c>
      <c r="P169" t="n">
        <v>0</v>
      </c>
      <c r="Q169" t="n">
        <v>0</v>
      </c>
      <c r="R169" s="2" t="inlineStr"/>
    </row>
    <row r="170" ht="15" customHeight="1">
      <c r="A170" t="inlineStr">
        <is>
          <t>A 45097-2025</t>
        </is>
      </c>
      <c r="B170" s="1" t="n">
        <v>45919.38918981481</v>
      </c>
      <c r="C170" s="1" t="n">
        <v>46032</v>
      </c>
      <c r="D170" t="inlineStr">
        <is>
          <t>DALARNAS LÄN</t>
        </is>
      </c>
      <c r="E170" t="inlineStr">
        <is>
          <t>HEDEMORA</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52328-2025</t>
        </is>
      </c>
      <c r="B171" s="1" t="n">
        <v>45953.67157407408</v>
      </c>
      <c r="C171" s="1" t="n">
        <v>46032</v>
      </c>
      <c r="D171" t="inlineStr">
        <is>
          <t>DALARNAS LÄN</t>
        </is>
      </c>
      <c r="E171" t="inlineStr">
        <is>
          <t>HEDEMORA</t>
        </is>
      </c>
      <c r="F171" t="inlineStr">
        <is>
          <t>Sveaskog</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52714-2025</t>
        </is>
      </c>
      <c r="B172" s="1" t="n">
        <v>45953</v>
      </c>
      <c r="C172" s="1" t="n">
        <v>46032</v>
      </c>
      <c r="D172" t="inlineStr">
        <is>
          <t>DALARNAS LÄN</t>
        </is>
      </c>
      <c r="E172" t="inlineStr">
        <is>
          <t>HEDEMORA</t>
        </is>
      </c>
      <c r="F172" t="inlineStr">
        <is>
          <t>Bergvik skog väst AB</t>
        </is>
      </c>
      <c r="G172" t="n">
        <v>14.7</v>
      </c>
      <c r="H172" t="n">
        <v>0</v>
      </c>
      <c r="I172" t="n">
        <v>0</v>
      </c>
      <c r="J172" t="n">
        <v>0</v>
      </c>
      <c r="K172" t="n">
        <v>0</v>
      </c>
      <c r="L172" t="n">
        <v>0</v>
      </c>
      <c r="M172" t="n">
        <v>0</v>
      </c>
      <c r="N172" t="n">
        <v>0</v>
      </c>
      <c r="O172" t="n">
        <v>0</v>
      </c>
      <c r="P172" t="n">
        <v>0</v>
      </c>
      <c r="Q172" t="n">
        <v>0</v>
      </c>
      <c r="R172" s="2" t="inlineStr"/>
    </row>
    <row r="173" ht="15" customHeight="1">
      <c r="A173" t="inlineStr">
        <is>
          <t>A 45937-2025</t>
        </is>
      </c>
      <c r="B173" s="1" t="n">
        <v>45924.27231481481</v>
      </c>
      <c r="C173" s="1" t="n">
        <v>46032</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51943-2025</t>
        </is>
      </c>
      <c r="B174" s="1" t="n">
        <v>45952</v>
      </c>
      <c r="C174" s="1" t="n">
        <v>46032</v>
      </c>
      <c r="D174" t="inlineStr">
        <is>
          <t>DALARNAS LÄN</t>
        </is>
      </c>
      <c r="E174" t="inlineStr">
        <is>
          <t>HEDEMORA</t>
        </is>
      </c>
      <c r="G174" t="n">
        <v>4.5</v>
      </c>
      <c r="H174" t="n">
        <v>0</v>
      </c>
      <c r="I174" t="n">
        <v>0</v>
      </c>
      <c r="J174" t="n">
        <v>0</v>
      </c>
      <c r="K174" t="n">
        <v>0</v>
      </c>
      <c r="L174" t="n">
        <v>0</v>
      </c>
      <c r="M174" t="n">
        <v>0</v>
      </c>
      <c r="N174" t="n">
        <v>0</v>
      </c>
      <c r="O174" t="n">
        <v>0</v>
      </c>
      <c r="P174" t="n">
        <v>0</v>
      </c>
      <c r="Q174" t="n">
        <v>0</v>
      </c>
      <c r="R174" s="2" t="inlineStr"/>
    </row>
    <row r="175" ht="15" customHeight="1">
      <c r="A175" t="inlineStr">
        <is>
          <t>A 45936-2025</t>
        </is>
      </c>
      <c r="B175" s="1" t="n">
        <v>45924.26582175926</v>
      </c>
      <c r="C175" s="1" t="n">
        <v>46032</v>
      </c>
      <c r="D175" t="inlineStr">
        <is>
          <t>DALARNAS LÄN</t>
        </is>
      </c>
      <c r="E175" t="inlineStr">
        <is>
          <t>HEDEMORA</t>
        </is>
      </c>
      <c r="G175" t="n">
        <v>4.7</v>
      </c>
      <c r="H175" t="n">
        <v>0</v>
      </c>
      <c r="I175" t="n">
        <v>0</v>
      </c>
      <c r="J175" t="n">
        <v>0</v>
      </c>
      <c r="K175" t="n">
        <v>0</v>
      </c>
      <c r="L175" t="n">
        <v>0</v>
      </c>
      <c r="M175" t="n">
        <v>0</v>
      </c>
      <c r="N175" t="n">
        <v>0</v>
      </c>
      <c r="O175" t="n">
        <v>0</v>
      </c>
      <c r="P175" t="n">
        <v>0</v>
      </c>
      <c r="Q175" t="n">
        <v>0</v>
      </c>
      <c r="R175" s="2" t="inlineStr"/>
    </row>
    <row r="176" ht="15" customHeight="1">
      <c r="A176" t="inlineStr">
        <is>
          <t>A 45938-2025</t>
        </is>
      </c>
      <c r="B176" s="1" t="n">
        <v>45924.27704861111</v>
      </c>
      <c r="C176" s="1" t="n">
        <v>46032</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46287-2025</t>
        </is>
      </c>
      <c r="B177" s="1" t="n">
        <v>45925.38450231482</v>
      </c>
      <c r="C177" s="1" t="n">
        <v>46032</v>
      </c>
      <c r="D177" t="inlineStr">
        <is>
          <t>DALARNAS LÄN</t>
        </is>
      </c>
      <c r="E177" t="inlineStr">
        <is>
          <t>HEDEMORA</t>
        </is>
      </c>
      <c r="G177" t="n">
        <v>7.3</v>
      </c>
      <c r="H177" t="n">
        <v>0</v>
      </c>
      <c r="I177" t="n">
        <v>0</v>
      </c>
      <c r="J177" t="n">
        <v>0</v>
      </c>
      <c r="K177" t="n">
        <v>0</v>
      </c>
      <c r="L177" t="n">
        <v>0</v>
      </c>
      <c r="M177" t="n">
        <v>0</v>
      </c>
      <c r="N177" t="n">
        <v>0</v>
      </c>
      <c r="O177" t="n">
        <v>0</v>
      </c>
      <c r="P177" t="n">
        <v>0</v>
      </c>
      <c r="Q177" t="n">
        <v>0</v>
      </c>
      <c r="R177" s="2" t="inlineStr"/>
    </row>
    <row r="178" ht="15" customHeight="1">
      <c r="A178" t="inlineStr">
        <is>
          <t>A 45983-2025</t>
        </is>
      </c>
      <c r="B178" s="1" t="n">
        <v>45924.37988425926</v>
      </c>
      <c r="C178" s="1" t="n">
        <v>46032</v>
      </c>
      <c r="D178" t="inlineStr">
        <is>
          <t>DALARNAS LÄN</t>
        </is>
      </c>
      <c r="E178" t="inlineStr">
        <is>
          <t>HEDEMORA</t>
        </is>
      </c>
      <c r="G178" t="n">
        <v>1.2</v>
      </c>
      <c r="H178" t="n">
        <v>0</v>
      </c>
      <c r="I178" t="n">
        <v>0</v>
      </c>
      <c r="J178" t="n">
        <v>0</v>
      </c>
      <c r="K178" t="n">
        <v>0</v>
      </c>
      <c r="L178" t="n">
        <v>0</v>
      </c>
      <c r="M178" t="n">
        <v>0</v>
      </c>
      <c r="N178" t="n">
        <v>0</v>
      </c>
      <c r="O178" t="n">
        <v>0</v>
      </c>
      <c r="P178" t="n">
        <v>0</v>
      </c>
      <c r="Q178" t="n">
        <v>0</v>
      </c>
      <c r="R178" s="2" t="inlineStr"/>
    </row>
    <row r="179" ht="15" customHeight="1">
      <c r="A179" t="inlineStr">
        <is>
          <t>A 30582-2025</t>
        </is>
      </c>
      <c r="B179" s="1" t="n">
        <v>45831.42349537037</v>
      </c>
      <c r="C179" s="1" t="n">
        <v>46032</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30472-2025</t>
        </is>
      </c>
      <c r="B180" s="1" t="n">
        <v>45827.94671296296</v>
      </c>
      <c r="C180" s="1" t="n">
        <v>46032</v>
      </c>
      <c r="D180" t="inlineStr">
        <is>
          <t>DALARNAS LÄN</t>
        </is>
      </c>
      <c r="E180" t="inlineStr">
        <is>
          <t>HEDEMORA</t>
        </is>
      </c>
      <c r="G180" t="n">
        <v>1.1</v>
      </c>
      <c r="H180" t="n">
        <v>0</v>
      </c>
      <c r="I180" t="n">
        <v>0</v>
      </c>
      <c r="J180" t="n">
        <v>0</v>
      </c>
      <c r="K180" t="n">
        <v>0</v>
      </c>
      <c r="L180" t="n">
        <v>0</v>
      </c>
      <c r="M180" t="n">
        <v>0</v>
      </c>
      <c r="N180" t="n">
        <v>0</v>
      </c>
      <c r="O180" t="n">
        <v>0</v>
      </c>
      <c r="P180" t="n">
        <v>0</v>
      </c>
      <c r="Q180" t="n">
        <v>0</v>
      </c>
      <c r="R180" s="2" t="inlineStr"/>
    </row>
    <row r="181" ht="15" customHeight="1">
      <c r="A181" t="inlineStr">
        <is>
          <t>A 30471-2025</t>
        </is>
      </c>
      <c r="B181" s="1" t="n">
        <v>45827.94552083333</v>
      </c>
      <c r="C181" s="1" t="n">
        <v>46032</v>
      </c>
      <c r="D181" t="inlineStr">
        <is>
          <t>DALARNAS LÄN</t>
        </is>
      </c>
      <c r="E181" t="inlineStr">
        <is>
          <t>HEDEMORA</t>
        </is>
      </c>
      <c r="G181" t="n">
        <v>0.3</v>
      </c>
      <c r="H181" t="n">
        <v>0</v>
      </c>
      <c r="I181" t="n">
        <v>0</v>
      </c>
      <c r="J181" t="n">
        <v>0</v>
      </c>
      <c r="K181" t="n">
        <v>0</v>
      </c>
      <c r="L181" t="n">
        <v>0</v>
      </c>
      <c r="M181" t="n">
        <v>0</v>
      </c>
      <c r="N181" t="n">
        <v>0</v>
      </c>
      <c r="O181" t="n">
        <v>0</v>
      </c>
      <c r="P181" t="n">
        <v>0</v>
      </c>
      <c r="Q181" t="n">
        <v>0</v>
      </c>
      <c r="R181" s="2" t="inlineStr"/>
    </row>
    <row r="182" ht="15" customHeight="1">
      <c r="A182" t="inlineStr">
        <is>
          <t>A 22270-2023</t>
        </is>
      </c>
      <c r="B182" s="1" t="n">
        <v>45070.39284722223</v>
      </c>
      <c r="C182" s="1" t="n">
        <v>46032</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16413-2024</t>
        </is>
      </c>
      <c r="B183" s="1" t="n">
        <v>45407.64223379629</v>
      </c>
      <c r="C183" s="1" t="n">
        <v>46032</v>
      </c>
      <c r="D183" t="inlineStr">
        <is>
          <t>DALARNAS LÄN</t>
        </is>
      </c>
      <c r="E183" t="inlineStr">
        <is>
          <t>HEDEMORA</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52316-2025</t>
        </is>
      </c>
      <c r="B184" s="1" t="n">
        <v>45953.65537037037</v>
      </c>
      <c r="C184" s="1" t="n">
        <v>46032</v>
      </c>
      <c r="D184" t="inlineStr">
        <is>
          <t>DALARNAS LÄN</t>
        </is>
      </c>
      <c r="E184" t="inlineStr">
        <is>
          <t>HEDEMORA</t>
        </is>
      </c>
      <c r="F184" t="inlineStr">
        <is>
          <t>Sveaskog</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52325-2025</t>
        </is>
      </c>
      <c r="B185" s="1" t="n">
        <v>45953.67032407408</v>
      </c>
      <c r="C185" s="1" t="n">
        <v>46032</v>
      </c>
      <c r="D185" t="inlineStr">
        <is>
          <t>DALARNAS LÄN</t>
        </is>
      </c>
      <c r="E185" t="inlineStr">
        <is>
          <t>HEDEMORA</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60445-2025</t>
        </is>
      </c>
      <c r="B186" s="1" t="n">
        <v>45995.4909837963</v>
      </c>
      <c r="C186" s="1" t="n">
        <v>46032</v>
      </c>
      <c r="D186" t="inlineStr">
        <is>
          <t>DALARNAS LÄN</t>
        </is>
      </c>
      <c r="E186" t="inlineStr">
        <is>
          <t>HEDEMORA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52759-2025</t>
        </is>
      </c>
      <c r="B187" s="1" t="n">
        <v>45957.39364583333</v>
      </c>
      <c r="C187" s="1" t="n">
        <v>46032</v>
      </c>
      <c r="D187" t="inlineStr">
        <is>
          <t>DALARNAS LÄN</t>
        </is>
      </c>
      <c r="E187" t="inlineStr">
        <is>
          <t>HEDEMORA</t>
        </is>
      </c>
      <c r="G187" t="n">
        <v>0.8</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46032</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46032</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48238-2025</t>
        </is>
      </c>
      <c r="B190" s="1" t="n">
        <v>45933.53237268519</v>
      </c>
      <c r="C190" s="1" t="n">
        <v>46032</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47841-2025</t>
        </is>
      </c>
      <c r="B191" s="1" t="n">
        <v>45932.37429398148</v>
      </c>
      <c r="C191" s="1" t="n">
        <v>46032</v>
      </c>
      <c r="D191" t="inlineStr">
        <is>
          <t>DALARNAS LÄN</t>
        </is>
      </c>
      <c r="E191" t="inlineStr">
        <is>
          <t>HEDEMORA</t>
        </is>
      </c>
      <c r="G191" t="n">
        <v>3</v>
      </c>
      <c r="H191" t="n">
        <v>0</v>
      </c>
      <c r="I191" t="n">
        <v>0</v>
      </c>
      <c r="J191" t="n">
        <v>0</v>
      </c>
      <c r="K191" t="n">
        <v>0</v>
      </c>
      <c r="L191" t="n">
        <v>0</v>
      </c>
      <c r="M191" t="n">
        <v>0</v>
      </c>
      <c r="N191" t="n">
        <v>0</v>
      </c>
      <c r="O191" t="n">
        <v>0</v>
      </c>
      <c r="P191" t="n">
        <v>0</v>
      </c>
      <c r="Q191" t="n">
        <v>0</v>
      </c>
      <c r="R191" s="2" t="inlineStr"/>
    </row>
    <row r="192" ht="15" customHeight="1">
      <c r="A192" t="inlineStr">
        <is>
          <t>A 32865-2025</t>
        </is>
      </c>
      <c r="B192" s="1" t="n">
        <v>45839.58767361111</v>
      </c>
      <c r="C192" s="1" t="n">
        <v>46032</v>
      </c>
      <c r="D192" t="inlineStr">
        <is>
          <t>DALARNAS LÄN</t>
        </is>
      </c>
      <c r="E192" t="inlineStr">
        <is>
          <t>HEDEMORA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48076-2025</t>
        </is>
      </c>
      <c r="B193" s="1" t="n">
        <v>45932.7075</v>
      </c>
      <c r="C193" s="1" t="n">
        <v>46032</v>
      </c>
      <c r="D193" t="inlineStr">
        <is>
          <t>DALARNAS LÄN</t>
        </is>
      </c>
      <c r="E193" t="inlineStr">
        <is>
          <t>HEDEMORA</t>
        </is>
      </c>
      <c r="G193" t="n">
        <v>5.1</v>
      </c>
      <c r="H193" t="n">
        <v>0</v>
      </c>
      <c r="I193" t="n">
        <v>0</v>
      </c>
      <c r="J193" t="n">
        <v>0</v>
      </c>
      <c r="K193" t="n">
        <v>0</v>
      </c>
      <c r="L193" t="n">
        <v>0</v>
      </c>
      <c r="M193" t="n">
        <v>0</v>
      </c>
      <c r="N193" t="n">
        <v>0</v>
      </c>
      <c r="O193" t="n">
        <v>0</v>
      </c>
      <c r="P193" t="n">
        <v>0</v>
      </c>
      <c r="Q193" t="n">
        <v>0</v>
      </c>
      <c r="R193" s="2" t="inlineStr"/>
    </row>
    <row r="194" ht="15" customHeight="1">
      <c r="A194" t="inlineStr">
        <is>
          <t>A 32869-2025</t>
        </is>
      </c>
      <c r="B194" s="1" t="n">
        <v>45839.58927083333</v>
      </c>
      <c r="C194" s="1" t="n">
        <v>46032</v>
      </c>
      <c r="D194" t="inlineStr">
        <is>
          <t>DALARNAS LÄN</t>
        </is>
      </c>
      <c r="E194" t="inlineStr">
        <is>
          <t>HEDEMORA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5766-2025</t>
        </is>
      </c>
      <c r="B195" s="1" t="n">
        <v>45694.57893518519</v>
      </c>
      <c r="C195" s="1" t="n">
        <v>46032</v>
      </c>
      <c r="D195" t="inlineStr">
        <is>
          <t>DALARNAS LÄN</t>
        </is>
      </c>
      <c r="E195" t="inlineStr">
        <is>
          <t>HEDEMORA</t>
        </is>
      </c>
      <c r="G195" t="n">
        <v>4.9</v>
      </c>
      <c r="H195" t="n">
        <v>0</v>
      </c>
      <c r="I195" t="n">
        <v>0</v>
      </c>
      <c r="J195" t="n">
        <v>0</v>
      </c>
      <c r="K195" t="n">
        <v>0</v>
      </c>
      <c r="L195" t="n">
        <v>0</v>
      </c>
      <c r="M195" t="n">
        <v>0</v>
      </c>
      <c r="N195" t="n">
        <v>0</v>
      </c>
      <c r="O195" t="n">
        <v>0</v>
      </c>
      <c r="P195" t="n">
        <v>0</v>
      </c>
      <c r="Q195" t="n">
        <v>0</v>
      </c>
      <c r="R195" s="2" t="inlineStr"/>
    </row>
    <row r="196" ht="15" customHeight="1">
      <c r="A196" t="inlineStr">
        <is>
          <t>A 19473-2024</t>
        </is>
      </c>
      <c r="B196" s="1" t="n">
        <v>45429</v>
      </c>
      <c r="C196" s="1" t="n">
        <v>46032</v>
      </c>
      <c r="D196" t="inlineStr">
        <is>
          <t>DALARNAS LÄN</t>
        </is>
      </c>
      <c r="E196" t="inlineStr">
        <is>
          <t>HEDEMORA</t>
        </is>
      </c>
      <c r="G196" t="n">
        <v>2.5</v>
      </c>
      <c r="H196" t="n">
        <v>0</v>
      </c>
      <c r="I196" t="n">
        <v>0</v>
      </c>
      <c r="J196" t="n">
        <v>0</v>
      </c>
      <c r="K196" t="n">
        <v>0</v>
      </c>
      <c r="L196" t="n">
        <v>0</v>
      </c>
      <c r="M196" t="n">
        <v>0</v>
      </c>
      <c r="N196" t="n">
        <v>0</v>
      </c>
      <c r="O196" t="n">
        <v>0</v>
      </c>
      <c r="P196" t="n">
        <v>0</v>
      </c>
      <c r="Q196" t="n">
        <v>0</v>
      </c>
      <c r="R196" s="2" t="inlineStr"/>
    </row>
    <row r="197" ht="15" customHeight="1">
      <c r="A197" t="inlineStr">
        <is>
          <t>A 48381-2025</t>
        </is>
      </c>
      <c r="B197" s="1" t="n">
        <v>45933.81800925926</v>
      </c>
      <c r="C197" s="1" t="n">
        <v>46032</v>
      </c>
      <c r="D197" t="inlineStr">
        <is>
          <t>DALARNAS LÄN</t>
        </is>
      </c>
      <c r="E197" t="inlineStr">
        <is>
          <t>HEDEMORA</t>
        </is>
      </c>
      <c r="F197" t="inlineStr">
        <is>
          <t>Sveaskog</t>
        </is>
      </c>
      <c r="G197" t="n">
        <v>6.3</v>
      </c>
      <c r="H197" t="n">
        <v>0</v>
      </c>
      <c r="I197" t="n">
        <v>0</v>
      </c>
      <c r="J197" t="n">
        <v>0</v>
      </c>
      <c r="K197" t="n">
        <v>0</v>
      </c>
      <c r="L197" t="n">
        <v>0</v>
      </c>
      <c r="M197" t="n">
        <v>0</v>
      </c>
      <c r="N197" t="n">
        <v>0</v>
      </c>
      <c r="O197" t="n">
        <v>0</v>
      </c>
      <c r="P197" t="n">
        <v>0</v>
      </c>
      <c r="Q197" t="n">
        <v>0</v>
      </c>
      <c r="R197" s="2" t="inlineStr"/>
    </row>
    <row r="198" ht="15" customHeight="1">
      <c r="A198" t="inlineStr">
        <is>
          <t>A 23501-2023</t>
        </is>
      </c>
      <c r="B198" s="1" t="n">
        <v>45076.73979166667</v>
      </c>
      <c r="C198" s="1" t="n">
        <v>46032</v>
      </c>
      <c r="D198" t="inlineStr">
        <is>
          <t>DALARNAS LÄN</t>
        </is>
      </c>
      <c r="E198" t="inlineStr">
        <is>
          <t>HEDEMORA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50885-2023</t>
        </is>
      </c>
      <c r="B199" s="1" t="n">
        <v>45218.38459490741</v>
      </c>
      <c r="C199" s="1" t="n">
        <v>46032</v>
      </c>
      <c r="D199" t="inlineStr">
        <is>
          <t>DALARNAS LÄN</t>
        </is>
      </c>
      <c r="E199" t="inlineStr">
        <is>
          <t>HEDEMORA</t>
        </is>
      </c>
      <c r="G199" t="n">
        <v>0.7</v>
      </c>
      <c r="H199" t="n">
        <v>0</v>
      </c>
      <c r="I199" t="n">
        <v>0</v>
      </c>
      <c r="J199" t="n">
        <v>0</v>
      </c>
      <c r="K199" t="n">
        <v>0</v>
      </c>
      <c r="L199" t="n">
        <v>0</v>
      </c>
      <c r="M199" t="n">
        <v>0</v>
      </c>
      <c r="N199" t="n">
        <v>0</v>
      </c>
      <c r="O199" t="n">
        <v>0</v>
      </c>
      <c r="P199" t="n">
        <v>0</v>
      </c>
      <c r="Q199" t="n">
        <v>0</v>
      </c>
      <c r="R199" s="2" t="inlineStr"/>
    </row>
    <row r="200" ht="15" customHeight="1">
      <c r="A200" t="inlineStr">
        <is>
          <t>A 33009-2025</t>
        </is>
      </c>
      <c r="B200" s="1" t="n">
        <v>45840</v>
      </c>
      <c r="C200" s="1" t="n">
        <v>46032</v>
      </c>
      <c r="D200" t="inlineStr">
        <is>
          <t>DALARNAS LÄN</t>
        </is>
      </c>
      <c r="E200" t="inlineStr">
        <is>
          <t>HEDEMORA</t>
        </is>
      </c>
      <c r="F200" t="inlineStr">
        <is>
          <t>Kyrkan</t>
        </is>
      </c>
      <c r="G200" t="n">
        <v>7.6</v>
      </c>
      <c r="H200" t="n">
        <v>0</v>
      </c>
      <c r="I200" t="n">
        <v>0</v>
      </c>
      <c r="J200" t="n">
        <v>0</v>
      </c>
      <c r="K200" t="n">
        <v>0</v>
      </c>
      <c r="L200" t="n">
        <v>0</v>
      </c>
      <c r="M200" t="n">
        <v>0</v>
      </c>
      <c r="N200" t="n">
        <v>0</v>
      </c>
      <c r="O200" t="n">
        <v>0</v>
      </c>
      <c r="P200" t="n">
        <v>0</v>
      </c>
      <c r="Q200" t="n">
        <v>0</v>
      </c>
      <c r="R200" s="2" t="inlineStr"/>
    </row>
    <row r="201" ht="15" customHeight="1">
      <c r="A201" t="inlineStr">
        <is>
          <t>A 53576-2023</t>
        </is>
      </c>
      <c r="B201" s="1" t="n">
        <v>45230.50288194444</v>
      </c>
      <c r="C201" s="1" t="n">
        <v>46032</v>
      </c>
      <c r="D201" t="inlineStr">
        <is>
          <t>DALARNAS LÄN</t>
        </is>
      </c>
      <c r="E201" t="inlineStr">
        <is>
          <t>HEDEMORA</t>
        </is>
      </c>
      <c r="G201" t="n">
        <v>0.9</v>
      </c>
      <c r="H201" t="n">
        <v>0</v>
      </c>
      <c r="I201" t="n">
        <v>0</v>
      </c>
      <c r="J201" t="n">
        <v>0</v>
      </c>
      <c r="K201" t="n">
        <v>0</v>
      </c>
      <c r="L201" t="n">
        <v>0</v>
      </c>
      <c r="M201" t="n">
        <v>0</v>
      </c>
      <c r="N201" t="n">
        <v>0</v>
      </c>
      <c r="O201" t="n">
        <v>0</v>
      </c>
      <c r="P201" t="n">
        <v>0</v>
      </c>
      <c r="Q201" t="n">
        <v>0</v>
      </c>
      <c r="R201" s="2" t="inlineStr"/>
    </row>
    <row r="202" ht="15" customHeight="1">
      <c r="A202" t="inlineStr">
        <is>
          <t>A 53588-2023</t>
        </is>
      </c>
      <c r="B202" s="1" t="n">
        <v>45230.53109953704</v>
      </c>
      <c r="C202" s="1" t="n">
        <v>46032</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33286-2025</t>
        </is>
      </c>
      <c r="B203" s="1" t="n">
        <v>45840.81065972222</v>
      </c>
      <c r="C203" s="1" t="n">
        <v>46032</v>
      </c>
      <c r="D203" t="inlineStr">
        <is>
          <t>DALARNAS LÄN</t>
        </is>
      </c>
      <c r="E203" t="inlineStr">
        <is>
          <t>HEDEMORA</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8342-2025</t>
        </is>
      </c>
      <c r="B204" s="1" t="n">
        <v>45708.67251157408</v>
      </c>
      <c r="C204" s="1" t="n">
        <v>46032</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49942-2025</t>
        </is>
      </c>
      <c r="B205" s="1" t="n">
        <v>45940.69508101852</v>
      </c>
      <c r="C205" s="1" t="n">
        <v>46032</v>
      </c>
      <c r="D205" t="inlineStr">
        <is>
          <t>DALARNAS LÄN</t>
        </is>
      </c>
      <c r="E205" t="inlineStr">
        <is>
          <t>HEDEMORA</t>
        </is>
      </c>
      <c r="G205" t="n">
        <v>2</v>
      </c>
      <c r="H205" t="n">
        <v>0</v>
      </c>
      <c r="I205" t="n">
        <v>0</v>
      </c>
      <c r="J205" t="n">
        <v>0</v>
      </c>
      <c r="K205" t="n">
        <v>0</v>
      </c>
      <c r="L205" t="n">
        <v>0</v>
      </c>
      <c r="M205" t="n">
        <v>0</v>
      </c>
      <c r="N205" t="n">
        <v>0</v>
      </c>
      <c r="O205" t="n">
        <v>0</v>
      </c>
      <c r="P205" t="n">
        <v>0</v>
      </c>
      <c r="Q205" t="n">
        <v>0</v>
      </c>
      <c r="R205" s="2" t="inlineStr"/>
    </row>
    <row r="206" ht="15" customHeight="1">
      <c r="A206" t="inlineStr">
        <is>
          <t>A 28029-2023</t>
        </is>
      </c>
      <c r="B206" s="1" t="n">
        <v>45099</v>
      </c>
      <c r="C206" s="1" t="n">
        <v>46032</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50040-2025</t>
        </is>
      </c>
      <c r="B207" s="1" t="n">
        <v>45943.40377314815</v>
      </c>
      <c r="C207" s="1" t="n">
        <v>46032</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50043-2025</t>
        </is>
      </c>
      <c r="B208" s="1" t="n">
        <v>45943.40546296296</v>
      </c>
      <c r="C208" s="1" t="n">
        <v>46032</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50038-2025</t>
        </is>
      </c>
      <c r="B209" s="1" t="n">
        <v>45943.40084490741</v>
      </c>
      <c r="C209" s="1" t="n">
        <v>46032</v>
      </c>
      <c r="D209" t="inlineStr">
        <is>
          <t>DALARNAS LÄN</t>
        </is>
      </c>
      <c r="E209" t="inlineStr">
        <is>
          <t>HEDEMORA</t>
        </is>
      </c>
      <c r="G209" t="n">
        <v>2.9</v>
      </c>
      <c r="H209" t="n">
        <v>0</v>
      </c>
      <c r="I209" t="n">
        <v>0</v>
      </c>
      <c r="J209" t="n">
        <v>0</v>
      </c>
      <c r="K209" t="n">
        <v>0</v>
      </c>
      <c r="L209" t="n">
        <v>0</v>
      </c>
      <c r="M209" t="n">
        <v>0</v>
      </c>
      <c r="N209" t="n">
        <v>0</v>
      </c>
      <c r="O209" t="n">
        <v>0</v>
      </c>
      <c r="P209" t="n">
        <v>0</v>
      </c>
      <c r="Q209" t="n">
        <v>0</v>
      </c>
      <c r="R209" s="2" t="inlineStr"/>
    </row>
    <row r="210" ht="15" customHeight="1">
      <c r="A210" t="inlineStr">
        <is>
          <t>A 50101-2025</t>
        </is>
      </c>
      <c r="B210" s="1" t="n">
        <v>45943.53317129629</v>
      </c>
      <c r="C210" s="1" t="n">
        <v>46032</v>
      </c>
      <c r="D210" t="inlineStr">
        <is>
          <t>DALARNAS LÄN</t>
        </is>
      </c>
      <c r="E210" t="inlineStr">
        <is>
          <t>HEDEMORA</t>
        </is>
      </c>
      <c r="G210" t="n">
        <v>3.5</v>
      </c>
      <c r="H210" t="n">
        <v>0</v>
      </c>
      <c r="I210" t="n">
        <v>0</v>
      </c>
      <c r="J210" t="n">
        <v>0</v>
      </c>
      <c r="K210" t="n">
        <v>0</v>
      </c>
      <c r="L210" t="n">
        <v>0</v>
      </c>
      <c r="M210" t="n">
        <v>0</v>
      </c>
      <c r="N210" t="n">
        <v>0</v>
      </c>
      <c r="O210" t="n">
        <v>0</v>
      </c>
      <c r="P210" t="n">
        <v>0</v>
      </c>
      <c r="Q210" t="n">
        <v>0</v>
      </c>
      <c r="R210" s="2" t="inlineStr"/>
    </row>
    <row r="211" ht="15" customHeight="1">
      <c r="A211" t="inlineStr">
        <is>
          <t>A 49772-2025</t>
        </is>
      </c>
      <c r="B211" s="1" t="n">
        <v>45940.37288194444</v>
      </c>
      <c r="C211" s="1" t="n">
        <v>46032</v>
      </c>
      <c r="D211" t="inlineStr">
        <is>
          <t>DALARNAS LÄN</t>
        </is>
      </c>
      <c r="E211" t="inlineStr">
        <is>
          <t>HEDEMORA</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50115-2025</t>
        </is>
      </c>
      <c r="B212" s="1" t="n">
        <v>45943.54636574074</v>
      </c>
      <c r="C212" s="1" t="n">
        <v>46032</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50078-2025</t>
        </is>
      </c>
      <c r="B213" s="1" t="n">
        <v>45943</v>
      </c>
      <c r="C213" s="1" t="n">
        <v>46032</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49771-2025</t>
        </is>
      </c>
      <c r="B214" s="1" t="n">
        <v>45940.36981481482</v>
      </c>
      <c r="C214" s="1" t="n">
        <v>46032</v>
      </c>
      <c r="D214" t="inlineStr">
        <is>
          <t>DALARNAS LÄN</t>
        </is>
      </c>
      <c r="E214" t="inlineStr">
        <is>
          <t>HEDEMORA</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32071-2021</t>
        </is>
      </c>
      <c r="B215" s="1" t="n">
        <v>44370.90546296296</v>
      </c>
      <c r="C215" s="1" t="n">
        <v>46032</v>
      </c>
      <c r="D215" t="inlineStr">
        <is>
          <t>DALARNAS LÄN</t>
        </is>
      </c>
      <c r="E215" t="inlineStr">
        <is>
          <t>HEDEMORA</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52853-2025</t>
        </is>
      </c>
      <c r="B216" s="1" t="n">
        <v>45957.49408564815</v>
      </c>
      <c r="C216" s="1" t="n">
        <v>46032</v>
      </c>
      <c r="D216" t="inlineStr">
        <is>
          <t>DALARNAS LÄN</t>
        </is>
      </c>
      <c r="E216" t="inlineStr">
        <is>
          <t>HEDEMORA</t>
        </is>
      </c>
      <c r="G216" t="n">
        <v>1.5</v>
      </c>
      <c r="H216" t="n">
        <v>0</v>
      </c>
      <c r="I216" t="n">
        <v>0</v>
      </c>
      <c r="J216" t="n">
        <v>0</v>
      </c>
      <c r="K216" t="n">
        <v>0</v>
      </c>
      <c r="L216" t="n">
        <v>0</v>
      </c>
      <c r="M216" t="n">
        <v>0</v>
      </c>
      <c r="N216" t="n">
        <v>0</v>
      </c>
      <c r="O216" t="n">
        <v>0</v>
      </c>
      <c r="P216" t="n">
        <v>0</v>
      </c>
      <c r="Q216" t="n">
        <v>0</v>
      </c>
      <c r="R216" s="2" t="inlineStr"/>
    </row>
    <row r="217" ht="15" customHeight="1">
      <c r="A217" t="inlineStr">
        <is>
          <t>A 29585-2024</t>
        </is>
      </c>
      <c r="B217" s="1" t="n">
        <v>45484.57728009259</v>
      </c>
      <c r="C217" s="1" t="n">
        <v>46032</v>
      </c>
      <c r="D217" t="inlineStr">
        <is>
          <t>DALARNAS LÄN</t>
        </is>
      </c>
      <c r="E217" t="inlineStr">
        <is>
          <t>HEDEMORA</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61136-2025</t>
        </is>
      </c>
      <c r="B218" s="1" t="n">
        <v>46000.50141203704</v>
      </c>
      <c r="C218" s="1" t="n">
        <v>46032</v>
      </c>
      <c r="D218" t="inlineStr">
        <is>
          <t>DALARNAS LÄN</t>
        </is>
      </c>
      <c r="E218" t="inlineStr">
        <is>
          <t>HEDEMORA</t>
        </is>
      </c>
      <c r="F218" t="inlineStr">
        <is>
          <t>Bergvik skog väst AB</t>
        </is>
      </c>
      <c r="G218" t="n">
        <v>6.2</v>
      </c>
      <c r="H218" t="n">
        <v>0</v>
      </c>
      <c r="I218" t="n">
        <v>0</v>
      </c>
      <c r="J218" t="n">
        <v>0</v>
      </c>
      <c r="K218" t="n">
        <v>0</v>
      </c>
      <c r="L218" t="n">
        <v>0</v>
      </c>
      <c r="M218" t="n">
        <v>0</v>
      </c>
      <c r="N218" t="n">
        <v>0</v>
      </c>
      <c r="O218" t="n">
        <v>0</v>
      </c>
      <c r="P218" t="n">
        <v>0</v>
      </c>
      <c r="Q218" t="n">
        <v>0</v>
      </c>
      <c r="R218" s="2" t="inlineStr"/>
    </row>
    <row r="219" ht="15" customHeight="1">
      <c r="A219" t="inlineStr">
        <is>
          <t>A 34734-2025</t>
        </is>
      </c>
      <c r="B219" s="1" t="n">
        <v>45848</v>
      </c>
      <c r="C219" s="1" t="n">
        <v>46032</v>
      </c>
      <c r="D219" t="inlineStr">
        <is>
          <t>DALARNAS LÄN</t>
        </is>
      </c>
      <c r="E219" t="inlineStr">
        <is>
          <t>HEDEMORA</t>
        </is>
      </c>
      <c r="G219" t="n">
        <v>2.5</v>
      </c>
      <c r="H219" t="n">
        <v>0</v>
      </c>
      <c r="I219" t="n">
        <v>0</v>
      </c>
      <c r="J219" t="n">
        <v>0</v>
      </c>
      <c r="K219" t="n">
        <v>0</v>
      </c>
      <c r="L219" t="n">
        <v>0</v>
      </c>
      <c r="M219" t="n">
        <v>0</v>
      </c>
      <c r="N219" t="n">
        <v>0</v>
      </c>
      <c r="O219" t="n">
        <v>0</v>
      </c>
      <c r="P219" t="n">
        <v>0</v>
      </c>
      <c r="Q219" t="n">
        <v>0</v>
      </c>
      <c r="R219" s="2" t="inlineStr"/>
    </row>
    <row r="220" ht="15" customHeight="1">
      <c r="A220" t="inlineStr">
        <is>
          <t>A 35103-2025</t>
        </is>
      </c>
      <c r="B220" s="1" t="n">
        <v>45852.56914351852</v>
      </c>
      <c r="C220" s="1" t="n">
        <v>46032</v>
      </c>
      <c r="D220" t="inlineStr">
        <is>
          <t>DALARNAS LÄN</t>
        </is>
      </c>
      <c r="E220" t="inlineStr">
        <is>
          <t>HEDEMORA</t>
        </is>
      </c>
      <c r="G220" t="n">
        <v>6.2</v>
      </c>
      <c r="H220" t="n">
        <v>0</v>
      </c>
      <c r="I220" t="n">
        <v>0</v>
      </c>
      <c r="J220" t="n">
        <v>0</v>
      </c>
      <c r="K220" t="n">
        <v>0</v>
      </c>
      <c r="L220" t="n">
        <v>0</v>
      </c>
      <c r="M220" t="n">
        <v>0</v>
      </c>
      <c r="N220" t="n">
        <v>0</v>
      </c>
      <c r="O220" t="n">
        <v>0</v>
      </c>
      <c r="P220" t="n">
        <v>0</v>
      </c>
      <c r="Q220" t="n">
        <v>0</v>
      </c>
      <c r="R220" s="2" t="inlineStr"/>
    </row>
    <row r="221" ht="15" customHeight="1">
      <c r="A221" t="inlineStr">
        <is>
          <t>A 60858-2025</t>
        </is>
      </c>
      <c r="B221" s="1" t="n">
        <v>45999.52246527778</v>
      </c>
      <c r="C221" s="1" t="n">
        <v>46032</v>
      </c>
      <c r="D221" t="inlineStr">
        <is>
          <t>DALARNAS LÄN</t>
        </is>
      </c>
      <c r="E221" t="inlineStr">
        <is>
          <t>HEDEMORA</t>
        </is>
      </c>
      <c r="G221" t="n">
        <v>2.7</v>
      </c>
      <c r="H221" t="n">
        <v>0</v>
      </c>
      <c r="I221" t="n">
        <v>0</v>
      </c>
      <c r="J221" t="n">
        <v>0</v>
      </c>
      <c r="K221" t="n">
        <v>0</v>
      </c>
      <c r="L221" t="n">
        <v>0</v>
      </c>
      <c r="M221" t="n">
        <v>0</v>
      </c>
      <c r="N221" t="n">
        <v>0</v>
      </c>
      <c r="O221" t="n">
        <v>0</v>
      </c>
      <c r="P221" t="n">
        <v>0</v>
      </c>
      <c r="Q221" t="n">
        <v>0</v>
      </c>
      <c r="R221" s="2" t="inlineStr"/>
    </row>
    <row r="222" ht="15" customHeight="1">
      <c r="A222" t="inlineStr">
        <is>
          <t>A 30205-2022</t>
        </is>
      </c>
      <c r="B222" s="1" t="n">
        <v>44757.74415509259</v>
      </c>
      <c r="C222" s="1" t="n">
        <v>46032</v>
      </c>
      <c r="D222" t="inlineStr">
        <is>
          <t>DALARNAS LÄN</t>
        </is>
      </c>
      <c r="E222" t="inlineStr">
        <is>
          <t>HEDEMORA</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53586-2023</t>
        </is>
      </c>
      <c r="B223" s="1" t="n">
        <v>45230.52603009259</v>
      </c>
      <c r="C223" s="1" t="n">
        <v>46032</v>
      </c>
      <c r="D223" t="inlineStr">
        <is>
          <t>DALARNAS LÄN</t>
        </is>
      </c>
      <c r="E223" t="inlineStr">
        <is>
          <t>HEDEMORA</t>
        </is>
      </c>
      <c r="G223" t="n">
        <v>2.4</v>
      </c>
      <c r="H223" t="n">
        <v>0</v>
      </c>
      <c r="I223" t="n">
        <v>0</v>
      </c>
      <c r="J223" t="n">
        <v>0</v>
      </c>
      <c r="K223" t="n">
        <v>0</v>
      </c>
      <c r="L223" t="n">
        <v>0</v>
      </c>
      <c r="M223" t="n">
        <v>0</v>
      </c>
      <c r="N223" t="n">
        <v>0</v>
      </c>
      <c r="O223" t="n">
        <v>0</v>
      </c>
      <c r="P223" t="n">
        <v>0</v>
      </c>
      <c r="Q223" t="n">
        <v>0</v>
      </c>
      <c r="R223" s="2" t="inlineStr"/>
    </row>
    <row r="224" ht="15" customHeight="1">
      <c r="A224" t="inlineStr">
        <is>
          <t>A 15048-2025</t>
        </is>
      </c>
      <c r="B224" s="1" t="n">
        <v>45743.69820601852</v>
      </c>
      <c r="C224" s="1" t="n">
        <v>46032</v>
      </c>
      <c r="D224" t="inlineStr">
        <is>
          <t>DALARNAS LÄN</t>
        </is>
      </c>
      <c r="E224" t="inlineStr">
        <is>
          <t>HEDEMORA</t>
        </is>
      </c>
      <c r="F224" t="inlineStr">
        <is>
          <t>Sveaskog</t>
        </is>
      </c>
      <c r="G224" t="n">
        <v>9.1</v>
      </c>
      <c r="H224" t="n">
        <v>0</v>
      </c>
      <c r="I224" t="n">
        <v>0</v>
      </c>
      <c r="J224" t="n">
        <v>0</v>
      </c>
      <c r="K224" t="n">
        <v>0</v>
      </c>
      <c r="L224" t="n">
        <v>0</v>
      </c>
      <c r="M224" t="n">
        <v>0</v>
      </c>
      <c r="N224" t="n">
        <v>0</v>
      </c>
      <c r="O224" t="n">
        <v>0</v>
      </c>
      <c r="P224" t="n">
        <v>0</v>
      </c>
      <c r="Q224" t="n">
        <v>0</v>
      </c>
      <c r="R224" s="2" t="inlineStr"/>
    </row>
    <row r="225" ht="15" customHeight="1">
      <c r="A225" t="inlineStr">
        <is>
          <t>A 61533-2021</t>
        </is>
      </c>
      <c r="B225" s="1" t="n">
        <v>44501</v>
      </c>
      <c r="C225" s="1" t="n">
        <v>46032</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15054-2025</t>
        </is>
      </c>
      <c r="B226" s="1" t="n">
        <v>45743.70199074074</v>
      </c>
      <c r="C226" s="1" t="n">
        <v>46032</v>
      </c>
      <c r="D226" t="inlineStr">
        <is>
          <t>DALARNAS LÄN</t>
        </is>
      </c>
      <c r="E226" t="inlineStr">
        <is>
          <t>HEDEMORA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53040-2025</t>
        </is>
      </c>
      <c r="B227" s="1" t="n">
        <v>45958.35328703704</v>
      </c>
      <c r="C227" s="1" t="n">
        <v>46032</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50333-2023</t>
        </is>
      </c>
      <c r="B228" s="1" t="n">
        <v>45216</v>
      </c>
      <c r="C228" s="1" t="n">
        <v>46032</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53042-2025</t>
        </is>
      </c>
      <c r="B229" s="1" t="n">
        <v>45958.35527777778</v>
      </c>
      <c r="C229" s="1" t="n">
        <v>46032</v>
      </c>
      <c r="D229" t="inlineStr">
        <is>
          <t>DALARNAS LÄN</t>
        </is>
      </c>
      <c r="E229" t="inlineStr">
        <is>
          <t>HEDEMORA</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36075-2025</t>
        </is>
      </c>
      <c r="B230" s="1" t="n">
        <v>45866.43974537037</v>
      </c>
      <c r="C230" s="1" t="n">
        <v>46032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7916-2024</t>
        </is>
      </c>
      <c r="B231" s="1" t="n">
        <v>45350.46259259259</v>
      </c>
      <c r="C231" s="1" t="n">
        <v>46032</v>
      </c>
      <c r="D231" t="inlineStr">
        <is>
          <t>DALARNAS LÄN</t>
        </is>
      </c>
      <c r="E231" t="inlineStr">
        <is>
          <t>HEDEMORA</t>
        </is>
      </c>
      <c r="G231" t="n">
        <v>5.8</v>
      </c>
      <c r="H231" t="n">
        <v>0</v>
      </c>
      <c r="I231" t="n">
        <v>0</v>
      </c>
      <c r="J231" t="n">
        <v>0</v>
      </c>
      <c r="K231" t="n">
        <v>0</v>
      </c>
      <c r="L231" t="n">
        <v>0</v>
      </c>
      <c r="M231" t="n">
        <v>0</v>
      </c>
      <c r="N231" t="n">
        <v>0</v>
      </c>
      <c r="O231" t="n">
        <v>0</v>
      </c>
      <c r="P231" t="n">
        <v>0</v>
      </c>
      <c r="Q231" t="n">
        <v>0</v>
      </c>
      <c r="R231" s="2" t="inlineStr"/>
    </row>
    <row r="232" ht="15" customHeight="1">
      <c r="A232" t="inlineStr">
        <is>
          <t>A 36103-2025</t>
        </is>
      </c>
      <c r="B232" s="1" t="n">
        <v>45866.55335648148</v>
      </c>
      <c r="C232" s="1" t="n">
        <v>46032</v>
      </c>
      <c r="D232" t="inlineStr">
        <is>
          <t>DALARNAS LÄN</t>
        </is>
      </c>
      <c r="E232" t="inlineStr">
        <is>
          <t>HEDEMORA</t>
        </is>
      </c>
      <c r="G232" t="n">
        <v>2.3</v>
      </c>
      <c r="H232" t="n">
        <v>0</v>
      </c>
      <c r="I232" t="n">
        <v>0</v>
      </c>
      <c r="J232" t="n">
        <v>0</v>
      </c>
      <c r="K232" t="n">
        <v>0</v>
      </c>
      <c r="L232" t="n">
        <v>0</v>
      </c>
      <c r="M232" t="n">
        <v>0</v>
      </c>
      <c r="N232" t="n">
        <v>0</v>
      </c>
      <c r="O232" t="n">
        <v>0</v>
      </c>
      <c r="P232" t="n">
        <v>0</v>
      </c>
      <c r="Q232" t="n">
        <v>0</v>
      </c>
      <c r="R232" s="2" t="inlineStr"/>
    </row>
    <row r="233" ht="15" customHeight="1">
      <c r="A233" t="inlineStr">
        <is>
          <t>A 36117-2025</t>
        </is>
      </c>
      <c r="B233" s="1" t="n">
        <v>45866.58664351852</v>
      </c>
      <c r="C233" s="1" t="n">
        <v>46032</v>
      </c>
      <c r="D233" t="inlineStr">
        <is>
          <t>DALARNAS LÄN</t>
        </is>
      </c>
      <c r="E233" t="inlineStr">
        <is>
          <t>HEDEMORA</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53044-2025</t>
        </is>
      </c>
      <c r="B234" s="1" t="n">
        <v>45958.35663194444</v>
      </c>
      <c r="C234" s="1" t="n">
        <v>46032</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36206-2025</t>
        </is>
      </c>
      <c r="B235" s="1" t="n">
        <v>45867.45057870371</v>
      </c>
      <c r="C235" s="1" t="n">
        <v>46032</v>
      </c>
      <c r="D235" t="inlineStr">
        <is>
          <t>DALARNAS LÄN</t>
        </is>
      </c>
      <c r="E235" t="inlineStr">
        <is>
          <t>HEDEMORA</t>
        </is>
      </c>
      <c r="G235" t="n">
        <v>0.1</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46032</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53551-2025</t>
        </is>
      </c>
      <c r="B237" s="1" t="n">
        <v>45960.3875</v>
      </c>
      <c r="C237" s="1" t="n">
        <v>46032</v>
      </c>
      <c r="D237" t="inlineStr">
        <is>
          <t>DALARNAS LÄN</t>
        </is>
      </c>
      <c r="E237" t="inlineStr">
        <is>
          <t>HEDEMORA</t>
        </is>
      </c>
      <c r="G237" t="n">
        <v>6.2</v>
      </c>
      <c r="H237" t="n">
        <v>0</v>
      </c>
      <c r="I237" t="n">
        <v>0</v>
      </c>
      <c r="J237" t="n">
        <v>0</v>
      </c>
      <c r="K237" t="n">
        <v>0</v>
      </c>
      <c r="L237" t="n">
        <v>0</v>
      </c>
      <c r="M237" t="n">
        <v>0</v>
      </c>
      <c r="N237" t="n">
        <v>0</v>
      </c>
      <c r="O237" t="n">
        <v>0</v>
      </c>
      <c r="P237" t="n">
        <v>0</v>
      </c>
      <c r="Q237" t="n">
        <v>0</v>
      </c>
      <c r="R237" s="2" t="inlineStr"/>
    </row>
    <row r="238" ht="15" customHeight="1">
      <c r="A238" t="inlineStr">
        <is>
          <t>A 20271-2025</t>
        </is>
      </c>
      <c r="B238" s="1" t="n">
        <v>45773.71568287037</v>
      </c>
      <c r="C238" s="1" t="n">
        <v>46032</v>
      </c>
      <c r="D238" t="inlineStr">
        <is>
          <t>DALARNAS LÄN</t>
        </is>
      </c>
      <c r="E238" t="inlineStr">
        <is>
          <t>HEDEMORA</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20273-2025</t>
        </is>
      </c>
      <c r="B239" s="1" t="n">
        <v>45773.71921296296</v>
      </c>
      <c r="C239" s="1" t="n">
        <v>46032</v>
      </c>
      <c r="D239" t="inlineStr">
        <is>
          <t>DALARNAS LÄN</t>
        </is>
      </c>
      <c r="E239" t="inlineStr">
        <is>
          <t>HEDEMORA</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29128-2025</t>
        </is>
      </c>
      <c r="B240" s="1" t="n">
        <v>45821.60116898148</v>
      </c>
      <c r="C240" s="1" t="n">
        <v>46032</v>
      </c>
      <c r="D240" t="inlineStr">
        <is>
          <t>DALARNAS LÄN</t>
        </is>
      </c>
      <c r="E240" t="inlineStr">
        <is>
          <t>HEDEMORA</t>
        </is>
      </c>
      <c r="F240" t="inlineStr">
        <is>
          <t>Sveaskog</t>
        </is>
      </c>
      <c r="G240" t="n">
        <v>15.5</v>
      </c>
      <c r="H240" t="n">
        <v>0</v>
      </c>
      <c r="I240" t="n">
        <v>0</v>
      </c>
      <c r="J240" t="n">
        <v>0</v>
      </c>
      <c r="K240" t="n">
        <v>0</v>
      </c>
      <c r="L240" t="n">
        <v>0</v>
      </c>
      <c r="M240" t="n">
        <v>0</v>
      </c>
      <c r="N240" t="n">
        <v>0</v>
      </c>
      <c r="O240" t="n">
        <v>0</v>
      </c>
      <c r="P240" t="n">
        <v>0</v>
      </c>
      <c r="Q240" t="n">
        <v>0</v>
      </c>
      <c r="R240" s="2" t="inlineStr"/>
    </row>
    <row r="241" ht="15" customHeight="1">
      <c r="A241" t="inlineStr">
        <is>
          <t>A 29792-2025</t>
        </is>
      </c>
      <c r="B241" s="1" t="n">
        <v>45825.66416666667</v>
      </c>
      <c r="C241" s="1" t="n">
        <v>46032</v>
      </c>
      <c r="D241" t="inlineStr">
        <is>
          <t>DALARNAS LÄN</t>
        </is>
      </c>
      <c r="E241" t="inlineStr">
        <is>
          <t>HEDEMORA</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34409-2022</t>
        </is>
      </c>
      <c r="B242" s="1" t="n">
        <v>44792</v>
      </c>
      <c r="C242" s="1" t="n">
        <v>46032</v>
      </c>
      <c r="D242" t="inlineStr">
        <is>
          <t>DALARNAS LÄN</t>
        </is>
      </c>
      <c r="E242" t="inlineStr">
        <is>
          <t>HEDEMORA</t>
        </is>
      </c>
      <c r="G242" t="n">
        <v>13.7</v>
      </c>
      <c r="H242" t="n">
        <v>0</v>
      </c>
      <c r="I242" t="n">
        <v>0</v>
      </c>
      <c r="J242" t="n">
        <v>0</v>
      </c>
      <c r="K242" t="n">
        <v>0</v>
      </c>
      <c r="L242" t="n">
        <v>0</v>
      </c>
      <c r="M242" t="n">
        <v>0</v>
      </c>
      <c r="N242" t="n">
        <v>0</v>
      </c>
      <c r="O242" t="n">
        <v>0</v>
      </c>
      <c r="P242" t="n">
        <v>0</v>
      </c>
      <c r="Q242" t="n">
        <v>0</v>
      </c>
      <c r="R242" s="2" t="inlineStr"/>
    </row>
    <row r="243" ht="15" customHeight="1">
      <c r="A243" t="inlineStr">
        <is>
          <t>A 44960-2021</t>
        </is>
      </c>
      <c r="B243" s="1" t="n">
        <v>44438.72253472222</v>
      </c>
      <c r="C243" s="1" t="n">
        <v>46032</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21864-2025</t>
        </is>
      </c>
      <c r="B244" s="1" t="n">
        <v>45784</v>
      </c>
      <c r="C244" s="1" t="n">
        <v>46032</v>
      </c>
      <c r="D244" t="inlineStr">
        <is>
          <t>DALARNAS LÄN</t>
        </is>
      </c>
      <c r="E244" t="inlineStr">
        <is>
          <t>HEDEMORA</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19690-2025</t>
        </is>
      </c>
      <c r="B245" s="1" t="n">
        <v>45770</v>
      </c>
      <c r="C245" s="1" t="n">
        <v>46032</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34932-2024</t>
        </is>
      </c>
      <c r="B246" s="1" t="n">
        <v>45527.45431712963</v>
      </c>
      <c r="C246" s="1" t="n">
        <v>46032</v>
      </c>
      <c r="D246" t="inlineStr">
        <is>
          <t>DALARNAS LÄN</t>
        </is>
      </c>
      <c r="E246" t="inlineStr">
        <is>
          <t>HEDEMORA</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21868-2025</t>
        </is>
      </c>
      <c r="B247" s="1" t="n">
        <v>45784</v>
      </c>
      <c r="C247" s="1" t="n">
        <v>46032</v>
      </c>
      <c r="D247" t="inlineStr">
        <is>
          <t>DALARNAS LÄN</t>
        </is>
      </c>
      <c r="E247" t="inlineStr">
        <is>
          <t>HEDEMORA</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54040-2025</t>
        </is>
      </c>
      <c r="B248" s="1" t="n">
        <v>45963.74130787037</v>
      </c>
      <c r="C248" s="1" t="n">
        <v>46032</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46032</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45290-2025</t>
        </is>
      </c>
      <c r="B250" s="1" t="n">
        <v>45920.37158564815</v>
      </c>
      <c r="C250" s="1" t="n">
        <v>46032</v>
      </c>
      <c r="D250" t="inlineStr">
        <is>
          <t>DALARNAS LÄN</t>
        </is>
      </c>
      <c r="E250" t="inlineStr">
        <is>
          <t>HEDEMORA</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29303-2023</t>
        </is>
      </c>
      <c r="B251" s="1" t="n">
        <v>45105</v>
      </c>
      <c r="C251" s="1" t="n">
        <v>46032</v>
      </c>
      <c r="D251" t="inlineStr">
        <is>
          <t>DALARNAS LÄN</t>
        </is>
      </c>
      <c r="E251" t="inlineStr">
        <is>
          <t>HEDEMORA</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33287-2025</t>
        </is>
      </c>
      <c r="B252" s="1" t="n">
        <v>45840.81216435185</v>
      </c>
      <c r="C252" s="1" t="n">
        <v>46032</v>
      </c>
      <c r="D252" t="inlineStr">
        <is>
          <t>DALARNAS LÄN</t>
        </is>
      </c>
      <c r="E252" t="inlineStr">
        <is>
          <t>HEDEMORA</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62407-2025</t>
        </is>
      </c>
      <c r="B253" s="1" t="n">
        <v>46007.43217592593</v>
      </c>
      <c r="C253" s="1" t="n">
        <v>46032</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23435-2025</t>
        </is>
      </c>
      <c r="B254" s="1" t="n">
        <v>45792.37162037037</v>
      </c>
      <c r="C254" s="1" t="n">
        <v>46032</v>
      </c>
      <c r="D254" t="inlineStr">
        <is>
          <t>DALARNAS LÄN</t>
        </is>
      </c>
      <c r="E254" t="inlineStr">
        <is>
          <t>HEDEMORA</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21869-2025</t>
        </is>
      </c>
      <c r="B255" s="1" t="n">
        <v>45784.37449074074</v>
      </c>
      <c r="C255" s="1" t="n">
        <v>46032</v>
      </c>
      <c r="D255" t="inlineStr">
        <is>
          <t>DALARNAS LÄN</t>
        </is>
      </c>
      <c r="E255" t="inlineStr">
        <is>
          <t>HEDEMORA</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59232-2023</t>
        </is>
      </c>
      <c r="B256" s="1" t="n">
        <v>45253.5053587963</v>
      </c>
      <c r="C256" s="1" t="n">
        <v>46032</v>
      </c>
      <c r="D256" t="inlineStr">
        <is>
          <t>DALARNAS LÄN</t>
        </is>
      </c>
      <c r="E256" t="inlineStr">
        <is>
          <t>HEDEMORA</t>
        </is>
      </c>
      <c r="G256" t="n">
        <v>3.7</v>
      </c>
      <c r="H256" t="n">
        <v>0</v>
      </c>
      <c r="I256" t="n">
        <v>0</v>
      </c>
      <c r="J256" t="n">
        <v>0</v>
      </c>
      <c r="K256" t="n">
        <v>0</v>
      </c>
      <c r="L256" t="n">
        <v>0</v>
      </c>
      <c r="M256" t="n">
        <v>0</v>
      </c>
      <c r="N256" t="n">
        <v>0</v>
      </c>
      <c r="O256" t="n">
        <v>0</v>
      </c>
      <c r="P256" t="n">
        <v>0</v>
      </c>
      <c r="Q256" t="n">
        <v>0</v>
      </c>
      <c r="R256" s="2" t="inlineStr"/>
    </row>
    <row r="257" ht="15" customHeight="1">
      <c r="A257" t="inlineStr">
        <is>
          <t>A 3089-2024</t>
        </is>
      </c>
      <c r="B257" s="1" t="n">
        <v>45316</v>
      </c>
      <c r="C257" s="1" t="n">
        <v>46032</v>
      </c>
      <c r="D257" t="inlineStr">
        <is>
          <t>DALARNAS LÄN</t>
        </is>
      </c>
      <c r="E257" t="inlineStr">
        <is>
          <t>HEDEMORA</t>
        </is>
      </c>
      <c r="G257" t="n">
        <v>5.5</v>
      </c>
      <c r="H257" t="n">
        <v>0</v>
      </c>
      <c r="I257" t="n">
        <v>0</v>
      </c>
      <c r="J257" t="n">
        <v>0</v>
      </c>
      <c r="K257" t="n">
        <v>0</v>
      </c>
      <c r="L257" t="n">
        <v>0</v>
      </c>
      <c r="M257" t="n">
        <v>0</v>
      </c>
      <c r="N257" t="n">
        <v>0</v>
      </c>
      <c r="O257" t="n">
        <v>0</v>
      </c>
      <c r="P257" t="n">
        <v>0</v>
      </c>
      <c r="Q257" t="n">
        <v>0</v>
      </c>
      <c r="R257" s="2" t="inlineStr"/>
    </row>
    <row r="258" ht="15" customHeight="1">
      <c r="A258" t="inlineStr">
        <is>
          <t>A 29587-2024</t>
        </is>
      </c>
      <c r="B258" s="1" t="n">
        <v>45484.5799537037</v>
      </c>
      <c r="C258" s="1" t="n">
        <v>46032</v>
      </c>
      <c r="D258" t="inlineStr">
        <is>
          <t>DALARNAS LÄN</t>
        </is>
      </c>
      <c r="E258" t="inlineStr">
        <is>
          <t>HEDEMORA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54829-2025</t>
        </is>
      </c>
      <c r="B259" s="1" t="n">
        <v>45966.67506944444</v>
      </c>
      <c r="C259" s="1" t="n">
        <v>46032</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53584-2023</t>
        </is>
      </c>
      <c r="B260" s="1" t="n">
        <v>45230</v>
      </c>
      <c r="C260" s="1" t="n">
        <v>46032</v>
      </c>
      <c r="D260" t="inlineStr">
        <is>
          <t>DALARNAS LÄN</t>
        </is>
      </c>
      <c r="E260" t="inlineStr">
        <is>
          <t>HEDEMORA</t>
        </is>
      </c>
      <c r="G260" t="n">
        <v>6.6</v>
      </c>
      <c r="H260" t="n">
        <v>0</v>
      </c>
      <c r="I260" t="n">
        <v>0</v>
      </c>
      <c r="J260" t="n">
        <v>0</v>
      </c>
      <c r="K260" t="n">
        <v>0</v>
      </c>
      <c r="L260" t="n">
        <v>0</v>
      </c>
      <c r="M260" t="n">
        <v>0</v>
      </c>
      <c r="N260" t="n">
        <v>0</v>
      </c>
      <c r="O260" t="n">
        <v>0</v>
      </c>
      <c r="P260" t="n">
        <v>0</v>
      </c>
      <c r="Q260" t="n">
        <v>0</v>
      </c>
      <c r="R260" s="2" t="inlineStr"/>
    </row>
    <row r="261" ht="15" customHeight="1">
      <c r="A261" t="inlineStr">
        <is>
          <t>A 54830-2025</t>
        </is>
      </c>
      <c r="B261" s="1" t="n">
        <v>45966.67681712963</v>
      </c>
      <c r="C261" s="1" t="n">
        <v>46032</v>
      </c>
      <c r="D261" t="inlineStr">
        <is>
          <t>DALARNAS LÄN</t>
        </is>
      </c>
      <c r="E261" t="inlineStr">
        <is>
          <t>HEDEMORA</t>
        </is>
      </c>
      <c r="G261" t="n">
        <v>1.4</v>
      </c>
      <c r="H261" t="n">
        <v>0</v>
      </c>
      <c r="I261" t="n">
        <v>0</v>
      </c>
      <c r="J261" t="n">
        <v>0</v>
      </c>
      <c r="K261" t="n">
        <v>0</v>
      </c>
      <c r="L261" t="n">
        <v>0</v>
      </c>
      <c r="M261" t="n">
        <v>0</v>
      </c>
      <c r="N261" t="n">
        <v>0</v>
      </c>
      <c r="O261" t="n">
        <v>0</v>
      </c>
      <c r="P261" t="n">
        <v>0</v>
      </c>
      <c r="Q261" t="n">
        <v>0</v>
      </c>
      <c r="R261" s="2" t="inlineStr"/>
    </row>
    <row r="262" ht="15" customHeight="1">
      <c r="A262" t="inlineStr">
        <is>
          <t>A 60786-2023</t>
        </is>
      </c>
      <c r="B262" s="1" t="n">
        <v>45260.64891203704</v>
      </c>
      <c r="C262" s="1" t="n">
        <v>46032</v>
      </c>
      <c r="D262" t="inlineStr">
        <is>
          <t>DALARNAS LÄN</t>
        </is>
      </c>
      <c r="E262" t="inlineStr">
        <is>
          <t>HEDEMORA</t>
        </is>
      </c>
      <c r="G262" t="n">
        <v>7.1</v>
      </c>
      <c r="H262" t="n">
        <v>0</v>
      </c>
      <c r="I262" t="n">
        <v>0</v>
      </c>
      <c r="J262" t="n">
        <v>0</v>
      </c>
      <c r="K262" t="n">
        <v>0</v>
      </c>
      <c r="L262" t="n">
        <v>0</v>
      </c>
      <c r="M262" t="n">
        <v>0</v>
      </c>
      <c r="N262" t="n">
        <v>0</v>
      </c>
      <c r="O262" t="n">
        <v>0</v>
      </c>
      <c r="P262" t="n">
        <v>0</v>
      </c>
      <c r="Q262" t="n">
        <v>0</v>
      </c>
      <c r="R262" s="2" t="inlineStr"/>
    </row>
    <row r="263" ht="15" customHeight="1">
      <c r="A263" t="inlineStr">
        <is>
          <t>A 26612-2021</t>
        </is>
      </c>
      <c r="B263" s="1" t="n">
        <v>44348.64942129629</v>
      </c>
      <c r="C263" s="1" t="n">
        <v>46032</v>
      </c>
      <c r="D263" t="inlineStr">
        <is>
          <t>DALARNAS LÄN</t>
        </is>
      </c>
      <c r="E263" t="inlineStr">
        <is>
          <t>HEDEMORA</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57745-2024</t>
        </is>
      </c>
      <c r="B264" s="1" t="n">
        <v>45630.77605324074</v>
      </c>
      <c r="C264" s="1" t="n">
        <v>46032</v>
      </c>
      <c r="D264" t="inlineStr">
        <is>
          <t>DALARNAS LÄN</t>
        </is>
      </c>
      <c r="E264" t="inlineStr">
        <is>
          <t>HEDEMORA</t>
        </is>
      </c>
      <c r="G264" t="n">
        <v>1.1</v>
      </c>
      <c r="H264" t="n">
        <v>0</v>
      </c>
      <c r="I264" t="n">
        <v>0</v>
      </c>
      <c r="J264" t="n">
        <v>0</v>
      </c>
      <c r="K264" t="n">
        <v>0</v>
      </c>
      <c r="L264" t="n">
        <v>0</v>
      </c>
      <c r="M264" t="n">
        <v>0</v>
      </c>
      <c r="N264" t="n">
        <v>0</v>
      </c>
      <c r="O264" t="n">
        <v>0</v>
      </c>
      <c r="P264" t="n">
        <v>0</v>
      </c>
      <c r="Q264" t="n">
        <v>0</v>
      </c>
      <c r="R264" s="2" t="inlineStr"/>
    </row>
    <row r="265" ht="15" customHeight="1">
      <c r="A265" t="inlineStr">
        <is>
          <t>A 48147-2025</t>
        </is>
      </c>
      <c r="B265" s="1" t="n">
        <v>45933</v>
      </c>
      <c r="C265" s="1" t="n">
        <v>46032</v>
      </c>
      <c r="D265" t="inlineStr">
        <is>
          <t>DALARNAS LÄN</t>
        </is>
      </c>
      <c r="E265" t="inlineStr">
        <is>
          <t>HEDEMORA</t>
        </is>
      </c>
      <c r="G265" t="n">
        <v>6.6</v>
      </c>
      <c r="H265" t="n">
        <v>0</v>
      </c>
      <c r="I265" t="n">
        <v>0</v>
      </c>
      <c r="J265" t="n">
        <v>0</v>
      </c>
      <c r="K265" t="n">
        <v>0</v>
      </c>
      <c r="L265" t="n">
        <v>0</v>
      </c>
      <c r="M265" t="n">
        <v>0</v>
      </c>
      <c r="N265" t="n">
        <v>0</v>
      </c>
      <c r="O265" t="n">
        <v>0</v>
      </c>
      <c r="P265" t="n">
        <v>0</v>
      </c>
      <c r="Q265" t="n">
        <v>0</v>
      </c>
      <c r="R265" s="2" t="inlineStr"/>
    </row>
    <row r="266" ht="15" customHeight="1">
      <c r="A266" t="inlineStr">
        <is>
          <t>A 55159-2025</t>
        </is>
      </c>
      <c r="B266" s="1" t="n">
        <v>45968.46832175926</v>
      </c>
      <c r="C266" s="1" t="n">
        <v>46032</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33288-2025</t>
        </is>
      </c>
      <c r="B267" s="1" t="n">
        <v>45840</v>
      </c>
      <c r="C267" s="1" t="n">
        <v>46032</v>
      </c>
      <c r="D267" t="inlineStr">
        <is>
          <t>DALARNAS LÄN</t>
        </is>
      </c>
      <c r="E267" t="inlineStr">
        <is>
          <t>HEDEMORA</t>
        </is>
      </c>
      <c r="F267" t="inlineStr">
        <is>
          <t>Sveaskog</t>
        </is>
      </c>
      <c r="G267" t="n">
        <v>3.5</v>
      </c>
      <c r="H267" t="n">
        <v>0</v>
      </c>
      <c r="I267" t="n">
        <v>0</v>
      </c>
      <c r="J267" t="n">
        <v>0</v>
      </c>
      <c r="K267" t="n">
        <v>0</v>
      </c>
      <c r="L267" t="n">
        <v>0</v>
      </c>
      <c r="M267" t="n">
        <v>0</v>
      </c>
      <c r="N267" t="n">
        <v>0</v>
      </c>
      <c r="O267" t="n">
        <v>0</v>
      </c>
      <c r="P267" t="n">
        <v>0</v>
      </c>
      <c r="Q267" t="n">
        <v>0</v>
      </c>
      <c r="R267" s="2" t="inlineStr"/>
    </row>
    <row r="268" ht="15" customHeight="1">
      <c r="A268" t="inlineStr">
        <is>
          <t>A 39389-2025</t>
        </is>
      </c>
      <c r="B268" s="1" t="n">
        <v>45889.62181712963</v>
      </c>
      <c r="C268" s="1" t="n">
        <v>46032</v>
      </c>
      <c r="D268" t="inlineStr">
        <is>
          <t>DALARNAS LÄN</t>
        </is>
      </c>
      <c r="E268" t="inlineStr">
        <is>
          <t>HEDEMORA</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55917-2025</t>
        </is>
      </c>
      <c r="B269" s="1" t="n">
        <v>45973.41158564815</v>
      </c>
      <c r="C269" s="1" t="n">
        <v>46032</v>
      </c>
      <c r="D269" t="inlineStr">
        <is>
          <t>DALARNAS LÄN</t>
        </is>
      </c>
      <c r="E269" t="inlineStr">
        <is>
          <t>HEDEMORA</t>
        </is>
      </c>
      <c r="G269" t="n">
        <v>7.8</v>
      </c>
      <c r="H269" t="n">
        <v>0</v>
      </c>
      <c r="I269" t="n">
        <v>0</v>
      </c>
      <c r="J269" t="n">
        <v>0</v>
      </c>
      <c r="K269" t="n">
        <v>0</v>
      </c>
      <c r="L269" t="n">
        <v>0</v>
      </c>
      <c r="M269" t="n">
        <v>0</v>
      </c>
      <c r="N269" t="n">
        <v>0</v>
      </c>
      <c r="O269" t="n">
        <v>0</v>
      </c>
      <c r="P269" t="n">
        <v>0</v>
      </c>
      <c r="Q269" t="n">
        <v>0</v>
      </c>
      <c r="R269" s="2" t="inlineStr"/>
    </row>
    <row r="270" ht="15" customHeight="1">
      <c r="A270" t="inlineStr">
        <is>
          <t>A 55601-2025</t>
        </is>
      </c>
      <c r="B270" s="1" t="n">
        <v>45971.78122685185</v>
      </c>
      <c r="C270" s="1" t="n">
        <v>46032</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55606-2025</t>
        </is>
      </c>
      <c r="B271" s="1" t="n">
        <v>45971.79564814815</v>
      </c>
      <c r="C271" s="1" t="n">
        <v>46032</v>
      </c>
      <c r="D271" t="inlineStr">
        <is>
          <t>DALARNAS LÄN</t>
        </is>
      </c>
      <c r="E271" t="inlineStr">
        <is>
          <t>HEDEMORA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48254-2023</t>
        </is>
      </c>
      <c r="B272" s="1" t="n">
        <v>45205.53241898148</v>
      </c>
      <c r="C272" s="1" t="n">
        <v>46032</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c r="U272">
        <f>HYPERLINK("https://klasma.github.io/Logging_2083/knärot/A 48254-2023 karta knärot.png", "A 48254-2023")</f>
        <v/>
      </c>
      <c r="V272">
        <f>HYPERLINK("https://klasma.github.io/Logging_2083/klagomål/A 48254-2023 FSC-klagomål.docx", "A 48254-2023")</f>
        <v/>
      </c>
      <c r="W272">
        <f>HYPERLINK("https://klasma.github.io/Logging_2083/klagomålsmail/A 48254-2023 FSC-klagomål mail.docx", "A 48254-2023")</f>
        <v/>
      </c>
      <c r="X272">
        <f>HYPERLINK("https://klasma.github.io/Logging_2083/tillsyn/A 48254-2023 tillsynsbegäran.docx", "A 48254-2023")</f>
        <v/>
      </c>
      <c r="Y272">
        <f>HYPERLINK("https://klasma.github.io/Logging_2083/tillsynsmail/A 48254-2023 tillsynsbegäran mail.docx", "A 48254-2023")</f>
        <v/>
      </c>
    </row>
    <row r="273" ht="15" customHeight="1">
      <c r="A273" t="inlineStr">
        <is>
          <t>A 56070-2025</t>
        </is>
      </c>
      <c r="B273" s="1" t="n">
        <v>45973.65067129629</v>
      </c>
      <c r="C273" s="1" t="n">
        <v>46032</v>
      </c>
      <c r="D273" t="inlineStr">
        <is>
          <t>DALARNAS LÄN</t>
        </is>
      </c>
      <c r="E273" t="inlineStr">
        <is>
          <t>HEDEMORA</t>
        </is>
      </c>
      <c r="F273" t="inlineStr">
        <is>
          <t>Bergvik skog väst AB</t>
        </is>
      </c>
      <c r="G273" t="n">
        <v>5.4</v>
      </c>
      <c r="H273" t="n">
        <v>0</v>
      </c>
      <c r="I273" t="n">
        <v>0</v>
      </c>
      <c r="J273" t="n">
        <v>0</v>
      </c>
      <c r="K273" t="n">
        <v>0</v>
      </c>
      <c r="L273" t="n">
        <v>0</v>
      </c>
      <c r="M273" t="n">
        <v>0</v>
      </c>
      <c r="N273" t="n">
        <v>0</v>
      </c>
      <c r="O273" t="n">
        <v>0</v>
      </c>
      <c r="P273" t="n">
        <v>0</v>
      </c>
      <c r="Q273" t="n">
        <v>0</v>
      </c>
      <c r="R273" s="2" t="inlineStr"/>
    </row>
    <row r="274" ht="15" customHeight="1">
      <c r="A274" t="inlineStr">
        <is>
          <t>A 56378-2025</t>
        </is>
      </c>
      <c r="B274" s="1" t="n">
        <v>45974.70207175926</v>
      </c>
      <c r="C274" s="1" t="n">
        <v>46032</v>
      </c>
      <c r="D274" t="inlineStr">
        <is>
          <t>DALARNAS LÄN</t>
        </is>
      </c>
      <c r="E274" t="inlineStr">
        <is>
          <t>HEDEMORA</t>
        </is>
      </c>
      <c r="G274" t="n">
        <v>2.8</v>
      </c>
      <c r="H274" t="n">
        <v>0</v>
      </c>
      <c r="I274" t="n">
        <v>0</v>
      </c>
      <c r="J274" t="n">
        <v>0</v>
      </c>
      <c r="K274" t="n">
        <v>0</v>
      </c>
      <c r="L274" t="n">
        <v>0</v>
      </c>
      <c r="M274" t="n">
        <v>0</v>
      </c>
      <c r="N274" t="n">
        <v>0</v>
      </c>
      <c r="O274" t="n">
        <v>0</v>
      </c>
      <c r="P274" t="n">
        <v>0</v>
      </c>
      <c r="Q274" t="n">
        <v>0</v>
      </c>
      <c r="R274" s="2" t="inlineStr"/>
    </row>
    <row r="275" ht="15" customHeight="1">
      <c r="A275" t="inlineStr">
        <is>
          <t>A 65057-2023</t>
        </is>
      </c>
      <c r="B275" s="1" t="n">
        <v>45287</v>
      </c>
      <c r="C275" s="1" t="n">
        <v>46032</v>
      </c>
      <c r="D275" t="inlineStr">
        <is>
          <t>DALARNAS LÄN</t>
        </is>
      </c>
      <c r="E275" t="inlineStr">
        <is>
          <t>HEDEMORA</t>
        </is>
      </c>
      <c r="G275" t="n">
        <v>1.8</v>
      </c>
      <c r="H275" t="n">
        <v>0</v>
      </c>
      <c r="I275" t="n">
        <v>0</v>
      </c>
      <c r="J275" t="n">
        <v>0</v>
      </c>
      <c r="K275" t="n">
        <v>0</v>
      </c>
      <c r="L275" t="n">
        <v>0</v>
      </c>
      <c r="M275" t="n">
        <v>0</v>
      </c>
      <c r="N275" t="n">
        <v>0</v>
      </c>
      <c r="O275" t="n">
        <v>0</v>
      </c>
      <c r="P275" t="n">
        <v>0</v>
      </c>
      <c r="Q275" t="n">
        <v>0</v>
      </c>
      <c r="R275" s="2" t="inlineStr"/>
    </row>
    <row r="276" ht="15" customHeight="1">
      <c r="A276" t="inlineStr">
        <is>
          <t>A 56676-2025</t>
        </is>
      </c>
      <c r="B276" s="1" t="n">
        <v>45975.7162962963</v>
      </c>
      <c r="C276" s="1" t="n">
        <v>46032</v>
      </c>
      <c r="D276" t="inlineStr">
        <is>
          <t>DALARNAS LÄN</t>
        </is>
      </c>
      <c r="E276" t="inlineStr">
        <is>
          <t>HEDEMORA</t>
        </is>
      </c>
      <c r="G276" t="n">
        <v>0.8</v>
      </c>
      <c r="H276" t="n">
        <v>0</v>
      </c>
      <c r="I276" t="n">
        <v>0</v>
      </c>
      <c r="J276" t="n">
        <v>0</v>
      </c>
      <c r="K276" t="n">
        <v>0</v>
      </c>
      <c r="L276" t="n">
        <v>0</v>
      </c>
      <c r="M276" t="n">
        <v>0</v>
      </c>
      <c r="N276" t="n">
        <v>0</v>
      </c>
      <c r="O276" t="n">
        <v>0</v>
      </c>
      <c r="P276" t="n">
        <v>0</v>
      </c>
      <c r="Q276" t="n">
        <v>0</v>
      </c>
      <c r="R276" s="2" t="inlineStr"/>
    </row>
    <row r="277" ht="15" customHeight="1">
      <c r="A277" t="inlineStr">
        <is>
          <t>A 56679-2025</t>
        </is>
      </c>
      <c r="B277" s="1" t="n">
        <v>45975.78238425926</v>
      </c>
      <c r="C277" s="1" t="n">
        <v>46032</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55832-2024</t>
        </is>
      </c>
      <c r="B278" s="1" t="n">
        <v>45623.48604166666</v>
      </c>
      <c r="C278" s="1" t="n">
        <v>46032</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60774-2022</t>
        </is>
      </c>
      <c r="B279" s="1" t="n">
        <v>44914.37917824074</v>
      </c>
      <c r="C279" s="1" t="n">
        <v>46032</v>
      </c>
      <c r="D279" t="inlineStr">
        <is>
          <t>DALARNAS LÄN</t>
        </is>
      </c>
      <c r="E279" t="inlineStr">
        <is>
          <t>HEDEMORA</t>
        </is>
      </c>
      <c r="G279" t="n">
        <v>11.5</v>
      </c>
      <c r="H279" t="n">
        <v>0</v>
      </c>
      <c r="I279" t="n">
        <v>0</v>
      </c>
      <c r="J279" t="n">
        <v>0</v>
      </c>
      <c r="K279" t="n">
        <v>0</v>
      </c>
      <c r="L279" t="n">
        <v>0</v>
      </c>
      <c r="M279" t="n">
        <v>0</v>
      </c>
      <c r="N279" t="n">
        <v>0</v>
      </c>
      <c r="O279" t="n">
        <v>0</v>
      </c>
      <c r="P279" t="n">
        <v>0</v>
      </c>
      <c r="Q279" t="n">
        <v>0</v>
      </c>
      <c r="R279" s="2" t="inlineStr"/>
    </row>
    <row r="280" ht="15" customHeight="1">
      <c r="A280" t="inlineStr">
        <is>
          <t>A 57563-2025</t>
        </is>
      </c>
      <c r="B280" s="1" t="n">
        <v>45980.70671296296</v>
      </c>
      <c r="C280" s="1" t="n">
        <v>46032</v>
      </c>
      <c r="D280" t="inlineStr">
        <is>
          <t>DALARNAS LÄN</t>
        </is>
      </c>
      <c r="E280" t="inlineStr">
        <is>
          <t>HEDEMORA</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26449-2024</t>
        </is>
      </c>
      <c r="B281" s="1" t="n">
        <v>45469.50783564815</v>
      </c>
      <c r="C281" s="1" t="n">
        <v>46032</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63853-2025</t>
        </is>
      </c>
      <c r="B282" s="1" t="n">
        <v>46020.46744212963</v>
      </c>
      <c r="C282" s="1" t="n">
        <v>46032</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157-2026</t>
        </is>
      </c>
      <c r="B283" s="1" t="n">
        <v>46024.70857638889</v>
      </c>
      <c r="C283" s="1" t="n">
        <v>46032</v>
      </c>
      <c r="D283" t="inlineStr">
        <is>
          <t>DALARNAS LÄN</t>
        </is>
      </c>
      <c r="E283" t="inlineStr">
        <is>
          <t>HEDEMORA</t>
        </is>
      </c>
      <c r="G283" t="n">
        <v>21.2</v>
      </c>
      <c r="H283" t="n">
        <v>0</v>
      </c>
      <c r="I283" t="n">
        <v>0</v>
      </c>
      <c r="J283" t="n">
        <v>0</v>
      </c>
      <c r="K283" t="n">
        <v>0</v>
      </c>
      <c r="L283" t="n">
        <v>0</v>
      </c>
      <c r="M283" t="n">
        <v>0</v>
      </c>
      <c r="N283" t="n">
        <v>0</v>
      </c>
      <c r="O283" t="n">
        <v>0</v>
      </c>
      <c r="P283" t="n">
        <v>0</v>
      </c>
      <c r="Q283" t="n">
        <v>0</v>
      </c>
      <c r="R283" s="2" t="inlineStr"/>
    </row>
    <row r="284" ht="15" customHeight="1">
      <c r="A284" t="inlineStr">
        <is>
          <t>A 42894-2024</t>
        </is>
      </c>
      <c r="B284" s="1" t="n">
        <v>45566.82304398148</v>
      </c>
      <c r="C284" s="1" t="n">
        <v>46032</v>
      </c>
      <c r="D284" t="inlineStr">
        <is>
          <t>DALARNAS LÄN</t>
        </is>
      </c>
      <c r="E284" t="inlineStr">
        <is>
          <t>HEDEMORA</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42895-2024</t>
        </is>
      </c>
      <c r="B285" s="1" t="n">
        <v>45566.82385416667</v>
      </c>
      <c r="C285" s="1" t="n">
        <v>46032</v>
      </c>
      <c r="D285" t="inlineStr">
        <is>
          <t>DALARNAS LÄN</t>
        </is>
      </c>
      <c r="E285" t="inlineStr">
        <is>
          <t>HEDEMORA</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31365-2024</t>
        </is>
      </c>
      <c r="B286" s="1" t="n">
        <v>45505.37086805556</v>
      </c>
      <c r="C286" s="1" t="n">
        <v>46032</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64045-2025</t>
        </is>
      </c>
      <c r="B287" s="1" t="n">
        <v>46021.56877314814</v>
      </c>
      <c r="C287" s="1" t="n">
        <v>46032</v>
      </c>
      <c r="D287" t="inlineStr">
        <is>
          <t>DALARNAS LÄN</t>
        </is>
      </c>
      <c r="E287" t="inlineStr">
        <is>
          <t>HEDEMORA</t>
        </is>
      </c>
      <c r="G287" t="n">
        <v>3.1</v>
      </c>
      <c r="H287" t="n">
        <v>0</v>
      </c>
      <c r="I287" t="n">
        <v>0</v>
      </c>
      <c r="J287" t="n">
        <v>0</v>
      </c>
      <c r="K287" t="n">
        <v>0</v>
      </c>
      <c r="L287" t="n">
        <v>0</v>
      </c>
      <c r="M287" t="n">
        <v>0</v>
      </c>
      <c r="N287" t="n">
        <v>0</v>
      </c>
      <c r="O287" t="n">
        <v>0</v>
      </c>
      <c r="P287" t="n">
        <v>0</v>
      </c>
      <c r="Q287" t="n">
        <v>0</v>
      </c>
      <c r="R287" s="2" t="inlineStr"/>
    </row>
    <row r="288" ht="15" customHeight="1">
      <c r="A288" t="inlineStr">
        <is>
          <t>A 36935-2024</t>
        </is>
      </c>
      <c r="B288" s="1" t="n">
        <v>45538.56925925926</v>
      </c>
      <c r="C288" s="1" t="n">
        <v>46032</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306-2026</t>
        </is>
      </c>
      <c r="B289" s="1" t="n">
        <v>46027.54572916667</v>
      </c>
      <c r="C289" s="1" t="n">
        <v>46032</v>
      </c>
      <c r="D289" t="inlineStr">
        <is>
          <t>DALARNAS LÄN</t>
        </is>
      </c>
      <c r="E289" t="inlineStr">
        <is>
          <t>HEDEMORA</t>
        </is>
      </c>
      <c r="G289" t="n">
        <v>3.8</v>
      </c>
      <c r="H289" t="n">
        <v>0</v>
      </c>
      <c r="I289" t="n">
        <v>0</v>
      </c>
      <c r="J289" t="n">
        <v>0</v>
      </c>
      <c r="K289" t="n">
        <v>0</v>
      </c>
      <c r="L289" t="n">
        <v>0</v>
      </c>
      <c r="M289" t="n">
        <v>0</v>
      </c>
      <c r="N289" t="n">
        <v>0</v>
      </c>
      <c r="O289" t="n">
        <v>0</v>
      </c>
      <c r="P289" t="n">
        <v>0</v>
      </c>
      <c r="Q289" t="n">
        <v>0</v>
      </c>
      <c r="R289" s="2" t="inlineStr"/>
    </row>
    <row r="290" ht="15" customHeight="1">
      <c r="A290" t="inlineStr">
        <is>
          <t>A 58020-2025</t>
        </is>
      </c>
      <c r="B290" s="1" t="n">
        <v>45982.47819444445</v>
      </c>
      <c r="C290" s="1" t="n">
        <v>46032</v>
      </c>
      <c r="D290" t="inlineStr">
        <is>
          <t>DALARNAS LÄN</t>
        </is>
      </c>
      <c r="E290" t="inlineStr">
        <is>
          <t>HEDEMORA</t>
        </is>
      </c>
      <c r="G290" t="n">
        <v>0.6</v>
      </c>
      <c r="H290" t="n">
        <v>0</v>
      </c>
      <c r="I290" t="n">
        <v>0</v>
      </c>
      <c r="J290" t="n">
        <v>0</v>
      </c>
      <c r="K290" t="n">
        <v>0</v>
      </c>
      <c r="L290" t="n">
        <v>0</v>
      </c>
      <c r="M290" t="n">
        <v>0</v>
      </c>
      <c r="N290" t="n">
        <v>0</v>
      </c>
      <c r="O290" t="n">
        <v>0</v>
      </c>
      <c r="P290" t="n">
        <v>0</v>
      </c>
      <c r="Q290" t="n">
        <v>0</v>
      </c>
      <c r="R290" s="2" t="inlineStr"/>
    </row>
    <row r="291" ht="15" customHeight="1">
      <c r="A291" t="inlineStr">
        <is>
          <t>A 64032-2025</t>
        </is>
      </c>
      <c r="B291" s="1" t="n">
        <v>46021.50405092593</v>
      </c>
      <c r="C291" s="1" t="n">
        <v>46032</v>
      </c>
      <c r="D291" t="inlineStr">
        <is>
          <t>DALARNAS LÄN</t>
        </is>
      </c>
      <c r="E291" t="inlineStr">
        <is>
          <t>HEDEMORA</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64008-2025</t>
        </is>
      </c>
      <c r="B292" s="1" t="n">
        <v>46021.4262962963</v>
      </c>
      <c r="C292" s="1" t="n">
        <v>46032</v>
      </c>
      <c r="D292" t="inlineStr">
        <is>
          <t>DALARNAS LÄN</t>
        </is>
      </c>
      <c r="E292" t="inlineStr">
        <is>
          <t>HEDEMORA</t>
        </is>
      </c>
      <c r="G292" t="n">
        <v>7.1</v>
      </c>
      <c r="H292" t="n">
        <v>0</v>
      </c>
      <c r="I292" t="n">
        <v>0</v>
      </c>
      <c r="J292" t="n">
        <v>0</v>
      </c>
      <c r="K292" t="n">
        <v>0</v>
      </c>
      <c r="L292" t="n">
        <v>0</v>
      </c>
      <c r="M292" t="n">
        <v>0</v>
      </c>
      <c r="N292" t="n">
        <v>0</v>
      </c>
      <c r="O292" t="n">
        <v>0</v>
      </c>
      <c r="P292" t="n">
        <v>0</v>
      </c>
      <c r="Q292" t="n">
        <v>0</v>
      </c>
      <c r="R292" s="2" t="inlineStr"/>
    </row>
    <row r="293" ht="15" customHeight="1">
      <c r="A293" t="inlineStr">
        <is>
          <t>A 29640-2024</t>
        </is>
      </c>
      <c r="B293" s="1" t="n">
        <v>45484.69837962963</v>
      </c>
      <c r="C293" s="1" t="n">
        <v>46032</v>
      </c>
      <c r="D293" t="inlineStr">
        <is>
          <t>DALARNAS LÄN</t>
        </is>
      </c>
      <c r="E293" t="inlineStr">
        <is>
          <t>HEDEMORA</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60808-2024</t>
        </is>
      </c>
      <c r="B294" s="1" t="n">
        <v>45644.61251157407</v>
      </c>
      <c r="C294" s="1" t="n">
        <v>46032</v>
      </c>
      <c r="D294" t="inlineStr">
        <is>
          <t>DALARNAS LÄN</t>
        </is>
      </c>
      <c r="E294" t="inlineStr">
        <is>
          <t>HEDEMORA</t>
        </is>
      </c>
      <c r="G294" t="n">
        <v>6</v>
      </c>
      <c r="H294" t="n">
        <v>0</v>
      </c>
      <c r="I294" t="n">
        <v>0</v>
      </c>
      <c r="J294" t="n">
        <v>0</v>
      </c>
      <c r="K294" t="n">
        <v>0</v>
      </c>
      <c r="L294" t="n">
        <v>0</v>
      </c>
      <c r="M294" t="n">
        <v>0</v>
      </c>
      <c r="N294" t="n">
        <v>0</v>
      </c>
      <c r="O294" t="n">
        <v>0</v>
      </c>
      <c r="P294" t="n">
        <v>0</v>
      </c>
      <c r="Q294" t="n">
        <v>0</v>
      </c>
      <c r="R294" s="2" t="inlineStr"/>
    </row>
    <row r="295" ht="15" customHeight="1">
      <c r="A295" t="inlineStr">
        <is>
          <t>A 58705-2025</t>
        </is>
      </c>
      <c r="B295" s="1" t="n">
        <v>45986.60056712963</v>
      </c>
      <c r="C295" s="1" t="n">
        <v>46032</v>
      </c>
      <c r="D295" t="inlineStr">
        <is>
          <t>DALARNAS LÄN</t>
        </is>
      </c>
      <c r="E295" t="inlineStr">
        <is>
          <t>HEDEMORA</t>
        </is>
      </c>
      <c r="G295" t="n">
        <v>3</v>
      </c>
      <c r="H295" t="n">
        <v>0</v>
      </c>
      <c r="I295" t="n">
        <v>0</v>
      </c>
      <c r="J295" t="n">
        <v>0</v>
      </c>
      <c r="K295" t="n">
        <v>0</v>
      </c>
      <c r="L295" t="n">
        <v>0</v>
      </c>
      <c r="M295" t="n">
        <v>0</v>
      </c>
      <c r="N295" t="n">
        <v>0</v>
      </c>
      <c r="O295" t="n">
        <v>0</v>
      </c>
      <c r="P295" t="n">
        <v>0</v>
      </c>
      <c r="Q295" t="n">
        <v>0</v>
      </c>
      <c r="R295" s="2" t="inlineStr"/>
    </row>
    <row r="296" ht="15" customHeight="1">
      <c r="A296" t="inlineStr">
        <is>
          <t>A 12136-2025</t>
        </is>
      </c>
      <c r="B296" s="1" t="n">
        <v>45729.39300925926</v>
      </c>
      <c r="C296" s="1" t="n">
        <v>46032</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20666-2024</t>
        </is>
      </c>
      <c r="B297" s="1" t="n">
        <v>45436</v>
      </c>
      <c r="C297" s="1" t="n">
        <v>46032</v>
      </c>
      <c r="D297" t="inlineStr">
        <is>
          <t>DALARNAS LÄN</t>
        </is>
      </c>
      <c r="E297" t="inlineStr">
        <is>
          <t>HEDEMORA</t>
        </is>
      </c>
      <c r="G297" t="n">
        <v>5.1</v>
      </c>
      <c r="H297" t="n">
        <v>0</v>
      </c>
      <c r="I297" t="n">
        <v>0</v>
      </c>
      <c r="J297" t="n">
        <v>0</v>
      </c>
      <c r="K297" t="n">
        <v>0</v>
      </c>
      <c r="L297" t="n">
        <v>0</v>
      </c>
      <c r="M297" t="n">
        <v>0</v>
      </c>
      <c r="N297" t="n">
        <v>0</v>
      </c>
      <c r="O297" t="n">
        <v>0</v>
      </c>
      <c r="P297" t="n">
        <v>0</v>
      </c>
      <c r="Q297" t="n">
        <v>0</v>
      </c>
      <c r="R297" s="2" t="inlineStr"/>
    </row>
    <row r="298" ht="15" customHeight="1">
      <c r="A298" t="inlineStr">
        <is>
          <t>A 6441-2021</t>
        </is>
      </c>
      <c r="B298" s="1" t="n">
        <v>44235</v>
      </c>
      <c r="C298" s="1" t="n">
        <v>46032</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63916-2025</t>
        </is>
      </c>
      <c r="B299" s="1" t="n">
        <v>46020</v>
      </c>
      <c r="C299" s="1" t="n">
        <v>46032</v>
      </c>
      <c r="D299" t="inlineStr">
        <is>
          <t>DALARNAS LÄN</t>
        </is>
      </c>
      <c r="E299" t="inlineStr">
        <is>
          <t>HEDEMORA</t>
        </is>
      </c>
      <c r="G299" t="n">
        <v>2.1</v>
      </c>
      <c r="H299" t="n">
        <v>0</v>
      </c>
      <c r="I299" t="n">
        <v>0</v>
      </c>
      <c r="J299" t="n">
        <v>0</v>
      </c>
      <c r="K299" t="n">
        <v>0</v>
      </c>
      <c r="L299" t="n">
        <v>0</v>
      </c>
      <c r="M299" t="n">
        <v>0</v>
      </c>
      <c r="N299" t="n">
        <v>0</v>
      </c>
      <c r="O299" t="n">
        <v>0</v>
      </c>
      <c r="P299" t="n">
        <v>0</v>
      </c>
      <c r="Q299" t="n">
        <v>0</v>
      </c>
      <c r="R299" s="2" t="inlineStr"/>
    </row>
    <row r="300" ht="15" customHeight="1">
      <c r="A300" t="inlineStr">
        <is>
          <t>A 63913-2025</t>
        </is>
      </c>
      <c r="B300" s="1" t="n">
        <v>46020</v>
      </c>
      <c r="C300" s="1" t="n">
        <v>46032</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63900-2025</t>
        </is>
      </c>
      <c r="B301" s="1" t="n">
        <v>46020</v>
      </c>
      <c r="C301" s="1" t="n">
        <v>46032</v>
      </c>
      <c r="D301" t="inlineStr">
        <is>
          <t>DALARNAS LÄN</t>
        </is>
      </c>
      <c r="E301" t="inlineStr">
        <is>
          <t>HEDEMORA</t>
        </is>
      </c>
      <c r="G301" t="n">
        <v>3.4</v>
      </c>
      <c r="H301" t="n">
        <v>0</v>
      </c>
      <c r="I301" t="n">
        <v>0</v>
      </c>
      <c r="J301" t="n">
        <v>0</v>
      </c>
      <c r="K301" t="n">
        <v>0</v>
      </c>
      <c r="L301" t="n">
        <v>0</v>
      </c>
      <c r="M301" t="n">
        <v>0</v>
      </c>
      <c r="N301" t="n">
        <v>0</v>
      </c>
      <c r="O301" t="n">
        <v>0</v>
      </c>
      <c r="P301" t="n">
        <v>0</v>
      </c>
      <c r="Q301" t="n">
        <v>0</v>
      </c>
      <c r="R301" s="2" t="inlineStr"/>
    </row>
    <row r="302" ht="15" customHeight="1">
      <c r="A302" t="inlineStr">
        <is>
          <t>A 1202-2026</t>
        </is>
      </c>
      <c r="B302" s="1" t="n">
        <v>46031.37633101852</v>
      </c>
      <c r="C302" s="1" t="n">
        <v>46032</v>
      </c>
      <c r="D302" t="inlineStr">
        <is>
          <t>DALARNAS LÄN</t>
        </is>
      </c>
      <c r="E302" t="inlineStr">
        <is>
          <t>HEDEMORA</t>
        </is>
      </c>
      <c r="G302" t="n">
        <v>0.9</v>
      </c>
      <c r="H302" t="n">
        <v>0</v>
      </c>
      <c r="I302" t="n">
        <v>0</v>
      </c>
      <c r="J302" t="n">
        <v>0</v>
      </c>
      <c r="K302" t="n">
        <v>0</v>
      </c>
      <c r="L302" t="n">
        <v>0</v>
      </c>
      <c r="M302" t="n">
        <v>0</v>
      </c>
      <c r="N302" t="n">
        <v>0</v>
      </c>
      <c r="O302" t="n">
        <v>0</v>
      </c>
      <c r="P302" t="n">
        <v>0</v>
      </c>
      <c r="Q302" t="n">
        <v>0</v>
      </c>
      <c r="R302" s="2" t="inlineStr"/>
    </row>
    <row r="303" ht="15" customHeight="1">
      <c r="A303" t="inlineStr">
        <is>
          <t>A 37574-2025</t>
        </is>
      </c>
      <c r="B303" s="1" t="n">
        <v>45880.37949074074</v>
      </c>
      <c r="C303" s="1" t="n">
        <v>46032</v>
      </c>
      <c r="D303" t="inlineStr">
        <is>
          <t>DALARNAS LÄN</t>
        </is>
      </c>
      <c r="E303" t="inlineStr">
        <is>
          <t>HEDEMORA</t>
        </is>
      </c>
      <c r="F303" t="inlineStr">
        <is>
          <t>Sveaskog</t>
        </is>
      </c>
      <c r="G303" t="n">
        <v>5.7</v>
      </c>
      <c r="H303" t="n">
        <v>0</v>
      </c>
      <c r="I303" t="n">
        <v>0</v>
      </c>
      <c r="J303" t="n">
        <v>0</v>
      </c>
      <c r="K303" t="n">
        <v>0</v>
      </c>
      <c r="L303" t="n">
        <v>0</v>
      </c>
      <c r="M303" t="n">
        <v>0</v>
      </c>
      <c r="N303" t="n">
        <v>0</v>
      </c>
      <c r="O303" t="n">
        <v>0</v>
      </c>
      <c r="P303" t="n">
        <v>0</v>
      </c>
      <c r="Q303" t="n">
        <v>0</v>
      </c>
      <c r="R303" s="2" t="inlineStr"/>
    </row>
    <row r="304" ht="15" customHeight="1">
      <c r="A304" t="inlineStr">
        <is>
          <t>A 56668-2024</t>
        </is>
      </c>
      <c r="B304" s="1" t="n">
        <v>45626.41185185185</v>
      </c>
      <c r="C304" s="1" t="n">
        <v>46032</v>
      </c>
      <c r="D304" t="inlineStr">
        <is>
          <t>DALARNAS LÄN</t>
        </is>
      </c>
      <c r="E304" t="inlineStr">
        <is>
          <t>HEDEMORA</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25643-2024</t>
        </is>
      </c>
      <c r="B305" s="1" t="n">
        <v>45463.66436342592</v>
      </c>
      <c r="C305" s="1" t="n">
        <v>46032</v>
      </c>
      <c r="D305" t="inlineStr">
        <is>
          <t>DALARNAS LÄN</t>
        </is>
      </c>
      <c r="E305" t="inlineStr">
        <is>
          <t>HEDEMORA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14949-2025</t>
        </is>
      </c>
      <c r="B306" s="1" t="n">
        <v>45743.5745949074</v>
      </c>
      <c r="C306" s="1" t="n">
        <v>46032</v>
      </c>
      <c r="D306" t="inlineStr">
        <is>
          <t>DALARNAS LÄN</t>
        </is>
      </c>
      <c r="E306" t="inlineStr">
        <is>
          <t>HEDEMORA</t>
        </is>
      </c>
      <c r="G306" t="n">
        <v>2.5</v>
      </c>
      <c r="H306" t="n">
        <v>0</v>
      </c>
      <c r="I306" t="n">
        <v>0</v>
      </c>
      <c r="J306" t="n">
        <v>0</v>
      </c>
      <c r="K306" t="n">
        <v>0</v>
      </c>
      <c r="L306" t="n">
        <v>0</v>
      </c>
      <c r="M306" t="n">
        <v>0</v>
      </c>
      <c r="N306" t="n">
        <v>0</v>
      </c>
      <c r="O306" t="n">
        <v>0</v>
      </c>
      <c r="P306" t="n">
        <v>0</v>
      </c>
      <c r="Q306" t="n">
        <v>0</v>
      </c>
      <c r="R306" s="2" t="inlineStr"/>
    </row>
    <row r="307" ht="15" customHeight="1">
      <c r="A307" t="inlineStr">
        <is>
          <t>A 37573-2025</t>
        </is>
      </c>
      <c r="B307" s="1" t="n">
        <v>45880.37711805556</v>
      </c>
      <c r="C307" s="1" t="n">
        <v>46032</v>
      </c>
      <c r="D307" t="inlineStr">
        <is>
          <t>DALARNAS LÄN</t>
        </is>
      </c>
      <c r="E307" t="inlineStr">
        <is>
          <t>HEDEMORA</t>
        </is>
      </c>
      <c r="F307" t="inlineStr">
        <is>
          <t>Sveaskog</t>
        </is>
      </c>
      <c r="G307" t="n">
        <v>7</v>
      </c>
      <c r="H307" t="n">
        <v>0</v>
      </c>
      <c r="I307" t="n">
        <v>0</v>
      </c>
      <c r="J307" t="n">
        <v>0</v>
      </c>
      <c r="K307" t="n">
        <v>0</v>
      </c>
      <c r="L307" t="n">
        <v>0</v>
      </c>
      <c r="M307" t="n">
        <v>0</v>
      </c>
      <c r="N307" t="n">
        <v>0</v>
      </c>
      <c r="O307" t="n">
        <v>0</v>
      </c>
      <c r="P307" t="n">
        <v>0</v>
      </c>
      <c r="Q307" t="n">
        <v>0</v>
      </c>
      <c r="R307" s="2" t="inlineStr"/>
    </row>
    <row r="308" ht="15" customHeight="1">
      <c r="A308" t="inlineStr">
        <is>
          <t>A 12133-2025</t>
        </is>
      </c>
      <c r="B308" s="1" t="n">
        <v>45729.38878472222</v>
      </c>
      <c r="C308" s="1" t="n">
        <v>46032</v>
      </c>
      <c r="D308" t="inlineStr">
        <is>
          <t>DALARNAS LÄN</t>
        </is>
      </c>
      <c r="E308" t="inlineStr">
        <is>
          <t>HEDEMORA</t>
        </is>
      </c>
      <c r="G308" t="n">
        <v>4.8</v>
      </c>
      <c r="H308" t="n">
        <v>0</v>
      </c>
      <c r="I308" t="n">
        <v>0</v>
      </c>
      <c r="J308" t="n">
        <v>0</v>
      </c>
      <c r="K308" t="n">
        <v>0</v>
      </c>
      <c r="L308" t="n">
        <v>0</v>
      </c>
      <c r="M308" t="n">
        <v>0</v>
      </c>
      <c r="N308" t="n">
        <v>0</v>
      </c>
      <c r="O308" t="n">
        <v>0</v>
      </c>
      <c r="P308" t="n">
        <v>0</v>
      </c>
      <c r="Q308" t="n">
        <v>0</v>
      </c>
      <c r="R308" s="2" t="inlineStr"/>
    </row>
    <row r="309" ht="15" customHeight="1">
      <c r="A309" t="inlineStr">
        <is>
          <t>A 46825-2024</t>
        </is>
      </c>
      <c r="B309" s="1" t="n">
        <v>45583.58040509259</v>
      </c>
      <c r="C309" s="1" t="n">
        <v>46032</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834-2026</t>
        </is>
      </c>
      <c r="B310" s="1" t="n">
        <v>46030.36969907407</v>
      </c>
      <c r="C310" s="1" t="n">
        <v>46032</v>
      </c>
      <c r="D310" t="inlineStr">
        <is>
          <t>DALARNAS LÄN</t>
        </is>
      </c>
      <c r="E310" t="inlineStr">
        <is>
          <t>HEDEMORA</t>
        </is>
      </c>
      <c r="G310" t="n">
        <v>2.8</v>
      </c>
      <c r="H310" t="n">
        <v>0</v>
      </c>
      <c r="I310" t="n">
        <v>0</v>
      </c>
      <c r="J310" t="n">
        <v>0</v>
      </c>
      <c r="K310" t="n">
        <v>0</v>
      </c>
      <c r="L310" t="n">
        <v>0</v>
      </c>
      <c r="M310" t="n">
        <v>0</v>
      </c>
      <c r="N310" t="n">
        <v>0</v>
      </c>
      <c r="O310" t="n">
        <v>0</v>
      </c>
      <c r="P310" t="n">
        <v>0</v>
      </c>
      <c r="Q310" t="n">
        <v>0</v>
      </c>
      <c r="R310" s="2" t="inlineStr"/>
    </row>
    <row r="311" ht="15" customHeight="1">
      <c r="A311" t="inlineStr">
        <is>
          <t>A 45377-2024</t>
        </is>
      </c>
      <c r="B311" s="1" t="n">
        <v>45576.51962962963</v>
      </c>
      <c r="C311" s="1" t="n">
        <v>46032</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63829-2025</t>
        </is>
      </c>
      <c r="B312" s="1" t="n">
        <v>46020</v>
      </c>
      <c r="C312" s="1" t="n">
        <v>46032</v>
      </c>
      <c r="D312" t="inlineStr">
        <is>
          <t>DALARNAS LÄN</t>
        </is>
      </c>
      <c r="E312" t="inlineStr">
        <is>
          <t>HEDEMORA</t>
        </is>
      </c>
      <c r="G312" t="n">
        <v>3.9</v>
      </c>
      <c r="H312" t="n">
        <v>0</v>
      </c>
      <c r="I312" t="n">
        <v>0</v>
      </c>
      <c r="J312" t="n">
        <v>0</v>
      </c>
      <c r="K312" t="n">
        <v>0</v>
      </c>
      <c r="L312" t="n">
        <v>0</v>
      </c>
      <c r="M312" t="n">
        <v>0</v>
      </c>
      <c r="N312" t="n">
        <v>0</v>
      </c>
      <c r="O312" t="n">
        <v>0</v>
      </c>
      <c r="P312" t="n">
        <v>0</v>
      </c>
      <c r="Q312" t="n">
        <v>0</v>
      </c>
      <c r="R312" s="2" t="inlineStr"/>
    </row>
    <row r="313" ht="15" customHeight="1">
      <c r="A313" t="inlineStr">
        <is>
          <t>A 21514-2024</t>
        </is>
      </c>
      <c r="B313" s="1" t="n">
        <v>45441.57538194444</v>
      </c>
      <c r="C313" s="1" t="n">
        <v>46032</v>
      </c>
      <c r="D313" t="inlineStr">
        <is>
          <t>DALARNAS LÄN</t>
        </is>
      </c>
      <c r="E313" t="inlineStr">
        <is>
          <t>HEDEMORA</t>
        </is>
      </c>
      <c r="G313" t="n">
        <v>1.5</v>
      </c>
      <c r="H313" t="n">
        <v>0</v>
      </c>
      <c r="I313" t="n">
        <v>0</v>
      </c>
      <c r="J313" t="n">
        <v>0</v>
      </c>
      <c r="K313" t="n">
        <v>0</v>
      </c>
      <c r="L313" t="n">
        <v>0</v>
      </c>
      <c r="M313" t="n">
        <v>0</v>
      </c>
      <c r="N313" t="n">
        <v>0</v>
      </c>
      <c r="O313" t="n">
        <v>0</v>
      </c>
      <c r="P313" t="n">
        <v>0</v>
      </c>
      <c r="Q313" t="n">
        <v>0</v>
      </c>
      <c r="R313" s="2" t="inlineStr"/>
    </row>
    <row r="314" ht="15" customHeight="1">
      <c r="A314" t="inlineStr">
        <is>
          <t>A 886-2026</t>
        </is>
      </c>
      <c r="B314" s="1" t="n">
        <v>46030.44930555556</v>
      </c>
      <c r="C314" s="1" t="n">
        <v>46032</v>
      </c>
      <c r="D314" t="inlineStr">
        <is>
          <t>DALARNAS LÄN</t>
        </is>
      </c>
      <c r="E314" t="inlineStr">
        <is>
          <t>HEDEMORA</t>
        </is>
      </c>
      <c r="G314" t="n">
        <v>2.3</v>
      </c>
      <c r="H314" t="n">
        <v>0</v>
      </c>
      <c r="I314" t="n">
        <v>0</v>
      </c>
      <c r="J314" t="n">
        <v>0</v>
      </c>
      <c r="K314" t="n">
        <v>0</v>
      </c>
      <c r="L314" t="n">
        <v>0</v>
      </c>
      <c r="M314" t="n">
        <v>0</v>
      </c>
      <c r="N314" t="n">
        <v>0</v>
      </c>
      <c r="O314" t="n">
        <v>0</v>
      </c>
      <c r="P314" t="n">
        <v>0</v>
      </c>
      <c r="Q314" t="n">
        <v>0</v>
      </c>
      <c r="R314" s="2" t="inlineStr"/>
    </row>
    <row r="315" ht="15" customHeight="1">
      <c r="A315" t="inlineStr">
        <is>
          <t>A 59350-2025</t>
        </is>
      </c>
      <c r="B315" s="1" t="n">
        <v>45989.40451388889</v>
      </c>
      <c r="C315" s="1" t="n">
        <v>46032</v>
      </c>
      <c r="D315" t="inlineStr">
        <is>
          <t>DALARNAS LÄN</t>
        </is>
      </c>
      <c r="E315" t="inlineStr">
        <is>
          <t>HEDEMORA</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59295-2025</t>
        </is>
      </c>
      <c r="B316" s="1" t="n">
        <v>45988.77284722222</v>
      </c>
      <c r="C316" s="1" t="n">
        <v>46032</v>
      </c>
      <c r="D316" t="inlineStr">
        <is>
          <t>DALARNAS LÄN</t>
        </is>
      </c>
      <c r="E316" t="inlineStr">
        <is>
          <t>HEDEMORA</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41523-2023</t>
        </is>
      </c>
      <c r="B317" s="1" t="n">
        <v>45172</v>
      </c>
      <c r="C317" s="1" t="n">
        <v>46032</v>
      </c>
      <c r="D317" t="inlineStr">
        <is>
          <t>DALARNAS LÄN</t>
        </is>
      </c>
      <c r="E317" t="inlineStr">
        <is>
          <t>HEDEMORA</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54310-2021</t>
        </is>
      </c>
      <c r="B318" s="1" t="n">
        <v>44472.54035879629</v>
      </c>
      <c r="C318" s="1" t="n">
        <v>46032</v>
      </c>
      <c r="D318" t="inlineStr">
        <is>
          <t>DALARNAS LÄN</t>
        </is>
      </c>
      <c r="E318" t="inlineStr">
        <is>
          <t>HEDEMORA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46217-2023</t>
        </is>
      </c>
      <c r="B319" s="1" t="n">
        <v>45190</v>
      </c>
      <c r="C319" s="1" t="n">
        <v>46032</v>
      </c>
      <c r="D319" t="inlineStr">
        <is>
          <t>DALARNAS LÄN</t>
        </is>
      </c>
      <c r="E319" t="inlineStr">
        <is>
          <t>HEDEMORA</t>
        </is>
      </c>
      <c r="F319" t="inlineStr">
        <is>
          <t>Bergvik skog väst AB</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15635-2022</t>
        </is>
      </c>
      <c r="B320" s="1" t="n">
        <v>44662.84958333334</v>
      </c>
      <c r="C320" s="1" t="n">
        <v>46032</v>
      </c>
      <c r="D320" t="inlineStr">
        <is>
          <t>DALARNAS LÄN</t>
        </is>
      </c>
      <c r="E320" t="inlineStr">
        <is>
          <t>HEDEMORA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21092-2023</t>
        </is>
      </c>
      <c r="B321" s="1" t="n">
        <v>45061</v>
      </c>
      <c r="C321" s="1" t="n">
        <v>46032</v>
      </c>
      <c r="D321" t="inlineStr">
        <is>
          <t>DALARNAS LÄN</t>
        </is>
      </c>
      <c r="E321" t="inlineStr">
        <is>
          <t>HEDEMORA</t>
        </is>
      </c>
      <c r="F321" t="inlineStr">
        <is>
          <t>Sveaskog</t>
        </is>
      </c>
      <c r="G321" t="n">
        <v>0.1</v>
      </c>
      <c r="H321" t="n">
        <v>0</v>
      </c>
      <c r="I321" t="n">
        <v>0</v>
      </c>
      <c r="J321" t="n">
        <v>0</v>
      </c>
      <c r="K321" t="n">
        <v>0</v>
      </c>
      <c r="L321" t="n">
        <v>0</v>
      </c>
      <c r="M321" t="n">
        <v>0</v>
      </c>
      <c r="N321" t="n">
        <v>0</v>
      </c>
      <c r="O321" t="n">
        <v>0</v>
      </c>
      <c r="P321" t="n">
        <v>0</v>
      </c>
      <c r="Q321" t="n">
        <v>0</v>
      </c>
      <c r="R321" s="2" t="inlineStr"/>
    </row>
    <row r="322" ht="15" customHeight="1">
      <c r="A322" t="inlineStr">
        <is>
          <t>A 7172-2025</t>
        </is>
      </c>
      <c r="B322" s="1" t="n">
        <v>45702.41383101852</v>
      </c>
      <c r="C322" s="1" t="n">
        <v>46032</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53568-2023</t>
        </is>
      </c>
      <c r="B323" s="1" t="n">
        <v>45230.49392361111</v>
      </c>
      <c r="C323" s="1" t="n">
        <v>46032</v>
      </c>
      <c r="D323" t="inlineStr">
        <is>
          <t>DALARNAS LÄN</t>
        </is>
      </c>
      <c r="E323" t="inlineStr">
        <is>
          <t>HEDEMORA</t>
        </is>
      </c>
      <c r="G323" t="n">
        <v>1.2</v>
      </c>
      <c r="H323" t="n">
        <v>0</v>
      </c>
      <c r="I323" t="n">
        <v>0</v>
      </c>
      <c r="J323" t="n">
        <v>0</v>
      </c>
      <c r="K323" t="n">
        <v>0</v>
      </c>
      <c r="L323" t="n">
        <v>0</v>
      </c>
      <c r="M323" t="n">
        <v>0</v>
      </c>
      <c r="N323" t="n">
        <v>0</v>
      </c>
      <c r="O323" t="n">
        <v>0</v>
      </c>
      <c r="P323" t="n">
        <v>0</v>
      </c>
      <c r="Q323" t="n">
        <v>0</v>
      </c>
      <c r="R323" s="2" t="inlineStr"/>
    </row>
    <row r="324" ht="15" customHeight="1">
      <c r="A324" t="inlineStr">
        <is>
          <t>A 52942-2024</t>
        </is>
      </c>
      <c r="B324" s="1" t="n">
        <v>45610.8215625</v>
      </c>
      <c r="C324" s="1" t="n">
        <v>46032</v>
      </c>
      <c r="D324" t="inlineStr">
        <is>
          <t>DALARNAS LÄN</t>
        </is>
      </c>
      <c r="E324" t="inlineStr">
        <is>
          <t>HEDEMORA</t>
        </is>
      </c>
      <c r="F324" t="inlineStr">
        <is>
          <t>Sveaskog</t>
        </is>
      </c>
      <c r="G324" t="n">
        <v>14.5</v>
      </c>
      <c r="H324" t="n">
        <v>0</v>
      </c>
      <c r="I324" t="n">
        <v>0</v>
      </c>
      <c r="J324" t="n">
        <v>0</v>
      </c>
      <c r="K324" t="n">
        <v>0</v>
      </c>
      <c r="L324" t="n">
        <v>0</v>
      </c>
      <c r="M324" t="n">
        <v>0</v>
      </c>
      <c r="N324" t="n">
        <v>0</v>
      </c>
      <c r="O324" t="n">
        <v>0</v>
      </c>
      <c r="P324" t="n">
        <v>0</v>
      </c>
      <c r="Q324" t="n">
        <v>0</v>
      </c>
      <c r="R324" s="2" t="inlineStr"/>
    </row>
    <row r="325" ht="15" customHeight="1">
      <c r="A325" t="inlineStr">
        <is>
          <t>A 17222-2025</t>
        </is>
      </c>
      <c r="B325" s="1" t="n">
        <v>45756.45504629629</v>
      </c>
      <c r="C325" s="1" t="n">
        <v>46032</v>
      </c>
      <c r="D325" t="inlineStr">
        <is>
          <t>DALARNAS LÄN</t>
        </is>
      </c>
      <c r="E325" t="inlineStr">
        <is>
          <t>HEDEMORA</t>
        </is>
      </c>
      <c r="G325" t="n">
        <v>0.5</v>
      </c>
      <c r="H325" t="n">
        <v>0</v>
      </c>
      <c r="I325" t="n">
        <v>0</v>
      </c>
      <c r="J325" t="n">
        <v>0</v>
      </c>
      <c r="K325" t="n">
        <v>0</v>
      </c>
      <c r="L325" t="n">
        <v>0</v>
      </c>
      <c r="M325" t="n">
        <v>0</v>
      </c>
      <c r="N325" t="n">
        <v>0</v>
      </c>
      <c r="O325" t="n">
        <v>0</v>
      </c>
      <c r="P325" t="n">
        <v>0</v>
      </c>
      <c r="Q325" t="n">
        <v>0</v>
      </c>
      <c r="R325" s="2" t="inlineStr"/>
    </row>
    <row r="326" ht="15" customHeight="1">
      <c r="A326" t="inlineStr">
        <is>
          <t>A 39497-2022</t>
        </is>
      </c>
      <c r="B326" s="1" t="n">
        <v>44817</v>
      </c>
      <c r="C326" s="1" t="n">
        <v>46032</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63929-2023</t>
        </is>
      </c>
      <c r="B327" s="1" t="n">
        <v>45278.60274305556</v>
      </c>
      <c r="C327" s="1" t="n">
        <v>46032</v>
      </c>
      <c r="D327" t="inlineStr">
        <is>
          <t>DALARNAS LÄN</t>
        </is>
      </c>
      <c r="E327" t="inlineStr">
        <is>
          <t>HEDEMORA</t>
        </is>
      </c>
      <c r="G327" t="n">
        <v>0.4</v>
      </c>
      <c r="H327" t="n">
        <v>0</v>
      </c>
      <c r="I327" t="n">
        <v>0</v>
      </c>
      <c r="J327" t="n">
        <v>0</v>
      </c>
      <c r="K327" t="n">
        <v>0</v>
      </c>
      <c r="L327" t="n">
        <v>0</v>
      </c>
      <c r="M327" t="n">
        <v>0</v>
      </c>
      <c r="N327" t="n">
        <v>0</v>
      </c>
      <c r="O327" t="n">
        <v>0</v>
      </c>
      <c r="P327" t="n">
        <v>0</v>
      </c>
      <c r="Q327" t="n">
        <v>0</v>
      </c>
      <c r="R327" s="2" t="inlineStr"/>
    </row>
    <row r="328" ht="15" customHeight="1">
      <c r="A328" t="inlineStr">
        <is>
          <t>A 54423-2023</t>
        </is>
      </c>
      <c r="B328" s="1" t="n">
        <v>45233.41666666666</v>
      </c>
      <c r="C328" s="1" t="n">
        <v>46032</v>
      </c>
      <c r="D328" t="inlineStr">
        <is>
          <t>DALARNAS LÄN</t>
        </is>
      </c>
      <c r="E328" t="inlineStr">
        <is>
          <t>HEDEMORA</t>
        </is>
      </c>
      <c r="G328" t="n">
        <v>3.4</v>
      </c>
      <c r="H328" t="n">
        <v>0</v>
      </c>
      <c r="I328" t="n">
        <v>0</v>
      </c>
      <c r="J328" t="n">
        <v>0</v>
      </c>
      <c r="K328" t="n">
        <v>0</v>
      </c>
      <c r="L328" t="n">
        <v>0</v>
      </c>
      <c r="M328" t="n">
        <v>0</v>
      </c>
      <c r="N328" t="n">
        <v>0</v>
      </c>
      <c r="O328" t="n">
        <v>0</v>
      </c>
      <c r="P328" t="n">
        <v>0</v>
      </c>
      <c r="Q328" t="n">
        <v>0</v>
      </c>
      <c r="R328" s="2" t="inlineStr"/>
    </row>
    <row r="329" ht="15" customHeight="1">
      <c r="A329" t="inlineStr">
        <is>
          <t>A 62386-2023</t>
        </is>
      </c>
      <c r="B329" s="1" t="n">
        <v>45268</v>
      </c>
      <c r="C329" s="1" t="n">
        <v>46032</v>
      </c>
      <c r="D329" t="inlineStr">
        <is>
          <t>DALARNAS LÄN</t>
        </is>
      </c>
      <c r="E329" t="inlineStr">
        <is>
          <t>HEDEMORA</t>
        </is>
      </c>
      <c r="G329" t="n">
        <v>1.7</v>
      </c>
      <c r="H329" t="n">
        <v>0</v>
      </c>
      <c r="I329" t="n">
        <v>0</v>
      </c>
      <c r="J329" t="n">
        <v>0</v>
      </c>
      <c r="K329" t="n">
        <v>0</v>
      </c>
      <c r="L329" t="n">
        <v>0</v>
      </c>
      <c r="M329" t="n">
        <v>0</v>
      </c>
      <c r="N329" t="n">
        <v>0</v>
      </c>
      <c r="O329" t="n">
        <v>0</v>
      </c>
      <c r="P329" t="n">
        <v>0</v>
      </c>
      <c r="Q329" t="n">
        <v>0</v>
      </c>
      <c r="R329" s="2" t="inlineStr"/>
    </row>
    <row r="330" ht="15" customHeight="1">
      <c r="A330" t="inlineStr">
        <is>
          <t>A 62398-2023</t>
        </is>
      </c>
      <c r="B330" s="1" t="n">
        <v>45268</v>
      </c>
      <c r="C330" s="1" t="n">
        <v>46032</v>
      </c>
      <c r="D330" t="inlineStr">
        <is>
          <t>DALARNAS LÄN</t>
        </is>
      </c>
      <c r="E330" t="inlineStr">
        <is>
          <t>HEDEMORA</t>
        </is>
      </c>
      <c r="G330" t="n">
        <v>2.1</v>
      </c>
      <c r="H330" t="n">
        <v>0</v>
      </c>
      <c r="I330" t="n">
        <v>0</v>
      </c>
      <c r="J330" t="n">
        <v>0</v>
      </c>
      <c r="K330" t="n">
        <v>0</v>
      </c>
      <c r="L330" t="n">
        <v>0</v>
      </c>
      <c r="M330" t="n">
        <v>0</v>
      </c>
      <c r="N330" t="n">
        <v>0</v>
      </c>
      <c r="O330" t="n">
        <v>0</v>
      </c>
      <c r="P330" t="n">
        <v>0</v>
      </c>
      <c r="Q330" t="n">
        <v>0</v>
      </c>
      <c r="R330" s="2" t="inlineStr"/>
    </row>
    <row r="331" ht="15" customHeight="1">
      <c r="A331" t="inlineStr">
        <is>
          <t>A 22273-2023</t>
        </is>
      </c>
      <c r="B331" s="1" t="n">
        <v>45070</v>
      </c>
      <c r="C331" s="1" t="n">
        <v>46032</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49636-2021</t>
        </is>
      </c>
      <c r="B332" s="1" t="n">
        <v>44455</v>
      </c>
      <c r="C332" s="1" t="n">
        <v>46032</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25645-2024</t>
        </is>
      </c>
      <c r="B333" s="1" t="n">
        <v>45463.66520833333</v>
      </c>
      <c r="C333" s="1" t="n">
        <v>46032</v>
      </c>
      <c r="D333" t="inlineStr">
        <is>
          <t>DALARNAS LÄN</t>
        </is>
      </c>
      <c r="E333" t="inlineStr">
        <is>
          <t>HEDEMORA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18579-2025</t>
        </is>
      </c>
      <c r="B334" s="1" t="n">
        <v>45763</v>
      </c>
      <c r="C334" s="1" t="n">
        <v>46032</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26431-2024</t>
        </is>
      </c>
      <c r="B335" s="1" t="n">
        <v>45469.48282407408</v>
      </c>
      <c r="C335" s="1" t="n">
        <v>46032</v>
      </c>
      <c r="D335" t="inlineStr">
        <is>
          <t>DALARNAS LÄN</t>
        </is>
      </c>
      <c r="E335" t="inlineStr">
        <is>
          <t>HEDEMORA</t>
        </is>
      </c>
      <c r="G335" t="n">
        <v>1.6</v>
      </c>
      <c r="H335" t="n">
        <v>0</v>
      </c>
      <c r="I335" t="n">
        <v>0</v>
      </c>
      <c r="J335" t="n">
        <v>0</v>
      </c>
      <c r="K335" t="n">
        <v>0</v>
      </c>
      <c r="L335" t="n">
        <v>0</v>
      </c>
      <c r="M335" t="n">
        <v>0</v>
      </c>
      <c r="N335" t="n">
        <v>0</v>
      </c>
      <c r="O335" t="n">
        <v>0</v>
      </c>
      <c r="P335" t="n">
        <v>0</v>
      </c>
      <c r="Q335" t="n">
        <v>0</v>
      </c>
      <c r="R335" s="2" t="inlineStr"/>
      <c r="U335">
        <f>HYPERLINK("https://klasma.github.io/Logging_2083/knärot/A 26431-2024 karta knärot.png", "A 26431-2024")</f>
        <v/>
      </c>
      <c r="V335">
        <f>HYPERLINK("https://klasma.github.io/Logging_2083/klagomål/A 26431-2024 FSC-klagomål.docx", "A 26431-2024")</f>
        <v/>
      </c>
      <c r="W335">
        <f>HYPERLINK("https://klasma.github.io/Logging_2083/klagomålsmail/A 26431-2024 FSC-klagomål mail.docx", "A 26431-2024")</f>
        <v/>
      </c>
      <c r="X335">
        <f>HYPERLINK("https://klasma.github.io/Logging_2083/tillsyn/A 26431-2024 tillsynsbegäran.docx", "A 26431-2024")</f>
        <v/>
      </c>
      <c r="Y335">
        <f>HYPERLINK("https://klasma.github.io/Logging_2083/tillsynsmail/A 26431-2024 tillsynsbegäran mail.docx", "A 26431-2024")</f>
        <v/>
      </c>
    </row>
    <row r="336" ht="15" customHeight="1">
      <c r="A336" t="inlineStr">
        <is>
          <t>A 40707-2023</t>
        </is>
      </c>
      <c r="B336" s="1" t="n">
        <v>45170.62489583333</v>
      </c>
      <c r="C336" s="1" t="n">
        <v>46032</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53922-2024</t>
        </is>
      </c>
      <c r="B337" s="1" t="n">
        <v>45615.78459490741</v>
      </c>
      <c r="C337" s="1" t="n">
        <v>46032</v>
      </c>
      <c r="D337" t="inlineStr">
        <is>
          <t>DALARNAS LÄN</t>
        </is>
      </c>
      <c r="E337" t="inlineStr">
        <is>
          <t>HEDEMORA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19353-2024</t>
        </is>
      </c>
      <c r="B338" s="1" t="n">
        <v>45429.29666666667</v>
      </c>
      <c r="C338" s="1" t="n">
        <v>46032</v>
      </c>
      <c r="D338" t="inlineStr">
        <is>
          <t>DALARNAS LÄN</t>
        </is>
      </c>
      <c r="E338" t="inlineStr">
        <is>
          <t>HEDEMORA</t>
        </is>
      </c>
      <c r="F338" t="inlineStr">
        <is>
          <t>Sveaskog</t>
        </is>
      </c>
      <c r="G338" t="n">
        <v>16.3</v>
      </c>
      <c r="H338" t="n">
        <v>0</v>
      </c>
      <c r="I338" t="n">
        <v>0</v>
      </c>
      <c r="J338" t="n">
        <v>0</v>
      </c>
      <c r="K338" t="n">
        <v>0</v>
      </c>
      <c r="L338" t="n">
        <v>0</v>
      </c>
      <c r="M338" t="n">
        <v>0</v>
      </c>
      <c r="N338" t="n">
        <v>0</v>
      </c>
      <c r="O338" t="n">
        <v>0</v>
      </c>
      <c r="P338" t="n">
        <v>0</v>
      </c>
      <c r="Q338" t="n">
        <v>0</v>
      </c>
      <c r="R338" s="2" t="inlineStr"/>
    </row>
    <row r="339" ht="15" customHeight="1">
      <c r="A339" t="inlineStr">
        <is>
          <t>A 27610-2024</t>
        </is>
      </c>
      <c r="B339" s="1" t="n">
        <v>45474.73221064815</v>
      </c>
      <c r="C339" s="1" t="n">
        <v>46032</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27609-2024</t>
        </is>
      </c>
      <c r="B340" s="1" t="n">
        <v>45474.73076388889</v>
      </c>
      <c r="C340" s="1" t="n">
        <v>46032</v>
      </c>
      <c r="D340" t="inlineStr">
        <is>
          <t>DALARNAS LÄN</t>
        </is>
      </c>
      <c r="E340" t="inlineStr">
        <is>
          <t>HEDEMORA</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37449-2024</t>
        </is>
      </c>
      <c r="B341" s="1" t="n">
        <v>45540</v>
      </c>
      <c r="C341" s="1" t="n">
        <v>46032</v>
      </c>
      <c r="D341" t="inlineStr">
        <is>
          <t>DALARNAS LÄN</t>
        </is>
      </c>
      <c r="E341" t="inlineStr">
        <is>
          <t>HEDEMORA</t>
        </is>
      </c>
      <c r="F341" t="inlineStr">
        <is>
          <t>Bergvik skog väst AB</t>
        </is>
      </c>
      <c r="G341" t="n">
        <v>10.1</v>
      </c>
      <c r="H341" t="n">
        <v>0</v>
      </c>
      <c r="I341" t="n">
        <v>0</v>
      </c>
      <c r="J341" t="n">
        <v>0</v>
      </c>
      <c r="K341" t="n">
        <v>0</v>
      </c>
      <c r="L341" t="n">
        <v>0</v>
      </c>
      <c r="M341" t="n">
        <v>0</v>
      </c>
      <c r="N341" t="n">
        <v>0</v>
      </c>
      <c r="O341" t="n">
        <v>0</v>
      </c>
      <c r="P341" t="n">
        <v>0</v>
      </c>
      <c r="Q341" t="n">
        <v>0</v>
      </c>
      <c r="R341" s="2" t="inlineStr"/>
    </row>
    <row r="342" ht="15" customHeight="1">
      <c r="A342" t="inlineStr">
        <is>
          <t>A 25155-2023</t>
        </is>
      </c>
      <c r="B342" s="1" t="n">
        <v>45086</v>
      </c>
      <c r="C342" s="1" t="n">
        <v>46032</v>
      </c>
      <c r="D342" t="inlineStr">
        <is>
          <t>DALARNAS LÄN</t>
        </is>
      </c>
      <c r="E342" t="inlineStr">
        <is>
          <t>HEDEMORA</t>
        </is>
      </c>
      <c r="F342" t="inlineStr">
        <is>
          <t>Sveaskog</t>
        </is>
      </c>
      <c r="G342" t="n">
        <v>3.8</v>
      </c>
      <c r="H342" t="n">
        <v>0</v>
      </c>
      <c r="I342" t="n">
        <v>0</v>
      </c>
      <c r="J342" t="n">
        <v>0</v>
      </c>
      <c r="K342" t="n">
        <v>0</v>
      </c>
      <c r="L342" t="n">
        <v>0</v>
      </c>
      <c r="M342" t="n">
        <v>0</v>
      </c>
      <c r="N342" t="n">
        <v>0</v>
      </c>
      <c r="O342" t="n">
        <v>0</v>
      </c>
      <c r="P342" t="n">
        <v>0</v>
      </c>
      <c r="Q342" t="n">
        <v>0</v>
      </c>
      <c r="R342" s="2" t="inlineStr"/>
    </row>
    <row r="343" ht="15" customHeight="1">
      <c r="A343" t="inlineStr">
        <is>
          <t>A 54312-2024</t>
        </is>
      </c>
      <c r="B343" s="1" t="n">
        <v>45617.3434837963</v>
      </c>
      <c r="C343" s="1" t="n">
        <v>46032</v>
      </c>
      <c r="D343" t="inlineStr">
        <is>
          <t>DALARNAS LÄN</t>
        </is>
      </c>
      <c r="E343" t="inlineStr">
        <is>
          <t>HEDEMORA</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52945-2024</t>
        </is>
      </c>
      <c r="B344" s="1" t="n">
        <v>45610.82664351852</v>
      </c>
      <c r="C344" s="1" t="n">
        <v>46032</v>
      </c>
      <c r="D344" t="inlineStr">
        <is>
          <t>DALARNAS LÄN</t>
        </is>
      </c>
      <c r="E344" t="inlineStr">
        <is>
          <t>HEDEMORA</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59632-2023</t>
        </is>
      </c>
      <c r="B345" s="1" t="n">
        <v>45254</v>
      </c>
      <c r="C345" s="1" t="n">
        <v>46032</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37759-2024</t>
        </is>
      </c>
      <c r="B346" s="1" t="n">
        <v>45541</v>
      </c>
      <c r="C346" s="1" t="n">
        <v>46032</v>
      </c>
      <c r="D346" t="inlineStr">
        <is>
          <t>DALARNAS LÄN</t>
        </is>
      </c>
      <c r="E346" t="inlineStr">
        <is>
          <t>HEDEMORA</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7914-2024</t>
        </is>
      </c>
      <c r="B347" s="1" t="n">
        <v>45350.46003472222</v>
      </c>
      <c r="C347" s="1" t="n">
        <v>46032</v>
      </c>
      <c r="D347" t="inlineStr">
        <is>
          <t>DALARNAS LÄN</t>
        </is>
      </c>
      <c r="E347" t="inlineStr">
        <is>
          <t>HEDEMORA</t>
        </is>
      </c>
      <c r="G347" t="n">
        <v>4.1</v>
      </c>
      <c r="H347" t="n">
        <v>0</v>
      </c>
      <c r="I347" t="n">
        <v>0</v>
      </c>
      <c r="J347" t="n">
        <v>0</v>
      </c>
      <c r="K347" t="n">
        <v>0</v>
      </c>
      <c r="L347" t="n">
        <v>0</v>
      </c>
      <c r="M347" t="n">
        <v>0</v>
      </c>
      <c r="N347" t="n">
        <v>0</v>
      </c>
      <c r="O347" t="n">
        <v>0</v>
      </c>
      <c r="P347" t="n">
        <v>0</v>
      </c>
      <c r="Q347" t="n">
        <v>0</v>
      </c>
      <c r="R347" s="2" t="inlineStr"/>
    </row>
    <row r="348" ht="15" customHeight="1">
      <c r="A348" t="inlineStr">
        <is>
          <t>A 73099-2021</t>
        </is>
      </c>
      <c r="B348" s="1" t="n">
        <v>44546</v>
      </c>
      <c r="C348" s="1" t="n">
        <v>46032</v>
      </c>
      <c r="D348" t="inlineStr">
        <is>
          <t>DALARNAS LÄN</t>
        </is>
      </c>
      <c r="E348" t="inlineStr">
        <is>
          <t>HEDEMORA</t>
        </is>
      </c>
      <c r="G348" t="n">
        <v>4.5</v>
      </c>
      <c r="H348" t="n">
        <v>0</v>
      </c>
      <c r="I348" t="n">
        <v>0</v>
      </c>
      <c r="J348" t="n">
        <v>0</v>
      </c>
      <c r="K348" t="n">
        <v>0</v>
      </c>
      <c r="L348" t="n">
        <v>0</v>
      </c>
      <c r="M348" t="n">
        <v>0</v>
      </c>
      <c r="N348" t="n">
        <v>0</v>
      </c>
      <c r="O348" t="n">
        <v>0</v>
      </c>
      <c r="P348" t="n">
        <v>0</v>
      </c>
      <c r="Q348" t="n">
        <v>0</v>
      </c>
      <c r="R348" s="2" t="inlineStr"/>
    </row>
    <row r="349" ht="15" customHeight="1">
      <c r="A349" t="inlineStr">
        <is>
          <t>A 52199-2021</t>
        </is>
      </c>
      <c r="B349" s="1" t="n">
        <v>44462</v>
      </c>
      <c r="C349" s="1" t="n">
        <v>46032</v>
      </c>
      <c r="D349" t="inlineStr">
        <is>
          <t>DALARNAS LÄN</t>
        </is>
      </c>
      <c r="E349" t="inlineStr">
        <is>
          <t>HEDEMORA</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46032</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60780-2024</t>
        </is>
      </c>
      <c r="B351" s="1" t="n">
        <v>45644.59017361111</v>
      </c>
      <c r="C351" s="1" t="n">
        <v>46032</v>
      </c>
      <c r="D351" t="inlineStr">
        <is>
          <t>DALARNAS LÄN</t>
        </is>
      </c>
      <c r="E351" t="inlineStr">
        <is>
          <t>HEDEMORA</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29050-2023</t>
        </is>
      </c>
      <c r="B352" s="1" t="n">
        <v>45104</v>
      </c>
      <c r="C352" s="1" t="n">
        <v>46032</v>
      </c>
      <c r="D352" t="inlineStr">
        <is>
          <t>DALARNAS LÄN</t>
        </is>
      </c>
      <c r="E352" t="inlineStr">
        <is>
          <t>HEDEMORA</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46032</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61886-2022</t>
        </is>
      </c>
      <c r="B354" s="1" t="n">
        <v>44917.67582175926</v>
      </c>
      <c r="C354" s="1" t="n">
        <v>46032</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18572-2025</t>
        </is>
      </c>
      <c r="B355" s="1" t="n">
        <v>45763</v>
      </c>
      <c r="C355" s="1" t="n">
        <v>46032</v>
      </c>
      <c r="D355" t="inlineStr">
        <is>
          <t>DALARNAS LÄN</t>
        </is>
      </c>
      <c r="E355" t="inlineStr">
        <is>
          <t>HEDEMORA</t>
        </is>
      </c>
      <c r="G355" t="n">
        <v>0.9</v>
      </c>
      <c r="H355" t="n">
        <v>0</v>
      </c>
      <c r="I355" t="n">
        <v>0</v>
      </c>
      <c r="J355" t="n">
        <v>0</v>
      </c>
      <c r="K355" t="n">
        <v>0</v>
      </c>
      <c r="L355" t="n">
        <v>0</v>
      </c>
      <c r="M355" t="n">
        <v>0</v>
      </c>
      <c r="N355" t="n">
        <v>0</v>
      </c>
      <c r="O355" t="n">
        <v>0</v>
      </c>
      <c r="P355" t="n">
        <v>0</v>
      </c>
      <c r="Q355" t="n">
        <v>0</v>
      </c>
      <c r="R355" s="2" t="inlineStr"/>
    </row>
    <row r="356" ht="15" customHeight="1">
      <c r="A356" t="inlineStr">
        <is>
          <t>A 62188-2023</t>
        </is>
      </c>
      <c r="B356" s="1" t="n">
        <v>45267</v>
      </c>
      <c r="C356" s="1" t="n">
        <v>46032</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1917-2022</t>
        </is>
      </c>
      <c r="B357" s="1" t="n">
        <v>44574</v>
      </c>
      <c r="C357" s="1" t="n">
        <v>46032</v>
      </c>
      <c r="D357" t="inlineStr">
        <is>
          <t>DALARNAS LÄN</t>
        </is>
      </c>
      <c r="E357" t="inlineStr">
        <is>
          <t>HEDEMORA</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31825-2024</t>
        </is>
      </c>
      <c r="B358" s="1" t="n">
        <v>45509.60949074074</v>
      </c>
      <c r="C358" s="1" t="n">
        <v>46032</v>
      </c>
      <c r="D358" t="inlineStr">
        <is>
          <t>DALARNAS LÄN</t>
        </is>
      </c>
      <c r="E358" t="inlineStr">
        <is>
          <t>HEDEMORA</t>
        </is>
      </c>
      <c r="G358" t="n">
        <v>0.1</v>
      </c>
      <c r="H358" t="n">
        <v>0</v>
      </c>
      <c r="I358" t="n">
        <v>0</v>
      </c>
      <c r="J358" t="n">
        <v>0</v>
      </c>
      <c r="K358" t="n">
        <v>0</v>
      </c>
      <c r="L358" t="n">
        <v>0</v>
      </c>
      <c r="M358" t="n">
        <v>0</v>
      </c>
      <c r="N358" t="n">
        <v>0</v>
      </c>
      <c r="O358" t="n">
        <v>0</v>
      </c>
      <c r="P358" t="n">
        <v>0</v>
      </c>
      <c r="Q358" t="n">
        <v>0</v>
      </c>
      <c r="R358" s="2" t="inlineStr"/>
    </row>
    <row r="359" ht="15" customHeight="1">
      <c r="A359" t="inlineStr">
        <is>
          <t>A 26452-2024</t>
        </is>
      </c>
      <c r="B359" s="1" t="n">
        <v>45469.51145833333</v>
      </c>
      <c r="C359" s="1" t="n">
        <v>46032</v>
      </c>
      <c r="D359" t="inlineStr">
        <is>
          <t>DALARNAS LÄN</t>
        </is>
      </c>
      <c r="E359" t="inlineStr">
        <is>
          <t>HEDEMORA</t>
        </is>
      </c>
      <c r="G359" t="n">
        <v>2.3</v>
      </c>
      <c r="H359" t="n">
        <v>0</v>
      </c>
      <c r="I359" t="n">
        <v>0</v>
      </c>
      <c r="J359" t="n">
        <v>0</v>
      </c>
      <c r="K359" t="n">
        <v>0</v>
      </c>
      <c r="L359" t="n">
        <v>0</v>
      </c>
      <c r="M359" t="n">
        <v>0</v>
      </c>
      <c r="N359" t="n">
        <v>0</v>
      </c>
      <c r="O359" t="n">
        <v>0</v>
      </c>
      <c r="P359" t="n">
        <v>0</v>
      </c>
      <c r="Q359" t="n">
        <v>0</v>
      </c>
      <c r="R359" s="2" t="inlineStr"/>
    </row>
    <row r="360" ht="15" customHeight="1">
      <c r="A360" t="inlineStr">
        <is>
          <t>A 14951-2025</t>
        </is>
      </c>
      <c r="B360" s="1" t="n">
        <v>45743.57695601852</v>
      </c>
      <c r="C360" s="1" t="n">
        <v>46032</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385-2024</t>
        </is>
      </c>
      <c r="B361" s="1" t="n">
        <v>45296</v>
      </c>
      <c r="C361" s="1" t="n">
        <v>46032</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29123-2021</t>
        </is>
      </c>
      <c r="B362" s="1" t="n">
        <v>44358</v>
      </c>
      <c r="C362" s="1" t="n">
        <v>46032</v>
      </c>
      <c r="D362" t="inlineStr">
        <is>
          <t>DALARNAS LÄN</t>
        </is>
      </c>
      <c r="E362" t="inlineStr">
        <is>
          <t>HEDEMORA</t>
        </is>
      </c>
      <c r="G362" t="n">
        <v>5.6</v>
      </c>
      <c r="H362" t="n">
        <v>0</v>
      </c>
      <c r="I362" t="n">
        <v>0</v>
      </c>
      <c r="J362" t="n">
        <v>0</v>
      </c>
      <c r="K362" t="n">
        <v>0</v>
      </c>
      <c r="L362" t="n">
        <v>0</v>
      </c>
      <c r="M362" t="n">
        <v>0</v>
      </c>
      <c r="N362" t="n">
        <v>0</v>
      </c>
      <c r="O362" t="n">
        <v>0</v>
      </c>
      <c r="P362" t="n">
        <v>0</v>
      </c>
      <c r="Q362" t="n">
        <v>0</v>
      </c>
      <c r="R362" s="2" t="inlineStr"/>
    </row>
    <row r="363" ht="15" customHeight="1">
      <c r="A363" t="inlineStr">
        <is>
          <t>A 38947-2023</t>
        </is>
      </c>
      <c r="B363" s="1" t="n">
        <v>45163.61209490741</v>
      </c>
      <c r="C363" s="1" t="n">
        <v>46032</v>
      </c>
      <c r="D363" t="inlineStr">
        <is>
          <t>DALARNAS LÄN</t>
        </is>
      </c>
      <c r="E363" t="inlineStr">
        <is>
          <t>HEDEMORA</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38951-2023</t>
        </is>
      </c>
      <c r="B364" s="1" t="n">
        <v>45163.61413194444</v>
      </c>
      <c r="C364" s="1" t="n">
        <v>46032</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55881-2023</t>
        </is>
      </c>
      <c r="B365" s="1" t="n">
        <v>45239</v>
      </c>
      <c r="C365" s="1" t="n">
        <v>46032</v>
      </c>
      <c r="D365" t="inlineStr">
        <is>
          <t>DALARNAS LÄN</t>
        </is>
      </c>
      <c r="E365" t="inlineStr">
        <is>
          <t>HEDEMORA</t>
        </is>
      </c>
      <c r="F365" t="inlineStr">
        <is>
          <t>Sveaskog</t>
        </is>
      </c>
      <c r="G365" t="n">
        <v>3.9</v>
      </c>
      <c r="H365" t="n">
        <v>0</v>
      </c>
      <c r="I365" t="n">
        <v>0</v>
      </c>
      <c r="J365" t="n">
        <v>0</v>
      </c>
      <c r="K365" t="n">
        <v>0</v>
      </c>
      <c r="L365" t="n">
        <v>0</v>
      </c>
      <c r="M365" t="n">
        <v>0</v>
      </c>
      <c r="N365" t="n">
        <v>0</v>
      </c>
      <c r="O365" t="n">
        <v>0</v>
      </c>
      <c r="P365" t="n">
        <v>0</v>
      </c>
      <c r="Q365" t="n">
        <v>0</v>
      </c>
      <c r="R365" s="2" t="inlineStr"/>
    </row>
    <row r="366" ht="15" customHeight="1">
      <c r="A366" t="inlineStr">
        <is>
          <t>A 15833-2025</t>
        </is>
      </c>
      <c r="B366" s="1" t="n">
        <v>45748.85107638889</v>
      </c>
      <c r="C366" s="1" t="n">
        <v>46032</v>
      </c>
      <c r="D366" t="inlineStr">
        <is>
          <t>DALARNAS LÄN</t>
        </is>
      </c>
      <c r="E366" t="inlineStr">
        <is>
          <t>HEDEMORA</t>
        </is>
      </c>
      <c r="G366" t="n">
        <v>0.4</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44918.5633912037</v>
      </c>
      <c r="C367" s="1" t="n">
        <v>46032</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29301-2023</t>
        </is>
      </c>
      <c r="B368" s="1" t="n">
        <v>45105</v>
      </c>
      <c r="C368" s="1" t="n">
        <v>46032</v>
      </c>
      <c r="D368" t="inlineStr">
        <is>
          <t>DALARNAS LÄN</t>
        </is>
      </c>
      <c r="E368" t="inlineStr">
        <is>
          <t>HEDEMORA</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18522-2021</t>
        </is>
      </c>
      <c r="B369" s="1" t="n">
        <v>44306.4405787037</v>
      </c>
      <c r="C369" s="1" t="n">
        <v>46032</v>
      </c>
      <c r="D369" t="inlineStr">
        <is>
          <t>DALARNAS LÄN</t>
        </is>
      </c>
      <c r="E369" t="inlineStr">
        <is>
          <t>HEDEMORA</t>
        </is>
      </c>
      <c r="G369" t="n">
        <v>7</v>
      </c>
      <c r="H369" t="n">
        <v>0</v>
      </c>
      <c r="I369" t="n">
        <v>0</v>
      </c>
      <c r="J369" t="n">
        <v>0</v>
      </c>
      <c r="K369" t="n">
        <v>0</v>
      </c>
      <c r="L369" t="n">
        <v>0</v>
      </c>
      <c r="M369" t="n">
        <v>0</v>
      </c>
      <c r="N369" t="n">
        <v>0</v>
      </c>
      <c r="O369" t="n">
        <v>0</v>
      </c>
      <c r="P369" t="n">
        <v>0</v>
      </c>
      <c r="Q369" t="n">
        <v>0</v>
      </c>
      <c r="R369" s="2" t="inlineStr"/>
    </row>
    <row r="370" ht="15" customHeight="1">
      <c r="A370" t="inlineStr">
        <is>
          <t>A 53923-2024</t>
        </is>
      </c>
      <c r="B370" s="1" t="n">
        <v>45615.79806712963</v>
      </c>
      <c r="C370" s="1" t="n">
        <v>46032</v>
      </c>
      <c r="D370" t="inlineStr">
        <is>
          <t>DALARNAS LÄN</t>
        </is>
      </c>
      <c r="E370" t="inlineStr">
        <is>
          <t>HEDEMORA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17645-2022</t>
        </is>
      </c>
      <c r="B371" s="1" t="n">
        <v>44680.47903935185</v>
      </c>
      <c r="C371" s="1" t="n">
        <v>46032</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44384-2024</t>
        </is>
      </c>
      <c r="B372" s="1" t="n">
        <v>45573.67782407408</v>
      </c>
      <c r="C372" s="1" t="n">
        <v>46032</v>
      </c>
      <c r="D372" t="inlineStr">
        <is>
          <t>DALARNAS LÄN</t>
        </is>
      </c>
      <c r="E372" t="inlineStr">
        <is>
          <t>HEDEMORA</t>
        </is>
      </c>
      <c r="F372" t="inlineStr">
        <is>
          <t>Bergvik skog väst AB</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44388-2024</t>
        </is>
      </c>
      <c r="B373" s="1" t="n">
        <v>45573.68875</v>
      </c>
      <c r="C373" s="1" t="n">
        <v>46032</v>
      </c>
      <c r="D373" t="inlineStr">
        <is>
          <t>DALARNAS LÄN</t>
        </is>
      </c>
      <c r="E373" t="inlineStr">
        <is>
          <t>HEDEMORA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39530-2024</t>
        </is>
      </c>
      <c r="B374" s="1" t="n">
        <v>45551</v>
      </c>
      <c r="C374" s="1" t="n">
        <v>46032</v>
      </c>
      <c r="D374" t="inlineStr">
        <is>
          <t>DALARNAS LÄN</t>
        </is>
      </c>
      <c r="E374" t="inlineStr">
        <is>
          <t>HEDEMORA</t>
        </is>
      </c>
      <c r="F374" t="inlineStr">
        <is>
          <t>Bergvik skog väst AB</t>
        </is>
      </c>
      <c r="G374" t="n">
        <v>13.8</v>
      </c>
      <c r="H374" t="n">
        <v>0</v>
      </c>
      <c r="I374" t="n">
        <v>0</v>
      </c>
      <c r="J374" t="n">
        <v>0</v>
      </c>
      <c r="K374" t="n">
        <v>0</v>
      </c>
      <c r="L374" t="n">
        <v>0</v>
      </c>
      <c r="M374" t="n">
        <v>0</v>
      </c>
      <c r="N374" t="n">
        <v>0</v>
      </c>
      <c r="O374" t="n">
        <v>0</v>
      </c>
      <c r="P374" t="n">
        <v>0</v>
      </c>
      <c r="Q374" t="n">
        <v>0</v>
      </c>
      <c r="R374" s="2" t="inlineStr"/>
    </row>
    <row r="375" ht="15" customHeight="1">
      <c r="A375" t="inlineStr">
        <is>
          <t>A 39531-2024</t>
        </is>
      </c>
      <c r="B375" s="1" t="n">
        <v>45551</v>
      </c>
      <c r="C375" s="1" t="n">
        <v>46032</v>
      </c>
      <c r="D375" t="inlineStr">
        <is>
          <t>DALARNAS LÄN</t>
        </is>
      </c>
      <c r="E375" t="inlineStr">
        <is>
          <t>HEDEMORA</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39552-2024</t>
        </is>
      </c>
      <c r="B376" s="1" t="n">
        <v>45551</v>
      </c>
      <c r="C376" s="1" t="n">
        <v>46032</v>
      </c>
      <c r="D376" t="inlineStr">
        <is>
          <t>DALARNAS LÄN</t>
        </is>
      </c>
      <c r="E376" t="inlineStr">
        <is>
          <t>HEDEMORA</t>
        </is>
      </c>
      <c r="F376" t="inlineStr">
        <is>
          <t>Bergvik skog väst AB</t>
        </is>
      </c>
      <c r="G376" t="n">
        <v>24.1</v>
      </c>
      <c r="H376" t="n">
        <v>0</v>
      </c>
      <c r="I376" t="n">
        <v>0</v>
      </c>
      <c r="J376" t="n">
        <v>0</v>
      </c>
      <c r="K376" t="n">
        <v>0</v>
      </c>
      <c r="L376" t="n">
        <v>0</v>
      </c>
      <c r="M376" t="n">
        <v>0</v>
      </c>
      <c r="N376" t="n">
        <v>0</v>
      </c>
      <c r="O376" t="n">
        <v>0</v>
      </c>
      <c r="P376" t="n">
        <v>0</v>
      </c>
      <c r="Q376" t="n">
        <v>0</v>
      </c>
      <c r="R376" s="2" t="inlineStr"/>
    </row>
    <row r="377" ht="15" customHeight="1">
      <c r="A377" t="inlineStr">
        <is>
          <t>A 1973-2022</t>
        </is>
      </c>
      <c r="B377" s="1" t="n">
        <v>44575</v>
      </c>
      <c r="C377" s="1" t="n">
        <v>46032</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17600-2025</t>
        </is>
      </c>
      <c r="B378" s="1" t="n">
        <v>45757.71063657408</v>
      </c>
      <c r="C378" s="1" t="n">
        <v>46032</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25691-2022</t>
        </is>
      </c>
      <c r="B379" s="1" t="n">
        <v>44733</v>
      </c>
      <c r="C379" s="1" t="n">
        <v>46032</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60475-2022</t>
        </is>
      </c>
      <c r="B380" s="1" t="n">
        <v>44911.41222222222</v>
      </c>
      <c r="C380" s="1" t="n">
        <v>46032</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63925-2023</t>
        </is>
      </c>
      <c r="B381" s="1" t="n">
        <v>45278</v>
      </c>
      <c r="C381" s="1" t="n">
        <v>46032</v>
      </c>
      <c r="D381" t="inlineStr">
        <is>
          <t>DALARNAS LÄN</t>
        </is>
      </c>
      <c r="E381" t="inlineStr">
        <is>
          <t>HEDEMORA</t>
        </is>
      </c>
      <c r="G381" t="n">
        <v>5.2</v>
      </c>
      <c r="H381" t="n">
        <v>0</v>
      </c>
      <c r="I381" t="n">
        <v>0</v>
      </c>
      <c r="J381" t="n">
        <v>0</v>
      </c>
      <c r="K381" t="n">
        <v>0</v>
      </c>
      <c r="L381" t="n">
        <v>0</v>
      </c>
      <c r="M381" t="n">
        <v>0</v>
      </c>
      <c r="N381" t="n">
        <v>0</v>
      </c>
      <c r="O381" t="n">
        <v>0</v>
      </c>
      <c r="P381" t="n">
        <v>0</v>
      </c>
      <c r="Q381" t="n">
        <v>0</v>
      </c>
      <c r="R381" s="2" t="inlineStr"/>
    </row>
    <row r="382" ht="15" customHeight="1">
      <c r="A382" t="inlineStr">
        <is>
          <t>A 60408-2021</t>
        </is>
      </c>
      <c r="B382" s="1" t="n">
        <v>44495</v>
      </c>
      <c r="C382" s="1" t="n">
        <v>46032</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6556-2023</t>
        </is>
      </c>
      <c r="B383" s="1" t="n">
        <v>44961</v>
      </c>
      <c r="C383" s="1" t="n">
        <v>46032</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62401-2023</t>
        </is>
      </c>
      <c r="B384" s="1" t="n">
        <v>45268</v>
      </c>
      <c r="C384" s="1" t="n">
        <v>46032</v>
      </c>
      <c r="D384" t="inlineStr">
        <is>
          <t>DALARNAS LÄN</t>
        </is>
      </c>
      <c r="E384" t="inlineStr">
        <is>
          <t>HEDEMORA</t>
        </is>
      </c>
      <c r="G384" t="n">
        <v>1.6</v>
      </c>
      <c r="H384" t="n">
        <v>0</v>
      </c>
      <c r="I384" t="n">
        <v>0</v>
      </c>
      <c r="J384" t="n">
        <v>0</v>
      </c>
      <c r="K384" t="n">
        <v>0</v>
      </c>
      <c r="L384" t="n">
        <v>0</v>
      </c>
      <c r="M384" t="n">
        <v>0</v>
      </c>
      <c r="N384" t="n">
        <v>0</v>
      </c>
      <c r="O384" t="n">
        <v>0</v>
      </c>
      <c r="P384" t="n">
        <v>0</v>
      </c>
      <c r="Q384" t="n">
        <v>0</v>
      </c>
      <c r="R384" s="2" t="inlineStr"/>
    </row>
    <row r="385" ht="15" customHeight="1">
      <c r="A385" t="inlineStr">
        <is>
          <t>A 48320-2024</t>
        </is>
      </c>
      <c r="B385" s="1" t="n">
        <v>45590.4999537037</v>
      </c>
      <c r="C385" s="1" t="n">
        <v>46032</v>
      </c>
      <c r="D385" t="inlineStr">
        <is>
          <t>DALARNAS LÄN</t>
        </is>
      </c>
      <c r="E385" t="inlineStr">
        <is>
          <t>HEDEMORA</t>
        </is>
      </c>
      <c r="F385" t="inlineStr">
        <is>
          <t>Sveaskog</t>
        </is>
      </c>
      <c r="G385" t="n">
        <v>4.9</v>
      </c>
      <c r="H385" t="n">
        <v>0</v>
      </c>
      <c r="I385" t="n">
        <v>0</v>
      </c>
      <c r="J385" t="n">
        <v>0</v>
      </c>
      <c r="K385" t="n">
        <v>0</v>
      </c>
      <c r="L385" t="n">
        <v>0</v>
      </c>
      <c r="M385" t="n">
        <v>0</v>
      </c>
      <c r="N385" t="n">
        <v>0</v>
      </c>
      <c r="O385" t="n">
        <v>0</v>
      </c>
      <c r="P385" t="n">
        <v>0</v>
      </c>
      <c r="Q385" t="n">
        <v>0</v>
      </c>
      <c r="R385" s="2" t="inlineStr"/>
    </row>
    <row r="386" ht="15" customHeight="1">
      <c r="A386" t="inlineStr">
        <is>
          <t>A 58841-2023</t>
        </is>
      </c>
      <c r="B386" s="1" t="n">
        <v>45252.42115740741</v>
      </c>
      <c r="C386" s="1" t="n">
        <v>46032</v>
      </c>
      <c r="D386" t="inlineStr">
        <is>
          <t>DALARNAS LÄN</t>
        </is>
      </c>
      <c r="E386" t="inlineStr">
        <is>
          <t>HEDEMORA</t>
        </is>
      </c>
      <c r="G386" t="n">
        <v>14.8</v>
      </c>
      <c r="H386" t="n">
        <v>0</v>
      </c>
      <c r="I386" t="n">
        <v>0</v>
      </c>
      <c r="J386" t="n">
        <v>0</v>
      </c>
      <c r="K386" t="n">
        <v>0</v>
      </c>
      <c r="L386" t="n">
        <v>0</v>
      </c>
      <c r="M386" t="n">
        <v>0</v>
      </c>
      <c r="N386" t="n">
        <v>0</v>
      </c>
      <c r="O386" t="n">
        <v>0</v>
      </c>
      <c r="P386" t="n">
        <v>0</v>
      </c>
      <c r="Q386" t="n">
        <v>0</v>
      </c>
      <c r="R386" s="2" t="inlineStr"/>
    </row>
    <row r="387" ht="15" customHeight="1">
      <c r="A387" t="inlineStr">
        <is>
          <t>A 19988-2025</t>
        </is>
      </c>
      <c r="B387" s="1" t="n">
        <v>45771.72665509259</v>
      </c>
      <c r="C387" s="1" t="n">
        <v>46032</v>
      </c>
      <c r="D387" t="inlineStr">
        <is>
          <t>DALARNAS LÄN</t>
        </is>
      </c>
      <c r="E387" t="inlineStr">
        <is>
          <t>HEDEMORA</t>
        </is>
      </c>
      <c r="G387" t="n">
        <v>0.7</v>
      </c>
      <c r="H387" t="n">
        <v>0</v>
      </c>
      <c r="I387" t="n">
        <v>0</v>
      </c>
      <c r="J387" t="n">
        <v>0</v>
      </c>
      <c r="K387" t="n">
        <v>0</v>
      </c>
      <c r="L387" t="n">
        <v>0</v>
      </c>
      <c r="M387" t="n">
        <v>0</v>
      </c>
      <c r="N387" t="n">
        <v>0</v>
      </c>
      <c r="O387" t="n">
        <v>0</v>
      </c>
      <c r="P387" t="n">
        <v>0</v>
      </c>
      <c r="Q387" t="n">
        <v>0</v>
      </c>
      <c r="R387" s="2" t="inlineStr"/>
    </row>
    <row r="388" ht="15" customHeight="1">
      <c r="A388" t="inlineStr">
        <is>
          <t>A 63908-2021</t>
        </is>
      </c>
      <c r="B388" s="1" t="n">
        <v>44509.6580787037</v>
      </c>
      <c r="C388" s="1" t="n">
        <v>46032</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20272-2025</t>
        </is>
      </c>
      <c r="B389" s="1" t="n">
        <v>45773.71663194444</v>
      </c>
      <c r="C389" s="1" t="n">
        <v>46032</v>
      </c>
      <c r="D389" t="inlineStr">
        <is>
          <t>DALARNAS LÄN</t>
        </is>
      </c>
      <c r="E389" t="inlineStr">
        <is>
          <t>HEDEMORA</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9314-2024</t>
        </is>
      </c>
      <c r="B390" s="1" t="n">
        <v>45358</v>
      </c>
      <c r="C390" s="1" t="n">
        <v>46032</v>
      </c>
      <c r="D390" t="inlineStr">
        <is>
          <t>DALARNAS LÄN</t>
        </is>
      </c>
      <c r="E390" t="inlineStr">
        <is>
          <t>HEDEMORA</t>
        </is>
      </c>
      <c r="G390" t="n">
        <v>1.4</v>
      </c>
      <c r="H390" t="n">
        <v>0</v>
      </c>
      <c r="I390" t="n">
        <v>0</v>
      </c>
      <c r="J390" t="n">
        <v>0</v>
      </c>
      <c r="K390" t="n">
        <v>0</v>
      </c>
      <c r="L390" t="n">
        <v>0</v>
      </c>
      <c r="M390" t="n">
        <v>0</v>
      </c>
      <c r="N390" t="n">
        <v>0</v>
      </c>
      <c r="O390" t="n">
        <v>0</v>
      </c>
      <c r="P390" t="n">
        <v>0</v>
      </c>
      <c r="Q390" t="n">
        <v>0</v>
      </c>
      <c r="R390" s="2" t="inlineStr"/>
    </row>
    <row r="391" ht="15" customHeight="1">
      <c r="A391" t="inlineStr">
        <is>
          <t>A 55882-2023</t>
        </is>
      </c>
      <c r="B391" s="1" t="n">
        <v>45239</v>
      </c>
      <c r="C391" s="1" t="n">
        <v>46032</v>
      </c>
      <c r="D391" t="inlineStr">
        <is>
          <t>DALARNAS LÄN</t>
        </is>
      </c>
      <c r="E391" t="inlineStr">
        <is>
          <t>HEDEMORA</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19990-2025</t>
        </is>
      </c>
      <c r="B392" s="1" t="n">
        <v>45771.73082175926</v>
      </c>
      <c r="C392" s="1" t="n">
        <v>46032</v>
      </c>
      <c r="D392" t="inlineStr">
        <is>
          <t>DALARNAS LÄN</t>
        </is>
      </c>
      <c r="E392" t="inlineStr">
        <is>
          <t>HEDEMORA</t>
        </is>
      </c>
      <c r="G392" t="n">
        <v>0.5</v>
      </c>
      <c r="H392" t="n">
        <v>0</v>
      </c>
      <c r="I392" t="n">
        <v>0</v>
      </c>
      <c r="J392" t="n">
        <v>0</v>
      </c>
      <c r="K392" t="n">
        <v>0</v>
      </c>
      <c r="L392" t="n">
        <v>0</v>
      </c>
      <c r="M392" t="n">
        <v>0</v>
      </c>
      <c r="N392" t="n">
        <v>0</v>
      </c>
      <c r="O392" t="n">
        <v>0</v>
      </c>
      <c r="P392" t="n">
        <v>0</v>
      </c>
      <c r="Q392" t="n">
        <v>0</v>
      </c>
      <c r="R392" s="2" t="inlineStr"/>
    </row>
    <row r="393" ht="15" customHeight="1">
      <c r="A393" t="inlineStr">
        <is>
          <t>A 21763-2024</t>
        </is>
      </c>
      <c r="B393" s="1" t="n">
        <v>45442.60204861111</v>
      </c>
      <c r="C393" s="1" t="n">
        <v>46032</v>
      </c>
      <c r="D393" t="inlineStr">
        <is>
          <t>DALARNAS LÄN</t>
        </is>
      </c>
      <c r="E393" t="inlineStr">
        <is>
          <t>HEDEMORA</t>
        </is>
      </c>
      <c r="G393" t="n">
        <v>1.6</v>
      </c>
      <c r="H393" t="n">
        <v>0</v>
      </c>
      <c r="I393" t="n">
        <v>0</v>
      </c>
      <c r="J393" t="n">
        <v>0</v>
      </c>
      <c r="K393" t="n">
        <v>0</v>
      </c>
      <c r="L393" t="n">
        <v>0</v>
      </c>
      <c r="M393" t="n">
        <v>0</v>
      </c>
      <c r="N393" t="n">
        <v>0</v>
      </c>
      <c r="O393" t="n">
        <v>0</v>
      </c>
      <c r="P393" t="n">
        <v>0</v>
      </c>
      <c r="Q393" t="n">
        <v>0</v>
      </c>
      <c r="R393" s="2" t="inlineStr"/>
    </row>
    <row r="394" ht="15" customHeight="1">
      <c r="A394" t="inlineStr">
        <is>
          <t>A 17594-2025</t>
        </is>
      </c>
      <c r="B394" s="1" t="n">
        <v>45757</v>
      </c>
      <c r="C394" s="1" t="n">
        <v>46032</v>
      </c>
      <c r="D394" t="inlineStr">
        <is>
          <t>DALARNAS LÄN</t>
        </is>
      </c>
      <c r="E394" t="inlineStr">
        <is>
          <t>HEDEMORA</t>
        </is>
      </c>
      <c r="G394" t="n">
        <v>0.6</v>
      </c>
      <c r="H394" t="n">
        <v>0</v>
      </c>
      <c r="I394" t="n">
        <v>0</v>
      </c>
      <c r="J394" t="n">
        <v>0</v>
      </c>
      <c r="K394" t="n">
        <v>0</v>
      </c>
      <c r="L394" t="n">
        <v>0</v>
      </c>
      <c r="M394" t="n">
        <v>0</v>
      </c>
      <c r="N394" t="n">
        <v>0</v>
      </c>
      <c r="O394" t="n">
        <v>0</v>
      </c>
      <c r="P394" t="n">
        <v>0</v>
      </c>
      <c r="Q394" t="n">
        <v>0</v>
      </c>
      <c r="R394" s="2" t="inlineStr"/>
    </row>
    <row r="395" ht="15" customHeight="1">
      <c r="A395" t="inlineStr">
        <is>
          <t>A 37762-2024</t>
        </is>
      </c>
      <c r="B395" s="1" t="n">
        <v>45541.79369212963</v>
      </c>
      <c r="C395" s="1" t="n">
        <v>46032</v>
      </c>
      <c r="D395" t="inlineStr">
        <is>
          <t>DALARNAS LÄN</t>
        </is>
      </c>
      <c r="E395" t="inlineStr">
        <is>
          <t>HEDEMORA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19987-2025</t>
        </is>
      </c>
      <c r="B396" s="1" t="n">
        <v>45771.72193287037</v>
      </c>
      <c r="C396" s="1" t="n">
        <v>46032</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28813-2024</t>
        </is>
      </c>
      <c r="B397" s="1" t="n">
        <v>45478.641875</v>
      </c>
      <c r="C397" s="1" t="n">
        <v>46032</v>
      </c>
      <c r="D397" t="inlineStr">
        <is>
          <t>DALARNAS LÄN</t>
        </is>
      </c>
      <c r="E397" t="inlineStr">
        <is>
          <t>HEDEMORA</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20670-2024</t>
        </is>
      </c>
      <c r="B398" s="1" t="n">
        <v>45436</v>
      </c>
      <c r="C398" s="1" t="n">
        <v>46032</v>
      </c>
      <c r="D398" t="inlineStr">
        <is>
          <t>DALARNAS LÄN</t>
        </is>
      </c>
      <c r="E398" t="inlineStr">
        <is>
          <t>HEDEMORA</t>
        </is>
      </c>
      <c r="G398" t="n">
        <v>2.7</v>
      </c>
      <c r="H398" t="n">
        <v>0</v>
      </c>
      <c r="I398" t="n">
        <v>0</v>
      </c>
      <c r="J398" t="n">
        <v>0</v>
      </c>
      <c r="K398" t="n">
        <v>0</v>
      </c>
      <c r="L398" t="n">
        <v>0</v>
      </c>
      <c r="M398" t="n">
        <v>0</v>
      </c>
      <c r="N398" t="n">
        <v>0</v>
      </c>
      <c r="O398" t="n">
        <v>0</v>
      </c>
      <c r="P398" t="n">
        <v>0</v>
      </c>
      <c r="Q398" t="n">
        <v>0</v>
      </c>
      <c r="R398" s="2" t="inlineStr"/>
    </row>
    <row r="399" ht="15" customHeight="1">
      <c r="A399" t="inlineStr">
        <is>
          <t>A 7052-2025</t>
        </is>
      </c>
      <c r="B399" s="1" t="n">
        <v>45701.64659722222</v>
      </c>
      <c r="C399" s="1" t="n">
        <v>46032</v>
      </c>
      <c r="D399" t="inlineStr">
        <is>
          <t>DALARNAS LÄN</t>
        </is>
      </c>
      <c r="E399" t="inlineStr">
        <is>
          <t>HEDEMORA</t>
        </is>
      </c>
      <c r="G399" t="n">
        <v>0.9</v>
      </c>
      <c r="H399" t="n">
        <v>0</v>
      </c>
      <c r="I399" t="n">
        <v>0</v>
      </c>
      <c r="J399" t="n">
        <v>0</v>
      </c>
      <c r="K399" t="n">
        <v>0</v>
      </c>
      <c r="L399" t="n">
        <v>0</v>
      </c>
      <c r="M399" t="n">
        <v>0</v>
      </c>
      <c r="N399" t="n">
        <v>0</v>
      </c>
      <c r="O399" t="n">
        <v>0</v>
      </c>
      <c r="P399" t="n">
        <v>0</v>
      </c>
      <c r="Q399" t="n">
        <v>0</v>
      </c>
      <c r="R399" s="2" t="inlineStr"/>
    </row>
    <row r="400" ht="15" customHeight="1">
      <c r="A400" t="inlineStr">
        <is>
          <t>A 48321-2024</t>
        </is>
      </c>
      <c r="B400" s="1" t="n">
        <v>45590.50111111111</v>
      </c>
      <c r="C400" s="1" t="n">
        <v>46032</v>
      </c>
      <c r="D400" t="inlineStr">
        <is>
          <t>DALARNAS LÄN</t>
        </is>
      </c>
      <c r="E400" t="inlineStr">
        <is>
          <t>HEDEMORA</t>
        </is>
      </c>
      <c r="F400" t="inlineStr">
        <is>
          <t>Sveaskog</t>
        </is>
      </c>
      <c r="G400" t="n">
        <v>5.2</v>
      </c>
      <c r="H400" t="n">
        <v>0</v>
      </c>
      <c r="I400" t="n">
        <v>0</v>
      </c>
      <c r="J400" t="n">
        <v>0</v>
      </c>
      <c r="K400" t="n">
        <v>0</v>
      </c>
      <c r="L400" t="n">
        <v>0</v>
      </c>
      <c r="M400" t="n">
        <v>0</v>
      </c>
      <c r="N400" t="n">
        <v>0</v>
      </c>
      <c r="O400" t="n">
        <v>0</v>
      </c>
      <c r="P400" t="n">
        <v>0</v>
      </c>
      <c r="Q400" t="n">
        <v>0</v>
      </c>
      <c r="R400" s="2" t="inlineStr"/>
    </row>
    <row r="401" ht="15" customHeight="1">
      <c r="A401" t="inlineStr">
        <is>
          <t>A 60078-2022</t>
        </is>
      </c>
      <c r="B401" s="1" t="n">
        <v>44909.58811342593</v>
      </c>
      <c r="C401" s="1" t="n">
        <v>46032</v>
      </c>
      <c r="D401" t="inlineStr">
        <is>
          <t>DALARNAS LÄN</t>
        </is>
      </c>
      <c r="E401" t="inlineStr">
        <is>
          <t>HEDEMORA</t>
        </is>
      </c>
      <c r="G401" t="n">
        <v>0.5</v>
      </c>
      <c r="H401" t="n">
        <v>0</v>
      </c>
      <c r="I401" t="n">
        <v>0</v>
      </c>
      <c r="J401" t="n">
        <v>0</v>
      </c>
      <c r="K401" t="n">
        <v>0</v>
      </c>
      <c r="L401" t="n">
        <v>0</v>
      </c>
      <c r="M401" t="n">
        <v>0</v>
      </c>
      <c r="N401" t="n">
        <v>0</v>
      </c>
      <c r="O401" t="n">
        <v>0</v>
      </c>
      <c r="P401" t="n">
        <v>0</v>
      </c>
      <c r="Q401" t="n">
        <v>0</v>
      </c>
      <c r="R401" s="2" t="inlineStr"/>
    </row>
    <row r="402" ht="15" customHeight="1">
      <c r="A402" t="inlineStr">
        <is>
          <t>A 14456-2021</t>
        </is>
      </c>
      <c r="B402" s="1" t="n">
        <v>44279.50208333333</v>
      </c>
      <c r="C402" s="1" t="n">
        <v>46032</v>
      </c>
      <c r="D402" t="inlineStr">
        <is>
          <t>DALARNAS LÄN</t>
        </is>
      </c>
      <c r="E402" t="inlineStr">
        <is>
          <t>HEDEMORA</t>
        </is>
      </c>
      <c r="G402" t="n">
        <v>1.2</v>
      </c>
      <c r="H402" t="n">
        <v>0</v>
      </c>
      <c r="I402" t="n">
        <v>0</v>
      </c>
      <c r="J402" t="n">
        <v>0</v>
      </c>
      <c r="K402" t="n">
        <v>0</v>
      </c>
      <c r="L402" t="n">
        <v>0</v>
      </c>
      <c r="M402" t="n">
        <v>0</v>
      </c>
      <c r="N402" t="n">
        <v>0</v>
      </c>
      <c r="O402" t="n">
        <v>0</v>
      </c>
      <c r="P402" t="n">
        <v>0</v>
      </c>
      <c r="Q402" t="n">
        <v>0</v>
      </c>
      <c r="R402" s="2" t="inlineStr"/>
    </row>
    <row r="403" ht="15" customHeight="1">
      <c r="A403" t="inlineStr">
        <is>
          <t>A 24427-2022</t>
        </is>
      </c>
      <c r="B403" s="1" t="n">
        <v>44726</v>
      </c>
      <c r="C403" s="1" t="n">
        <v>46032</v>
      </c>
      <c r="D403" t="inlineStr">
        <is>
          <t>DALARNAS LÄN</t>
        </is>
      </c>
      <c r="E403" t="inlineStr">
        <is>
          <t>HEDEMORA</t>
        </is>
      </c>
      <c r="G403" t="n">
        <v>1.7</v>
      </c>
      <c r="H403" t="n">
        <v>0</v>
      </c>
      <c r="I403" t="n">
        <v>0</v>
      </c>
      <c r="J403" t="n">
        <v>0</v>
      </c>
      <c r="K403" t="n">
        <v>0</v>
      </c>
      <c r="L403" t="n">
        <v>0</v>
      </c>
      <c r="M403" t="n">
        <v>0</v>
      </c>
      <c r="N403" t="n">
        <v>0</v>
      </c>
      <c r="O403" t="n">
        <v>0</v>
      </c>
      <c r="P403" t="n">
        <v>0</v>
      </c>
      <c r="Q403" t="n">
        <v>0</v>
      </c>
      <c r="R403" s="2" t="inlineStr"/>
    </row>
    <row r="404" ht="15" customHeight="1">
      <c r="A404" t="inlineStr">
        <is>
          <t>A 45589-2023</t>
        </is>
      </c>
      <c r="B404" s="1" t="n">
        <v>45194.63086805555</v>
      </c>
      <c r="C404" s="1" t="n">
        <v>46032</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48323-2021</t>
        </is>
      </c>
      <c r="B405" s="1" t="n">
        <v>44450.84762731481</v>
      </c>
      <c r="C405" s="1" t="n">
        <v>46032</v>
      </c>
      <c r="D405" t="inlineStr">
        <is>
          <t>DALARNAS LÄN</t>
        </is>
      </c>
      <c r="E405" t="inlineStr">
        <is>
          <t>HEDEMORA</t>
        </is>
      </c>
      <c r="G405" t="n">
        <v>0.9</v>
      </c>
      <c r="H405" t="n">
        <v>0</v>
      </c>
      <c r="I405" t="n">
        <v>0</v>
      </c>
      <c r="J405" t="n">
        <v>0</v>
      </c>
      <c r="K405" t="n">
        <v>0</v>
      </c>
      <c r="L405" t="n">
        <v>0</v>
      </c>
      <c r="M405" t="n">
        <v>0</v>
      </c>
      <c r="N405" t="n">
        <v>0</v>
      </c>
      <c r="O405" t="n">
        <v>0</v>
      </c>
      <c r="P405" t="n">
        <v>0</v>
      </c>
      <c r="Q405" t="n">
        <v>0</v>
      </c>
      <c r="R405" s="2" t="inlineStr"/>
    </row>
    <row r="406" ht="15" customHeight="1">
      <c r="A406" t="inlineStr">
        <is>
          <t>A 40919-2023</t>
        </is>
      </c>
      <c r="B406" s="1" t="n">
        <v>45173.42707175926</v>
      </c>
      <c r="C406" s="1" t="n">
        <v>46032</v>
      </c>
      <c r="D406" t="inlineStr">
        <is>
          <t>DALARNAS LÄN</t>
        </is>
      </c>
      <c r="E406" t="inlineStr">
        <is>
          <t>HEDEMORA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1978-2021</t>
        </is>
      </c>
      <c r="B407" s="1" t="n">
        <v>44210.67606481481</v>
      </c>
      <c r="C407" s="1" t="n">
        <v>46032</v>
      </c>
      <c r="D407" t="inlineStr">
        <is>
          <t>DALARNAS LÄN</t>
        </is>
      </c>
      <c r="E407" t="inlineStr">
        <is>
          <t>HEDEMORA</t>
        </is>
      </c>
      <c r="G407" t="n">
        <v>1</v>
      </c>
      <c r="H407" t="n">
        <v>0</v>
      </c>
      <c r="I407" t="n">
        <v>0</v>
      </c>
      <c r="J407" t="n">
        <v>0</v>
      </c>
      <c r="K407" t="n">
        <v>0</v>
      </c>
      <c r="L407" t="n">
        <v>0</v>
      </c>
      <c r="M407" t="n">
        <v>0</v>
      </c>
      <c r="N407" t="n">
        <v>0</v>
      </c>
      <c r="O407" t="n">
        <v>0</v>
      </c>
      <c r="P407" t="n">
        <v>0</v>
      </c>
      <c r="Q407" t="n">
        <v>0</v>
      </c>
      <c r="R407" s="2" t="inlineStr"/>
    </row>
    <row r="408" ht="15" customHeight="1">
      <c r="A408" t="inlineStr">
        <is>
          <t>A 20237-2023</t>
        </is>
      </c>
      <c r="B408" s="1" t="n">
        <v>45055</v>
      </c>
      <c r="C408" s="1" t="n">
        <v>46032</v>
      </c>
      <c r="D408" t="inlineStr">
        <is>
          <t>DALARNAS LÄN</t>
        </is>
      </c>
      <c r="E408" t="inlineStr">
        <is>
          <t>HEDEMORA</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68553-2021</t>
        </is>
      </c>
      <c r="B409" s="1" t="n">
        <v>44529</v>
      </c>
      <c r="C409" s="1" t="n">
        <v>46032</v>
      </c>
      <c r="D409" t="inlineStr">
        <is>
          <t>DALARNAS LÄN</t>
        </is>
      </c>
      <c r="E409" t="inlineStr">
        <is>
          <t>HEDEMORA</t>
        </is>
      </c>
      <c r="G409" t="n">
        <v>3</v>
      </c>
      <c r="H409" t="n">
        <v>0</v>
      </c>
      <c r="I409" t="n">
        <v>0</v>
      </c>
      <c r="J409" t="n">
        <v>0</v>
      </c>
      <c r="K409" t="n">
        <v>0</v>
      </c>
      <c r="L409" t="n">
        <v>0</v>
      </c>
      <c r="M409" t="n">
        <v>0</v>
      </c>
      <c r="N409" t="n">
        <v>0</v>
      </c>
      <c r="O409" t="n">
        <v>0</v>
      </c>
      <c r="P409" t="n">
        <v>0</v>
      </c>
      <c r="Q409" t="n">
        <v>0</v>
      </c>
      <c r="R409" s="2" t="inlineStr"/>
    </row>
    <row r="410" ht="15" customHeight="1">
      <c r="A410" t="inlineStr">
        <is>
          <t>A 30939-2023</t>
        </is>
      </c>
      <c r="B410" s="1" t="n">
        <v>45113.45597222223</v>
      </c>
      <c r="C410" s="1" t="n">
        <v>46032</v>
      </c>
      <c r="D410" t="inlineStr">
        <is>
          <t>DALARNAS LÄN</t>
        </is>
      </c>
      <c r="E410" t="inlineStr">
        <is>
          <t>HEDEMORA</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20965-2025</t>
        </is>
      </c>
      <c r="B411" s="1" t="n">
        <v>45777.45135416667</v>
      </c>
      <c r="C411" s="1" t="n">
        <v>46032</v>
      </c>
      <c r="D411" t="inlineStr">
        <is>
          <t>DALARNAS LÄN</t>
        </is>
      </c>
      <c r="E411" t="inlineStr">
        <is>
          <t>HEDEMORA</t>
        </is>
      </c>
      <c r="F411" t="inlineStr">
        <is>
          <t>Sveaskog</t>
        </is>
      </c>
      <c r="G411" t="n">
        <v>1</v>
      </c>
      <c r="H411" t="n">
        <v>0</v>
      </c>
      <c r="I411" t="n">
        <v>0</v>
      </c>
      <c r="J411" t="n">
        <v>0</v>
      </c>
      <c r="K411" t="n">
        <v>0</v>
      </c>
      <c r="L411" t="n">
        <v>0</v>
      </c>
      <c r="M411" t="n">
        <v>0</v>
      </c>
      <c r="N411" t="n">
        <v>0</v>
      </c>
      <c r="O411" t="n">
        <v>0</v>
      </c>
      <c r="P411" t="n">
        <v>0</v>
      </c>
      <c r="Q411" t="n">
        <v>0</v>
      </c>
      <c r="R411" s="2" t="inlineStr"/>
    </row>
    <row r="412">
      <c r="A412" t="inlineStr">
        <is>
          <t>A 30430-2023</t>
        </is>
      </c>
      <c r="B412" s="1" t="n">
        <v>45111.54344907407</v>
      </c>
      <c r="C412" s="1" t="n">
        <v>46032</v>
      </c>
      <c r="D412" t="inlineStr">
        <is>
          <t>DALARNAS LÄN</t>
        </is>
      </c>
      <c r="E412" t="inlineStr">
        <is>
          <t>HEDEMORA</t>
        </is>
      </c>
      <c r="F412" t="inlineStr">
        <is>
          <t>Sveaskog</t>
        </is>
      </c>
      <c r="G412" t="n">
        <v>1.7</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2026-01-10T10:48:42Z</dcterms:created>
  <dcterms:modified xmlns:dcterms="http://purl.org/dc/terms/" xmlns:xsi="http://www.w3.org/2001/XMLSchema-instance" xsi:type="dcterms:W3CDTF">2026-01-10T10:48:42Z</dcterms:modified>
</cp:coreProperties>
</file>