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46000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46000</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46000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46000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46000</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46000</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46000</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58505-2022</t>
        </is>
      </c>
      <c r="B9" s="1" t="n">
        <v>44902</v>
      </c>
      <c r="C9" s="1" t="n">
        <v>46000</v>
      </c>
      <c r="D9" t="inlineStr">
        <is>
          <t>DALARNAS LÄN</t>
        </is>
      </c>
      <c r="E9" t="inlineStr">
        <is>
          <t>HEDEMORA</t>
        </is>
      </c>
      <c r="G9" t="n">
        <v>1.8</v>
      </c>
      <c r="H9" t="n">
        <v>3</v>
      </c>
      <c r="I9" t="n">
        <v>4</v>
      </c>
      <c r="J9" t="n">
        <v>4</v>
      </c>
      <c r="K9" t="n">
        <v>2</v>
      </c>
      <c r="L9" t="n">
        <v>0</v>
      </c>
      <c r="M9" t="n">
        <v>0</v>
      </c>
      <c r="N9" t="n">
        <v>0</v>
      </c>
      <c r="O9" t="n">
        <v>6</v>
      </c>
      <c r="P9" t="n">
        <v>2</v>
      </c>
      <c r="Q9" t="n">
        <v>10</v>
      </c>
      <c r="R9" s="2" t="inlineStr">
        <is>
          <t>Hängticka
Knärot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62040-2021</t>
        </is>
      </c>
      <c r="B10" s="1" t="n">
        <v>44502</v>
      </c>
      <c r="C10" s="1" t="n">
        <v>46000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45277-2025</t>
        </is>
      </c>
      <c r="B11" s="1" t="n">
        <v>45919.71271990741</v>
      </c>
      <c r="C11" s="1" t="n">
        <v>46000</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38724-2025</t>
        </is>
      </c>
      <c r="B12" s="1" t="n">
        <v>45887.29802083333</v>
      </c>
      <c r="C12" s="1" t="n">
        <v>46000</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53820-2025</t>
        </is>
      </c>
      <c r="B13" s="1" t="n">
        <v>45961.32736111111</v>
      </c>
      <c r="C13" s="1" t="n">
        <v>46000</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34929-2024</t>
        </is>
      </c>
      <c r="B14" s="1" t="n">
        <v>45527.44895833333</v>
      </c>
      <c r="C14" s="1" t="n">
        <v>46000</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58943-2023</t>
        </is>
      </c>
      <c r="B15" s="1" t="n">
        <v>45250</v>
      </c>
      <c r="C15" s="1" t="n">
        <v>46000</v>
      </c>
      <c r="D15" t="inlineStr">
        <is>
          <t>DALARNAS LÄN</t>
        </is>
      </c>
      <c r="E15" t="inlineStr">
        <is>
          <t>HEDEMORA</t>
        </is>
      </c>
      <c r="G15" t="n">
        <v>5.4</v>
      </c>
      <c r="H15" t="n">
        <v>2</v>
      </c>
      <c r="I15" t="n">
        <v>3</v>
      </c>
      <c r="J15" t="n">
        <v>3</v>
      </c>
      <c r="K15" t="n">
        <v>2</v>
      </c>
      <c r="L15" t="n">
        <v>0</v>
      </c>
      <c r="M15" t="n">
        <v>0</v>
      </c>
      <c r="N15" t="n">
        <v>0</v>
      </c>
      <c r="O15" t="n">
        <v>5</v>
      </c>
      <c r="P15" t="n">
        <v>2</v>
      </c>
      <c r="Q15" t="n">
        <v>9</v>
      </c>
      <c r="R15" s="2" t="inlineStr">
        <is>
          <t>Knärot
Rynkskinn
Garnlav
Rosenticka
Ullticka
Blodticka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49269-2024</t>
        </is>
      </c>
      <c r="B16" s="1" t="n">
        <v>45595.49747685185</v>
      </c>
      <c r="C16" s="1" t="n">
        <v>46000</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46000</v>
      </c>
      <c r="D17" t="inlineStr">
        <is>
          <t>DALARNAS LÄN</t>
        </is>
      </c>
      <c r="E17" t="inlineStr">
        <is>
          <t>HEDEMORA</t>
        </is>
      </c>
      <c r="G17" t="n">
        <v>8.199999999999999</v>
      </c>
      <c r="H17" t="n">
        <v>0</v>
      </c>
      <c r="I17" t="n">
        <v>3</v>
      </c>
      <c r="J17" t="n">
        <v>3</v>
      </c>
      <c r="K17" t="n">
        <v>1</v>
      </c>
      <c r="L17" t="n">
        <v>0</v>
      </c>
      <c r="M17" t="n">
        <v>0</v>
      </c>
      <c r="N17" t="n">
        <v>0</v>
      </c>
      <c r="O17" t="n">
        <v>4</v>
      </c>
      <c r="P17" t="n">
        <v>1</v>
      </c>
      <c r="Q17" t="n">
        <v>7</v>
      </c>
      <c r="R17" s="2" t="inlineStr">
        <is>
          <t>Grangråticka
Odörspindling
Persiljespindling
Puderspindling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46000</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34931-2024</t>
        </is>
      </c>
      <c r="B19" s="1" t="n">
        <v>45527.45292824074</v>
      </c>
      <c r="C19" s="1" t="n">
        <v>46000</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46000</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46000</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46000</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46000</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46000</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46000</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46000</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46000</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46000</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46000</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46000</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46000</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43679-2025</t>
        </is>
      </c>
      <c r="B32" s="1" t="n">
        <v>45912.36710648148</v>
      </c>
      <c r="C32" s="1" t="n">
        <v>46000</v>
      </c>
      <c r="D32" t="inlineStr">
        <is>
          <t>DALARNAS LÄN</t>
        </is>
      </c>
      <c r="E32" t="inlineStr">
        <is>
          <t>HEDEMORA</t>
        </is>
      </c>
      <c r="F32" t="inlineStr">
        <is>
          <t>Sveaskog</t>
        </is>
      </c>
      <c r="G32" t="n">
        <v>6.5</v>
      </c>
      <c r="H32" t="n">
        <v>1</v>
      </c>
      <c r="I32" t="n">
        <v>0</v>
      </c>
      <c r="J32" t="n">
        <v>1</v>
      </c>
      <c r="K32" t="n">
        <v>0</v>
      </c>
      <c r="L32" t="n">
        <v>0</v>
      </c>
      <c r="M32" t="n">
        <v>0</v>
      </c>
      <c r="N32" t="n">
        <v>0</v>
      </c>
      <c r="O32" t="n">
        <v>1</v>
      </c>
      <c r="P32" t="n">
        <v>0</v>
      </c>
      <c r="Q32" t="n">
        <v>2</v>
      </c>
      <c r="R32" s="2" t="inlineStr">
        <is>
          <t>Motaggsvamp
Revlummer</t>
        </is>
      </c>
      <c r="S32">
        <f>HYPERLINK("https://klasma.github.io/Logging_2083/artfynd/A 43679-2025 artfynd.xlsx", "A 43679-2025")</f>
        <v/>
      </c>
      <c r="T32">
        <f>HYPERLINK("https://klasma.github.io/Logging_2083/kartor/A 43679-2025 karta.png", "A 43679-2025")</f>
        <v/>
      </c>
      <c r="U32">
        <f>HYPERLINK("https://klasma.github.io/Logging_2083/knärot/A 43679-2025 karta knärot.png", "A 43679-2025")</f>
        <v/>
      </c>
      <c r="V32">
        <f>HYPERLINK("https://klasma.github.io/Logging_2083/klagomål/A 43679-2025 FSC-klagomål.docx", "A 43679-2025")</f>
        <v/>
      </c>
      <c r="W32">
        <f>HYPERLINK("https://klasma.github.io/Logging_2083/klagomålsmail/A 43679-2025 FSC-klagomål mail.docx", "A 43679-2025")</f>
        <v/>
      </c>
      <c r="X32">
        <f>HYPERLINK("https://klasma.github.io/Logging_2083/tillsyn/A 43679-2025 tillsynsbegäran.docx", "A 43679-2025")</f>
        <v/>
      </c>
      <c r="Y32">
        <f>HYPERLINK("https://klasma.github.io/Logging_2083/tillsynsmail/A 43679-2025 tillsynsbegäran mail.docx", "A 43679-2025")</f>
        <v/>
      </c>
    </row>
    <row r="33" ht="15" customHeight="1">
      <c r="A33" t="inlineStr">
        <is>
          <t>A 43681-2025</t>
        </is>
      </c>
      <c r="B33" s="1" t="n">
        <v>45912.37243055556</v>
      </c>
      <c r="C33" s="1" t="n">
        <v>46000</v>
      </c>
      <c r="D33" t="inlineStr">
        <is>
          <t>DALARNAS LÄN</t>
        </is>
      </c>
      <c r="E33" t="inlineStr">
        <is>
          <t>HEDEMORA</t>
        </is>
      </c>
      <c r="F33" t="inlineStr">
        <is>
          <t>Sveaskog</t>
        </is>
      </c>
      <c r="G33" t="n">
        <v>13.2</v>
      </c>
      <c r="H33" t="n">
        <v>2</v>
      </c>
      <c r="I33" t="n">
        <v>0</v>
      </c>
      <c r="J33" t="n">
        <v>0</v>
      </c>
      <c r="K33" t="n">
        <v>0</v>
      </c>
      <c r="L33" t="n">
        <v>0</v>
      </c>
      <c r="M33" t="n">
        <v>0</v>
      </c>
      <c r="N33" t="n">
        <v>0</v>
      </c>
      <c r="O33" t="n">
        <v>0</v>
      </c>
      <c r="P33" t="n">
        <v>0</v>
      </c>
      <c r="Q33" t="n">
        <v>2</v>
      </c>
      <c r="R33" s="2" t="inlineStr">
        <is>
          <t>Blåsippa
Revlummer</t>
        </is>
      </c>
      <c r="S33">
        <f>HYPERLINK("https://klasma.github.io/Logging_2083/artfynd/A 43681-2025 artfynd.xlsx", "A 43681-2025")</f>
        <v/>
      </c>
      <c r="T33">
        <f>HYPERLINK("https://klasma.github.io/Logging_2083/kartor/A 43681-2025 karta.png", "A 43681-2025")</f>
        <v/>
      </c>
      <c r="U33">
        <f>HYPERLINK("https://klasma.github.io/Logging_2083/knärot/A 43681-2025 karta knärot.png", "A 43681-2025")</f>
        <v/>
      </c>
      <c r="V33">
        <f>HYPERLINK("https://klasma.github.io/Logging_2083/klagomål/A 43681-2025 FSC-klagomål.docx", "A 43681-2025")</f>
        <v/>
      </c>
      <c r="W33">
        <f>HYPERLINK("https://klasma.github.io/Logging_2083/klagomålsmail/A 43681-2025 FSC-klagomål mail.docx", "A 43681-2025")</f>
        <v/>
      </c>
      <c r="X33">
        <f>HYPERLINK("https://klasma.github.io/Logging_2083/tillsyn/A 43681-2025 tillsynsbegäran.docx", "A 43681-2025")</f>
        <v/>
      </c>
      <c r="Y33">
        <f>HYPERLINK("https://klasma.github.io/Logging_2083/tillsynsmail/A 43681-2025 tillsynsbegäran mail.docx", "A 43681-2025")</f>
        <v/>
      </c>
    </row>
    <row r="34" ht="15" customHeight="1">
      <c r="A34" t="inlineStr">
        <is>
          <t>A 54849-2022</t>
        </is>
      </c>
      <c r="B34" s="1" t="n">
        <v>44883</v>
      </c>
      <c r="C34" s="1" t="n">
        <v>46000</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46000</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19352-2024</t>
        </is>
      </c>
      <c r="B36" s="1" t="n">
        <v>45429.29493055555</v>
      </c>
      <c r="C36" s="1" t="n">
        <v>46000</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1518-2025</t>
        </is>
      </c>
      <c r="B37" s="1" t="n">
        <v>45670</v>
      </c>
      <c r="C37" s="1" t="n">
        <v>46000</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41332-2025</t>
        </is>
      </c>
      <c r="B38" s="1" t="n">
        <v>45899.35592592593</v>
      </c>
      <c r="C38" s="1" t="n">
        <v>46000</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59035-2023</t>
        </is>
      </c>
      <c r="B39" s="1" t="n">
        <v>45252</v>
      </c>
      <c r="C39" s="1" t="n">
        <v>46000</v>
      </c>
      <c r="D39" t="inlineStr">
        <is>
          <t>DALARNAS LÄN</t>
        </is>
      </c>
      <c r="E39" t="inlineStr">
        <is>
          <t>HEDEMORA</t>
        </is>
      </c>
      <c r="F39" t="inlineStr">
        <is>
          <t>Sveaskog</t>
        </is>
      </c>
      <c r="G39" t="n">
        <v>3.7</v>
      </c>
      <c r="H39" t="n">
        <v>2</v>
      </c>
      <c r="I39" t="n">
        <v>0</v>
      </c>
      <c r="J39" t="n">
        <v>0</v>
      </c>
      <c r="K39" t="n">
        <v>0</v>
      </c>
      <c r="L39" t="n">
        <v>0</v>
      </c>
      <c r="M39" t="n">
        <v>0</v>
      </c>
      <c r="N39" t="n">
        <v>0</v>
      </c>
      <c r="O39" t="n">
        <v>0</v>
      </c>
      <c r="P39" t="n">
        <v>0</v>
      </c>
      <c r="Q39" t="n">
        <v>2</v>
      </c>
      <c r="R39" s="2" t="inlineStr">
        <is>
          <t>Fläcknycklar
Blåsippa</t>
        </is>
      </c>
      <c r="S39">
        <f>HYPERLINK("https://klasma.github.io/Logging_2083/artfynd/A 59035-2023 artfynd.xlsx", "A 59035-2023")</f>
        <v/>
      </c>
      <c r="T39">
        <f>HYPERLINK("https://klasma.github.io/Logging_2083/kartor/A 59035-2023 karta.png", "A 59035-2023")</f>
        <v/>
      </c>
      <c r="U39">
        <f>HYPERLINK("https://klasma.github.io/Logging_2083/knärot/A 59035-2023 karta knärot.png", "A 59035-2023")</f>
        <v/>
      </c>
      <c r="V39">
        <f>HYPERLINK("https://klasma.github.io/Logging_2083/klagomål/A 59035-2023 FSC-klagomål.docx", "A 59035-2023")</f>
        <v/>
      </c>
      <c r="W39">
        <f>HYPERLINK("https://klasma.github.io/Logging_2083/klagomålsmail/A 59035-2023 FSC-klagomål mail.docx", "A 59035-2023")</f>
        <v/>
      </c>
      <c r="X39">
        <f>HYPERLINK("https://klasma.github.io/Logging_2083/tillsyn/A 59035-2023 tillsynsbegäran.docx", "A 59035-2023")</f>
        <v/>
      </c>
      <c r="Y39">
        <f>HYPERLINK("https://klasma.github.io/Logging_2083/tillsynsmail/A 59035-2023 tillsynsbegäran mail.docx", "A 59035-2023")</f>
        <v/>
      </c>
    </row>
    <row r="40" ht="15" customHeight="1">
      <c r="A40" t="inlineStr">
        <is>
          <t>A 451-2025</t>
        </is>
      </c>
      <c r="B40" s="1" t="n">
        <v>45664.39991898148</v>
      </c>
      <c r="C40" s="1" t="n">
        <v>46000</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45884-2021</t>
        </is>
      </c>
      <c r="B41" s="1" t="n">
        <v>44441</v>
      </c>
      <c r="C41" s="1" t="n">
        <v>46000</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53915-2022</t>
        </is>
      </c>
      <c r="B42" s="1" t="n">
        <v>44880.87587962963</v>
      </c>
      <c r="C42" s="1" t="n">
        <v>46000</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46000</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46000</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46000</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42614-2024</t>
        </is>
      </c>
      <c r="B46" s="1" t="n">
        <v>45565</v>
      </c>
      <c r="C46" s="1" t="n">
        <v>46000</v>
      </c>
      <c r="D46" t="inlineStr">
        <is>
          <t>DALARNAS LÄN</t>
        </is>
      </c>
      <c r="E46" t="inlineStr">
        <is>
          <t>HEDEMORA</t>
        </is>
      </c>
      <c r="F46" t="inlineStr">
        <is>
          <t>Sveaskog</t>
        </is>
      </c>
      <c r="G46" t="n">
        <v>3</v>
      </c>
      <c r="H46" t="n">
        <v>1</v>
      </c>
      <c r="I46" t="n">
        <v>0</v>
      </c>
      <c r="J46" t="n">
        <v>1</v>
      </c>
      <c r="K46" t="n">
        <v>0</v>
      </c>
      <c r="L46" t="n">
        <v>0</v>
      </c>
      <c r="M46" t="n">
        <v>0</v>
      </c>
      <c r="N46" t="n">
        <v>0</v>
      </c>
      <c r="O46" t="n">
        <v>1</v>
      </c>
      <c r="P46" t="n">
        <v>0</v>
      </c>
      <c r="Q46" t="n">
        <v>1</v>
      </c>
      <c r="R46" s="2" t="inlineStr">
        <is>
          <t>Talltita</t>
        </is>
      </c>
      <c r="S46">
        <f>HYPERLINK("https://klasma.github.io/Logging_2083/artfynd/A 42614-2024 artfynd.xlsx", "A 42614-2024")</f>
        <v/>
      </c>
      <c r="T46">
        <f>HYPERLINK("https://klasma.github.io/Logging_2083/kartor/A 42614-2024 karta.png", "A 42614-2024")</f>
        <v/>
      </c>
      <c r="V46">
        <f>HYPERLINK("https://klasma.github.io/Logging_2083/klagomål/A 42614-2024 FSC-klagomål.docx", "A 42614-2024")</f>
        <v/>
      </c>
      <c r="W46">
        <f>HYPERLINK("https://klasma.github.io/Logging_2083/klagomålsmail/A 42614-2024 FSC-klagomål mail.docx", "A 42614-2024")</f>
        <v/>
      </c>
      <c r="X46">
        <f>HYPERLINK("https://klasma.github.io/Logging_2083/tillsyn/A 42614-2024 tillsynsbegäran.docx", "A 42614-2024")</f>
        <v/>
      </c>
      <c r="Y46">
        <f>HYPERLINK("https://klasma.github.io/Logging_2083/tillsynsmail/A 42614-2024 tillsynsbegäran mail.docx", "A 42614-2024")</f>
        <v/>
      </c>
      <c r="Z46">
        <f>HYPERLINK("https://klasma.github.io/Logging_2083/fåglar/A 42614-2024 prioriterade fågelarter.docx", "A 42614-2024")</f>
        <v/>
      </c>
    </row>
    <row r="47" ht="15" customHeight="1">
      <c r="A47" t="inlineStr">
        <is>
          <t>A 39396-2025</t>
        </is>
      </c>
      <c r="B47" s="1" t="n">
        <v>45889.63289351852</v>
      </c>
      <c r="C47" s="1" t="n">
        <v>46000</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23815-2023</t>
        </is>
      </c>
      <c r="B48" s="1" t="n">
        <v>45078</v>
      </c>
      <c r="C48" s="1" t="n">
        <v>46000</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23815-2023 artfynd.xlsx", "A 23815-2023")</f>
        <v/>
      </c>
      <c r="T48">
        <f>HYPERLINK("https://klasma.github.io/Logging_2083/kartor/A 23815-2023 karta.png", "A 23815-2023")</f>
        <v/>
      </c>
      <c r="U48">
        <f>HYPERLINK("https://klasma.github.io/Logging_2083/knärot/A 23815-2023 karta knärot.png", "A 23815-2023")</f>
        <v/>
      </c>
      <c r="V48">
        <f>HYPERLINK("https://klasma.github.io/Logging_2083/klagomål/A 23815-2023 FSC-klagomål.docx", "A 23815-2023")</f>
        <v/>
      </c>
      <c r="W48">
        <f>HYPERLINK("https://klasma.github.io/Logging_2083/klagomålsmail/A 23815-2023 FSC-klagomål mail.docx", "A 23815-2023")</f>
        <v/>
      </c>
      <c r="X48">
        <f>HYPERLINK("https://klasma.github.io/Logging_2083/tillsyn/A 23815-2023 tillsynsbegäran.docx", "A 23815-2023")</f>
        <v/>
      </c>
      <c r="Y48">
        <f>HYPERLINK("https://klasma.github.io/Logging_2083/tillsynsmail/A 23815-2023 tillsynsbegäran mail.docx", "A 23815-2023")</f>
        <v/>
      </c>
    </row>
    <row r="49" ht="15" customHeight="1">
      <c r="A49" t="inlineStr">
        <is>
          <t>A 41333-2025</t>
        </is>
      </c>
      <c r="B49" s="1" t="n">
        <v>45899.35854166667</v>
      </c>
      <c r="C49" s="1" t="n">
        <v>46000</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28181-2025</t>
        </is>
      </c>
      <c r="B50" s="1" t="n">
        <v>45818.39921296296</v>
      </c>
      <c r="C50" s="1" t="n">
        <v>46000</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44598-2025</t>
        </is>
      </c>
      <c r="B51" s="1" t="n">
        <v>45917.43056712963</v>
      </c>
      <c r="C51" s="1" t="n">
        <v>46000</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46000</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45291-2025</t>
        </is>
      </c>
      <c r="B53" s="1" t="n">
        <v>45920.3734837963</v>
      </c>
      <c r="C53" s="1" t="n">
        <v>46000</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60017-2024</t>
        </is>
      </c>
      <c r="B54" s="1" t="n">
        <v>45642</v>
      </c>
      <c r="C54" s="1" t="n">
        <v>46000</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15058-2025</t>
        </is>
      </c>
      <c r="B55" s="1" t="n">
        <v>45743.70716435185</v>
      </c>
      <c r="C55" s="1" t="n">
        <v>46000</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19094-2025</t>
        </is>
      </c>
      <c r="B56" s="1" t="n">
        <v>45767.54942129629</v>
      </c>
      <c r="C56" s="1" t="n">
        <v>46000</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48382-2025</t>
        </is>
      </c>
      <c r="B57" s="1" t="n">
        <v>45933.82043981482</v>
      </c>
      <c r="C57" s="1" t="n">
        <v>46000</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33968-2025</t>
        </is>
      </c>
      <c r="B58" s="1" t="n">
        <v>45842</v>
      </c>
      <c r="C58" s="1" t="n">
        <v>46000</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12905-2025</t>
        </is>
      </c>
      <c r="B59" s="1" t="n">
        <v>45733</v>
      </c>
      <c r="C59" s="1" t="n">
        <v>46000</v>
      </c>
      <c r="D59" t="inlineStr">
        <is>
          <t>DALARNAS LÄN</t>
        </is>
      </c>
      <c r="E59" t="inlineStr">
        <is>
          <t>HEDEMORA</t>
        </is>
      </c>
      <c r="G59" t="n">
        <v>3.1</v>
      </c>
      <c r="H59" t="n">
        <v>1</v>
      </c>
      <c r="I59" t="n">
        <v>0</v>
      </c>
      <c r="J59" t="n">
        <v>0</v>
      </c>
      <c r="K59" t="n">
        <v>1</v>
      </c>
      <c r="L59" t="n">
        <v>0</v>
      </c>
      <c r="M59" t="n">
        <v>0</v>
      </c>
      <c r="N59" t="n">
        <v>0</v>
      </c>
      <c r="O59" t="n">
        <v>1</v>
      </c>
      <c r="P59" t="n">
        <v>1</v>
      </c>
      <c r="Q59" t="n">
        <v>1</v>
      </c>
      <c r="R59" s="2" t="inlineStr">
        <is>
          <t>Knärot</t>
        </is>
      </c>
      <c r="S59">
        <f>HYPERLINK("https://klasma.github.io/Logging_2083/artfynd/A 12905-2025 artfynd.xlsx", "A 12905-2025")</f>
        <v/>
      </c>
      <c r="T59">
        <f>HYPERLINK("https://klasma.github.io/Logging_2083/kartor/A 12905-2025 karta.png", "A 12905-2025")</f>
        <v/>
      </c>
      <c r="U59">
        <f>HYPERLINK("https://klasma.github.io/Logging_2083/knärot/A 12905-2025 karta knärot.png", "A 12905-2025")</f>
        <v/>
      </c>
      <c r="V59">
        <f>HYPERLINK("https://klasma.github.io/Logging_2083/klagomål/A 12905-2025 FSC-klagomål.docx", "A 12905-2025")</f>
        <v/>
      </c>
      <c r="W59">
        <f>HYPERLINK("https://klasma.github.io/Logging_2083/klagomålsmail/A 12905-2025 FSC-klagomål mail.docx", "A 12905-2025")</f>
        <v/>
      </c>
      <c r="X59">
        <f>HYPERLINK("https://klasma.github.io/Logging_2083/tillsyn/A 12905-2025 tillsynsbegäran.docx", "A 12905-2025")</f>
        <v/>
      </c>
      <c r="Y59">
        <f>HYPERLINK("https://klasma.github.io/Logging_2083/tillsynsmail/A 12905-2025 tillsynsbegäran mail.docx", "A 12905-2025")</f>
        <v/>
      </c>
    </row>
    <row r="60" ht="15" customHeight="1">
      <c r="A60" t="inlineStr">
        <is>
          <t>A 13986-2023</t>
        </is>
      </c>
      <c r="B60" s="1" t="n">
        <v>45008</v>
      </c>
      <c r="C60" s="1" t="n">
        <v>46000</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41477-2023</t>
        </is>
      </c>
      <c r="B61" s="1" t="n">
        <v>45171</v>
      </c>
      <c r="C61" s="1" t="n">
        <v>46000</v>
      </c>
      <c r="D61" t="inlineStr">
        <is>
          <t>DALARNAS LÄN</t>
        </is>
      </c>
      <c r="E61" t="inlineStr">
        <is>
          <t>HEDEMORA</t>
        </is>
      </c>
      <c r="F61" t="inlineStr">
        <is>
          <t>Bergvik skog väst AB</t>
        </is>
      </c>
      <c r="G61" t="n">
        <v>9.1</v>
      </c>
      <c r="H61" t="n">
        <v>0</v>
      </c>
      <c r="I61" t="n">
        <v>1</v>
      </c>
      <c r="J61" t="n">
        <v>0</v>
      </c>
      <c r="K61" t="n">
        <v>0</v>
      </c>
      <c r="L61" t="n">
        <v>0</v>
      </c>
      <c r="M61" t="n">
        <v>0</v>
      </c>
      <c r="N61" t="n">
        <v>0</v>
      </c>
      <c r="O61" t="n">
        <v>0</v>
      </c>
      <c r="P61" t="n">
        <v>0</v>
      </c>
      <c r="Q61" t="n">
        <v>1</v>
      </c>
      <c r="R61" s="2" t="inlineStr">
        <is>
          <t>Ögonpyrola</t>
        </is>
      </c>
      <c r="S61">
        <f>HYPERLINK("https://klasma.github.io/Logging_2083/artfynd/A 41477-2023 artfynd.xlsx", "A 41477-2023")</f>
        <v/>
      </c>
      <c r="T61">
        <f>HYPERLINK("https://klasma.github.io/Logging_2083/kartor/A 41477-2023 karta.png", "A 41477-2023")</f>
        <v/>
      </c>
      <c r="V61">
        <f>HYPERLINK("https://klasma.github.io/Logging_2083/klagomål/A 41477-2023 FSC-klagomål.docx", "A 41477-2023")</f>
        <v/>
      </c>
      <c r="W61">
        <f>HYPERLINK("https://klasma.github.io/Logging_2083/klagomålsmail/A 41477-2023 FSC-klagomål mail.docx", "A 41477-2023")</f>
        <v/>
      </c>
      <c r="X61">
        <f>HYPERLINK("https://klasma.github.io/Logging_2083/tillsyn/A 41477-2023 tillsynsbegäran.docx", "A 41477-2023")</f>
        <v/>
      </c>
      <c r="Y61">
        <f>HYPERLINK("https://klasma.github.io/Logging_2083/tillsynsmail/A 41477-2023 tillsynsbegäran mail.docx", "A 41477-2023")</f>
        <v/>
      </c>
    </row>
    <row r="62" ht="15" customHeight="1">
      <c r="A62" t="inlineStr">
        <is>
          <t>A 51111-2021</t>
        </is>
      </c>
      <c r="B62" s="1" t="n">
        <v>44461</v>
      </c>
      <c r="C62" s="1" t="n">
        <v>46000</v>
      </c>
      <c r="D62" t="inlineStr">
        <is>
          <t>DALARNAS LÄN</t>
        </is>
      </c>
      <c r="E62" t="inlineStr">
        <is>
          <t>HEDEMORA</t>
        </is>
      </c>
      <c r="G62" t="n">
        <v>0.9</v>
      </c>
      <c r="H62" t="n">
        <v>1</v>
      </c>
      <c r="I62" t="n">
        <v>0</v>
      </c>
      <c r="J62" t="n">
        <v>0</v>
      </c>
      <c r="K62" t="n">
        <v>1</v>
      </c>
      <c r="L62" t="n">
        <v>0</v>
      </c>
      <c r="M62" t="n">
        <v>0</v>
      </c>
      <c r="N62" t="n">
        <v>0</v>
      </c>
      <c r="O62" t="n">
        <v>1</v>
      </c>
      <c r="P62" t="n">
        <v>1</v>
      </c>
      <c r="Q62" t="n">
        <v>1</v>
      </c>
      <c r="R62" s="2" t="inlineStr">
        <is>
          <t>Knärot</t>
        </is>
      </c>
      <c r="S62">
        <f>HYPERLINK("https://klasma.github.io/Logging_2083/artfynd/A 51111-2021 artfynd.xlsx", "A 51111-2021")</f>
        <v/>
      </c>
      <c r="T62">
        <f>HYPERLINK("https://klasma.github.io/Logging_2083/kartor/A 51111-2021 karta.png", "A 51111-2021")</f>
        <v/>
      </c>
      <c r="U62">
        <f>HYPERLINK("https://klasma.github.io/Logging_2083/knärot/A 51111-2021 karta knärot.png", "A 51111-2021")</f>
        <v/>
      </c>
      <c r="V62">
        <f>HYPERLINK("https://klasma.github.io/Logging_2083/klagomål/A 51111-2021 FSC-klagomål.docx", "A 51111-2021")</f>
        <v/>
      </c>
      <c r="W62">
        <f>HYPERLINK("https://klasma.github.io/Logging_2083/klagomålsmail/A 51111-2021 FSC-klagomål mail.docx", "A 51111-2021")</f>
        <v/>
      </c>
      <c r="X62">
        <f>HYPERLINK("https://klasma.github.io/Logging_2083/tillsyn/A 51111-2021 tillsynsbegäran.docx", "A 51111-2021")</f>
        <v/>
      </c>
      <c r="Y62">
        <f>HYPERLINK("https://klasma.github.io/Logging_2083/tillsynsmail/A 51111-2021 tillsynsbegäran mail.docx", "A 51111-2021")</f>
        <v/>
      </c>
    </row>
    <row r="63" ht="15" customHeight="1">
      <c r="A63" t="inlineStr">
        <is>
          <t>A 63542-2023</t>
        </is>
      </c>
      <c r="B63" s="1" t="n">
        <v>45275.32708333333</v>
      </c>
      <c r="C63" s="1" t="n">
        <v>46000</v>
      </c>
      <c r="D63" t="inlineStr">
        <is>
          <t>DALARNAS LÄN</t>
        </is>
      </c>
      <c r="E63" t="inlineStr">
        <is>
          <t>HEDEMORA</t>
        </is>
      </c>
      <c r="G63" t="n">
        <v>2.1</v>
      </c>
      <c r="H63" t="n">
        <v>1</v>
      </c>
      <c r="I63" t="n">
        <v>0</v>
      </c>
      <c r="J63" t="n">
        <v>1</v>
      </c>
      <c r="K63" t="n">
        <v>0</v>
      </c>
      <c r="L63" t="n">
        <v>0</v>
      </c>
      <c r="M63" t="n">
        <v>0</v>
      </c>
      <c r="N63" t="n">
        <v>0</v>
      </c>
      <c r="O63" t="n">
        <v>1</v>
      </c>
      <c r="P63" t="n">
        <v>0</v>
      </c>
      <c r="Q63" t="n">
        <v>1</v>
      </c>
      <c r="R63" s="2" t="inlineStr">
        <is>
          <t>Spillkråka</t>
        </is>
      </c>
      <c r="S63">
        <f>HYPERLINK("https://klasma.github.io/Logging_2083/artfynd/A 63542-2023 artfynd.xlsx", "A 63542-2023")</f>
        <v/>
      </c>
      <c r="T63">
        <f>HYPERLINK("https://klasma.github.io/Logging_2083/kartor/A 63542-2023 karta.png", "A 63542-2023")</f>
        <v/>
      </c>
      <c r="V63">
        <f>HYPERLINK("https://klasma.github.io/Logging_2083/klagomål/A 63542-2023 FSC-klagomål.docx", "A 63542-2023")</f>
        <v/>
      </c>
      <c r="W63">
        <f>HYPERLINK("https://klasma.github.io/Logging_2083/klagomålsmail/A 63542-2023 FSC-klagomål mail.docx", "A 63542-2023")</f>
        <v/>
      </c>
      <c r="X63">
        <f>HYPERLINK("https://klasma.github.io/Logging_2083/tillsyn/A 63542-2023 tillsynsbegäran.docx", "A 63542-2023")</f>
        <v/>
      </c>
      <c r="Y63">
        <f>HYPERLINK("https://klasma.github.io/Logging_2083/tillsynsmail/A 63542-2023 tillsynsbegäran mail.docx", "A 63542-2023")</f>
        <v/>
      </c>
      <c r="Z63">
        <f>HYPERLINK("https://klasma.github.io/Logging_2083/fåglar/A 63542-2023 prioriterade fågelarter.docx", "A 63542-2023")</f>
        <v/>
      </c>
    </row>
    <row r="64" ht="15" customHeight="1">
      <c r="A64" t="inlineStr">
        <is>
          <t>A 52941-2024</t>
        </is>
      </c>
      <c r="B64" s="1" t="n">
        <v>45610.80650462963</v>
      </c>
      <c r="C64" s="1" t="n">
        <v>46000</v>
      </c>
      <c r="D64" t="inlineStr">
        <is>
          <t>DALARNAS LÄN</t>
        </is>
      </c>
      <c r="E64" t="inlineStr">
        <is>
          <t>HEDEMORA</t>
        </is>
      </c>
      <c r="F64" t="inlineStr">
        <is>
          <t>Sveaskog</t>
        </is>
      </c>
      <c r="G64" t="n">
        <v>18.3</v>
      </c>
      <c r="H64" t="n">
        <v>1</v>
      </c>
      <c r="I64" t="n">
        <v>0</v>
      </c>
      <c r="J64" t="n">
        <v>0</v>
      </c>
      <c r="K64" t="n">
        <v>1</v>
      </c>
      <c r="L64" t="n">
        <v>0</v>
      </c>
      <c r="M64" t="n">
        <v>0</v>
      </c>
      <c r="N64" t="n">
        <v>0</v>
      </c>
      <c r="O64" t="n">
        <v>1</v>
      </c>
      <c r="P64" t="n">
        <v>1</v>
      </c>
      <c r="Q64" t="n">
        <v>1</v>
      </c>
      <c r="R64" s="2" t="inlineStr">
        <is>
          <t>Knärot</t>
        </is>
      </c>
      <c r="S64">
        <f>HYPERLINK("https://klasma.github.io/Logging_2083/artfynd/A 52941-2024 artfynd.xlsx", "A 52941-2024")</f>
        <v/>
      </c>
      <c r="T64">
        <f>HYPERLINK("https://klasma.github.io/Logging_2083/kartor/A 52941-2024 karta.png", "A 52941-2024")</f>
        <v/>
      </c>
      <c r="U64">
        <f>HYPERLINK("https://klasma.github.io/Logging_2083/knärot/A 52941-2024 karta knärot.png", "A 52941-2024")</f>
        <v/>
      </c>
      <c r="V64">
        <f>HYPERLINK("https://klasma.github.io/Logging_2083/klagomål/A 52941-2024 FSC-klagomål.docx", "A 52941-2024")</f>
        <v/>
      </c>
      <c r="W64">
        <f>HYPERLINK("https://klasma.github.io/Logging_2083/klagomålsmail/A 52941-2024 FSC-klagomål mail.docx", "A 52941-2024")</f>
        <v/>
      </c>
      <c r="X64">
        <f>HYPERLINK("https://klasma.github.io/Logging_2083/tillsyn/A 52941-2024 tillsynsbegäran.docx", "A 52941-2024")</f>
        <v/>
      </c>
      <c r="Y64">
        <f>HYPERLINK("https://klasma.github.io/Logging_2083/tillsynsmail/A 52941-2024 tillsynsbegäran mail.docx", "A 52941-2024")</f>
        <v/>
      </c>
    </row>
    <row r="65" ht="15" customHeight="1">
      <c r="A65" t="inlineStr">
        <is>
          <t>A 53031-2023</t>
        </is>
      </c>
      <c r="B65" s="1" t="n">
        <v>45226</v>
      </c>
      <c r="C65" s="1" t="n">
        <v>46000</v>
      </c>
      <c r="D65" t="inlineStr">
        <is>
          <t>DALARNAS LÄN</t>
        </is>
      </c>
      <c r="E65" t="inlineStr">
        <is>
          <t>HEDEMORA</t>
        </is>
      </c>
      <c r="F65" t="inlineStr">
        <is>
          <t>Sveaskog</t>
        </is>
      </c>
      <c r="G65" t="n">
        <v>6.9</v>
      </c>
      <c r="H65" t="n">
        <v>1</v>
      </c>
      <c r="I65" t="n">
        <v>0</v>
      </c>
      <c r="J65" t="n">
        <v>1</v>
      </c>
      <c r="K65" t="n">
        <v>0</v>
      </c>
      <c r="L65" t="n">
        <v>0</v>
      </c>
      <c r="M65" t="n">
        <v>0</v>
      </c>
      <c r="N65" t="n">
        <v>0</v>
      </c>
      <c r="O65" t="n">
        <v>1</v>
      </c>
      <c r="P65" t="n">
        <v>0</v>
      </c>
      <c r="Q65" t="n">
        <v>1</v>
      </c>
      <c r="R65" s="2" t="inlineStr">
        <is>
          <t>Talltita</t>
        </is>
      </c>
      <c r="S65">
        <f>HYPERLINK("https://klasma.github.io/Logging_2083/artfynd/A 53031-2023 artfynd.xlsx", "A 53031-2023")</f>
        <v/>
      </c>
      <c r="T65">
        <f>HYPERLINK("https://klasma.github.io/Logging_2083/kartor/A 53031-2023 karta.png", "A 53031-2023")</f>
        <v/>
      </c>
      <c r="V65">
        <f>HYPERLINK("https://klasma.github.io/Logging_2083/klagomål/A 53031-2023 FSC-klagomål.docx", "A 53031-2023")</f>
        <v/>
      </c>
      <c r="W65">
        <f>HYPERLINK("https://klasma.github.io/Logging_2083/klagomålsmail/A 53031-2023 FSC-klagomål mail.docx", "A 53031-2023")</f>
        <v/>
      </c>
      <c r="X65">
        <f>HYPERLINK("https://klasma.github.io/Logging_2083/tillsyn/A 53031-2023 tillsynsbegäran.docx", "A 53031-2023")</f>
        <v/>
      </c>
      <c r="Y65">
        <f>HYPERLINK("https://klasma.github.io/Logging_2083/tillsynsmail/A 53031-2023 tillsynsbegäran mail.docx", "A 53031-2023")</f>
        <v/>
      </c>
      <c r="Z65">
        <f>HYPERLINK("https://klasma.github.io/Logging_2083/fåglar/A 53031-2023 prioriterade fågelarter.docx", "A 53031-2023")</f>
        <v/>
      </c>
    </row>
    <row r="66" ht="15" customHeight="1">
      <c r="A66" t="inlineStr">
        <is>
          <t>A 53924-2024</t>
        </is>
      </c>
      <c r="B66" s="1" t="n">
        <v>45615</v>
      </c>
      <c r="C66" s="1" t="n">
        <v>46000</v>
      </c>
      <c r="D66" t="inlineStr">
        <is>
          <t>DALARNAS LÄN</t>
        </is>
      </c>
      <c r="E66" t="inlineStr">
        <is>
          <t>HEDEMORA</t>
        </is>
      </c>
      <c r="F66" t="inlineStr">
        <is>
          <t>Sveaskog</t>
        </is>
      </c>
      <c r="G66" t="n">
        <v>3.8</v>
      </c>
      <c r="H66" t="n">
        <v>1</v>
      </c>
      <c r="I66" t="n">
        <v>1</v>
      </c>
      <c r="J66" t="n">
        <v>0</v>
      </c>
      <c r="K66" t="n">
        <v>0</v>
      </c>
      <c r="L66" t="n">
        <v>0</v>
      </c>
      <c r="M66" t="n">
        <v>0</v>
      </c>
      <c r="N66" t="n">
        <v>0</v>
      </c>
      <c r="O66" t="n">
        <v>0</v>
      </c>
      <c r="P66" t="n">
        <v>0</v>
      </c>
      <c r="Q66" t="n">
        <v>1</v>
      </c>
      <c r="R66" s="2" t="inlineStr">
        <is>
          <t>Plattlummer</t>
        </is>
      </c>
      <c r="S66">
        <f>HYPERLINK("https://klasma.github.io/Logging_2083/artfynd/A 53924-2024 artfynd.xlsx", "A 53924-2024")</f>
        <v/>
      </c>
      <c r="T66">
        <f>HYPERLINK("https://klasma.github.io/Logging_2083/kartor/A 53924-2024 karta.png", "A 53924-2024")</f>
        <v/>
      </c>
      <c r="V66">
        <f>HYPERLINK("https://klasma.github.io/Logging_2083/klagomål/A 53924-2024 FSC-klagomål.docx", "A 53924-2024")</f>
        <v/>
      </c>
      <c r="W66">
        <f>HYPERLINK("https://klasma.github.io/Logging_2083/klagomålsmail/A 53924-2024 FSC-klagomål mail.docx", "A 53924-2024")</f>
        <v/>
      </c>
      <c r="X66">
        <f>HYPERLINK("https://klasma.github.io/Logging_2083/tillsyn/A 53924-2024 tillsynsbegäran.docx", "A 53924-2024")</f>
        <v/>
      </c>
      <c r="Y66">
        <f>HYPERLINK("https://klasma.github.io/Logging_2083/tillsynsmail/A 53924-2024 tillsynsbegäran mail.docx", "A 53924-2024")</f>
        <v/>
      </c>
    </row>
    <row r="67" ht="15" customHeight="1">
      <c r="A67" t="inlineStr">
        <is>
          <t>A 17590-2025</t>
        </is>
      </c>
      <c r="B67" s="1" t="n">
        <v>45757.69396990741</v>
      </c>
      <c r="C67" s="1" t="n">
        <v>46000</v>
      </c>
      <c r="D67" t="inlineStr">
        <is>
          <t>DALARNAS LÄN</t>
        </is>
      </c>
      <c r="E67" t="inlineStr">
        <is>
          <t>HEDEMORA</t>
        </is>
      </c>
      <c r="G67" t="n">
        <v>0.6</v>
      </c>
      <c r="H67" t="n">
        <v>0</v>
      </c>
      <c r="I67" t="n">
        <v>0</v>
      </c>
      <c r="J67" t="n">
        <v>1</v>
      </c>
      <c r="K67" t="n">
        <v>0</v>
      </c>
      <c r="L67" t="n">
        <v>0</v>
      </c>
      <c r="M67" t="n">
        <v>0</v>
      </c>
      <c r="N67" t="n">
        <v>0</v>
      </c>
      <c r="O67" t="n">
        <v>1</v>
      </c>
      <c r="P67" t="n">
        <v>0</v>
      </c>
      <c r="Q67" t="n">
        <v>1</v>
      </c>
      <c r="R67" s="2" t="inlineStr">
        <is>
          <t>Garnlav</t>
        </is>
      </c>
      <c r="S67">
        <f>HYPERLINK("https://klasma.github.io/Logging_2083/artfynd/A 17590-2025 artfynd.xlsx", "A 17590-2025")</f>
        <v/>
      </c>
      <c r="T67">
        <f>HYPERLINK("https://klasma.github.io/Logging_2083/kartor/A 17590-2025 karta.png", "A 17590-2025")</f>
        <v/>
      </c>
      <c r="V67">
        <f>HYPERLINK("https://klasma.github.io/Logging_2083/klagomål/A 17590-2025 FSC-klagomål.docx", "A 17590-2025")</f>
        <v/>
      </c>
      <c r="W67">
        <f>HYPERLINK("https://klasma.github.io/Logging_2083/klagomålsmail/A 17590-2025 FSC-klagomål mail.docx", "A 17590-2025")</f>
        <v/>
      </c>
      <c r="X67">
        <f>HYPERLINK("https://klasma.github.io/Logging_2083/tillsyn/A 17590-2025 tillsynsbegäran.docx", "A 17590-2025")</f>
        <v/>
      </c>
      <c r="Y67">
        <f>HYPERLINK("https://klasma.github.io/Logging_2083/tillsynsmail/A 17590-2025 tillsynsbegäran mail.docx", "A 17590-2025")</f>
        <v/>
      </c>
    </row>
    <row r="68" ht="15" customHeight="1">
      <c r="A68" t="inlineStr">
        <is>
          <t>A 15125-2021</t>
        </is>
      </c>
      <c r="B68" s="1" t="n">
        <v>44283</v>
      </c>
      <c r="C68" s="1" t="n">
        <v>46000</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46000</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46000</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46000</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46000</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46000</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46000</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46000</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46000</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46000</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46000</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46000</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46000</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46000</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46000</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46000</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46000</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46000</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46000</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46000</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46000</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46000</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46000</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46000</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46000</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46000</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46000</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46000</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46000</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46000</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36865-2022</t>
        </is>
      </c>
      <c r="B98" s="1" t="n">
        <v>44805</v>
      </c>
      <c r="C98" s="1" t="n">
        <v>46000</v>
      </c>
      <c r="D98" t="inlineStr">
        <is>
          <t>DALARNAS LÄN</t>
        </is>
      </c>
      <c r="E98" t="inlineStr">
        <is>
          <t>HEDEMORA</t>
        </is>
      </c>
      <c r="G98" t="n">
        <v>2.1</v>
      </c>
      <c r="H98" t="n">
        <v>0</v>
      </c>
      <c r="I98" t="n">
        <v>0</v>
      </c>
      <c r="J98" t="n">
        <v>0</v>
      </c>
      <c r="K98" t="n">
        <v>0</v>
      </c>
      <c r="L98" t="n">
        <v>0</v>
      </c>
      <c r="M98" t="n">
        <v>0</v>
      </c>
      <c r="N98" t="n">
        <v>0</v>
      </c>
      <c r="O98" t="n">
        <v>0</v>
      </c>
      <c r="P98" t="n">
        <v>0</v>
      </c>
      <c r="Q98" t="n">
        <v>0</v>
      </c>
      <c r="R98" s="2" t="inlineStr"/>
    </row>
    <row r="99" ht="15" customHeight="1">
      <c r="A99" t="inlineStr">
        <is>
          <t>A 23329-2022</t>
        </is>
      </c>
      <c r="B99" s="1" t="n">
        <v>44720</v>
      </c>
      <c r="C99" s="1" t="n">
        <v>46000</v>
      </c>
      <c r="D99" t="inlineStr">
        <is>
          <t>DALARNAS LÄN</t>
        </is>
      </c>
      <c r="E99" t="inlineStr">
        <is>
          <t>HEDEMORA</t>
        </is>
      </c>
      <c r="G99" t="n">
        <v>1.4</v>
      </c>
      <c r="H99" t="n">
        <v>0</v>
      </c>
      <c r="I99" t="n">
        <v>0</v>
      </c>
      <c r="J99" t="n">
        <v>0</v>
      </c>
      <c r="K99" t="n">
        <v>0</v>
      </c>
      <c r="L99" t="n">
        <v>0</v>
      </c>
      <c r="M99" t="n">
        <v>0</v>
      </c>
      <c r="N99" t="n">
        <v>0</v>
      </c>
      <c r="O99" t="n">
        <v>0</v>
      </c>
      <c r="P99" t="n">
        <v>0</v>
      </c>
      <c r="Q99" t="n">
        <v>0</v>
      </c>
      <c r="R99" s="2" t="inlineStr"/>
    </row>
    <row r="100" ht="15" customHeight="1">
      <c r="A100" t="inlineStr">
        <is>
          <t>A 62305-2021</t>
        </is>
      </c>
      <c r="B100" s="1" t="n">
        <v>44502</v>
      </c>
      <c r="C100" s="1" t="n">
        <v>46000</v>
      </c>
      <c r="D100" t="inlineStr">
        <is>
          <t>DALARNAS LÄN</t>
        </is>
      </c>
      <c r="E100" t="inlineStr">
        <is>
          <t>HEDEMORA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46000</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36943-2021</t>
        </is>
      </c>
      <c r="B102" s="1" t="n">
        <v>44393.52391203704</v>
      </c>
      <c r="C102" s="1" t="n">
        <v>46000</v>
      </c>
      <c r="D102" t="inlineStr">
        <is>
          <t>DALARNAS LÄN</t>
        </is>
      </c>
      <c r="E102" t="inlineStr">
        <is>
          <t>HEDEMORA</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44065-2021</t>
        </is>
      </c>
      <c r="B103" s="1" t="n">
        <v>44434</v>
      </c>
      <c r="C103" s="1" t="n">
        <v>46000</v>
      </c>
      <c r="D103" t="inlineStr">
        <is>
          <t>DALARNAS LÄN</t>
        </is>
      </c>
      <c r="E103" t="inlineStr">
        <is>
          <t>HEDEMORA</t>
        </is>
      </c>
      <c r="F103" t="inlineStr">
        <is>
          <t>Bergvik skog väst AB</t>
        </is>
      </c>
      <c r="G103" t="n">
        <v>9.1</v>
      </c>
      <c r="H103" t="n">
        <v>0</v>
      </c>
      <c r="I103" t="n">
        <v>0</v>
      </c>
      <c r="J103" t="n">
        <v>0</v>
      </c>
      <c r="K103" t="n">
        <v>0</v>
      </c>
      <c r="L103" t="n">
        <v>0</v>
      </c>
      <c r="M103" t="n">
        <v>0</v>
      </c>
      <c r="N103" t="n">
        <v>0</v>
      </c>
      <c r="O103" t="n">
        <v>0</v>
      </c>
      <c r="P103" t="n">
        <v>0</v>
      </c>
      <c r="Q103" t="n">
        <v>0</v>
      </c>
      <c r="R103" s="2" t="inlineStr"/>
    </row>
    <row r="104" ht="15" customHeight="1">
      <c r="A104" t="inlineStr">
        <is>
          <t>A 3527-2021</t>
        </is>
      </c>
      <c r="B104" s="1" t="n">
        <v>44218</v>
      </c>
      <c r="C104" s="1" t="n">
        <v>46000</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66064-2020</t>
        </is>
      </c>
      <c r="B105" s="1" t="n">
        <v>44175</v>
      </c>
      <c r="C105" s="1" t="n">
        <v>46000</v>
      </c>
      <c r="D105" t="inlineStr">
        <is>
          <t>DALARNAS LÄN</t>
        </is>
      </c>
      <c r="E105" t="inlineStr">
        <is>
          <t>HEDEMORA</t>
        </is>
      </c>
      <c r="G105" t="n">
        <v>1.7</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46000</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46000</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48639-2022</t>
        </is>
      </c>
      <c r="B108" s="1" t="n">
        <v>44859</v>
      </c>
      <c r="C108" s="1" t="n">
        <v>46000</v>
      </c>
      <c r="D108" t="inlineStr">
        <is>
          <t>DALARNAS LÄN</t>
        </is>
      </c>
      <c r="E108" t="inlineStr">
        <is>
          <t>HEDEMORA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67282-2021</t>
        </is>
      </c>
      <c r="B109" s="1" t="n">
        <v>44523.6131712963</v>
      </c>
      <c r="C109" s="1" t="n">
        <v>46000</v>
      </c>
      <c r="D109" t="inlineStr">
        <is>
          <t>DALARNAS LÄN</t>
        </is>
      </c>
      <c r="E109" t="inlineStr">
        <is>
          <t>HEDEMORA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60418-2021</t>
        </is>
      </c>
      <c r="B110" s="1" t="n">
        <v>44495</v>
      </c>
      <c r="C110" s="1" t="n">
        <v>46000</v>
      </c>
      <c r="D110" t="inlineStr">
        <is>
          <t>DALARNAS LÄN</t>
        </is>
      </c>
      <c r="E110" t="inlineStr">
        <is>
          <t>HEDEMORA</t>
        </is>
      </c>
      <c r="G110" t="n">
        <v>0.7</v>
      </c>
      <c r="H110" t="n">
        <v>0</v>
      </c>
      <c r="I110" t="n">
        <v>0</v>
      </c>
      <c r="J110" t="n">
        <v>0</v>
      </c>
      <c r="K110" t="n">
        <v>0</v>
      </c>
      <c r="L110" t="n">
        <v>0</v>
      </c>
      <c r="M110" t="n">
        <v>0</v>
      </c>
      <c r="N110" t="n">
        <v>0</v>
      </c>
      <c r="O110" t="n">
        <v>0</v>
      </c>
      <c r="P110" t="n">
        <v>0</v>
      </c>
      <c r="Q110" t="n">
        <v>0</v>
      </c>
      <c r="R110" s="2" t="inlineStr"/>
    </row>
    <row r="111" ht="15" customHeight="1">
      <c r="A111" t="inlineStr">
        <is>
          <t>A 40938-2021</t>
        </is>
      </c>
      <c r="B111" s="1" t="n">
        <v>44421.53498842593</v>
      </c>
      <c r="C111" s="1" t="n">
        <v>46000</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1976-2022</t>
        </is>
      </c>
      <c r="B112" s="1" t="n">
        <v>44575.54618055555</v>
      </c>
      <c r="C112" s="1" t="n">
        <v>46000</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2996-2023</t>
        </is>
      </c>
      <c r="B113" s="1" t="n">
        <v>44945</v>
      </c>
      <c r="C113" s="1" t="n">
        <v>46000</v>
      </c>
      <c r="D113" t="inlineStr">
        <is>
          <t>DALARNAS LÄN</t>
        </is>
      </c>
      <c r="E113" t="inlineStr">
        <is>
          <t>HEDEMORA</t>
        </is>
      </c>
      <c r="G113" t="n">
        <v>2.1</v>
      </c>
      <c r="H113" t="n">
        <v>0</v>
      </c>
      <c r="I113" t="n">
        <v>0</v>
      </c>
      <c r="J113" t="n">
        <v>0</v>
      </c>
      <c r="K113" t="n">
        <v>0</v>
      </c>
      <c r="L113" t="n">
        <v>0</v>
      </c>
      <c r="M113" t="n">
        <v>0</v>
      </c>
      <c r="N113" t="n">
        <v>0</v>
      </c>
      <c r="O113" t="n">
        <v>0</v>
      </c>
      <c r="P113" t="n">
        <v>0</v>
      </c>
      <c r="Q113" t="n">
        <v>0</v>
      </c>
      <c r="R113" s="2" t="inlineStr"/>
    </row>
    <row r="114" ht="15" customHeight="1">
      <c r="A114" t="inlineStr">
        <is>
          <t>A 41435-2023</t>
        </is>
      </c>
      <c r="B114" s="1" t="n">
        <v>45170</v>
      </c>
      <c r="C114" s="1" t="n">
        <v>46000</v>
      </c>
      <c r="D114" t="inlineStr">
        <is>
          <t>DALARNAS LÄN</t>
        </is>
      </c>
      <c r="E114" t="inlineStr">
        <is>
          <t>HEDEMORA</t>
        </is>
      </c>
      <c r="G114" t="n">
        <v>2.9</v>
      </c>
      <c r="H114" t="n">
        <v>0</v>
      </c>
      <c r="I114" t="n">
        <v>0</v>
      </c>
      <c r="J114" t="n">
        <v>0</v>
      </c>
      <c r="K114" t="n">
        <v>0</v>
      </c>
      <c r="L114" t="n">
        <v>0</v>
      </c>
      <c r="M114" t="n">
        <v>0</v>
      </c>
      <c r="N114" t="n">
        <v>0</v>
      </c>
      <c r="O114" t="n">
        <v>0</v>
      </c>
      <c r="P114" t="n">
        <v>0</v>
      </c>
      <c r="Q114" t="n">
        <v>0</v>
      </c>
      <c r="R114" s="2" t="inlineStr"/>
    </row>
    <row r="115" ht="15" customHeight="1">
      <c r="A115" t="inlineStr">
        <is>
          <t>A 49904-2021</t>
        </is>
      </c>
      <c r="B115" s="1" t="n">
        <v>44455.77041666667</v>
      </c>
      <c r="C115" s="1" t="n">
        <v>46000</v>
      </c>
      <c r="D115" t="inlineStr">
        <is>
          <t>DALARNAS LÄN</t>
        </is>
      </c>
      <c r="E115" t="inlineStr">
        <is>
          <t>HEDEMORA</t>
        </is>
      </c>
      <c r="F115" t="inlineStr">
        <is>
          <t>Sveaskog</t>
        </is>
      </c>
      <c r="G115" t="n">
        <v>7.1</v>
      </c>
      <c r="H115" t="n">
        <v>0</v>
      </c>
      <c r="I115" t="n">
        <v>0</v>
      </c>
      <c r="J115" t="n">
        <v>0</v>
      </c>
      <c r="K115" t="n">
        <v>0</v>
      </c>
      <c r="L115" t="n">
        <v>0</v>
      </c>
      <c r="M115" t="n">
        <v>0</v>
      </c>
      <c r="N115" t="n">
        <v>0</v>
      </c>
      <c r="O115" t="n">
        <v>0</v>
      </c>
      <c r="P115" t="n">
        <v>0</v>
      </c>
      <c r="Q115" t="n">
        <v>0</v>
      </c>
      <c r="R115" s="2" t="inlineStr"/>
    </row>
    <row r="116" ht="15" customHeight="1">
      <c r="A116" t="inlineStr">
        <is>
          <t>A 24486-2024</t>
        </is>
      </c>
      <c r="B116" s="1" t="n">
        <v>45459.62336805555</v>
      </c>
      <c r="C116" s="1" t="n">
        <v>46000</v>
      </c>
      <c r="D116" t="inlineStr">
        <is>
          <t>DALARNAS LÄN</t>
        </is>
      </c>
      <c r="E116" t="inlineStr">
        <is>
          <t>HEDEMORA</t>
        </is>
      </c>
      <c r="G116" t="n">
        <v>0.3</v>
      </c>
      <c r="H116" t="n">
        <v>0</v>
      </c>
      <c r="I116" t="n">
        <v>0</v>
      </c>
      <c r="J116" t="n">
        <v>0</v>
      </c>
      <c r="K116" t="n">
        <v>0</v>
      </c>
      <c r="L116" t="n">
        <v>0</v>
      </c>
      <c r="M116" t="n">
        <v>0</v>
      </c>
      <c r="N116" t="n">
        <v>0</v>
      </c>
      <c r="O116" t="n">
        <v>0</v>
      </c>
      <c r="P116" t="n">
        <v>0</v>
      </c>
      <c r="Q116" t="n">
        <v>0</v>
      </c>
      <c r="R116" s="2" t="inlineStr"/>
    </row>
    <row r="117" ht="15" customHeight="1">
      <c r="A117" t="inlineStr">
        <is>
          <t>A 11046-2022</t>
        </is>
      </c>
      <c r="B117" s="1" t="n">
        <v>44628</v>
      </c>
      <c r="C117" s="1" t="n">
        <v>46000</v>
      </c>
      <c r="D117" t="inlineStr">
        <is>
          <t>DALARNAS LÄN</t>
        </is>
      </c>
      <c r="E117" t="inlineStr">
        <is>
          <t>HEDEMORA</t>
        </is>
      </c>
      <c r="F117" t="inlineStr">
        <is>
          <t>Bergvik skog väst AB</t>
        </is>
      </c>
      <c r="G117" t="n">
        <v>1</v>
      </c>
      <c r="H117" t="n">
        <v>0</v>
      </c>
      <c r="I117" t="n">
        <v>0</v>
      </c>
      <c r="J117" t="n">
        <v>0</v>
      </c>
      <c r="K117" t="n">
        <v>0</v>
      </c>
      <c r="L117" t="n">
        <v>0</v>
      </c>
      <c r="M117" t="n">
        <v>0</v>
      </c>
      <c r="N117" t="n">
        <v>0</v>
      </c>
      <c r="O117" t="n">
        <v>0</v>
      </c>
      <c r="P117" t="n">
        <v>0</v>
      </c>
      <c r="Q117" t="n">
        <v>0</v>
      </c>
      <c r="R117" s="2" t="inlineStr"/>
    </row>
    <row r="118" ht="15" customHeight="1">
      <c r="A118" t="inlineStr">
        <is>
          <t>A 15863-2023</t>
        </is>
      </c>
      <c r="B118" s="1" t="n">
        <v>45022</v>
      </c>
      <c r="C118" s="1" t="n">
        <v>46000</v>
      </c>
      <c r="D118" t="inlineStr">
        <is>
          <t>DALARNAS LÄN</t>
        </is>
      </c>
      <c r="E118" t="inlineStr">
        <is>
          <t>HEDEMORA</t>
        </is>
      </c>
      <c r="F118" t="inlineStr">
        <is>
          <t>Bergvik skog väst AB</t>
        </is>
      </c>
      <c r="G118" t="n">
        <v>4.7</v>
      </c>
      <c r="H118" t="n">
        <v>0</v>
      </c>
      <c r="I118" t="n">
        <v>0</v>
      </c>
      <c r="J118" t="n">
        <v>0</v>
      </c>
      <c r="K118" t="n">
        <v>0</v>
      </c>
      <c r="L118" t="n">
        <v>0</v>
      </c>
      <c r="M118" t="n">
        <v>0</v>
      </c>
      <c r="N118" t="n">
        <v>0</v>
      </c>
      <c r="O118" t="n">
        <v>0</v>
      </c>
      <c r="P118" t="n">
        <v>0</v>
      </c>
      <c r="Q118" t="n">
        <v>0</v>
      </c>
      <c r="R118" s="2" t="inlineStr"/>
    </row>
    <row r="119" ht="15" customHeight="1">
      <c r="A119" t="inlineStr">
        <is>
          <t>A 44957-2021</t>
        </is>
      </c>
      <c r="B119" s="1" t="n">
        <v>44438.71809027778</v>
      </c>
      <c r="C119" s="1" t="n">
        <v>46000</v>
      </c>
      <c r="D119" t="inlineStr">
        <is>
          <t>DALARNAS LÄN</t>
        </is>
      </c>
      <c r="E119" t="inlineStr">
        <is>
          <t>HEDEMORA</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41642-2023</t>
        </is>
      </c>
      <c r="B120" s="1" t="n">
        <v>45175</v>
      </c>
      <c r="C120" s="1" t="n">
        <v>46000</v>
      </c>
      <c r="D120" t="inlineStr">
        <is>
          <t>DALARNAS LÄN</t>
        </is>
      </c>
      <c r="E120" t="inlineStr">
        <is>
          <t>HEDEMORA</t>
        </is>
      </c>
      <c r="G120" t="n">
        <v>2.8</v>
      </c>
      <c r="H120" t="n">
        <v>0</v>
      </c>
      <c r="I120" t="n">
        <v>0</v>
      </c>
      <c r="J120" t="n">
        <v>0</v>
      </c>
      <c r="K120" t="n">
        <v>0</v>
      </c>
      <c r="L120" t="n">
        <v>0</v>
      </c>
      <c r="M120" t="n">
        <v>0</v>
      </c>
      <c r="N120" t="n">
        <v>0</v>
      </c>
      <c r="O120" t="n">
        <v>0</v>
      </c>
      <c r="P120" t="n">
        <v>0</v>
      </c>
      <c r="Q120" t="n">
        <v>0</v>
      </c>
      <c r="R120" s="2" t="inlineStr"/>
    </row>
    <row r="121" ht="15" customHeight="1">
      <c r="A121" t="inlineStr">
        <is>
          <t>A 30572-2021</t>
        </is>
      </c>
      <c r="B121" s="1" t="n">
        <v>44364.83369212963</v>
      </c>
      <c r="C121" s="1" t="n">
        <v>46000</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29591-2024</t>
        </is>
      </c>
      <c r="B122" s="1" t="n">
        <v>45484.58222222222</v>
      </c>
      <c r="C122" s="1" t="n">
        <v>46000</v>
      </c>
      <c r="D122" t="inlineStr">
        <is>
          <t>DALARNAS LÄN</t>
        </is>
      </c>
      <c r="E122" t="inlineStr">
        <is>
          <t>HEDEMORA</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58018-2022</t>
        </is>
      </c>
      <c r="B123" s="1" t="n">
        <v>44900.53383101852</v>
      </c>
      <c r="C123" s="1" t="n">
        <v>46000</v>
      </c>
      <c r="D123" t="inlineStr">
        <is>
          <t>DALARNAS LÄN</t>
        </is>
      </c>
      <c r="E123" t="inlineStr">
        <is>
          <t>HEDEMORA</t>
        </is>
      </c>
      <c r="G123" t="n">
        <v>3.6</v>
      </c>
      <c r="H123" t="n">
        <v>0</v>
      </c>
      <c r="I123" t="n">
        <v>0</v>
      </c>
      <c r="J123" t="n">
        <v>0</v>
      </c>
      <c r="K123" t="n">
        <v>0</v>
      </c>
      <c r="L123" t="n">
        <v>0</v>
      </c>
      <c r="M123" t="n">
        <v>0</v>
      </c>
      <c r="N123" t="n">
        <v>0</v>
      </c>
      <c r="O123" t="n">
        <v>0</v>
      </c>
      <c r="P123" t="n">
        <v>0</v>
      </c>
      <c r="Q123" t="n">
        <v>0</v>
      </c>
      <c r="R123" s="2" t="inlineStr"/>
    </row>
    <row r="124" ht="15" customHeight="1">
      <c r="A124" t="inlineStr">
        <is>
          <t>A 36306-2024</t>
        </is>
      </c>
      <c r="B124" s="1" t="n">
        <v>45534.61327546297</v>
      </c>
      <c r="C124" s="1" t="n">
        <v>46000</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69624-2021</t>
        </is>
      </c>
      <c r="B125" s="1" t="n">
        <v>44532.41442129629</v>
      </c>
      <c r="C125" s="1" t="n">
        <v>46000</v>
      </c>
      <c r="D125" t="inlineStr">
        <is>
          <t>DALARNAS LÄN</t>
        </is>
      </c>
      <c r="E125" t="inlineStr">
        <is>
          <t>HEDEMORA</t>
        </is>
      </c>
      <c r="G125" t="n">
        <v>0.4</v>
      </c>
      <c r="H125" t="n">
        <v>0</v>
      </c>
      <c r="I125" t="n">
        <v>0</v>
      </c>
      <c r="J125" t="n">
        <v>0</v>
      </c>
      <c r="K125" t="n">
        <v>0</v>
      </c>
      <c r="L125" t="n">
        <v>0</v>
      </c>
      <c r="M125" t="n">
        <v>0</v>
      </c>
      <c r="N125" t="n">
        <v>0</v>
      </c>
      <c r="O125" t="n">
        <v>0</v>
      </c>
      <c r="P125" t="n">
        <v>0</v>
      </c>
      <c r="Q125" t="n">
        <v>0</v>
      </c>
      <c r="R125" s="2" t="inlineStr"/>
    </row>
    <row r="126" ht="15" customHeight="1">
      <c r="A126" t="inlineStr">
        <is>
          <t>A 21869-2025</t>
        </is>
      </c>
      <c r="B126" s="1" t="n">
        <v>45784.37449074074</v>
      </c>
      <c r="C126" s="1" t="n">
        <v>46000</v>
      </c>
      <c r="D126" t="inlineStr">
        <is>
          <t>DALARNAS LÄN</t>
        </is>
      </c>
      <c r="E126" t="inlineStr">
        <is>
          <t>HEDEMORA</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51256-2024</t>
        </is>
      </c>
      <c r="B127" s="1" t="n">
        <v>45603.68902777778</v>
      </c>
      <c r="C127" s="1" t="n">
        <v>46000</v>
      </c>
      <c r="D127" t="inlineStr">
        <is>
          <t>DALARNAS LÄN</t>
        </is>
      </c>
      <c r="E127" t="inlineStr">
        <is>
          <t>HEDEMORA</t>
        </is>
      </c>
      <c r="G127" t="n">
        <v>1.3</v>
      </c>
      <c r="H127" t="n">
        <v>0</v>
      </c>
      <c r="I127" t="n">
        <v>0</v>
      </c>
      <c r="J127" t="n">
        <v>0</v>
      </c>
      <c r="K127" t="n">
        <v>0</v>
      </c>
      <c r="L127" t="n">
        <v>0</v>
      </c>
      <c r="M127" t="n">
        <v>0</v>
      </c>
      <c r="N127" t="n">
        <v>0</v>
      </c>
      <c r="O127" t="n">
        <v>0</v>
      </c>
      <c r="P127" t="n">
        <v>0</v>
      </c>
      <c r="Q127" t="n">
        <v>0</v>
      </c>
      <c r="R127" s="2" t="inlineStr"/>
    </row>
    <row r="128" ht="15" customHeight="1">
      <c r="A128" t="inlineStr">
        <is>
          <t>A 34185-2025</t>
        </is>
      </c>
      <c r="B128" s="1" t="n">
        <v>45845</v>
      </c>
      <c r="C128" s="1" t="n">
        <v>46000</v>
      </c>
      <c r="D128" t="inlineStr">
        <is>
          <t>DALARNAS LÄN</t>
        </is>
      </c>
      <c r="E128" t="inlineStr">
        <is>
          <t>HEDEMORA</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23934-2023</t>
        </is>
      </c>
      <c r="B129" s="1" t="n">
        <v>45078.59590277778</v>
      </c>
      <c r="C129" s="1" t="n">
        <v>46000</v>
      </c>
      <c r="D129" t="inlineStr">
        <is>
          <t>DALARNAS LÄN</t>
        </is>
      </c>
      <c r="E129" t="inlineStr">
        <is>
          <t>HEDEMORA</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19920-2025</t>
        </is>
      </c>
      <c r="B130" s="1" t="n">
        <v>45771</v>
      </c>
      <c r="C130" s="1" t="n">
        <v>46000</v>
      </c>
      <c r="D130" t="inlineStr">
        <is>
          <t>DALARNAS LÄN</t>
        </is>
      </c>
      <c r="E130" t="inlineStr">
        <is>
          <t>HEDEMORA</t>
        </is>
      </c>
      <c r="G130" t="n">
        <v>2.8</v>
      </c>
      <c r="H130" t="n">
        <v>0</v>
      </c>
      <c r="I130" t="n">
        <v>0</v>
      </c>
      <c r="J130" t="n">
        <v>0</v>
      </c>
      <c r="K130" t="n">
        <v>0</v>
      </c>
      <c r="L130" t="n">
        <v>0</v>
      </c>
      <c r="M130" t="n">
        <v>0</v>
      </c>
      <c r="N130" t="n">
        <v>0</v>
      </c>
      <c r="O130" t="n">
        <v>0</v>
      </c>
      <c r="P130" t="n">
        <v>0</v>
      </c>
      <c r="Q130" t="n">
        <v>0</v>
      </c>
      <c r="R130" s="2" t="inlineStr"/>
    </row>
    <row r="131" ht="15" customHeight="1">
      <c r="A131" t="inlineStr">
        <is>
          <t>A 14968-2025</t>
        </is>
      </c>
      <c r="B131" s="1" t="n">
        <v>45743.59052083334</v>
      </c>
      <c r="C131" s="1" t="n">
        <v>46000</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39389-2025</t>
        </is>
      </c>
      <c r="B132" s="1" t="n">
        <v>45889.62181712963</v>
      </c>
      <c r="C132" s="1" t="n">
        <v>46000</v>
      </c>
      <c r="D132" t="inlineStr">
        <is>
          <t>DALARNAS LÄN</t>
        </is>
      </c>
      <c r="E132" t="inlineStr">
        <is>
          <t>HEDEMORA</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39390-2025</t>
        </is>
      </c>
      <c r="B133" s="1" t="n">
        <v>45889.6240625</v>
      </c>
      <c r="C133" s="1" t="n">
        <v>46000</v>
      </c>
      <c r="D133" t="inlineStr">
        <is>
          <t>DALARNAS LÄN</t>
        </is>
      </c>
      <c r="E133" t="inlineStr">
        <is>
          <t>HEDEMORA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39393-2025</t>
        </is>
      </c>
      <c r="B134" s="1" t="n">
        <v>45889.62287037037</v>
      </c>
      <c r="C134" s="1" t="n">
        <v>46000</v>
      </c>
      <c r="D134" t="inlineStr">
        <is>
          <t>DALARNAS LÄN</t>
        </is>
      </c>
      <c r="E134" t="inlineStr">
        <is>
          <t>HEDEMORA</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25195-2024</t>
        </is>
      </c>
      <c r="B135" s="1" t="n">
        <v>45462</v>
      </c>
      <c r="C135" s="1" t="n">
        <v>46000</v>
      </c>
      <c r="D135" t="inlineStr">
        <is>
          <t>DALARNAS LÄN</t>
        </is>
      </c>
      <c r="E135" t="inlineStr">
        <is>
          <t>HEDEMORA</t>
        </is>
      </c>
      <c r="F135" t="inlineStr">
        <is>
          <t>Övriga statliga verk och myndigheter</t>
        </is>
      </c>
      <c r="G135" t="n">
        <v>3.3</v>
      </c>
      <c r="H135" t="n">
        <v>0</v>
      </c>
      <c r="I135" t="n">
        <v>0</v>
      </c>
      <c r="J135" t="n">
        <v>0</v>
      </c>
      <c r="K135" t="n">
        <v>0</v>
      </c>
      <c r="L135" t="n">
        <v>0</v>
      </c>
      <c r="M135" t="n">
        <v>0</v>
      </c>
      <c r="N135" t="n">
        <v>0</v>
      </c>
      <c r="O135" t="n">
        <v>0</v>
      </c>
      <c r="P135" t="n">
        <v>0</v>
      </c>
      <c r="Q135" t="n">
        <v>0</v>
      </c>
      <c r="R135" s="2" t="inlineStr"/>
    </row>
    <row r="136" ht="15" customHeight="1">
      <c r="A136" t="inlineStr">
        <is>
          <t>A 37761-2024</t>
        </is>
      </c>
      <c r="B136" s="1" t="n">
        <v>45541.78678240741</v>
      </c>
      <c r="C136" s="1" t="n">
        <v>46000</v>
      </c>
      <c r="D136" t="inlineStr">
        <is>
          <t>DALARNAS LÄN</t>
        </is>
      </c>
      <c r="E136" t="inlineStr">
        <is>
          <t>HEDEMORA</t>
        </is>
      </c>
      <c r="F136" t="inlineStr">
        <is>
          <t>Sveaskog</t>
        </is>
      </c>
      <c r="G136" t="n">
        <v>4.4</v>
      </c>
      <c r="H136" t="n">
        <v>0</v>
      </c>
      <c r="I136" t="n">
        <v>0</v>
      </c>
      <c r="J136" t="n">
        <v>0</v>
      </c>
      <c r="K136" t="n">
        <v>0</v>
      </c>
      <c r="L136" t="n">
        <v>0</v>
      </c>
      <c r="M136" t="n">
        <v>0</v>
      </c>
      <c r="N136" t="n">
        <v>0</v>
      </c>
      <c r="O136" t="n">
        <v>0</v>
      </c>
      <c r="P136" t="n">
        <v>0</v>
      </c>
      <c r="Q136" t="n">
        <v>0</v>
      </c>
      <c r="R136" s="2" t="inlineStr"/>
    </row>
    <row r="137" ht="15" customHeight="1">
      <c r="A137" t="inlineStr">
        <is>
          <t>A 40801-2024</t>
        </is>
      </c>
      <c r="B137" s="1" t="n">
        <v>45558.52905092593</v>
      </c>
      <c r="C137" s="1" t="n">
        <v>46000</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40419-2025</t>
        </is>
      </c>
      <c r="B138" s="1" t="n">
        <v>45895.57958333333</v>
      </c>
      <c r="C138" s="1" t="n">
        <v>46000</v>
      </c>
      <c r="D138" t="inlineStr">
        <is>
          <t>DALARNAS LÄN</t>
        </is>
      </c>
      <c r="E138" t="inlineStr">
        <is>
          <t>HEDEMORA</t>
        </is>
      </c>
      <c r="G138" t="n">
        <v>3.1</v>
      </c>
      <c r="H138" t="n">
        <v>0</v>
      </c>
      <c r="I138" t="n">
        <v>0</v>
      </c>
      <c r="J138" t="n">
        <v>0</v>
      </c>
      <c r="K138" t="n">
        <v>0</v>
      </c>
      <c r="L138" t="n">
        <v>0</v>
      </c>
      <c r="M138" t="n">
        <v>0</v>
      </c>
      <c r="N138" t="n">
        <v>0</v>
      </c>
      <c r="O138" t="n">
        <v>0</v>
      </c>
      <c r="P138" t="n">
        <v>0</v>
      </c>
      <c r="Q138" t="n">
        <v>0</v>
      </c>
      <c r="R138" s="2" t="inlineStr"/>
    </row>
    <row r="139" ht="15" customHeight="1">
      <c r="A139" t="inlineStr">
        <is>
          <t>A 40421-2025</t>
        </is>
      </c>
      <c r="B139" s="1" t="n">
        <v>45895.58449074074</v>
      </c>
      <c r="C139" s="1" t="n">
        <v>46000</v>
      </c>
      <c r="D139" t="inlineStr">
        <is>
          <t>DALARNAS LÄN</t>
        </is>
      </c>
      <c r="E139" t="inlineStr">
        <is>
          <t>HEDEMORA</t>
        </is>
      </c>
      <c r="G139" t="n">
        <v>1.7</v>
      </c>
      <c r="H139" t="n">
        <v>0</v>
      </c>
      <c r="I139" t="n">
        <v>0</v>
      </c>
      <c r="J139" t="n">
        <v>0</v>
      </c>
      <c r="K139" t="n">
        <v>0</v>
      </c>
      <c r="L139" t="n">
        <v>0</v>
      </c>
      <c r="M139" t="n">
        <v>0</v>
      </c>
      <c r="N139" t="n">
        <v>0</v>
      </c>
      <c r="O139" t="n">
        <v>0</v>
      </c>
      <c r="P139" t="n">
        <v>0</v>
      </c>
      <c r="Q139" t="n">
        <v>0</v>
      </c>
      <c r="R139" s="2" t="inlineStr"/>
    </row>
    <row r="140" ht="15" customHeight="1">
      <c r="A140" t="inlineStr">
        <is>
          <t>A 40456-2025</t>
        </is>
      </c>
      <c r="B140" s="1" t="n">
        <v>45895.64342592593</v>
      </c>
      <c r="C140" s="1" t="n">
        <v>46000</v>
      </c>
      <c r="D140" t="inlineStr">
        <is>
          <t>DALARNAS LÄN</t>
        </is>
      </c>
      <c r="E140" t="inlineStr">
        <is>
          <t>HEDEMORA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32738-2022</t>
        </is>
      </c>
      <c r="B141" s="1" t="n">
        <v>44783.68931712963</v>
      </c>
      <c r="C141" s="1" t="n">
        <v>46000</v>
      </c>
      <c r="D141" t="inlineStr">
        <is>
          <t>DALARNAS LÄN</t>
        </is>
      </c>
      <c r="E141" t="inlineStr">
        <is>
          <t>HEDEMORA</t>
        </is>
      </c>
      <c r="G141" t="n">
        <v>2.6</v>
      </c>
      <c r="H141" t="n">
        <v>0</v>
      </c>
      <c r="I141" t="n">
        <v>0</v>
      </c>
      <c r="J141" t="n">
        <v>0</v>
      </c>
      <c r="K141" t="n">
        <v>0</v>
      </c>
      <c r="L141" t="n">
        <v>0</v>
      </c>
      <c r="M141" t="n">
        <v>0</v>
      </c>
      <c r="N141" t="n">
        <v>0</v>
      </c>
      <c r="O141" t="n">
        <v>0</v>
      </c>
      <c r="P141" t="n">
        <v>0</v>
      </c>
      <c r="Q141" t="n">
        <v>0</v>
      </c>
      <c r="R141" s="2" t="inlineStr"/>
    </row>
    <row r="142" ht="15" customHeight="1">
      <c r="A142" t="inlineStr">
        <is>
          <t>A 61883-2022</t>
        </is>
      </c>
      <c r="B142" s="1" t="n">
        <v>44917.67262731482</v>
      </c>
      <c r="C142" s="1" t="n">
        <v>46000</v>
      </c>
      <c r="D142" t="inlineStr">
        <is>
          <t>DALARNAS LÄN</t>
        </is>
      </c>
      <c r="E142" t="inlineStr">
        <is>
          <t>HEDEMORA</t>
        </is>
      </c>
      <c r="G142" t="n">
        <v>2.3</v>
      </c>
      <c r="H142" t="n">
        <v>0</v>
      </c>
      <c r="I142" t="n">
        <v>0</v>
      </c>
      <c r="J142" t="n">
        <v>0</v>
      </c>
      <c r="K142" t="n">
        <v>0</v>
      </c>
      <c r="L142" t="n">
        <v>0</v>
      </c>
      <c r="M142" t="n">
        <v>0</v>
      </c>
      <c r="N142" t="n">
        <v>0</v>
      </c>
      <c r="O142" t="n">
        <v>0</v>
      </c>
      <c r="P142" t="n">
        <v>0</v>
      </c>
      <c r="Q142" t="n">
        <v>0</v>
      </c>
      <c r="R142" s="2" t="inlineStr"/>
    </row>
    <row r="143" ht="15" customHeight="1">
      <c r="A143" t="inlineStr">
        <is>
          <t>A 25021-2025</t>
        </is>
      </c>
      <c r="B143" s="1" t="n">
        <v>45799.64574074074</v>
      </c>
      <c r="C143" s="1" t="n">
        <v>46000</v>
      </c>
      <c r="D143" t="inlineStr">
        <is>
          <t>DALARNAS LÄN</t>
        </is>
      </c>
      <c r="E143" t="inlineStr">
        <is>
          <t>HEDEMORA</t>
        </is>
      </c>
      <c r="G143" t="n">
        <v>0.7</v>
      </c>
      <c r="H143" t="n">
        <v>0</v>
      </c>
      <c r="I143" t="n">
        <v>0</v>
      </c>
      <c r="J143" t="n">
        <v>0</v>
      </c>
      <c r="K143" t="n">
        <v>0</v>
      </c>
      <c r="L143" t="n">
        <v>0</v>
      </c>
      <c r="M143" t="n">
        <v>0</v>
      </c>
      <c r="N143" t="n">
        <v>0</v>
      </c>
      <c r="O143" t="n">
        <v>0</v>
      </c>
      <c r="P143" t="n">
        <v>0</v>
      </c>
      <c r="Q143" t="n">
        <v>0</v>
      </c>
      <c r="R143" s="2" t="inlineStr"/>
    </row>
    <row r="144" ht="15" customHeight="1">
      <c r="A144" t="inlineStr">
        <is>
          <t>A 19688-2025</t>
        </is>
      </c>
      <c r="B144" s="1" t="n">
        <v>45770.88217592592</v>
      </c>
      <c r="C144" s="1" t="n">
        <v>46000</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19689-2025</t>
        </is>
      </c>
      <c r="B145" s="1" t="n">
        <v>45770.88462962963</v>
      </c>
      <c r="C145" s="1" t="n">
        <v>46000</v>
      </c>
      <c r="D145" t="inlineStr">
        <is>
          <t>DALARNAS LÄN</t>
        </is>
      </c>
      <c r="E145" t="inlineStr">
        <is>
          <t>HEDEMORA</t>
        </is>
      </c>
      <c r="G145" t="n">
        <v>1.1</v>
      </c>
      <c r="H145" t="n">
        <v>0</v>
      </c>
      <c r="I145" t="n">
        <v>0</v>
      </c>
      <c r="J145" t="n">
        <v>0</v>
      </c>
      <c r="K145" t="n">
        <v>0</v>
      </c>
      <c r="L145" t="n">
        <v>0</v>
      </c>
      <c r="M145" t="n">
        <v>0</v>
      </c>
      <c r="N145" t="n">
        <v>0</v>
      </c>
      <c r="O145" t="n">
        <v>0</v>
      </c>
      <c r="P145" t="n">
        <v>0</v>
      </c>
      <c r="Q145" t="n">
        <v>0</v>
      </c>
      <c r="R145" s="2" t="inlineStr"/>
    </row>
    <row r="146" ht="15" customHeight="1">
      <c r="A146" t="inlineStr">
        <is>
          <t>A 6881-2024</t>
        </is>
      </c>
      <c r="B146" s="1" t="n">
        <v>45342.8779050926</v>
      </c>
      <c r="C146" s="1" t="n">
        <v>46000</v>
      </c>
      <c r="D146" t="inlineStr">
        <is>
          <t>DALARNAS LÄN</t>
        </is>
      </c>
      <c r="E146" t="inlineStr">
        <is>
          <t>HEDEMORA</t>
        </is>
      </c>
      <c r="G146" t="n">
        <v>2.5</v>
      </c>
      <c r="H146" t="n">
        <v>0</v>
      </c>
      <c r="I146" t="n">
        <v>0</v>
      </c>
      <c r="J146" t="n">
        <v>0</v>
      </c>
      <c r="K146" t="n">
        <v>0</v>
      </c>
      <c r="L146" t="n">
        <v>0</v>
      </c>
      <c r="M146" t="n">
        <v>0</v>
      </c>
      <c r="N146" t="n">
        <v>0</v>
      </c>
      <c r="O146" t="n">
        <v>0</v>
      </c>
      <c r="P146" t="n">
        <v>0</v>
      </c>
      <c r="Q146" t="n">
        <v>0</v>
      </c>
      <c r="R146" s="2" t="inlineStr"/>
    </row>
    <row r="147" ht="15" customHeight="1">
      <c r="A147" t="inlineStr">
        <is>
          <t>A 19397-2024</t>
        </is>
      </c>
      <c r="B147" s="1" t="n">
        <v>45429.38474537037</v>
      </c>
      <c r="C147" s="1" t="n">
        <v>46000</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5010-2023</t>
        </is>
      </c>
      <c r="B148" s="1" t="n">
        <v>44956</v>
      </c>
      <c r="C148" s="1" t="n">
        <v>46000</v>
      </c>
      <c r="D148" t="inlineStr">
        <is>
          <t>DALARNAS LÄN</t>
        </is>
      </c>
      <c r="E148" t="inlineStr">
        <is>
          <t>HEDEMORA</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26204-2025</t>
        </is>
      </c>
      <c r="B149" s="1" t="n">
        <v>45805.51065972223</v>
      </c>
      <c r="C149" s="1" t="n">
        <v>46000</v>
      </c>
      <c r="D149" t="inlineStr">
        <is>
          <t>DALARNAS LÄN</t>
        </is>
      </c>
      <c r="E149" t="inlineStr">
        <is>
          <t>HEDEMORA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23435-2025</t>
        </is>
      </c>
      <c r="B150" s="1" t="n">
        <v>45792.37162037037</v>
      </c>
      <c r="C150" s="1" t="n">
        <v>46000</v>
      </c>
      <c r="D150" t="inlineStr">
        <is>
          <t>DALARNAS LÄN</t>
        </is>
      </c>
      <c r="E150" t="inlineStr">
        <is>
          <t>HEDEMORA</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36900-2022</t>
        </is>
      </c>
      <c r="B151" s="1" t="n">
        <v>44805.71435185185</v>
      </c>
      <c r="C151" s="1" t="n">
        <v>46000</v>
      </c>
      <c r="D151" t="inlineStr">
        <is>
          <t>DALARNAS LÄN</t>
        </is>
      </c>
      <c r="E151" t="inlineStr">
        <is>
          <t>HEDEMORA</t>
        </is>
      </c>
      <c r="F151" t="inlineStr">
        <is>
          <t>Sveaskog</t>
        </is>
      </c>
      <c r="G151" t="n">
        <v>2.9</v>
      </c>
      <c r="H151" t="n">
        <v>0</v>
      </c>
      <c r="I151" t="n">
        <v>0</v>
      </c>
      <c r="J151" t="n">
        <v>0</v>
      </c>
      <c r="K151" t="n">
        <v>0</v>
      </c>
      <c r="L151" t="n">
        <v>0</v>
      </c>
      <c r="M151" t="n">
        <v>0</v>
      </c>
      <c r="N151" t="n">
        <v>0</v>
      </c>
      <c r="O151" t="n">
        <v>0</v>
      </c>
      <c r="P151" t="n">
        <v>0</v>
      </c>
      <c r="Q151" t="n">
        <v>0</v>
      </c>
      <c r="R151" s="2" t="inlineStr"/>
    </row>
    <row r="152" ht="15" customHeight="1">
      <c r="A152" t="inlineStr">
        <is>
          <t>A 43621-2024</t>
        </is>
      </c>
      <c r="B152" s="1" t="n">
        <v>45569.48200231481</v>
      </c>
      <c r="C152" s="1" t="n">
        <v>46000</v>
      </c>
      <c r="D152" t="inlineStr">
        <is>
          <t>DALARNAS LÄN</t>
        </is>
      </c>
      <c r="E152" t="inlineStr">
        <is>
          <t>HEDEMORA</t>
        </is>
      </c>
      <c r="G152" t="n">
        <v>2.4</v>
      </c>
      <c r="H152" t="n">
        <v>0</v>
      </c>
      <c r="I152" t="n">
        <v>0</v>
      </c>
      <c r="J152" t="n">
        <v>0</v>
      </c>
      <c r="K152" t="n">
        <v>0</v>
      </c>
      <c r="L152" t="n">
        <v>0</v>
      </c>
      <c r="M152" t="n">
        <v>0</v>
      </c>
      <c r="N152" t="n">
        <v>0</v>
      </c>
      <c r="O152" t="n">
        <v>0</v>
      </c>
      <c r="P152" t="n">
        <v>0</v>
      </c>
      <c r="Q152" t="n">
        <v>0</v>
      </c>
      <c r="R152" s="2" t="inlineStr"/>
    </row>
    <row r="153" ht="15" customHeight="1">
      <c r="A153" t="inlineStr">
        <is>
          <t>A 6972-2025</t>
        </is>
      </c>
      <c r="B153" s="1" t="n">
        <v>45701.53790509259</v>
      </c>
      <c r="C153" s="1" t="n">
        <v>46000</v>
      </c>
      <c r="D153" t="inlineStr">
        <is>
          <t>DALARNAS LÄN</t>
        </is>
      </c>
      <c r="E153" t="inlineStr">
        <is>
          <t>HEDEMORA</t>
        </is>
      </c>
      <c r="G153" t="n">
        <v>4.9</v>
      </c>
      <c r="H153" t="n">
        <v>0</v>
      </c>
      <c r="I153" t="n">
        <v>0</v>
      </c>
      <c r="J153" t="n">
        <v>0</v>
      </c>
      <c r="K153" t="n">
        <v>0</v>
      </c>
      <c r="L153" t="n">
        <v>0</v>
      </c>
      <c r="M153" t="n">
        <v>0</v>
      </c>
      <c r="N153" t="n">
        <v>0</v>
      </c>
      <c r="O153" t="n">
        <v>0</v>
      </c>
      <c r="P153" t="n">
        <v>0</v>
      </c>
      <c r="Q153" t="n">
        <v>0</v>
      </c>
      <c r="R153" s="2" t="inlineStr"/>
    </row>
    <row r="154" ht="15" customHeight="1">
      <c r="A154" t="inlineStr">
        <is>
          <t>A 26705-2025</t>
        </is>
      </c>
      <c r="B154" s="1" t="n">
        <v>45810.45325231482</v>
      </c>
      <c r="C154" s="1" t="n">
        <v>46000</v>
      </c>
      <c r="D154" t="inlineStr">
        <is>
          <t>DALARNAS LÄN</t>
        </is>
      </c>
      <c r="E154" t="inlineStr">
        <is>
          <t>HEDEMORA</t>
        </is>
      </c>
      <c r="G154" t="n">
        <v>1.9</v>
      </c>
      <c r="H154" t="n">
        <v>0</v>
      </c>
      <c r="I154" t="n">
        <v>0</v>
      </c>
      <c r="J154" t="n">
        <v>0</v>
      </c>
      <c r="K154" t="n">
        <v>0</v>
      </c>
      <c r="L154" t="n">
        <v>0</v>
      </c>
      <c r="M154" t="n">
        <v>0</v>
      </c>
      <c r="N154" t="n">
        <v>0</v>
      </c>
      <c r="O154" t="n">
        <v>0</v>
      </c>
      <c r="P154" t="n">
        <v>0</v>
      </c>
      <c r="Q154" t="n">
        <v>0</v>
      </c>
      <c r="R154" s="2" t="inlineStr"/>
    </row>
    <row r="155" ht="15" customHeight="1">
      <c r="A155" t="inlineStr">
        <is>
          <t>A 42510-2025</t>
        </is>
      </c>
      <c r="B155" s="1" t="n">
        <v>45905.54068287037</v>
      </c>
      <c r="C155" s="1" t="n">
        <v>46000</v>
      </c>
      <c r="D155" t="inlineStr">
        <is>
          <t>DALARNAS LÄN</t>
        </is>
      </c>
      <c r="E155" t="inlineStr">
        <is>
          <t>HEDEMORA</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42645-2025</t>
        </is>
      </c>
      <c r="B156" s="1" t="n">
        <v>45906.40199074074</v>
      </c>
      <c r="C156" s="1" t="n">
        <v>46000</v>
      </c>
      <c r="D156" t="inlineStr">
        <is>
          <t>DALARNAS LÄN</t>
        </is>
      </c>
      <c r="E156" t="inlineStr">
        <is>
          <t>HEDEMORA</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43193-2025</t>
        </is>
      </c>
      <c r="B157" s="1" t="n">
        <v>45910.42417824074</v>
      </c>
      <c r="C157" s="1" t="n">
        <v>46000</v>
      </c>
      <c r="D157" t="inlineStr">
        <is>
          <t>DALARNAS LÄN</t>
        </is>
      </c>
      <c r="E157" t="inlineStr">
        <is>
          <t>HEDEMORA</t>
        </is>
      </c>
      <c r="G157" t="n">
        <v>3.9</v>
      </c>
      <c r="H157" t="n">
        <v>0</v>
      </c>
      <c r="I157" t="n">
        <v>0</v>
      </c>
      <c r="J157" t="n">
        <v>0</v>
      </c>
      <c r="K157" t="n">
        <v>0</v>
      </c>
      <c r="L157" t="n">
        <v>0</v>
      </c>
      <c r="M157" t="n">
        <v>0</v>
      </c>
      <c r="N157" t="n">
        <v>0</v>
      </c>
      <c r="O157" t="n">
        <v>0</v>
      </c>
      <c r="P157" t="n">
        <v>0</v>
      </c>
      <c r="Q157" t="n">
        <v>0</v>
      </c>
      <c r="R157" s="2" t="inlineStr"/>
    </row>
    <row r="158" ht="15" customHeight="1">
      <c r="A158" t="inlineStr">
        <is>
          <t>A 28183-2025</t>
        </is>
      </c>
      <c r="B158" s="1" t="n">
        <v>45818.4021875</v>
      </c>
      <c r="C158" s="1" t="n">
        <v>46000</v>
      </c>
      <c r="D158" t="inlineStr">
        <is>
          <t>DALARNAS LÄN</t>
        </is>
      </c>
      <c r="E158" t="inlineStr">
        <is>
          <t>HEDEMORA</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28180-2025</t>
        </is>
      </c>
      <c r="B159" s="1" t="n">
        <v>45818.39755787037</v>
      </c>
      <c r="C159" s="1" t="n">
        <v>46000</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28182-2025</t>
        </is>
      </c>
      <c r="B160" s="1" t="n">
        <v>45818.40069444444</v>
      </c>
      <c r="C160" s="1" t="n">
        <v>46000</v>
      </c>
      <c r="D160" t="inlineStr">
        <is>
          <t>DALARNAS LÄN</t>
        </is>
      </c>
      <c r="E160" t="inlineStr">
        <is>
          <t>HEDEMORA</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22270-2023</t>
        </is>
      </c>
      <c r="B161" s="1" t="n">
        <v>45070.39284722223</v>
      </c>
      <c r="C161" s="1" t="n">
        <v>46000</v>
      </c>
      <c r="D161" t="inlineStr">
        <is>
          <t>DALARNAS LÄN</t>
        </is>
      </c>
      <c r="E161" t="inlineStr">
        <is>
          <t>HEDEMORA</t>
        </is>
      </c>
      <c r="G161" t="n">
        <v>1.8</v>
      </c>
      <c r="H161" t="n">
        <v>0</v>
      </c>
      <c r="I161" t="n">
        <v>0</v>
      </c>
      <c r="J161" t="n">
        <v>0</v>
      </c>
      <c r="K161" t="n">
        <v>0</v>
      </c>
      <c r="L161" t="n">
        <v>0</v>
      </c>
      <c r="M161" t="n">
        <v>0</v>
      </c>
      <c r="N161" t="n">
        <v>0</v>
      </c>
      <c r="O161" t="n">
        <v>0</v>
      </c>
      <c r="P161" t="n">
        <v>0</v>
      </c>
      <c r="Q161" t="n">
        <v>0</v>
      </c>
      <c r="R161" s="2" t="inlineStr"/>
    </row>
    <row r="162" ht="15" customHeight="1">
      <c r="A162" t="inlineStr">
        <is>
          <t>A 16413-2024</t>
        </is>
      </c>
      <c r="B162" s="1" t="n">
        <v>45407.64223379629</v>
      </c>
      <c r="C162" s="1" t="n">
        <v>46000</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29690-2025</t>
        </is>
      </c>
      <c r="B163" s="1" t="n">
        <v>45825.53508101852</v>
      </c>
      <c r="C163" s="1" t="n">
        <v>46000</v>
      </c>
      <c r="D163" t="inlineStr">
        <is>
          <t>DALARNAS LÄN</t>
        </is>
      </c>
      <c r="E163" t="inlineStr">
        <is>
          <t>HEDEMORA</t>
        </is>
      </c>
      <c r="G163" t="n">
        <v>4.1</v>
      </c>
      <c r="H163" t="n">
        <v>0</v>
      </c>
      <c r="I163" t="n">
        <v>0</v>
      </c>
      <c r="J163" t="n">
        <v>0</v>
      </c>
      <c r="K163" t="n">
        <v>0</v>
      </c>
      <c r="L163" t="n">
        <v>0</v>
      </c>
      <c r="M163" t="n">
        <v>0</v>
      </c>
      <c r="N163" t="n">
        <v>0</v>
      </c>
      <c r="O163" t="n">
        <v>0</v>
      </c>
      <c r="P163" t="n">
        <v>0</v>
      </c>
      <c r="Q163" t="n">
        <v>0</v>
      </c>
      <c r="R163" s="2" t="inlineStr"/>
    </row>
    <row r="164" ht="15" customHeight="1">
      <c r="A164" t="inlineStr">
        <is>
          <t>A 53044-2025</t>
        </is>
      </c>
      <c r="B164" s="1" t="n">
        <v>45958.35663194444</v>
      </c>
      <c r="C164" s="1" t="n">
        <v>46000</v>
      </c>
      <c r="D164" t="inlineStr">
        <is>
          <t>DALARNAS LÄN</t>
        </is>
      </c>
      <c r="E164" t="inlineStr">
        <is>
          <t>HEDEMORA</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53040-2025</t>
        </is>
      </c>
      <c r="B165" s="1" t="n">
        <v>45958.35328703704</v>
      </c>
      <c r="C165" s="1" t="n">
        <v>46000</v>
      </c>
      <c r="D165" t="inlineStr">
        <is>
          <t>DALARNAS LÄN</t>
        </is>
      </c>
      <c r="E165" t="inlineStr">
        <is>
          <t>HEDEMORA</t>
        </is>
      </c>
      <c r="F165" t="inlineStr">
        <is>
          <t>Sveaskog</t>
        </is>
      </c>
      <c r="G165" t="n">
        <v>1.9</v>
      </c>
      <c r="H165" t="n">
        <v>0</v>
      </c>
      <c r="I165" t="n">
        <v>0</v>
      </c>
      <c r="J165" t="n">
        <v>0</v>
      </c>
      <c r="K165" t="n">
        <v>0</v>
      </c>
      <c r="L165" t="n">
        <v>0</v>
      </c>
      <c r="M165" t="n">
        <v>0</v>
      </c>
      <c r="N165" t="n">
        <v>0</v>
      </c>
      <c r="O165" t="n">
        <v>0</v>
      </c>
      <c r="P165" t="n">
        <v>0</v>
      </c>
      <c r="Q165" t="n">
        <v>0</v>
      </c>
      <c r="R165" s="2" t="inlineStr"/>
    </row>
    <row r="166" ht="15" customHeight="1">
      <c r="A166" t="inlineStr">
        <is>
          <t>A 53042-2025</t>
        </is>
      </c>
      <c r="B166" s="1" t="n">
        <v>45958.35527777778</v>
      </c>
      <c r="C166" s="1" t="n">
        <v>46000</v>
      </c>
      <c r="D166" t="inlineStr">
        <is>
          <t>DALARNAS LÄN</t>
        </is>
      </c>
      <c r="E166" t="inlineStr">
        <is>
          <t>HEDEMORA</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44850-2025</t>
        </is>
      </c>
      <c r="B167" s="1" t="n">
        <v>45918.44587962963</v>
      </c>
      <c r="C167" s="1" t="n">
        <v>46000</v>
      </c>
      <c r="D167" t="inlineStr">
        <is>
          <t>DALARNAS LÄN</t>
        </is>
      </c>
      <c r="E167" t="inlineStr">
        <is>
          <t>HEDEMORA</t>
        </is>
      </c>
      <c r="G167" t="n">
        <v>3.9</v>
      </c>
      <c r="H167" t="n">
        <v>0</v>
      </c>
      <c r="I167" t="n">
        <v>0</v>
      </c>
      <c r="J167" t="n">
        <v>0</v>
      </c>
      <c r="K167" t="n">
        <v>0</v>
      </c>
      <c r="L167" t="n">
        <v>0</v>
      </c>
      <c r="M167" t="n">
        <v>0</v>
      </c>
      <c r="N167" t="n">
        <v>0</v>
      </c>
      <c r="O167" t="n">
        <v>0</v>
      </c>
      <c r="P167" t="n">
        <v>0</v>
      </c>
      <c r="Q167" t="n">
        <v>0</v>
      </c>
      <c r="R167" s="2" t="inlineStr"/>
    </row>
    <row r="168" ht="15" customHeight="1">
      <c r="A168" t="inlineStr">
        <is>
          <t>A 52944-2024</t>
        </is>
      </c>
      <c r="B168" s="1" t="n">
        <v>45610.82546296297</v>
      </c>
      <c r="C168" s="1" t="n">
        <v>46000</v>
      </c>
      <c r="D168" t="inlineStr">
        <is>
          <t>DALARNAS LÄN</t>
        </is>
      </c>
      <c r="E168" t="inlineStr">
        <is>
          <t>HEDEMORA</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30582-2025</t>
        </is>
      </c>
      <c r="B169" s="1" t="n">
        <v>45831.42349537037</v>
      </c>
      <c r="C169" s="1" t="n">
        <v>46000</v>
      </c>
      <c r="D169" t="inlineStr">
        <is>
          <t>DALARNAS LÄN</t>
        </is>
      </c>
      <c r="E169" t="inlineStr">
        <is>
          <t>HEDEMORA</t>
        </is>
      </c>
      <c r="G169" t="n">
        <v>1.8</v>
      </c>
      <c r="H169" t="n">
        <v>0</v>
      </c>
      <c r="I169" t="n">
        <v>0</v>
      </c>
      <c r="J169" t="n">
        <v>0</v>
      </c>
      <c r="K169" t="n">
        <v>0</v>
      </c>
      <c r="L169" t="n">
        <v>0</v>
      </c>
      <c r="M169" t="n">
        <v>0</v>
      </c>
      <c r="N169" t="n">
        <v>0</v>
      </c>
      <c r="O169" t="n">
        <v>0</v>
      </c>
      <c r="P169" t="n">
        <v>0</v>
      </c>
      <c r="Q169" t="n">
        <v>0</v>
      </c>
      <c r="R169" s="2" t="inlineStr"/>
    </row>
    <row r="170" ht="15" customHeight="1">
      <c r="A170" t="inlineStr">
        <is>
          <t>A 30472-2025</t>
        </is>
      </c>
      <c r="B170" s="1" t="n">
        <v>45827.94671296296</v>
      </c>
      <c r="C170" s="1" t="n">
        <v>46000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30471-2025</t>
        </is>
      </c>
      <c r="B171" s="1" t="n">
        <v>45827.94552083333</v>
      </c>
      <c r="C171" s="1" t="n">
        <v>46000</v>
      </c>
      <c r="D171" t="inlineStr">
        <is>
          <t>DALARNAS LÄN</t>
        </is>
      </c>
      <c r="E171" t="inlineStr">
        <is>
          <t>HEDEMORA</t>
        </is>
      </c>
      <c r="G171" t="n">
        <v>0.3</v>
      </c>
      <c r="H171" t="n">
        <v>0</v>
      </c>
      <c r="I171" t="n">
        <v>0</v>
      </c>
      <c r="J171" t="n">
        <v>0</v>
      </c>
      <c r="K171" t="n">
        <v>0</v>
      </c>
      <c r="L171" t="n">
        <v>0</v>
      </c>
      <c r="M171" t="n">
        <v>0</v>
      </c>
      <c r="N171" t="n">
        <v>0</v>
      </c>
      <c r="O171" t="n">
        <v>0</v>
      </c>
      <c r="P171" t="n">
        <v>0</v>
      </c>
      <c r="Q171" t="n">
        <v>0</v>
      </c>
      <c r="R171" s="2" t="inlineStr"/>
    </row>
    <row r="172" ht="15" customHeight="1">
      <c r="A172" t="inlineStr">
        <is>
          <t>A 53551-2025</t>
        </is>
      </c>
      <c r="B172" s="1" t="n">
        <v>45960.3875</v>
      </c>
      <c r="C172" s="1" t="n">
        <v>46000</v>
      </c>
      <c r="D172" t="inlineStr">
        <is>
          <t>DALARNAS LÄN</t>
        </is>
      </c>
      <c r="E172" t="inlineStr">
        <is>
          <t>HEDEMORA</t>
        </is>
      </c>
      <c r="G172" t="n">
        <v>6.2</v>
      </c>
      <c r="H172" t="n">
        <v>0</v>
      </c>
      <c r="I172" t="n">
        <v>0</v>
      </c>
      <c r="J172" t="n">
        <v>0</v>
      </c>
      <c r="K172" t="n">
        <v>0</v>
      </c>
      <c r="L172" t="n">
        <v>0</v>
      </c>
      <c r="M172" t="n">
        <v>0</v>
      </c>
      <c r="N172" t="n">
        <v>0</v>
      </c>
      <c r="O172" t="n">
        <v>0</v>
      </c>
      <c r="P172" t="n">
        <v>0</v>
      </c>
      <c r="Q172" t="n">
        <v>0</v>
      </c>
      <c r="R172" s="2" t="inlineStr"/>
    </row>
    <row r="173" ht="15" customHeight="1">
      <c r="A173" t="inlineStr">
        <is>
          <t>A 45097-2025</t>
        </is>
      </c>
      <c r="B173" s="1" t="n">
        <v>45919.38918981481</v>
      </c>
      <c r="C173" s="1" t="n">
        <v>46000</v>
      </c>
      <c r="D173" t="inlineStr">
        <is>
          <t>DALARNAS LÄN</t>
        </is>
      </c>
      <c r="E173" t="inlineStr">
        <is>
          <t>HEDEMORA</t>
        </is>
      </c>
      <c r="F173" t="inlineStr">
        <is>
          <t>Sveaskog</t>
        </is>
      </c>
      <c r="G173" t="n">
        <v>3.1</v>
      </c>
      <c r="H173" t="n">
        <v>0</v>
      </c>
      <c r="I173" t="n">
        <v>0</v>
      </c>
      <c r="J173" t="n">
        <v>0</v>
      </c>
      <c r="K173" t="n">
        <v>0</v>
      </c>
      <c r="L173" t="n">
        <v>0</v>
      </c>
      <c r="M173" t="n">
        <v>0</v>
      </c>
      <c r="N173" t="n">
        <v>0</v>
      </c>
      <c r="O173" t="n">
        <v>0</v>
      </c>
      <c r="P173" t="n">
        <v>0</v>
      </c>
      <c r="Q173" t="n">
        <v>0</v>
      </c>
      <c r="R173" s="2" t="inlineStr"/>
    </row>
    <row r="174" ht="15" customHeight="1">
      <c r="A174" t="inlineStr">
        <is>
          <t>A 45290-2025</t>
        </is>
      </c>
      <c r="B174" s="1" t="n">
        <v>45920.37158564815</v>
      </c>
      <c r="C174" s="1" t="n">
        <v>46000</v>
      </c>
      <c r="D174" t="inlineStr">
        <is>
          <t>DALARNAS LÄN</t>
        </is>
      </c>
      <c r="E174" t="inlineStr">
        <is>
          <t>HEDEMORA</t>
        </is>
      </c>
      <c r="F174" t="inlineStr">
        <is>
          <t>Sveaskog</t>
        </is>
      </c>
      <c r="G174" t="n">
        <v>2.8</v>
      </c>
      <c r="H174" t="n">
        <v>0</v>
      </c>
      <c r="I174" t="n">
        <v>0</v>
      </c>
      <c r="J174" t="n">
        <v>0</v>
      </c>
      <c r="K174" t="n">
        <v>0</v>
      </c>
      <c r="L174" t="n">
        <v>0</v>
      </c>
      <c r="M174" t="n">
        <v>0</v>
      </c>
      <c r="N174" t="n">
        <v>0</v>
      </c>
      <c r="O174" t="n">
        <v>0</v>
      </c>
      <c r="P174" t="n">
        <v>0</v>
      </c>
      <c r="Q174" t="n">
        <v>0</v>
      </c>
      <c r="R174" s="2" t="inlineStr"/>
    </row>
    <row r="175" ht="15" customHeight="1">
      <c r="A175" t="inlineStr">
        <is>
          <t>A 5766-2025</t>
        </is>
      </c>
      <c r="B175" s="1" t="n">
        <v>45694.57893518519</v>
      </c>
      <c r="C175" s="1" t="n">
        <v>46000</v>
      </c>
      <c r="D175" t="inlineStr">
        <is>
          <t>DALARNAS LÄN</t>
        </is>
      </c>
      <c r="E175" t="inlineStr">
        <is>
          <t>HEDEMORA</t>
        </is>
      </c>
      <c r="G175" t="n">
        <v>4.9</v>
      </c>
      <c r="H175" t="n">
        <v>0</v>
      </c>
      <c r="I175" t="n">
        <v>0</v>
      </c>
      <c r="J175" t="n">
        <v>0</v>
      </c>
      <c r="K175" t="n">
        <v>0</v>
      </c>
      <c r="L175" t="n">
        <v>0</v>
      </c>
      <c r="M175" t="n">
        <v>0</v>
      </c>
      <c r="N175" t="n">
        <v>0</v>
      </c>
      <c r="O175" t="n">
        <v>0</v>
      </c>
      <c r="P175" t="n">
        <v>0</v>
      </c>
      <c r="Q175" t="n">
        <v>0</v>
      </c>
      <c r="R175" s="2" t="inlineStr"/>
    </row>
    <row r="176" ht="15" customHeight="1">
      <c r="A176" t="inlineStr">
        <is>
          <t>A 19473-2024</t>
        </is>
      </c>
      <c r="B176" s="1" t="n">
        <v>45429</v>
      </c>
      <c r="C176" s="1" t="n">
        <v>46000</v>
      </c>
      <c r="D176" t="inlineStr">
        <is>
          <t>DALARNAS LÄN</t>
        </is>
      </c>
      <c r="E176" t="inlineStr">
        <is>
          <t>HEDEMORA</t>
        </is>
      </c>
      <c r="G176" t="n">
        <v>2.5</v>
      </c>
      <c r="H176" t="n">
        <v>0</v>
      </c>
      <c r="I176" t="n">
        <v>0</v>
      </c>
      <c r="J176" t="n">
        <v>0</v>
      </c>
      <c r="K176" t="n">
        <v>0</v>
      </c>
      <c r="L176" t="n">
        <v>0</v>
      </c>
      <c r="M176" t="n">
        <v>0</v>
      </c>
      <c r="N176" t="n">
        <v>0</v>
      </c>
      <c r="O176" t="n">
        <v>0</v>
      </c>
      <c r="P176" t="n">
        <v>0</v>
      </c>
      <c r="Q176" t="n">
        <v>0</v>
      </c>
      <c r="R176" s="2" t="inlineStr"/>
    </row>
    <row r="177" ht="15" customHeight="1">
      <c r="A177" t="inlineStr">
        <is>
          <t>A 23501-2023</t>
        </is>
      </c>
      <c r="B177" s="1" t="n">
        <v>45076.73979166667</v>
      </c>
      <c r="C177" s="1" t="n">
        <v>46000</v>
      </c>
      <c r="D177" t="inlineStr">
        <is>
          <t>DALARNAS LÄN</t>
        </is>
      </c>
      <c r="E177" t="inlineStr">
        <is>
          <t>HEDEMORA</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50885-2023</t>
        </is>
      </c>
      <c r="B178" s="1" t="n">
        <v>45218.38459490741</v>
      </c>
      <c r="C178" s="1" t="n">
        <v>46000</v>
      </c>
      <c r="D178" t="inlineStr">
        <is>
          <t>DALARNAS LÄN</t>
        </is>
      </c>
      <c r="E178" t="inlineStr">
        <is>
          <t>HEDEMORA</t>
        </is>
      </c>
      <c r="G178" t="n">
        <v>0.7</v>
      </c>
      <c r="H178" t="n">
        <v>0</v>
      </c>
      <c r="I178" t="n">
        <v>0</v>
      </c>
      <c r="J178" t="n">
        <v>0</v>
      </c>
      <c r="K178" t="n">
        <v>0</v>
      </c>
      <c r="L178" t="n">
        <v>0</v>
      </c>
      <c r="M178" t="n">
        <v>0</v>
      </c>
      <c r="N178" t="n">
        <v>0</v>
      </c>
      <c r="O178" t="n">
        <v>0</v>
      </c>
      <c r="P178" t="n">
        <v>0</v>
      </c>
      <c r="Q178" t="n">
        <v>0</v>
      </c>
      <c r="R178" s="2" t="inlineStr"/>
    </row>
    <row r="179" ht="15" customHeight="1">
      <c r="A179" t="inlineStr">
        <is>
          <t>A 54040-2025</t>
        </is>
      </c>
      <c r="B179" s="1" t="n">
        <v>45963.74130787037</v>
      </c>
      <c r="C179" s="1" t="n">
        <v>46000</v>
      </c>
      <c r="D179" t="inlineStr">
        <is>
          <t>DALARNAS LÄN</t>
        </is>
      </c>
      <c r="E179" t="inlineStr">
        <is>
          <t>HEDEMORA</t>
        </is>
      </c>
      <c r="G179" t="n">
        <v>0.5</v>
      </c>
      <c r="H179" t="n">
        <v>0</v>
      </c>
      <c r="I179" t="n">
        <v>0</v>
      </c>
      <c r="J179" t="n">
        <v>0</v>
      </c>
      <c r="K179" t="n">
        <v>0</v>
      </c>
      <c r="L179" t="n">
        <v>0</v>
      </c>
      <c r="M179" t="n">
        <v>0</v>
      </c>
      <c r="N179" t="n">
        <v>0</v>
      </c>
      <c r="O179" t="n">
        <v>0</v>
      </c>
      <c r="P179" t="n">
        <v>0</v>
      </c>
      <c r="Q179" t="n">
        <v>0</v>
      </c>
      <c r="R179" s="2" t="inlineStr"/>
    </row>
    <row r="180" ht="15" customHeight="1">
      <c r="A180" t="inlineStr">
        <is>
          <t>A 53576-2023</t>
        </is>
      </c>
      <c r="B180" s="1" t="n">
        <v>45230.50288194444</v>
      </c>
      <c r="C180" s="1" t="n">
        <v>46000</v>
      </c>
      <c r="D180" t="inlineStr">
        <is>
          <t>DALARNAS LÄN</t>
        </is>
      </c>
      <c r="E180" t="inlineStr">
        <is>
          <t>HEDEMORA</t>
        </is>
      </c>
      <c r="G180" t="n">
        <v>0.9</v>
      </c>
      <c r="H180" t="n">
        <v>0</v>
      </c>
      <c r="I180" t="n">
        <v>0</v>
      </c>
      <c r="J180" t="n">
        <v>0</v>
      </c>
      <c r="K180" t="n">
        <v>0</v>
      </c>
      <c r="L180" t="n">
        <v>0</v>
      </c>
      <c r="M180" t="n">
        <v>0</v>
      </c>
      <c r="N180" t="n">
        <v>0</v>
      </c>
      <c r="O180" t="n">
        <v>0</v>
      </c>
      <c r="P180" t="n">
        <v>0</v>
      </c>
      <c r="Q180" t="n">
        <v>0</v>
      </c>
      <c r="R180" s="2" t="inlineStr"/>
    </row>
    <row r="181" ht="15" customHeight="1">
      <c r="A181" t="inlineStr">
        <is>
          <t>A 53588-2023</t>
        </is>
      </c>
      <c r="B181" s="1" t="n">
        <v>45230.53109953704</v>
      </c>
      <c r="C181" s="1" t="n">
        <v>46000</v>
      </c>
      <c r="D181" t="inlineStr">
        <is>
          <t>DALARNAS LÄN</t>
        </is>
      </c>
      <c r="E181" t="inlineStr">
        <is>
          <t>HEDEMORA</t>
        </is>
      </c>
      <c r="G181" t="n">
        <v>0.6</v>
      </c>
      <c r="H181" t="n">
        <v>0</v>
      </c>
      <c r="I181" t="n">
        <v>0</v>
      </c>
      <c r="J181" t="n">
        <v>0</v>
      </c>
      <c r="K181" t="n">
        <v>0</v>
      </c>
      <c r="L181" t="n">
        <v>0</v>
      </c>
      <c r="M181" t="n">
        <v>0</v>
      </c>
      <c r="N181" t="n">
        <v>0</v>
      </c>
      <c r="O181" t="n">
        <v>0</v>
      </c>
      <c r="P181" t="n">
        <v>0</v>
      </c>
      <c r="Q181" t="n">
        <v>0</v>
      </c>
      <c r="R181" s="2" t="inlineStr"/>
    </row>
    <row r="182" ht="15" customHeight="1">
      <c r="A182" t="inlineStr">
        <is>
          <t>A 32865-2025</t>
        </is>
      </c>
      <c r="B182" s="1" t="n">
        <v>45839.58767361111</v>
      </c>
      <c r="C182" s="1" t="n">
        <v>46000</v>
      </c>
      <c r="D182" t="inlineStr">
        <is>
          <t>DALARNAS LÄN</t>
        </is>
      </c>
      <c r="E182" t="inlineStr">
        <is>
          <t>HEDEMORA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45937-2025</t>
        </is>
      </c>
      <c r="B183" s="1" t="n">
        <v>45924.27231481481</v>
      </c>
      <c r="C183" s="1" t="n">
        <v>46000</v>
      </c>
      <c r="D183" t="inlineStr">
        <is>
          <t>DALARNAS LÄN</t>
        </is>
      </c>
      <c r="E183" t="inlineStr">
        <is>
          <t>HEDEMORA</t>
        </is>
      </c>
      <c r="G183" t="n">
        <v>3.9</v>
      </c>
      <c r="H183" t="n">
        <v>0</v>
      </c>
      <c r="I183" t="n">
        <v>0</v>
      </c>
      <c r="J183" t="n">
        <v>0</v>
      </c>
      <c r="K183" t="n">
        <v>0</v>
      </c>
      <c r="L183" t="n">
        <v>0</v>
      </c>
      <c r="M183" t="n">
        <v>0</v>
      </c>
      <c r="N183" t="n">
        <v>0</v>
      </c>
      <c r="O183" t="n">
        <v>0</v>
      </c>
      <c r="P183" t="n">
        <v>0</v>
      </c>
      <c r="Q183" t="n">
        <v>0</v>
      </c>
      <c r="R183" s="2" t="inlineStr"/>
    </row>
    <row r="184" ht="15" customHeight="1">
      <c r="A184" t="inlineStr">
        <is>
          <t>A 32869-2025</t>
        </is>
      </c>
      <c r="B184" s="1" t="n">
        <v>45839.58927083333</v>
      </c>
      <c r="C184" s="1" t="n">
        <v>46000</v>
      </c>
      <c r="D184" t="inlineStr">
        <is>
          <t>DALARNAS LÄN</t>
        </is>
      </c>
      <c r="E184" t="inlineStr">
        <is>
          <t>HEDEMORA</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45936-2025</t>
        </is>
      </c>
      <c r="B185" s="1" t="n">
        <v>45924.26582175926</v>
      </c>
      <c r="C185" s="1" t="n">
        <v>46000</v>
      </c>
      <c r="D185" t="inlineStr">
        <is>
          <t>DALARNAS LÄN</t>
        </is>
      </c>
      <c r="E185" t="inlineStr">
        <is>
          <t>HEDEMORA</t>
        </is>
      </c>
      <c r="G185" t="n">
        <v>4.7</v>
      </c>
      <c r="H185" t="n">
        <v>0</v>
      </c>
      <c r="I185" t="n">
        <v>0</v>
      </c>
      <c r="J185" t="n">
        <v>0</v>
      </c>
      <c r="K185" t="n">
        <v>0</v>
      </c>
      <c r="L185" t="n">
        <v>0</v>
      </c>
      <c r="M185" t="n">
        <v>0</v>
      </c>
      <c r="N185" t="n">
        <v>0</v>
      </c>
      <c r="O185" t="n">
        <v>0</v>
      </c>
      <c r="P185" t="n">
        <v>0</v>
      </c>
      <c r="Q185" t="n">
        <v>0</v>
      </c>
      <c r="R185" s="2" t="inlineStr"/>
    </row>
    <row r="186" ht="15" customHeight="1">
      <c r="A186" t="inlineStr">
        <is>
          <t>A 45938-2025</t>
        </is>
      </c>
      <c r="B186" s="1" t="n">
        <v>45924.27704861111</v>
      </c>
      <c r="C186" s="1" t="n">
        <v>46000</v>
      </c>
      <c r="D186" t="inlineStr">
        <is>
          <t>DALARNAS LÄN</t>
        </is>
      </c>
      <c r="E186" t="inlineStr">
        <is>
          <t>HEDEMORA</t>
        </is>
      </c>
      <c r="G186" t="n">
        <v>1.9</v>
      </c>
      <c r="H186" t="n">
        <v>0</v>
      </c>
      <c r="I186" t="n">
        <v>0</v>
      </c>
      <c r="J186" t="n">
        <v>0</v>
      </c>
      <c r="K186" t="n">
        <v>0</v>
      </c>
      <c r="L186" t="n">
        <v>0</v>
      </c>
      <c r="M186" t="n">
        <v>0</v>
      </c>
      <c r="N186" t="n">
        <v>0</v>
      </c>
      <c r="O186" t="n">
        <v>0</v>
      </c>
      <c r="P186" t="n">
        <v>0</v>
      </c>
      <c r="Q186" t="n">
        <v>0</v>
      </c>
      <c r="R186" s="2" t="inlineStr"/>
    </row>
    <row r="187" ht="15" customHeight="1">
      <c r="A187" t="inlineStr">
        <is>
          <t>A 8342-2025</t>
        </is>
      </c>
      <c r="B187" s="1" t="n">
        <v>45708.67251157408</v>
      </c>
      <c r="C187" s="1" t="n">
        <v>46000</v>
      </c>
      <c r="D187" t="inlineStr">
        <is>
          <t>DALARNAS LÄN</t>
        </is>
      </c>
      <c r="E187" t="inlineStr">
        <is>
          <t>HEDEMORA</t>
        </is>
      </c>
      <c r="G187" t="n">
        <v>0.8</v>
      </c>
      <c r="H187" t="n">
        <v>0</v>
      </c>
      <c r="I187" t="n">
        <v>0</v>
      </c>
      <c r="J187" t="n">
        <v>0</v>
      </c>
      <c r="K187" t="n">
        <v>0</v>
      </c>
      <c r="L187" t="n">
        <v>0</v>
      </c>
      <c r="M187" t="n">
        <v>0</v>
      </c>
      <c r="N187" t="n">
        <v>0</v>
      </c>
      <c r="O187" t="n">
        <v>0</v>
      </c>
      <c r="P187" t="n">
        <v>0</v>
      </c>
      <c r="Q187" t="n">
        <v>0</v>
      </c>
      <c r="R187" s="2" t="inlineStr"/>
    </row>
    <row r="188" ht="15" customHeight="1">
      <c r="A188" t="inlineStr">
        <is>
          <t>A 28029-2023</t>
        </is>
      </c>
      <c r="B188" s="1" t="n">
        <v>45099</v>
      </c>
      <c r="C188" s="1" t="n">
        <v>46000</v>
      </c>
      <c r="D188" t="inlineStr">
        <is>
          <t>DALARNAS LÄN</t>
        </is>
      </c>
      <c r="E188" t="inlineStr">
        <is>
          <t>HEDEMORA</t>
        </is>
      </c>
      <c r="G188" t="n">
        <v>0.6</v>
      </c>
      <c r="H188" t="n">
        <v>0</v>
      </c>
      <c r="I188" t="n">
        <v>0</v>
      </c>
      <c r="J188" t="n">
        <v>0</v>
      </c>
      <c r="K188" t="n">
        <v>0</v>
      </c>
      <c r="L188" t="n">
        <v>0</v>
      </c>
      <c r="M188" t="n">
        <v>0</v>
      </c>
      <c r="N188" t="n">
        <v>0</v>
      </c>
      <c r="O188" t="n">
        <v>0</v>
      </c>
      <c r="P188" t="n">
        <v>0</v>
      </c>
      <c r="Q188" t="n">
        <v>0</v>
      </c>
      <c r="R188" s="2" t="inlineStr"/>
    </row>
    <row r="189" ht="15" customHeight="1">
      <c r="A189" t="inlineStr">
        <is>
          <t>A 46287-2025</t>
        </is>
      </c>
      <c r="B189" s="1" t="n">
        <v>45925.38450231482</v>
      </c>
      <c r="C189" s="1" t="n">
        <v>46000</v>
      </c>
      <c r="D189" t="inlineStr">
        <is>
          <t>DALARNAS LÄN</t>
        </is>
      </c>
      <c r="E189" t="inlineStr">
        <is>
          <t>HEDEMORA</t>
        </is>
      </c>
      <c r="G189" t="n">
        <v>7.3</v>
      </c>
      <c r="H189" t="n">
        <v>0</v>
      </c>
      <c r="I189" t="n">
        <v>0</v>
      </c>
      <c r="J189" t="n">
        <v>0</v>
      </c>
      <c r="K189" t="n">
        <v>0</v>
      </c>
      <c r="L189" t="n">
        <v>0</v>
      </c>
      <c r="M189" t="n">
        <v>0</v>
      </c>
      <c r="N189" t="n">
        <v>0</v>
      </c>
      <c r="O189" t="n">
        <v>0</v>
      </c>
      <c r="P189" t="n">
        <v>0</v>
      </c>
      <c r="Q189" t="n">
        <v>0</v>
      </c>
      <c r="R189" s="2" t="inlineStr"/>
    </row>
    <row r="190" ht="15" customHeight="1">
      <c r="A190" t="inlineStr">
        <is>
          <t>A 45983-2025</t>
        </is>
      </c>
      <c r="B190" s="1" t="n">
        <v>45924.37988425926</v>
      </c>
      <c r="C190" s="1" t="n">
        <v>46000</v>
      </c>
      <c r="D190" t="inlineStr">
        <is>
          <t>DALARNAS LÄN</t>
        </is>
      </c>
      <c r="E190" t="inlineStr">
        <is>
          <t>HEDEMORA</t>
        </is>
      </c>
      <c r="G190" t="n">
        <v>1.2</v>
      </c>
      <c r="H190" t="n">
        <v>0</v>
      </c>
      <c r="I190" t="n">
        <v>0</v>
      </c>
      <c r="J190" t="n">
        <v>0</v>
      </c>
      <c r="K190" t="n">
        <v>0</v>
      </c>
      <c r="L190" t="n">
        <v>0</v>
      </c>
      <c r="M190" t="n">
        <v>0</v>
      </c>
      <c r="N190" t="n">
        <v>0</v>
      </c>
      <c r="O190" t="n">
        <v>0</v>
      </c>
      <c r="P190" t="n">
        <v>0</v>
      </c>
      <c r="Q190" t="n">
        <v>0</v>
      </c>
      <c r="R190" s="2" t="inlineStr"/>
    </row>
    <row r="191" ht="15" customHeight="1">
      <c r="A191" t="inlineStr">
        <is>
          <t>A 54830-2025</t>
        </is>
      </c>
      <c r="B191" s="1" t="n">
        <v>45966.67681712963</v>
      </c>
      <c r="C191" s="1" t="n">
        <v>46000</v>
      </c>
      <c r="D191" t="inlineStr">
        <is>
          <t>DALARNAS LÄN</t>
        </is>
      </c>
      <c r="E191" t="inlineStr">
        <is>
          <t>HEDEMORA</t>
        </is>
      </c>
      <c r="G191" t="n">
        <v>1.4</v>
      </c>
      <c r="H191" t="n">
        <v>0</v>
      </c>
      <c r="I191" t="n">
        <v>0</v>
      </c>
      <c r="J191" t="n">
        <v>0</v>
      </c>
      <c r="K191" t="n">
        <v>0</v>
      </c>
      <c r="L191" t="n">
        <v>0</v>
      </c>
      <c r="M191" t="n">
        <v>0</v>
      </c>
      <c r="N191" t="n">
        <v>0</v>
      </c>
      <c r="O191" t="n">
        <v>0</v>
      </c>
      <c r="P191" t="n">
        <v>0</v>
      </c>
      <c r="Q191" t="n">
        <v>0</v>
      </c>
      <c r="R191" s="2" t="inlineStr"/>
    </row>
    <row r="192" ht="15" customHeight="1">
      <c r="A192" t="inlineStr">
        <is>
          <t>A 54829-2025</t>
        </is>
      </c>
      <c r="B192" s="1" t="n">
        <v>45966.67506944444</v>
      </c>
      <c r="C192" s="1" t="n">
        <v>46000</v>
      </c>
      <c r="D192" t="inlineStr">
        <is>
          <t>DALARNAS LÄN</t>
        </is>
      </c>
      <c r="E192" t="inlineStr">
        <is>
          <t>HEDEMORA</t>
        </is>
      </c>
      <c r="G192" t="n">
        <v>2.2</v>
      </c>
      <c r="H192" t="n">
        <v>0</v>
      </c>
      <c r="I192" t="n">
        <v>0</v>
      </c>
      <c r="J192" t="n">
        <v>0</v>
      </c>
      <c r="K192" t="n">
        <v>0</v>
      </c>
      <c r="L192" t="n">
        <v>0</v>
      </c>
      <c r="M192" t="n">
        <v>0</v>
      </c>
      <c r="N192" t="n">
        <v>0</v>
      </c>
      <c r="O192" t="n">
        <v>0</v>
      </c>
      <c r="P192" t="n">
        <v>0</v>
      </c>
      <c r="Q192" t="n">
        <v>0</v>
      </c>
      <c r="R192" s="2" t="inlineStr"/>
    </row>
    <row r="193" ht="15" customHeight="1">
      <c r="A193" t="inlineStr">
        <is>
          <t>A 33009-2025</t>
        </is>
      </c>
      <c r="B193" s="1" t="n">
        <v>45840</v>
      </c>
      <c r="C193" s="1" t="n">
        <v>46000</v>
      </c>
      <c r="D193" t="inlineStr">
        <is>
          <t>DALARNAS LÄN</t>
        </is>
      </c>
      <c r="E193" t="inlineStr">
        <is>
          <t>HEDEMORA</t>
        </is>
      </c>
      <c r="F193" t="inlineStr">
        <is>
          <t>Kyrkan</t>
        </is>
      </c>
      <c r="G193" t="n">
        <v>7.6</v>
      </c>
      <c r="H193" t="n">
        <v>0</v>
      </c>
      <c r="I193" t="n">
        <v>0</v>
      </c>
      <c r="J193" t="n">
        <v>0</v>
      </c>
      <c r="K193" t="n">
        <v>0</v>
      </c>
      <c r="L193" t="n">
        <v>0</v>
      </c>
      <c r="M193" t="n">
        <v>0</v>
      </c>
      <c r="N193" t="n">
        <v>0</v>
      </c>
      <c r="O193" t="n">
        <v>0</v>
      </c>
      <c r="P193" t="n">
        <v>0</v>
      </c>
      <c r="Q193" t="n">
        <v>0</v>
      </c>
      <c r="R193" s="2" t="inlineStr"/>
    </row>
    <row r="194" ht="15" customHeight="1">
      <c r="A194" t="inlineStr">
        <is>
          <t>A 33286-2025</t>
        </is>
      </c>
      <c r="B194" s="1" t="n">
        <v>45840.81065972222</v>
      </c>
      <c r="C194" s="1" t="n">
        <v>46000</v>
      </c>
      <c r="D194" t="inlineStr">
        <is>
          <t>DALARNAS LÄN</t>
        </is>
      </c>
      <c r="E194" t="inlineStr">
        <is>
          <t>HEDEMORA</t>
        </is>
      </c>
      <c r="F194" t="inlineStr">
        <is>
          <t>Sveaskog</t>
        </is>
      </c>
      <c r="G194" t="n">
        <v>7.1</v>
      </c>
      <c r="H194" t="n">
        <v>0</v>
      </c>
      <c r="I194" t="n">
        <v>0</v>
      </c>
      <c r="J194" t="n">
        <v>0</v>
      </c>
      <c r="K194" t="n">
        <v>0</v>
      </c>
      <c r="L194" t="n">
        <v>0</v>
      </c>
      <c r="M194" t="n">
        <v>0</v>
      </c>
      <c r="N194" t="n">
        <v>0</v>
      </c>
      <c r="O194" t="n">
        <v>0</v>
      </c>
      <c r="P194" t="n">
        <v>0</v>
      </c>
      <c r="Q194" t="n">
        <v>0</v>
      </c>
      <c r="R194" s="2" t="inlineStr"/>
    </row>
    <row r="195" ht="15" customHeight="1">
      <c r="A195" t="inlineStr">
        <is>
          <t>A 33288-2025</t>
        </is>
      </c>
      <c r="B195" s="1" t="n">
        <v>45840</v>
      </c>
      <c r="C195" s="1" t="n">
        <v>46000</v>
      </c>
      <c r="D195" t="inlineStr">
        <is>
          <t>DALARNAS LÄN</t>
        </is>
      </c>
      <c r="E195" t="inlineStr">
        <is>
          <t>HEDEMORA</t>
        </is>
      </c>
      <c r="F195" t="inlineStr">
        <is>
          <t>Sveaskog</t>
        </is>
      </c>
      <c r="G195" t="n">
        <v>3.5</v>
      </c>
      <c r="H195" t="n">
        <v>0</v>
      </c>
      <c r="I195" t="n">
        <v>0</v>
      </c>
      <c r="J195" t="n">
        <v>0</v>
      </c>
      <c r="K195" t="n">
        <v>0</v>
      </c>
      <c r="L195" t="n">
        <v>0</v>
      </c>
      <c r="M195" t="n">
        <v>0</v>
      </c>
      <c r="N195" t="n">
        <v>0</v>
      </c>
      <c r="O195" t="n">
        <v>0</v>
      </c>
      <c r="P195" t="n">
        <v>0</v>
      </c>
      <c r="Q195" t="n">
        <v>0</v>
      </c>
      <c r="R195" s="2" t="inlineStr"/>
    </row>
    <row r="196" ht="15" customHeight="1">
      <c r="A196" t="inlineStr">
        <is>
          <t>A 55606-2025</t>
        </is>
      </c>
      <c r="B196" s="1" t="n">
        <v>45971.79564814815</v>
      </c>
      <c r="C196" s="1" t="n">
        <v>46000</v>
      </c>
      <c r="D196" t="inlineStr">
        <is>
          <t>DALARNAS LÄN</t>
        </is>
      </c>
      <c r="E196" t="inlineStr">
        <is>
          <t>HEDEMORA</t>
        </is>
      </c>
      <c r="G196" t="n">
        <v>0.5</v>
      </c>
      <c r="H196" t="n">
        <v>0</v>
      </c>
      <c r="I196" t="n">
        <v>0</v>
      </c>
      <c r="J196" t="n">
        <v>0</v>
      </c>
      <c r="K196" t="n">
        <v>0</v>
      </c>
      <c r="L196" t="n">
        <v>0</v>
      </c>
      <c r="M196" t="n">
        <v>0</v>
      </c>
      <c r="N196" t="n">
        <v>0</v>
      </c>
      <c r="O196" t="n">
        <v>0</v>
      </c>
      <c r="P196" t="n">
        <v>0</v>
      </c>
      <c r="Q196" t="n">
        <v>0</v>
      </c>
      <c r="R196" s="2" t="inlineStr"/>
    </row>
    <row r="197" ht="15" customHeight="1">
      <c r="A197" t="inlineStr">
        <is>
          <t>A 32071-2021</t>
        </is>
      </c>
      <c r="B197" s="1" t="n">
        <v>44370.90546296296</v>
      </c>
      <c r="C197" s="1" t="n">
        <v>46000</v>
      </c>
      <c r="D197" t="inlineStr">
        <is>
          <t>DALARNAS LÄN</t>
        </is>
      </c>
      <c r="E197" t="inlineStr">
        <is>
          <t>HEDEMORA</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55159-2025</t>
        </is>
      </c>
      <c r="B198" s="1" t="n">
        <v>45968.46832175926</v>
      </c>
      <c r="C198" s="1" t="n">
        <v>46000</v>
      </c>
      <c r="D198" t="inlineStr">
        <is>
          <t>DALARNAS LÄN</t>
        </is>
      </c>
      <c r="E198" t="inlineStr">
        <is>
          <t>HEDEMORA</t>
        </is>
      </c>
      <c r="G198" t="n">
        <v>1.3</v>
      </c>
      <c r="H198" t="n">
        <v>0</v>
      </c>
      <c r="I198" t="n">
        <v>0</v>
      </c>
      <c r="J198" t="n">
        <v>0</v>
      </c>
      <c r="K198" t="n">
        <v>0</v>
      </c>
      <c r="L198" t="n">
        <v>0</v>
      </c>
      <c r="M198" t="n">
        <v>0</v>
      </c>
      <c r="N198" t="n">
        <v>0</v>
      </c>
      <c r="O198" t="n">
        <v>0</v>
      </c>
      <c r="P198" t="n">
        <v>0</v>
      </c>
      <c r="Q198" t="n">
        <v>0</v>
      </c>
      <c r="R198" s="2" t="inlineStr"/>
    </row>
    <row r="199" ht="15" customHeight="1">
      <c r="A199" t="inlineStr">
        <is>
          <t>A 29585-2024</t>
        </is>
      </c>
      <c r="B199" s="1" t="n">
        <v>45484.57728009259</v>
      </c>
      <c r="C199" s="1" t="n">
        <v>46000</v>
      </c>
      <c r="D199" t="inlineStr">
        <is>
          <t>DALARNAS LÄN</t>
        </is>
      </c>
      <c r="E199" t="inlineStr">
        <is>
          <t>HEDEMORA</t>
        </is>
      </c>
      <c r="F199" t="inlineStr">
        <is>
          <t>Bergvik skog väst AB</t>
        </is>
      </c>
      <c r="G199" t="n">
        <v>8.1</v>
      </c>
      <c r="H199" t="n">
        <v>0</v>
      </c>
      <c r="I199" t="n">
        <v>0</v>
      </c>
      <c r="J199" t="n">
        <v>0</v>
      </c>
      <c r="K199" t="n">
        <v>0</v>
      </c>
      <c r="L199" t="n">
        <v>0</v>
      </c>
      <c r="M199" t="n">
        <v>0</v>
      </c>
      <c r="N199" t="n">
        <v>0</v>
      </c>
      <c r="O199" t="n">
        <v>0</v>
      </c>
      <c r="P199" t="n">
        <v>0</v>
      </c>
      <c r="Q199" t="n">
        <v>0</v>
      </c>
      <c r="R199" s="2" t="inlineStr"/>
    </row>
    <row r="200" ht="15" customHeight="1">
      <c r="A200" t="inlineStr">
        <is>
          <t>A 55601-2025</t>
        </is>
      </c>
      <c r="B200" s="1" t="n">
        <v>45971.78122685185</v>
      </c>
      <c r="C200" s="1" t="n">
        <v>46000</v>
      </c>
      <c r="D200" t="inlineStr">
        <is>
          <t>DALARNAS LÄN</t>
        </is>
      </c>
      <c r="E200" t="inlineStr">
        <is>
          <t>HEDEMORA</t>
        </is>
      </c>
      <c r="G200" t="n">
        <v>3.2</v>
      </c>
      <c r="H200" t="n">
        <v>0</v>
      </c>
      <c r="I200" t="n">
        <v>0</v>
      </c>
      <c r="J200" t="n">
        <v>0</v>
      </c>
      <c r="K200" t="n">
        <v>0</v>
      </c>
      <c r="L200" t="n">
        <v>0</v>
      </c>
      <c r="M200" t="n">
        <v>0</v>
      </c>
      <c r="N200" t="n">
        <v>0</v>
      </c>
      <c r="O200" t="n">
        <v>0</v>
      </c>
      <c r="P200" t="n">
        <v>0</v>
      </c>
      <c r="Q200" t="n">
        <v>0</v>
      </c>
      <c r="R200" s="2" t="inlineStr"/>
    </row>
    <row r="201" ht="15" customHeight="1">
      <c r="A201" t="inlineStr">
        <is>
          <t>A 34734-2025</t>
        </is>
      </c>
      <c r="B201" s="1" t="n">
        <v>45848</v>
      </c>
      <c r="C201" s="1" t="n">
        <v>46000</v>
      </c>
      <c r="D201" t="inlineStr">
        <is>
          <t>DALARNAS LÄN</t>
        </is>
      </c>
      <c r="E201" t="inlineStr">
        <is>
          <t>HEDEMORA</t>
        </is>
      </c>
      <c r="G201" t="n">
        <v>2.5</v>
      </c>
      <c r="H201" t="n">
        <v>0</v>
      </c>
      <c r="I201" t="n">
        <v>0</v>
      </c>
      <c r="J201" t="n">
        <v>0</v>
      </c>
      <c r="K201" t="n">
        <v>0</v>
      </c>
      <c r="L201" t="n">
        <v>0</v>
      </c>
      <c r="M201" t="n">
        <v>0</v>
      </c>
      <c r="N201" t="n">
        <v>0</v>
      </c>
      <c r="O201" t="n">
        <v>0</v>
      </c>
      <c r="P201" t="n">
        <v>0</v>
      </c>
      <c r="Q201" t="n">
        <v>0</v>
      </c>
      <c r="R201" s="2" t="inlineStr"/>
    </row>
    <row r="202" ht="15" customHeight="1">
      <c r="A202" t="inlineStr">
        <is>
          <t>A 35103-2025</t>
        </is>
      </c>
      <c r="B202" s="1" t="n">
        <v>45852.56914351852</v>
      </c>
      <c r="C202" s="1" t="n">
        <v>46000</v>
      </c>
      <c r="D202" t="inlineStr">
        <is>
          <t>DALARNAS LÄN</t>
        </is>
      </c>
      <c r="E202" t="inlineStr">
        <is>
          <t>HEDEMORA</t>
        </is>
      </c>
      <c r="G202" t="n">
        <v>6.2</v>
      </c>
      <c r="H202" t="n">
        <v>0</v>
      </c>
      <c r="I202" t="n">
        <v>0</v>
      </c>
      <c r="J202" t="n">
        <v>0</v>
      </c>
      <c r="K202" t="n">
        <v>0</v>
      </c>
      <c r="L202" t="n">
        <v>0</v>
      </c>
      <c r="M202" t="n">
        <v>0</v>
      </c>
      <c r="N202" t="n">
        <v>0</v>
      </c>
      <c r="O202" t="n">
        <v>0</v>
      </c>
      <c r="P202" t="n">
        <v>0</v>
      </c>
      <c r="Q202" t="n">
        <v>0</v>
      </c>
      <c r="R202" s="2" t="inlineStr"/>
    </row>
    <row r="203" ht="15" customHeight="1">
      <c r="A203" t="inlineStr">
        <is>
          <t>A 30205-2022</t>
        </is>
      </c>
      <c r="B203" s="1" t="n">
        <v>44757.74415509259</v>
      </c>
      <c r="C203" s="1" t="n">
        <v>46000</v>
      </c>
      <c r="D203" t="inlineStr">
        <is>
          <t>DALARNAS LÄN</t>
        </is>
      </c>
      <c r="E203" t="inlineStr">
        <is>
          <t>HEDEMORA</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55917-2025</t>
        </is>
      </c>
      <c r="B204" s="1" t="n">
        <v>45973.41158564815</v>
      </c>
      <c r="C204" s="1" t="n">
        <v>46000</v>
      </c>
      <c r="D204" t="inlineStr">
        <is>
          <t>DALARNAS LÄN</t>
        </is>
      </c>
      <c r="E204" t="inlineStr">
        <is>
          <t>HEDEMORA</t>
        </is>
      </c>
      <c r="G204" t="n">
        <v>7.8</v>
      </c>
      <c r="H204" t="n">
        <v>0</v>
      </c>
      <c r="I204" t="n">
        <v>0</v>
      </c>
      <c r="J204" t="n">
        <v>0</v>
      </c>
      <c r="K204" t="n">
        <v>0</v>
      </c>
      <c r="L204" t="n">
        <v>0</v>
      </c>
      <c r="M204" t="n">
        <v>0</v>
      </c>
      <c r="N204" t="n">
        <v>0</v>
      </c>
      <c r="O204" t="n">
        <v>0</v>
      </c>
      <c r="P204" t="n">
        <v>0</v>
      </c>
      <c r="Q204" t="n">
        <v>0</v>
      </c>
      <c r="R204" s="2" t="inlineStr"/>
    </row>
    <row r="205" ht="15" customHeight="1">
      <c r="A205" t="inlineStr">
        <is>
          <t>A 53586-2023</t>
        </is>
      </c>
      <c r="B205" s="1" t="n">
        <v>45230.52603009259</v>
      </c>
      <c r="C205" s="1" t="n">
        <v>46000</v>
      </c>
      <c r="D205" t="inlineStr">
        <is>
          <t>DALARNAS LÄN</t>
        </is>
      </c>
      <c r="E205" t="inlineStr">
        <is>
          <t>HEDEMORA</t>
        </is>
      </c>
      <c r="G205" t="n">
        <v>2.4</v>
      </c>
      <c r="H205" t="n">
        <v>0</v>
      </c>
      <c r="I205" t="n">
        <v>0</v>
      </c>
      <c r="J205" t="n">
        <v>0</v>
      </c>
      <c r="K205" t="n">
        <v>0</v>
      </c>
      <c r="L205" t="n">
        <v>0</v>
      </c>
      <c r="M205" t="n">
        <v>0</v>
      </c>
      <c r="N205" t="n">
        <v>0</v>
      </c>
      <c r="O205" t="n">
        <v>0</v>
      </c>
      <c r="P205" t="n">
        <v>0</v>
      </c>
      <c r="Q205" t="n">
        <v>0</v>
      </c>
      <c r="R205" s="2" t="inlineStr"/>
    </row>
    <row r="206" ht="15" customHeight="1">
      <c r="A206" t="inlineStr">
        <is>
          <t>A 56070-2025</t>
        </is>
      </c>
      <c r="B206" s="1" t="n">
        <v>45973.65067129629</v>
      </c>
      <c r="C206" s="1" t="n">
        <v>46000</v>
      </c>
      <c r="D206" t="inlineStr">
        <is>
          <t>DALARNAS LÄN</t>
        </is>
      </c>
      <c r="E206" t="inlineStr">
        <is>
          <t>HEDEMORA</t>
        </is>
      </c>
      <c r="F206" t="inlineStr">
        <is>
          <t>Bergvik skog väst AB</t>
        </is>
      </c>
      <c r="G206" t="n">
        <v>5.4</v>
      </c>
      <c r="H206" t="n">
        <v>0</v>
      </c>
      <c r="I206" t="n">
        <v>0</v>
      </c>
      <c r="J206" t="n">
        <v>0</v>
      </c>
      <c r="K206" t="n">
        <v>0</v>
      </c>
      <c r="L206" t="n">
        <v>0</v>
      </c>
      <c r="M206" t="n">
        <v>0</v>
      </c>
      <c r="N206" t="n">
        <v>0</v>
      </c>
      <c r="O206" t="n">
        <v>0</v>
      </c>
      <c r="P206" t="n">
        <v>0</v>
      </c>
      <c r="Q206" t="n">
        <v>0</v>
      </c>
      <c r="R206" s="2" t="inlineStr"/>
    </row>
    <row r="207" ht="15" customHeight="1">
      <c r="A207" t="inlineStr">
        <is>
          <t>A 61533-2021</t>
        </is>
      </c>
      <c r="B207" s="1" t="n">
        <v>44501</v>
      </c>
      <c r="C207" s="1" t="n">
        <v>46000</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37573-2025</t>
        </is>
      </c>
      <c r="B208" s="1" t="n">
        <v>45880.37711805556</v>
      </c>
      <c r="C208" s="1" t="n">
        <v>46000</v>
      </c>
      <c r="D208" t="inlineStr">
        <is>
          <t>DALARNAS LÄN</t>
        </is>
      </c>
      <c r="E208" t="inlineStr">
        <is>
          <t>HEDEMORA</t>
        </is>
      </c>
      <c r="F208" t="inlineStr">
        <is>
          <t>Sveaskog</t>
        </is>
      </c>
      <c r="G208" t="n">
        <v>7</v>
      </c>
      <c r="H208" t="n">
        <v>0</v>
      </c>
      <c r="I208" t="n">
        <v>0</v>
      </c>
      <c r="J208" t="n">
        <v>0</v>
      </c>
      <c r="K208" t="n">
        <v>0</v>
      </c>
      <c r="L208" t="n">
        <v>0</v>
      </c>
      <c r="M208" t="n">
        <v>0</v>
      </c>
      <c r="N208" t="n">
        <v>0</v>
      </c>
      <c r="O208" t="n">
        <v>0</v>
      </c>
      <c r="P208" t="n">
        <v>0</v>
      </c>
      <c r="Q208" t="n">
        <v>0</v>
      </c>
      <c r="R208" s="2" t="inlineStr"/>
    </row>
    <row r="209" ht="15" customHeight="1">
      <c r="A209" t="inlineStr">
        <is>
          <t>A 15048-2025</t>
        </is>
      </c>
      <c r="B209" s="1" t="n">
        <v>45743.69820601852</v>
      </c>
      <c r="C209" s="1" t="n">
        <v>46000</v>
      </c>
      <c r="D209" t="inlineStr">
        <is>
          <t>DALARNAS LÄN</t>
        </is>
      </c>
      <c r="E209" t="inlineStr">
        <is>
          <t>HEDEMORA</t>
        </is>
      </c>
      <c r="F209" t="inlineStr">
        <is>
          <t>Sveaskog</t>
        </is>
      </c>
      <c r="G209" t="n">
        <v>9.1</v>
      </c>
      <c r="H209" t="n">
        <v>0</v>
      </c>
      <c r="I209" t="n">
        <v>0</v>
      </c>
      <c r="J209" t="n">
        <v>0</v>
      </c>
      <c r="K209" t="n">
        <v>0</v>
      </c>
      <c r="L209" t="n">
        <v>0</v>
      </c>
      <c r="M209" t="n">
        <v>0</v>
      </c>
      <c r="N209" t="n">
        <v>0</v>
      </c>
      <c r="O209" t="n">
        <v>0</v>
      </c>
      <c r="P209" t="n">
        <v>0</v>
      </c>
      <c r="Q209" t="n">
        <v>0</v>
      </c>
      <c r="R209" s="2" t="inlineStr"/>
    </row>
    <row r="210" ht="15" customHeight="1">
      <c r="A210" t="inlineStr">
        <is>
          <t>A 50333-2023</t>
        </is>
      </c>
      <c r="B210" s="1" t="n">
        <v>45216</v>
      </c>
      <c r="C210" s="1" t="n">
        <v>46000</v>
      </c>
      <c r="D210" t="inlineStr">
        <is>
          <t>DALARNAS LÄN</t>
        </is>
      </c>
      <c r="E210" t="inlineStr">
        <is>
          <t>HEDEMORA</t>
        </is>
      </c>
      <c r="G210" t="n">
        <v>1.1</v>
      </c>
      <c r="H210" t="n">
        <v>0</v>
      </c>
      <c r="I210" t="n">
        <v>0</v>
      </c>
      <c r="J210" t="n">
        <v>0</v>
      </c>
      <c r="K210" t="n">
        <v>0</v>
      </c>
      <c r="L210" t="n">
        <v>0</v>
      </c>
      <c r="M210" t="n">
        <v>0</v>
      </c>
      <c r="N210" t="n">
        <v>0</v>
      </c>
      <c r="O210" t="n">
        <v>0</v>
      </c>
      <c r="P210" t="n">
        <v>0</v>
      </c>
      <c r="Q210" t="n">
        <v>0</v>
      </c>
      <c r="R210" s="2" t="inlineStr"/>
    </row>
    <row r="211" ht="15" customHeight="1">
      <c r="A211" t="inlineStr">
        <is>
          <t>A 33287-2025</t>
        </is>
      </c>
      <c r="B211" s="1" t="n">
        <v>45840.81216435185</v>
      </c>
      <c r="C211" s="1" t="n">
        <v>46000</v>
      </c>
      <c r="D211" t="inlineStr">
        <is>
          <t>DALARNAS LÄN</t>
        </is>
      </c>
      <c r="E211" t="inlineStr">
        <is>
          <t>HEDEMORA</t>
        </is>
      </c>
      <c r="F211" t="inlineStr">
        <is>
          <t>Sveaskog</t>
        </is>
      </c>
      <c r="G211" t="n">
        <v>4.1</v>
      </c>
      <c r="H211" t="n">
        <v>0</v>
      </c>
      <c r="I211" t="n">
        <v>0</v>
      </c>
      <c r="J211" t="n">
        <v>0</v>
      </c>
      <c r="K211" t="n">
        <v>0</v>
      </c>
      <c r="L211" t="n">
        <v>0</v>
      </c>
      <c r="M211" t="n">
        <v>0</v>
      </c>
      <c r="N211" t="n">
        <v>0</v>
      </c>
      <c r="O211" t="n">
        <v>0</v>
      </c>
      <c r="P211" t="n">
        <v>0</v>
      </c>
      <c r="Q211" t="n">
        <v>0</v>
      </c>
      <c r="R211" s="2" t="inlineStr"/>
    </row>
    <row r="212" ht="15" customHeight="1">
      <c r="A212" t="inlineStr">
        <is>
          <t>A 15054-2025</t>
        </is>
      </c>
      <c r="B212" s="1" t="n">
        <v>45743.70199074074</v>
      </c>
      <c r="C212" s="1" t="n">
        <v>46000</v>
      </c>
      <c r="D212" t="inlineStr">
        <is>
          <t>DALARNAS LÄN</t>
        </is>
      </c>
      <c r="E212" t="inlineStr">
        <is>
          <t>HEDEMORA</t>
        </is>
      </c>
      <c r="F212" t="inlineStr">
        <is>
          <t>Sveaskog</t>
        </is>
      </c>
      <c r="G212" t="n">
        <v>5.2</v>
      </c>
      <c r="H212" t="n">
        <v>0</v>
      </c>
      <c r="I212" t="n">
        <v>0</v>
      </c>
      <c r="J212" t="n">
        <v>0</v>
      </c>
      <c r="K212" t="n">
        <v>0</v>
      </c>
      <c r="L212" t="n">
        <v>0</v>
      </c>
      <c r="M212" t="n">
        <v>0</v>
      </c>
      <c r="N212" t="n">
        <v>0</v>
      </c>
      <c r="O212" t="n">
        <v>0</v>
      </c>
      <c r="P212" t="n">
        <v>0</v>
      </c>
      <c r="Q212" t="n">
        <v>0</v>
      </c>
      <c r="R212" s="2" t="inlineStr"/>
    </row>
    <row r="213" ht="15" customHeight="1">
      <c r="A213" t="inlineStr">
        <is>
          <t>A 56676-2025</t>
        </is>
      </c>
      <c r="B213" s="1" t="n">
        <v>45975.7162962963</v>
      </c>
      <c r="C213" s="1" t="n">
        <v>46000</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56679-2025</t>
        </is>
      </c>
      <c r="B214" s="1" t="n">
        <v>45975.78238425926</v>
      </c>
      <c r="C214" s="1" t="n">
        <v>46000</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56378-2025</t>
        </is>
      </c>
      <c r="B215" s="1" t="n">
        <v>45974.70207175926</v>
      </c>
      <c r="C215" s="1" t="n">
        <v>46000</v>
      </c>
      <c r="D215" t="inlineStr">
        <is>
          <t>DALARNAS LÄN</t>
        </is>
      </c>
      <c r="E215" t="inlineStr">
        <is>
          <t>HEDEMORA</t>
        </is>
      </c>
      <c r="G215" t="n">
        <v>2.8</v>
      </c>
      <c r="H215" t="n">
        <v>0</v>
      </c>
      <c r="I215" t="n">
        <v>0</v>
      </c>
      <c r="J215" t="n">
        <v>0</v>
      </c>
      <c r="K215" t="n">
        <v>0</v>
      </c>
      <c r="L215" t="n">
        <v>0</v>
      </c>
      <c r="M215" t="n">
        <v>0</v>
      </c>
      <c r="N215" t="n">
        <v>0</v>
      </c>
      <c r="O215" t="n">
        <v>0</v>
      </c>
      <c r="P215" t="n">
        <v>0</v>
      </c>
      <c r="Q215" t="n">
        <v>0</v>
      </c>
      <c r="R215" s="2" t="inlineStr"/>
    </row>
    <row r="216" ht="15" customHeight="1">
      <c r="A216" t="inlineStr">
        <is>
          <t>A 48077-2025</t>
        </is>
      </c>
      <c r="B216" s="1" t="n">
        <v>45932.71114583333</v>
      </c>
      <c r="C216" s="1" t="n">
        <v>46000</v>
      </c>
      <c r="D216" t="inlineStr">
        <is>
          <t>DALARNAS LÄN</t>
        </is>
      </c>
      <c r="E216" t="inlineStr">
        <is>
          <t>HEDEMORA</t>
        </is>
      </c>
      <c r="G216" t="n">
        <v>1.8</v>
      </c>
      <c r="H216" t="n">
        <v>0</v>
      </c>
      <c r="I216" t="n">
        <v>0</v>
      </c>
      <c r="J216" t="n">
        <v>0</v>
      </c>
      <c r="K216" t="n">
        <v>0</v>
      </c>
      <c r="L216" t="n">
        <v>0</v>
      </c>
      <c r="M216" t="n">
        <v>0</v>
      </c>
      <c r="N216" t="n">
        <v>0</v>
      </c>
      <c r="O216" t="n">
        <v>0</v>
      </c>
      <c r="P216" t="n">
        <v>0</v>
      </c>
      <c r="Q216" t="n">
        <v>0</v>
      </c>
      <c r="R216" s="2" t="inlineStr"/>
    </row>
    <row r="217" ht="15" customHeight="1">
      <c r="A217" t="inlineStr">
        <is>
          <t>A 48238-2025</t>
        </is>
      </c>
      <c r="B217" s="1" t="n">
        <v>45933.53237268519</v>
      </c>
      <c r="C217" s="1" t="n">
        <v>46000</v>
      </c>
      <c r="D217" t="inlineStr">
        <is>
          <t>DALARNAS LÄN</t>
        </is>
      </c>
      <c r="E217" t="inlineStr">
        <is>
          <t>HEDEMORA</t>
        </is>
      </c>
      <c r="G217" t="n">
        <v>1.3</v>
      </c>
      <c r="H217" t="n">
        <v>0</v>
      </c>
      <c r="I217" t="n">
        <v>0</v>
      </c>
      <c r="J217" t="n">
        <v>0</v>
      </c>
      <c r="K217" t="n">
        <v>0</v>
      </c>
      <c r="L217" t="n">
        <v>0</v>
      </c>
      <c r="M217" t="n">
        <v>0</v>
      </c>
      <c r="N217" t="n">
        <v>0</v>
      </c>
      <c r="O217" t="n">
        <v>0</v>
      </c>
      <c r="P217" t="n">
        <v>0</v>
      </c>
      <c r="Q217" t="n">
        <v>0</v>
      </c>
      <c r="R217" s="2" t="inlineStr"/>
    </row>
    <row r="218" ht="15" customHeight="1">
      <c r="A218" t="inlineStr">
        <is>
          <t>A 47841-2025</t>
        </is>
      </c>
      <c r="B218" s="1" t="n">
        <v>45932.37429398148</v>
      </c>
      <c r="C218" s="1" t="n">
        <v>46000</v>
      </c>
      <c r="D218" t="inlineStr">
        <is>
          <t>DALARNAS LÄN</t>
        </is>
      </c>
      <c r="E218" t="inlineStr">
        <is>
          <t>HEDEMORA</t>
        </is>
      </c>
      <c r="G218" t="n">
        <v>3</v>
      </c>
      <c r="H218" t="n">
        <v>0</v>
      </c>
      <c r="I218" t="n">
        <v>0</v>
      </c>
      <c r="J218" t="n">
        <v>0</v>
      </c>
      <c r="K218" t="n">
        <v>0</v>
      </c>
      <c r="L218" t="n">
        <v>0</v>
      </c>
      <c r="M218" t="n">
        <v>0</v>
      </c>
      <c r="N218" t="n">
        <v>0</v>
      </c>
      <c r="O218" t="n">
        <v>0</v>
      </c>
      <c r="P218" t="n">
        <v>0</v>
      </c>
      <c r="Q218" t="n">
        <v>0</v>
      </c>
      <c r="R218" s="2" t="inlineStr"/>
    </row>
    <row r="219" ht="15" customHeight="1">
      <c r="A219" t="inlineStr">
        <is>
          <t>A 36075-2025</t>
        </is>
      </c>
      <c r="B219" s="1" t="n">
        <v>45866.43974537037</v>
      </c>
      <c r="C219" s="1" t="n">
        <v>46000</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7916-2024</t>
        </is>
      </c>
      <c r="B220" s="1" t="n">
        <v>45350.46259259259</v>
      </c>
      <c r="C220" s="1" t="n">
        <v>46000</v>
      </c>
      <c r="D220" t="inlineStr">
        <is>
          <t>DALARNAS LÄN</t>
        </is>
      </c>
      <c r="E220" t="inlineStr">
        <is>
          <t>HEDEMORA</t>
        </is>
      </c>
      <c r="G220" t="n">
        <v>5.8</v>
      </c>
      <c r="H220" t="n">
        <v>0</v>
      </c>
      <c r="I220" t="n">
        <v>0</v>
      </c>
      <c r="J220" t="n">
        <v>0</v>
      </c>
      <c r="K220" t="n">
        <v>0</v>
      </c>
      <c r="L220" t="n">
        <v>0</v>
      </c>
      <c r="M220" t="n">
        <v>0</v>
      </c>
      <c r="N220" t="n">
        <v>0</v>
      </c>
      <c r="O220" t="n">
        <v>0</v>
      </c>
      <c r="P220" t="n">
        <v>0</v>
      </c>
      <c r="Q220" t="n">
        <v>0</v>
      </c>
      <c r="R220" s="2" t="inlineStr"/>
    </row>
    <row r="221" ht="15" customHeight="1">
      <c r="A221" t="inlineStr">
        <is>
          <t>A 36103-2025</t>
        </is>
      </c>
      <c r="B221" s="1" t="n">
        <v>45866.55335648148</v>
      </c>
      <c r="C221" s="1" t="n">
        <v>46000</v>
      </c>
      <c r="D221" t="inlineStr">
        <is>
          <t>DALARNAS LÄN</t>
        </is>
      </c>
      <c r="E221" t="inlineStr">
        <is>
          <t>HEDEMORA</t>
        </is>
      </c>
      <c r="G221" t="n">
        <v>2.3</v>
      </c>
      <c r="H221" t="n">
        <v>0</v>
      </c>
      <c r="I221" t="n">
        <v>0</v>
      </c>
      <c r="J221" t="n">
        <v>0</v>
      </c>
      <c r="K221" t="n">
        <v>0</v>
      </c>
      <c r="L221" t="n">
        <v>0</v>
      </c>
      <c r="M221" t="n">
        <v>0</v>
      </c>
      <c r="N221" t="n">
        <v>0</v>
      </c>
      <c r="O221" t="n">
        <v>0</v>
      </c>
      <c r="P221" t="n">
        <v>0</v>
      </c>
      <c r="Q221" t="n">
        <v>0</v>
      </c>
      <c r="R221" s="2" t="inlineStr"/>
    </row>
    <row r="222" ht="15" customHeight="1">
      <c r="A222" t="inlineStr">
        <is>
          <t>A 36117-2025</t>
        </is>
      </c>
      <c r="B222" s="1" t="n">
        <v>45866.58664351852</v>
      </c>
      <c r="C222" s="1" t="n">
        <v>46000</v>
      </c>
      <c r="D222" t="inlineStr">
        <is>
          <t>DALARNAS LÄN</t>
        </is>
      </c>
      <c r="E222" t="inlineStr">
        <is>
          <t>HEDEMORA</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48076-2025</t>
        </is>
      </c>
      <c r="B223" s="1" t="n">
        <v>45932.7075</v>
      </c>
      <c r="C223" s="1" t="n">
        <v>46000</v>
      </c>
      <c r="D223" t="inlineStr">
        <is>
          <t>DALARNAS LÄN</t>
        </is>
      </c>
      <c r="E223" t="inlineStr">
        <is>
          <t>HEDEMORA</t>
        </is>
      </c>
      <c r="G223" t="n">
        <v>5.1</v>
      </c>
      <c r="H223" t="n">
        <v>0</v>
      </c>
      <c r="I223" t="n">
        <v>0</v>
      </c>
      <c r="J223" t="n">
        <v>0</v>
      </c>
      <c r="K223" t="n">
        <v>0</v>
      </c>
      <c r="L223" t="n">
        <v>0</v>
      </c>
      <c r="M223" t="n">
        <v>0</v>
      </c>
      <c r="N223" t="n">
        <v>0</v>
      </c>
      <c r="O223" t="n">
        <v>0</v>
      </c>
      <c r="P223" t="n">
        <v>0</v>
      </c>
      <c r="Q223" t="n">
        <v>0</v>
      </c>
      <c r="R223" s="2" t="inlineStr"/>
    </row>
    <row r="224" ht="15" customHeight="1">
      <c r="A224" t="inlineStr">
        <is>
          <t>A 36206-2025</t>
        </is>
      </c>
      <c r="B224" s="1" t="n">
        <v>45867.45057870371</v>
      </c>
      <c r="C224" s="1" t="n">
        <v>46000</v>
      </c>
      <c r="D224" t="inlineStr">
        <is>
          <t>DALARNAS LÄN</t>
        </is>
      </c>
      <c r="E224" t="inlineStr">
        <is>
          <t>HEDEMORA</t>
        </is>
      </c>
      <c r="G224" t="n">
        <v>0.1</v>
      </c>
      <c r="H224" t="n">
        <v>0</v>
      </c>
      <c r="I224" t="n">
        <v>0</v>
      </c>
      <c r="J224" t="n">
        <v>0</v>
      </c>
      <c r="K224" t="n">
        <v>0</v>
      </c>
      <c r="L224" t="n">
        <v>0</v>
      </c>
      <c r="M224" t="n">
        <v>0</v>
      </c>
      <c r="N224" t="n">
        <v>0</v>
      </c>
      <c r="O224" t="n">
        <v>0</v>
      </c>
      <c r="P224" t="n">
        <v>0</v>
      </c>
      <c r="Q224" t="n">
        <v>0</v>
      </c>
      <c r="R224" s="2" t="inlineStr"/>
    </row>
    <row r="225" ht="15" customHeight="1">
      <c r="A225" t="inlineStr">
        <is>
          <t>A 48381-2025</t>
        </is>
      </c>
      <c r="B225" s="1" t="n">
        <v>45933.81800925926</v>
      </c>
      <c r="C225" s="1" t="n">
        <v>46000</v>
      </c>
      <c r="D225" t="inlineStr">
        <is>
          <t>DALARNAS LÄN</t>
        </is>
      </c>
      <c r="E225" t="inlineStr">
        <is>
          <t>HEDEMORA</t>
        </is>
      </c>
      <c r="F225" t="inlineStr">
        <is>
          <t>Sveaskog</t>
        </is>
      </c>
      <c r="G225" t="n">
        <v>6.3</v>
      </c>
      <c r="H225" t="n">
        <v>0</v>
      </c>
      <c r="I225" t="n">
        <v>0</v>
      </c>
      <c r="J225" t="n">
        <v>0</v>
      </c>
      <c r="K225" t="n">
        <v>0</v>
      </c>
      <c r="L225" t="n">
        <v>0</v>
      </c>
      <c r="M225" t="n">
        <v>0</v>
      </c>
      <c r="N225" t="n">
        <v>0</v>
      </c>
      <c r="O225" t="n">
        <v>0</v>
      </c>
      <c r="P225" t="n">
        <v>0</v>
      </c>
      <c r="Q225" t="n">
        <v>0</v>
      </c>
      <c r="R225" s="2" t="inlineStr"/>
    </row>
    <row r="226" ht="15" customHeight="1">
      <c r="A226" t="inlineStr">
        <is>
          <t>A 36656-2025</t>
        </is>
      </c>
      <c r="B226" s="1" t="n">
        <v>45873.34642361111</v>
      </c>
      <c r="C226" s="1" t="n">
        <v>46000</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20271-2025</t>
        </is>
      </c>
      <c r="B227" s="1" t="n">
        <v>45773.71568287037</v>
      </c>
      <c r="C227" s="1" t="n">
        <v>46000</v>
      </c>
      <c r="D227" t="inlineStr">
        <is>
          <t>DALARNAS LÄN</t>
        </is>
      </c>
      <c r="E227" t="inlineStr">
        <is>
          <t>HEDEMORA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20273-2025</t>
        </is>
      </c>
      <c r="B228" s="1" t="n">
        <v>45773.71921296296</v>
      </c>
      <c r="C228" s="1" t="n">
        <v>46000</v>
      </c>
      <c r="D228" t="inlineStr">
        <is>
          <t>DALARNAS LÄN</t>
        </is>
      </c>
      <c r="E228" t="inlineStr">
        <is>
          <t>HEDEMORA</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29128-2025</t>
        </is>
      </c>
      <c r="B229" s="1" t="n">
        <v>45821.60116898148</v>
      </c>
      <c r="C229" s="1" t="n">
        <v>46000</v>
      </c>
      <c r="D229" t="inlineStr">
        <is>
          <t>DALARNAS LÄN</t>
        </is>
      </c>
      <c r="E229" t="inlineStr">
        <is>
          <t>HEDEMORA</t>
        </is>
      </c>
      <c r="F229" t="inlineStr">
        <is>
          <t>Sveaskog</t>
        </is>
      </c>
      <c r="G229" t="n">
        <v>15.5</v>
      </c>
      <c r="H229" t="n">
        <v>0</v>
      </c>
      <c r="I229" t="n">
        <v>0</v>
      </c>
      <c r="J229" t="n">
        <v>0</v>
      </c>
      <c r="K229" t="n">
        <v>0</v>
      </c>
      <c r="L229" t="n">
        <v>0</v>
      </c>
      <c r="M229" t="n">
        <v>0</v>
      </c>
      <c r="N229" t="n">
        <v>0</v>
      </c>
      <c r="O229" t="n">
        <v>0</v>
      </c>
      <c r="P229" t="n">
        <v>0</v>
      </c>
      <c r="Q229" t="n">
        <v>0</v>
      </c>
      <c r="R229" s="2" t="inlineStr"/>
    </row>
    <row r="230" ht="15" customHeight="1">
      <c r="A230" t="inlineStr">
        <is>
          <t>A 29792-2025</t>
        </is>
      </c>
      <c r="B230" s="1" t="n">
        <v>45825.66416666667</v>
      </c>
      <c r="C230" s="1" t="n">
        <v>46000</v>
      </c>
      <c r="D230" t="inlineStr">
        <is>
          <t>DALARNAS LÄN</t>
        </is>
      </c>
      <c r="E230" t="inlineStr">
        <is>
          <t>HEDEMORA</t>
        </is>
      </c>
      <c r="F230" t="inlineStr">
        <is>
          <t>Sveaskog</t>
        </is>
      </c>
      <c r="G230" t="n">
        <v>26.3</v>
      </c>
      <c r="H230" t="n">
        <v>0</v>
      </c>
      <c r="I230" t="n">
        <v>0</v>
      </c>
      <c r="J230" t="n">
        <v>0</v>
      </c>
      <c r="K230" t="n">
        <v>0</v>
      </c>
      <c r="L230" t="n">
        <v>0</v>
      </c>
      <c r="M230" t="n">
        <v>0</v>
      </c>
      <c r="N230" t="n">
        <v>0</v>
      </c>
      <c r="O230" t="n">
        <v>0</v>
      </c>
      <c r="P230" t="n">
        <v>0</v>
      </c>
      <c r="Q230" t="n">
        <v>0</v>
      </c>
      <c r="R230" s="2" t="inlineStr"/>
    </row>
    <row r="231" ht="15" customHeight="1">
      <c r="A231" t="inlineStr">
        <is>
          <t>A 21864-2025</t>
        </is>
      </c>
      <c r="B231" s="1" t="n">
        <v>45784</v>
      </c>
      <c r="C231" s="1" t="n">
        <v>46000</v>
      </c>
      <c r="D231" t="inlineStr">
        <is>
          <t>DALARNAS LÄN</t>
        </is>
      </c>
      <c r="E231" t="inlineStr">
        <is>
          <t>HEDEMORA</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37574-2025</t>
        </is>
      </c>
      <c r="B232" s="1" t="n">
        <v>45880.37949074074</v>
      </c>
      <c r="C232" s="1" t="n">
        <v>46000</v>
      </c>
      <c r="D232" t="inlineStr">
        <is>
          <t>DALARNAS LÄN</t>
        </is>
      </c>
      <c r="E232" t="inlineStr">
        <is>
          <t>HEDEMORA</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19690-2025</t>
        </is>
      </c>
      <c r="B233" s="1" t="n">
        <v>45770</v>
      </c>
      <c r="C233" s="1" t="n">
        <v>46000</v>
      </c>
      <c r="D233" t="inlineStr">
        <is>
          <t>DALARNAS LÄN</t>
        </is>
      </c>
      <c r="E233" t="inlineStr">
        <is>
          <t>HEDEMORA</t>
        </is>
      </c>
      <c r="G233" t="n">
        <v>1.6</v>
      </c>
      <c r="H233" t="n">
        <v>0</v>
      </c>
      <c r="I233" t="n">
        <v>0</v>
      </c>
      <c r="J233" t="n">
        <v>0</v>
      </c>
      <c r="K233" t="n">
        <v>0</v>
      </c>
      <c r="L233" t="n">
        <v>0</v>
      </c>
      <c r="M233" t="n">
        <v>0</v>
      </c>
      <c r="N233" t="n">
        <v>0</v>
      </c>
      <c r="O233" t="n">
        <v>0</v>
      </c>
      <c r="P233" t="n">
        <v>0</v>
      </c>
      <c r="Q233" t="n">
        <v>0</v>
      </c>
      <c r="R233" s="2" t="inlineStr"/>
    </row>
    <row r="234" ht="15" customHeight="1">
      <c r="A234" t="inlineStr">
        <is>
          <t>A 34409-2022</t>
        </is>
      </c>
      <c r="B234" s="1" t="n">
        <v>44792</v>
      </c>
      <c r="C234" s="1" t="n">
        <v>46000</v>
      </c>
      <c r="D234" t="inlineStr">
        <is>
          <t>DALARNAS LÄN</t>
        </is>
      </c>
      <c r="E234" t="inlineStr">
        <is>
          <t>HEDEMORA</t>
        </is>
      </c>
      <c r="G234" t="n">
        <v>13.7</v>
      </c>
      <c r="H234" t="n">
        <v>0</v>
      </c>
      <c r="I234" t="n">
        <v>0</v>
      </c>
      <c r="J234" t="n">
        <v>0</v>
      </c>
      <c r="K234" t="n">
        <v>0</v>
      </c>
      <c r="L234" t="n">
        <v>0</v>
      </c>
      <c r="M234" t="n">
        <v>0</v>
      </c>
      <c r="N234" t="n">
        <v>0</v>
      </c>
      <c r="O234" t="n">
        <v>0</v>
      </c>
      <c r="P234" t="n">
        <v>0</v>
      </c>
      <c r="Q234" t="n">
        <v>0</v>
      </c>
      <c r="R234" s="2" t="inlineStr"/>
    </row>
    <row r="235" ht="15" customHeight="1">
      <c r="A235" t="inlineStr">
        <is>
          <t>A 57563-2025</t>
        </is>
      </c>
      <c r="B235" s="1" t="n">
        <v>45980.70671296296</v>
      </c>
      <c r="C235" s="1" t="n">
        <v>46000</v>
      </c>
      <c r="D235" t="inlineStr">
        <is>
          <t>DALARNAS LÄN</t>
        </is>
      </c>
      <c r="E235" t="inlineStr">
        <is>
          <t>HEDEMORA</t>
        </is>
      </c>
      <c r="F235" t="inlineStr">
        <is>
          <t>Sveaskog</t>
        </is>
      </c>
      <c r="G235" t="n">
        <v>5.8</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44438.72253472222</v>
      </c>
      <c r="C236" s="1" t="n">
        <v>46000</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21868-2025</t>
        </is>
      </c>
      <c r="B237" s="1" t="n">
        <v>45784</v>
      </c>
      <c r="C237" s="1" t="n">
        <v>46000</v>
      </c>
      <c r="D237" t="inlineStr">
        <is>
          <t>DALARNAS LÄN</t>
        </is>
      </c>
      <c r="E237" t="inlineStr">
        <is>
          <t>HEDEMORA</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58020-2025</t>
        </is>
      </c>
      <c r="B238" s="1" t="n">
        <v>45982.47819444445</v>
      </c>
      <c r="C238" s="1" t="n">
        <v>46000</v>
      </c>
      <c r="D238" t="inlineStr">
        <is>
          <t>DALARNAS LÄN</t>
        </is>
      </c>
      <c r="E238" t="inlineStr">
        <is>
          <t>HEDEMORA</t>
        </is>
      </c>
      <c r="G238" t="n">
        <v>0.6</v>
      </c>
      <c r="H238" t="n">
        <v>0</v>
      </c>
      <c r="I238" t="n">
        <v>0</v>
      </c>
      <c r="J238" t="n">
        <v>0</v>
      </c>
      <c r="K238" t="n">
        <v>0</v>
      </c>
      <c r="L238" t="n">
        <v>0</v>
      </c>
      <c r="M238" t="n">
        <v>0</v>
      </c>
      <c r="N238" t="n">
        <v>0</v>
      </c>
      <c r="O238" t="n">
        <v>0</v>
      </c>
      <c r="P238" t="n">
        <v>0</v>
      </c>
      <c r="Q238" t="n">
        <v>0</v>
      </c>
      <c r="R238" s="2" t="inlineStr"/>
    </row>
    <row r="239" ht="15" customHeight="1">
      <c r="A239" t="inlineStr">
        <is>
          <t>A 34932-2024</t>
        </is>
      </c>
      <c r="B239" s="1" t="n">
        <v>45527.45431712963</v>
      </c>
      <c r="C239" s="1" t="n">
        <v>46000</v>
      </c>
      <c r="D239" t="inlineStr">
        <is>
          <t>DALARNAS LÄN</t>
        </is>
      </c>
      <c r="E239" t="inlineStr">
        <is>
          <t>HEDEMORA</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49942-2025</t>
        </is>
      </c>
      <c r="B240" s="1" t="n">
        <v>45940.69508101852</v>
      </c>
      <c r="C240" s="1" t="n">
        <v>46000</v>
      </c>
      <c r="D240" t="inlineStr">
        <is>
          <t>DALARNAS LÄN</t>
        </is>
      </c>
      <c r="E240" t="inlineStr">
        <is>
          <t>HEDEMORA</t>
        </is>
      </c>
      <c r="G240" t="n">
        <v>2</v>
      </c>
      <c r="H240" t="n">
        <v>0</v>
      </c>
      <c r="I240" t="n">
        <v>0</v>
      </c>
      <c r="J240" t="n">
        <v>0</v>
      </c>
      <c r="K240" t="n">
        <v>0</v>
      </c>
      <c r="L240" t="n">
        <v>0</v>
      </c>
      <c r="M240" t="n">
        <v>0</v>
      </c>
      <c r="N240" t="n">
        <v>0</v>
      </c>
      <c r="O240" t="n">
        <v>0</v>
      </c>
      <c r="P240" t="n">
        <v>0</v>
      </c>
      <c r="Q240" t="n">
        <v>0</v>
      </c>
      <c r="R240" s="2" t="inlineStr"/>
    </row>
    <row r="241" ht="15" customHeight="1">
      <c r="A241" t="inlineStr">
        <is>
          <t>A 50040-2025</t>
        </is>
      </c>
      <c r="B241" s="1" t="n">
        <v>45943.40377314815</v>
      </c>
      <c r="C241" s="1" t="n">
        <v>46000</v>
      </c>
      <c r="D241" t="inlineStr">
        <is>
          <t>DALARNAS LÄN</t>
        </is>
      </c>
      <c r="E241" t="inlineStr">
        <is>
          <t>HEDEMORA</t>
        </is>
      </c>
      <c r="G241" t="n">
        <v>0.6</v>
      </c>
      <c r="H241" t="n">
        <v>0</v>
      </c>
      <c r="I241" t="n">
        <v>0</v>
      </c>
      <c r="J241" t="n">
        <v>0</v>
      </c>
      <c r="K241" t="n">
        <v>0</v>
      </c>
      <c r="L241" t="n">
        <v>0</v>
      </c>
      <c r="M241" t="n">
        <v>0</v>
      </c>
      <c r="N241" t="n">
        <v>0</v>
      </c>
      <c r="O241" t="n">
        <v>0</v>
      </c>
      <c r="P241" t="n">
        <v>0</v>
      </c>
      <c r="Q241" t="n">
        <v>0</v>
      </c>
      <c r="R241" s="2" t="inlineStr"/>
    </row>
    <row r="242" ht="15" customHeight="1">
      <c r="A242" t="inlineStr">
        <is>
          <t>A 50043-2025</t>
        </is>
      </c>
      <c r="B242" s="1" t="n">
        <v>45943.40546296296</v>
      </c>
      <c r="C242" s="1" t="n">
        <v>46000</v>
      </c>
      <c r="D242" t="inlineStr">
        <is>
          <t>DALARNAS LÄN</t>
        </is>
      </c>
      <c r="E242" t="inlineStr">
        <is>
          <t>HEDEMORA</t>
        </is>
      </c>
      <c r="G242" t="n">
        <v>0.8</v>
      </c>
      <c r="H242" t="n">
        <v>0</v>
      </c>
      <c r="I242" t="n">
        <v>0</v>
      </c>
      <c r="J242" t="n">
        <v>0</v>
      </c>
      <c r="K242" t="n">
        <v>0</v>
      </c>
      <c r="L242" t="n">
        <v>0</v>
      </c>
      <c r="M242" t="n">
        <v>0</v>
      </c>
      <c r="N242" t="n">
        <v>0</v>
      </c>
      <c r="O242" t="n">
        <v>0</v>
      </c>
      <c r="P242" t="n">
        <v>0</v>
      </c>
      <c r="Q242" t="n">
        <v>0</v>
      </c>
      <c r="R242" s="2" t="inlineStr"/>
    </row>
    <row r="243" ht="15" customHeight="1">
      <c r="A243" t="inlineStr">
        <is>
          <t>A 50038-2025</t>
        </is>
      </c>
      <c r="B243" s="1" t="n">
        <v>45943.40084490741</v>
      </c>
      <c r="C243" s="1" t="n">
        <v>46000</v>
      </c>
      <c r="D243" t="inlineStr">
        <is>
          <t>DALARNAS LÄN</t>
        </is>
      </c>
      <c r="E243" t="inlineStr">
        <is>
          <t>HEDEMORA</t>
        </is>
      </c>
      <c r="G243" t="n">
        <v>2.9</v>
      </c>
      <c r="H243" t="n">
        <v>0</v>
      </c>
      <c r="I243" t="n">
        <v>0</v>
      </c>
      <c r="J243" t="n">
        <v>0</v>
      </c>
      <c r="K243" t="n">
        <v>0</v>
      </c>
      <c r="L243" t="n">
        <v>0</v>
      </c>
      <c r="M243" t="n">
        <v>0</v>
      </c>
      <c r="N243" t="n">
        <v>0</v>
      </c>
      <c r="O243" t="n">
        <v>0</v>
      </c>
      <c r="P243" t="n">
        <v>0</v>
      </c>
      <c r="Q243" t="n">
        <v>0</v>
      </c>
      <c r="R243" s="2" t="inlineStr"/>
    </row>
    <row r="244" ht="15" customHeight="1">
      <c r="A244" t="inlineStr">
        <is>
          <t>A 50101-2025</t>
        </is>
      </c>
      <c r="B244" s="1" t="n">
        <v>45943.53317129629</v>
      </c>
      <c r="C244" s="1" t="n">
        <v>46000</v>
      </c>
      <c r="D244" t="inlineStr">
        <is>
          <t>DALARNAS LÄN</t>
        </is>
      </c>
      <c r="E244" t="inlineStr">
        <is>
          <t>HEDEMORA</t>
        </is>
      </c>
      <c r="G244" t="n">
        <v>3.5</v>
      </c>
      <c r="H244" t="n">
        <v>0</v>
      </c>
      <c r="I244" t="n">
        <v>0</v>
      </c>
      <c r="J244" t="n">
        <v>0</v>
      </c>
      <c r="K244" t="n">
        <v>0</v>
      </c>
      <c r="L244" t="n">
        <v>0</v>
      </c>
      <c r="M244" t="n">
        <v>0</v>
      </c>
      <c r="N244" t="n">
        <v>0</v>
      </c>
      <c r="O244" t="n">
        <v>0</v>
      </c>
      <c r="P244" t="n">
        <v>0</v>
      </c>
      <c r="Q244" t="n">
        <v>0</v>
      </c>
      <c r="R244" s="2" t="inlineStr"/>
    </row>
    <row r="245" ht="15" customHeight="1">
      <c r="A245" t="inlineStr">
        <is>
          <t>A 49772-2025</t>
        </is>
      </c>
      <c r="B245" s="1" t="n">
        <v>45940.37288194444</v>
      </c>
      <c r="C245" s="1" t="n">
        <v>46000</v>
      </c>
      <c r="D245" t="inlineStr">
        <is>
          <t>DALARNAS LÄN</t>
        </is>
      </c>
      <c r="E245" t="inlineStr">
        <is>
          <t>HEDEMORA</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50115-2025</t>
        </is>
      </c>
      <c r="B246" s="1" t="n">
        <v>45943.54636574074</v>
      </c>
      <c r="C246" s="1" t="n">
        <v>46000</v>
      </c>
      <c r="D246" t="inlineStr">
        <is>
          <t>DALARNAS LÄN</t>
        </is>
      </c>
      <c r="E246" t="inlineStr">
        <is>
          <t>HEDEMORA</t>
        </is>
      </c>
      <c r="G246" t="n">
        <v>1.1</v>
      </c>
      <c r="H246" t="n">
        <v>0</v>
      </c>
      <c r="I246" t="n">
        <v>0</v>
      </c>
      <c r="J246" t="n">
        <v>0</v>
      </c>
      <c r="K246" t="n">
        <v>0</v>
      </c>
      <c r="L246" t="n">
        <v>0</v>
      </c>
      <c r="M246" t="n">
        <v>0</v>
      </c>
      <c r="N246" t="n">
        <v>0</v>
      </c>
      <c r="O246" t="n">
        <v>0</v>
      </c>
      <c r="P246" t="n">
        <v>0</v>
      </c>
      <c r="Q246" t="n">
        <v>0</v>
      </c>
      <c r="R246" s="2" t="inlineStr"/>
    </row>
    <row r="247" ht="15" customHeight="1">
      <c r="A247" t="inlineStr">
        <is>
          <t>A 50078-2025</t>
        </is>
      </c>
      <c r="B247" s="1" t="n">
        <v>45943</v>
      </c>
      <c r="C247" s="1" t="n">
        <v>46000</v>
      </c>
      <c r="D247" t="inlineStr">
        <is>
          <t>DALARNAS LÄN</t>
        </is>
      </c>
      <c r="E247" t="inlineStr">
        <is>
          <t>HEDEMORA</t>
        </is>
      </c>
      <c r="G247" t="n">
        <v>2.5</v>
      </c>
      <c r="H247" t="n">
        <v>0</v>
      </c>
      <c r="I247" t="n">
        <v>0</v>
      </c>
      <c r="J247" t="n">
        <v>0</v>
      </c>
      <c r="K247" t="n">
        <v>0</v>
      </c>
      <c r="L247" t="n">
        <v>0</v>
      </c>
      <c r="M247" t="n">
        <v>0</v>
      </c>
      <c r="N247" t="n">
        <v>0</v>
      </c>
      <c r="O247" t="n">
        <v>0</v>
      </c>
      <c r="P247" t="n">
        <v>0</v>
      </c>
      <c r="Q247" t="n">
        <v>0</v>
      </c>
      <c r="R247" s="2" t="inlineStr"/>
    </row>
    <row r="248" ht="15" customHeight="1">
      <c r="A248" t="inlineStr">
        <is>
          <t>A 49771-2025</t>
        </is>
      </c>
      <c r="B248" s="1" t="n">
        <v>45940.36981481482</v>
      </c>
      <c r="C248" s="1" t="n">
        <v>46000</v>
      </c>
      <c r="D248" t="inlineStr">
        <is>
          <t>DALARNAS LÄN</t>
        </is>
      </c>
      <c r="E248" t="inlineStr">
        <is>
          <t>HEDEMORA</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29303-2023</t>
        </is>
      </c>
      <c r="B249" s="1" t="n">
        <v>45105</v>
      </c>
      <c r="C249" s="1" t="n">
        <v>46000</v>
      </c>
      <c r="D249" t="inlineStr">
        <is>
          <t>DALARNAS LÄN</t>
        </is>
      </c>
      <c r="E249" t="inlineStr">
        <is>
          <t>HEDEMORA</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59232-2023</t>
        </is>
      </c>
      <c r="B250" s="1" t="n">
        <v>45253.5053587963</v>
      </c>
      <c r="C250" s="1" t="n">
        <v>46000</v>
      </c>
      <c r="D250" t="inlineStr">
        <is>
          <t>DALARNAS LÄN</t>
        </is>
      </c>
      <c r="E250" t="inlineStr">
        <is>
          <t>HEDEMORA</t>
        </is>
      </c>
      <c r="G250" t="n">
        <v>3.7</v>
      </c>
      <c r="H250" t="n">
        <v>0</v>
      </c>
      <c r="I250" t="n">
        <v>0</v>
      </c>
      <c r="J250" t="n">
        <v>0</v>
      </c>
      <c r="K250" t="n">
        <v>0</v>
      </c>
      <c r="L250" t="n">
        <v>0</v>
      </c>
      <c r="M250" t="n">
        <v>0</v>
      </c>
      <c r="N250" t="n">
        <v>0</v>
      </c>
      <c r="O250" t="n">
        <v>0</v>
      </c>
      <c r="P250" t="n">
        <v>0</v>
      </c>
      <c r="Q250" t="n">
        <v>0</v>
      </c>
      <c r="R250" s="2" t="inlineStr"/>
    </row>
    <row r="251" ht="15" customHeight="1">
      <c r="A251" t="inlineStr">
        <is>
          <t>A 58705-2025</t>
        </is>
      </c>
      <c r="B251" s="1" t="n">
        <v>45986.60056712963</v>
      </c>
      <c r="C251" s="1" t="n">
        <v>46000</v>
      </c>
      <c r="D251" t="inlineStr">
        <is>
          <t>DALARNAS LÄN</t>
        </is>
      </c>
      <c r="E251" t="inlineStr">
        <is>
          <t>HEDEMORA</t>
        </is>
      </c>
      <c r="G251" t="n">
        <v>3</v>
      </c>
      <c r="H251" t="n">
        <v>0</v>
      </c>
      <c r="I251" t="n">
        <v>0</v>
      </c>
      <c r="J251" t="n">
        <v>0</v>
      </c>
      <c r="K251" t="n">
        <v>0</v>
      </c>
      <c r="L251" t="n">
        <v>0</v>
      </c>
      <c r="M251" t="n">
        <v>0</v>
      </c>
      <c r="N251" t="n">
        <v>0</v>
      </c>
      <c r="O251" t="n">
        <v>0</v>
      </c>
      <c r="P251" t="n">
        <v>0</v>
      </c>
      <c r="Q251" t="n">
        <v>0</v>
      </c>
      <c r="R251" s="2" t="inlineStr"/>
    </row>
    <row r="252" ht="15" customHeight="1">
      <c r="A252" t="inlineStr">
        <is>
          <t>A 3089-2024</t>
        </is>
      </c>
      <c r="B252" s="1" t="n">
        <v>45316</v>
      </c>
      <c r="C252" s="1" t="n">
        <v>46000</v>
      </c>
      <c r="D252" t="inlineStr">
        <is>
          <t>DALARNAS LÄN</t>
        </is>
      </c>
      <c r="E252" t="inlineStr">
        <is>
          <t>HEDEMORA</t>
        </is>
      </c>
      <c r="G252" t="n">
        <v>5.5</v>
      </c>
      <c r="H252" t="n">
        <v>0</v>
      </c>
      <c r="I252" t="n">
        <v>0</v>
      </c>
      <c r="J252" t="n">
        <v>0</v>
      </c>
      <c r="K252" t="n">
        <v>0</v>
      </c>
      <c r="L252" t="n">
        <v>0</v>
      </c>
      <c r="M252" t="n">
        <v>0</v>
      </c>
      <c r="N252" t="n">
        <v>0</v>
      </c>
      <c r="O252" t="n">
        <v>0</v>
      </c>
      <c r="P252" t="n">
        <v>0</v>
      </c>
      <c r="Q252" t="n">
        <v>0</v>
      </c>
      <c r="R252" s="2" t="inlineStr"/>
    </row>
    <row r="253" ht="15" customHeight="1">
      <c r="A253" t="inlineStr">
        <is>
          <t>A 29587-2024</t>
        </is>
      </c>
      <c r="B253" s="1" t="n">
        <v>45484.5799537037</v>
      </c>
      <c r="C253" s="1" t="n">
        <v>46000</v>
      </c>
      <c r="D253" t="inlineStr">
        <is>
          <t>DALARNAS LÄN</t>
        </is>
      </c>
      <c r="E253" t="inlineStr">
        <is>
          <t>HEDEMORA</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59295-2025</t>
        </is>
      </c>
      <c r="B254" s="1" t="n">
        <v>45988.77284722222</v>
      </c>
      <c r="C254" s="1" t="n">
        <v>46000</v>
      </c>
      <c r="D254" t="inlineStr">
        <is>
          <t>DALARNAS LÄN</t>
        </is>
      </c>
      <c r="E254" t="inlineStr">
        <is>
          <t>HEDEMORA</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53584-2023</t>
        </is>
      </c>
      <c r="B255" s="1" t="n">
        <v>45230</v>
      </c>
      <c r="C255" s="1" t="n">
        <v>46000</v>
      </c>
      <c r="D255" t="inlineStr">
        <is>
          <t>DALARNAS LÄN</t>
        </is>
      </c>
      <c r="E255" t="inlineStr">
        <is>
          <t>HEDEMORA</t>
        </is>
      </c>
      <c r="G255" t="n">
        <v>6.6</v>
      </c>
      <c r="H255" t="n">
        <v>0</v>
      </c>
      <c r="I255" t="n">
        <v>0</v>
      </c>
      <c r="J255" t="n">
        <v>0</v>
      </c>
      <c r="K255" t="n">
        <v>0</v>
      </c>
      <c r="L255" t="n">
        <v>0</v>
      </c>
      <c r="M255" t="n">
        <v>0</v>
      </c>
      <c r="N255" t="n">
        <v>0</v>
      </c>
      <c r="O255" t="n">
        <v>0</v>
      </c>
      <c r="P255" t="n">
        <v>0</v>
      </c>
      <c r="Q255" t="n">
        <v>0</v>
      </c>
      <c r="R255" s="2" t="inlineStr"/>
    </row>
    <row r="256" ht="15" customHeight="1">
      <c r="A256" t="inlineStr">
        <is>
          <t>A 60786-2023</t>
        </is>
      </c>
      <c r="B256" s="1" t="n">
        <v>45260.64891203704</v>
      </c>
      <c r="C256" s="1" t="n">
        <v>46000</v>
      </c>
      <c r="D256" t="inlineStr">
        <is>
          <t>DALARNAS LÄN</t>
        </is>
      </c>
      <c r="E256" t="inlineStr">
        <is>
          <t>HEDEMORA</t>
        </is>
      </c>
      <c r="G256" t="n">
        <v>7.1</v>
      </c>
      <c r="H256" t="n">
        <v>0</v>
      </c>
      <c r="I256" t="n">
        <v>0</v>
      </c>
      <c r="J256" t="n">
        <v>0</v>
      </c>
      <c r="K256" t="n">
        <v>0</v>
      </c>
      <c r="L256" t="n">
        <v>0</v>
      </c>
      <c r="M256" t="n">
        <v>0</v>
      </c>
      <c r="N256" t="n">
        <v>0</v>
      </c>
      <c r="O256" t="n">
        <v>0</v>
      </c>
      <c r="P256" t="n">
        <v>0</v>
      </c>
      <c r="Q256" t="n">
        <v>0</v>
      </c>
      <c r="R256" s="2" t="inlineStr"/>
    </row>
    <row r="257" ht="15" customHeight="1">
      <c r="A257" t="inlineStr">
        <is>
          <t>A 59350-2025</t>
        </is>
      </c>
      <c r="B257" s="1" t="n">
        <v>45989.40451388889</v>
      </c>
      <c r="C257" s="1" t="n">
        <v>46000</v>
      </c>
      <c r="D257" t="inlineStr">
        <is>
          <t>DALARNAS LÄN</t>
        </is>
      </c>
      <c r="E257" t="inlineStr">
        <is>
          <t>HEDEMORA</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26612-2021</t>
        </is>
      </c>
      <c r="B258" s="1" t="n">
        <v>44348.64942129629</v>
      </c>
      <c r="C258" s="1" t="n">
        <v>46000</v>
      </c>
      <c r="D258" t="inlineStr">
        <is>
          <t>DALARNAS LÄN</t>
        </is>
      </c>
      <c r="E258" t="inlineStr">
        <is>
          <t>HEDEMORA</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51615-2025</t>
        </is>
      </c>
      <c r="B259" s="1" t="n">
        <v>45951.40246527778</v>
      </c>
      <c r="C259" s="1" t="n">
        <v>46000</v>
      </c>
      <c r="D259" t="inlineStr">
        <is>
          <t>DALARNAS LÄN</t>
        </is>
      </c>
      <c r="E259" t="inlineStr">
        <is>
          <t>HEDEMORA</t>
        </is>
      </c>
      <c r="G259" t="n">
        <v>1.8</v>
      </c>
      <c r="H259" t="n">
        <v>0</v>
      </c>
      <c r="I259" t="n">
        <v>0</v>
      </c>
      <c r="J259" t="n">
        <v>0</v>
      </c>
      <c r="K259" t="n">
        <v>0</v>
      </c>
      <c r="L259" t="n">
        <v>0</v>
      </c>
      <c r="M259" t="n">
        <v>0</v>
      </c>
      <c r="N259" t="n">
        <v>0</v>
      </c>
      <c r="O259" t="n">
        <v>0</v>
      </c>
      <c r="P259" t="n">
        <v>0</v>
      </c>
      <c r="Q259" t="n">
        <v>0</v>
      </c>
      <c r="R259" s="2" t="inlineStr"/>
    </row>
    <row r="260" ht="15" customHeight="1">
      <c r="A260" t="inlineStr">
        <is>
          <t>A 57745-2024</t>
        </is>
      </c>
      <c r="B260" s="1" t="n">
        <v>45630.77605324074</v>
      </c>
      <c r="C260" s="1" t="n">
        <v>46000</v>
      </c>
      <c r="D260" t="inlineStr">
        <is>
          <t>DALARNAS LÄN</t>
        </is>
      </c>
      <c r="E260" t="inlineStr">
        <is>
          <t>HEDEMORA</t>
        </is>
      </c>
      <c r="G260" t="n">
        <v>1.1</v>
      </c>
      <c r="H260" t="n">
        <v>0</v>
      </c>
      <c r="I260" t="n">
        <v>0</v>
      </c>
      <c r="J260" t="n">
        <v>0</v>
      </c>
      <c r="K260" t="n">
        <v>0</v>
      </c>
      <c r="L260" t="n">
        <v>0</v>
      </c>
      <c r="M260" t="n">
        <v>0</v>
      </c>
      <c r="N260" t="n">
        <v>0</v>
      </c>
      <c r="O260" t="n">
        <v>0</v>
      </c>
      <c r="P260" t="n">
        <v>0</v>
      </c>
      <c r="Q260" t="n">
        <v>0</v>
      </c>
      <c r="R260" s="2" t="inlineStr"/>
    </row>
    <row r="261" ht="15" customHeight="1">
      <c r="A261" t="inlineStr">
        <is>
          <t>A 59581-2025</t>
        </is>
      </c>
      <c r="B261" s="1" t="n">
        <v>45992.31182870371</v>
      </c>
      <c r="C261" s="1" t="n">
        <v>46000</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51695-2025</t>
        </is>
      </c>
      <c r="B262" s="1" t="n">
        <v>45951.54824074074</v>
      </c>
      <c r="C262" s="1" t="n">
        <v>46000</v>
      </c>
      <c r="D262" t="inlineStr">
        <is>
          <t>DALARNAS LÄN</t>
        </is>
      </c>
      <c r="E262" t="inlineStr">
        <is>
          <t>HEDEMORA</t>
        </is>
      </c>
      <c r="G262" t="n">
        <v>2.1</v>
      </c>
      <c r="H262" t="n">
        <v>0</v>
      </c>
      <c r="I262" t="n">
        <v>0</v>
      </c>
      <c r="J262" t="n">
        <v>0</v>
      </c>
      <c r="K262" t="n">
        <v>0</v>
      </c>
      <c r="L262" t="n">
        <v>0</v>
      </c>
      <c r="M262" t="n">
        <v>0</v>
      </c>
      <c r="N262" t="n">
        <v>0</v>
      </c>
      <c r="O262" t="n">
        <v>0</v>
      </c>
      <c r="P262" t="n">
        <v>0</v>
      </c>
      <c r="Q262" t="n">
        <v>0</v>
      </c>
      <c r="R262" s="2" t="inlineStr"/>
    </row>
    <row r="263" ht="15" customHeight="1">
      <c r="A263" t="inlineStr">
        <is>
          <t>A 59582-2025</t>
        </is>
      </c>
      <c r="B263" s="1" t="n">
        <v>45992.31405092592</v>
      </c>
      <c r="C263" s="1" t="n">
        <v>46000</v>
      </c>
      <c r="D263" t="inlineStr">
        <is>
          <t>DALARNAS LÄN</t>
        </is>
      </c>
      <c r="E263" t="inlineStr">
        <is>
          <t>HEDEMORA</t>
        </is>
      </c>
      <c r="G263" t="n">
        <v>3.9</v>
      </c>
      <c r="H263" t="n">
        <v>0</v>
      </c>
      <c r="I263" t="n">
        <v>0</v>
      </c>
      <c r="J263" t="n">
        <v>0</v>
      </c>
      <c r="K263" t="n">
        <v>0</v>
      </c>
      <c r="L263" t="n">
        <v>0</v>
      </c>
      <c r="M263" t="n">
        <v>0</v>
      </c>
      <c r="N263" t="n">
        <v>0</v>
      </c>
      <c r="O263" t="n">
        <v>0</v>
      </c>
      <c r="P263" t="n">
        <v>0</v>
      </c>
      <c r="Q263" t="n">
        <v>0</v>
      </c>
      <c r="R263" s="2" t="inlineStr"/>
    </row>
    <row r="264" ht="15" customHeight="1">
      <c r="A264" t="inlineStr">
        <is>
          <t>A 48254-2023</t>
        </is>
      </c>
      <c r="B264" s="1" t="n">
        <v>45205.53241898148</v>
      </c>
      <c r="C264" s="1" t="n">
        <v>46000</v>
      </c>
      <c r="D264" t="inlineStr">
        <is>
          <t>DALARNAS LÄN</t>
        </is>
      </c>
      <c r="E264" t="inlineStr">
        <is>
          <t>HEDEMORA</t>
        </is>
      </c>
      <c r="F264" t="inlineStr">
        <is>
          <t>Sveaskog</t>
        </is>
      </c>
      <c r="G264" t="n">
        <v>1.5</v>
      </c>
      <c r="H264" t="n">
        <v>0</v>
      </c>
      <c r="I264" t="n">
        <v>0</v>
      </c>
      <c r="J264" t="n">
        <v>0</v>
      </c>
      <c r="K264" t="n">
        <v>0</v>
      </c>
      <c r="L264" t="n">
        <v>0</v>
      </c>
      <c r="M264" t="n">
        <v>0</v>
      </c>
      <c r="N264" t="n">
        <v>0</v>
      </c>
      <c r="O264" t="n">
        <v>0</v>
      </c>
      <c r="P264" t="n">
        <v>0</v>
      </c>
      <c r="Q264" t="n">
        <v>0</v>
      </c>
      <c r="R264" s="2" t="inlineStr"/>
      <c r="U264">
        <f>HYPERLINK("https://klasma.github.io/Logging_2083/knärot/A 48254-2023 karta knärot.png", "A 48254-2023")</f>
        <v/>
      </c>
      <c r="V264">
        <f>HYPERLINK("https://klasma.github.io/Logging_2083/klagomål/A 48254-2023 FSC-klagomål.docx", "A 48254-2023")</f>
        <v/>
      </c>
      <c r="W264">
        <f>HYPERLINK("https://klasma.github.io/Logging_2083/klagomålsmail/A 48254-2023 FSC-klagomål mail.docx", "A 48254-2023")</f>
        <v/>
      </c>
      <c r="X264">
        <f>HYPERLINK("https://klasma.github.io/Logging_2083/tillsyn/A 48254-2023 tillsynsbegäran.docx", "A 48254-2023")</f>
        <v/>
      </c>
      <c r="Y264">
        <f>HYPERLINK("https://klasma.github.io/Logging_2083/tillsynsmail/A 48254-2023 tillsynsbegäran mail.docx", "A 48254-2023")</f>
        <v/>
      </c>
    </row>
    <row r="265" ht="15" customHeight="1">
      <c r="A265" t="inlineStr">
        <is>
          <t>A 52328-2025</t>
        </is>
      </c>
      <c r="B265" s="1" t="n">
        <v>45953.67157407408</v>
      </c>
      <c r="C265" s="1" t="n">
        <v>46000</v>
      </c>
      <c r="D265" t="inlineStr">
        <is>
          <t>DALARNAS LÄN</t>
        </is>
      </c>
      <c r="E265" t="inlineStr">
        <is>
          <t>HEDEMORA</t>
        </is>
      </c>
      <c r="F265" t="inlineStr">
        <is>
          <t>Sveaskog</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65057-2023</t>
        </is>
      </c>
      <c r="B266" s="1" t="n">
        <v>45287</v>
      </c>
      <c r="C266" s="1" t="n">
        <v>46000</v>
      </c>
      <c r="D266" t="inlineStr">
        <is>
          <t>DALARNAS LÄN</t>
        </is>
      </c>
      <c r="E266" t="inlineStr">
        <is>
          <t>HEDEMORA</t>
        </is>
      </c>
      <c r="G266" t="n">
        <v>1.8</v>
      </c>
      <c r="H266" t="n">
        <v>0</v>
      </c>
      <c r="I266" t="n">
        <v>0</v>
      </c>
      <c r="J266" t="n">
        <v>0</v>
      </c>
      <c r="K266" t="n">
        <v>0</v>
      </c>
      <c r="L266" t="n">
        <v>0</v>
      </c>
      <c r="M266" t="n">
        <v>0</v>
      </c>
      <c r="N266" t="n">
        <v>0</v>
      </c>
      <c r="O266" t="n">
        <v>0</v>
      </c>
      <c r="P266" t="n">
        <v>0</v>
      </c>
      <c r="Q266" t="n">
        <v>0</v>
      </c>
      <c r="R266" s="2" t="inlineStr"/>
    </row>
    <row r="267" ht="15" customHeight="1">
      <c r="A267" t="inlineStr">
        <is>
          <t>A 52714-2025</t>
        </is>
      </c>
      <c r="B267" s="1" t="n">
        <v>45953</v>
      </c>
      <c r="C267" s="1" t="n">
        <v>46000</v>
      </c>
      <c r="D267" t="inlineStr">
        <is>
          <t>DALARNAS LÄN</t>
        </is>
      </c>
      <c r="E267" t="inlineStr">
        <is>
          <t>HEDEMORA</t>
        </is>
      </c>
      <c r="F267" t="inlineStr">
        <is>
          <t>Bergvik skog väst AB</t>
        </is>
      </c>
      <c r="G267" t="n">
        <v>14.7</v>
      </c>
      <c r="H267" t="n">
        <v>0</v>
      </c>
      <c r="I267" t="n">
        <v>0</v>
      </c>
      <c r="J267" t="n">
        <v>0</v>
      </c>
      <c r="K267" t="n">
        <v>0</v>
      </c>
      <c r="L267" t="n">
        <v>0</v>
      </c>
      <c r="M267" t="n">
        <v>0</v>
      </c>
      <c r="N267" t="n">
        <v>0</v>
      </c>
      <c r="O267" t="n">
        <v>0</v>
      </c>
      <c r="P267" t="n">
        <v>0</v>
      </c>
      <c r="Q267" t="n">
        <v>0</v>
      </c>
      <c r="R267" s="2" t="inlineStr"/>
    </row>
    <row r="268" ht="15" customHeight="1">
      <c r="A268" t="inlineStr">
        <is>
          <t>A 51943-2025</t>
        </is>
      </c>
      <c r="B268" s="1" t="n">
        <v>45952</v>
      </c>
      <c r="C268" s="1" t="n">
        <v>46000</v>
      </c>
      <c r="D268" t="inlineStr">
        <is>
          <t>DALARNAS LÄN</t>
        </is>
      </c>
      <c r="E268" t="inlineStr">
        <is>
          <t>HEDEMORA</t>
        </is>
      </c>
      <c r="G268" t="n">
        <v>4.5</v>
      </c>
      <c r="H268" t="n">
        <v>0</v>
      </c>
      <c r="I268" t="n">
        <v>0</v>
      </c>
      <c r="J268" t="n">
        <v>0</v>
      </c>
      <c r="K268" t="n">
        <v>0</v>
      </c>
      <c r="L268" t="n">
        <v>0</v>
      </c>
      <c r="M268" t="n">
        <v>0</v>
      </c>
      <c r="N268" t="n">
        <v>0</v>
      </c>
      <c r="O268" t="n">
        <v>0</v>
      </c>
      <c r="P268" t="n">
        <v>0</v>
      </c>
      <c r="Q268" t="n">
        <v>0</v>
      </c>
      <c r="R268" s="2" t="inlineStr"/>
    </row>
    <row r="269" ht="15" customHeight="1">
      <c r="A269" t="inlineStr">
        <is>
          <t>A 52316-2025</t>
        </is>
      </c>
      <c r="B269" s="1" t="n">
        <v>45953.65537037037</v>
      </c>
      <c r="C269" s="1" t="n">
        <v>46000</v>
      </c>
      <c r="D269" t="inlineStr">
        <is>
          <t>DALARNAS LÄN</t>
        </is>
      </c>
      <c r="E269" t="inlineStr">
        <is>
          <t>HEDEMORA</t>
        </is>
      </c>
      <c r="F269" t="inlineStr">
        <is>
          <t>Sveaskog</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52325-2025</t>
        </is>
      </c>
      <c r="B270" s="1" t="n">
        <v>45953.67032407408</v>
      </c>
      <c r="C270" s="1" t="n">
        <v>46000</v>
      </c>
      <c r="D270" t="inlineStr">
        <is>
          <t>DALARNAS LÄN</t>
        </is>
      </c>
      <c r="E270" t="inlineStr">
        <is>
          <t>HEDEMORA</t>
        </is>
      </c>
      <c r="F270" t="inlineStr">
        <is>
          <t>Sveaskog</t>
        </is>
      </c>
      <c r="G270" t="n">
        <v>3.2</v>
      </c>
      <c r="H270" t="n">
        <v>0</v>
      </c>
      <c r="I270" t="n">
        <v>0</v>
      </c>
      <c r="J270" t="n">
        <v>0</v>
      </c>
      <c r="K270" t="n">
        <v>0</v>
      </c>
      <c r="L270" t="n">
        <v>0</v>
      </c>
      <c r="M270" t="n">
        <v>0</v>
      </c>
      <c r="N270" t="n">
        <v>0</v>
      </c>
      <c r="O270" t="n">
        <v>0</v>
      </c>
      <c r="P270" t="n">
        <v>0</v>
      </c>
      <c r="Q270" t="n">
        <v>0</v>
      </c>
      <c r="R270" s="2" t="inlineStr"/>
    </row>
    <row r="271" ht="15" customHeight="1">
      <c r="A271" t="inlineStr">
        <is>
          <t>A 60445-2025</t>
        </is>
      </c>
      <c r="B271" s="1" t="n">
        <v>45995.4909837963</v>
      </c>
      <c r="C271" s="1" t="n">
        <v>46000</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52759-2025</t>
        </is>
      </c>
      <c r="B272" s="1" t="n">
        <v>45957.39364583333</v>
      </c>
      <c r="C272" s="1" t="n">
        <v>46000</v>
      </c>
      <c r="D272" t="inlineStr">
        <is>
          <t>DALARNAS LÄN</t>
        </is>
      </c>
      <c r="E272" t="inlineStr">
        <is>
          <t>HEDEMORA</t>
        </is>
      </c>
      <c r="G272" t="n">
        <v>0.8</v>
      </c>
      <c r="H272" t="n">
        <v>0</v>
      </c>
      <c r="I272" t="n">
        <v>0</v>
      </c>
      <c r="J272" t="n">
        <v>0</v>
      </c>
      <c r="K272" t="n">
        <v>0</v>
      </c>
      <c r="L272" t="n">
        <v>0</v>
      </c>
      <c r="M272" t="n">
        <v>0</v>
      </c>
      <c r="N272" t="n">
        <v>0</v>
      </c>
      <c r="O272" t="n">
        <v>0</v>
      </c>
      <c r="P272" t="n">
        <v>0</v>
      </c>
      <c r="Q272" t="n">
        <v>0</v>
      </c>
      <c r="R272" s="2" t="inlineStr"/>
    </row>
    <row r="273" ht="15" customHeight="1">
      <c r="A273" t="inlineStr">
        <is>
          <t>A 55832-2024</t>
        </is>
      </c>
      <c r="B273" s="1" t="n">
        <v>45623.48604166666</v>
      </c>
      <c r="C273" s="1" t="n">
        <v>46000</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60774-2022</t>
        </is>
      </c>
      <c r="B274" s="1" t="n">
        <v>44914.37917824074</v>
      </c>
      <c r="C274" s="1" t="n">
        <v>46000</v>
      </c>
      <c r="D274" t="inlineStr">
        <is>
          <t>DALARNAS LÄN</t>
        </is>
      </c>
      <c r="E274" t="inlineStr">
        <is>
          <t>HEDEMORA</t>
        </is>
      </c>
      <c r="G274" t="n">
        <v>11.5</v>
      </c>
      <c r="H274" t="n">
        <v>0</v>
      </c>
      <c r="I274" t="n">
        <v>0</v>
      </c>
      <c r="J274" t="n">
        <v>0</v>
      </c>
      <c r="K274" t="n">
        <v>0</v>
      </c>
      <c r="L274" t="n">
        <v>0</v>
      </c>
      <c r="M274" t="n">
        <v>0</v>
      </c>
      <c r="N274" t="n">
        <v>0</v>
      </c>
      <c r="O274" t="n">
        <v>0</v>
      </c>
      <c r="P274" t="n">
        <v>0</v>
      </c>
      <c r="Q274" t="n">
        <v>0</v>
      </c>
      <c r="R274" s="2" t="inlineStr"/>
    </row>
    <row r="275" ht="15" customHeight="1">
      <c r="A275" t="inlineStr">
        <is>
          <t>A 26449-2024</t>
        </is>
      </c>
      <c r="B275" s="1" t="n">
        <v>45469.50783564815</v>
      </c>
      <c r="C275" s="1" t="n">
        <v>46000</v>
      </c>
      <c r="D275" t="inlineStr">
        <is>
          <t>DALARNAS LÄN</t>
        </is>
      </c>
      <c r="E275" t="inlineStr">
        <is>
          <t>HEDEMORA</t>
        </is>
      </c>
      <c r="G275" t="n">
        <v>4.5</v>
      </c>
      <c r="H275" t="n">
        <v>0</v>
      </c>
      <c r="I275" t="n">
        <v>0</v>
      </c>
      <c r="J275" t="n">
        <v>0</v>
      </c>
      <c r="K275" t="n">
        <v>0</v>
      </c>
      <c r="L275" t="n">
        <v>0</v>
      </c>
      <c r="M275" t="n">
        <v>0</v>
      </c>
      <c r="N275" t="n">
        <v>0</v>
      </c>
      <c r="O275" t="n">
        <v>0</v>
      </c>
      <c r="P275" t="n">
        <v>0</v>
      </c>
      <c r="Q275" t="n">
        <v>0</v>
      </c>
      <c r="R275" s="2" t="inlineStr"/>
    </row>
    <row r="276" ht="15" customHeight="1">
      <c r="A276" t="inlineStr">
        <is>
          <t>A 52853-2025</t>
        </is>
      </c>
      <c r="B276" s="1" t="n">
        <v>45957.49408564815</v>
      </c>
      <c r="C276" s="1" t="n">
        <v>46000</v>
      </c>
      <c r="D276" t="inlineStr">
        <is>
          <t>DALARNAS LÄN</t>
        </is>
      </c>
      <c r="E276" t="inlineStr">
        <is>
          <t>HEDEMORA</t>
        </is>
      </c>
      <c r="G276" t="n">
        <v>1.5</v>
      </c>
      <c r="H276" t="n">
        <v>0</v>
      </c>
      <c r="I276" t="n">
        <v>0</v>
      </c>
      <c r="J276" t="n">
        <v>0</v>
      </c>
      <c r="K276" t="n">
        <v>0</v>
      </c>
      <c r="L276" t="n">
        <v>0</v>
      </c>
      <c r="M276" t="n">
        <v>0</v>
      </c>
      <c r="N276" t="n">
        <v>0</v>
      </c>
      <c r="O276" t="n">
        <v>0</v>
      </c>
      <c r="P276" t="n">
        <v>0</v>
      </c>
      <c r="Q276" t="n">
        <v>0</v>
      </c>
      <c r="R276" s="2" t="inlineStr"/>
    </row>
    <row r="277" ht="15" customHeight="1">
      <c r="A277" t="inlineStr">
        <is>
          <t>A 42894-2024</t>
        </is>
      </c>
      <c r="B277" s="1" t="n">
        <v>45566.82304398148</v>
      </c>
      <c r="C277" s="1" t="n">
        <v>46000</v>
      </c>
      <c r="D277" t="inlineStr">
        <is>
          <t>DALARNAS LÄN</t>
        </is>
      </c>
      <c r="E277" t="inlineStr">
        <is>
          <t>HEDEMORA</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42895-2024</t>
        </is>
      </c>
      <c r="B278" s="1" t="n">
        <v>45566.82385416667</v>
      </c>
      <c r="C278" s="1" t="n">
        <v>46000</v>
      </c>
      <c r="D278" t="inlineStr">
        <is>
          <t>DALARNAS LÄN</t>
        </is>
      </c>
      <c r="E278" t="inlineStr">
        <is>
          <t>HEDEMORA</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31365-2024</t>
        </is>
      </c>
      <c r="B279" s="1" t="n">
        <v>45505.37086805556</v>
      </c>
      <c r="C279" s="1" t="n">
        <v>46000</v>
      </c>
      <c r="D279" t="inlineStr">
        <is>
          <t>DALARNAS LÄN</t>
        </is>
      </c>
      <c r="E279" t="inlineStr">
        <is>
          <t>HEDEMORA</t>
        </is>
      </c>
      <c r="G279" t="n">
        <v>0.4</v>
      </c>
      <c r="H279" t="n">
        <v>0</v>
      </c>
      <c r="I279" t="n">
        <v>0</v>
      </c>
      <c r="J279" t="n">
        <v>0</v>
      </c>
      <c r="K279" t="n">
        <v>0</v>
      </c>
      <c r="L279" t="n">
        <v>0</v>
      </c>
      <c r="M279" t="n">
        <v>0</v>
      </c>
      <c r="N279" t="n">
        <v>0</v>
      </c>
      <c r="O279" t="n">
        <v>0</v>
      </c>
      <c r="P279" t="n">
        <v>0</v>
      </c>
      <c r="Q279" t="n">
        <v>0</v>
      </c>
      <c r="R279" s="2" t="inlineStr"/>
    </row>
    <row r="280" ht="15" customHeight="1">
      <c r="A280" t="inlineStr">
        <is>
          <t>A 36935-2024</t>
        </is>
      </c>
      <c r="B280" s="1" t="n">
        <v>45538.56925925926</v>
      </c>
      <c r="C280" s="1" t="n">
        <v>46000</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29640-2024</t>
        </is>
      </c>
      <c r="B281" s="1" t="n">
        <v>45484.69837962963</v>
      </c>
      <c r="C281" s="1" t="n">
        <v>46000</v>
      </c>
      <c r="D281" t="inlineStr">
        <is>
          <t>DALARNAS LÄN</t>
        </is>
      </c>
      <c r="E281" t="inlineStr">
        <is>
          <t>HEDEMORA</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12136-2025</t>
        </is>
      </c>
      <c r="B282" s="1" t="n">
        <v>45729.39300925926</v>
      </c>
      <c r="C282" s="1" t="n">
        <v>46000</v>
      </c>
      <c r="D282" t="inlineStr">
        <is>
          <t>DALARNAS LÄN</t>
        </is>
      </c>
      <c r="E282" t="inlineStr">
        <is>
          <t>HEDEMORA</t>
        </is>
      </c>
      <c r="G282" t="n">
        <v>1.5</v>
      </c>
      <c r="H282" t="n">
        <v>0</v>
      </c>
      <c r="I282" t="n">
        <v>0</v>
      </c>
      <c r="J282" t="n">
        <v>0</v>
      </c>
      <c r="K282" t="n">
        <v>0</v>
      </c>
      <c r="L282" t="n">
        <v>0</v>
      </c>
      <c r="M282" t="n">
        <v>0</v>
      </c>
      <c r="N282" t="n">
        <v>0</v>
      </c>
      <c r="O282" t="n">
        <v>0</v>
      </c>
      <c r="P282" t="n">
        <v>0</v>
      </c>
      <c r="Q282" t="n">
        <v>0</v>
      </c>
      <c r="R282" s="2" t="inlineStr"/>
    </row>
    <row r="283" ht="15" customHeight="1">
      <c r="A283" t="inlineStr">
        <is>
          <t>A 20666-2024</t>
        </is>
      </c>
      <c r="B283" s="1" t="n">
        <v>45436</v>
      </c>
      <c r="C283" s="1" t="n">
        <v>46000</v>
      </c>
      <c r="D283" t="inlineStr">
        <is>
          <t>DALARNAS LÄN</t>
        </is>
      </c>
      <c r="E283" t="inlineStr">
        <is>
          <t>HEDEMORA</t>
        </is>
      </c>
      <c r="G283" t="n">
        <v>5.1</v>
      </c>
      <c r="H283" t="n">
        <v>0</v>
      </c>
      <c r="I283" t="n">
        <v>0</v>
      </c>
      <c r="J283" t="n">
        <v>0</v>
      </c>
      <c r="K283" t="n">
        <v>0</v>
      </c>
      <c r="L283" t="n">
        <v>0</v>
      </c>
      <c r="M283" t="n">
        <v>0</v>
      </c>
      <c r="N283" t="n">
        <v>0</v>
      </c>
      <c r="O283" t="n">
        <v>0</v>
      </c>
      <c r="P283" t="n">
        <v>0</v>
      </c>
      <c r="Q283" t="n">
        <v>0</v>
      </c>
      <c r="R283" s="2" t="inlineStr"/>
    </row>
    <row r="284" ht="15" customHeight="1">
      <c r="A284" t="inlineStr">
        <is>
          <t>A 6441-2021</t>
        </is>
      </c>
      <c r="B284" s="1" t="n">
        <v>44235</v>
      </c>
      <c r="C284" s="1" t="n">
        <v>46000</v>
      </c>
      <c r="D284" t="inlineStr">
        <is>
          <t>DALARNAS LÄN</t>
        </is>
      </c>
      <c r="E284" t="inlineStr">
        <is>
          <t>HEDEMORA</t>
        </is>
      </c>
      <c r="G284" t="n">
        <v>0.7</v>
      </c>
      <c r="H284" t="n">
        <v>0</v>
      </c>
      <c r="I284" t="n">
        <v>0</v>
      </c>
      <c r="J284" t="n">
        <v>0</v>
      </c>
      <c r="K284" t="n">
        <v>0</v>
      </c>
      <c r="L284" t="n">
        <v>0</v>
      </c>
      <c r="M284" t="n">
        <v>0</v>
      </c>
      <c r="N284" t="n">
        <v>0</v>
      </c>
      <c r="O284" t="n">
        <v>0</v>
      </c>
      <c r="P284" t="n">
        <v>0</v>
      </c>
      <c r="Q284" t="n">
        <v>0</v>
      </c>
      <c r="R284" s="2" t="inlineStr"/>
    </row>
    <row r="285" ht="15" customHeight="1">
      <c r="A285" t="inlineStr">
        <is>
          <t>A 56668-2024</t>
        </is>
      </c>
      <c r="B285" s="1" t="n">
        <v>45626.41185185185</v>
      </c>
      <c r="C285" s="1" t="n">
        <v>46000</v>
      </c>
      <c r="D285" t="inlineStr">
        <is>
          <t>DALARNAS LÄN</t>
        </is>
      </c>
      <c r="E285" t="inlineStr">
        <is>
          <t>HEDEMORA</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25643-2024</t>
        </is>
      </c>
      <c r="B286" s="1" t="n">
        <v>45463.66436342592</v>
      </c>
      <c r="C286" s="1" t="n">
        <v>46000</v>
      </c>
      <c r="D286" t="inlineStr">
        <is>
          <t>DALARNAS LÄN</t>
        </is>
      </c>
      <c r="E286" t="inlineStr">
        <is>
          <t>HEDEMORA</t>
        </is>
      </c>
      <c r="F286" t="inlineStr">
        <is>
          <t>Sveaskog</t>
        </is>
      </c>
      <c r="G286" t="n">
        <v>8</v>
      </c>
      <c r="H286" t="n">
        <v>0</v>
      </c>
      <c r="I286" t="n">
        <v>0</v>
      </c>
      <c r="J286" t="n">
        <v>0</v>
      </c>
      <c r="K286" t="n">
        <v>0</v>
      </c>
      <c r="L286" t="n">
        <v>0</v>
      </c>
      <c r="M286" t="n">
        <v>0</v>
      </c>
      <c r="N286" t="n">
        <v>0</v>
      </c>
      <c r="O286" t="n">
        <v>0</v>
      </c>
      <c r="P286" t="n">
        <v>0</v>
      </c>
      <c r="Q286" t="n">
        <v>0</v>
      </c>
      <c r="R286" s="2" t="inlineStr"/>
    </row>
    <row r="287" ht="15" customHeight="1">
      <c r="A287" t="inlineStr">
        <is>
          <t>A 14949-2025</t>
        </is>
      </c>
      <c r="B287" s="1" t="n">
        <v>45743.5745949074</v>
      </c>
      <c r="C287" s="1" t="n">
        <v>46000</v>
      </c>
      <c r="D287" t="inlineStr">
        <is>
          <t>DALARNAS LÄN</t>
        </is>
      </c>
      <c r="E287" t="inlineStr">
        <is>
          <t>HEDEMORA</t>
        </is>
      </c>
      <c r="G287" t="n">
        <v>2.5</v>
      </c>
      <c r="H287" t="n">
        <v>0</v>
      </c>
      <c r="I287" t="n">
        <v>0</v>
      </c>
      <c r="J287" t="n">
        <v>0</v>
      </c>
      <c r="K287" t="n">
        <v>0</v>
      </c>
      <c r="L287" t="n">
        <v>0</v>
      </c>
      <c r="M287" t="n">
        <v>0</v>
      </c>
      <c r="N287" t="n">
        <v>0</v>
      </c>
      <c r="O287" t="n">
        <v>0</v>
      </c>
      <c r="P287" t="n">
        <v>0</v>
      </c>
      <c r="Q287" t="n">
        <v>0</v>
      </c>
      <c r="R287" s="2" t="inlineStr"/>
    </row>
    <row r="288" ht="15" customHeight="1">
      <c r="A288" t="inlineStr">
        <is>
          <t>A 12133-2025</t>
        </is>
      </c>
      <c r="B288" s="1" t="n">
        <v>45729.38878472222</v>
      </c>
      <c r="C288" s="1" t="n">
        <v>46000</v>
      </c>
      <c r="D288" t="inlineStr">
        <is>
          <t>DALARNAS LÄN</t>
        </is>
      </c>
      <c r="E288" t="inlineStr">
        <is>
          <t>HEDEMORA</t>
        </is>
      </c>
      <c r="G288" t="n">
        <v>4.8</v>
      </c>
      <c r="H288" t="n">
        <v>0</v>
      </c>
      <c r="I288" t="n">
        <v>0</v>
      </c>
      <c r="J288" t="n">
        <v>0</v>
      </c>
      <c r="K288" t="n">
        <v>0</v>
      </c>
      <c r="L288" t="n">
        <v>0</v>
      </c>
      <c r="M288" t="n">
        <v>0</v>
      </c>
      <c r="N288" t="n">
        <v>0</v>
      </c>
      <c r="O288" t="n">
        <v>0</v>
      </c>
      <c r="P288" t="n">
        <v>0</v>
      </c>
      <c r="Q288" t="n">
        <v>0</v>
      </c>
      <c r="R288" s="2" t="inlineStr"/>
    </row>
    <row r="289" ht="15" customHeight="1">
      <c r="A289" t="inlineStr">
        <is>
          <t>A 46825-2024</t>
        </is>
      </c>
      <c r="B289" s="1" t="n">
        <v>45583.58040509259</v>
      </c>
      <c r="C289" s="1" t="n">
        <v>46000</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45377-2024</t>
        </is>
      </c>
      <c r="B290" s="1" t="n">
        <v>45576.51962962963</v>
      </c>
      <c r="C290" s="1" t="n">
        <v>46000</v>
      </c>
      <c r="D290" t="inlineStr">
        <is>
          <t>DALARNAS LÄN</t>
        </is>
      </c>
      <c r="E290" t="inlineStr">
        <is>
          <t>HEDEMORA</t>
        </is>
      </c>
      <c r="G290" t="n">
        <v>1.4</v>
      </c>
      <c r="H290" t="n">
        <v>0</v>
      </c>
      <c r="I290" t="n">
        <v>0</v>
      </c>
      <c r="J290" t="n">
        <v>0</v>
      </c>
      <c r="K290" t="n">
        <v>0</v>
      </c>
      <c r="L290" t="n">
        <v>0</v>
      </c>
      <c r="M290" t="n">
        <v>0</v>
      </c>
      <c r="N290" t="n">
        <v>0</v>
      </c>
      <c r="O290" t="n">
        <v>0</v>
      </c>
      <c r="P290" t="n">
        <v>0</v>
      </c>
      <c r="Q290" t="n">
        <v>0</v>
      </c>
      <c r="R290" s="2" t="inlineStr"/>
    </row>
    <row r="291" ht="15" customHeight="1">
      <c r="A291" t="inlineStr">
        <is>
          <t>A 21514-2024</t>
        </is>
      </c>
      <c r="B291" s="1" t="n">
        <v>45441.57538194444</v>
      </c>
      <c r="C291" s="1" t="n">
        <v>46000</v>
      </c>
      <c r="D291" t="inlineStr">
        <is>
          <t>DALARNAS LÄN</t>
        </is>
      </c>
      <c r="E291" t="inlineStr">
        <is>
          <t>HEDEMORA</t>
        </is>
      </c>
      <c r="G291" t="n">
        <v>1.5</v>
      </c>
      <c r="H291" t="n">
        <v>0</v>
      </c>
      <c r="I291" t="n">
        <v>0</v>
      </c>
      <c r="J291" t="n">
        <v>0</v>
      </c>
      <c r="K291" t="n">
        <v>0</v>
      </c>
      <c r="L291" t="n">
        <v>0</v>
      </c>
      <c r="M291" t="n">
        <v>0</v>
      </c>
      <c r="N291" t="n">
        <v>0</v>
      </c>
      <c r="O291" t="n">
        <v>0</v>
      </c>
      <c r="P291" t="n">
        <v>0</v>
      </c>
      <c r="Q291" t="n">
        <v>0</v>
      </c>
      <c r="R291" s="2" t="inlineStr"/>
    </row>
    <row r="292" ht="15" customHeight="1">
      <c r="A292" t="inlineStr">
        <is>
          <t>A 41523-2023</t>
        </is>
      </c>
      <c r="B292" s="1" t="n">
        <v>45172</v>
      </c>
      <c r="C292" s="1" t="n">
        <v>46000</v>
      </c>
      <c r="D292" t="inlineStr">
        <is>
          <t>DALARNAS LÄN</t>
        </is>
      </c>
      <c r="E292" t="inlineStr">
        <is>
          <t>HEDEMORA</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54310-2021</t>
        </is>
      </c>
      <c r="B293" s="1" t="n">
        <v>44472.54035879629</v>
      </c>
      <c r="C293" s="1" t="n">
        <v>46000</v>
      </c>
      <c r="D293" t="inlineStr">
        <is>
          <t>DALARNAS LÄN</t>
        </is>
      </c>
      <c r="E293" t="inlineStr">
        <is>
          <t>HEDEMORA</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46217-2023</t>
        </is>
      </c>
      <c r="B294" s="1" t="n">
        <v>45190</v>
      </c>
      <c r="C294" s="1" t="n">
        <v>46000</v>
      </c>
      <c r="D294" t="inlineStr">
        <is>
          <t>DALARNAS LÄN</t>
        </is>
      </c>
      <c r="E294" t="inlineStr">
        <is>
          <t>HEDEMORA</t>
        </is>
      </c>
      <c r="F294" t="inlineStr">
        <is>
          <t>Bergvik skog väst AB</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44662.84958333334</v>
      </c>
      <c r="C295" s="1" t="n">
        <v>46000</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21092-2023</t>
        </is>
      </c>
      <c r="B296" s="1" t="n">
        <v>45061</v>
      </c>
      <c r="C296" s="1" t="n">
        <v>46000</v>
      </c>
      <c r="D296" t="inlineStr">
        <is>
          <t>DALARNAS LÄN</t>
        </is>
      </c>
      <c r="E296" t="inlineStr">
        <is>
          <t>HEDEMORA</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7172-2025</t>
        </is>
      </c>
      <c r="B297" s="1" t="n">
        <v>45702.41383101852</v>
      </c>
      <c r="C297" s="1" t="n">
        <v>46000</v>
      </c>
      <c r="D297" t="inlineStr">
        <is>
          <t>DALARNAS LÄN</t>
        </is>
      </c>
      <c r="E297" t="inlineStr">
        <is>
          <t>HEDEMORA</t>
        </is>
      </c>
      <c r="G297" t="n">
        <v>0.8</v>
      </c>
      <c r="H297" t="n">
        <v>0</v>
      </c>
      <c r="I297" t="n">
        <v>0</v>
      </c>
      <c r="J297" t="n">
        <v>0</v>
      </c>
      <c r="K297" t="n">
        <v>0</v>
      </c>
      <c r="L297" t="n">
        <v>0</v>
      </c>
      <c r="M297" t="n">
        <v>0</v>
      </c>
      <c r="N297" t="n">
        <v>0</v>
      </c>
      <c r="O297" t="n">
        <v>0</v>
      </c>
      <c r="P297" t="n">
        <v>0</v>
      </c>
      <c r="Q297" t="n">
        <v>0</v>
      </c>
      <c r="R297" s="2" t="inlineStr"/>
    </row>
    <row r="298" ht="15" customHeight="1">
      <c r="A298" t="inlineStr">
        <is>
          <t>A 53568-2023</t>
        </is>
      </c>
      <c r="B298" s="1" t="n">
        <v>45230.49392361111</v>
      </c>
      <c r="C298" s="1" t="n">
        <v>46000</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52942-2024</t>
        </is>
      </c>
      <c r="B299" s="1" t="n">
        <v>45610.8215625</v>
      </c>
      <c r="C299" s="1" t="n">
        <v>46000</v>
      </c>
      <c r="D299" t="inlineStr">
        <is>
          <t>DALARNAS LÄN</t>
        </is>
      </c>
      <c r="E299" t="inlineStr">
        <is>
          <t>HEDEMORA</t>
        </is>
      </c>
      <c r="F299" t="inlineStr">
        <is>
          <t>Sveaskog</t>
        </is>
      </c>
      <c r="G299" t="n">
        <v>14.5</v>
      </c>
      <c r="H299" t="n">
        <v>0</v>
      </c>
      <c r="I299" t="n">
        <v>0</v>
      </c>
      <c r="J299" t="n">
        <v>0</v>
      </c>
      <c r="K299" t="n">
        <v>0</v>
      </c>
      <c r="L299" t="n">
        <v>0</v>
      </c>
      <c r="M299" t="n">
        <v>0</v>
      </c>
      <c r="N299" t="n">
        <v>0</v>
      </c>
      <c r="O299" t="n">
        <v>0</v>
      </c>
      <c r="P299" t="n">
        <v>0</v>
      </c>
      <c r="Q299" t="n">
        <v>0</v>
      </c>
      <c r="R299" s="2" t="inlineStr"/>
    </row>
    <row r="300" ht="15" customHeight="1">
      <c r="A300" t="inlineStr">
        <is>
          <t>A 17222-2025</t>
        </is>
      </c>
      <c r="B300" s="1" t="n">
        <v>45756.45504629629</v>
      </c>
      <c r="C300" s="1" t="n">
        <v>46000</v>
      </c>
      <c r="D300" t="inlineStr">
        <is>
          <t>DALARNAS LÄN</t>
        </is>
      </c>
      <c r="E300" t="inlineStr">
        <is>
          <t>HEDEMORA</t>
        </is>
      </c>
      <c r="G300" t="n">
        <v>0.5</v>
      </c>
      <c r="H300" t="n">
        <v>0</v>
      </c>
      <c r="I300" t="n">
        <v>0</v>
      </c>
      <c r="J300" t="n">
        <v>0</v>
      </c>
      <c r="K300" t="n">
        <v>0</v>
      </c>
      <c r="L300" t="n">
        <v>0</v>
      </c>
      <c r="M300" t="n">
        <v>0</v>
      </c>
      <c r="N300" t="n">
        <v>0</v>
      </c>
      <c r="O300" t="n">
        <v>0</v>
      </c>
      <c r="P300" t="n">
        <v>0</v>
      </c>
      <c r="Q300" t="n">
        <v>0</v>
      </c>
      <c r="R300" s="2" t="inlineStr"/>
    </row>
    <row r="301" ht="15" customHeight="1">
      <c r="A301" t="inlineStr">
        <is>
          <t>A 39497-2022</t>
        </is>
      </c>
      <c r="B301" s="1" t="n">
        <v>44817</v>
      </c>
      <c r="C301" s="1" t="n">
        <v>46000</v>
      </c>
      <c r="D301" t="inlineStr">
        <is>
          <t>DALARNAS LÄN</t>
        </is>
      </c>
      <c r="E301" t="inlineStr">
        <is>
          <t>HEDEMORA</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63929-2023</t>
        </is>
      </c>
      <c r="B302" s="1" t="n">
        <v>45278.60274305556</v>
      </c>
      <c r="C302" s="1" t="n">
        <v>46000</v>
      </c>
      <c r="D302" t="inlineStr">
        <is>
          <t>DALARNAS LÄN</t>
        </is>
      </c>
      <c r="E302" t="inlineStr">
        <is>
          <t>HEDEMORA</t>
        </is>
      </c>
      <c r="G302" t="n">
        <v>0.4</v>
      </c>
      <c r="H302" t="n">
        <v>0</v>
      </c>
      <c r="I302" t="n">
        <v>0</v>
      </c>
      <c r="J302" t="n">
        <v>0</v>
      </c>
      <c r="K302" t="n">
        <v>0</v>
      </c>
      <c r="L302" t="n">
        <v>0</v>
      </c>
      <c r="M302" t="n">
        <v>0</v>
      </c>
      <c r="N302" t="n">
        <v>0</v>
      </c>
      <c r="O302" t="n">
        <v>0</v>
      </c>
      <c r="P302" t="n">
        <v>0</v>
      </c>
      <c r="Q302" t="n">
        <v>0</v>
      </c>
      <c r="R302" s="2" t="inlineStr"/>
    </row>
    <row r="303" ht="15" customHeight="1">
      <c r="A303" t="inlineStr">
        <is>
          <t>A 54423-2023</t>
        </is>
      </c>
      <c r="B303" s="1" t="n">
        <v>45233.41666666666</v>
      </c>
      <c r="C303" s="1" t="n">
        <v>46000</v>
      </c>
      <c r="D303" t="inlineStr">
        <is>
          <t>DALARNAS LÄN</t>
        </is>
      </c>
      <c r="E303" t="inlineStr">
        <is>
          <t>HEDEMORA</t>
        </is>
      </c>
      <c r="G303" t="n">
        <v>3.4</v>
      </c>
      <c r="H303" t="n">
        <v>0</v>
      </c>
      <c r="I303" t="n">
        <v>0</v>
      </c>
      <c r="J303" t="n">
        <v>0</v>
      </c>
      <c r="K303" t="n">
        <v>0</v>
      </c>
      <c r="L303" t="n">
        <v>0</v>
      </c>
      <c r="M303" t="n">
        <v>0</v>
      </c>
      <c r="N303" t="n">
        <v>0</v>
      </c>
      <c r="O303" t="n">
        <v>0</v>
      </c>
      <c r="P303" t="n">
        <v>0</v>
      </c>
      <c r="Q303" t="n">
        <v>0</v>
      </c>
      <c r="R303" s="2" t="inlineStr"/>
    </row>
    <row r="304" ht="15" customHeight="1">
      <c r="A304" t="inlineStr">
        <is>
          <t>A 62386-2023</t>
        </is>
      </c>
      <c r="B304" s="1" t="n">
        <v>45268</v>
      </c>
      <c r="C304" s="1" t="n">
        <v>46000</v>
      </c>
      <c r="D304" t="inlineStr">
        <is>
          <t>DALARNAS LÄN</t>
        </is>
      </c>
      <c r="E304" t="inlineStr">
        <is>
          <t>HEDEMORA</t>
        </is>
      </c>
      <c r="G304" t="n">
        <v>1.7</v>
      </c>
      <c r="H304" t="n">
        <v>0</v>
      </c>
      <c r="I304" t="n">
        <v>0</v>
      </c>
      <c r="J304" t="n">
        <v>0</v>
      </c>
      <c r="K304" t="n">
        <v>0</v>
      </c>
      <c r="L304" t="n">
        <v>0</v>
      </c>
      <c r="M304" t="n">
        <v>0</v>
      </c>
      <c r="N304" t="n">
        <v>0</v>
      </c>
      <c r="O304" t="n">
        <v>0</v>
      </c>
      <c r="P304" t="n">
        <v>0</v>
      </c>
      <c r="Q304" t="n">
        <v>0</v>
      </c>
      <c r="R304" s="2" t="inlineStr"/>
    </row>
    <row r="305" ht="15" customHeight="1">
      <c r="A305" t="inlineStr">
        <is>
          <t>A 62398-2023</t>
        </is>
      </c>
      <c r="B305" s="1" t="n">
        <v>45268</v>
      </c>
      <c r="C305" s="1" t="n">
        <v>46000</v>
      </c>
      <c r="D305" t="inlineStr">
        <is>
          <t>DALARNAS LÄN</t>
        </is>
      </c>
      <c r="E305" t="inlineStr">
        <is>
          <t>HEDEMORA</t>
        </is>
      </c>
      <c r="G305" t="n">
        <v>2.1</v>
      </c>
      <c r="H305" t="n">
        <v>0</v>
      </c>
      <c r="I305" t="n">
        <v>0</v>
      </c>
      <c r="J305" t="n">
        <v>0</v>
      </c>
      <c r="K305" t="n">
        <v>0</v>
      </c>
      <c r="L305" t="n">
        <v>0</v>
      </c>
      <c r="M305" t="n">
        <v>0</v>
      </c>
      <c r="N305" t="n">
        <v>0</v>
      </c>
      <c r="O305" t="n">
        <v>0</v>
      </c>
      <c r="P305" t="n">
        <v>0</v>
      </c>
      <c r="Q305" t="n">
        <v>0</v>
      </c>
      <c r="R305" s="2" t="inlineStr"/>
    </row>
    <row r="306" ht="15" customHeight="1">
      <c r="A306" t="inlineStr">
        <is>
          <t>A 22273-2023</t>
        </is>
      </c>
      <c r="B306" s="1" t="n">
        <v>45070</v>
      </c>
      <c r="C306" s="1" t="n">
        <v>46000</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49636-2021</t>
        </is>
      </c>
      <c r="B307" s="1" t="n">
        <v>44455</v>
      </c>
      <c r="C307" s="1" t="n">
        <v>46000</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25645-2024</t>
        </is>
      </c>
      <c r="B308" s="1" t="n">
        <v>45463.66520833333</v>
      </c>
      <c r="C308" s="1" t="n">
        <v>46000</v>
      </c>
      <c r="D308" t="inlineStr">
        <is>
          <t>DALARNAS LÄN</t>
        </is>
      </c>
      <c r="E308" t="inlineStr">
        <is>
          <t>HEDEMORA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18579-2025</t>
        </is>
      </c>
      <c r="B309" s="1" t="n">
        <v>45763</v>
      </c>
      <c r="C309" s="1" t="n">
        <v>46000</v>
      </c>
      <c r="D309" t="inlineStr">
        <is>
          <t>DALARNAS LÄN</t>
        </is>
      </c>
      <c r="E309" t="inlineStr">
        <is>
          <t>HEDEMORA</t>
        </is>
      </c>
      <c r="G309" t="n">
        <v>0.5</v>
      </c>
      <c r="H309" t="n">
        <v>0</v>
      </c>
      <c r="I309" t="n">
        <v>0</v>
      </c>
      <c r="J309" t="n">
        <v>0</v>
      </c>
      <c r="K309" t="n">
        <v>0</v>
      </c>
      <c r="L309" t="n">
        <v>0</v>
      </c>
      <c r="M309" t="n">
        <v>0</v>
      </c>
      <c r="N309" t="n">
        <v>0</v>
      </c>
      <c r="O309" t="n">
        <v>0</v>
      </c>
      <c r="P309" t="n">
        <v>0</v>
      </c>
      <c r="Q309" t="n">
        <v>0</v>
      </c>
      <c r="R309" s="2" t="inlineStr"/>
    </row>
    <row r="310" ht="15" customHeight="1">
      <c r="A310" t="inlineStr">
        <is>
          <t>A 26431-2024</t>
        </is>
      </c>
      <c r="B310" s="1" t="n">
        <v>45469.48282407408</v>
      </c>
      <c r="C310" s="1" t="n">
        <v>46000</v>
      </c>
      <c r="D310" t="inlineStr">
        <is>
          <t>DALARNAS LÄN</t>
        </is>
      </c>
      <c r="E310" t="inlineStr">
        <is>
          <t>HEDEMORA</t>
        </is>
      </c>
      <c r="G310" t="n">
        <v>1.6</v>
      </c>
      <c r="H310" t="n">
        <v>0</v>
      </c>
      <c r="I310" t="n">
        <v>0</v>
      </c>
      <c r="J310" t="n">
        <v>0</v>
      </c>
      <c r="K310" t="n">
        <v>0</v>
      </c>
      <c r="L310" t="n">
        <v>0</v>
      </c>
      <c r="M310" t="n">
        <v>0</v>
      </c>
      <c r="N310" t="n">
        <v>0</v>
      </c>
      <c r="O310" t="n">
        <v>0</v>
      </c>
      <c r="P310" t="n">
        <v>0</v>
      </c>
      <c r="Q310" t="n">
        <v>0</v>
      </c>
      <c r="R310" s="2" t="inlineStr"/>
      <c r="U310">
        <f>HYPERLINK("https://klasma.github.io/Logging_2083/knärot/A 26431-2024 karta knärot.png", "A 26431-2024")</f>
        <v/>
      </c>
      <c r="V310">
        <f>HYPERLINK("https://klasma.github.io/Logging_2083/klagomål/A 26431-2024 FSC-klagomål.docx", "A 26431-2024")</f>
        <v/>
      </c>
      <c r="W310">
        <f>HYPERLINK("https://klasma.github.io/Logging_2083/klagomålsmail/A 26431-2024 FSC-klagomål mail.docx", "A 26431-2024")</f>
        <v/>
      </c>
      <c r="X310">
        <f>HYPERLINK("https://klasma.github.io/Logging_2083/tillsyn/A 26431-2024 tillsynsbegäran.docx", "A 26431-2024")</f>
        <v/>
      </c>
      <c r="Y310">
        <f>HYPERLINK("https://klasma.github.io/Logging_2083/tillsynsmail/A 26431-2024 tillsynsbegäran mail.docx", "A 26431-2024")</f>
        <v/>
      </c>
    </row>
    <row r="311" ht="15" customHeight="1">
      <c r="A311" t="inlineStr">
        <is>
          <t>A 40707-2023</t>
        </is>
      </c>
      <c r="B311" s="1" t="n">
        <v>45170.62489583333</v>
      </c>
      <c r="C311" s="1" t="n">
        <v>46000</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53922-2024</t>
        </is>
      </c>
      <c r="B312" s="1" t="n">
        <v>45615.78459490741</v>
      </c>
      <c r="C312" s="1" t="n">
        <v>46000</v>
      </c>
      <c r="D312" t="inlineStr">
        <is>
          <t>DALARNAS LÄN</t>
        </is>
      </c>
      <c r="E312" t="inlineStr">
        <is>
          <t>HEDEMORA</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19353-2024</t>
        </is>
      </c>
      <c r="B313" s="1" t="n">
        <v>45429.29666666667</v>
      </c>
      <c r="C313" s="1" t="n">
        <v>46000</v>
      </c>
      <c r="D313" t="inlineStr">
        <is>
          <t>DALARNAS LÄN</t>
        </is>
      </c>
      <c r="E313" t="inlineStr">
        <is>
          <t>HEDEMORA</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27610-2024</t>
        </is>
      </c>
      <c r="B314" s="1" t="n">
        <v>45474.73221064815</v>
      </c>
      <c r="C314" s="1" t="n">
        <v>46000</v>
      </c>
      <c r="D314" t="inlineStr">
        <is>
          <t>DALARNAS LÄN</t>
        </is>
      </c>
      <c r="E314" t="inlineStr">
        <is>
          <t>HEDEMORA</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27609-2024</t>
        </is>
      </c>
      <c r="B315" s="1" t="n">
        <v>45474.73076388889</v>
      </c>
      <c r="C315" s="1" t="n">
        <v>46000</v>
      </c>
      <c r="D315" t="inlineStr">
        <is>
          <t>DALARNAS LÄN</t>
        </is>
      </c>
      <c r="E315" t="inlineStr">
        <is>
          <t>HEDEMORA</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37449-2024</t>
        </is>
      </c>
      <c r="B316" s="1" t="n">
        <v>45540</v>
      </c>
      <c r="C316" s="1" t="n">
        <v>46000</v>
      </c>
      <c r="D316" t="inlineStr">
        <is>
          <t>DALARNAS LÄN</t>
        </is>
      </c>
      <c r="E316" t="inlineStr">
        <is>
          <t>HEDEMORA</t>
        </is>
      </c>
      <c r="F316" t="inlineStr">
        <is>
          <t>Bergvik skog väst AB</t>
        </is>
      </c>
      <c r="G316" t="n">
        <v>10.1</v>
      </c>
      <c r="H316" t="n">
        <v>0</v>
      </c>
      <c r="I316" t="n">
        <v>0</v>
      </c>
      <c r="J316" t="n">
        <v>0</v>
      </c>
      <c r="K316" t="n">
        <v>0</v>
      </c>
      <c r="L316" t="n">
        <v>0</v>
      </c>
      <c r="M316" t="n">
        <v>0</v>
      </c>
      <c r="N316" t="n">
        <v>0</v>
      </c>
      <c r="O316" t="n">
        <v>0</v>
      </c>
      <c r="P316" t="n">
        <v>0</v>
      </c>
      <c r="Q316" t="n">
        <v>0</v>
      </c>
      <c r="R316" s="2" t="inlineStr"/>
    </row>
    <row r="317" ht="15" customHeight="1">
      <c r="A317" t="inlineStr">
        <is>
          <t>A 25155-2023</t>
        </is>
      </c>
      <c r="B317" s="1" t="n">
        <v>45086</v>
      </c>
      <c r="C317" s="1" t="n">
        <v>46000</v>
      </c>
      <c r="D317" t="inlineStr">
        <is>
          <t>DALARNAS LÄN</t>
        </is>
      </c>
      <c r="E317" t="inlineStr">
        <is>
          <t>HEDEMORA</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54312-2024</t>
        </is>
      </c>
      <c r="B318" s="1" t="n">
        <v>45617.3434837963</v>
      </c>
      <c r="C318" s="1" t="n">
        <v>46000</v>
      </c>
      <c r="D318" t="inlineStr">
        <is>
          <t>DALARNAS LÄN</t>
        </is>
      </c>
      <c r="E318" t="inlineStr">
        <is>
          <t>HEDEMORA</t>
        </is>
      </c>
      <c r="F318" t="inlineStr">
        <is>
          <t>Bergvik skog väst AB</t>
        </is>
      </c>
      <c r="G318" t="n">
        <v>13.9</v>
      </c>
      <c r="H318" t="n">
        <v>0</v>
      </c>
      <c r="I318" t="n">
        <v>0</v>
      </c>
      <c r="J318" t="n">
        <v>0</v>
      </c>
      <c r="K318" t="n">
        <v>0</v>
      </c>
      <c r="L318" t="n">
        <v>0</v>
      </c>
      <c r="M318" t="n">
        <v>0</v>
      </c>
      <c r="N318" t="n">
        <v>0</v>
      </c>
      <c r="O318" t="n">
        <v>0</v>
      </c>
      <c r="P318" t="n">
        <v>0</v>
      </c>
      <c r="Q318" t="n">
        <v>0</v>
      </c>
      <c r="R318" s="2" t="inlineStr"/>
    </row>
    <row r="319" ht="15" customHeight="1">
      <c r="A319" t="inlineStr">
        <is>
          <t>A 52945-2024</t>
        </is>
      </c>
      <c r="B319" s="1" t="n">
        <v>45610.82664351852</v>
      </c>
      <c r="C319" s="1" t="n">
        <v>46000</v>
      </c>
      <c r="D319" t="inlineStr">
        <is>
          <t>DALARNAS LÄN</t>
        </is>
      </c>
      <c r="E319" t="inlineStr">
        <is>
          <t>HEDEMORA</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59632-2023</t>
        </is>
      </c>
      <c r="B320" s="1" t="n">
        <v>45254</v>
      </c>
      <c r="C320" s="1" t="n">
        <v>46000</v>
      </c>
      <c r="D320" t="inlineStr">
        <is>
          <t>DALARNAS LÄN</t>
        </is>
      </c>
      <c r="E320" t="inlineStr">
        <is>
          <t>HEDEMORA</t>
        </is>
      </c>
      <c r="G320" t="n">
        <v>1.4</v>
      </c>
      <c r="H320" t="n">
        <v>0</v>
      </c>
      <c r="I320" t="n">
        <v>0</v>
      </c>
      <c r="J320" t="n">
        <v>0</v>
      </c>
      <c r="K320" t="n">
        <v>0</v>
      </c>
      <c r="L320" t="n">
        <v>0</v>
      </c>
      <c r="M320" t="n">
        <v>0</v>
      </c>
      <c r="N320" t="n">
        <v>0</v>
      </c>
      <c r="O320" t="n">
        <v>0</v>
      </c>
      <c r="P320" t="n">
        <v>0</v>
      </c>
      <c r="Q320" t="n">
        <v>0</v>
      </c>
      <c r="R320" s="2" t="inlineStr"/>
    </row>
    <row r="321" ht="15" customHeight="1">
      <c r="A321" t="inlineStr">
        <is>
          <t>A 37759-2024</t>
        </is>
      </c>
      <c r="B321" s="1" t="n">
        <v>45541</v>
      </c>
      <c r="C321" s="1" t="n">
        <v>46000</v>
      </c>
      <c r="D321" t="inlineStr">
        <is>
          <t>DALARNAS LÄN</t>
        </is>
      </c>
      <c r="E321" t="inlineStr">
        <is>
          <t>HEDEMORA</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7914-2024</t>
        </is>
      </c>
      <c r="B322" s="1" t="n">
        <v>45350.46003472222</v>
      </c>
      <c r="C322" s="1" t="n">
        <v>46000</v>
      </c>
      <c r="D322" t="inlineStr">
        <is>
          <t>DALARNAS LÄN</t>
        </is>
      </c>
      <c r="E322" t="inlineStr">
        <is>
          <t>HEDEMORA</t>
        </is>
      </c>
      <c r="G322" t="n">
        <v>4.1</v>
      </c>
      <c r="H322" t="n">
        <v>0</v>
      </c>
      <c r="I322" t="n">
        <v>0</v>
      </c>
      <c r="J322" t="n">
        <v>0</v>
      </c>
      <c r="K322" t="n">
        <v>0</v>
      </c>
      <c r="L322" t="n">
        <v>0</v>
      </c>
      <c r="M322" t="n">
        <v>0</v>
      </c>
      <c r="N322" t="n">
        <v>0</v>
      </c>
      <c r="O322" t="n">
        <v>0</v>
      </c>
      <c r="P322" t="n">
        <v>0</v>
      </c>
      <c r="Q322" t="n">
        <v>0</v>
      </c>
      <c r="R322" s="2" t="inlineStr"/>
    </row>
    <row r="323" ht="15" customHeight="1">
      <c r="A323" t="inlineStr">
        <is>
          <t>A 73099-2021</t>
        </is>
      </c>
      <c r="B323" s="1" t="n">
        <v>44546</v>
      </c>
      <c r="C323" s="1" t="n">
        <v>46000</v>
      </c>
      <c r="D323" t="inlineStr">
        <is>
          <t>DALARNAS LÄN</t>
        </is>
      </c>
      <c r="E323" t="inlineStr">
        <is>
          <t>HEDEMORA</t>
        </is>
      </c>
      <c r="G323" t="n">
        <v>4.5</v>
      </c>
      <c r="H323" t="n">
        <v>0</v>
      </c>
      <c r="I323" t="n">
        <v>0</v>
      </c>
      <c r="J323" t="n">
        <v>0</v>
      </c>
      <c r="K323" t="n">
        <v>0</v>
      </c>
      <c r="L323" t="n">
        <v>0</v>
      </c>
      <c r="M323" t="n">
        <v>0</v>
      </c>
      <c r="N323" t="n">
        <v>0</v>
      </c>
      <c r="O323" t="n">
        <v>0</v>
      </c>
      <c r="P323" t="n">
        <v>0</v>
      </c>
      <c r="Q323" t="n">
        <v>0</v>
      </c>
      <c r="R323" s="2" t="inlineStr"/>
    </row>
    <row r="324" ht="15" customHeight="1">
      <c r="A324" t="inlineStr">
        <is>
          <t>A 52199-2021</t>
        </is>
      </c>
      <c r="B324" s="1" t="n">
        <v>44462</v>
      </c>
      <c r="C324" s="1" t="n">
        <v>46000</v>
      </c>
      <c r="D324" t="inlineStr">
        <is>
          <t>DALARNAS LÄN</t>
        </is>
      </c>
      <c r="E324" t="inlineStr">
        <is>
          <t>HEDEMORA</t>
        </is>
      </c>
      <c r="F324" t="inlineStr">
        <is>
          <t>Bergvik skog väst AB</t>
        </is>
      </c>
      <c r="G324" t="n">
        <v>4.4</v>
      </c>
      <c r="H324" t="n">
        <v>0</v>
      </c>
      <c r="I324" t="n">
        <v>0</v>
      </c>
      <c r="J324" t="n">
        <v>0</v>
      </c>
      <c r="K324" t="n">
        <v>0</v>
      </c>
      <c r="L324" t="n">
        <v>0</v>
      </c>
      <c r="M324" t="n">
        <v>0</v>
      </c>
      <c r="N324" t="n">
        <v>0</v>
      </c>
      <c r="O324" t="n">
        <v>0</v>
      </c>
      <c r="P324" t="n">
        <v>0</v>
      </c>
      <c r="Q324" t="n">
        <v>0</v>
      </c>
      <c r="R324" s="2" t="inlineStr"/>
    </row>
    <row r="325" ht="15" customHeight="1">
      <c r="A325" t="inlineStr">
        <is>
          <t>A 61849-2022</t>
        </is>
      </c>
      <c r="B325" s="1" t="n">
        <v>44917</v>
      </c>
      <c r="C325" s="1" t="n">
        <v>46000</v>
      </c>
      <c r="D325" t="inlineStr">
        <is>
          <t>DALARNAS LÄN</t>
        </is>
      </c>
      <c r="E325" t="inlineStr">
        <is>
          <t>HEDEMORA</t>
        </is>
      </c>
      <c r="G325" t="n">
        <v>1.9</v>
      </c>
      <c r="H325" t="n">
        <v>0</v>
      </c>
      <c r="I325" t="n">
        <v>0</v>
      </c>
      <c r="J325" t="n">
        <v>0</v>
      </c>
      <c r="K325" t="n">
        <v>0</v>
      </c>
      <c r="L325" t="n">
        <v>0</v>
      </c>
      <c r="M325" t="n">
        <v>0</v>
      </c>
      <c r="N325" t="n">
        <v>0</v>
      </c>
      <c r="O325" t="n">
        <v>0</v>
      </c>
      <c r="P325" t="n">
        <v>0</v>
      </c>
      <c r="Q325" t="n">
        <v>0</v>
      </c>
      <c r="R325" s="2" t="inlineStr"/>
    </row>
    <row r="326" ht="15" customHeight="1">
      <c r="A326" t="inlineStr">
        <is>
          <t>A 60780-2024</t>
        </is>
      </c>
      <c r="B326" s="1" t="n">
        <v>45644.59017361111</v>
      </c>
      <c r="C326" s="1" t="n">
        <v>46000</v>
      </c>
      <c r="D326" t="inlineStr">
        <is>
          <t>DALARNAS LÄN</t>
        </is>
      </c>
      <c r="E326" t="inlineStr">
        <is>
          <t>HEDEMORA</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29050-2023</t>
        </is>
      </c>
      <c r="B327" s="1" t="n">
        <v>45104</v>
      </c>
      <c r="C327" s="1" t="n">
        <v>46000</v>
      </c>
      <c r="D327" t="inlineStr">
        <is>
          <t>DALARNAS LÄN</t>
        </is>
      </c>
      <c r="E327" t="inlineStr">
        <is>
          <t>HEDEMORA</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25150-2023</t>
        </is>
      </c>
      <c r="B328" s="1" t="n">
        <v>45086</v>
      </c>
      <c r="C328" s="1" t="n">
        <v>46000</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61886-2022</t>
        </is>
      </c>
      <c r="B329" s="1" t="n">
        <v>44917.67582175926</v>
      </c>
      <c r="C329" s="1" t="n">
        <v>46000</v>
      </c>
      <c r="D329" t="inlineStr">
        <is>
          <t>DALARNAS LÄN</t>
        </is>
      </c>
      <c r="E329" t="inlineStr">
        <is>
          <t>HEDEMORA</t>
        </is>
      </c>
      <c r="G329" t="n">
        <v>1.9</v>
      </c>
      <c r="H329" t="n">
        <v>0</v>
      </c>
      <c r="I329" t="n">
        <v>0</v>
      </c>
      <c r="J329" t="n">
        <v>0</v>
      </c>
      <c r="K329" t="n">
        <v>0</v>
      </c>
      <c r="L329" t="n">
        <v>0</v>
      </c>
      <c r="M329" t="n">
        <v>0</v>
      </c>
      <c r="N329" t="n">
        <v>0</v>
      </c>
      <c r="O329" t="n">
        <v>0</v>
      </c>
      <c r="P329" t="n">
        <v>0</v>
      </c>
      <c r="Q329" t="n">
        <v>0</v>
      </c>
      <c r="R329" s="2" t="inlineStr"/>
    </row>
    <row r="330" ht="15" customHeight="1">
      <c r="A330" t="inlineStr">
        <is>
          <t>A 18572-2025</t>
        </is>
      </c>
      <c r="B330" s="1" t="n">
        <v>45763</v>
      </c>
      <c r="C330" s="1" t="n">
        <v>46000</v>
      </c>
      <c r="D330" t="inlineStr">
        <is>
          <t>DALARNAS LÄN</t>
        </is>
      </c>
      <c r="E330" t="inlineStr">
        <is>
          <t>HEDEMORA</t>
        </is>
      </c>
      <c r="G330" t="n">
        <v>0.9</v>
      </c>
      <c r="H330" t="n">
        <v>0</v>
      </c>
      <c r="I330" t="n">
        <v>0</v>
      </c>
      <c r="J330" t="n">
        <v>0</v>
      </c>
      <c r="K330" t="n">
        <v>0</v>
      </c>
      <c r="L330" t="n">
        <v>0</v>
      </c>
      <c r="M330" t="n">
        <v>0</v>
      </c>
      <c r="N330" t="n">
        <v>0</v>
      </c>
      <c r="O330" t="n">
        <v>0</v>
      </c>
      <c r="P330" t="n">
        <v>0</v>
      </c>
      <c r="Q330" t="n">
        <v>0</v>
      </c>
      <c r="R330" s="2" t="inlineStr"/>
    </row>
    <row r="331" ht="15" customHeight="1">
      <c r="A331" t="inlineStr">
        <is>
          <t>A 62188-2023</t>
        </is>
      </c>
      <c r="B331" s="1" t="n">
        <v>45267</v>
      </c>
      <c r="C331" s="1" t="n">
        <v>46000</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1917-2022</t>
        </is>
      </c>
      <c r="B332" s="1" t="n">
        <v>44574</v>
      </c>
      <c r="C332" s="1" t="n">
        <v>46000</v>
      </c>
      <c r="D332" t="inlineStr">
        <is>
          <t>DALARNAS LÄN</t>
        </is>
      </c>
      <c r="E332" t="inlineStr">
        <is>
          <t>HEDEMORA</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31825-2024</t>
        </is>
      </c>
      <c r="B333" s="1" t="n">
        <v>45509.60949074074</v>
      </c>
      <c r="C333" s="1" t="n">
        <v>46000</v>
      </c>
      <c r="D333" t="inlineStr">
        <is>
          <t>DALARNAS LÄN</t>
        </is>
      </c>
      <c r="E333" t="inlineStr">
        <is>
          <t>HEDEMORA</t>
        </is>
      </c>
      <c r="G333" t="n">
        <v>0.1</v>
      </c>
      <c r="H333" t="n">
        <v>0</v>
      </c>
      <c r="I333" t="n">
        <v>0</v>
      </c>
      <c r="J333" t="n">
        <v>0</v>
      </c>
      <c r="K333" t="n">
        <v>0</v>
      </c>
      <c r="L333" t="n">
        <v>0</v>
      </c>
      <c r="M333" t="n">
        <v>0</v>
      </c>
      <c r="N333" t="n">
        <v>0</v>
      </c>
      <c r="O333" t="n">
        <v>0</v>
      </c>
      <c r="P333" t="n">
        <v>0</v>
      </c>
      <c r="Q333" t="n">
        <v>0</v>
      </c>
      <c r="R333" s="2" t="inlineStr"/>
    </row>
    <row r="334" ht="15" customHeight="1">
      <c r="A334" t="inlineStr">
        <is>
          <t>A 26452-2024</t>
        </is>
      </c>
      <c r="B334" s="1" t="n">
        <v>45469.51145833333</v>
      </c>
      <c r="C334" s="1" t="n">
        <v>46000</v>
      </c>
      <c r="D334" t="inlineStr">
        <is>
          <t>DALARNAS LÄN</t>
        </is>
      </c>
      <c r="E334" t="inlineStr">
        <is>
          <t>HEDEMORA</t>
        </is>
      </c>
      <c r="G334" t="n">
        <v>2.3</v>
      </c>
      <c r="H334" t="n">
        <v>0</v>
      </c>
      <c r="I334" t="n">
        <v>0</v>
      </c>
      <c r="J334" t="n">
        <v>0</v>
      </c>
      <c r="K334" t="n">
        <v>0</v>
      </c>
      <c r="L334" t="n">
        <v>0</v>
      </c>
      <c r="M334" t="n">
        <v>0</v>
      </c>
      <c r="N334" t="n">
        <v>0</v>
      </c>
      <c r="O334" t="n">
        <v>0</v>
      </c>
      <c r="P334" t="n">
        <v>0</v>
      </c>
      <c r="Q334" t="n">
        <v>0</v>
      </c>
      <c r="R334" s="2" t="inlineStr"/>
    </row>
    <row r="335" ht="15" customHeight="1">
      <c r="A335" t="inlineStr">
        <is>
          <t>A 60808-2024</t>
        </is>
      </c>
      <c r="B335" s="1" t="n">
        <v>45644.61251157407</v>
      </c>
      <c r="C335" s="1" t="n">
        <v>46000</v>
      </c>
      <c r="D335" t="inlineStr">
        <is>
          <t>DALARNAS LÄN</t>
        </is>
      </c>
      <c r="E335" t="inlineStr">
        <is>
          <t>HEDEMORA</t>
        </is>
      </c>
      <c r="G335" t="n">
        <v>6</v>
      </c>
      <c r="H335" t="n">
        <v>0</v>
      </c>
      <c r="I335" t="n">
        <v>0</v>
      </c>
      <c r="J335" t="n">
        <v>0</v>
      </c>
      <c r="K335" t="n">
        <v>0</v>
      </c>
      <c r="L335" t="n">
        <v>0</v>
      </c>
      <c r="M335" t="n">
        <v>0</v>
      </c>
      <c r="N335" t="n">
        <v>0</v>
      </c>
      <c r="O335" t="n">
        <v>0</v>
      </c>
      <c r="P335" t="n">
        <v>0</v>
      </c>
      <c r="Q335" t="n">
        <v>0</v>
      </c>
      <c r="R335" s="2" t="inlineStr"/>
    </row>
    <row r="336" ht="15" customHeight="1">
      <c r="A336" t="inlineStr">
        <is>
          <t>A 14951-2025</t>
        </is>
      </c>
      <c r="B336" s="1" t="n">
        <v>45743.57695601852</v>
      </c>
      <c r="C336" s="1" t="n">
        <v>46000</v>
      </c>
      <c r="D336" t="inlineStr">
        <is>
          <t>DALARNAS LÄN</t>
        </is>
      </c>
      <c r="E336" t="inlineStr">
        <is>
          <t>HEDEMORA</t>
        </is>
      </c>
      <c r="G336" t="n">
        <v>1.6</v>
      </c>
      <c r="H336" t="n">
        <v>0</v>
      </c>
      <c r="I336" t="n">
        <v>0</v>
      </c>
      <c r="J336" t="n">
        <v>0</v>
      </c>
      <c r="K336" t="n">
        <v>0</v>
      </c>
      <c r="L336" t="n">
        <v>0</v>
      </c>
      <c r="M336" t="n">
        <v>0</v>
      </c>
      <c r="N336" t="n">
        <v>0</v>
      </c>
      <c r="O336" t="n">
        <v>0</v>
      </c>
      <c r="P336" t="n">
        <v>0</v>
      </c>
      <c r="Q336" t="n">
        <v>0</v>
      </c>
      <c r="R336" s="2" t="inlineStr"/>
    </row>
    <row r="337" ht="15" customHeight="1">
      <c r="A337" t="inlineStr">
        <is>
          <t>A 385-2024</t>
        </is>
      </c>
      <c r="B337" s="1" t="n">
        <v>45296</v>
      </c>
      <c r="C337" s="1" t="n">
        <v>46000</v>
      </c>
      <c r="D337" t="inlineStr">
        <is>
          <t>DALARNAS LÄN</t>
        </is>
      </c>
      <c r="E337" t="inlineStr">
        <is>
          <t>HEDEMORA</t>
        </is>
      </c>
      <c r="G337" t="n">
        <v>1.7</v>
      </c>
      <c r="H337" t="n">
        <v>0</v>
      </c>
      <c r="I337" t="n">
        <v>0</v>
      </c>
      <c r="J337" t="n">
        <v>0</v>
      </c>
      <c r="K337" t="n">
        <v>0</v>
      </c>
      <c r="L337" t="n">
        <v>0</v>
      </c>
      <c r="M337" t="n">
        <v>0</v>
      </c>
      <c r="N337" t="n">
        <v>0</v>
      </c>
      <c r="O337" t="n">
        <v>0</v>
      </c>
      <c r="P337" t="n">
        <v>0</v>
      </c>
      <c r="Q337" t="n">
        <v>0</v>
      </c>
      <c r="R337" s="2" t="inlineStr"/>
    </row>
    <row r="338" ht="15" customHeight="1">
      <c r="A338" t="inlineStr">
        <is>
          <t>A 29123-2021</t>
        </is>
      </c>
      <c r="B338" s="1" t="n">
        <v>44358</v>
      </c>
      <c r="C338" s="1" t="n">
        <v>46000</v>
      </c>
      <c r="D338" t="inlineStr">
        <is>
          <t>DALARNAS LÄN</t>
        </is>
      </c>
      <c r="E338" t="inlineStr">
        <is>
          <t>HEDEMORA</t>
        </is>
      </c>
      <c r="G338" t="n">
        <v>5.6</v>
      </c>
      <c r="H338" t="n">
        <v>0</v>
      </c>
      <c r="I338" t="n">
        <v>0</v>
      </c>
      <c r="J338" t="n">
        <v>0</v>
      </c>
      <c r="K338" t="n">
        <v>0</v>
      </c>
      <c r="L338" t="n">
        <v>0</v>
      </c>
      <c r="M338" t="n">
        <v>0</v>
      </c>
      <c r="N338" t="n">
        <v>0</v>
      </c>
      <c r="O338" t="n">
        <v>0</v>
      </c>
      <c r="P338" t="n">
        <v>0</v>
      </c>
      <c r="Q338" t="n">
        <v>0</v>
      </c>
      <c r="R338" s="2" t="inlineStr"/>
    </row>
    <row r="339" ht="15" customHeight="1">
      <c r="A339" t="inlineStr">
        <is>
          <t>A 38947-2023</t>
        </is>
      </c>
      <c r="B339" s="1" t="n">
        <v>45163.61209490741</v>
      </c>
      <c r="C339" s="1" t="n">
        <v>46000</v>
      </c>
      <c r="D339" t="inlineStr">
        <is>
          <t>DALARNAS LÄN</t>
        </is>
      </c>
      <c r="E339" t="inlineStr">
        <is>
          <t>HEDEMORA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38951-2023</t>
        </is>
      </c>
      <c r="B340" s="1" t="n">
        <v>45163.61413194444</v>
      </c>
      <c r="C340" s="1" t="n">
        <v>46000</v>
      </c>
      <c r="D340" t="inlineStr">
        <is>
          <t>DALARNAS LÄN</t>
        </is>
      </c>
      <c r="E340" t="inlineStr">
        <is>
          <t>HEDEMORA</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55881-2023</t>
        </is>
      </c>
      <c r="B341" s="1" t="n">
        <v>45239</v>
      </c>
      <c r="C341" s="1" t="n">
        <v>46000</v>
      </c>
      <c r="D341" t="inlineStr">
        <is>
          <t>DALARNAS LÄN</t>
        </is>
      </c>
      <c r="E341" t="inlineStr">
        <is>
          <t>HEDEMORA</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15833-2025</t>
        </is>
      </c>
      <c r="B342" s="1" t="n">
        <v>45748.85107638889</v>
      </c>
      <c r="C342" s="1" t="n">
        <v>46000</v>
      </c>
      <c r="D342" t="inlineStr">
        <is>
          <t>DALARNAS LÄN</t>
        </is>
      </c>
      <c r="E342" t="inlineStr">
        <is>
          <t>HEDEMORA</t>
        </is>
      </c>
      <c r="G342" t="n">
        <v>0.4</v>
      </c>
      <c r="H342" t="n">
        <v>0</v>
      </c>
      <c r="I342" t="n">
        <v>0</v>
      </c>
      <c r="J342" t="n">
        <v>0</v>
      </c>
      <c r="K342" t="n">
        <v>0</v>
      </c>
      <c r="L342" t="n">
        <v>0</v>
      </c>
      <c r="M342" t="n">
        <v>0</v>
      </c>
      <c r="N342" t="n">
        <v>0</v>
      </c>
      <c r="O342" t="n">
        <v>0</v>
      </c>
      <c r="P342" t="n">
        <v>0</v>
      </c>
      <c r="Q342" t="n">
        <v>0</v>
      </c>
      <c r="R342" s="2" t="inlineStr"/>
    </row>
    <row r="343" ht="15" customHeight="1">
      <c r="A343" t="inlineStr">
        <is>
          <t>A 62046-2022</t>
        </is>
      </c>
      <c r="B343" s="1" t="n">
        <v>44918.5633912037</v>
      </c>
      <c r="C343" s="1" t="n">
        <v>46000</v>
      </c>
      <c r="D343" t="inlineStr">
        <is>
          <t>DALARNAS LÄN</t>
        </is>
      </c>
      <c r="E343" t="inlineStr">
        <is>
          <t>HEDEMORA</t>
        </is>
      </c>
      <c r="G343" t="n">
        <v>1.2</v>
      </c>
      <c r="H343" t="n">
        <v>0</v>
      </c>
      <c r="I343" t="n">
        <v>0</v>
      </c>
      <c r="J343" t="n">
        <v>0</v>
      </c>
      <c r="K343" t="n">
        <v>0</v>
      </c>
      <c r="L343" t="n">
        <v>0</v>
      </c>
      <c r="M343" t="n">
        <v>0</v>
      </c>
      <c r="N343" t="n">
        <v>0</v>
      </c>
      <c r="O343" t="n">
        <v>0</v>
      </c>
      <c r="P343" t="n">
        <v>0</v>
      </c>
      <c r="Q343" t="n">
        <v>0</v>
      </c>
      <c r="R343" s="2" t="inlineStr"/>
    </row>
    <row r="344" ht="15" customHeight="1">
      <c r="A344" t="inlineStr">
        <is>
          <t>A 29301-2023</t>
        </is>
      </c>
      <c r="B344" s="1" t="n">
        <v>45105</v>
      </c>
      <c r="C344" s="1" t="n">
        <v>46000</v>
      </c>
      <c r="D344" t="inlineStr">
        <is>
          <t>DALARNAS LÄN</t>
        </is>
      </c>
      <c r="E344" t="inlineStr">
        <is>
          <t>HEDEMORA</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18522-2021</t>
        </is>
      </c>
      <c r="B345" s="1" t="n">
        <v>44306.4405787037</v>
      </c>
      <c r="C345" s="1" t="n">
        <v>46000</v>
      </c>
      <c r="D345" t="inlineStr">
        <is>
          <t>DALARNAS LÄN</t>
        </is>
      </c>
      <c r="E345" t="inlineStr">
        <is>
          <t>HEDEMORA</t>
        </is>
      </c>
      <c r="G345" t="n">
        <v>7</v>
      </c>
      <c r="H345" t="n">
        <v>0</v>
      </c>
      <c r="I345" t="n">
        <v>0</v>
      </c>
      <c r="J345" t="n">
        <v>0</v>
      </c>
      <c r="K345" t="n">
        <v>0</v>
      </c>
      <c r="L345" t="n">
        <v>0</v>
      </c>
      <c r="M345" t="n">
        <v>0</v>
      </c>
      <c r="N345" t="n">
        <v>0</v>
      </c>
      <c r="O345" t="n">
        <v>0</v>
      </c>
      <c r="P345" t="n">
        <v>0</v>
      </c>
      <c r="Q345" t="n">
        <v>0</v>
      </c>
      <c r="R345" s="2" t="inlineStr"/>
    </row>
    <row r="346" ht="15" customHeight="1">
      <c r="A346" t="inlineStr">
        <is>
          <t>A 53923-2024</t>
        </is>
      </c>
      <c r="B346" s="1" t="n">
        <v>45615.79806712963</v>
      </c>
      <c r="C346" s="1" t="n">
        <v>46000</v>
      </c>
      <c r="D346" t="inlineStr">
        <is>
          <t>DALARNAS LÄN</t>
        </is>
      </c>
      <c r="E346" t="inlineStr">
        <is>
          <t>HEDEMORA</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17645-2022</t>
        </is>
      </c>
      <c r="B347" s="1" t="n">
        <v>44680.47903935185</v>
      </c>
      <c r="C347" s="1" t="n">
        <v>46000</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44384-2024</t>
        </is>
      </c>
      <c r="B348" s="1" t="n">
        <v>45573.67782407408</v>
      </c>
      <c r="C348" s="1" t="n">
        <v>46000</v>
      </c>
      <c r="D348" t="inlineStr">
        <is>
          <t>DALARNAS LÄN</t>
        </is>
      </c>
      <c r="E348" t="inlineStr">
        <is>
          <t>HEDEMORA</t>
        </is>
      </c>
      <c r="F348" t="inlineStr">
        <is>
          <t>Bergvik skog väst AB</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44388-2024</t>
        </is>
      </c>
      <c r="B349" s="1" t="n">
        <v>45573.68875</v>
      </c>
      <c r="C349" s="1" t="n">
        <v>46000</v>
      </c>
      <c r="D349" t="inlineStr">
        <is>
          <t>DALARNAS LÄN</t>
        </is>
      </c>
      <c r="E349" t="inlineStr">
        <is>
          <t>HEDEMORA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39530-2024</t>
        </is>
      </c>
      <c r="B350" s="1" t="n">
        <v>45551</v>
      </c>
      <c r="C350" s="1" t="n">
        <v>46000</v>
      </c>
      <c r="D350" t="inlineStr">
        <is>
          <t>DALARNAS LÄN</t>
        </is>
      </c>
      <c r="E350" t="inlineStr">
        <is>
          <t>HEDEMORA</t>
        </is>
      </c>
      <c r="F350" t="inlineStr">
        <is>
          <t>Bergvik skog väst AB</t>
        </is>
      </c>
      <c r="G350" t="n">
        <v>13.8</v>
      </c>
      <c r="H350" t="n">
        <v>0</v>
      </c>
      <c r="I350" t="n">
        <v>0</v>
      </c>
      <c r="J350" t="n">
        <v>0</v>
      </c>
      <c r="K350" t="n">
        <v>0</v>
      </c>
      <c r="L350" t="n">
        <v>0</v>
      </c>
      <c r="M350" t="n">
        <v>0</v>
      </c>
      <c r="N350" t="n">
        <v>0</v>
      </c>
      <c r="O350" t="n">
        <v>0</v>
      </c>
      <c r="P350" t="n">
        <v>0</v>
      </c>
      <c r="Q350" t="n">
        <v>0</v>
      </c>
      <c r="R350" s="2" t="inlineStr"/>
    </row>
    <row r="351" ht="15" customHeight="1">
      <c r="A351" t="inlineStr">
        <is>
          <t>A 39531-2024</t>
        </is>
      </c>
      <c r="B351" s="1" t="n">
        <v>45551</v>
      </c>
      <c r="C351" s="1" t="n">
        <v>46000</v>
      </c>
      <c r="D351" t="inlineStr">
        <is>
          <t>DALARNAS LÄN</t>
        </is>
      </c>
      <c r="E351" t="inlineStr">
        <is>
          <t>HEDEMORA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39552-2024</t>
        </is>
      </c>
      <c r="B352" s="1" t="n">
        <v>45551</v>
      </c>
      <c r="C352" s="1" t="n">
        <v>46000</v>
      </c>
      <c r="D352" t="inlineStr">
        <is>
          <t>DALARNAS LÄN</t>
        </is>
      </c>
      <c r="E352" t="inlineStr">
        <is>
          <t>HEDEMORA</t>
        </is>
      </c>
      <c r="F352" t="inlineStr">
        <is>
          <t>Bergvik skog väst AB</t>
        </is>
      </c>
      <c r="G352" t="n">
        <v>24.1</v>
      </c>
      <c r="H352" t="n">
        <v>0</v>
      </c>
      <c r="I352" t="n">
        <v>0</v>
      </c>
      <c r="J352" t="n">
        <v>0</v>
      </c>
      <c r="K352" t="n">
        <v>0</v>
      </c>
      <c r="L352" t="n">
        <v>0</v>
      </c>
      <c r="M352" t="n">
        <v>0</v>
      </c>
      <c r="N352" t="n">
        <v>0</v>
      </c>
      <c r="O352" t="n">
        <v>0</v>
      </c>
      <c r="P352" t="n">
        <v>0</v>
      </c>
      <c r="Q352" t="n">
        <v>0</v>
      </c>
      <c r="R352" s="2" t="inlineStr"/>
    </row>
    <row r="353" ht="15" customHeight="1">
      <c r="A353" t="inlineStr">
        <is>
          <t>A 1973-2022</t>
        </is>
      </c>
      <c r="B353" s="1" t="n">
        <v>44575</v>
      </c>
      <c r="C353" s="1" t="n">
        <v>46000</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17600-2025</t>
        </is>
      </c>
      <c r="B354" s="1" t="n">
        <v>45757.71063657408</v>
      </c>
      <c r="C354" s="1" t="n">
        <v>46000</v>
      </c>
      <c r="D354" t="inlineStr">
        <is>
          <t>DALARNAS LÄN</t>
        </is>
      </c>
      <c r="E354" t="inlineStr">
        <is>
          <t>HEDEMORA</t>
        </is>
      </c>
      <c r="G354" t="n">
        <v>1.4</v>
      </c>
      <c r="H354" t="n">
        <v>0</v>
      </c>
      <c r="I354" t="n">
        <v>0</v>
      </c>
      <c r="J354" t="n">
        <v>0</v>
      </c>
      <c r="K354" t="n">
        <v>0</v>
      </c>
      <c r="L354" t="n">
        <v>0</v>
      </c>
      <c r="M354" t="n">
        <v>0</v>
      </c>
      <c r="N354" t="n">
        <v>0</v>
      </c>
      <c r="O354" t="n">
        <v>0</v>
      </c>
      <c r="P354" t="n">
        <v>0</v>
      </c>
      <c r="Q354" t="n">
        <v>0</v>
      </c>
      <c r="R354" s="2" t="inlineStr"/>
    </row>
    <row r="355" ht="15" customHeight="1">
      <c r="A355" t="inlineStr">
        <is>
          <t>A 25691-2022</t>
        </is>
      </c>
      <c r="B355" s="1" t="n">
        <v>44733</v>
      </c>
      <c r="C355" s="1" t="n">
        <v>46000</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60475-2022</t>
        </is>
      </c>
      <c r="B356" s="1" t="n">
        <v>44911.41222222222</v>
      </c>
      <c r="C356" s="1" t="n">
        <v>46000</v>
      </c>
      <c r="D356" t="inlineStr">
        <is>
          <t>DALARNAS LÄN</t>
        </is>
      </c>
      <c r="E356" t="inlineStr">
        <is>
          <t>HEDEMORA</t>
        </is>
      </c>
      <c r="G356" t="n">
        <v>1</v>
      </c>
      <c r="H356" t="n">
        <v>0</v>
      </c>
      <c r="I356" t="n">
        <v>0</v>
      </c>
      <c r="J356" t="n">
        <v>0</v>
      </c>
      <c r="K356" t="n">
        <v>0</v>
      </c>
      <c r="L356" t="n">
        <v>0</v>
      </c>
      <c r="M356" t="n">
        <v>0</v>
      </c>
      <c r="N356" t="n">
        <v>0</v>
      </c>
      <c r="O356" t="n">
        <v>0</v>
      </c>
      <c r="P356" t="n">
        <v>0</v>
      </c>
      <c r="Q356" t="n">
        <v>0</v>
      </c>
      <c r="R356" s="2" t="inlineStr"/>
    </row>
    <row r="357" ht="15" customHeight="1">
      <c r="A357" t="inlineStr">
        <is>
          <t>A 63925-2023</t>
        </is>
      </c>
      <c r="B357" s="1" t="n">
        <v>45278</v>
      </c>
      <c r="C357" s="1" t="n">
        <v>46000</v>
      </c>
      <c r="D357" t="inlineStr">
        <is>
          <t>DALARNAS LÄN</t>
        </is>
      </c>
      <c r="E357" t="inlineStr">
        <is>
          <t>HEDEMORA</t>
        </is>
      </c>
      <c r="G357" t="n">
        <v>5.2</v>
      </c>
      <c r="H357" t="n">
        <v>0</v>
      </c>
      <c r="I357" t="n">
        <v>0</v>
      </c>
      <c r="J357" t="n">
        <v>0</v>
      </c>
      <c r="K357" t="n">
        <v>0</v>
      </c>
      <c r="L357" t="n">
        <v>0</v>
      </c>
      <c r="M357" t="n">
        <v>0</v>
      </c>
      <c r="N357" t="n">
        <v>0</v>
      </c>
      <c r="O357" t="n">
        <v>0</v>
      </c>
      <c r="P357" t="n">
        <v>0</v>
      </c>
      <c r="Q357" t="n">
        <v>0</v>
      </c>
      <c r="R357" s="2" t="inlineStr"/>
    </row>
    <row r="358" ht="15" customHeight="1">
      <c r="A358" t="inlineStr">
        <is>
          <t>A 60408-2021</t>
        </is>
      </c>
      <c r="B358" s="1" t="n">
        <v>44495</v>
      </c>
      <c r="C358" s="1" t="n">
        <v>46000</v>
      </c>
      <c r="D358" t="inlineStr">
        <is>
          <t>DALARNAS LÄN</t>
        </is>
      </c>
      <c r="E358" t="inlineStr">
        <is>
          <t>HEDEMORA</t>
        </is>
      </c>
      <c r="G358" t="n">
        <v>0.7</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46000</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62401-2023</t>
        </is>
      </c>
      <c r="B360" s="1" t="n">
        <v>45268</v>
      </c>
      <c r="C360" s="1" t="n">
        <v>46000</v>
      </c>
      <c r="D360" t="inlineStr">
        <is>
          <t>DALARNAS LÄN</t>
        </is>
      </c>
      <c r="E360" t="inlineStr">
        <is>
          <t>HEDEMORA</t>
        </is>
      </c>
      <c r="G360" t="n">
        <v>1.6</v>
      </c>
      <c r="H360" t="n">
        <v>0</v>
      </c>
      <c r="I360" t="n">
        <v>0</v>
      </c>
      <c r="J360" t="n">
        <v>0</v>
      </c>
      <c r="K360" t="n">
        <v>0</v>
      </c>
      <c r="L360" t="n">
        <v>0</v>
      </c>
      <c r="M360" t="n">
        <v>0</v>
      </c>
      <c r="N360" t="n">
        <v>0</v>
      </c>
      <c r="O360" t="n">
        <v>0</v>
      </c>
      <c r="P360" t="n">
        <v>0</v>
      </c>
      <c r="Q360" t="n">
        <v>0</v>
      </c>
      <c r="R360" s="2" t="inlineStr"/>
    </row>
    <row r="361" ht="15" customHeight="1">
      <c r="A361" t="inlineStr">
        <is>
          <t>A 48320-2024</t>
        </is>
      </c>
      <c r="B361" s="1" t="n">
        <v>45590.4999537037</v>
      </c>
      <c r="C361" s="1" t="n">
        <v>46000</v>
      </c>
      <c r="D361" t="inlineStr">
        <is>
          <t>DALARNAS LÄN</t>
        </is>
      </c>
      <c r="E361" t="inlineStr">
        <is>
          <t>HEDEMORA</t>
        </is>
      </c>
      <c r="F361" t="inlineStr">
        <is>
          <t>Sveaskog</t>
        </is>
      </c>
      <c r="G361" t="n">
        <v>4.9</v>
      </c>
      <c r="H361" t="n">
        <v>0</v>
      </c>
      <c r="I361" t="n">
        <v>0</v>
      </c>
      <c r="J361" t="n">
        <v>0</v>
      </c>
      <c r="K361" t="n">
        <v>0</v>
      </c>
      <c r="L361" t="n">
        <v>0</v>
      </c>
      <c r="M361" t="n">
        <v>0</v>
      </c>
      <c r="N361" t="n">
        <v>0</v>
      </c>
      <c r="O361" t="n">
        <v>0</v>
      </c>
      <c r="P361" t="n">
        <v>0</v>
      </c>
      <c r="Q361" t="n">
        <v>0</v>
      </c>
      <c r="R361" s="2" t="inlineStr"/>
    </row>
    <row r="362" ht="15" customHeight="1">
      <c r="A362" t="inlineStr">
        <is>
          <t>A 58841-2023</t>
        </is>
      </c>
      <c r="B362" s="1" t="n">
        <v>45252.42115740741</v>
      </c>
      <c r="C362" s="1" t="n">
        <v>46000</v>
      </c>
      <c r="D362" t="inlineStr">
        <is>
          <t>DALARNAS LÄN</t>
        </is>
      </c>
      <c r="E362" t="inlineStr">
        <is>
          <t>HEDEMORA</t>
        </is>
      </c>
      <c r="G362" t="n">
        <v>14.8</v>
      </c>
      <c r="H362" t="n">
        <v>0</v>
      </c>
      <c r="I362" t="n">
        <v>0</v>
      </c>
      <c r="J362" t="n">
        <v>0</v>
      </c>
      <c r="K362" t="n">
        <v>0</v>
      </c>
      <c r="L362" t="n">
        <v>0</v>
      </c>
      <c r="M362" t="n">
        <v>0</v>
      </c>
      <c r="N362" t="n">
        <v>0</v>
      </c>
      <c r="O362" t="n">
        <v>0</v>
      </c>
      <c r="P362" t="n">
        <v>0</v>
      </c>
      <c r="Q362" t="n">
        <v>0</v>
      </c>
      <c r="R362" s="2" t="inlineStr"/>
    </row>
    <row r="363" ht="15" customHeight="1">
      <c r="A363" t="inlineStr">
        <is>
          <t>A 19988-2025</t>
        </is>
      </c>
      <c r="B363" s="1" t="n">
        <v>45771.72665509259</v>
      </c>
      <c r="C363" s="1" t="n">
        <v>46000</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63908-2021</t>
        </is>
      </c>
      <c r="B364" s="1" t="n">
        <v>44509.6580787037</v>
      </c>
      <c r="C364" s="1" t="n">
        <v>46000</v>
      </c>
      <c r="D364" t="inlineStr">
        <is>
          <t>DALARNAS LÄN</t>
        </is>
      </c>
      <c r="E364" t="inlineStr">
        <is>
          <t>HEDEMORA</t>
        </is>
      </c>
      <c r="G364" t="n">
        <v>1.4</v>
      </c>
      <c r="H364" t="n">
        <v>0</v>
      </c>
      <c r="I364" t="n">
        <v>0</v>
      </c>
      <c r="J364" t="n">
        <v>0</v>
      </c>
      <c r="K364" t="n">
        <v>0</v>
      </c>
      <c r="L364" t="n">
        <v>0</v>
      </c>
      <c r="M364" t="n">
        <v>0</v>
      </c>
      <c r="N364" t="n">
        <v>0</v>
      </c>
      <c r="O364" t="n">
        <v>0</v>
      </c>
      <c r="P364" t="n">
        <v>0</v>
      </c>
      <c r="Q364" t="n">
        <v>0</v>
      </c>
      <c r="R364" s="2" t="inlineStr"/>
    </row>
    <row r="365" ht="15" customHeight="1">
      <c r="A365" t="inlineStr">
        <is>
          <t>A 20272-2025</t>
        </is>
      </c>
      <c r="B365" s="1" t="n">
        <v>45773.71663194444</v>
      </c>
      <c r="C365" s="1" t="n">
        <v>46000</v>
      </c>
      <c r="D365" t="inlineStr">
        <is>
          <t>DALARNAS LÄN</t>
        </is>
      </c>
      <c r="E365" t="inlineStr">
        <is>
          <t>HEDEMORA</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9314-2024</t>
        </is>
      </c>
      <c r="B366" s="1" t="n">
        <v>45358</v>
      </c>
      <c r="C366" s="1" t="n">
        <v>46000</v>
      </c>
      <c r="D366" t="inlineStr">
        <is>
          <t>DALARNAS LÄN</t>
        </is>
      </c>
      <c r="E366" t="inlineStr">
        <is>
          <t>HEDEMORA</t>
        </is>
      </c>
      <c r="G366" t="n">
        <v>1.4</v>
      </c>
      <c r="H366" t="n">
        <v>0</v>
      </c>
      <c r="I366" t="n">
        <v>0</v>
      </c>
      <c r="J366" t="n">
        <v>0</v>
      </c>
      <c r="K366" t="n">
        <v>0</v>
      </c>
      <c r="L366" t="n">
        <v>0</v>
      </c>
      <c r="M366" t="n">
        <v>0</v>
      </c>
      <c r="N366" t="n">
        <v>0</v>
      </c>
      <c r="O366" t="n">
        <v>0</v>
      </c>
      <c r="P366" t="n">
        <v>0</v>
      </c>
      <c r="Q366" t="n">
        <v>0</v>
      </c>
      <c r="R366" s="2" t="inlineStr"/>
    </row>
    <row r="367" ht="15" customHeight="1">
      <c r="A367" t="inlineStr">
        <is>
          <t>A 55882-2023</t>
        </is>
      </c>
      <c r="B367" s="1" t="n">
        <v>45239</v>
      </c>
      <c r="C367" s="1" t="n">
        <v>46000</v>
      </c>
      <c r="D367" t="inlineStr">
        <is>
          <t>DALARNAS LÄN</t>
        </is>
      </c>
      <c r="E367" t="inlineStr">
        <is>
          <t>HEDEMORA</t>
        </is>
      </c>
      <c r="F367" t="inlineStr">
        <is>
          <t>Sveaskog</t>
        </is>
      </c>
      <c r="G367" t="n">
        <v>5.2</v>
      </c>
      <c r="H367" t="n">
        <v>0</v>
      </c>
      <c r="I367" t="n">
        <v>0</v>
      </c>
      <c r="J367" t="n">
        <v>0</v>
      </c>
      <c r="K367" t="n">
        <v>0</v>
      </c>
      <c r="L367" t="n">
        <v>0</v>
      </c>
      <c r="M367" t="n">
        <v>0</v>
      </c>
      <c r="N367" t="n">
        <v>0</v>
      </c>
      <c r="O367" t="n">
        <v>0</v>
      </c>
      <c r="P367" t="n">
        <v>0</v>
      </c>
      <c r="Q367" t="n">
        <v>0</v>
      </c>
      <c r="R367" s="2" t="inlineStr"/>
    </row>
    <row r="368" ht="15" customHeight="1">
      <c r="A368" t="inlineStr">
        <is>
          <t>A 19990-2025</t>
        </is>
      </c>
      <c r="B368" s="1" t="n">
        <v>45771.73082175926</v>
      </c>
      <c r="C368" s="1" t="n">
        <v>46000</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21763-2024</t>
        </is>
      </c>
      <c r="B369" s="1" t="n">
        <v>45442.60204861111</v>
      </c>
      <c r="C369" s="1" t="n">
        <v>46000</v>
      </c>
      <c r="D369" t="inlineStr">
        <is>
          <t>DALARNAS LÄN</t>
        </is>
      </c>
      <c r="E369" t="inlineStr">
        <is>
          <t>HEDEMORA</t>
        </is>
      </c>
      <c r="G369" t="n">
        <v>1.6</v>
      </c>
      <c r="H369" t="n">
        <v>0</v>
      </c>
      <c r="I369" t="n">
        <v>0</v>
      </c>
      <c r="J369" t="n">
        <v>0</v>
      </c>
      <c r="K369" t="n">
        <v>0</v>
      </c>
      <c r="L369" t="n">
        <v>0</v>
      </c>
      <c r="M369" t="n">
        <v>0</v>
      </c>
      <c r="N369" t="n">
        <v>0</v>
      </c>
      <c r="O369" t="n">
        <v>0</v>
      </c>
      <c r="P369" t="n">
        <v>0</v>
      </c>
      <c r="Q369" t="n">
        <v>0</v>
      </c>
      <c r="R369" s="2" t="inlineStr"/>
    </row>
    <row r="370" ht="15" customHeight="1">
      <c r="A370" t="inlineStr">
        <is>
          <t>A 17594-2025</t>
        </is>
      </c>
      <c r="B370" s="1" t="n">
        <v>45757</v>
      </c>
      <c r="C370" s="1" t="n">
        <v>46000</v>
      </c>
      <c r="D370" t="inlineStr">
        <is>
          <t>DALARNAS LÄN</t>
        </is>
      </c>
      <c r="E370" t="inlineStr">
        <is>
          <t>HEDEMORA</t>
        </is>
      </c>
      <c r="G370" t="n">
        <v>0.6</v>
      </c>
      <c r="H370" t="n">
        <v>0</v>
      </c>
      <c r="I370" t="n">
        <v>0</v>
      </c>
      <c r="J370" t="n">
        <v>0</v>
      </c>
      <c r="K370" t="n">
        <v>0</v>
      </c>
      <c r="L370" t="n">
        <v>0</v>
      </c>
      <c r="M370" t="n">
        <v>0</v>
      </c>
      <c r="N370" t="n">
        <v>0</v>
      </c>
      <c r="O370" t="n">
        <v>0</v>
      </c>
      <c r="P370" t="n">
        <v>0</v>
      </c>
      <c r="Q370" t="n">
        <v>0</v>
      </c>
      <c r="R370" s="2" t="inlineStr"/>
    </row>
    <row r="371" ht="15" customHeight="1">
      <c r="A371" t="inlineStr">
        <is>
          <t>A 37762-2024</t>
        </is>
      </c>
      <c r="B371" s="1" t="n">
        <v>45541.79369212963</v>
      </c>
      <c r="C371" s="1" t="n">
        <v>46000</v>
      </c>
      <c r="D371" t="inlineStr">
        <is>
          <t>DALARNAS LÄN</t>
        </is>
      </c>
      <c r="E371" t="inlineStr">
        <is>
          <t>HEDEMORA</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19987-2025</t>
        </is>
      </c>
      <c r="B372" s="1" t="n">
        <v>45771.72193287037</v>
      </c>
      <c r="C372" s="1" t="n">
        <v>46000</v>
      </c>
      <c r="D372" t="inlineStr">
        <is>
          <t>DALARNAS LÄN</t>
        </is>
      </c>
      <c r="E372" t="inlineStr">
        <is>
          <t>HEDEMORA</t>
        </is>
      </c>
      <c r="G372" t="n">
        <v>3</v>
      </c>
      <c r="H372" t="n">
        <v>0</v>
      </c>
      <c r="I372" t="n">
        <v>0</v>
      </c>
      <c r="J372" t="n">
        <v>0</v>
      </c>
      <c r="K372" t="n">
        <v>0</v>
      </c>
      <c r="L372" t="n">
        <v>0</v>
      </c>
      <c r="M372" t="n">
        <v>0</v>
      </c>
      <c r="N372" t="n">
        <v>0</v>
      </c>
      <c r="O372" t="n">
        <v>0</v>
      </c>
      <c r="P372" t="n">
        <v>0</v>
      </c>
      <c r="Q372" t="n">
        <v>0</v>
      </c>
      <c r="R372" s="2" t="inlineStr"/>
    </row>
    <row r="373" ht="15" customHeight="1">
      <c r="A373" t="inlineStr">
        <is>
          <t>A 28813-2024</t>
        </is>
      </c>
      <c r="B373" s="1" t="n">
        <v>45478.641875</v>
      </c>
      <c r="C373" s="1" t="n">
        <v>46000</v>
      </c>
      <c r="D373" t="inlineStr">
        <is>
          <t>DALARNAS LÄN</t>
        </is>
      </c>
      <c r="E373" t="inlineStr">
        <is>
          <t>HEDEMORA</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20670-2024</t>
        </is>
      </c>
      <c r="B374" s="1" t="n">
        <v>45436</v>
      </c>
      <c r="C374" s="1" t="n">
        <v>46000</v>
      </c>
      <c r="D374" t="inlineStr">
        <is>
          <t>DALARNAS LÄN</t>
        </is>
      </c>
      <c r="E374" t="inlineStr">
        <is>
          <t>HEDEMORA</t>
        </is>
      </c>
      <c r="G374" t="n">
        <v>2.7</v>
      </c>
      <c r="H374" t="n">
        <v>0</v>
      </c>
      <c r="I374" t="n">
        <v>0</v>
      </c>
      <c r="J374" t="n">
        <v>0</v>
      </c>
      <c r="K374" t="n">
        <v>0</v>
      </c>
      <c r="L374" t="n">
        <v>0</v>
      </c>
      <c r="M374" t="n">
        <v>0</v>
      </c>
      <c r="N374" t="n">
        <v>0</v>
      </c>
      <c r="O374" t="n">
        <v>0</v>
      </c>
      <c r="P374" t="n">
        <v>0</v>
      </c>
      <c r="Q374" t="n">
        <v>0</v>
      </c>
      <c r="R374" s="2" t="inlineStr"/>
    </row>
    <row r="375" ht="15" customHeight="1">
      <c r="A375" t="inlineStr">
        <is>
          <t>A 7052-2025</t>
        </is>
      </c>
      <c r="B375" s="1" t="n">
        <v>45701.64659722222</v>
      </c>
      <c r="C375" s="1" t="n">
        <v>46000</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48321-2024</t>
        </is>
      </c>
      <c r="B376" s="1" t="n">
        <v>45590.50111111111</v>
      </c>
      <c r="C376" s="1" t="n">
        <v>46000</v>
      </c>
      <c r="D376" t="inlineStr">
        <is>
          <t>DALARNAS LÄN</t>
        </is>
      </c>
      <c r="E376" t="inlineStr">
        <is>
          <t>HEDEMORA</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44909.58811342593</v>
      </c>
      <c r="C377" s="1" t="n">
        <v>46000</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14456-2021</t>
        </is>
      </c>
      <c r="B378" s="1" t="n">
        <v>44279.50208333333</v>
      </c>
      <c r="C378" s="1" t="n">
        <v>46000</v>
      </c>
      <c r="D378" t="inlineStr">
        <is>
          <t>DALARNAS LÄN</t>
        </is>
      </c>
      <c r="E378" t="inlineStr">
        <is>
          <t>HEDEMORA</t>
        </is>
      </c>
      <c r="G378" t="n">
        <v>1.2</v>
      </c>
      <c r="H378" t="n">
        <v>0</v>
      </c>
      <c r="I378" t="n">
        <v>0</v>
      </c>
      <c r="J378" t="n">
        <v>0</v>
      </c>
      <c r="K378" t="n">
        <v>0</v>
      </c>
      <c r="L378" t="n">
        <v>0</v>
      </c>
      <c r="M378" t="n">
        <v>0</v>
      </c>
      <c r="N378" t="n">
        <v>0</v>
      </c>
      <c r="O378" t="n">
        <v>0</v>
      </c>
      <c r="P378" t="n">
        <v>0</v>
      </c>
      <c r="Q378" t="n">
        <v>0</v>
      </c>
      <c r="R378" s="2" t="inlineStr"/>
    </row>
    <row r="379" ht="15" customHeight="1">
      <c r="A379" t="inlineStr">
        <is>
          <t>A 24427-2022</t>
        </is>
      </c>
      <c r="B379" s="1" t="n">
        <v>44726</v>
      </c>
      <c r="C379" s="1" t="n">
        <v>46000</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45589-2023</t>
        </is>
      </c>
      <c r="B380" s="1" t="n">
        <v>45194.63086805555</v>
      </c>
      <c r="C380" s="1" t="n">
        <v>46000</v>
      </c>
      <c r="D380" t="inlineStr">
        <is>
          <t>DALARNAS LÄN</t>
        </is>
      </c>
      <c r="E380" t="inlineStr">
        <is>
          <t>HEDEMORA</t>
        </is>
      </c>
      <c r="G380" t="n">
        <v>0.7</v>
      </c>
      <c r="H380" t="n">
        <v>0</v>
      </c>
      <c r="I380" t="n">
        <v>0</v>
      </c>
      <c r="J380" t="n">
        <v>0</v>
      </c>
      <c r="K380" t="n">
        <v>0</v>
      </c>
      <c r="L380" t="n">
        <v>0</v>
      </c>
      <c r="M380" t="n">
        <v>0</v>
      </c>
      <c r="N380" t="n">
        <v>0</v>
      </c>
      <c r="O380" t="n">
        <v>0</v>
      </c>
      <c r="P380" t="n">
        <v>0</v>
      </c>
      <c r="Q380" t="n">
        <v>0</v>
      </c>
      <c r="R380" s="2" t="inlineStr"/>
    </row>
    <row r="381" ht="15" customHeight="1">
      <c r="A381" t="inlineStr">
        <is>
          <t>A 48323-2021</t>
        </is>
      </c>
      <c r="B381" s="1" t="n">
        <v>44450.84762731481</v>
      </c>
      <c r="C381" s="1" t="n">
        <v>46000</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40919-2023</t>
        </is>
      </c>
      <c r="B382" s="1" t="n">
        <v>45173.42707175926</v>
      </c>
      <c r="C382" s="1" t="n">
        <v>46000</v>
      </c>
      <c r="D382" t="inlineStr">
        <is>
          <t>DALARNAS LÄN</t>
        </is>
      </c>
      <c r="E382" t="inlineStr">
        <is>
          <t>HEDEMORA</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1978-2021</t>
        </is>
      </c>
      <c r="B383" s="1" t="n">
        <v>44210.67606481481</v>
      </c>
      <c r="C383" s="1" t="n">
        <v>46000</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20237-2023</t>
        </is>
      </c>
      <c r="B384" s="1" t="n">
        <v>45055</v>
      </c>
      <c r="C384" s="1" t="n">
        <v>46000</v>
      </c>
      <c r="D384" t="inlineStr">
        <is>
          <t>DALARNAS LÄN</t>
        </is>
      </c>
      <c r="E384" t="inlineStr">
        <is>
          <t>HEDEMORA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68553-2021</t>
        </is>
      </c>
      <c r="B385" s="1" t="n">
        <v>44529</v>
      </c>
      <c r="C385" s="1" t="n">
        <v>46000</v>
      </c>
      <c r="D385" t="inlineStr">
        <is>
          <t>DALARNAS LÄN</t>
        </is>
      </c>
      <c r="E385" t="inlineStr">
        <is>
          <t>HEDEMORA</t>
        </is>
      </c>
      <c r="G385" t="n">
        <v>3</v>
      </c>
      <c r="H385" t="n">
        <v>0</v>
      </c>
      <c r="I385" t="n">
        <v>0</v>
      </c>
      <c r="J385" t="n">
        <v>0</v>
      </c>
      <c r="K385" t="n">
        <v>0</v>
      </c>
      <c r="L385" t="n">
        <v>0</v>
      </c>
      <c r="M385" t="n">
        <v>0</v>
      </c>
      <c r="N385" t="n">
        <v>0</v>
      </c>
      <c r="O385" t="n">
        <v>0</v>
      </c>
      <c r="P385" t="n">
        <v>0</v>
      </c>
      <c r="Q385" t="n">
        <v>0</v>
      </c>
      <c r="R385" s="2" t="inlineStr"/>
    </row>
    <row r="386" ht="15" customHeight="1">
      <c r="A386" t="inlineStr">
        <is>
          <t>A 30939-2023</t>
        </is>
      </c>
      <c r="B386" s="1" t="n">
        <v>45113.45597222223</v>
      </c>
      <c r="C386" s="1" t="n">
        <v>46000</v>
      </c>
      <c r="D386" t="inlineStr">
        <is>
          <t>DALARNAS LÄN</t>
        </is>
      </c>
      <c r="E386" t="inlineStr">
        <is>
          <t>HEDEMORA</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20965-2025</t>
        </is>
      </c>
      <c r="B387" s="1" t="n">
        <v>45777.45135416667</v>
      </c>
      <c r="C387" s="1" t="n">
        <v>46000</v>
      </c>
      <c r="D387" t="inlineStr">
        <is>
          <t>DALARNAS LÄN</t>
        </is>
      </c>
      <c r="E387" t="inlineStr">
        <is>
          <t>HEDEMORA</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30430-2023</t>
        </is>
      </c>
      <c r="B388" s="1" t="n">
        <v>45111.54344907407</v>
      </c>
      <c r="C388" s="1" t="n">
        <v>46000</v>
      </c>
      <c r="D388" t="inlineStr">
        <is>
          <t>DALARNAS LÄN</t>
        </is>
      </c>
      <c r="E388" t="inlineStr">
        <is>
          <t>HEDEMORA</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63941-2023</t>
        </is>
      </c>
      <c r="B389" s="1" t="n">
        <v>45278.61277777778</v>
      </c>
      <c r="C389" s="1" t="n">
        <v>46000</v>
      </c>
      <c r="D389" t="inlineStr">
        <is>
          <t>DALARNAS LÄN</t>
        </is>
      </c>
      <c r="E389" t="inlineStr">
        <is>
          <t>HEDEMORA</t>
        </is>
      </c>
      <c r="G389" t="n">
        <v>1.1</v>
      </c>
      <c r="H389" t="n">
        <v>0</v>
      </c>
      <c r="I389" t="n">
        <v>0</v>
      </c>
      <c r="J389" t="n">
        <v>0</v>
      </c>
      <c r="K389" t="n">
        <v>0</v>
      </c>
      <c r="L389" t="n">
        <v>0</v>
      </c>
      <c r="M389" t="n">
        <v>0</v>
      </c>
      <c r="N389" t="n">
        <v>0</v>
      </c>
      <c r="O389" t="n">
        <v>0</v>
      </c>
      <c r="P389" t="n">
        <v>0</v>
      </c>
      <c r="Q389" t="n">
        <v>0</v>
      </c>
      <c r="R389" s="2" t="inlineStr"/>
    </row>
    <row r="390" ht="15" customHeight="1">
      <c r="A390" t="inlineStr">
        <is>
          <t>A 48380-2024</t>
        </is>
      </c>
      <c r="B390" s="1" t="n">
        <v>45590</v>
      </c>
      <c r="C390" s="1" t="n">
        <v>46000</v>
      </c>
      <c r="D390" t="inlineStr">
        <is>
          <t>DALARNAS LÄN</t>
        </is>
      </c>
      <c r="E390" t="inlineStr">
        <is>
          <t>HEDEMORA</t>
        </is>
      </c>
      <c r="G390" t="n">
        <v>1.5</v>
      </c>
      <c r="H390" t="n">
        <v>0</v>
      </c>
      <c r="I390" t="n">
        <v>0</v>
      </c>
      <c r="J390" t="n">
        <v>0</v>
      </c>
      <c r="K390" t="n">
        <v>0</v>
      </c>
      <c r="L390" t="n">
        <v>0</v>
      </c>
      <c r="M390" t="n">
        <v>0</v>
      </c>
      <c r="N390" t="n">
        <v>0</v>
      </c>
      <c r="O390" t="n">
        <v>0</v>
      </c>
      <c r="P390" t="n">
        <v>0</v>
      </c>
      <c r="Q390" t="n">
        <v>0</v>
      </c>
      <c r="R390" s="2" t="inlineStr"/>
    </row>
    <row r="391" ht="15" customHeight="1">
      <c r="A391" t="inlineStr">
        <is>
          <t>A 43785-2023</t>
        </is>
      </c>
      <c r="B391" s="1" t="n">
        <v>45187</v>
      </c>
      <c r="C391" s="1" t="n">
        <v>46000</v>
      </c>
      <c r="D391" t="inlineStr">
        <is>
          <t>DALARNAS LÄN</t>
        </is>
      </c>
      <c r="E391" t="inlineStr">
        <is>
          <t>HEDEMORA</t>
        </is>
      </c>
      <c r="F391" t="inlineStr">
        <is>
          <t>Sveaskog</t>
        </is>
      </c>
      <c r="G391" t="n">
        <v>5.7</v>
      </c>
      <c r="H391" t="n">
        <v>0</v>
      </c>
      <c r="I391" t="n">
        <v>0</v>
      </c>
      <c r="J391" t="n">
        <v>0</v>
      </c>
      <c r="K391" t="n">
        <v>0</v>
      </c>
      <c r="L391" t="n">
        <v>0</v>
      </c>
      <c r="M391" t="n">
        <v>0</v>
      </c>
      <c r="N391" t="n">
        <v>0</v>
      </c>
      <c r="O391" t="n">
        <v>0</v>
      </c>
      <c r="P391" t="n">
        <v>0</v>
      </c>
      <c r="Q391" t="n">
        <v>0</v>
      </c>
      <c r="R391" s="2" t="inlineStr"/>
    </row>
    <row r="392">
      <c r="A392" t="inlineStr">
        <is>
          <t>A 6210-2024</t>
        </is>
      </c>
      <c r="B392" s="1" t="n">
        <v>45337</v>
      </c>
      <c r="C392" s="1" t="n">
        <v>46000</v>
      </c>
      <c r="D392" t="inlineStr">
        <is>
          <t>DALARNAS LÄN</t>
        </is>
      </c>
      <c r="E392" t="inlineStr">
        <is>
          <t>HEDEMORA</t>
        </is>
      </c>
      <c r="G392" t="n">
        <v>2.6</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2025-12-09T10:25:54Z</dcterms:created>
  <dcterms:modified xmlns:dcterms="http://purl.org/dc/terms/" xmlns:xsi="http://www.w3.org/2001/XMLSchema-instance" xsi:type="dcterms:W3CDTF">2025-12-09T10:25:54Z</dcterms:modified>
</cp:coreProperties>
</file>