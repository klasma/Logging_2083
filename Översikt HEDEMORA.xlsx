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45964</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45964</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45964</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45964</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45964</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45964</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34929-2024</t>
        </is>
      </c>
      <c r="B9" s="1" t="n">
        <v>45527.44895833333</v>
      </c>
      <c r="C9" s="1" t="n">
        <v>45964</v>
      </c>
      <c r="D9" t="inlineStr">
        <is>
          <t>DALARNAS LÄN</t>
        </is>
      </c>
      <c r="E9" t="inlineStr">
        <is>
          <t>HEDEMORA</t>
        </is>
      </c>
      <c r="F9" t="inlineStr">
        <is>
          <t>Sveaskog</t>
        </is>
      </c>
      <c r="G9" t="n">
        <v>5.1</v>
      </c>
      <c r="H9" t="n">
        <v>2</v>
      </c>
      <c r="I9" t="n">
        <v>4</v>
      </c>
      <c r="J9" t="n">
        <v>3</v>
      </c>
      <c r="K9" t="n">
        <v>1</v>
      </c>
      <c r="L9" t="n">
        <v>0</v>
      </c>
      <c r="M9" t="n">
        <v>0</v>
      </c>
      <c r="N9" t="n">
        <v>0</v>
      </c>
      <c r="O9" t="n">
        <v>4</v>
      </c>
      <c r="P9" t="n">
        <v>1</v>
      </c>
      <c r="Q9" t="n">
        <v>9</v>
      </c>
      <c r="R9" s="2" t="inlineStr">
        <is>
          <t>Sammetstaggsvamp
Gul taggsvamp
Gultoppig fingersvamp
Svart taggsvamp
Olivspindling
Rödgul trumpetsvamp
Skogsknipprot
Svavelriska
Blåsippa</t>
        </is>
      </c>
      <c r="S9">
        <f>HYPERLINK("https://klasma.github.io/Logging_2083/artfynd/A 34929-2024 artfynd.xlsx", "A 34929-2024")</f>
        <v/>
      </c>
      <c r="T9">
        <f>HYPERLINK("https://klasma.github.io/Logging_2083/kartor/A 34929-2024 karta.png", "A 34929-2024")</f>
        <v/>
      </c>
      <c r="V9">
        <f>HYPERLINK("https://klasma.github.io/Logging_2083/klagomål/A 34929-2024 FSC-klagomål.docx", "A 34929-2024")</f>
        <v/>
      </c>
      <c r="W9">
        <f>HYPERLINK("https://klasma.github.io/Logging_2083/klagomålsmail/A 34929-2024 FSC-klagomål mail.docx", "A 34929-2024")</f>
        <v/>
      </c>
      <c r="X9">
        <f>HYPERLINK("https://klasma.github.io/Logging_2083/tillsyn/A 34929-2024 tillsynsbegäran.docx", "A 34929-2024")</f>
        <v/>
      </c>
      <c r="Y9">
        <f>HYPERLINK("https://klasma.github.io/Logging_2083/tillsynsmail/A 34929-2024 tillsynsbegäran mail.docx", "A 34929-2024")</f>
        <v/>
      </c>
    </row>
    <row r="10" ht="15" customHeight="1">
      <c r="A10" t="inlineStr">
        <is>
          <t>A 62040-2021</t>
        </is>
      </c>
      <c r="B10" s="1" t="n">
        <v>44502</v>
      </c>
      <c r="C10" s="1" t="n">
        <v>45964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45964</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66541-2020</t>
        </is>
      </c>
      <c r="B12" s="1" t="n">
        <v>44179</v>
      </c>
      <c r="C12" s="1" t="n">
        <v>45964</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45964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45277-2025</t>
        </is>
      </c>
      <c r="B14" s="1" t="n">
        <v>45919.71271990741</v>
      </c>
      <c r="C14" s="1" t="n">
        <v>45964</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49269-2024</t>
        </is>
      </c>
      <c r="B15" s="1" t="n">
        <v>45595.49747685185</v>
      </c>
      <c r="C15" s="1" t="n">
        <v>45964</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45964</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34931-2024</t>
        </is>
      </c>
      <c r="B17" s="1" t="n">
        <v>45527.45292824074</v>
      </c>
      <c r="C17" s="1" t="n">
        <v>45964</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34928-2024</t>
        </is>
      </c>
      <c r="B18" s="1" t="n">
        <v>45527.44613425926</v>
      </c>
      <c r="C18" s="1" t="n">
        <v>45964</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38725-2025</t>
        </is>
      </c>
      <c r="B19" s="1" t="n">
        <v>45887.30237268518</v>
      </c>
      <c r="C19" s="1" t="n">
        <v>45964</v>
      </c>
      <c r="D19" t="inlineStr">
        <is>
          <t>DALARNAS LÄN</t>
        </is>
      </c>
      <c r="E19" t="inlineStr">
        <is>
          <t>HEDEMORA</t>
        </is>
      </c>
      <c r="G19" t="n">
        <v>8.199999999999999</v>
      </c>
      <c r="H19" t="n">
        <v>0</v>
      </c>
      <c r="I19" t="n">
        <v>3</v>
      </c>
      <c r="J19" t="n">
        <v>2</v>
      </c>
      <c r="K19" t="n">
        <v>2</v>
      </c>
      <c r="L19" t="n">
        <v>0</v>
      </c>
      <c r="M19" t="n">
        <v>0</v>
      </c>
      <c r="N19" t="n">
        <v>0</v>
      </c>
      <c r="O19" t="n">
        <v>4</v>
      </c>
      <c r="P19" t="n">
        <v>2</v>
      </c>
      <c r="Q19" t="n">
        <v>7</v>
      </c>
      <c r="R19" s="2" t="inlineStr">
        <is>
          <t>Blåfotad fagerspindling
Grangråticka
Odörspindling
Persiljespindling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45872-2021</t>
        </is>
      </c>
      <c r="B20" s="1" t="n">
        <v>44441</v>
      </c>
      <c r="C20" s="1" t="n">
        <v>45964</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45964</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992-2024</t>
        </is>
      </c>
      <c r="B22" s="1" t="n">
        <v>45301</v>
      </c>
      <c r="C22" s="1" t="n">
        <v>45964</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60557-2021</t>
        </is>
      </c>
      <c r="B23" s="1" t="n">
        <v>44495</v>
      </c>
      <c r="C23" s="1" t="n">
        <v>45964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31534-2021</t>
        </is>
      </c>
      <c r="B24" s="1" t="n">
        <v>44369</v>
      </c>
      <c r="C24" s="1" t="n">
        <v>45964</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45964</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45964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45964</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45964</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45964</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45964</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45964</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45964</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45964</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45884-2021</t>
        </is>
      </c>
      <c r="B34" s="1" t="n">
        <v>44441</v>
      </c>
      <c r="C34" s="1" t="n">
        <v>45964</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59035-2023</t>
        </is>
      </c>
      <c r="B35" s="1" t="n">
        <v>45252</v>
      </c>
      <c r="C35" s="1" t="n">
        <v>45964</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451-2025</t>
        </is>
      </c>
      <c r="B36" s="1" t="n">
        <v>45664.39991898148</v>
      </c>
      <c r="C36" s="1" t="n">
        <v>45964</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45964</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1518-2025</t>
        </is>
      </c>
      <c r="B38" s="1" t="n">
        <v>45670</v>
      </c>
      <c r="C38" s="1" t="n">
        <v>45964</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45964</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43681-2025</t>
        </is>
      </c>
      <c r="B40" s="1" t="n">
        <v>45912.37243055556</v>
      </c>
      <c r="C40" s="1" t="n">
        <v>45964</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43679-2025</t>
        </is>
      </c>
      <c r="B41" s="1" t="n">
        <v>45912.36710648148</v>
      </c>
      <c r="C41" s="1" t="n">
        <v>45964</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53915-2022</t>
        </is>
      </c>
      <c r="B42" s="1" t="n">
        <v>44880.87587962963</v>
      </c>
      <c r="C42" s="1" t="n">
        <v>45964</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45964</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45964</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45964</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13986-2023</t>
        </is>
      </c>
      <c r="B46" s="1" t="n">
        <v>45008</v>
      </c>
      <c r="C46" s="1" t="n">
        <v>45964</v>
      </c>
      <c r="D46" t="inlineStr">
        <is>
          <t>DALARNAS LÄN</t>
        </is>
      </c>
      <c r="E46" t="inlineStr">
        <is>
          <t>HEDEMORA</t>
        </is>
      </c>
      <c r="G46" t="n">
        <v>0.8</v>
      </c>
      <c r="H46" t="n">
        <v>1</v>
      </c>
      <c r="I46" t="n">
        <v>0</v>
      </c>
      <c r="J46" t="n">
        <v>0</v>
      </c>
      <c r="K46" t="n">
        <v>1</v>
      </c>
      <c r="L46" t="n">
        <v>0</v>
      </c>
      <c r="M46" t="n">
        <v>0</v>
      </c>
      <c r="N46" t="n">
        <v>0</v>
      </c>
      <c r="O46" t="n">
        <v>1</v>
      </c>
      <c r="P46" t="n">
        <v>1</v>
      </c>
      <c r="Q46" t="n">
        <v>1</v>
      </c>
      <c r="R46" s="2" t="inlineStr">
        <is>
          <t>Knärot</t>
        </is>
      </c>
      <c r="S46">
        <f>HYPERLINK("https://klasma.github.io/Logging_2083/artfynd/A 13986-2023 artfynd.xlsx", "A 13986-2023")</f>
        <v/>
      </c>
      <c r="T46">
        <f>HYPERLINK("https://klasma.github.io/Logging_2083/kartor/A 13986-2023 karta.png", "A 13986-2023")</f>
        <v/>
      </c>
      <c r="U46">
        <f>HYPERLINK("https://klasma.github.io/Logging_2083/knärot/A 13986-2023 karta knärot.png", "A 13986-2023")</f>
        <v/>
      </c>
      <c r="V46">
        <f>HYPERLINK("https://klasma.github.io/Logging_2083/klagomål/A 13986-2023 FSC-klagomål.docx", "A 13986-2023")</f>
        <v/>
      </c>
      <c r="W46">
        <f>HYPERLINK("https://klasma.github.io/Logging_2083/klagomålsmail/A 13986-2023 FSC-klagomål mail.docx", "A 13986-2023")</f>
        <v/>
      </c>
      <c r="X46">
        <f>HYPERLINK("https://klasma.github.io/Logging_2083/tillsyn/A 13986-2023 tillsynsbegäran.docx", "A 13986-2023")</f>
        <v/>
      </c>
      <c r="Y46">
        <f>HYPERLINK("https://klasma.github.io/Logging_2083/tillsynsmail/A 13986-2023 tillsynsbegäran mail.docx", "A 13986-2023")</f>
        <v/>
      </c>
    </row>
    <row r="47" ht="15" customHeight="1">
      <c r="A47" t="inlineStr">
        <is>
          <t>A 49889-2022</t>
        </is>
      </c>
      <c r="B47" s="1" t="n">
        <v>44864</v>
      </c>
      <c r="C47" s="1" t="n">
        <v>45964</v>
      </c>
      <c r="D47" t="inlineStr">
        <is>
          <t>DALARNAS LÄN</t>
        </is>
      </c>
      <c r="E47" t="inlineStr">
        <is>
          <t>HEDEMORA</t>
        </is>
      </c>
      <c r="F47" t="inlineStr">
        <is>
          <t>Sveaskog</t>
        </is>
      </c>
      <c r="G47" t="n">
        <v>6.8</v>
      </c>
      <c r="H47" t="n">
        <v>1</v>
      </c>
      <c r="I47" t="n">
        <v>0</v>
      </c>
      <c r="J47" t="n">
        <v>0</v>
      </c>
      <c r="K47" t="n">
        <v>1</v>
      </c>
      <c r="L47" t="n">
        <v>0</v>
      </c>
      <c r="M47" t="n">
        <v>0</v>
      </c>
      <c r="N47" t="n">
        <v>0</v>
      </c>
      <c r="O47" t="n">
        <v>1</v>
      </c>
      <c r="P47" t="n">
        <v>1</v>
      </c>
      <c r="Q47" t="n">
        <v>1</v>
      </c>
      <c r="R47" s="2" t="inlineStr">
        <is>
          <t>Knärot</t>
        </is>
      </c>
      <c r="S47">
        <f>HYPERLINK("https://klasma.github.io/Logging_2083/artfynd/A 49889-2022 artfynd.xlsx", "A 49889-2022")</f>
        <v/>
      </c>
      <c r="T47">
        <f>HYPERLINK("https://klasma.github.io/Logging_2083/kartor/A 49889-2022 karta.png", "A 49889-2022")</f>
        <v/>
      </c>
      <c r="U47">
        <f>HYPERLINK("https://klasma.github.io/Logging_2083/knärot/A 49889-2022 karta knärot.png", "A 49889-2022")</f>
        <v/>
      </c>
      <c r="V47">
        <f>HYPERLINK("https://klasma.github.io/Logging_2083/klagomål/A 49889-2022 FSC-klagomål.docx", "A 49889-2022")</f>
        <v/>
      </c>
      <c r="W47">
        <f>HYPERLINK("https://klasma.github.io/Logging_2083/klagomålsmail/A 49889-2022 FSC-klagomål mail.docx", "A 49889-2022")</f>
        <v/>
      </c>
      <c r="X47">
        <f>HYPERLINK("https://klasma.github.io/Logging_2083/tillsyn/A 49889-2022 tillsynsbegäran.docx", "A 49889-2022")</f>
        <v/>
      </c>
      <c r="Y47">
        <f>HYPERLINK("https://klasma.github.io/Logging_2083/tillsynsmail/A 49889-2022 tillsynsbegäran mail.docx", "A 49889-2022")</f>
        <v/>
      </c>
    </row>
    <row r="48" ht="15" customHeight="1">
      <c r="A48" t="inlineStr">
        <is>
          <t>A 41477-2023</t>
        </is>
      </c>
      <c r="B48" s="1" t="n">
        <v>45171</v>
      </c>
      <c r="C48" s="1" t="n">
        <v>45964</v>
      </c>
      <c r="D48" t="inlineStr">
        <is>
          <t>DALARNAS LÄN</t>
        </is>
      </c>
      <c r="E48" t="inlineStr">
        <is>
          <t>HEDEMORA</t>
        </is>
      </c>
      <c r="F48" t="inlineStr">
        <is>
          <t>Bergvik skog väst AB</t>
        </is>
      </c>
      <c r="G48" t="n">
        <v>9.1</v>
      </c>
      <c r="H48" t="n">
        <v>0</v>
      </c>
      <c r="I48" t="n">
        <v>1</v>
      </c>
      <c r="J48" t="n">
        <v>0</v>
      </c>
      <c r="K48" t="n">
        <v>0</v>
      </c>
      <c r="L48" t="n">
        <v>0</v>
      </c>
      <c r="M48" t="n">
        <v>0</v>
      </c>
      <c r="N48" t="n">
        <v>0</v>
      </c>
      <c r="O48" t="n">
        <v>0</v>
      </c>
      <c r="P48" t="n">
        <v>0</v>
      </c>
      <c r="Q48" t="n">
        <v>1</v>
      </c>
      <c r="R48" s="2" t="inlineStr">
        <is>
          <t>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51111-2021</t>
        </is>
      </c>
      <c r="B49" s="1" t="n">
        <v>44461</v>
      </c>
      <c r="C49" s="1" t="n">
        <v>45964</v>
      </c>
      <c r="D49" t="inlineStr">
        <is>
          <t>DALARNAS LÄN</t>
        </is>
      </c>
      <c r="E49" t="inlineStr">
        <is>
          <t>HEDEMORA</t>
        </is>
      </c>
      <c r="G49" t="n">
        <v>0.9</v>
      </c>
      <c r="H49" t="n">
        <v>1</v>
      </c>
      <c r="I49" t="n">
        <v>0</v>
      </c>
      <c r="J49" t="n">
        <v>0</v>
      </c>
      <c r="K49" t="n">
        <v>1</v>
      </c>
      <c r="L49" t="n">
        <v>0</v>
      </c>
      <c r="M49" t="n">
        <v>0</v>
      </c>
      <c r="N49" t="n">
        <v>0</v>
      </c>
      <c r="O49" t="n">
        <v>1</v>
      </c>
      <c r="P49" t="n">
        <v>1</v>
      </c>
      <c r="Q49" t="n">
        <v>1</v>
      </c>
      <c r="R49" s="2" t="inlineStr">
        <is>
          <t>Knärot</t>
        </is>
      </c>
      <c r="S49">
        <f>HYPERLINK("https://klasma.github.io/Logging_2083/artfynd/A 51111-2021 artfynd.xlsx", "A 51111-2021")</f>
        <v/>
      </c>
      <c r="T49">
        <f>HYPERLINK("https://klasma.github.io/Logging_2083/kartor/A 51111-2021 karta.png", "A 51111-2021")</f>
        <v/>
      </c>
      <c r="U49">
        <f>HYPERLINK("https://klasma.github.io/Logging_2083/knärot/A 51111-2021 karta knärot.png", "A 51111-2021")</f>
        <v/>
      </c>
      <c r="V49">
        <f>HYPERLINK("https://klasma.github.io/Logging_2083/klagomål/A 51111-2021 FSC-klagomål.docx", "A 51111-2021")</f>
        <v/>
      </c>
      <c r="W49">
        <f>HYPERLINK("https://klasma.github.io/Logging_2083/klagomålsmail/A 51111-2021 FSC-klagomål mail.docx", "A 51111-2021")</f>
        <v/>
      </c>
      <c r="X49">
        <f>HYPERLINK("https://klasma.github.io/Logging_2083/tillsyn/A 51111-2021 tillsynsbegäran.docx", "A 51111-2021")</f>
        <v/>
      </c>
      <c r="Y49">
        <f>HYPERLINK("https://klasma.github.io/Logging_2083/tillsynsmail/A 51111-2021 tillsynsbegäran mail.docx", "A 51111-2021")</f>
        <v/>
      </c>
    </row>
    <row r="50" ht="15" customHeight="1">
      <c r="A50" t="inlineStr">
        <is>
          <t>A 23815-2023</t>
        </is>
      </c>
      <c r="B50" s="1" t="n">
        <v>45078</v>
      </c>
      <c r="C50" s="1" t="n">
        <v>45964</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60017-2024</t>
        </is>
      </c>
      <c r="B51" s="1" t="n">
        <v>45642</v>
      </c>
      <c r="C51" s="1" t="n">
        <v>45964</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63542-2023</t>
        </is>
      </c>
      <c r="B52" s="1" t="n">
        <v>45275.32708333333</v>
      </c>
      <c r="C52" s="1" t="n">
        <v>45964</v>
      </c>
      <c r="D52" t="inlineStr">
        <is>
          <t>DALARNAS LÄN</t>
        </is>
      </c>
      <c r="E52" t="inlineStr">
        <is>
          <t>HEDEMORA</t>
        </is>
      </c>
      <c r="G52" t="n">
        <v>2.1</v>
      </c>
      <c r="H52" t="n">
        <v>1</v>
      </c>
      <c r="I52" t="n">
        <v>0</v>
      </c>
      <c r="J52" t="n">
        <v>1</v>
      </c>
      <c r="K52" t="n">
        <v>0</v>
      </c>
      <c r="L52" t="n">
        <v>0</v>
      </c>
      <c r="M52" t="n">
        <v>0</v>
      </c>
      <c r="N52" t="n">
        <v>0</v>
      </c>
      <c r="O52" t="n">
        <v>1</v>
      </c>
      <c r="P52" t="n">
        <v>0</v>
      </c>
      <c r="Q52" t="n">
        <v>1</v>
      </c>
      <c r="R52" s="2" t="inlineStr">
        <is>
          <t>Spillkråka</t>
        </is>
      </c>
      <c r="S52">
        <f>HYPERLINK("https://klasma.github.io/Logging_2083/artfynd/A 63542-2023 artfynd.xlsx", "A 63542-2023")</f>
        <v/>
      </c>
      <c r="T52">
        <f>HYPERLINK("https://klasma.github.io/Logging_2083/kartor/A 63542-2023 karta.png", "A 63542-2023")</f>
        <v/>
      </c>
      <c r="V52">
        <f>HYPERLINK("https://klasma.github.io/Logging_2083/klagomål/A 63542-2023 FSC-klagomål.docx", "A 63542-2023")</f>
        <v/>
      </c>
      <c r="W52">
        <f>HYPERLINK("https://klasma.github.io/Logging_2083/klagomålsmail/A 63542-2023 FSC-klagomål mail.docx", "A 63542-2023")</f>
        <v/>
      </c>
      <c r="X52">
        <f>HYPERLINK("https://klasma.github.io/Logging_2083/tillsyn/A 63542-2023 tillsynsbegäran.docx", "A 63542-2023")</f>
        <v/>
      </c>
      <c r="Y52">
        <f>HYPERLINK("https://klasma.github.io/Logging_2083/tillsynsmail/A 63542-2023 tillsynsbegäran mail.docx", "A 63542-2023")</f>
        <v/>
      </c>
      <c r="Z52">
        <f>HYPERLINK("https://klasma.github.io/Logging_2083/fåglar/A 63542-2023 prioriterade fågelarter.docx", "A 63542-2023")</f>
        <v/>
      </c>
    </row>
    <row r="53" ht="15" customHeight="1">
      <c r="A53" t="inlineStr">
        <is>
          <t>A 52941-2024</t>
        </is>
      </c>
      <c r="B53" s="1" t="n">
        <v>45610.80650462963</v>
      </c>
      <c r="C53" s="1" t="n">
        <v>45964</v>
      </c>
      <c r="D53" t="inlineStr">
        <is>
          <t>DALARNAS LÄN</t>
        </is>
      </c>
      <c r="E53" t="inlineStr">
        <is>
          <t>HEDEMORA</t>
        </is>
      </c>
      <c r="F53" t="inlineStr">
        <is>
          <t>Sveaskog</t>
        </is>
      </c>
      <c r="G53" t="n">
        <v>18.3</v>
      </c>
      <c r="H53" t="n">
        <v>1</v>
      </c>
      <c r="I53" t="n">
        <v>0</v>
      </c>
      <c r="J53" t="n">
        <v>0</v>
      </c>
      <c r="K53" t="n">
        <v>1</v>
      </c>
      <c r="L53" t="n">
        <v>0</v>
      </c>
      <c r="M53" t="n">
        <v>0</v>
      </c>
      <c r="N53" t="n">
        <v>0</v>
      </c>
      <c r="O53" t="n">
        <v>1</v>
      </c>
      <c r="P53" t="n">
        <v>1</v>
      </c>
      <c r="Q53" t="n">
        <v>1</v>
      </c>
      <c r="R53" s="2" t="inlineStr">
        <is>
          <t>Knärot</t>
        </is>
      </c>
      <c r="S53">
        <f>HYPERLINK("https://klasma.github.io/Logging_2083/artfynd/A 52941-2024 artfynd.xlsx", "A 52941-2024")</f>
        <v/>
      </c>
      <c r="T53">
        <f>HYPERLINK("https://klasma.github.io/Logging_2083/kartor/A 52941-2024 karta.png", "A 52941-2024")</f>
        <v/>
      </c>
      <c r="U53">
        <f>HYPERLINK("https://klasma.github.io/Logging_2083/knärot/A 52941-2024 karta knärot.png", "A 52941-2024")</f>
        <v/>
      </c>
      <c r="V53">
        <f>HYPERLINK("https://klasma.github.io/Logging_2083/klagomål/A 52941-2024 FSC-klagomål.docx", "A 52941-2024")</f>
        <v/>
      </c>
      <c r="W53">
        <f>HYPERLINK("https://klasma.github.io/Logging_2083/klagomålsmail/A 52941-2024 FSC-klagomål mail.docx", "A 52941-2024")</f>
        <v/>
      </c>
      <c r="X53">
        <f>HYPERLINK("https://klasma.github.io/Logging_2083/tillsyn/A 52941-2024 tillsynsbegäran.docx", "A 52941-2024")</f>
        <v/>
      </c>
      <c r="Y53">
        <f>HYPERLINK("https://klasma.github.io/Logging_2083/tillsynsmail/A 52941-2024 tillsynsbegäran mail.docx", "A 52941-2024")</f>
        <v/>
      </c>
    </row>
    <row r="54" ht="15" customHeight="1">
      <c r="A54" t="inlineStr">
        <is>
          <t>A 28181-2025</t>
        </is>
      </c>
      <c r="B54" s="1" t="n">
        <v>45818.39921296296</v>
      </c>
      <c r="C54" s="1" t="n">
        <v>45964</v>
      </c>
      <c r="D54" t="inlineStr">
        <is>
          <t>DALARNAS LÄN</t>
        </is>
      </c>
      <c r="E54" t="inlineStr">
        <is>
          <t>HEDEMORA</t>
        </is>
      </c>
      <c r="F54" t="inlineStr">
        <is>
          <t>Sveaskog</t>
        </is>
      </c>
      <c r="G54" t="n">
        <v>2.4</v>
      </c>
      <c r="H54" t="n">
        <v>1</v>
      </c>
      <c r="I54" t="n">
        <v>1</v>
      </c>
      <c r="J54" t="n">
        <v>0</v>
      </c>
      <c r="K54" t="n">
        <v>0</v>
      </c>
      <c r="L54" t="n">
        <v>0</v>
      </c>
      <c r="M54" t="n">
        <v>0</v>
      </c>
      <c r="N54" t="n">
        <v>0</v>
      </c>
      <c r="O54" t="n">
        <v>0</v>
      </c>
      <c r="P54" t="n">
        <v>0</v>
      </c>
      <c r="Q54" t="n">
        <v>1</v>
      </c>
      <c r="R54" s="2" t="inlineStr">
        <is>
          <t>Plattlummer</t>
        </is>
      </c>
      <c r="S54">
        <f>HYPERLINK("https://klasma.github.io/Logging_2083/artfynd/A 28181-2025 artfynd.xlsx", "A 28181-2025")</f>
        <v/>
      </c>
      <c r="T54">
        <f>HYPERLINK("https://klasma.github.io/Logging_2083/kartor/A 28181-2025 karta.png", "A 28181-2025")</f>
        <v/>
      </c>
      <c r="V54">
        <f>HYPERLINK("https://klasma.github.io/Logging_2083/klagomål/A 28181-2025 FSC-klagomål.docx", "A 28181-2025")</f>
        <v/>
      </c>
      <c r="W54">
        <f>HYPERLINK("https://klasma.github.io/Logging_2083/klagomålsmail/A 28181-2025 FSC-klagomål mail.docx", "A 28181-2025")</f>
        <v/>
      </c>
      <c r="X54">
        <f>HYPERLINK("https://klasma.github.io/Logging_2083/tillsyn/A 28181-2025 tillsynsbegäran.docx", "A 28181-2025")</f>
        <v/>
      </c>
      <c r="Y54">
        <f>HYPERLINK("https://klasma.github.io/Logging_2083/tillsynsmail/A 28181-2025 tillsynsbegäran mail.docx", "A 28181-2025")</f>
        <v/>
      </c>
    </row>
    <row r="55" ht="15" customHeight="1">
      <c r="A55" t="inlineStr">
        <is>
          <t>A 33968-2025</t>
        </is>
      </c>
      <c r="B55" s="1" t="n">
        <v>45842</v>
      </c>
      <c r="C55" s="1" t="n">
        <v>45964</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53031-2023</t>
        </is>
      </c>
      <c r="B56" s="1" t="n">
        <v>45226</v>
      </c>
      <c r="C56" s="1" t="n">
        <v>45964</v>
      </c>
      <c r="D56" t="inlineStr">
        <is>
          <t>DALARNAS LÄN</t>
        </is>
      </c>
      <c r="E56" t="inlineStr">
        <is>
          <t>HEDEMORA</t>
        </is>
      </c>
      <c r="F56" t="inlineStr">
        <is>
          <t>Sveaskog</t>
        </is>
      </c>
      <c r="G56" t="n">
        <v>6.9</v>
      </c>
      <c r="H56" t="n">
        <v>1</v>
      </c>
      <c r="I56" t="n">
        <v>0</v>
      </c>
      <c r="J56" t="n">
        <v>1</v>
      </c>
      <c r="K56" t="n">
        <v>0</v>
      </c>
      <c r="L56" t="n">
        <v>0</v>
      </c>
      <c r="M56" t="n">
        <v>0</v>
      </c>
      <c r="N56" t="n">
        <v>0</v>
      </c>
      <c r="O56" t="n">
        <v>1</v>
      </c>
      <c r="P56" t="n">
        <v>0</v>
      </c>
      <c r="Q56" t="n">
        <v>1</v>
      </c>
      <c r="R56" s="2" t="inlineStr">
        <is>
          <t>Talltita</t>
        </is>
      </c>
      <c r="S56">
        <f>HYPERLINK("https://klasma.github.io/Logging_2083/artfynd/A 53031-2023 artfynd.xlsx", "A 53031-2023")</f>
        <v/>
      </c>
      <c r="T56">
        <f>HYPERLINK("https://klasma.github.io/Logging_2083/kartor/A 53031-2023 karta.png", "A 53031-2023")</f>
        <v/>
      </c>
      <c r="V56">
        <f>HYPERLINK("https://klasma.github.io/Logging_2083/klagomål/A 53031-2023 FSC-klagomål.docx", "A 53031-2023")</f>
        <v/>
      </c>
      <c r="W56">
        <f>HYPERLINK("https://klasma.github.io/Logging_2083/klagomålsmail/A 53031-2023 FSC-klagomål mail.docx", "A 53031-2023")</f>
        <v/>
      </c>
      <c r="X56">
        <f>HYPERLINK("https://klasma.github.io/Logging_2083/tillsyn/A 53031-2023 tillsynsbegäran.docx", "A 53031-2023")</f>
        <v/>
      </c>
      <c r="Y56">
        <f>HYPERLINK("https://klasma.github.io/Logging_2083/tillsynsmail/A 53031-2023 tillsynsbegäran mail.docx", "A 53031-2023")</f>
        <v/>
      </c>
      <c r="Z56">
        <f>HYPERLINK("https://klasma.github.io/Logging_2083/fåglar/A 53031-2023 prioriterade fågelarter.docx", "A 53031-2023")</f>
        <v/>
      </c>
    </row>
    <row r="57" ht="15" customHeight="1">
      <c r="A57" t="inlineStr">
        <is>
          <t>A 53924-2024</t>
        </is>
      </c>
      <c r="B57" s="1" t="n">
        <v>45615</v>
      </c>
      <c r="C57" s="1" t="n">
        <v>45964</v>
      </c>
      <c r="D57" t="inlineStr">
        <is>
          <t>DALARNAS LÄN</t>
        </is>
      </c>
      <c r="E57" t="inlineStr">
        <is>
          <t>HEDEMORA</t>
        </is>
      </c>
      <c r="F57" t="inlineStr">
        <is>
          <t>Sveaskog</t>
        </is>
      </c>
      <c r="G57" t="n">
        <v>3.8</v>
      </c>
      <c r="H57" t="n">
        <v>1</v>
      </c>
      <c r="I57" t="n">
        <v>1</v>
      </c>
      <c r="J57" t="n">
        <v>0</v>
      </c>
      <c r="K57" t="n">
        <v>0</v>
      </c>
      <c r="L57" t="n">
        <v>0</v>
      </c>
      <c r="M57" t="n">
        <v>0</v>
      </c>
      <c r="N57" t="n">
        <v>0</v>
      </c>
      <c r="O57" t="n">
        <v>0</v>
      </c>
      <c r="P57" t="n">
        <v>0</v>
      </c>
      <c r="Q57" t="n">
        <v>1</v>
      </c>
      <c r="R57" s="2" t="inlineStr">
        <is>
          <t>Plattlummer</t>
        </is>
      </c>
      <c r="S57">
        <f>HYPERLINK("https://klasma.github.io/Logging_2083/artfynd/A 53924-2024 artfynd.xlsx", "A 53924-2024")</f>
        <v/>
      </c>
      <c r="T57">
        <f>HYPERLINK("https://klasma.github.io/Logging_2083/kartor/A 53924-2024 karta.png", "A 53924-2024")</f>
        <v/>
      </c>
      <c r="V57">
        <f>HYPERLINK("https://klasma.github.io/Logging_2083/klagomål/A 53924-2024 FSC-klagomål.docx", "A 53924-2024")</f>
        <v/>
      </c>
      <c r="W57">
        <f>HYPERLINK("https://klasma.github.io/Logging_2083/klagomålsmail/A 53924-2024 FSC-klagomål mail.docx", "A 53924-2024")</f>
        <v/>
      </c>
      <c r="X57">
        <f>HYPERLINK("https://klasma.github.io/Logging_2083/tillsyn/A 53924-2024 tillsynsbegäran.docx", "A 53924-2024")</f>
        <v/>
      </c>
      <c r="Y57">
        <f>HYPERLINK("https://klasma.github.io/Logging_2083/tillsynsmail/A 53924-2024 tillsynsbegäran mail.docx", "A 53924-2024")</f>
        <v/>
      </c>
    </row>
    <row r="58" ht="15" customHeight="1">
      <c r="A58" t="inlineStr">
        <is>
          <t>A 15058-2025</t>
        </is>
      </c>
      <c r="B58" s="1" t="n">
        <v>45743.70716435185</v>
      </c>
      <c r="C58" s="1" t="n">
        <v>45964</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17590-2025</t>
        </is>
      </c>
      <c r="B59" s="1" t="n">
        <v>45757.69396990741</v>
      </c>
      <c r="C59" s="1" t="n">
        <v>45964</v>
      </c>
      <c r="D59" t="inlineStr">
        <is>
          <t>DALARNAS LÄN</t>
        </is>
      </c>
      <c r="E59" t="inlineStr">
        <is>
          <t>HEDEMORA</t>
        </is>
      </c>
      <c r="G59" t="n">
        <v>0.6</v>
      </c>
      <c r="H59" t="n">
        <v>0</v>
      </c>
      <c r="I59" t="n">
        <v>0</v>
      </c>
      <c r="J59" t="n">
        <v>1</v>
      </c>
      <c r="K59" t="n">
        <v>0</v>
      </c>
      <c r="L59" t="n">
        <v>0</v>
      </c>
      <c r="M59" t="n">
        <v>0</v>
      </c>
      <c r="N59" t="n">
        <v>0</v>
      </c>
      <c r="O59" t="n">
        <v>1</v>
      </c>
      <c r="P59" t="n">
        <v>0</v>
      </c>
      <c r="Q59" t="n">
        <v>1</v>
      </c>
      <c r="R59" s="2" t="inlineStr">
        <is>
          <t>Garnlav</t>
        </is>
      </c>
      <c r="S59">
        <f>HYPERLINK("https://klasma.github.io/Logging_2083/artfynd/A 17590-2025 artfynd.xlsx", "A 17590-2025")</f>
        <v/>
      </c>
      <c r="T59">
        <f>HYPERLINK("https://klasma.github.io/Logging_2083/kartor/A 17590-2025 karta.png", "A 17590-2025")</f>
        <v/>
      </c>
      <c r="V59">
        <f>HYPERLINK("https://klasma.github.io/Logging_2083/klagomål/A 17590-2025 FSC-klagomål.docx", "A 17590-2025")</f>
        <v/>
      </c>
      <c r="W59">
        <f>HYPERLINK("https://klasma.github.io/Logging_2083/klagomålsmail/A 17590-2025 FSC-klagomål mail.docx", "A 17590-2025")</f>
        <v/>
      </c>
      <c r="X59">
        <f>HYPERLINK("https://klasma.github.io/Logging_2083/tillsyn/A 17590-2025 tillsynsbegäran.docx", "A 17590-2025")</f>
        <v/>
      </c>
      <c r="Y59">
        <f>HYPERLINK("https://klasma.github.io/Logging_2083/tillsynsmail/A 17590-2025 tillsynsbegäran mail.docx", "A 17590-2025")</f>
        <v/>
      </c>
    </row>
    <row r="60" ht="15" customHeight="1">
      <c r="A60" t="inlineStr">
        <is>
          <t>A 45291-2025</t>
        </is>
      </c>
      <c r="B60" s="1" t="n">
        <v>45920.3734837963</v>
      </c>
      <c r="C60" s="1" t="n">
        <v>45964</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19094-2025</t>
        </is>
      </c>
      <c r="B61" s="1" t="n">
        <v>45767.54942129629</v>
      </c>
      <c r="C61" s="1" t="n">
        <v>45964</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39396-2025</t>
        </is>
      </c>
      <c r="B62" s="1" t="n">
        <v>45889.63289351852</v>
      </c>
      <c r="C62" s="1" t="n">
        <v>45964</v>
      </c>
      <c r="D62" t="inlineStr">
        <is>
          <t>DALARNAS LÄN</t>
        </is>
      </c>
      <c r="E62" t="inlineStr">
        <is>
          <t>HEDEMORA</t>
        </is>
      </c>
      <c r="F62" t="inlineStr">
        <is>
          <t>Sveaskog</t>
        </is>
      </c>
      <c r="G62" t="n">
        <v>4.3</v>
      </c>
      <c r="H62" t="n">
        <v>1</v>
      </c>
      <c r="I62" t="n">
        <v>0</v>
      </c>
      <c r="J62" t="n">
        <v>0</v>
      </c>
      <c r="K62" t="n">
        <v>1</v>
      </c>
      <c r="L62" t="n">
        <v>0</v>
      </c>
      <c r="M62" t="n">
        <v>0</v>
      </c>
      <c r="N62" t="n">
        <v>0</v>
      </c>
      <c r="O62" t="n">
        <v>1</v>
      </c>
      <c r="P62" t="n">
        <v>1</v>
      </c>
      <c r="Q62" t="n">
        <v>1</v>
      </c>
      <c r="R62" s="2" t="inlineStr">
        <is>
          <t>Knärot</t>
        </is>
      </c>
      <c r="S62">
        <f>HYPERLINK("https://klasma.github.io/Logging_2083/artfynd/A 39396-2025 artfynd.xlsx", "A 39396-2025")</f>
        <v/>
      </c>
      <c r="T62">
        <f>HYPERLINK("https://klasma.github.io/Logging_2083/kartor/A 39396-2025 karta.png", "A 39396-2025")</f>
        <v/>
      </c>
      <c r="U62">
        <f>HYPERLINK("https://klasma.github.io/Logging_2083/knärot/A 39396-2025 karta knärot.png", "A 39396-2025")</f>
        <v/>
      </c>
      <c r="V62">
        <f>HYPERLINK("https://klasma.github.io/Logging_2083/klagomål/A 39396-2025 FSC-klagomål.docx", "A 39396-2025")</f>
        <v/>
      </c>
      <c r="W62">
        <f>HYPERLINK("https://klasma.github.io/Logging_2083/klagomålsmail/A 39396-2025 FSC-klagomål mail.docx", "A 39396-2025")</f>
        <v/>
      </c>
      <c r="X62">
        <f>HYPERLINK("https://klasma.github.io/Logging_2083/tillsyn/A 39396-2025 tillsynsbegäran.docx", "A 39396-2025")</f>
        <v/>
      </c>
      <c r="Y62">
        <f>HYPERLINK("https://klasma.github.io/Logging_2083/tillsynsmail/A 39396-2025 tillsynsbegäran mail.docx", "A 39396-2025")</f>
        <v/>
      </c>
    </row>
    <row r="63" ht="15" customHeight="1">
      <c r="A63" t="inlineStr">
        <is>
          <t>A 48382-2025</t>
        </is>
      </c>
      <c r="B63" s="1" t="n">
        <v>45933.82043981482</v>
      </c>
      <c r="C63" s="1" t="n">
        <v>45964</v>
      </c>
      <c r="D63" t="inlineStr">
        <is>
          <t>DALARNAS LÄN</t>
        </is>
      </c>
      <c r="E63" t="inlineStr">
        <is>
          <t>HEDEMORA</t>
        </is>
      </c>
      <c r="F63" t="inlineStr">
        <is>
          <t>Sveaskog</t>
        </is>
      </c>
      <c r="G63" t="n">
        <v>1.9</v>
      </c>
      <c r="H63" t="n">
        <v>1</v>
      </c>
      <c r="I63" t="n">
        <v>0</v>
      </c>
      <c r="J63" t="n">
        <v>1</v>
      </c>
      <c r="K63" t="n">
        <v>0</v>
      </c>
      <c r="L63" t="n">
        <v>0</v>
      </c>
      <c r="M63" t="n">
        <v>0</v>
      </c>
      <c r="N63" t="n">
        <v>0</v>
      </c>
      <c r="O63" t="n">
        <v>1</v>
      </c>
      <c r="P63" t="n">
        <v>0</v>
      </c>
      <c r="Q63" t="n">
        <v>1</v>
      </c>
      <c r="R63" s="2" t="inlineStr">
        <is>
          <t>Svartvit flugsnappare</t>
        </is>
      </c>
      <c r="S63">
        <f>HYPERLINK("https://klasma.github.io/Logging_2083/artfynd/A 48382-2025 artfynd.xlsx", "A 48382-2025")</f>
        <v/>
      </c>
      <c r="T63">
        <f>HYPERLINK("https://klasma.github.io/Logging_2083/kartor/A 48382-2025 karta.png", "A 48382-2025")</f>
        <v/>
      </c>
      <c r="U63">
        <f>HYPERLINK("https://klasma.github.io/Logging_2083/knärot/A 48382-2025 karta knärot.png", "A 48382-2025")</f>
        <v/>
      </c>
      <c r="V63">
        <f>HYPERLINK("https://klasma.github.io/Logging_2083/klagomål/A 48382-2025 FSC-klagomål.docx", "A 48382-2025")</f>
        <v/>
      </c>
      <c r="W63">
        <f>HYPERLINK("https://klasma.github.io/Logging_2083/klagomålsmail/A 48382-2025 FSC-klagomål mail.docx", "A 48382-2025")</f>
        <v/>
      </c>
      <c r="X63">
        <f>HYPERLINK("https://klasma.github.io/Logging_2083/tillsyn/A 48382-2025 tillsynsbegäran.docx", "A 48382-2025")</f>
        <v/>
      </c>
      <c r="Y63">
        <f>HYPERLINK("https://klasma.github.io/Logging_2083/tillsynsmail/A 48382-2025 tillsynsbegäran mail.docx", "A 48382-2025")</f>
        <v/>
      </c>
      <c r="Z63">
        <f>HYPERLINK("https://klasma.github.io/Logging_2083/fåglar/A 48382-2025 prioriterade fågelarter.docx", "A 48382-2025")</f>
        <v/>
      </c>
    </row>
    <row r="64" ht="15" customHeight="1">
      <c r="A64" t="inlineStr">
        <is>
          <t>A 41333-2025</t>
        </is>
      </c>
      <c r="B64" s="1" t="n">
        <v>45899.35854166667</v>
      </c>
      <c r="C64" s="1" t="n">
        <v>45964</v>
      </c>
      <c r="D64" t="inlineStr">
        <is>
          <t>DALARNAS LÄN</t>
        </is>
      </c>
      <c r="E64" t="inlineStr">
        <is>
          <t>HEDEMORA</t>
        </is>
      </c>
      <c r="F64" t="inlineStr">
        <is>
          <t>Sveaskog</t>
        </is>
      </c>
      <c r="G64" t="n">
        <v>4.6</v>
      </c>
      <c r="H64" t="n">
        <v>1</v>
      </c>
      <c r="I64" t="n">
        <v>0</v>
      </c>
      <c r="J64" t="n">
        <v>0</v>
      </c>
      <c r="K64" t="n">
        <v>0</v>
      </c>
      <c r="L64" t="n">
        <v>0</v>
      </c>
      <c r="M64" t="n">
        <v>0</v>
      </c>
      <c r="N64" t="n">
        <v>0</v>
      </c>
      <c r="O64" t="n">
        <v>0</v>
      </c>
      <c r="P64" t="n">
        <v>0</v>
      </c>
      <c r="Q64" t="n">
        <v>1</v>
      </c>
      <c r="R64" s="2" t="inlineStr">
        <is>
          <t>Tjäder</t>
        </is>
      </c>
      <c r="S64">
        <f>HYPERLINK("https://klasma.github.io/Logging_2083/artfynd/A 41333-2025 artfynd.xlsx", "A 41333-2025")</f>
        <v/>
      </c>
      <c r="T64">
        <f>HYPERLINK("https://klasma.github.io/Logging_2083/kartor/A 41333-2025 karta.png", "A 41333-2025")</f>
        <v/>
      </c>
      <c r="V64">
        <f>HYPERLINK("https://klasma.github.io/Logging_2083/klagomål/A 41333-2025 FSC-klagomål.docx", "A 41333-2025")</f>
        <v/>
      </c>
      <c r="W64">
        <f>HYPERLINK("https://klasma.github.io/Logging_2083/klagomålsmail/A 41333-2025 FSC-klagomål mail.docx", "A 41333-2025")</f>
        <v/>
      </c>
      <c r="X64">
        <f>HYPERLINK("https://klasma.github.io/Logging_2083/tillsyn/A 41333-2025 tillsynsbegäran.docx", "A 41333-2025")</f>
        <v/>
      </c>
      <c r="Y64">
        <f>HYPERLINK("https://klasma.github.io/Logging_2083/tillsynsmail/A 41333-2025 tillsynsbegäran mail.docx", "A 41333-2025")</f>
        <v/>
      </c>
      <c r="Z64">
        <f>HYPERLINK("https://klasma.github.io/Logging_2083/fåglar/A 41333-2025 prioriterade fågelarter.docx", "A 41333-2025")</f>
        <v/>
      </c>
    </row>
    <row r="65" ht="15" customHeight="1">
      <c r="A65" t="inlineStr">
        <is>
          <t>A 44598-2025</t>
        </is>
      </c>
      <c r="B65" s="1" t="n">
        <v>45917.43056712963</v>
      </c>
      <c r="C65" s="1" t="n">
        <v>45964</v>
      </c>
      <c r="D65" t="inlineStr">
        <is>
          <t>DALARNAS LÄN</t>
        </is>
      </c>
      <c r="E65" t="inlineStr">
        <is>
          <t>HEDEMORA</t>
        </is>
      </c>
      <c r="F65" t="inlineStr">
        <is>
          <t>Sveaskog</t>
        </is>
      </c>
      <c r="G65" t="n">
        <v>3.5</v>
      </c>
      <c r="H65" t="n">
        <v>1</v>
      </c>
      <c r="I65" t="n">
        <v>0</v>
      </c>
      <c r="J65" t="n">
        <v>0</v>
      </c>
      <c r="K65" t="n">
        <v>0</v>
      </c>
      <c r="L65" t="n">
        <v>0</v>
      </c>
      <c r="M65" t="n">
        <v>0</v>
      </c>
      <c r="N65" t="n">
        <v>0</v>
      </c>
      <c r="O65" t="n">
        <v>0</v>
      </c>
      <c r="P65" t="n">
        <v>0</v>
      </c>
      <c r="Q65" t="n">
        <v>1</v>
      </c>
      <c r="R65" s="2" t="inlineStr">
        <is>
          <t>Orre</t>
        </is>
      </c>
      <c r="S65">
        <f>HYPERLINK("https://klasma.github.io/Logging_2083/artfynd/A 44598-2025 artfynd.xlsx", "A 44598-2025")</f>
        <v/>
      </c>
      <c r="T65">
        <f>HYPERLINK("https://klasma.github.io/Logging_2083/kartor/A 44598-2025 karta.png", "A 44598-2025")</f>
        <v/>
      </c>
      <c r="V65">
        <f>HYPERLINK("https://klasma.github.io/Logging_2083/klagomål/A 44598-2025 FSC-klagomål.docx", "A 44598-2025")</f>
        <v/>
      </c>
      <c r="W65">
        <f>HYPERLINK("https://klasma.github.io/Logging_2083/klagomålsmail/A 44598-2025 FSC-klagomål mail.docx", "A 44598-2025")</f>
        <v/>
      </c>
      <c r="X65">
        <f>HYPERLINK("https://klasma.github.io/Logging_2083/tillsyn/A 44598-2025 tillsynsbegäran.docx", "A 44598-2025")</f>
        <v/>
      </c>
      <c r="Y65">
        <f>HYPERLINK("https://klasma.github.io/Logging_2083/tillsynsmail/A 44598-2025 tillsynsbegäran mail.docx", "A 44598-2025")</f>
        <v/>
      </c>
      <c r="Z65">
        <f>HYPERLINK("https://klasma.github.io/Logging_2083/fåglar/A 44598-2025 prioriterade fågelarter.docx", "A 44598-2025")</f>
        <v/>
      </c>
    </row>
    <row r="66" ht="15" customHeight="1">
      <c r="A66" t="inlineStr">
        <is>
          <t>A 12905-2025</t>
        </is>
      </c>
      <c r="B66" s="1" t="n">
        <v>45733</v>
      </c>
      <c r="C66" s="1" t="n">
        <v>45964</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15036-2025</t>
        </is>
      </c>
      <c r="B67" s="1" t="n">
        <v>45743.68125</v>
      </c>
      <c r="C67" s="1" t="n">
        <v>45964</v>
      </c>
      <c r="D67" t="inlineStr">
        <is>
          <t>DALARNAS LÄN</t>
        </is>
      </c>
      <c r="E67" t="inlineStr">
        <is>
          <t>HEDEMORA</t>
        </is>
      </c>
      <c r="F67" t="inlineStr">
        <is>
          <t>Sveaskog</t>
        </is>
      </c>
      <c r="G67" t="n">
        <v>20.4</v>
      </c>
      <c r="H67" t="n">
        <v>0</v>
      </c>
      <c r="I67" t="n">
        <v>0</v>
      </c>
      <c r="J67" t="n">
        <v>1</v>
      </c>
      <c r="K67" t="n">
        <v>0</v>
      </c>
      <c r="L67" t="n">
        <v>0</v>
      </c>
      <c r="M67" t="n">
        <v>0</v>
      </c>
      <c r="N67" t="n">
        <v>0</v>
      </c>
      <c r="O67" t="n">
        <v>1</v>
      </c>
      <c r="P67" t="n">
        <v>0</v>
      </c>
      <c r="Q67" t="n">
        <v>1</v>
      </c>
      <c r="R67" s="2" t="inlineStr">
        <is>
          <t>Kolflarnlav</t>
        </is>
      </c>
      <c r="S67">
        <f>HYPERLINK("https://klasma.github.io/Logging_2083/artfynd/A 15036-2025 artfynd.xlsx", "A 15036-2025")</f>
        <v/>
      </c>
      <c r="T67">
        <f>HYPERLINK("https://klasma.github.io/Logging_2083/kartor/A 15036-2025 karta.png", "A 15036-2025")</f>
        <v/>
      </c>
      <c r="V67">
        <f>HYPERLINK("https://klasma.github.io/Logging_2083/klagomål/A 15036-2025 FSC-klagomål.docx", "A 15036-2025")</f>
        <v/>
      </c>
      <c r="W67">
        <f>HYPERLINK("https://klasma.github.io/Logging_2083/klagomålsmail/A 15036-2025 FSC-klagomål mail.docx", "A 15036-2025")</f>
        <v/>
      </c>
      <c r="X67">
        <f>HYPERLINK("https://klasma.github.io/Logging_2083/tillsyn/A 15036-2025 tillsynsbegäran.docx", "A 15036-2025")</f>
        <v/>
      </c>
      <c r="Y67">
        <f>HYPERLINK("https://klasma.github.io/Logging_2083/tillsynsmail/A 15036-2025 tillsynsbegäran mail.docx", "A 15036-2025")</f>
        <v/>
      </c>
    </row>
    <row r="68" ht="15" customHeight="1">
      <c r="A68" t="inlineStr">
        <is>
          <t>A 15125-2021</t>
        </is>
      </c>
      <c r="B68" s="1" t="n">
        <v>44283</v>
      </c>
      <c r="C68" s="1" t="n">
        <v>45964</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45964</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45964</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45964</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45964</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45964</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32748-2022</t>
        </is>
      </c>
      <c r="B74" s="1" t="n">
        <v>44783.71745370371</v>
      </c>
      <c r="C74" s="1" t="n">
        <v>45964</v>
      </c>
      <c r="D74" t="inlineStr">
        <is>
          <t>DALARNAS LÄN</t>
        </is>
      </c>
      <c r="E74" t="inlineStr">
        <is>
          <t>HEDEMORA</t>
        </is>
      </c>
      <c r="G74" t="n">
        <v>1</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45964</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45964</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45964</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45964</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45964</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45964</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45964</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45964</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45964</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52425-2021</t>
        </is>
      </c>
      <c r="B84" s="1" t="n">
        <v>44466.33798611111</v>
      </c>
      <c r="C84" s="1" t="n">
        <v>45964</v>
      </c>
      <c r="D84" t="inlineStr">
        <is>
          <t>DALARNAS LÄN</t>
        </is>
      </c>
      <c r="E84" t="inlineStr">
        <is>
          <t>HEDEMORA</t>
        </is>
      </c>
      <c r="G84" t="n">
        <v>2.3</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45964</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45964</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45964</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45964</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45964</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45964</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45964</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45964</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45964</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45964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36943-2021</t>
        </is>
      </c>
      <c r="B95" s="1" t="n">
        <v>44393.52391203704</v>
      </c>
      <c r="C95" s="1" t="n">
        <v>45964</v>
      </c>
      <c r="D95" t="inlineStr">
        <is>
          <t>DALARNAS LÄN</t>
        </is>
      </c>
      <c r="E95" t="inlineStr">
        <is>
          <t>HEDEMORA</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17464-2021</t>
        </is>
      </c>
      <c r="B96" s="1" t="n">
        <v>44299</v>
      </c>
      <c r="C96" s="1" t="n">
        <v>45964</v>
      </c>
      <c r="D96" t="inlineStr">
        <is>
          <t>DALARNAS LÄN</t>
        </is>
      </c>
      <c r="E96" t="inlineStr">
        <is>
          <t>HEDEMORA</t>
        </is>
      </c>
      <c r="G96" t="n">
        <v>0.8</v>
      </c>
      <c r="H96" t="n">
        <v>0</v>
      </c>
      <c r="I96" t="n">
        <v>0</v>
      </c>
      <c r="J96" t="n">
        <v>0</v>
      </c>
      <c r="K96" t="n">
        <v>0</v>
      </c>
      <c r="L96" t="n">
        <v>0</v>
      </c>
      <c r="M96" t="n">
        <v>0</v>
      </c>
      <c r="N96" t="n">
        <v>0</v>
      </c>
      <c r="O96" t="n">
        <v>0</v>
      </c>
      <c r="P96" t="n">
        <v>0</v>
      </c>
      <c r="Q96" t="n">
        <v>0</v>
      </c>
      <c r="R96" s="2" t="inlineStr"/>
    </row>
    <row r="97" ht="15" customHeight="1">
      <c r="A97" t="inlineStr">
        <is>
          <t>A 44065-2021</t>
        </is>
      </c>
      <c r="B97" s="1" t="n">
        <v>44434</v>
      </c>
      <c r="C97" s="1" t="n">
        <v>45964</v>
      </c>
      <c r="D97" t="inlineStr">
        <is>
          <t>DALARNAS LÄN</t>
        </is>
      </c>
      <c r="E97" t="inlineStr">
        <is>
          <t>HEDEMORA</t>
        </is>
      </c>
      <c r="F97" t="inlineStr">
        <is>
          <t>Bergvik skog väst AB</t>
        </is>
      </c>
      <c r="G97" t="n">
        <v>9.1</v>
      </c>
      <c r="H97" t="n">
        <v>0</v>
      </c>
      <c r="I97" t="n">
        <v>0</v>
      </c>
      <c r="J97" t="n">
        <v>0</v>
      </c>
      <c r="K97" t="n">
        <v>0</v>
      </c>
      <c r="L97" t="n">
        <v>0</v>
      </c>
      <c r="M97" t="n">
        <v>0</v>
      </c>
      <c r="N97" t="n">
        <v>0</v>
      </c>
      <c r="O97" t="n">
        <v>0</v>
      </c>
      <c r="P97" t="n">
        <v>0</v>
      </c>
      <c r="Q97" t="n">
        <v>0</v>
      </c>
      <c r="R97" s="2" t="inlineStr"/>
    </row>
    <row r="98" ht="15" customHeight="1">
      <c r="A98" t="inlineStr">
        <is>
          <t>A 3527-2021</t>
        </is>
      </c>
      <c r="B98" s="1" t="n">
        <v>44218</v>
      </c>
      <c r="C98" s="1" t="n">
        <v>45964</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66064-2020</t>
        </is>
      </c>
      <c r="B99" s="1" t="n">
        <v>44175</v>
      </c>
      <c r="C99" s="1" t="n">
        <v>45964</v>
      </c>
      <c r="D99" t="inlineStr">
        <is>
          <t>DALARNAS LÄN</t>
        </is>
      </c>
      <c r="E99" t="inlineStr">
        <is>
          <t>HEDEMORA</t>
        </is>
      </c>
      <c r="G99" t="n">
        <v>1.7</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45964</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57779-2020</t>
        </is>
      </c>
      <c r="B101" s="1" t="n">
        <v>44141</v>
      </c>
      <c r="C101" s="1" t="n">
        <v>45964</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45964</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28105-2022</t>
        </is>
      </c>
      <c r="B103" s="1" t="n">
        <v>44746</v>
      </c>
      <c r="C103" s="1" t="n">
        <v>45964</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45964</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45964</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45964</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2996-2023</t>
        </is>
      </c>
      <c r="B107" s="1" t="n">
        <v>44945</v>
      </c>
      <c r="C107" s="1" t="n">
        <v>45964</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65057-2023</t>
        </is>
      </c>
      <c r="B108" s="1" t="n">
        <v>45287</v>
      </c>
      <c r="C108" s="1" t="n">
        <v>45964</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45964</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45964</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37762-2024</t>
        </is>
      </c>
      <c r="B111" s="1" t="n">
        <v>45541.79369212963</v>
      </c>
      <c r="C111" s="1" t="n">
        <v>45964</v>
      </c>
      <c r="D111" t="inlineStr">
        <is>
          <t>DALARNAS LÄN</t>
        </is>
      </c>
      <c r="E111" t="inlineStr">
        <is>
          <t>HEDEMORA</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55832-2024</t>
        </is>
      </c>
      <c r="B112" s="1" t="n">
        <v>45623.48604166666</v>
      </c>
      <c r="C112" s="1" t="n">
        <v>45964</v>
      </c>
      <c r="D112" t="inlineStr">
        <is>
          <t>DALARNAS LÄN</t>
        </is>
      </c>
      <c r="E112" t="inlineStr">
        <is>
          <t>HEDEMORA</t>
        </is>
      </c>
      <c r="G112" t="n">
        <v>3</v>
      </c>
      <c r="H112" t="n">
        <v>0</v>
      </c>
      <c r="I112" t="n">
        <v>0</v>
      </c>
      <c r="J112" t="n">
        <v>0</v>
      </c>
      <c r="K112" t="n">
        <v>0</v>
      </c>
      <c r="L112" t="n">
        <v>0</v>
      </c>
      <c r="M112" t="n">
        <v>0</v>
      </c>
      <c r="N112" t="n">
        <v>0</v>
      </c>
      <c r="O112" t="n">
        <v>0</v>
      </c>
      <c r="P112" t="n">
        <v>0</v>
      </c>
      <c r="Q112" t="n">
        <v>0</v>
      </c>
      <c r="R112" s="2" t="inlineStr"/>
    </row>
    <row r="113" ht="15" customHeight="1">
      <c r="A113" t="inlineStr">
        <is>
          <t>A 60774-2022</t>
        </is>
      </c>
      <c r="B113" s="1" t="n">
        <v>44914.37917824074</v>
      </c>
      <c r="C113" s="1" t="n">
        <v>45964</v>
      </c>
      <c r="D113" t="inlineStr">
        <is>
          <t>DALARNAS LÄN</t>
        </is>
      </c>
      <c r="E113" t="inlineStr">
        <is>
          <t>HEDEMORA</t>
        </is>
      </c>
      <c r="G113" t="n">
        <v>11.5</v>
      </c>
      <c r="H113" t="n">
        <v>0</v>
      </c>
      <c r="I113" t="n">
        <v>0</v>
      </c>
      <c r="J113" t="n">
        <v>0</v>
      </c>
      <c r="K113" t="n">
        <v>0</v>
      </c>
      <c r="L113" t="n">
        <v>0</v>
      </c>
      <c r="M113" t="n">
        <v>0</v>
      </c>
      <c r="N113" t="n">
        <v>0</v>
      </c>
      <c r="O113" t="n">
        <v>0</v>
      </c>
      <c r="P113" t="n">
        <v>0</v>
      </c>
      <c r="Q113" t="n">
        <v>0</v>
      </c>
      <c r="R113" s="2" t="inlineStr"/>
    </row>
    <row r="114" ht="15" customHeight="1">
      <c r="A114" t="inlineStr">
        <is>
          <t>A 41435-2023</t>
        </is>
      </c>
      <c r="B114" s="1" t="n">
        <v>45170</v>
      </c>
      <c r="C114" s="1" t="n">
        <v>45964</v>
      </c>
      <c r="D114" t="inlineStr">
        <is>
          <t>DALARNAS LÄN</t>
        </is>
      </c>
      <c r="E114" t="inlineStr">
        <is>
          <t>HEDEMORA</t>
        </is>
      </c>
      <c r="G114" t="n">
        <v>2.9</v>
      </c>
      <c r="H114" t="n">
        <v>0</v>
      </c>
      <c r="I114" t="n">
        <v>0</v>
      </c>
      <c r="J114" t="n">
        <v>0</v>
      </c>
      <c r="K114" t="n">
        <v>0</v>
      </c>
      <c r="L114" t="n">
        <v>0</v>
      </c>
      <c r="M114" t="n">
        <v>0</v>
      </c>
      <c r="N114" t="n">
        <v>0</v>
      </c>
      <c r="O114" t="n">
        <v>0</v>
      </c>
      <c r="P114" t="n">
        <v>0</v>
      </c>
      <c r="Q114" t="n">
        <v>0</v>
      </c>
      <c r="R114" s="2" t="inlineStr"/>
    </row>
    <row r="115" ht="15" customHeight="1">
      <c r="A115" t="inlineStr">
        <is>
          <t>A 26449-2024</t>
        </is>
      </c>
      <c r="B115" s="1" t="n">
        <v>45469.50783564815</v>
      </c>
      <c r="C115" s="1" t="n">
        <v>45964</v>
      </c>
      <c r="D115" t="inlineStr">
        <is>
          <t>DALARNAS LÄN</t>
        </is>
      </c>
      <c r="E115" t="inlineStr">
        <is>
          <t>HEDEMORA</t>
        </is>
      </c>
      <c r="G115" t="n">
        <v>4.5</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45964</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49904-2021</t>
        </is>
      </c>
      <c r="B117" s="1" t="n">
        <v>44455.77041666667</v>
      </c>
      <c r="C117" s="1" t="n">
        <v>45964</v>
      </c>
      <c r="D117" t="inlineStr">
        <is>
          <t>DALARNAS LÄN</t>
        </is>
      </c>
      <c r="E117" t="inlineStr">
        <is>
          <t>HEDEMORA</t>
        </is>
      </c>
      <c r="F117" t="inlineStr">
        <is>
          <t>Sveaskog</t>
        </is>
      </c>
      <c r="G117" t="n">
        <v>7.1</v>
      </c>
      <c r="H117" t="n">
        <v>0</v>
      </c>
      <c r="I117" t="n">
        <v>0</v>
      </c>
      <c r="J117" t="n">
        <v>0</v>
      </c>
      <c r="K117" t="n">
        <v>0</v>
      </c>
      <c r="L117" t="n">
        <v>0</v>
      </c>
      <c r="M117" t="n">
        <v>0</v>
      </c>
      <c r="N117" t="n">
        <v>0</v>
      </c>
      <c r="O117" t="n">
        <v>0</v>
      </c>
      <c r="P117" t="n">
        <v>0</v>
      </c>
      <c r="Q117" t="n">
        <v>0</v>
      </c>
      <c r="R117" s="2" t="inlineStr"/>
    </row>
    <row r="118" ht="15" customHeight="1">
      <c r="A118" t="inlineStr">
        <is>
          <t>A 42894-2024</t>
        </is>
      </c>
      <c r="B118" s="1" t="n">
        <v>45566.82304398148</v>
      </c>
      <c r="C118" s="1" t="n">
        <v>45964</v>
      </c>
      <c r="D118" t="inlineStr">
        <is>
          <t>DALARNAS LÄN</t>
        </is>
      </c>
      <c r="E118" t="inlineStr">
        <is>
          <t>HEDEMORA</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42895-2024</t>
        </is>
      </c>
      <c r="B119" s="1" t="n">
        <v>45566.82385416667</v>
      </c>
      <c r="C119" s="1" t="n">
        <v>45964</v>
      </c>
      <c r="D119" t="inlineStr">
        <is>
          <t>DALARNAS LÄN</t>
        </is>
      </c>
      <c r="E119" t="inlineStr">
        <is>
          <t>HEDEMORA</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31365-2024</t>
        </is>
      </c>
      <c r="B120" s="1" t="n">
        <v>45505.37086805556</v>
      </c>
      <c r="C120" s="1" t="n">
        <v>45964</v>
      </c>
      <c r="D120" t="inlineStr">
        <is>
          <t>DALARNAS LÄN</t>
        </is>
      </c>
      <c r="E120" t="inlineStr">
        <is>
          <t>HEDEMORA</t>
        </is>
      </c>
      <c r="G120" t="n">
        <v>0.4</v>
      </c>
      <c r="H120" t="n">
        <v>0</v>
      </c>
      <c r="I120" t="n">
        <v>0</v>
      </c>
      <c r="J120" t="n">
        <v>0</v>
      </c>
      <c r="K120" t="n">
        <v>0</v>
      </c>
      <c r="L120" t="n">
        <v>0</v>
      </c>
      <c r="M120" t="n">
        <v>0</v>
      </c>
      <c r="N120" t="n">
        <v>0</v>
      </c>
      <c r="O120" t="n">
        <v>0</v>
      </c>
      <c r="P120" t="n">
        <v>0</v>
      </c>
      <c r="Q120" t="n">
        <v>0</v>
      </c>
      <c r="R120" s="2" t="inlineStr"/>
    </row>
    <row r="121" ht="15" customHeight="1">
      <c r="A121" t="inlineStr">
        <is>
          <t>A 28813-2024</t>
        </is>
      </c>
      <c r="B121" s="1" t="n">
        <v>45478.641875</v>
      </c>
      <c r="C121" s="1" t="n">
        <v>45964</v>
      </c>
      <c r="D121" t="inlineStr">
        <is>
          <t>DALARNAS LÄN</t>
        </is>
      </c>
      <c r="E121" t="inlineStr">
        <is>
          <t>HEDEMORA</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15863-2023</t>
        </is>
      </c>
      <c r="B122" s="1" t="n">
        <v>45022</v>
      </c>
      <c r="C122" s="1" t="n">
        <v>45964</v>
      </c>
      <c r="D122" t="inlineStr">
        <is>
          <t>DALARNAS LÄN</t>
        </is>
      </c>
      <c r="E122" t="inlineStr">
        <is>
          <t>HEDEMORA</t>
        </is>
      </c>
      <c r="F122" t="inlineStr">
        <is>
          <t>Bergvik skog väst AB</t>
        </is>
      </c>
      <c r="G122" t="n">
        <v>4.7</v>
      </c>
      <c r="H122" t="n">
        <v>0</v>
      </c>
      <c r="I122" t="n">
        <v>0</v>
      </c>
      <c r="J122" t="n">
        <v>0</v>
      </c>
      <c r="K122" t="n">
        <v>0</v>
      </c>
      <c r="L122" t="n">
        <v>0</v>
      </c>
      <c r="M122" t="n">
        <v>0</v>
      </c>
      <c r="N122" t="n">
        <v>0</v>
      </c>
      <c r="O122" t="n">
        <v>0</v>
      </c>
      <c r="P122" t="n">
        <v>0</v>
      </c>
      <c r="Q122" t="n">
        <v>0</v>
      </c>
      <c r="R122" s="2" t="inlineStr"/>
    </row>
    <row r="123" ht="15" customHeight="1">
      <c r="A123" t="inlineStr">
        <is>
          <t>A 36935-2024</t>
        </is>
      </c>
      <c r="B123" s="1" t="n">
        <v>45538.56925925926</v>
      </c>
      <c r="C123" s="1" t="n">
        <v>45964</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45964</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11046-2022</t>
        </is>
      </c>
      <c r="B125" s="1" t="n">
        <v>44628</v>
      </c>
      <c r="C125" s="1" t="n">
        <v>45964</v>
      </c>
      <c r="D125" t="inlineStr">
        <is>
          <t>DALARNAS LÄN</t>
        </is>
      </c>
      <c r="E125" t="inlineStr">
        <is>
          <t>HEDEMORA</t>
        </is>
      </c>
      <c r="F125" t="inlineStr">
        <is>
          <t>Bergvik skog väst AB</t>
        </is>
      </c>
      <c r="G125" t="n">
        <v>1</v>
      </c>
      <c r="H125" t="n">
        <v>0</v>
      </c>
      <c r="I125" t="n">
        <v>0</v>
      </c>
      <c r="J125" t="n">
        <v>0</v>
      </c>
      <c r="K125" t="n">
        <v>0</v>
      </c>
      <c r="L125" t="n">
        <v>0</v>
      </c>
      <c r="M125" t="n">
        <v>0</v>
      </c>
      <c r="N125" t="n">
        <v>0</v>
      </c>
      <c r="O125" t="n">
        <v>0</v>
      </c>
      <c r="P125" t="n">
        <v>0</v>
      </c>
      <c r="Q125" t="n">
        <v>0</v>
      </c>
      <c r="R125" s="2" t="inlineStr"/>
    </row>
    <row r="126" ht="15" customHeight="1">
      <c r="A126" t="inlineStr">
        <is>
          <t>A 29640-2024</t>
        </is>
      </c>
      <c r="B126" s="1" t="n">
        <v>45484.69837962963</v>
      </c>
      <c r="C126" s="1" t="n">
        <v>45964</v>
      </c>
      <c r="D126" t="inlineStr">
        <is>
          <t>DALARNAS LÄN</t>
        </is>
      </c>
      <c r="E126" t="inlineStr">
        <is>
          <t>HEDEMORA</t>
        </is>
      </c>
      <c r="F126" t="inlineStr">
        <is>
          <t>Bergvik skog väst AB</t>
        </is>
      </c>
      <c r="G126" t="n">
        <v>8.6</v>
      </c>
      <c r="H126" t="n">
        <v>0</v>
      </c>
      <c r="I126" t="n">
        <v>0</v>
      </c>
      <c r="J126" t="n">
        <v>0</v>
      </c>
      <c r="K126" t="n">
        <v>0</v>
      </c>
      <c r="L126" t="n">
        <v>0</v>
      </c>
      <c r="M126" t="n">
        <v>0</v>
      </c>
      <c r="N126" t="n">
        <v>0</v>
      </c>
      <c r="O126" t="n">
        <v>0</v>
      </c>
      <c r="P126" t="n">
        <v>0</v>
      </c>
      <c r="Q126" t="n">
        <v>0</v>
      </c>
      <c r="R126" s="2" t="inlineStr"/>
    </row>
    <row r="127" ht="15" customHeight="1">
      <c r="A127" t="inlineStr">
        <is>
          <t>A 20670-2024</t>
        </is>
      </c>
      <c r="B127" s="1" t="n">
        <v>45436</v>
      </c>
      <c r="C127" s="1" t="n">
        <v>45964</v>
      </c>
      <c r="D127" t="inlineStr">
        <is>
          <t>DALARNAS LÄN</t>
        </is>
      </c>
      <c r="E127" t="inlineStr">
        <is>
          <t>HEDEMORA</t>
        </is>
      </c>
      <c r="G127" t="n">
        <v>2.7</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45964</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30572-2021</t>
        </is>
      </c>
      <c r="B129" s="1" t="n">
        <v>44364.83369212963</v>
      </c>
      <c r="C129" s="1" t="n">
        <v>45964</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29591-2024</t>
        </is>
      </c>
      <c r="B130" s="1" t="n">
        <v>45484.58222222222</v>
      </c>
      <c r="C130" s="1" t="n">
        <v>45964</v>
      </c>
      <c r="D130" t="inlineStr">
        <is>
          <t>DALARNAS LÄN</t>
        </is>
      </c>
      <c r="E130" t="inlineStr">
        <is>
          <t>HEDEMORA</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12136-2025</t>
        </is>
      </c>
      <c r="B131" s="1" t="n">
        <v>45729.39300925926</v>
      </c>
      <c r="C131" s="1" t="n">
        <v>45964</v>
      </c>
      <c r="D131" t="inlineStr">
        <is>
          <t>DALARNAS LÄN</t>
        </is>
      </c>
      <c r="E131" t="inlineStr">
        <is>
          <t>HEDEMORA</t>
        </is>
      </c>
      <c r="G131" t="n">
        <v>1.5</v>
      </c>
      <c r="H131" t="n">
        <v>0</v>
      </c>
      <c r="I131" t="n">
        <v>0</v>
      </c>
      <c r="J131" t="n">
        <v>0</v>
      </c>
      <c r="K131" t="n">
        <v>0</v>
      </c>
      <c r="L131" t="n">
        <v>0</v>
      </c>
      <c r="M131" t="n">
        <v>0</v>
      </c>
      <c r="N131" t="n">
        <v>0</v>
      </c>
      <c r="O131" t="n">
        <v>0</v>
      </c>
      <c r="P131" t="n">
        <v>0</v>
      </c>
      <c r="Q131" t="n">
        <v>0</v>
      </c>
      <c r="R131" s="2" t="inlineStr"/>
    </row>
    <row r="132" ht="15" customHeight="1">
      <c r="A132" t="inlineStr">
        <is>
          <t>A 44957-2021</t>
        </is>
      </c>
      <c r="B132" s="1" t="n">
        <v>44438.71809027778</v>
      </c>
      <c r="C132" s="1" t="n">
        <v>45964</v>
      </c>
      <c r="D132" t="inlineStr">
        <is>
          <t>DALARNAS LÄN</t>
        </is>
      </c>
      <c r="E132" t="inlineStr">
        <is>
          <t>HEDEMORA</t>
        </is>
      </c>
      <c r="F132" t="inlineStr">
        <is>
          <t>Sveaskog</t>
        </is>
      </c>
      <c r="G132" t="n">
        <v>4.5</v>
      </c>
      <c r="H132" t="n">
        <v>0</v>
      </c>
      <c r="I132" t="n">
        <v>0</v>
      </c>
      <c r="J132" t="n">
        <v>0</v>
      </c>
      <c r="K132" t="n">
        <v>0</v>
      </c>
      <c r="L132" t="n">
        <v>0</v>
      </c>
      <c r="M132" t="n">
        <v>0</v>
      </c>
      <c r="N132" t="n">
        <v>0</v>
      </c>
      <c r="O132" t="n">
        <v>0</v>
      </c>
      <c r="P132" t="n">
        <v>0</v>
      </c>
      <c r="Q132" t="n">
        <v>0</v>
      </c>
      <c r="R132" s="2" t="inlineStr"/>
    </row>
    <row r="133" ht="15" customHeight="1">
      <c r="A133" t="inlineStr">
        <is>
          <t>A 20666-2024</t>
        </is>
      </c>
      <c r="B133" s="1" t="n">
        <v>45436</v>
      </c>
      <c r="C133" s="1" t="n">
        <v>45964</v>
      </c>
      <c r="D133" t="inlineStr">
        <is>
          <t>DALARNAS LÄN</t>
        </is>
      </c>
      <c r="E133" t="inlineStr">
        <is>
          <t>HEDEMORA</t>
        </is>
      </c>
      <c r="G133" t="n">
        <v>5.1</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45964</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6441-2021</t>
        </is>
      </c>
      <c r="B135" s="1" t="n">
        <v>44235</v>
      </c>
      <c r="C135" s="1" t="n">
        <v>45964</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45964</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7052-2025</t>
        </is>
      </c>
      <c r="B137" s="1" t="n">
        <v>45701.64659722222</v>
      </c>
      <c r="C137" s="1" t="n">
        <v>45964</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48321-2024</t>
        </is>
      </c>
      <c r="B138" s="1" t="n">
        <v>45590.50111111111</v>
      </c>
      <c r="C138" s="1" t="n">
        <v>45964</v>
      </c>
      <c r="D138" t="inlineStr">
        <is>
          <t>DALARNAS LÄN</t>
        </is>
      </c>
      <c r="E138" t="inlineStr">
        <is>
          <t>HEDEMORA</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60078-2022</t>
        </is>
      </c>
      <c r="B139" s="1" t="n">
        <v>44909.58811342593</v>
      </c>
      <c r="C139" s="1" t="n">
        <v>45964</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56668-2024</t>
        </is>
      </c>
      <c r="B140" s="1" t="n">
        <v>45626.41185185185</v>
      </c>
      <c r="C140" s="1" t="n">
        <v>45964</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14456-2021</t>
        </is>
      </c>
      <c r="B141" s="1" t="n">
        <v>44279.50208333333</v>
      </c>
      <c r="C141" s="1" t="n">
        <v>45964</v>
      </c>
      <c r="D141" t="inlineStr">
        <is>
          <t>DALARNAS LÄN</t>
        </is>
      </c>
      <c r="E141" t="inlineStr">
        <is>
          <t>HEDEMORA</t>
        </is>
      </c>
      <c r="G141" t="n">
        <v>1.2</v>
      </c>
      <c r="H141" t="n">
        <v>0</v>
      </c>
      <c r="I141" t="n">
        <v>0</v>
      </c>
      <c r="J141" t="n">
        <v>0</v>
      </c>
      <c r="K141" t="n">
        <v>0</v>
      </c>
      <c r="L141" t="n">
        <v>0</v>
      </c>
      <c r="M141" t="n">
        <v>0</v>
      </c>
      <c r="N141" t="n">
        <v>0</v>
      </c>
      <c r="O141" t="n">
        <v>0</v>
      </c>
      <c r="P141" t="n">
        <v>0</v>
      </c>
      <c r="Q141" t="n">
        <v>0</v>
      </c>
      <c r="R141" s="2" t="inlineStr"/>
    </row>
    <row r="142" ht="15" customHeight="1">
      <c r="A142" t="inlineStr">
        <is>
          <t>A 25643-2024</t>
        </is>
      </c>
      <c r="B142" s="1" t="n">
        <v>45463.66436342592</v>
      </c>
      <c r="C142" s="1" t="n">
        <v>45964</v>
      </c>
      <c r="D142" t="inlineStr">
        <is>
          <t>DALARNAS LÄN</t>
        </is>
      </c>
      <c r="E142" t="inlineStr">
        <is>
          <t>HEDEMORA</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14949-2025</t>
        </is>
      </c>
      <c r="B143" s="1" t="n">
        <v>45743.5745949074</v>
      </c>
      <c r="C143" s="1" t="n">
        <v>45964</v>
      </c>
      <c r="D143" t="inlineStr">
        <is>
          <t>DALARNAS LÄN</t>
        </is>
      </c>
      <c r="E143" t="inlineStr">
        <is>
          <t>HEDEMORA</t>
        </is>
      </c>
      <c r="G143" t="n">
        <v>2.5</v>
      </c>
      <c r="H143" t="n">
        <v>0</v>
      </c>
      <c r="I143" t="n">
        <v>0</v>
      </c>
      <c r="J143" t="n">
        <v>0</v>
      </c>
      <c r="K143" t="n">
        <v>0</v>
      </c>
      <c r="L143" t="n">
        <v>0</v>
      </c>
      <c r="M143" t="n">
        <v>0</v>
      </c>
      <c r="N143" t="n">
        <v>0</v>
      </c>
      <c r="O143" t="n">
        <v>0</v>
      </c>
      <c r="P143" t="n">
        <v>0</v>
      </c>
      <c r="Q143" t="n">
        <v>0</v>
      </c>
      <c r="R143" s="2" t="inlineStr"/>
    </row>
    <row r="144" ht="15" customHeight="1">
      <c r="A144" t="inlineStr">
        <is>
          <t>A 24427-2022</t>
        </is>
      </c>
      <c r="B144" s="1" t="n">
        <v>44726</v>
      </c>
      <c r="C144" s="1" t="n">
        <v>45964</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12133-2025</t>
        </is>
      </c>
      <c r="B145" s="1" t="n">
        <v>45729.38878472222</v>
      </c>
      <c r="C145" s="1" t="n">
        <v>45964</v>
      </c>
      <c r="D145" t="inlineStr">
        <is>
          <t>DALARNAS LÄN</t>
        </is>
      </c>
      <c r="E145" t="inlineStr">
        <is>
          <t>HEDEMORA</t>
        </is>
      </c>
      <c r="G145" t="n">
        <v>4.8</v>
      </c>
      <c r="H145" t="n">
        <v>0</v>
      </c>
      <c r="I145" t="n">
        <v>0</v>
      </c>
      <c r="J145" t="n">
        <v>0</v>
      </c>
      <c r="K145" t="n">
        <v>0</v>
      </c>
      <c r="L145" t="n">
        <v>0</v>
      </c>
      <c r="M145" t="n">
        <v>0</v>
      </c>
      <c r="N145" t="n">
        <v>0</v>
      </c>
      <c r="O145" t="n">
        <v>0</v>
      </c>
      <c r="P145" t="n">
        <v>0</v>
      </c>
      <c r="Q145" t="n">
        <v>0</v>
      </c>
      <c r="R145" s="2" t="inlineStr"/>
    </row>
    <row r="146" ht="15" customHeight="1">
      <c r="A146" t="inlineStr">
        <is>
          <t>A 23934-2023</t>
        </is>
      </c>
      <c r="B146" s="1" t="n">
        <v>45078.59590277778</v>
      </c>
      <c r="C146" s="1" t="n">
        <v>45964</v>
      </c>
      <c r="D146" t="inlineStr">
        <is>
          <t>DALARNAS LÄN</t>
        </is>
      </c>
      <c r="E146" t="inlineStr">
        <is>
          <t>HEDEMORA</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46825-2024</t>
        </is>
      </c>
      <c r="B147" s="1" t="n">
        <v>45583.58040509259</v>
      </c>
      <c r="C147" s="1" t="n">
        <v>45964</v>
      </c>
      <c r="D147" t="inlineStr">
        <is>
          <t>DALARNAS LÄN</t>
        </is>
      </c>
      <c r="E147" t="inlineStr">
        <is>
          <t>HEDEMORA</t>
        </is>
      </c>
      <c r="G147" t="n">
        <v>1.1</v>
      </c>
      <c r="H147" t="n">
        <v>0</v>
      </c>
      <c r="I147" t="n">
        <v>0</v>
      </c>
      <c r="J147" t="n">
        <v>0</v>
      </c>
      <c r="K147" t="n">
        <v>0</v>
      </c>
      <c r="L147" t="n">
        <v>0</v>
      </c>
      <c r="M147" t="n">
        <v>0</v>
      </c>
      <c r="N147" t="n">
        <v>0</v>
      </c>
      <c r="O147" t="n">
        <v>0</v>
      </c>
      <c r="P147" t="n">
        <v>0</v>
      </c>
      <c r="Q147" t="n">
        <v>0</v>
      </c>
      <c r="R147" s="2" t="inlineStr"/>
    </row>
    <row r="148" ht="15" customHeight="1">
      <c r="A148" t="inlineStr">
        <is>
          <t>A 45377-2024</t>
        </is>
      </c>
      <c r="B148" s="1" t="n">
        <v>45576.51962962963</v>
      </c>
      <c r="C148" s="1" t="n">
        <v>45964</v>
      </c>
      <c r="D148" t="inlineStr">
        <is>
          <t>DALARNAS LÄN</t>
        </is>
      </c>
      <c r="E148" t="inlineStr">
        <is>
          <t>HEDEMORA</t>
        </is>
      </c>
      <c r="G148" t="n">
        <v>1.4</v>
      </c>
      <c r="H148" t="n">
        <v>0</v>
      </c>
      <c r="I148" t="n">
        <v>0</v>
      </c>
      <c r="J148" t="n">
        <v>0</v>
      </c>
      <c r="K148" t="n">
        <v>0</v>
      </c>
      <c r="L148" t="n">
        <v>0</v>
      </c>
      <c r="M148" t="n">
        <v>0</v>
      </c>
      <c r="N148" t="n">
        <v>0</v>
      </c>
      <c r="O148" t="n">
        <v>0</v>
      </c>
      <c r="P148" t="n">
        <v>0</v>
      </c>
      <c r="Q148" t="n">
        <v>0</v>
      </c>
      <c r="R148" s="2" t="inlineStr"/>
    </row>
    <row r="149" ht="15" customHeight="1">
      <c r="A149" t="inlineStr">
        <is>
          <t>A 21514-2024</t>
        </is>
      </c>
      <c r="B149" s="1" t="n">
        <v>45441.57538194444</v>
      </c>
      <c r="C149" s="1" t="n">
        <v>45964</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37761-2024</t>
        </is>
      </c>
      <c r="B150" s="1" t="n">
        <v>45541.78678240741</v>
      </c>
      <c r="C150" s="1" t="n">
        <v>45964</v>
      </c>
      <c r="D150" t="inlineStr">
        <is>
          <t>DALARNAS LÄN</t>
        </is>
      </c>
      <c r="E150" t="inlineStr">
        <is>
          <t>HEDEMORA</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45589-2023</t>
        </is>
      </c>
      <c r="B151" s="1" t="n">
        <v>45194.63086805555</v>
      </c>
      <c r="C151" s="1" t="n">
        <v>45964</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41523-2023</t>
        </is>
      </c>
      <c r="B152" s="1" t="n">
        <v>45172</v>
      </c>
      <c r="C152" s="1" t="n">
        <v>45964</v>
      </c>
      <c r="D152" t="inlineStr">
        <is>
          <t>DALARNAS LÄN</t>
        </is>
      </c>
      <c r="E152" t="inlineStr">
        <is>
          <t>HEDEMORA</t>
        </is>
      </c>
      <c r="F152" t="inlineStr">
        <is>
          <t>Bergvik skog väst AB</t>
        </is>
      </c>
      <c r="G152" t="n">
        <v>3.7</v>
      </c>
      <c r="H152" t="n">
        <v>0</v>
      </c>
      <c r="I152" t="n">
        <v>0</v>
      </c>
      <c r="J152" t="n">
        <v>0</v>
      </c>
      <c r="K152" t="n">
        <v>0</v>
      </c>
      <c r="L152" t="n">
        <v>0</v>
      </c>
      <c r="M152" t="n">
        <v>0</v>
      </c>
      <c r="N152" t="n">
        <v>0</v>
      </c>
      <c r="O152" t="n">
        <v>0</v>
      </c>
      <c r="P152" t="n">
        <v>0</v>
      </c>
      <c r="Q152" t="n">
        <v>0</v>
      </c>
      <c r="R152" s="2" t="inlineStr"/>
    </row>
    <row r="153" ht="15" customHeight="1">
      <c r="A153" t="inlineStr">
        <is>
          <t>A 54310-2021</t>
        </is>
      </c>
      <c r="B153" s="1" t="n">
        <v>44472.54035879629</v>
      </c>
      <c r="C153" s="1" t="n">
        <v>45964</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45964</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40801-2024</t>
        </is>
      </c>
      <c r="B155" s="1" t="n">
        <v>45558.52905092593</v>
      </c>
      <c r="C155" s="1" t="n">
        <v>45964</v>
      </c>
      <c r="D155" t="inlineStr">
        <is>
          <t>DALARNAS LÄN</t>
        </is>
      </c>
      <c r="E155" t="inlineStr">
        <is>
          <t>HEDEMORA</t>
        </is>
      </c>
      <c r="G155" t="n">
        <v>2.2</v>
      </c>
      <c r="H155" t="n">
        <v>0</v>
      </c>
      <c r="I155" t="n">
        <v>0</v>
      </c>
      <c r="J155" t="n">
        <v>0</v>
      </c>
      <c r="K155" t="n">
        <v>0</v>
      </c>
      <c r="L155" t="n">
        <v>0</v>
      </c>
      <c r="M155" t="n">
        <v>0</v>
      </c>
      <c r="N155" t="n">
        <v>0</v>
      </c>
      <c r="O155" t="n">
        <v>0</v>
      </c>
      <c r="P155" t="n">
        <v>0</v>
      </c>
      <c r="Q155" t="n">
        <v>0</v>
      </c>
      <c r="R155" s="2" t="inlineStr"/>
    </row>
    <row r="156" ht="15" customHeight="1">
      <c r="A156" t="inlineStr">
        <is>
          <t>A 40919-2023</t>
        </is>
      </c>
      <c r="B156" s="1" t="n">
        <v>45173.42707175926</v>
      </c>
      <c r="C156" s="1" t="n">
        <v>45964</v>
      </c>
      <c r="D156" t="inlineStr">
        <is>
          <t>DALARNAS LÄN</t>
        </is>
      </c>
      <c r="E156" t="inlineStr">
        <is>
          <t>HEDEMORA</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1978-2021</t>
        </is>
      </c>
      <c r="B157" s="1" t="n">
        <v>44210.67606481481</v>
      </c>
      <c r="C157" s="1" t="n">
        <v>45964</v>
      </c>
      <c r="D157" t="inlineStr">
        <is>
          <t>DALARNAS LÄN</t>
        </is>
      </c>
      <c r="E157" t="inlineStr">
        <is>
          <t>HEDEMORA</t>
        </is>
      </c>
      <c r="G157" t="n">
        <v>1</v>
      </c>
      <c r="H157" t="n">
        <v>0</v>
      </c>
      <c r="I157" t="n">
        <v>0</v>
      </c>
      <c r="J157" t="n">
        <v>0</v>
      </c>
      <c r="K157" t="n">
        <v>0</v>
      </c>
      <c r="L157" t="n">
        <v>0</v>
      </c>
      <c r="M157" t="n">
        <v>0</v>
      </c>
      <c r="N157" t="n">
        <v>0</v>
      </c>
      <c r="O157" t="n">
        <v>0</v>
      </c>
      <c r="P157" t="n">
        <v>0</v>
      </c>
      <c r="Q157" t="n">
        <v>0</v>
      </c>
      <c r="R157" s="2" t="inlineStr"/>
    </row>
    <row r="158" ht="15" customHeight="1">
      <c r="A158" t="inlineStr">
        <is>
          <t>A 46217-2023</t>
        </is>
      </c>
      <c r="B158" s="1" t="n">
        <v>45190</v>
      </c>
      <c r="C158" s="1" t="n">
        <v>45964</v>
      </c>
      <c r="D158" t="inlineStr">
        <is>
          <t>DALARNAS LÄN</t>
        </is>
      </c>
      <c r="E158" t="inlineStr">
        <is>
          <t>HEDEMORA</t>
        </is>
      </c>
      <c r="F158" t="inlineStr">
        <is>
          <t>Bergvik skog väst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20237-2023</t>
        </is>
      </c>
      <c r="B159" s="1" t="n">
        <v>45055</v>
      </c>
      <c r="C159" s="1" t="n">
        <v>45964</v>
      </c>
      <c r="D159" t="inlineStr">
        <is>
          <t>DALARNAS LÄN</t>
        </is>
      </c>
      <c r="E159" t="inlineStr">
        <is>
          <t>HEDEMORA</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61883-2022</t>
        </is>
      </c>
      <c r="B160" s="1" t="n">
        <v>44917.67262731482</v>
      </c>
      <c r="C160" s="1" t="n">
        <v>45964</v>
      </c>
      <c r="D160" t="inlineStr">
        <is>
          <t>DALARNAS LÄN</t>
        </is>
      </c>
      <c r="E160" t="inlineStr">
        <is>
          <t>HEDEMORA</t>
        </is>
      </c>
      <c r="G160" t="n">
        <v>2.3</v>
      </c>
      <c r="H160" t="n">
        <v>0</v>
      </c>
      <c r="I160" t="n">
        <v>0</v>
      </c>
      <c r="J160" t="n">
        <v>0</v>
      </c>
      <c r="K160" t="n">
        <v>0</v>
      </c>
      <c r="L160" t="n">
        <v>0</v>
      </c>
      <c r="M160" t="n">
        <v>0</v>
      </c>
      <c r="N160" t="n">
        <v>0</v>
      </c>
      <c r="O160" t="n">
        <v>0</v>
      </c>
      <c r="P160" t="n">
        <v>0</v>
      </c>
      <c r="Q160" t="n">
        <v>0</v>
      </c>
      <c r="R160" s="2" t="inlineStr"/>
    </row>
    <row r="161" ht="15" customHeight="1">
      <c r="A161" t="inlineStr">
        <is>
          <t>A 68553-2021</t>
        </is>
      </c>
      <c r="B161" s="1" t="n">
        <v>44529</v>
      </c>
      <c r="C161" s="1" t="n">
        <v>45964</v>
      </c>
      <c r="D161" t="inlineStr">
        <is>
          <t>DALARNAS LÄN</t>
        </is>
      </c>
      <c r="E161" t="inlineStr">
        <is>
          <t>HEDEMORA</t>
        </is>
      </c>
      <c r="G161" t="n">
        <v>3</v>
      </c>
      <c r="H161" t="n">
        <v>0</v>
      </c>
      <c r="I161" t="n">
        <v>0</v>
      </c>
      <c r="J161" t="n">
        <v>0</v>
      </c>
      <c r="K161" t="n">
        <v>0</v>
      </c>
      <c r="L161" t="n">
        <v>0</v>
      </c>
      <c r="M161" t="n">
        <v>0</v>
      </c>
      <c r="N161" t="n">
        <v>0</v>
      </c>
      <c r="O161" t="n">
        <v>0</v>
      </c>
      <c r="P161" t="n">
        <v>0</v>
      </c>
      <c r="Q161" t="n">
        <v>0</v>
      </c>
      <c r="R161" s="2" t="inlineStr"/>
    </row>
    <row r="162" ht="15" customHeight="1">
      <c r="A162" t="inlineStr">
        <is>
          <t>A 30939-2023</t>
        </is>
      </c>
      <c r="B162" s="1" t="n">
        <v>45113.45597222223</v>
      </c>
      <c r="C162" s="1" t="n">
        <v>45964</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45964</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5010-2023</t>
        </is>
      </c>
      <c r="B164" s="1" t="n">
        <v>44956</v>
      </c>
      <c r="C164" s="1" t="n">
        <v>45964</v>
      </c>
      <c r="D164" t="inlineStr">
        <is>
          <t>DALARNAS LÄN</t>
        </is>
      </c>
      <c r="E164" t="inlineStr">
        <is>
          <t>HEDEMORA</t>
        </is>
      </c>
      <c r="F164" t="inlineStr">
        <is>
          <t>Bergvik skog väst AB</t>
        </is>
      </c>
      <c r="G164" t="n">
        <v>5</v>
      </c>
      <c r="H164" t="n">
        <v>0</v>
      </c>
      <c r="I164" t="n">
        <v>0</v>
      </c>
      <c r="J164" t="n">
        <v>0</v>
      </c>
      <c r="K164" t="n">
        <v>0</v>
      </c>
      <c r="L164" t="n">
        <v>0</v>
      </c>
      <c r="M164" t="n">
        <v>0</v>
      </c>
      <c r="N164" t="n">
        <v>0</v>
      </c>
      <c r="O164" t="n">
        <v>0</v>
      </c>
      <c r="P164" t="n">
        <v>0</v>
      </c>
      <c r="Q164" t="n">
        <v>0</v>
      </c>
      <c r="R164" s="2" t="inlineStr"/>
    </row>
    <row r="165" ht="15" customHeight="1">
      <c r="A165" t="inlineStr">
        <is>
          <t>A 15635-2022</t>
        </is>
      </c>
      <c r="B165" s="1" t="n">
        <v>44662.84958333334</v>
      </c>
      <c r="C165" s="1" t="n">
        <v>45964</v>
      </c>
      <c r="D165" t="inlineStr">
        <is>
          <t>DALARNAS LÄN</t>
        </is>
      </c>
      <c r="E165" t="inlineStr">
        <is>
          <t>HEDEMORA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21092-2023</t>
        </is>
      </c>
      <c r="B166" s="1" t="n">
        <v>45061</v>
      </c>
      <c r="C166" s="1" t="n">
        <v>45964</v>
      </c>
      <c r="D166" t="inlineStr">
        <is>
          <t>DALARNAS LÄN</t>
        </is>
      </c>
      <c r="E166" t="inlineStr">
        <is>
          <t>HEDEMORA</t>
        </is>
      </c>
      <c r="F166" t="inlineStr">
        <is>
          <t>Sveaskog</t>
        </is>
      </c>
      <c r="G166" t="n">
        <v>0.1</v>
      </c>
      <c r="H166" t="n">
        <v>0</v>
      </c>
      <c r="I166" t="n">
        <v>0</v>
      </c>
      <c r="J166" t="n">
        <v>0</v>
      </c>
      <c r="K166" t="n">
        <v>0</v>
      </c>
      <c r="L166" t="n">
        <v>0</v>
      </c>
      <c r="M166" t="n">
        <v>0</v>
      </c>
      <c r="N166" t="n">
        <v>0</v>
      </c>
      <c r="O166" t="n">
        <v>0</v>
      </c>
      <c r="P166" t="n">
        <v>0</v>
      </c>
      <c r="Q166" t="n">
        <v>0</v>
      </c>
      <c r="R166" s="2" t="inlineStr"/>
    </row>
    <row r="167" ht="15" customHeight="1">
      <c r="A167" t="inlineStr">
        <is>
          <t>A 67282-2021</t>
        </is>
      </c>
      <c r="B167" s="1" t="n">
        <v>44523.6131712963</v>
      </c>
      <c r="C167" s="1" t="n">
        <v>45964</v>
      </c>
      <c r="D167" t="inlineStr">
        <is>
          <t>DALARNAS LÄN</t>
        </is>
      </c>
      <c r="E167" t="inlineStr">
        <is>
          <t>HEDEMORA</t>
        </is>
      </c>
      <c r="F167" t="inlineStr">
        <is>
          <t>Övriga Aktiebolag</t>
        </is>
      </c>
      <c r="G167" t="n">
        <v>3.2</v>
      </c>
      <c r="H167" t="n">
        <v>0</v>
      </c>
      <c r="I167" t="n">
        <v>0</v>
      </c>
      <c r="J167" t="n">
        <v>0</v>
      </c>
      <c r="K167" t="n">
        <v>0</v>
      </c>
      <c r="L167" t="n">
        <v>0</v>
      </c>
      <c r="M167" t="n">
        <v>0</v>
      </c>
      <c r="N167" t="n">
        <v>0</v>
      </c>
      <c r="O167" t="n">
        <v>0</v>
      </c>
      <c r="P167" t="n">
        <v>0</v>
      </c>
      <c r="Q167" t="n">
        <v>0</v>
      </c>
      <c r="R167" s="2" t="inlineStr"/>
    </row>
    <row r="168" ht="15" customHeight="1">
      <c r="A168" t="inlineStr">
        <is>
          <t>A 48639-2022</t>
        </is>
      </c>
      <c r="B168" s="1" t="n">
        <v>44859</v>
      </c>
      <c r="C168" s="1" t="n">
        <v>45964</v>
      </c>
      <c r="D168" t="inlineStr">
        <is>
          <t>DALARNAS LÄN</t>
        </is>
      </c>
      <c r="E168" t="inlineStr">
        <is>
          <t>HEDEMORA</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7172-2025</t>
        </is>
      </c>
      <c r="B169" s="1" t="n">
        <v>45702.41383101852</v>
      </c>
      <c r="C169" s="1" t="n">
        <v>45964</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53568-2023</t>
        </is>
      </c>
      <c r="B170" s="1" t="n">
        <v>45230.49392361111</v>
      </c>
      <c r="C170" s="1" t="n">
        <v>45964</v>
      </c>
      <c r="D170" t="inlineStr">
        <is>
          <t>DALARNAS LÄN</t>
        </is>
      </c>
      <c r="E170" t="inlineStr">
        <is>
          <t>HEDEMORA</t>
        </is>
      </c>
      <c r="G170" t="n">
        <v>1.2</v>
      </c>
      <c r="H170" t="n">
        <v>0</v>
      </c>
      <c r="I170" t="n">
        <v>0</v>
      </c>
      <c r="J170" t="n">
        <v>0</v>
      </c>
      <c r="K170" t="n">
        <v>0</v>
      </c>
      <c r="L170" t="n">
        <v>0</v>
      </c>
      <c r="M170" t="n">
        <v>0</v>
      </c>
      <c r="N170" t="n">
        <v>0</v>
      </c>
      <c r="O170" t="n">
        <v>0</v>
      </c>
      <c r="P170" t="n">
        <v>0</v>
      </c>
      <c r="Q170" t="n">
        <v>0</v>
      </c>
      <c r="R170" s="2" t="inlineStr"/>
    </row>
    <row r="171" ht="15" customHeight="1">
      <c r="A171" t="inlineStr">
        <is>
          <t>A 52942-2024</t>
        </is>
      </c>
      <c r="B171" s="1" t="n">
        <v>45610.8215625</v>
      </c>
      <c r="C171" s="1" t="n">
        <v>45964</v>
      </c>
      <c r="D171" t="inlineStr">
        <is>
          <t>DALARNAS LÄN</t>
        </is>
      </c>
      <c r="E171" t="inlineStr">
        <is>
          <t>HEDEMORA</t>
        </is>
      </c>
      <c r="F171" t="inlineStr">
        <is>
          <t>Sveaskog</t>
        </is>
      </c>
      <c r="G171" t="n">
        <v>14.5</v>
      </c>
      <c r="H171" t="n">
        <v>0</v>
      </c>
      <c r="I171" t="n">
        <v>0</v>
      </c>
      <c r="J171" t="n">
        <v>0</v>
      </c>
      <c r="K171" t="n">
        <v>0</v>
      </c>
      <c r="L171" t="n">
        <v>0</v>
      </c>
      <c r="M171" t="n">
        <v>0</v>
      </c>
      <c r="N171" t="n">
        <v>0</v>
      </c>
      <c r="O171" t="n">
        <v>0</v>
      </c>
      <c r="P171" t="n">
        <v>0</v>
      </c>
      <c r="Q171" t="n">
        <v>0</v>
      </c>
      <c r="R171" s="2" t="inlineStr"/>
    </row>
    <row r="172" ht="15" customHeight="1">
      <c r="A172" t="inlineStr">
        <is>
          <t>A 36900-2022</t>
        </is>
      </c>
      <c r="B172" s="1" t="n">
        <v>44805.71435185185</v>
      </c>
      <c r="C172" s="1" t="n">
        <v>45964</v>
      </c>
      <c r="D172" t="inlineStr">
        <is>
          <t>DALARNAS LÄN</t>
        </is>
      </c>
      <c r="E172" t="inlineStr">
        <is>
          <t>HEDEMORA</t>
        </is>
      </c>
      <c r="F172" t="inlineStr">
        <is>
          <t>Sveaskog</t>
        </is>
      </c>
      <c r="G172" t="n">
        <v>2.9</v>
      </c>
      <c r="H172" t="n">
        <v>0</v>
      </c>
      <c r="I172" t="n">
        <v>0</v>
      </c>
      <c r="J172" t="n">
        <v>0</v>
      </c>
      <c r="K172" t="n">
        <v>0</v>
      </c>
      <c r="L172" t="n">
        <v>0</v>
      </c>
      <c r="M172" t="n">
        <v>0</v>
      </c>
      <c r="N172" t="n">
        <v>0</v>
      </c>
      <c r="O172" t="n">
        <v>0</v>
      </c>
      <c r="P172" t="n">
        <v>0</v>
      </c>
      <c r="Q172" t="n">
        <v>0</v>
      </c>
      <c r="R172" s="2" t="inlineStr"/>
    </row>
    <row r="173" ht="15" customHeight="1">
      <c r="A173" t="inlineStr">
        <is>
          <t>A 20965-2025</t>
        </is>
      </c>
      <c r="B173" s="1" t="n">
        <v>45777.45135416667</v>
      </c>
      <c r="C173" s="1" t="n">
        <v>45964</v>
      </c>
      <c r="D173" t="inlineStr">
        <is>
          <t>DALARNAS LÄN</t>
        </is>
      </c>
      <c r="E173" t="inlineStr">
        <is>
          <t>HEDEMORA</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17222-2025</t>
        </is>
      </c>
      <c r="B174" s="1" t="n">
        <v>45756.45504629629</v>
      </c>
      <c r="C174" s="1" t="n">
        <v>45964</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30430-2023</t>
        </is>
      </c>
      <c r="B175" s="1" t="n">
        <v>45111.54344907407</v>
      </c>
      <c r="C175" s="1" t="n">
        <v>45964</v>
      </c>
      <c r="D175" t="inlineStr">
        <is>
          <t>DALARNAS LÄN</t>
        </is>
      </c>
      <c r="E175" t="inlineStr">
        <is>
          <t>HEDEMORA</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39497-2022</t>
        </is>
      </c>
      <c r="B176" s="1" t="n">
        <v>44817</v>
      </c>
      <c r="C176" s="1" t="n">
        <v>45964</v>
      </c>
      <c r="D176" t="inlineStr">
        <is>
          <t>DALARNAS LÄN</t>
        </is>
      </c>
      <c r="E176" t="inlineStr">
        <is>
          <t>HEDEMORA</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63941-2023</t>
        </is>
      </c>
      <c r="B177" s="1" t="n">
        <v>45278.61277777778</v>
      </c>
      <c r="C177" s="1" t="n">
        <v>45964</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63929-2023</t>
        </is>
      </c>
      <c r="B178" s="1" t="n">
        <v>45278.60274305556</v>
      </c>
      <c r="C178" s="1" t="n">
        <v>45964</v>
      </c>
      <c r="D178" t="inlineStr">
        <is>
          <t>DALARNAS LÄN</t>
        </is>
      </c>
      <c r="E178" t="inlineStr">
        <is>
          <t>HEDEMORA</t>
        </is>
      </c>
      <c r="G178" t="n">
        <v>0.4</v>
      </c>
      <c r="H178" t="n">
        <v>0</v>
      </c>
      <c r="I178" t="n">
        <v>0</v>
      </c>
      <c r="J178" t="n">
        <v>0</v>
      </c>
      <c r="K178" t="n">
        <v>0</v>
      </c>
      <c r="L178" t="n">
        <v>0</v>
      </c>
      <c r="M178" t="n">
        <v>0</v>
      </c>
      <c r="N178" t="n">
        <v>0</v>
      </c>
      <c r="O178" t="n">
        <v>0</v>
      </c>
      <c r="P178" t="n">
        <v>0</v>
      </c>
      <c r="Q178" t="n">
        <v>0</v>
      </c>
      <c r="R178" s="2" t="inlineStr"/>
    </row>
    <row r="179" ht="15" customHeight="1">
      <c r="A179" t="inlineStr">
        <is>
          <t>A 48380-2024</t>
        </is>
      </c>
      <c r="B179" s="1" t="n">
        <v>45590</v>
      </c>
      <c r="C179" s="1" t="n">
        <v>45964</v>
      </c>
      <c r="D179" t="inlineStr">
        <is>
          <t>DALARNAS LÄN</t>
        </is>
      </c>
      <c r="E179" t="inlineStr">
        <is>
          <t>HEDEMORA</t>
        </is>
      </c>
      <c r="G179" t="n">
        <v>1.5</v>
      </c>
      <c r="H179" t="n">
        <v>0</v>
      </c>
      <c r="I179" t="n">
        <v>0</v>
      </c>
      <c r="J179" t="n">
        <v>0</v>
      </c>
      <c r="K179" t="n">
        <v>0</v>
      </c>
      <c r="L179" t="n">
        <v>0</v>
      </c>
      <c r="M179" t="n">
        <v>0</v>
      </c>
      <c r="N179" t="n">
        <v>0</v>
      </c>
      <c r="O179" t="n">
        <v>0</v>
      </c>
      <c r="P179" t="n">
        <v>0</v>
      </c>
      <c r="Q179" t="n">
        <v>0</v>
      </c>
      <c r="R179" s="2" t="inlineStr"/>
    </row>
    <row r="180" ht="15" customHeight="1">
      <c r="A180" t="inlineStr">
        <is>
          <t>A 54423-2023</t>
        </is>
      </c>
      <c r="B180" s="1" t="n">
        <v>45233.41666666666</v>
      </c>
      <c r="C180" s="1" t="n">
        <v>45964</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43785-2023</t>
        </is>
      </c>
      <c r="B181" s="1" t="n">
        <v>45187</v>
      </c>
      <c r="C181" s="1" t="n">
        <v>45964</v>
      </c>
      <c r="D181" t="inlineStr">
        <is>
          <t>DALARNAS LÄN</t>
        </is>
      </c>
      <c r="E181" t="inlineStr">
        <is>
          <t>HEDEMORA</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62386-2023</t>
        </is>
      </c>
      <c r="B182" s="1" t="n">
        <v>45268</v>
      </c>
      <c r="C182" s="1" t="n">
        <v>45964</v>
      </c>
      <c r="D182" t="inlineStr">
        <is>
          <t>DALARNAS LÄN</t>
        </is>
      </c>
      <c r="E182" t="inlineStr">
        <is>
          <t>HEDEMORA</t>
        </is>
      </c>
      <c r="G182" t="n">
        <v>1.7</v>
      </c>
      <c r="H182" t="n">
        <v>0</v>
      </c>
      <c r="I182" t="n">
        <v>0</v>
      </c>
      <c r="J182" t="n">
        <v>0</v>
      </c>
      <c r="K182" t="n">
        <v>0</v>
      </c>
      <c r="L182" t="n">
        <v>0</v>
      </c>
      <c r="M182" t="n">
        <v>0</v>
      </c>
      <c r="N182" t="n">
        <v>0</v>
      </c>
      <c r="O182" t="n">
        <v>0</v>
      </c>
      <c r="P182" t="n">
        <v>0</v>
      </c>
      <c r="Q182" t="n">
        <v>0</v>
      </c>
      <c r="R182" s="2" t="inlineStr"/>
    </row>
    <row r="183" ht="15" customHeight="1">
      <c r="A183" t="inlineStr">
        <is>
          <t>A 62398-2023</t>
        </is>
      </c>
      <c r="B183" s="1" t="n">
        <v>45268</v>
      </c>
      <c r="C183" s="1" t="n">
        <v>45964</v>
      </c>
      <c r="D183" t="inlineStr">
        <is>
          <t>DALARNAS LÄN</t>
        </is>
      </c>
      <c r="E183" t="inlineStr">
        <is>
          <t>HEDEMORA</t>
        </is>
      </c>
      <c r="G183" t="n">
        <v>2.1</v>
      </c>
      <c r="H183" t="n">
        <v>0</v>
      </c>
      <c r="I183" t="n">
        <v>0</v>
      </c>
      <c r="J183" t="n">
        <v>0</v>
      </c>
      <c r="K183" t="n">
        <v>0</v>
      </c>
      <c r="L183" t="n">
        <v>0</v>
      </c>
      <c r="M183" t="n">
        <v>0</v>
      </c>
      <c r="N183" t="n">
        <v>0</v>
      </c>
      <c r="O183" t="n">
        <v>0</v>
      </c>
      <c r="P183" t="n">
        <v>0</v>
      </c>
      <c r="Q183" t="n">
        <v>0</v>
      </c>
      <c r="R183" s="2" t="inlineStr"/>
    </row>
    <row r="184" ht="15" customHeight="1">
      <c r="A184" t="inlineStr">
        <is>
          <t>A 22273-2023</t>
        </is>
      </c>
      <c r="B184" s="1" t="n">
        <v>45070</v>
      </c>
      <c r="C184" s="1" t="n">
        <v>45964</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6210-2024</t>
        </is>
      </c>
      <c r="B185" s="1" t="n">
        <v>45337</v>
      </c>
      <c r="C185" s="1" t="n">
        <v>45964</v>
      </c>
      <c r="D185" t="inlineStr">
        <is>
          <t>DALARNAS LÄN</t>
        </is>
      </c>
      <c r="E185" t="inlineStr">
        <is>
          <t>HEDEMORA</t>
        </is>
      </c>
      <c r="G185" t="n">
        <v>2.6</v>
      </c>
      <c r="H185" t="n">
        <v>0</v>
      </c>
      <c r="I185" t="n">
        <v>0</v>
      </c>
      <c r="J185" t="n">
        <v>0</v>
      </c>
      <c r="K185" t="n">
        <v>0</v>
      </c>
      <c r="L185" t="n">
        <v>0</v>
      </c>
      <c r="M185" t="n">
        <v>0</v>
      </c>
      <c r="N185" t="n">
        <v>0</v>
      </c>
      <c r="O185" t="n">
        <v>0</v>
      </c>
      <c r="P185" t="n">
        <v>0</v>
      </c>
      <c r="Q185" t="n">
        <v>0</v>
      </c>
      <c r="R185" s="2" t="inlineStr"/>
    </row>
    <row r="186" ht="15" customHeight="1">
      <c r="A186" t="inlineStr">
        <is>
          <t>A 49636-2021</t>
        </is>
      </c>
      <c r="B186" s="1" t="n">
        <v>44455</v>
      </c>
      <c r="C186" s="1" t="n">
        <v>45964</v>
      </c>
      <c r="D186" t="inlineStr">
        <is>
          <t>DALARNAS LÄN</t>
        </is>
      </c>
      <c r="E186" t="inlineStr">
        <is>
          <t>HEDEMORA</t>
        </is>
      </c>
      <c r="G186" t="n">
        <v>1.3</v>
      </c>
      <c r="H186" t="n">
        <v>0</v>
      </c>
      <c r="I186" t="n">
        <v>0</v>
      </c>
      <c r="J186" t="n">
        <v>0</v>
      </c>
      <c r="K186" t="n">
        <v>0</v>
      </c>
      <c r="L186" t="n">
        <v>0</v>
      </c>
      <c r="M186" t="n">
        <v>0</v>
      </c>
      <c r="N186" t="n">
        <v>0</v>
      </c>
      <c r="O186" t="n">
        <v>0</v>
      </c>
      <c r="P186" t="n">
        <v>0</v>
      </c>
      <c r="Q186" t="n">
        <v>0</v>
      </c>
      <c r="R186" s="2" t="inlineStr"/>
    </row>
    <row r="187" ht="15" customHeight="1">
      <c r="A187" t="inlineStr">
        <is>
          <t>A 25645-2024</t>
        </is>
      </c>
      <c r="B187" s="1" t="n">
        <v>45463.66520833333</v>
      </c>
      <c r="C187" s="1" t="n">
        <v>45964</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60418-2021</t>
        </is>
      </c>
      <c r="B188" s="1" t="n">
        <v>44495</v>
      </c>
      <c r="C188" s="1" t="n">
        <v>45964</v>
      </c>
      <c r="D188" t="inlineStr">
        <is>
          <t>DALARNAS LÄN</t>
        </is>
      </c>
      <c r="E188" t="inlineStr">
        <is>
          <t>HEDEMORA</t>
        </is>
      </c>
      <c r="G188" t="n">
        <v>0.7</v>
      </c>
      <c r="H188" t="n">
        <v>0</v>
      </c>
      <c r="I188" t="n">
        <v>0</v>
      </c>
      <c r="J188" t="n">
        <v>0</v>
      </c>
      <c r="K188" t="n">
        <v>0</v>
      </c>
      <c r="L188" t="n">
        <v>0</v>
      </c>
      <c r="M188" t="n">
        <v>0</v>
      </c>
      <c r="N188" t="n">
        <v>0</v>
      </c>
      <c r="O188" t="n">
        <v>0</v>
      </c>
      <c r="P188" t="n">
        <v>0</v>
      </c>
      <c r="Q188" t="n">
        <v>0</v>
      </c>
      <c r="R188" s="2" t="inlineStr"/>
    </row>
    <row r="189" ht="15" customHeight="1">
      <c r="A189" t="inlineStr">
        <is>
          <t>A 51256-2024</t>
        </is>
      </c>
      <c r="B189" s="1" t="n">
        <v>45603.68902777778</v>
      </c>
      <c r="C189" s="1" t="n">
        <v>45964</v>
      </c>
      <c r="D189" t="inlineStr">
        <is>
          <t>DALARNAS LÄN</t>
        </is>
      </c>
      <c r="E189" t="inlineStr">
        <is>
          <t>HEDEMORA</t>
        </is>
      </c>
      <c r="G189" t="n">
        <v>1.3</v>
      </c>
      <c r="H189" t="n">
        <v>0</v>
      </c>
      <c r="I189" t="n">
        <v>0</v>
      </c>
      <c r="J189" t="n">
        <v>0</v>
      </c>
      <c r="K189" t="n">
        <v>0</v>
      </c>
      <c r="L189" t="n">
        <v>0</v>
      </c>
      <c r="M189" t="n">
        <v>0</v>
      </c>
      <c r="N189" t="n">
        <v>0</v>
      </c>
      <c r="O189" t="n">
        <v>0</v>
      </c>
      <c r="P189" t="n">
        <v>0</v>
      </c>
      <c r="Q189" t="n">
        <v>0</v>
      </c>
      <c r="R189" s="2" t="inlineStr"/>
    </row>
    <row r="190" ht="15" customHeight="1">
      <c r="A190" t="inlineStr">
        <is>
          <t>A 22270-2023</t>
        </is>
      </c>
      <c r="B190" s="1" t="n">
        <v>45070.39284722223</v>
      </c>
      <c r="C190" s="1" t="n">
        <v>45964</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18579-2025</t>
        </is>
      </c>
      <c r="B191" s="1" t="n">
        <v>45763</v>
      </c>
      <c r="C191" s="1" t="n">
        <v>45964</v>
      </c>
      <c r="D191" t="inlineStr">
        <is>
          <t>DALARNAS LÄN</t>
        </is>
      </c>
      <c r="E191" t="inlineStr">
        <is>
          <t>HEDEMORA</t>
        </is>
      </c>
      <c r="G191" t="n">
        <v>0.5</v>
      </c>
      <c r="H191" t="n">
        <v>0</v>
      </c>
      <c r="I191" t="n">
        <v>0</v>
      </c>
      <c r="J191" t="n">
        <v>0</v>
      </c>
      <c r="K191" t="n">
        <v>0</v>
      </c>
      <c r="L191" t="n">
        <v>0</v>
      </c>
      <c r="M191" t="n">
        <v>0</v>
      </c>
      <c r="N191" t="n">
        <v>0</v>
      </c>
      <c r="O191" t="n">
        <v>0</v>
      </c>
      <c r="P191" t="n">
        <v>0</v>
      </c>
      <c r="Q191" t="n">
        <v>0</v>
      </c>
      <c r="R191" s="2" t="inlineStr"/>
    </row>
    <row r="192" ht="15" customHeight="1">
      <c r="A192" t="inlineStr">
        <is>
          <t>A 16413-2024</t>
        </is>
      </c>
      <c r="B192" s="1" t="n">
        <v>45407.64223379629</v>
      </c>
      <c r="C192" s="1" t="n">
        <v>45964</v>
      </c>
      <c r="D192" t="inlineStr">
        <is>
          <t>DALARNAS LÄN</t>
        </is>
      </c>
      <c r="E192" t="inlineStr">
        <is>
          <t>HEDEMORA</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19920-2025</t>
        </is>
      </c>
      <c r="B193" s="1" t="n">
        <v>45771</v>
      </c>
      <c r="C193" s="1" t="n">
        <v>45964</v>
      </c>
      <c r="D193" t="inlineStr">
        <is>
          <t>DALARNAS LÄN</t>
        </is>
      </c>
      <c r="E193" t="inlineStr">
        <is>
          <t>HEDEMORA</t>
        </is>
      </c>
      <c r="G193" t="n">
        <v>2.8</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45964</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26431-2024</t>
        </is>
      </c>
      <c r="B195" s="1" t="n">
        <v>45469.48282407408</v>
      </c>
      <c r="C195" s="1" t="n">
        <v>45964</v>
      </c>
      <c r="D195" t="inlineStr">
        <is>
          <t>DALARNAS LÄN</t>
        </is>
      </c>
      <c r="E195" t="inlineStr">
        <is>
          <t>HEDEMORA</t>
        </is>
      </c>
      <c r="G195" t="n">
        <v>1.6</v>
      </c>
      <c r="H195" t="n">
        <v>0</v>
      </c>
      <c r="I195" t="n">
        <v>0</v>
      </c>
      <c r="J195" t="n">
        <v>0</v>
      </c>
      <c r="K195" t="n">
        <v>0</v>
      </c>
      <c r="L195" t="n">
        <v>0</v>
      </c>
      <c r="M195" t="n">
        <v>0</v>
      </c>
      <c r="N195" t="n">
        <v>0</v>
      </c>
      <c r="O195" t="n">
        <v>0</v>
      </c>
      <c r="P195" t="n">
        <v>0</v>
      </c>
      <c r="Q195" t="n">
        <v>0</v>
      </c>
      <c r="R195" s="2" t="inlineStr"/>
      <c r="U195">
        <f>HYPERLINK("https://klasma.github.io/Logging_2083/knärot/A 26431-2024 karta knärot.png", "A 26431-2024")</f>
        <v/>
      </c>
      <c r="V195">
        <f>HYPERLINK("https://klasma.github.io/Logging_2083/klagomål/A 26431-2024 FSC-klagomål.docx", "A 26431-2024")</f>
        <v/>
      </c>
      <c r="W195">
        <f>HYPERLINK("https://klasma.github.io/Logging_2083/klagomålsmail/A 26431-2024 FSC-klagomål mail.docx", "A 26431-2024")</f>
        <v/>
      </c>
      <c r="X195">
        <f>HYPERLINK("https://klasma.github.io/Logging_2083/tillsyn/A 26431-2024 tillsynsbegäran.docx", "A 26431-2024")</f>
        <v/>
      </c>
      <c r="Y195">
        <f>HYPERLINK("https://klasma.github.io/Logging_2083/tillsynsmail/A 26431-2024 tillsynsbegäran mail.docx", "A 26431-2024")</f>
        <v/>
      </c>
    </row>
    <row r="196" ht="15" customHeight="1">
      <c r="A196" t="inlineStr">
        <is>
          <t>A 40707-2023</t>
        </is>
      </c>
      <c r="B196" s="1" t="n">
        <v>45170.62489583333</v>
      </c>
      <c r="C196" s="1" t="n">
        <v>45964</v>
      </c>
      <c r="D196" t="inlineStr">
        <is>
          <t>DALARNAS LÄN</t>
        </is>
      </c>
      <c r="E196" t="inlineStr">
        <is>
          <t>HEDEMORA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53922-2024</t>
        </is>
      </c>
      <c r="B197" s="1" t="n">
        <v>45615.78459490741</v>
      </c>
      <c r="C197" s="1" t="n">
        <v>45964</v>
      </c>
      <c r="D197" t="inlineStr">
        <is>
          <t>DALARNAS LÄN</t>
        </is>
      </c>
      <c r="E197" t="inlineStr">
        <is>
          <t>HEDEMORA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52944-2024</t>
        </is>
      </c>
      <c r="B198" s="1" t="n">
        <v>45610.82546296297</v>
      </c>
      <c r="C198" s="1" t="n">
        <v>45964</v>
      </c>
      <c r="D198" t="inlineStr">
        <is>
          <t>DALARNAS LÄN</t>
        </is>
      </c>
      <c r="E198" t="inlineStr">
        <is>
          <t>HEDEMORA</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25195-2024</t>
        </is>
      </c>
      <c r="B199" s="1" t="n">
        <v>45462</v>
      </c>
      <c r="C199" s="1" t="n">
        <v>45964</v>
      </c>
      <c r="D199" t="inlineStr">
        <is>
          <t>DALARNAS LÄN</t>
        </is>
      </c>
      <c r="E199" t="inlineStr">
        <is>
          <t>HEDEMORA</t>
        </is>
      </c>
      <c r="F199" t="inlineStr">
        <is>
          <t>Övriga statliga verk och myndigheter</t>
        </is>
      </c>
      <c r="G199" t="n">
        <v>3.3</v>
      </c>
      <c r="H199" t="n">
        <v>0</v>
      </c>
      <c r="I199" t="n">
        <v>0</v>
      </c>
      <c r="J199" t="n">
        <v>0</v>
      </c>
      <c r="K199" t="n">
        <v>0</v>
      </c>
      <c r="L199" t="n">
        <v>0</v>
      </c>
      <c r="M199" t="n">
        <v>0</v>
      </c>
      <c r="N199" t="n">
        <v>0</v>
      </c>
      <c r="O199" t="n">
        <v>0</v>
      </c>
      <c r="P199" t="n">
        <v>0</v>
      </c>
      <c r="Q199" t="n">
        <v>0</v>
      </c>
      <c r="R199" s="2" t="inlineStr"/>
    </row>
    <row r="200" ht="15" customHeight="1">
      <c r="A200" t="inlineStr">
        <is>
          <t>A 5766-2025</t>
        </is>
      </c>
      <c r="B200" s="1" t="n">
        <v>45694.57893518519</v>
      </c>
      <c r="C200" s="1" t="n">
        <v>45964</v>
      </c>
      <c r="D200" t="inlineStr">
        <is>
          <t>DALARNAS LÄN</t>
        </is>
      </c>
      <c r="E200" t="inlineStr">
        <is>
          <t>HEDEMORA</t>
        </is>
      </c>
      <c r="G200" t="n">
        <v>4.9</v>
      </c>
      <c r="H200" t="n">
        <v>0</v>
      </c>
      <c r="I200" t="n">
        <v>0</v>
      </c>
      <c r="J200" t="n">
        <v>0</v>
      </c>
      <c r="K200" t="n">
        <v>0</v>
      </c>
      <c r="L200" t="n">
        <v>0</v>
      </c>
      <c r="M200" t="n">
        <v>0</v>
      </c>
      <c r="N200" t="n">
        <v>0</v>
      </c>
      <c r="O200" t="n">
        <v>0</v>
      </c>
      <c r="P200" t="n">
        <v>0</v>
      </c>
      <c r="Q200" t="n">
        <v>0</v>
      </c>
      <c r="R200" s="2" t="inlineStr"/>
    </row>
    <row r="201" ht="15" customHeight="1">
      <c r="A201" t="inlineStr">
        <is>
          <t>A 19473-2024</t>
        </is>
      </c>
      <c r="B201" s="1" t="n">
        <v>45429</v>
      </c>
      <c r="C201" s="1" t="n">
        <v>45964</v>
      </c>
      <c r="D201" t="inlineStr">
        <is>
          <t>DALARNAS LÄN</t>
        </is>
      </c>
      <c r="E201" t="inlineStr">
        <is>
          <t>HEDEMORA</t>
        </is>
      </c>
      <c r="G201" t="n">
        <v>2.5</v>
      </c>
      <c r="H201" t="n">
        <v>0</v>
      </c>
      <c r="I201" t="n">
        <v>0</v>
      </c>
      <c r="J201" t="n">
        <v>0</v>
      </c>
      <c r="K201" t="n">
        <v>0</v>
      </c>
      <c r="L201" t="n">
        <v>0</v>
      </c>
      <c r="M201" t="n">
        <v>0</v>
      </c>
      <c r="N201" t="n">
        <v>0</v>
      </c>
      <c r="O201" t="n">
        <v>0</v>
      </c>
      <c r="P201" t="n">
        <v>0</v>
      </c>
      <c r="Q201" t="n">
        <v>0</v>
      </c>
      <c r="R201" s="2" t="inlineStr"/>
    </row>
    <row r="202" ht="15" customHeight="1">
      <c r="A202" t="inlineStr">
        <is>
          <t>A 23501-2023</t>
        </is>
      </c>
      <c r="B202" s="1" t="n">
        <v>45076.73979166667</v>
      </c>
      <c r="C202" s="1" t="n">
        <v>45964</v>
      </c>
      <c r="D202" t="inlineStr">
        <is>
          <t>DALARNAS LÄN</t>
        </is>
      </c>
      <c r="E202" t="inlineStr">
        <is>
          <t>HEDEMORA</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50885-2023</t>
        </is>
      </c>
      <c r="B203" s="1" t="n">
        <v>45218.38459490741</v>
      </c>
      <c r="C203" s="1" t="n">
        <v>45964</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40938-2021</t>
        </is>
      </c>
      <c r="B204" s="1" t="n">
        <v>44421.53498842593</v>
      </c>
      <c r="C204" s="1" t="n">
        <v>45964</v>
      </c>
      <c r="D204" t="inlineStr">
        <is>
          <t>DALARNAS LÄN</t>
        </is>
      </c>
      <c r="E204" t="inlineStr">
        <is>
          <t>HEDEMORA</t>
        </is>
      </c>
      <c r="G204" t="n">
        <v>1</v>
      </c>
      <c r="H204" t="n">
        <v>0</v>
      </c>
      <c r="I204" t="n">
        <v>0</v>
      </c>
      <c r="J204" t="n">
        <v>0</v>
      </c>
      <c r="K204" t="n">
        <v>0</v>
      </c>
      <c r="L204" t="n">
        <v>0</v>
      </c>
      <c r="M204" t="n">
        <v>0</v>
      </c>
      <c r="N204" t="n">
        <v>0</v>
      </c>
      <c r="O204" t="n">
        <v>0</v>
      </c>
      <c r="P204" t="n">
        <v>0</v>
      </c>
      <c r="Q204" t="n">
        <v>0</v>
      </c>
      <c r="R204" s="2" t="inlineStr"/>
    </row>
    <row r="205" ht="15" customHeight="1">
      <c r="A205" t="inlineStr">
        <is>
          <t>A 25021-2025</t>
        </is>
      </c>
      <c r="B205" s="1" t="n">
        <v>45799.64574074074</v>
      </c>
      <c r="C205" s="1" t="n">
        <v>45964</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53576-2023</t>
        </is>
      </c>
      <c r="B206" s="1" t="n">
        <v>45230.50288194444</v>
      </c>
      <c r="C206" s="1" t="n">
        <v>45964</v>
      </c>
      <c r="D206" t="inlineStr">
        <is>
          <t>DALARNAS LÄN</t>
        </is>
      </c>
      <c r="E206" t="inlineStr">
        <is>
          <t>HEDEMORA</t>
        </is>
      </c>
      <c r="G206" t="n">
        <v>0.9</v>
      </c>
      <c r="H206" t="n">
        <v>0</v>
      </c>
      <c r="I206" t="n">
        <v>0</v>
      </c>
      <c r="J206" t="n">
        <v>0</v>
      </c>
      <c r="K206" t="n">
        <v>0</v>
      </c>
      <c r="L206" t="n">
        <v>0</v>
      </c>
      <c r="M206" t="n">
        <v>0</v>
      </c>
      <c r="N206" t="n">
        <v>0</v>
      </c>
      <c r="O206" t="n">
        <v>0</v>
      </c>
      <c r="P206" t="n">
        <v>0</v>
      </c>
      <c r="Q206" t="n">
        <v>0</v>
      </c>
      <c r="R206" s="2" t="inlineStr"/>
    </row>
    <row r="207" ht="15" customHeight="1">
      <c r="A207" t="inlineStr">
        <is>
          <t>A 53588-2023</t>
        </is>
      </c>
      <c r="B207" s="1" t="n">
        <v>45230.53109953704</v>
      </c>
      <c r="C207" s="1" t="n">
        <v>45964</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19397-2024</t>
        </is>
      </c>
      <c r="B208" s="1" t="n">
        <v>45429.38474537037</v>
      </c>
      <c r="C208" s="1" t="n">
        <v>45964</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19353-2024</t>
        </is>
      </c>
      <c r="B209" s="1" t="n">
        <v>45429.29666666667</v>
      </c>
      <c r="C209" s="1" t="n">
        <v>45964</v>
      </c>
      <c r="D209" t="inlineStr">
        <is>
          <t>DALARNAS LÄN</t>
        </is>
      </c>
      <c r="E209" t="inlineStr">
        <is>
          <t>HEDEMORA</t>
        </is>
      </c>
      <c r="F209" t="inlineStr">
        <is>
          <t>Sveaskog</t>
        </is>
      </c>
      <c r="G209" t="n">
        <v>16.3</v>
      </c>
      <c r="H209" t="n">
        <v>0</v>
      </c>
      <c r="I209" t="n">
        <v>0</v>
      </c>
      <c r="J209" t="n">
        <v>0</v>
      </c>
      <c r="K209" t="n">
        <v>0</v>
      </c>
      <c r="L209" t="n">
        <v>0</v>
      </c>
      <c r="M209" t="n">
        <v>0</v>
      </c>
      <c r="N209" t="n">
        <v>0</v>
      </c>
      <c r="O209" t="n">
        <v>0</v>
      </c>
      <c r="P209" t="n">
        <v>0</v>
      </c>
      <c r="Q209" t="n">
        <v>0</v>
      </c>
      <c r="R209" s="2" t="inlineStr"/>
    </row>
    <row r="210" ht="15" customHeight="1">
      <c r="A210" t="inlineStr">
        <is>
          <t>A 27610-2024</t>
        </is>
      </c>
      <c r="B210" s="1" t="n">
        <v>45474.73221064815</v>
      </c>
      <c r="C210" s="1" t="n">
        <v>45964</v>
      </c>
      <c r="D210" t="inlineStr">
        <is>
          <t>DALARNAS LÄN</t>
        </is>
      </c>
      <c r="E210" t="inlineStr">
        <is>
          <t>HEDEMORA</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8342-2025</t>
        </is>
      </c>
      <c r="B211" s="1" t="n">
        <v>45708.67251157408</v>
      </c>
      <c r="C211" s="1" t="n">
        <v>45964</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28029-2023</t>
        </is>
      </c>
      <c r="B212" s="1" t="n">
        <v>45099</v>
      </c>
      <c r="C212" s="1" t="n">
        <v>45964</v>
      </c>
      <c r="D212" t="inlineStr">
        <is>
          <t>DALARNAS LÄN</t>
        </is>
      </c>
      <c r="E212" t="inlineStr">
        <is>
          <t>HEDEMORA</t>
        </is>
      </c>
      <c r="G212" t="n">
        <v>0.6</v>
      </c>
      <c r="H212" t="n">
        <v>0</v>
      </c>
      <c r="I212" t="n">
        <v>0</v>
      </c>
      <c r="J212" t="n">
        <v>0</v>
      </c>
      <c r="K212" t="n">
        <v>0</v>
      </c>
      <c r="L212" t="n">
        <v>0</v>
      </c>
      <c r="M212" t="n">
        <v>0</v>
      </c>
      <c r="N212" t="n">
        <v>0</v>
      </c>
      <c r="O212" t="n">
        <v>0</v>
      </c>
      <c r="P212" t="n">
        <v>0</v>
      </c>
      <c r="Q212" t="n">
        <v>0</v>
      </c>
      <c r="R212" s="2" t="inlineStr"/>
    </row>
    <row r="213" ht="15" customHeight="1">
      <c r="A213" t="inlineStr">
        <is>
          <t>A 27609-2024</t>
        </is>
      </c>
      <c r="B213" s="1" t="n">
        <v>45474.73076388889</v>
      </c>
      <c r="C213" s="1" t="n">
        <v>45964</v>
      </c>
      <c r="D213" t="inlineStr">
        <is>
          <t>DALARNAS LÄN</t>
        </is>
      </c>
      <c r="E213" t="inlineStr">
        <is>
          <t>HEDEMORA</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37449-2024</t>
        </is>
      </c>
      <c r="B214" s="1" t="n">
        <v>45540</v>
      </c>
      <c r="C214" s="1" t="n">
        <v>45964</v>
      </c>
      <c r="D214" t="inlineStr">
        <is>
          <t>DALARNAS LÄN</t>
        </is>
      </c>
      <c r="E214" t="inlineStr">
        <is>
          <t>HEDEMORA</t>
        </is>
      </c>
      <c r="F214" t="inlineStr">
        <is>
          <t>Bergvik skog väst AB</t>
        </is>
      </c>
      <c r="G214" t="n">
        <v>10.1</v>
      </c>
      <c r="H214" t="n">
        <v>0</v>
      </c>
      <c r="I214" t="n">
        <v>0</v>
      </c>
      <c r="J214" t="n">
        <v>0</v>
      </c>
      <c r="K214" t="n">
        <v>0</v>
      </c>
      <c r="L214" t="n">
        <v>0</v>
      </c>
      <c r="M214" t="n">
        <v>0</v>
      </c>
      <c r="N214" t="n">
        <v>0</v>
      </c>
      <c r="O214" t="n">
        <v>0</v>
      </c>
      <c r="P214" t="n">
        <v>0</v>
      </c>
      <c r="Q214" t="n">
        <v>0</v>
      </c>
      <c r="R214" s="2" t="inlineStr"/>
    </row>
    <row r="215" ht="15" customHeight="1">
      <c r="A215" t="inlineStr">
        <is>
          <t>A 32071-2021</t>
        </is>
      </c>
      <c r="B215" s="1" t="n">
        <v>44370.90546296296</v>
      </c>
      <c r="C215" s="1" t="n">
        <v>45964</v>
      </c>
      <c r="D215" t="inlineStr">
        <is>
          <t>DALARNAS LÄN</t>
        </is>
      </c>
      <c r="E215" t="inlineStr">
        <is>
          <t>HEDEMORA</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26204-2025</t>
        </is>
      </c>
      <c r="B216" s="1" t="n">
        <v>45805.51065972223</v>
      </c>
      <c r="C216" s="1" t="n">
        <v>45964</v>
      </c>
      <c r="D216" t="inlineStr">
        <is>
          <t>DALARNAS LÄN</t>
        </is>
      </c>
      <c r="E216" t="inlineStr">
        <is>
          <t>HEDEMORA</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25155-2023</t>
        </is>
      </c>
      <c r="B217" s="1" t="n">
        <v>45086</v>
      </c>
      <c r="C217" s="1" t="n">
        <v>45964</v>
      </c>
      <c r="D217" t="inlineStr">
        <is>
          <t>DALARNAS LÄN</t>
        </is>
      </c>
      <c r="E217" t="inlineStr">
        <is>
          <t>HEDEMORA</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29585-2024</t>
        </is>
      </c>
      <c r="B218" s="1" t="n">
        <v>45484.57728009259</v>
      </c>
      <c r="C218" s="1" t="n">
        <v>45964</v>
      </c>
      <c r="D218" t="inlineStr">
        <is>
          <t>DALARNAS LÄN</t>
        </is>
      </c>
      <c r="E218" t="inlineStr">
        <is>
          <t>HEDEMORA</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43621-2024</t>
        </is>
      </c>
      <c r="B219" s="1" t="n">
        <v>45569.48200231481</v>
      </c>
      <c r="C219" s="1" t="n">
        <v>45964</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54312-2024</t>
        </is>
      </c>
      <c r="B220" s="1" t="n">
        <v>45617.3434837963</v>
      </c>
      <c r="C220" s="1" t="n">
        <v>45964</v>
      </c>
      <c r="D220" t="inlineStr">
        <is>
          <t>DALARNAS LÄN</t>
        </is>
      </c>
      <c r="E220" t="inlineStr">
        <is>
          <t>HEDEMORA</t>
        </is>
      </c>
      <c r="F220" t="inlineStr">
        <is>
          <t>Bergvik skog väst AB</t>
        </is>
      </c>
      <c r="G220" t="n">
        <v>13.9</v>
      </c>
      <c r="H220" t="n">
        <v>0</v>
      </c>
      <c r="I220" t="n">
        <v>0</v>
      </c>
      <c r="J220" t="n">
        <v>0</v>
      </c>
      <c r="K220" t="n">
        <v>0</v>
      </c>
      <c r="L220" t="n">
        <v>0</v>
      </c>
      <c r="M220" t="n">
        <v>0</v>
      </c>
      <c r="N220" t="n">
        <v>0</v>
      </c>
      <c r="O220" t="n">
        <v>0</v>
      </c>
      <c r="P220" t="n">
        <v>0</v>
      </c>
      <c r="Q220" t="n">
        <v>0</v>
      </c>
      <c r="R220" s="2" t="inlineStr"/>
    </row>
    <row r="221" ht="15" customHeight="1">
      <c r="A221" t="inlineStr">
        <is>
          <t>A 6972-2025</t>
        </is>
      </c>
      <c r="B221" s="1" t="n">
        <v>45701.53790509259</v>
      </c>
      <c r="C221" s="1" t="n">
        <v>45964</v>
      </c>
      <c r="D221" t="inlineStr">
        <is>
          <t>DALARNAS LÄN</t>
        </is>
      </c>
      <c r="E221" t="inlineStr">
        <is>
          <t>HEDEMORA</t>
        </is>
      </c>
      <c r="G221" t="n">
        <v>4.9</v>
      </c>
      <c r="H221" t="n">
        <v>0</v>
      </c>
      <c r="I221" t="n">
        <v>0</v>
      </c>
      <c r="J221" t="n">
        <v>0</v>
      </c>
      <c r="K221" t="n">
        <v>0</v>
      </c>
      <c r="L221" t="n">
        <v>0</v>
      </c>
      <c r="M221" t="n">
        <v>0</v>
      </c>
      <c r="N221" t="n">
        <v>0</v>
      </c>
      <c r="O221" t="n">
        <v>0</v>
      </c>
      <c r="P221" t="n">
        <v>0</v>
      </c>
      <c r="Q221" t="n">
        <v>0</v>
      </c>
      <c r="R221" s="2" t="inlineStr"/>
    </row>
    <row r="222" ht="15" customHeight="1">
      <c r="A222" t="inlineStr">
        <is>
          <t>A 26705-2025</t>
        </is>
      </c>
      <c r="B222" s="1" t="n">
        <v>45810.45325231482</v>
      </c>
      <c r="C222" s="1" t="n">
        <v>45964</v>
      </c>
      <c r="D222" t="inlineStr">
        <is>
          <t>DALARNAS LÄN</t>
        </is>
      </c>
      <c r="E222" t="inlineStr">
        <is>
          <t>HEDEMORA</t>
        </is>
      </c>
      <c r="G222" t="n">
        <v>1.9</v>
      </c>
      <c r="H222" t="n">
        <v>0</v>
      </c>
      <c r="I222" t="n">
        <v>0</v>
      </c>
      <c r="J222" t="n">
        <v>0</v>
      </c>
      <c r="K222" t="n">
        <v>0</v>
      </c>
      <c r="L222" t="n">
        <v>0</v>
      </c>
      <c r="M222" t="n">
        <v>0</v>
      </c>
      <c r="N222" t="n">
        <v>0</v>
      </c>
      <c r="O222" t="n">
        <v>0</v>
      </c>
      <c r="P222" t="n">
        <v>0</v>
      </c>
      <c r="Q222" t="n">
        <v>0</v>
      </c>
      <c r="R222" s="2" t="inlineStr"/>
    </row>
    <row r="223" ht="15" customHeight="1">
      <c r="A223" t="inlineStr">
        <is>
          <t>A 52945-2024</t>
        </is>
      </c>
      <c r="B223" s="1" t="n">
        <v>45610.82664351852</v>
      </c>
      <c r="C223" s="1" t="n">
        <v>45964</v>
      </c>
      <c r="D223" t="inlineStr">
        <is>
          <t>DALARNAS LÄN</t>
        </is>
      </c>
      <c r="E223" t="inlineStr">
        <is>
          <t>HEDEMORA</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59632-2023</t>
        </is>
      </c>
      <c r="B224" s="1" t="n">
        <v>45254</v>
      </c>
      <c r="C224" s="1" t="n">
        <v>45964</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30205-2022</t>
        </is>
      </c>
      <c r="B225" s="1" t="n">
        <v>44757.74415509259</v>
      </c>
      <c r="C225" s="1" t="n">
        <v>45964</v>
      </c>
      <c r="D225" t="inlineStr">
        <is>
          <t>DALARNAS LÄN</t>
        </is>
      </c>
      <c r="E225" t="inlineStr">
        <is>
          <t>HEDEMORA</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53586-2023</t>
        </is>
      </c>
      <c r="B226" s="1" t="n">
        <v>45230.52603009259</v>
      </c>
      <c r="C226" s="1" t="n">
        <v>45964</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61533-2021</t>
        </is>
      </c>
      <c r="B227" s="1" t="n">
        <v>44501</v>
      </c>
      <c r="C227" s="1" t="n">
        <v>45964</v>
      </c>
      <c r="D227" t="inlineStr">
        <is>
          <t>DALARNAS LÄN</t>
        </is>
      </c>
      <c r="E227" t="inlineStr">
        <is>
          <t>HEDEMORA</t>
        </is>
      </c>
      <c r="G227" t="n">
        <v>1.6</v>
      </c>
      <c r="H227" t="n">
        <v>0</v>
      </c>
      <c r="I227" t="n">
        <v>0</v>
      </c>
      <c r="J227" t="n">
        <v>0</v>
      </c>
      <c r="K227" t="n">
        <v>0</v>
      </c>
      <c r="L227" t="n">
        <v>0</v>
      </c>
      <c r="M227" t="n">
        <v>0</v>
      </c>
      <c r="N227" t="n">
        <v>0</v>
      </c>
      <c r="O227" t="n">
        <v>0</v>
      </c>
      <c r="P227" t="n">
        <v>0</v>
      </c>
      <c r="Q227" t="n">
        <v>0</v>
      </c>
      <c r="R227" s="2" t="inlineStr"/>
    </row>
    <row r="228" ht="15" customHeight="1">
      <c r="A228" t="inlineStr">
        <is>
          <t>A 37759-2024</t>
        </is>
      </c>
      <c r="B228" s="1" t="n">
        <v>45541</v>
      </c>
      <c r="C228" s="1" t="n">
        <v>45964</v>
      </c>
      <c r="D228" t="inlineStr">
        <is>
          <t>DALARNAS LÄN</t>
        </is>
      </c>
      <c r="E228" t="inlineStr">
        <is>
          <t>HEDEMORA</t>
        </is>
      </c>
      <c r="F228" t="inlineStr">
        <is>
          <t>Sveaskog</t>
        </is>
      </c>
      <c r="G228" t="n">
        <v>3.6</v>
      </c>
      <c r="H228" t="n">
        <v>0</v>
      </c>
      <c r="I228" t="n">
        <v>0</v>
      </c>
      <c r="J228" t="n">
        <v>0</v>
      </c>
      <c r="K228" t="n">
        <v>0</v>
      </c>
      <c r="L228" t="n">
        <v>0</v>
      </c>
      <c r="M228" t="n">
        <v>0</v>
      </c>
      <c r="N228" t="n">
        <v>0</v>
      </c>
      <c r="O228" t="n">
        <v>0</v>
      </c>
      <c r="P228" t="n">
        <v>0</v>
      </c>
      <c r="Q228" t="n">
        <v>0</v>
      </c>
      <c r="R228" s="2" t="inlineStr"/>
    </row>
    <row r="229" ht="15" customHeight="1">
      <c r="A229" t="inlineStr">
        <is>
          <t>A 50333-2023</t>
        </is>
      </c>
      <c r="B229" s="1" t="n">
        <v>45216</v>
      </c>
      <c r="C229" s="1" t="n">
        <v>45964</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59471-2020</t>
        </is>
      </c>
      <c r="B230" s="1" t="n">
        <v>44148</v>
      </c>
      <c r="C230" s="1" t="n">
        <v>45964</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1976-2022</t>
        </is>
      </c>
      <c r="B231" s="1" t="n">
        <v>44575.54618055555</v>
      </c>
      <c r="C231" s="1" t="n">
        <v>45964</v>
      </c>
      <c r="D231" t="inlineStr">
        <is>
          <t>DALARNAS LÄN</t>
        </is>
      </c>
      <c r="E231" t="inlineStr">
        <is>
          <t>HEDEMORA</t>
        </is>
      </c>
      <c r="G231" t="n">
        <v>3.2</v>
      </c>
      <c r="H231" t="n">
        <v>0</v>
      </c>
      <c r="I231" t="n">
        <v>0</v>
      </c>
      <c r="J231" t="n">
        <v>0</v>
      </c>
      <c r="K231" t="n">
        <v>0</v>
      </c>
      <c r="L231" t="n">
        <v>0</v>
      </c>
      <c r="M231" t="n">
        <v>0</v>
      </c>
      <c r="N231" t="n">
        <v>0</v>
      </c>
      <c r="O231" t="n">
        <v>0</v>
      </c>
      <c r="P231" t="n">
        <v>0</v>
      </c>
      <c r="Q231" t="n">
        <v>0</v>
      </c>
      <c r="R231" s="2" t="inlineStr"/>
    </row>
    <row r="232" ht="15" customHeight="1">
      <c r="A232" t="inlineStr">
        <is>
          <t>A 7914-2024</t>
        </is>
      </c>
      <c r="B232" s="1" t="n">
        <v>45350.46003472222</v>
      </c>
      <c r="C232" s="1" t="n">
        <v>45964</v>
      </c>
      <c r="D232" t="inlineStr">
        <is>
          <t>DALARNAS LÄN</t>
        </is>
      </c>
      <c r="E232" t="inlineStr">
        <is>
          <t>HEDEMORA</t>
        </is>
      </c>
      <c r="G232" t="n">
        <v>4.1</v>
      </c>
      <c r="H232" t="n">
        <v>0</v>
      </c>
      <c r="I232" t="n">
        <v>0</v>
      </c>
      <c r="J232" t="n">
        <v>0</v>
      </c>
      <c r="K232" t="n">
        <v>0</v>
      </c>
      <c r="L232" t="n">
        <v>0</v>
      </c>
      <c r="M232" t="n">
        <v>0</v>
      </c>
      <c r="N232" t="n">
        <v>0</v>
      </c>
      <c r="O232" t="n">
        <v>0</v>
      </c>
      <c r="P232" t="n">
        <v>0</v>
      </c>
      <c r="Q232" t="n">
        <v>0</v>
      </c>
      <c r="R232" s="2" t="inlineStr"/>
    </row>
    <row r="233" ht="15" customHeight="1">
      <c r="A233" t="inlineStr">
        <is>
          <t>A 73099-2021</t>
        </is>
      </c>
      <c r="B233" s="1" t="n">
        <v>44546</v>
      </c>
      <c r="C233" s="1" t="n">
        <v>45964</v>
      </c>
      <c r="D233" t="inlineStr">
        <is>
          <t>DALARNAS LÄN</t>
        </is>
      </c>
      <c r="E233" t="inlineStr">
        <is>
          <t>HEDEMORA</t>
        </is>
      </c>
      <c r="G233" t="n">
        <v>4.5</v>
      </c>
      <c r="H233" t="n">
        <v>0</v>
      </c>
      <c r="I233" t="n">
        <v>0</v>
      </c>
      <c r="J233" t="n">
        <v>0</v>
      </c>
      <c r="K233" t="n">
        <v>0</v>
      </c>
      <c r="L233" t="n">
        <v>0</v>
      </c>
      <c r="M233" t="n">
        <v>0</v>
      </c>
      <c r="N233" t="n">
        <v>0</v>
      </c>
      <c r="O233" t="n">
        <v>0</v>
      </c>
      <c r="P233" t="n">
        <v>0</v>
      </c>
      <c r="Q233" t="n">
        <v>0</v>
      </c>
      <c r="R233" s="2" t="inlineStr"/>
    </row>
    <row r="234" ht="15" customHeight="1">
      <c r="A234" t="inlineStr">
        <is>
          <t>A 52199-2021</t>
        </is>
      </c>
      <c r="B234" s="1" t="n">
        <v>44462</v>
      </c>
      <c r="C234" s="1" t="n">
        <v>45964</v>
      </c>
      <c r="D234" t="inlineStr">
        <is>
          <t>DALARNAS LÄN</t>
        </is>
      </c>
      <c r="E234" t="inlineStr">
        <is>
          <t>HEDEMORA</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28183-2025</t>
        </is>
      </c>
      <c r="B235" s="1" t="n">
        <v>45818.4021875</v>
      </c>
      <c r="C235" s="1" t="n">
        <v>45964</v>
      </c>
      <c r="D235" t="inlineStr">
        <is>
          <t>DALARNAS LÄN</t>
        </is>
      </c>
      <c r="E235" t="inlineStr">
        <is>
          <t>HEDEMORA</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61849-2022</t>
        </is>
      </c>
      <c r="B236" s="1" t="n">
        <v>44917</v>
      </c>
      <c r="C236" s="1" t="n">
        <v>45964</v>
      </c>
      <c r="D236" t="inlineStr">
        <is>
          <t>DALARNAS LÄN</t>
        </is>
      </c>
      <c r="E236" t="inlineStr">
        <is>
          <t>HEDEMORA</t>
        </is>
      </c>
      <c r="G236" t="n">
        <v>1.9</v>
      </c>
      <c r="H236" t="n">
        <v>0</v>
      </c>
      <c r="I236" t="n">
        <v>0</v>
      </c>
      <c r="J236" t="n">
        <v>0</v>
      </c>
      <c r="K236" t="n">
        <v>0</v>
      </c>
      <c r="L236" t="n">
        <v>0</v>
      </c>
      <c r="M236" t="n">
        <v>0</v>
      </c>
      <c r="N236" t="n">
        <v>0</v>
      </c>
      <c r="O236" t="n">
        <v>0</v>
      </c>
      <c r="P236" t="n">
        <v>0</v>
      </c>
      <c r="Q236" t="n">
        <v>0</v>
      </c>
      <c r="R236" s="2" t="inlineStr"/>
    </row>
    <row r="237" ht="15" customHeight="1">
      <c r="A237" t="inlineStr">
        <is>
          <t>A 7916-2024</t>
        </is>
      </c>
      <c r="B237" s="1" t="n">
        <v>45350.46259259259</v>
      </c>
      <c r="C237" s="1" t="n">
        <v>45964</v>
      </c>
      <c r="D237" t="inlineStr">
        <is>
          <t>DALARNAS LÄN</t>
        </is>
      </c>
      <c r="E237" t="inlineStr">
        <is>
          <t>HEDEMORA</t>
        </is>
      </c>
      <c r="G237" t="n">
        <v>5.8</v>
      </c>
      <c r="H237" t="n">
        <v>0</v>
      </c>
      <c r="I237" t="n">
        <v>0</v>
      </c>
      <c r="J237" t="n">
        <v>0</v>
      </c>
      <c r="K237" t="n">
        <v>0</v>
      </c>
      <c r="L237" t="n">
        <v>0</v>
      </c>
      <c r="M237" t="n">
        <v>0</v>
      </c>
      <c r="N237" t="n">
        <v>0</v>
      </c>
      <c r="O237" t="n">
        <v>0</v>
      </c>
      <c r="P237" t="n">
        <v>0</v>
      </c>
      <c r="Q237" t="n">
        <v>0</v>
      </c>
      <c r="R237" s="2" t="inlineStr"/>
    </row>
    <row r="238" ht="15" customHeight="1">
      <c r="A238" t="inlineStr">
        <is>
          <t>A 28180-2025</t>
        </is>
      </c>
      <c r="B238" s="1" t="n">
        <v>45818.39755787037</v>
      </c>
      <c r="C238" s="1" t="n">
        <v>45964</v>
      </c>
      <c r="D238" t="inlineStr">
        <is>
          <t>DALARNAS LÄN</t>
        </is>
      </c>
      <c r="E238" t="inlineStr">
        <is>
          <t>HEDEMORA</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28182-2025</t>
        </is>
      </c>
      <c r="B239" s="1" t="n">
        <v>45818.40069444444</v>
      </c>
      <c r="C239" s="1" t="n">
        <v>45964</v>
      </c>
      <c r="D239" t="inlineStr">
        <is>
          <t>DALARNAS LÄN</t>
        </is>
      </c>
      <c r="E239" t="inlineStr">
        <is>
          <t>HEDEMORA</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29690-2025</t>
        </is>
      </c>
      <c r="B240" s="1" t="n">
        <v>45825.53508101852</v>
      </c>
      <c r="C240" s="1" t="n">
        <v>45964</v>
      </c>
      <c r="D240" t="inlineStr">
        <is>
          <t>DALARNAS LÄN</t>
        </is>
      </c>
      <c r="E240" t="inlineStr">
        <is>
          <t>HEDEMORA</t>
        </is>
      </c>
      <c r="G240" t="n">
        <v>4.1</v>
      </c>
      <c r="H240" t="n">
        <v>0</v>
      </c>
      <c r="I240" t="n">
        <v>0</v>
      </c>
      <c r="J240" t="n">
        <v>0</v>
      </c>
      <c r="K240" t="n">
        <v>0</v>
      </c>
      <c r="L240" t="n">
        <v>0</v>
      </c>
      <c r="M240" t="n">
        <v>0</v>
      </c>
      <c r="N240" t="n">
        <v>0</v>
      </c>
      <c r="O240" t="n">
        <v>0</v>
      </c>
      <c r="P240" t="n">
        <v>0</v>
      </c>
      <c r="Q240" t="n">
        <v>0</v>
      </c>
      <c r="R240" s="2" t="inlineStr"/>
    </row>
    <row r="241" ht="15" customHeight="1">
      <c r="A241" t="inlineStr">
        <is>
          <t>A 60780-2024</t>
        </is>
      </c>
      <c r="B241" s="1" t="n">
        <v>45644.59017361111</v>
      </c>
      <c r="C241" s="1" t="n">
        <v>45964</v>
      </c>
      <c r="D241" t="inlineStr">
        <is>
          <t>DALARNAS LÄN</t>
        </is>
      </c>
      <c r="E241" t="inlineStr">
        <is>
          <t>HEDEMORA</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29050-2023</t>
        </is>
      </c>
      <c r="B242" s="1" t="n">
        <v>45104</v>
      </c>
      <c r="C242" s="1" t="n">
        <v>45964</v>
      </c>
      <c r="D242" t="inlineStr">
        <is>
          <t>DALARNAS LÄN</t>
        </is>
      </c>
      <c r="E242" t="inlineStr">
        <is>
          <t>HEDEMORA</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25150-2023</t>
        </is>
      </c>
      <c r="B243" s="1" t="n">
        <v>45086</v>
      </c>
      <c r="C243" s="1" t="n">
        <v>45964</v>
      </c>
      <c r="D243" t="inlineStr">
        <is>
          <t>DALARNAS LÄN</t>
        </is>
      </c>
      <c r="E243" t="inlineStr">
        <is>
          <t>HEDEMORA</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61886-2022</t>
        </is>
      </c>
      <c r="B244" s="1" t="n">
        <v>44917.67582175926</v>
      </c>
      <c r="C244" s="1" t="n">
        <v>45964</v>
      </c>
      <c r="D244" t="inlineStr">
        <is>
          <t>DALARNAS LÄN</t>
        </is>
      </c>
      <c r="E244" t="inlineStr">
        <is>
          <t>HEDEMORA</t>
        </is>
      </c>
      <c r="G244" t="n">
        <v>1.9</v>
      </c>
      <c r="H244" t="n">
        <v>0</v>
      </c>
      <c r="I244" t="n">
        <v>0</v>
      </c>
      <c r="J244" t="n">
        <v>0</v>
      </c>
      <c r="K244" t="n">
        <v>0</v>
      </c>
      <c r="L244" t="n">
        <v>0</v>
      </c>
      <c r="M244" t="n">
        <v>0</v>
      </c>
      <c r="N244" t="n">
        <v>0</v>
      </c>
      <c r="O244" t="n">
        <v>0</v>
      </c>
      <c r="P244" t="n">
        <v>0</v>
      </c>
      <c r="Q244" t="n">
        <v>0</v>
      </c>
      <c r="R244" s="2" t="inlineStr"/>
    </row>
    <row r="245" ht="15" customHeight="1">
      <c r="A245" t="inlineStr">
        <is>
          <t>A 30582-2025</t>
        </is>
      </c>
      <c r="B245" s="1" t="n">
        <v>45831.42349537037</v>
      </c>
      <c r="C245" s="1" t="n">
        <v>45964</v>
      </c>
      <c r="D245" t="inlineStr">
        <is>
          <t>DALARNAS LÄN</t>
        </is>
      </c>
      <c r="E245" t="inlineStr">
        <is>
          <t>HEDEMORA</t>
        </is>
      </c>
      <c r="G245" t="n">
        <v>1.8</v>
      </c>
      <c r="H245" t="n">
        <v>0</v>
      </c>
      <c r="I245" t="n">
        <v>0</v>
      </c>
      <c r="J245" t="n">
        <v>0</v>
      </c>
      <c r="K245" t="n">
        <v>0</v>
      </c>
      <c r="L245" t="n">
        <v>0</v>
      </c>
      <c r="M245" t="n">
        <v>0</v>
      </c>
      <c r="N245" t="n">
        <v>0</v>
      </c>
      <c r="O245" t="n">
        <v>0</v>
      </c>
      <c r="P245" t="n">
        <v>0</v>
      </c>
      <c r="Q245" t="n">
        <v>0</v>
      </c>
      <c r="R245" s="2" t="inlineStr"/>
    </row>
    <row r="246" ht="15" customHeight="1">
      <c r="A246" t="inlineStr">
        <is>
          <t>A 30472-2025</t>
        </is>
      </c>
      <c r="B246" s="1" t="n">
        <v>45827.94671296296</v>
      </c>
      <c r="C246" s="1" t="n">
        <v>45964</v>
      </c>
      <c r="D246" t="inlineStr">
        <is>
          <t>DALARNAS LÄN</t>
        </is>
      </c>
      <c r="E246" t="inlineStr">
        <is>
          <t>HEDEMORA</t>
        </is>
      </c>
      <c r="G246" t="n">
        <v>1.1</v>
      </c>
      <c r="H246" t="n">
        <v>0</v>
      </c>
      <c r="I246" t="n">
        <v>0</v>
      </c>
      <c r="J246" t="n">
        <v>0</v>
      </c>
      <c r="K246" t="n">
        <v>0</v>
      </c>
      <c r="L246" t="n">
        <v>0</v>
      </c>
      <c r="M246" t="n">
        <v>0</v>
      </c>
      <c r="N246" t="n">
        <v>0</v>
      </c>
      <c r="O246" t="n">
        <v>0</v>
      </c>
      <c r="P246" t="n">
        <v>0</v>
      </c>
      <c r="Q246" t="n">
        <v>0</v>
      </c>
      <c r="R246" s="2" t="inlineStr"/>
    </row>
    <row r="247" ht="15" customHeight="1">
      <c r="A247" t="inlineStr">
        <is>
          <t>A 34409-2022</t>
        </is>
      </c>
      <c r="B247" s="1" t="n">
        <v>44792</v>
      </c>
      <c r="C247" s="1" t="n">
        <v>45964</v>
      </c>
      <c r="D247" t="inlineStr">
        <is>
          <t>DALARNAS LÄN</t>
        </is>
      </c>
      <c r="E247" t="inlineStr">
        <is>
          <t>HEDEMORA</t>
        </is>
      </c>
      <c r="G247" t="n">
        <v>13.7</v>
      </c>
      <c r="H247" t="n">
        <v>0</v>
      </c>
      <c r="I247" t="n">
        <v>0</v>
      </c>
      <c r="J247" t="n">
        <v>0</v>
      </c>
      <c r="K247" t="n">
        <v>0</v>
      </c>
      <c r="L247" t="n">
        <v>0</v>
      </c>
      <c r="M247" t="n">
        <v>0</v>
      </c>
      <c r="N247" t="n">
        <v>0</v>
      </c>
      <c r="O247" t="n">
        <v>0</v>
      </c>
      <c r="P247" t="n">
        <v>0</v>
      </c>
      <c r="Q247" t="n">
        <v>0</v>
      </c>
      <c r="R247" s="2" t="inlineStr"/>
    </row>
    <row r="248" ht="15" customHeight="1">
      <c r="A248" t="inlineStr">
        <is>
          <t>A 30471-2025</t>
        </is>
      </c>
      <c r="B248" s="1" t="n">
        <v>45827.94552083333</v>
      </c>
      <c r="C248" s="1" t="n">
        <v>45964</v>
      </c>
      <c r="D248" t="inlineStr">
        <is>
          <t>DALARNAS LÄN</t>
        </is>
      </c>
      <c r="E248" t="inlineStr">
        <is>
          <t>HEDEMORA</t>
        </is>
      </c>
      <c r="G248" t="n">
        <v>0.3</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44438.72253472222</v>
      </c>
      <c r="C249" s="1" t="n">
        <v>45964</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34932-2024</t>
        </is>
      </c>
      <c r="B250" s="1" t="n">
        <v>45527.45431712963</v>
      </c>
      <c r="C250" s="1" t="n">
        <v>45964</v>
      </c>
      <c r="D250" t="inlineStr">
        <is>
          <t>DALARNAS LÄN</t>
        </is>
      </c>
      <c r="E250" t="inlineStr">
        <is>
          <t>HEDEMORA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18572-2025</t>
        </is>
      </c>
      <c r="B251" s="1" t="n">
        <v>45763</v>
      </c>
      <c r="C251" s="1" t="n">
        <v>45964</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62188-2023</t>
        </is>
      </c>
      <c r="B252" s="1" t="n">
        <v>45267</v>
      </c>
      <c r="C252" s="1" t="n">
        <v>45964</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1917-2022</t>
        </is>
      </c>
      <c r="B253" s="1" t="n">
        <v>44574</v>
      </c>
      <c r="C253" s="1" t="n">
        <v>45964</v>
      </c>
      <c r="D253" t="inlineStr">
        <is>
          <t>DALARNAS LÄN</t>
        </is>
      </c>
      <c r="E253" t="inlineStr">
        <is>
          <t>HEDEMORA</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31825-2024</t>
        </is>
      </c>
      <c r="B254" s="1" t="n">
        <v>45509.60949074074</v>
      </c>
      <c r="C254" s="1" t="n">
        <v>45964</v>
      </c>
      <c r="D254" t="inlineStr">
        <is>
          <t>DALARNAS LÄN</t>
        </is>
      </c>
      <c r="E254" t="inlineStr">
        <is>
          <t>HEDEMORA</t>
        </is>
      </c>
      <c r="G254" t="n">
        <v>0.1</v>
      </c>
      <c r="H254" t="n">
        <v>0</v>
      </c>
      <c r="I254" t="n">
        <v>0</v>
      </c>
      <c r="J254" t="n">
        <v>0</v>
      </c>
      <c r="K254" t="n">
        <v>0</v>
      </c>
      <c r="L254" t="n">
        <v>0</v>
      </c>
      <c r="M254" t="n">
        <v>0</v>
      </c>
      <c r="N254" t="n">
        <v>0</v>
      </c>
      <c r="O254" t="n">
        <v>0</v>
      </c>
      <c r="P254" t="n">
        <v>0</v>
      </c>
      <c r="Q254" t="n">
        <v>0</v>
      </c>
      <c r="R254" s="2" t="inlineStr"/>
    </row>
    <row r="255" ht="15" customHeight="1">
      <c r="A255" t="inlineStr">
        <is>
          <t>A 26452-2024</t>
        </is>
      </c>
      <c r="B255" s="1" t="n">
        <v>45469.51145833333</v>
      </c>
      <c r="C255" s="1" t="n">
        <v>45964</v>
      </c>
      <c r="D255" t="inlineStr">
        <is>
          <t>DALARNAS LÄN</t>
        </is>
      </c>
      <c r="E255" t="inlineStr">
        <is>
          <t>HEDEMORA</t>
        </is>
      </c>
      <c r="G255" t="n">
        <v>2.3</v>
      </c>
      <c r="H255" t="n">
        <v>0</v>
      </c>
      <c r="I255" t="n">
        <v>0</v>
      </c>
      <c r="J255" t="n">
        <v>0</v>
      </c>
      <c r="K255" t="n">
        <v>0</v>
      </c>
      <c r="L255" t="n">
        <v>0</v>
      </c>
      <c r="M255" t="n">
        <v>0</v>
      </c>
      <c r="N255" t="n">
        <v>0</v>
      </c>
      <c r="O255" t="n">
        <v>0</v>
      </c>
      <c r="P255" t="n">
        <v>0</v>
      </c>
      <c r="Q255" t="n">
        <v>0</v>
      </c>
      <c r="R255" s="2" t="inlineStr"/>
    </row>
    <row r="256" ht="15" customHeight="1">
      <c r="A256" t="inlineStr">
        <is>
          <t>A 29303-2023</t>
        </is>
      </c>
      <c r="B256" s="1" t="n">
        <v>45105</v>
      </c>
      <c r="C256" s="1" t="n">
        <v>45964</v>
      </c>
      <c r="D256" t="inlineStr">
        <is>
          <t>DALARNAS LÄN</t>
        </is>
      </c>
      <c r="E256" t="inlineStr">
        <is>
          <t>HEDEMORA</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60808-2024</t>
        </is>
      </c>
      <c r="B257" s="1" t="n">
        <v>45644.61251157407</v>
      </c>
      <c r="C257" s="1" t="n">
        <v>45964</v>
      </c>
      <c r="D257" t="inlineStr">
        <is>
          <t>DALARNAS LÄN</t>
        </is>
      </c>
      <c r="E257" t="inlineStr">
        <is>
          <t>HEDEMORA</t>
        </is>
      </c>
      <c r="G257" t="n">
        <v>6</v>
      </c>
      <c r="H257" t="n">
        <v>0</v>
      </c>
      <c r="I257" t="n">
        <v>0</v>
      </c>
      <c r="J257" t="n">
        <v>0</v>
      </c>
      <c r="K257" t="n">
        <v>0</v>
      </c>
      <c r="L257" t="n">
        <v>0</v>
      </c>
      <c r="M257" t="n">
        <v>0</v>
      </c>
      <c r="N257" t="n">
        <v>0</v>
      </c>
      <c r="O257" t="n">
        <v>0</v>
      </c>
      <c r="P257" t="n">
        <v>0</v>
      </c>
      <c r="Q257" t="n">
        <v>0</v>
      </c>
      <c r="R257" s="2" t="inlineStr"/>
    </row>
    <row r="258" ht="15" customHeight="1">
      <c r="A258" t="inlineStr">
        <is>
          <t>A 32865-2025</t>
        </is>
      </c>
      <c r="B258" s="1" t="n">
        <v>45839.58767361111</v>
      </c>
      <c r="C258" s="1" t="n">
        <v>45964</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32869-2025</t>
        </is>
      </c>
      <c r="B259" s="1" t="n">
        <v>45839.58927083333</v>
      </c>
      <c r="C259" s="1" t="n">
        <v>45964</v>
      </c>
      <c r="D259" t="inlineStr">
        <is>
          <t>DALARNAS LÄN</t>
        </is>
      </c>
      <c r="E259" t="inlineStr">
        <is>
          <t>HEDEMORA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14951-2025</t>
        </is>
      </c>
      <c r="B260" s="1" t="n">
        <v>45743.57695601852</v>
      </c>
      <c r="C260" s="1" t="n">
        <v>45964</v>
      </c>
      <c r="D260" t="inlineStr">
        <is>
          <t>DALARNAS LÄN</t>
        </is>
      </c>
      <c r="E260" t="inlineStr">
        <is>
          <t>HEDEMORA</t>
        </is>
      </c>
      <c r="G260" t="n">
        <v>1.6</v>
      </c>
      <c r="H260" t="n">
        <v>0</v>
      </c>
      <c r="I260" t="n">
        <v>0</v>
      </c>
      <c r="J260" t="n">
        <v>0</v>
      </c>
      <c r="K260" t="n">
        <v>0</v>
      </c>
      <c r="L260" t="n">
        <v>0</v>
      </c>
      <c r="M260" t="n">
        <v>0</v>
      </c>
      <c r="N260" t="n">
        <v>0</v>
      </c>
      <c r="O260" t="n">
        <v>0</v>
      </c>
      <c r="P260" t="n">
        <v>0</v>
      </c>
      <c r="Q260" t="n">
        <v>0</v>
      </c>
      <c r="R260" s="2" t="inlineStr"/>
    </row>
    <row r="261" ht="15" customHeight="1">
      <c r="A261" t="inlineStr">
        <is>
          <t>A 385-2024</t>
        </is>
      </c>
      <c r="B261" s="1" t="n">
        <v>45296</v>
      </c>
      <c r="C261" s="1" t="n">
        <v>45964</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29123-2021</t>
        </is>
      </c>
      <c r="B262" s="1" t="n">
        <v>44358</v>
      </c>
      <c r="C262" s="1" t="n">
        <v>45964</v>
      </c>
      <c r="D262" t="inlineStr">
        <is>
          <t>DALARNAS LÄN</t>
        </is>
      </c>
      <c r="E262" t="inlineStr">
        <is>
          <t>HEDEMORA</t>
        </is>
      </c>
      <c r="G262" t="n">
        <v>5.6</v>
      </c>
      <c r="H262" t="n">
        <v>0</v>
      </c>
      <c r="I262" t="n">
        <v>0</v>
      </c>
      <c r="J262" t="n">
        <v>0</v>
      </c>
      <c r="K262" t="n">
        <v>0</v>
      </c>
      <c r="L262" t="n">
        <v>0</v>
      </c>
      <c r="M262" t="n">
        <v>0</v>
      </c>
      <c r="N262" t="n">
        <v>0</v>
      </c>
      <c r="O262" t="n">
        <v>0</v>
      </c>
      <c r="P262" t="n">
        <v>0</v>
      </c>
      <c r="Q262" t="n">
        <v>0</v>
      </c>
      <c r="R262" s="2" t="inlineStr"/>
    </row>
    <row r="263" ht="15" customHeight="1">
      <c r="A263" t="inlineStr">
        <is>
          <t>A 59232-2023</t>
        </is>
      </c>
      <c r="B263" s="1" t="n">
        <v>45253.5053587963</v>
      </c>
      <c r="C263" s="1" t="n">
        <v>45964</v>
      </c>
      <c r="D263" t="inlineStr">
        <is>
          <t>DALARNAS LÄN</t>
        </is>
      </c>
      <c r="E263" t="inlineStr">
        <is>
          <t>HEDEMORA</t>
        </is>
      </c>
      <c r="G263" t="n">
        <v>3.7</v>
      </c>
      <c r="H263" t="n">
        <v>0</v>
      </c>
      <c r="I263" t="n">
        <v>0</v>
      </c>
      <c r="J263" t="n">
        <v>0</v>
      </c>
      <c r="K263" t="n">
        <v>0</v>
      </c>
      <c r="L263" t="n">
        <v>0</v>
      </c>
      <c r="M263" t="n">
        <v>0</v>
      </c>
      <c r="N263" t="n">
        <v>0</v>
      </c>
      <c r="O263" t="n">
        <v>0</v>
      </c>
      <c r="P263" t="n">
        <v>0</v>
      </c>
      <c r="Q263" t="n">
        <v>0</v>
      </c>
      <c r="R263" s="2" t="inlineStr"/>
    </row>
    <row r="264" ht="15" customHeight="1">
      <c r="A264" t="inlineStr">
        <is>
          <t>A 38947-2023</t>
        </is>
      </c>
      <c r="B264" s="1" t="n">
        <v>45163.61209490741</v>
      </c>
      <c r="C264" s="1" t="n">
        <v>45964</v>
      </c>
      <c r="D264" t="inlineStr">
        <is>
          <t>DALARNAS LÄN</t>
        </is>
      </c>
      <c r="E264" t="inlineStr">
        <is>
          <t>HEDEMORA</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38951-2023</t>
        </is>
      </c>
      <c r="B265" s="1" t="n">
        <v>45163.61413194444</v>
      </c>
      <c r="C265" s="1" t="n">
        <v>45964</v>
      </c>
      <c r="D265" t="inlineStr">
        <is>
          <t>DALARNAS LÄN</t>
        </is>
      </c>
      <c r="E265" t="inlineStr">
        <is>
          <t>HEDEMORA</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3089-2024</t>
        </is>
      </c>
      <c r="B266" s="1" t="n">
        <v>45316</v>
      </c>
      <c r="C266" s="1" t="n">
        <v>45964</v>
      </c>
      <c r="D266" t="inlineStr">
        <is>
          <t>DALARNAS LÄN</t>
        </is>
      </c>
      <c r="E266" t="inlineStr">
        <is>
          <t>HEDEMORA</t>
        </is>
      </c>
      <c r="G266" t="n">
        <v>5.5</v>
      </c>
      <c r="H266" t="n">
        <v>0</v>
      </c>
      <c r="I266" t="n">
        <v>0</v>
      </c>
      <c r="J266" t="n">
        <v>0</v>
      </c>
      <c r="K266" t="n">
        <v>0</v>
      </c>
      <c r="L266" t="n">
        <v>0</v>
      </c>
      <c r="M266" t="n">
        <v>0</v>
      </c>
      <c r="N266" t="n">
        <v>0</v>
      </c>
      <c r="O266" t="n">
        <v>0</v>
      </c>
      <c r="P266" t="n">
        <v>0</v>
      </c>
      <c r="Q266" t="n">
        <v>0</v>
      </c>
      <c r="R266" s="2" t="inlineStr"/>
    </row>
    <row r="267" ht="15" customHeight="1">
      <c r="A267" t="inlineStr">
        <is>
          <t>A 29587-2024</t>
        </is>
      </c>
      <c r="B267" s="1" t="n">
        <v>45484.5799537037</v>
      </c>
      <c r="C267" s="1" t="n">
        <v>45964</v>
      </c>
      <c r="D267" t="inlineStr">
        <is>
          <t>DALARNAS LÄN</t>
        </is>
      </c>
      <c r="E267" t="inlineStr">
        <is>
          <t>HEDEMORA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55881-2023</t>
        </is>
      </c>
      <c r="B268" s="1" t="n">
        <v>45239</v>
      </c>
      <c r="C268" s="1" t="n">
        <v>45964</v>
      </c>
      <c r="D268" t="inlineStr">
        <is>
          <t>DALARNAS LÄN</t>
        </is>
      </c>
      <c r="E268" t="inlineStr">
        <is>
          <t>HEDEMORA</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33009-2025</t>
        </is>
      </c>
      <c r="B269" s="1" t="n">
        <v>45840</v>
      </c>
      <c r="C269" s="1" t="n">
        <v>45964</v>
      </c>
      <c r="D269" t="inlineStr">
        <is>
          <t>DALARNAS LÄN</t>
        </is>
      </c>
      <c r="E269" t="inlineStr">
        <is>
          <t>HEDEMORA</t>
        </is>
      </c>
      <c r="F269" t="inlineStr">
        <is>
          <t>Kyrkan</t>
        </is>
      </c>
      <c r="G269" t="n">
        <v>7.6</v>
      </c>
      <c r="H269" t="n">
        <v>0</v>
      </c>
      <c r="I269" t="n">
        <v>0</v>
      </c>
      <c r="J269" t="n">
        <v>0</v>
      </c>
      <c r="K269" t="n">
        <v>0</v>
      </c>
      <c r="L269" t="n">
        <v>0</v>
      </c>
      <c r="M269" t="n">
        <v>0</v>
      </c>
      <c r="N269" t="n">
        <v>0</v>
      </c>
      <c r="O269" t="n">
        <v>0</v>
      </c>
      <c r="P269" t="n">
        <v>0</v>
      </c>
      <c r="Q269" t="n">
        <v>0</v>
      </c>
      <c r="R269" s="2" t="inlineStr"/>
    </row>
    <row r="270" ht="15" customHeight="1">
      <c r="A270" t="inlineStr">
        <is>
          <t>A 33286-2025</t>
        </is>
      </c>
      <c r="B270" s="1" t="n">
        <v>45840.81065972222</v>
      </c>
      <c r="C270" s="1" t="n">
        <v>45964</v>
      </c>
      <c r="D270" t="inlineStr">
        <is>
          <t>DALARNAS LÄN</t>
        </is>
      </c>
      <c r="E270" t="inlineStr">
        <is>
          <t>HEDEMORA</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33287-2025</t>
        </is>
      </c>
      <c r="B271" s="1" t="n">
        <v>45840.81216435185</v>
      </c>
      <c r="C271" s="1" t="n">
        <v>45964</v>
      </c>
      <c r="D271" t="inlineStr">
        <is>
          <t>DALARNAS LÄN</t>
        </is>
      </c>
      <c r="E271" t="inlineStr">
        <is>
          <t>HEDEMORA</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33288-2025</t>
        </is>
      </c>
      <c r="B272" s="1" t="n">
        <v>45840</v>
      </c>
      <c r="C272" s="1" t="n">
        <v>45964</v>
      </c>
      <c r="D272" t="inlineStr">
        <is>
          <t>DALARNAS LÄN</t>
        </is>
      </c>
      <c r="E272" t="inlineStr">
        <is>
          <t>HEDEMORA</t>
        </is>
      </c>
      <c r="F272" t="inlineStr">
        <is>
          <t>Sveaskog</t>
        </is>
      </c>
      <c r="G272" t="n">
        <v>3.5</v>
      </c>
      <c r="H272" t="n">
        <v>0</v>
      </c>
      <c r="I272" t="n">
        <v>0</v>
      </c>
      <c r="J272" t="n">
        <v>0</v>
      </c>
      <c r="K272" t="n">
        <v>0</v>
      </c>
      <c r="L272" t="n">
        <v>0</v>
      </c>
      <c r="M272" t="n">
        <v>0</v>
      </c>
      <c r="N272" t="n">
        <v>0</v>
      </c>
      <c r="O272" t="n">
        <v>0</v>
      </c>
      <c r="P272" t="n">
        <v>0</v>
      </c>
      <c r="Q272" t="n">
        <v>0</v>
      </c>
      <c r="R272" s="2" t="inlineStr"/>
    </row>
    <row r="273" ht="15" customHeight="1">
      <c r="A273" t="inlineStr">
        <is>
          <t>A 15833-2025</t>
        </is>
      </c>
      <c r="B273" s="1" t="n">
        <v>45748.85107638889</v>
      </c>
      <c r="C273" s="1" t="n">
        <v>45964</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62046-2022</t>
        </is>
      </c>
      <c r="B274" s="1" t="n">
        <v>44918.5633912037</v>
      </c>
      <c r="C274" s="1" t="n">
        <v>45964</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53584-2023</t>
        </is>
      </c>
      <c r="B275" s="1" t="n">
        <v>45230</v>
      </c>
      <c r="C275" s="1" t="n">
        <v>45964</v>
      </c>
      <c r="D275" t="inlineStr">
        <is>
          <t>DALARNAS LÄN</t>
        </is>
      </c>
      <c r="E275" t="inlineStr">
        <is>
          <t>HEDEMORA</t>
        </is>
      </c>
      <c r="G275" t="n">
        <v>6.6</v>
      </c>
      <c r="H275" t="n">
        <v>0</v>
      </c>
      <c r="I275" t="n">
        <v>0</v>
      </c>
      <c r="J275" t="n">
        <v>0</v>
      </c>
      <c r="K275" t="n">
        <v>0</v>
      </c>
      <c r="L275" t="n">
        <v>0</v>
      </c>
      <c r="M275" t="n">
        <v>0</v>
      </c>
      <c r="N275" t="n">
        <v>0</v>
      </c>
      <c r="O275" t="n">
        <v>0</v>
      </c>
      <c r="P275" t="n">
        <v>0</v>
      </c>
      <c r="Q275" t="n">
        <v>0</v>
      </c>
      <c r="R275" s="2" t="inlineStr"/>
    </row>
    <row r="276" ht="15" customHeight="1">
      <c r="A276" t="inlineStr">
        <is>
          <t>A 60786-2023</t>
        </is>
      </c>
      <c r="B276" s="1" t="n">
        <v>45260.64891203704</v>
      </c>
      <c r="C276" s="1" t="n">
        <v>45964</v>
      </c>
      <c r="D276" t="inlineStr">
        <is>
          <t>DALARNAS LÄN</t>
        </is>
      </c>
      <c r="E276" t="inlineStr">
        <is>
          <t>HEDEMORA</t>
        </is>
      </c>
      <c r="G276" t="n">
        <v>7.1</v>
      </c>
      <c r="H276" t="n">
        <v>0</v>
      </c>
      <c r="I276" t="n">
        <v>0</v>
      </c>
      <c r="J276" t="n">
        <v>0</v>
      </c>
      <c r="K276" t="n">
        <v>0</v>
      </c>
      <c r="L276" t="n">
        <v>0</v>
      </c>
      <c r="M276" t="n">
        <v>0</v>
      </c>
      <c r="N276" t="n">
        <v>0</v>
      </c>
      <c r="O276" t="n">
        <v>0</v>
      </c>
      <c r="P276" t="n">
        <v>0</v>
      </c>
      <c r="Q276" t="n">
        <v>0</v>
      </c>
      <c r="R276" s="2" t="inlineStr"/>
    </row>
    <row r="277" ht="15" customHeight="1">
      <c r="A277" t="inlineStr">
        <is>
          <t>A 29301-2023</t>
        </is>
      </c>
      <c r="B277" s="1" t="n">
        <v>45105</v>
      </c>
      <c r="C277" s="1" t="n">
        <v>45964</v>
      </c>
      <c r="D277" t="inlineStr">
        <is>
          <t>DALARNAS LÄN</t>
        </is>
      </c>
      <c r="E277" t="inlineStr">
        <is>
          <t>HEDEMORA</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26612-2021</t>
        </is>
      </c>
      <c r="B278" s="1" t="n">
        <v>44348.64942129629</v>
      </c>
      <c r="C278" s="1" t="n">
        <v>45964</v>
      </c>
      <c r="D278" t="inlineStr">
        <is>
          <t>DALARNAS LÄN</t>
        </is>
      </c>
      <c r="E278" t="inlineStr">
        <is>
          <t>HEDEMORA</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18522-2021</t>
        </is>
      </c>
      <c r="B279" s="1" t="n">
        <v>44306.4405787037</v>
      </c>
      <c r="C279" s="1" t="n">
        <v>45964</v>
      </c>
      <c r="D279" t="inlineStr">
        <is>
          <t>DALARNAS LÄN</t>
        </is>
      </c>
      <c r="E279" t="inlineStr">
        <is>
          <t>HEDEMORA</t>
        </is>
      </c>
      <c r="G279" t="n">
        <v>7</v>
      </c>
      <c r="H279" t="n">
        <v>0</v>
      </c>
      <c r="I279" t="n">
        <v>0</v>
      </c>
      <c r="J279" t="n">
        <v>0</v>
      </c>
      <c r="K279" t="n">
        <v>0</v>
      </c>
      <c r="L279" t="n">
        <v>0</v>
      </c>
      <c r="M279" t="n">
        <v>0</v>
      </c>
      <c r="N279" t="n">
        <v>0</v>
      </c>
      <c r="O279" t="n">
        <v>0</v>
      </c>
      <c r="P279" t="n">
        <v>0</v>
      </c>
      <c r="Q279" t="n">
        <v>0</v>
      </c>
      <c r="R279" s="2" t="inlineStr"/>
    </row>
    <row r="280" ht="15" customHeight="1">
      <c r="A280" t="inlineStr">
        <is>
          <t>A 57745-2024</t>
        </is>
      </c>
      <c r="B280" s="1" t="n">
        <v>45630.77605324074</v>
      </c>
      <c r="C280" s="1" t="n">
        <v>45964</v>
      </c>
      <c r="D280" t="inlineStr">
        <is>
          <t>DALARNAS LÄN</t>
        </is>
      </c>
      <c r="E280" t="inlineStr">
        <is>
          <t>HEDEMORA</t>
        </is>
      </c>
      <c r="G280" t="n">
        <v>1.1</v>
      </c>
      <c r="H280" t="n">
        <v>0</v>
      </c>
      <c r="I280" t="n">
        <v>0</v>
      </c>
      <c r="J280" t="n">
        <v>0</v>
      </c>
      <c r="K280" t="n">
        <v>0</v>
      </c>
      <c r="L280" t="n">
        <v>0</v>
      </c>
      <c r="M280" t="n">
        <v>0</v>
      </c>
      <c r="N280" t="n">
        <v>0</v>
      </c>
      <c r="O280" t="n">
        <v>0</v>
      </c>
      <c r="P280" t="n">
        <v>0</v>
      </c>
      <c r="Q280" t="n">
        <v>0</v>
      </c>
      <c r="R280" s="2" t="inlineStr"/>
    </row>
    <row r="281" ht="15" customHeight="1">
      <c r="A281" t="inlineStr">
        <is>
          <t>A 34734-2025</t>
        </is>
      </c>
      <c r="B281" s="1" t="n">
        <v>45848</v>
      </c>
      <c r="C281" s="1" t="n">
        <v>45964</v>
      </c>
      <c r="D281" t="inlineStr">
        <is>
          <t>DALARNAS LÄN</t>
        </is>
      </c>
      <c r="E281" t="inlineStr">
        <is>
          <t>HEDEMORA</t>
        </is>
      </c>
      <c r="G281" t="n">
        <v>2.5</v>
      </c>
      <c r="H281" t="n">
        <v>0</v>
      </c>
      <c r="I281" t="n">
        <v>0</v>
      </c>
      <c r="J281" t="n">
        <v>0</v>
      </c>
      <c r="K281" t="n">
        <v>0</v>
      </c>
      <c r="L281" t="n">
        <v>0</v>
      </c>
      <c r="M281" t="n">
        <v>0</v>
      </c>
      <c r="N281" t="n">
        <v>0</v>
      </c>
      <c r="O281" t="n">
        <v>0</v>
      </c>
      <c r="P281" t="n">
        <v>0</v>
      </c>
      <c r="Q281" t="n">
        <v>0</v>
      </c>
      <c r="R281" s="2" t="inlineStr"/>
    </row>
    <row r="282" ht="15" customHeight="1">
      <c r="A282" t="inlineStr">
        <is>
          <t>A 35103-2025</t>
        </is>
      </c>
      <c r="B282" s="1" t="n">
        <v>45852.56914351852</v>
      </c>
      <c r="C282" s="1" t="n">
        <v>45964</v>
      </c>
      <c r="D282" t="inlineStr">
        <is>
          <t>DALARNAS LÄN</t>
        </is>
      </c>
      <c r="E282" t="inlineStr">
        <is>
          <t>HEDEMORA</t>
        </is>
      </c>
      <c r="G282" t="n">
        <v>6.2</v>
      </c>
      <c r="H282" t="n">
        <v>0</v>
      </c>
      <c r="I282" t="n">
        <v>0</v>
      </c>
      <c r="J282" t="n">
        <v>0</v>
      </c>
      <c r="K282" t="n">
        <v>0</v>
      </c>
      <c r="L282" t="n">
        <v>0</v>
      </c>
      <c r="M282" t="n">
        <v>0</v>
      </c>
      <c r="N282" t="n">
        <v>0</v>
      </c>
      <c r="O282" t="n">
        <v>0</v>
      </c>
      <c r="P282" t="n">
        <v>0</v>
      </c>
      <c r="Q282" t="n">
        <v>0</v>
      </c>
      <c r="R282" s="2" t="inlineStr"/>
    </row>
    <row r="283" ht="15" customHeight="1">
      <c r="A283" t="inlineStr">
        <is>
          <t>A 53923-2024</t>
        </is>
      </c>
      <c r="B283" s="1" t="n">
        <v>45615.79806712963</v>
      </c>
      <c r="C283" s="1" t="n">
        <v>45964</v>
      </c>
      <c r="D283" t="inlineStr">
        <is>
          <t>DALARNAS LÄN</t>
        </is>
      </c>
      <c r="E283" t="inlineStr">
        <is>
          <t>HEDEMORA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17645-2022</t>
        </is>
      </c>
      <c r="B284" s="1" t="n">
        <v>44680.47903935185</v>
      </c>
      <c r="C284" s="1" t="n">
        <v>45964</v>
      </c>
      <c r="D284" t="inlineStr">
        <is>
          <t>DALARNAS LÄN</t>
        </is>
      </c>
      <c r="E284" t="inlineStr">
        <is>
          <t>HEDEMORA</t>
        </is>
      </c>
      <c r="G284" t="n">
        <v>1.3</v>
      </c>
      <c r="H284" t="n">
        <v>0</v>
      </c>
      <c r="I284" t="n">
        <v>0</v>
      </c>
      <c r="J284" t="n">
        <v>0</v>
      </c>
      <c r="K284" t="n">
        <v>0</v>
      </c>
      <c r="L284" t="n">
        <v>0</v>
      </c>
      <c r="M284" t="n">
        <v>0</v>
      </c>
      <c r="N284" t="n">
        <v>0</v>
      </c>
      <c r="O284" t="n">
        <v>0</v>
      </c>
      <c r="P284" t="n">
        <v>0</v>
      </c>
      <c r="Q284" t="n">
        <v>0</v>
      </c>
      <c r="R284" s="2" t="inlineStr"/>
    </row>
    <row r="285" ht="15" customHeight="1">
      <c r="A285" t="inlineStr">
        <is>
          <t>A 44384-2024</t>
        </is>
      </c>
      <c r="B285" s="1" t="n">
        <v>45573.67782407408</v>
      </c>
      <c r="C285" s="1" t="n">
        <v>45964</v>
      </c>
      <c r="D285" t="inlineStr">
        <is>
          <t>DALARNAS LÄN</t>
        </is>
      </c>
      <c r="E285" t="inlineStr">
        <is>
          <t>HEDEMORA</t>
        </is>
      </c>
      <c r="F285" t="inlineStr">
        <is>
          <t>Bergvik skog väst AB</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44388-2024</t>
        </is>
      </c>
      <c r="B286" s="1" t="n">
        <v>45573.68875</v>
      </c>
      <c r="C286" s="1" t="n">
        <v>45964</v>
      </c>
      <c r="D286" t="inlineStr">
        <is>
          <t>DALARNAS LÄN</t>
        </is>
      </c>
      <c r="E286" t="inlineStr">
        <is>
          <t>HEDEMORA</t>
        </is>
      </c>
      <c r="F286" t="inlineStr">
        <is>
          <t>Bergvik skog väst AB</t>
        </is>
      </c>
      <c r="G286" t="n">
        <v>0.8</v>
      </c>
      <c r="H286" t="n">
        <v>0</v>
      </c>
      <c r="I286" t="n">
        <v>0</v>
      </c>
      <c r="J286" t="n">
        <v>0</v>
      </c>
      <c r="K286" t="n">
        <v>0</v>
      </c>
      <c r="L286" t="n">
        <v>0</v>
      </c>
      <c r="M286" t="n">
        <v>0</v>
      </c>
      <c r="N286" t="n">
        <v>0</v>
      </c>
      <c r="O286" t="n">
        <v>0</v>
      </c>
      <c r="P286" t="n">
        <v>0</v>
      </c>
      <c r="Q286" t="n">
        <v>0</v>
      </c>
      <c r="R286" s="2" t="inlineStr"/>
    </row>
    <row r="287" ht="15" customHeight="1">
      <c r="A287" t="inlineStr">
        <is>
          <t>A 36306-2024</t>
        </is>
      </c>
      <c r="B287" s="1" t="n">
        <v>45534.61327546297</v>
      </c>
      <c r="C287" s="1" t="n">
        <v>45964</v>
      </c>
      <c r="D287" t="inlineStr">
        <is>
          <t>DALARNAS LÄN</t>
        </is>
      </c>
      <c r="E287" t="inlineStr">
        <is>
          <t>HEDEMORA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39530-2024</t>
        </is>
      </c>
      <c r="B288" s="1" t="n">
        <v>45551</v>
      </c>
      <c r="C288" s="1" t="n">
        <v>45964</v>
      </c>
      <c r="D288" t="inlineStr">
        <is>
          <t>DALARNAS LÄN</t>
        </is>
      </c>
      <c r="E288" t="inlineStr">
        <is>
          <t>HEDEMORA</t>
        </is>
      </c>
      <c r="F288" t="inlineStr">
        <is>
          <t>Bergvik skog väst AB</t>
        </is>
      </c>
      <c r="G288" t="n">
        <v>13.8</v>
      </c>
      <c r="H288" t="n">
        <v>0</v>
      </c>
      <c r="I288" t="n">
        <v>0</v>
      </c>
      <c r="J288" t="n">
        <v>0</v>
      </c>
      <c r="K288" t="n">
        <v>0</v>
      </c>
      <c r="L288" t="n">
        <v>0</v>
      </c>
      <c r="M288" t="n">
        <v>0</v>
      </c>
      <c r="N288" t="n">
        <v>0</v>
      </c>
      <c r="O288" t="n">
        <v>0</v>
      </c>
      <c r="P288" t="n">
        <v>0</v>
      </c>
      <c r="Q288" t="n">
        <v>0</v>
      </c>
      <c r="R288" s="2" t="inlineStr"/>
    </row>
    <row r="289" ht="15" customHeight="1">
      <c r="A289" t="inlineStr">
        <is>
          <t>A 39531-2024</t>
        </is>
      </c>
      <c r="B289" s="1" t="n">
        <v>45551</v>
      </c>
      <c r="C289" s="1" t="n">
        <v>45964</v>
      </c>
      <c r="D289" t="inlineStr">
        <is>
          <t>DALARNAS LÄN</t>
        </is>
      </c>
      <c r="E289" t="inlineStr">
        <is>
          <t>HEDEMORA</t>
        </is>
      </c>
      <c r="F289" t="inlineStr">
        <is>
          <t>Bergvik skog väst AB</t>
        </is>
      </c>
      <c r="G289" t="n">
        <v>1.9</v>
      </c>
      <c r="H289" t="n">
        <v>0</v>
      </c>
      <c r="I289" t="n">
        <v>0</v>
      </c>
      <c r="J289" t="n">
        <v>0</v>
      </c>
      <c r="K289" t="n">
        <v>0</v>
      </c>
      <c r="L289" t="n">
        <v>0</v>
      </c>
      <c r="M289" t="n">
        <v>0</v>
      </c>
      <c r="N289" t="n">
        <v>0</v>
      </c>
      <c r="O289" t="n">
        <v>0</v>
      </c>
      <c r="P289" t="n">
        <v>0</v>
      </c>
      <c r="Q289" t="n">
        <v>0</v>
      </c>
      <c r="R289" s="2" t="inlineStr"/>
    </row>
    <row r="290" ht="15" customHeight="1">
      <c r="A290" t="inlineStr">
        <is>
          <t>A 39552-2024</t>
        </is>
      </c>
      <c r="B290" s="1" t="n">
        <v>45551</v>
      </c>
      <c r="C290" s="1" t="n">
        <v>45964</v>
      </c>
      <c r="D290" t="inlineStr">
        <is>
          <t>DALARNAS LÄN</t>
        </is>
      </c>
      <c r="E290" t="inlineStr">
        <is>
          <t>HEDEMORA</t>
        </is>
      </c>
      <c r="F290" t="inlineStr">
        <is>
          <t>Bergvik skog väst AB</t>
        </is>
      </c>
      <c r="G290" t="n">
        <v>24.1</v>
      </c>
      <c r="H290" t="n">
        <v>0</v>
      </c>
      <c r="I290" t="n">
        <v>0</v>
      </c>
      <c r="J290" t="n">
        <v>0</v>
      </c>
      <c r="K290" t="n">
        <v>0</v>
      </c>
      <c r="L290" t="n">
        <v>0</v>
      </c>
      <c r="M290" t="n">
        <v>0</v>
      </c>
      <c r="N290" t="n">
        <v>0</v>
      </c>
      <c r="O290" t="n">
        <v>0</v>
      </c>
      <c r="P290" t="n">
        <v>0</v>
      </c>
      <c r="Q290" t="n">
        <v>0</v>
      </c>
      <c r="R290" s="2" t="inlineStr"/>
    </row>
    <row r="291" ht="15" customHeight="1">
      <c r="A291" t="inlineStr">
        <is>
          <t>A 15048-2025</t>
        </is>
      </c>
      <c r="B291" s="1" t="n">
        <v>45743.69820601852</v>
      </c>
      <c r="C291" s="1" t="n">
        <v>45964</v>
      </c>
      <c r="D291" t="inlineStr">
        <is>
          <t>DALARNAS LÄN</t>
        </is>
      </c>
      <c r="E291" t="inlineStr">
        <is>
          <t>HEDEMORA</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45964</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15054-2025</t>
        </is>
      </c>
      <c r="B293" s="1" t="n">
        <v>45743.70199074074</v>
      </c>
      <c r="C293" s="1" t="n">
        <v>45964</v>
      </c>
      <c r="D293" t="inlineStr">
        <is>
          <t>DALARNAS LÄN</t>
        </is>
      </c>
      <c r="E293" t="inlineStr">
        <is>
          <t>HEDEMORA</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58111-2020</t>
        </is>
      </c>
      <c r="B294" s="1" t="n">
        <v>44144</v>
      </c>
      <c r="C294" s="1" t="n">
        <v>45964</v>
      </c>
      <c r="D294" t="inlineStr">
        <is>
          <t>DALARNAS LÄN</t>
        </is>
      </c>
      <c r="E294" t="inlineStr">
        <is>
          <t>HEDEMORA</t>
        </is>
      </c>
      <c r="G294" t="n">
        <v>3.1</v>
      </c>
      <c r="H294" t="n">
        <v>0</v>
      </c>
      <c r="I294" t="n">
        <v>0</v>
      </c>
      <c r="J294" t="n">
        <v>0</v>
      </c>
      <c r="K294" t="n">
        <v>0</v>
      </c>
      <c r="L294" t="n">
        <v>0</v>
      </c>
      <c r="M294" t="n">
        <v>0</v>
      </c>
      <c r="N294" t="n">
        <v>0</v>
      </c>
      <c r="O294" t="n">
        <v>0</v>
      </c>
      <c r="P294" t="n">
        <v>0</v>
      </c>
      <c r="Q294" t="n">
        <v>0</v>
      </c>
      <c r="R294" s="2" t="inlineStr"/>
    </row>
    <row r="295" ht="15" customHeight="1">
      <c r="A295" t="inlineStr">
        <is>
          <t>A 17600-2025</t>
        </is>
      </c>
      <c r="B295" s="1" t="n">
        <v>45757.71063657408</v>
      </c>
      <c r="C295" s="1" t="n">
        <v>45964</v>
      </c>
      <c r="D295" t="inlineStr">
        <is>
          <t>DALARNAS LÄN</t>
        </is>
      </c>
      <c r="E295" t="inlineStr">
        <is>
          <t>HEDEMORA</t>
        </is>
      </c>
      <c r="G295" t="n">
        <v>1.4</v>
      </c>
      <c r="H295" t="n">
        <v>0</v>
      </c>
      <c r="I295" t="n">
        <v>0</v>
      </c>
      <c r="J295" t="n">
        <v>0</v>
      </c>
      <c r="K295" t="n">
        <v>0</v>
      </c>
      <c r="L295" t="n">
        <v>0</v>
      </c>
      <c r="M295" t="n">
        <v>0</v>
      </c>
      <c r="N295" t="n">
        <v>0</v>
      </c>
      <c r="O295" t="n">
        <v>0</v>
      </c>
      <c r="P295" t="n">
        <v>0</v>
      </c>
      <c r="Q295" t="n">
        <v>0</v>
      </c>
      <c r="R295" s="2" t="inlineStr"/>
    </row>
    <row r="296" ht="15" customHeight="1">
      <c r="A296" t="inlineStr">
        <is>
          <t>A 48254-2023</t>
        </is>
      </c>
      <c r="B296" s="1" t="n">
        <v>45205.53241898148</v>
      </c>
      <c r="C296" s="1" t="n">
        <v>45964</v>
      </c>
      <c r="D296" t="inlineStr">
        <is>
          <t>DALARNAS LÄN</t>
        </is>
      </c>
      <c r="E296" t="inlineStr">
        <is>
          <t>HEDEMORA</t>
        </is>
      </c>
      <c r="F296" t="inlineStr">
        <is>
          <t>Sveaskog</t>
        </is>
      </c>
      <c r="G296" t="n">
        <v>1.5</v>
      </c>
      <c r="H296" t="n">
        <v>0</v>
      </c>
      <c r="I296" t="n">
        <v>0</v>
      </c>
      <c r="J296" t="n">
        <v>0</v>
      </c>
      <c r="K296" t="n">
        <v>0</v>
      </c>
      <c r="L296" t="n">
        <v>0</v>
      </c>
      <c r="M296" t="n">
        <v>0</v>
      </c>
      <c r="N296" t="n">
        <v>0</v>
      </c>
      <c r="O296" t="n">
        <v>0</v>
      </c>
      <c r="P296" t="n">
        <v>0</v>
      </c>
      <c r="Q296" t="n">
        <v>0</v>
      </c>
      <c r="R296" s="2" t="inlineStr"/>
      <c r="U296">
        <f>HYPERLINK("https://klasma.github.io/Logging_2083/knärot/A 48254-2023 karta knärot.png", "A 48254-2023")</f>
        <v/>
      </c>
      <c r="V296">
        <f>HYPERLINK("https://klasma.github.io/Logging_2083/klagomål/A 48254-2023 FSC-klagomål.docx", "A 48254-2023")</f>
        <v/>
      </c>
      <c r="W296">
        <f>HYPERLINK("https://klasma.github.io/Logging_2083/klagomålsmail/A 48254-2023 FSC-klagomål mail.docx", "A 48254-2023")</f>
        <v/>
      </c>
      <c r="X296">
        <f>HYPERLINK("https://klasma.github.io/Logging_2083/tillsyn/A 48254-2023 tillsynsbegäran.docx", "A 48254-2023")</f>
        <v/>
      </c>
      <c r="Y296">
        <f>HYPERLINK("https://klasma.github.io/Logging_2083/tillsynsmail/A 48254-2023 tillsynsbegäran mail.docx", "A 48254-2023")</f>
        <v/>
      </c>
    </row>
    <row r="297" ht="15" customHeight="1">
      <c r="A297" t="inlineStr">
        <is>
          <t>A 21869-2025</t>
        </is>
      </c>
      <c r="B297" s="1" t="n">
        <v>45784.37449074074</v>
      </c>
      <c r="C297" s="1" t="n">
        <v>45964</v>
      </c>
      <c r="D297" t="inlineStr">
        <is>
          <t>DALARNAS LÄN</t>
        </is>
      </c>
      <c r="E297" t="inlineStr">
        <is>
          <t>HEDEMORA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36075-2025</t>
        </is>
      </c>
      <c r="B298" s="1" t="n">
        <v>45866.43974537037</v>
      </c>
      <c r="C298" s="1" t="n">
        <v>45964</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45964</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36103-2025</t>
        </is>
      </c>
      <c r="B300" s="1" t="n">
        <v>45866.55335648148</v>
      </c>
      <c r="C300" s="1" t="n">
        <v>45964</v>
      </c>
      <c r="D300" t="inlineStr">
        <is>
          <t>DALARNAS LÄN</t>
        </is>
      </c>
      <c r="E300" t="inlineStr">
        <is>
          <t>HEDEMORA</t>
        </is>
      </c>
      <c r="G300" t="n">
        <v>2.3</v>
      </c>
      <c r="H300" t="n">
        <v>0</v>
      </c>
      <c r="I300" t="n">
        <v>0</v>
      </c>
      <c r="J300" t="n">
        <v>0</v>
      </c>
      <c r="K300" t="n">
        <v>0</v>
      </c>
      <c r="L300" t="n">
        <v>0</v>
      </c>
      <c r="M300" t="n">
        <v>0</v>
      </c>
      <c r="N300" t="n">
        <v>0</v>
      </c>
      <c r="O300" t="n">
        <v>0</v>
      </c>
      <c r="P300" t="n">
        <v>0</v>
      </c>
      <c r="Q300" t="n">
        <v>0</v>
      </c>
      <c r="R300" s="2" t="inlineStr"/>
    </row>
    <row r="301" ht="15" customHeight="1">
      <c r="A301" t="inlineStr">
        <is>
          <t>A 36117-2025</t>
        </is>
      </c>
      <c r="B301" s="1" t="n">
        <v>45866.58664351852</v>
      </c>
      <c r="C301" s="1" t="n">
        <v>45964</v>
      </c>
      <c r="D301" t="inlineStr">
        <is>
          <t>DALARNAS LÄN</t>
        </is>
      </c>
      <c r="E301" t="inlineStr">
        <is>
          <t>HEDEMORA</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34185-2025</t>
        </is>
      </c>
      <c r="B302" s="1" t="n">
        <v>45845</v>
      </c>
      <c r="C302" s="1" t="n">
        <v>45964</v>
      </c>
      <c r="D302" t="inlineStr">
        <is>
          <t>DALARNAS LÄN</t>
        </is>
      </c>
      <c r="E302" t="inlineStr">
        <is>
          <t>HEDEMORA</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60475-2022</t>
        </is>
      </c>
      <c r="B303" s="1" t="n">
        <v>44911.41222222222</v>
      </c>
      <c r="C303" s="1" t="n">
        <v>45964</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63925-2023</t>
        </is>
      </c>
      <c r="B304" s="1" t="n">
        <v>45278</v>
      </c>
      <c r="C304" s="1" t="n">
        <v>45964</v>
      </c>
      <c r="D304" t="inlineStr">
        <is>
          <t>DALARNAS LÄN</t>
        </is>
      </c>
      <c r="E304" t="inlineStr">
        <is>
          <t>HEDEMORA</t>
        </is>
      </c>
      <c r="G304" t="n">
        <v>5.2</v>
      </c>
      <c r="H304" t="n">
        <v>0</v>
      </c>
      <c r="I304" t="n">
        <v>0</v>
      </c>
      <c r="J304" t="n">
        <v>0</v>
      </c>
      <c r="K304" t="n">
        <v>0</v>
      </c>
      <c r="L304" t="n">
        <v>0</v>
      </c>
      <c r="M304" t="n">
        <v>0</v>
      </c>
      <c r="N304" t="n">
        <v>0</v>
      </c>
      <c r="O304" t="n">
        <v>0</v>
      </c>
      <c r="P304" t="n">
        <v>0</v>
      </c>
      <c r="Q304" t="n">
        <v>0</v>
      </c>
      <c r="R304" s="2" t="inlineStr"/>
    </row>
    <row r="305" ht="15" customHeight="1">
      <c r="A305" t="inlineStr">
        <is>
          <t>A 36206-2025</t>
        </is>
      </c>
      <c r="B305" s="1" t="n">
        <v>45867.45057870371</v>
      </c>
      <c r="C305" s="1" t="n">
        <v>45964</v>
      </c>
      <c r="D305" t="inlineStr">
        <is>
          <t>DALARNAS LÄN</t>
        </is>
      </c>
      <c r="E305" t="inlineStr">
        <is>
          <t>HEDEMORA</t>
        </is>
      </c>
      <c r="G305" t="n">
        <v>0.1</v>
      </c>
      <c r="H305" t="n">
        <v>0</v>
      </c>
      <c r="I305" t="n">
        <v>0</v>
      </c>
      <c r="J305" t="n">
        <v>0</v>
      </c>
      <c r="K305" t="n">
        <v>0</v>
      </c>
      <c r="L305" t="n">
        <v>0</v>
      </c>
      <c r="M305" t="n">
        <v>0</v>
      </c>
      <c r="N305" t="n">
        <v>0</v>
      </c>
      <c r="O305" t="n">
        <v>0</v>
      </c>
      <c r="P305" t="n">
        <v>0</v>
      </c>
      <c r="Q305" t="n">
        <v>0</v>
      </c>
      <c r="R305" s="2" t="inlineStr"/>
    </row>
    <row r="306" ht="15" customHeight="1">
      <c r="A306" t="inlineStr">
        <is>
          <t>A 14968-2025</t>
        </is>
      </c>
      <c r="B306" s="1" t="n">
        <v>45743.59052083334</v>
      </c>
      <c r="C306" s="1" t="n">
        <v>45964</v>
      </c>
      <c r="D306" t="inlineStr">
        <is>
          <t>DALARNAS LÄN</t>
        </is>
      </c>
      <c r="E306" t="inlineStr">
        <is>
          <t>HEDEMORA</t>
        </is>
      </c>
      <c r="G306" t="n">
        <v>2.2</v>
      </c>
      <c r="H306" t="n">
        <v>0</v>
      </c>
      <c r="I306" t="n">
        <v>0</v>
      </c>
      <c r="J306" t="n">
        <v>0</v>
      </c>
      <c r="K306" t="n">
        <v>0</v>
      </c>
      <c r="L306" t="n">
        <v>0</v>
      </c>
      <c r="M306" t="n">
        <v>0</v>
      </c>
      <c r="N306" t="n">
        <v>0</v>
      </c>
      <c r="O306" t="n">
        <v>0</v>
      </c>
      <c r="P306" t="n">
        <v>0</v>
      </c>
      <c r="Q306" t="n">
        <v>0</v>
      </c>
      <c r="R306" s="2" t="inlineStr"/>
    </row>
    <row r="307" ht="15" customHeight="1">
      <c r="A307" t="inlineStr">
        <is>
          <t>A 45290-2025</t>
        </is>
      </c>
      <c r="B307" s="1" t="n">
        <v>45920.37158564815</v>
      </c>
      <c r="C307" s="1" t="n">
        <v>45964</v>
      </c>
      <c r="D307" t="inlineStr">
        <is>
          <t>DALARNAS LÄN</t>
        </is>
      </c>
      <c r="E307" t="inlineStr">
        <is>
          <t>HEDEMORA</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36656-2025</t>
        </is>
      </c>
      <c r="B308" s="1" t="n">
        <v>45873.34642361111</v>
      </c>
      <c r="C308" s="1" t="n">
        <v>45964</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60408-2021</t>
        </is>
      </c>
      <c r="B309" s="1" t="n">
        <v>44495</v>
      </c>
      <c r="C309" s="1" t="n">
        <v>45964</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39389-2025</t>
        </is>
      </c>
      <c r="B310" s="1" t="n">
        <v>45889.62181712963</v>
      </c>
      <c r="C310" s="1" t="n">
        <v>45964</v>
      </c>
      <c r="D310" t="inlineStr">
        <is>
          <t>DALARNAS LÄN</t>
        </is>
      </c>
      <c r="E310" t="inlineStr">
        <is>
          <t>HEDEMORA</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39390-2025</t>
        </is>
      </c>
      <c r="B311" s="1" t="n">
        <v>45889.6240625</v>
      </c>
      <c r="C311" s="1" t="n">
        <v>45964</v>
      </c>
      <c r="D311" t="inlineStr">
        <is>
          <t>DALARNAS LÄN</t>
        </is>
      </c>
      <c r="E311" t="inlineStr">
        <is>
          <t>HEDEMORA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20271-2025</t>
        </is>
      </c>
      <c r="B312" s="1" t="n">
        <v>45773.71568287037</v>
      </c>
      <c r="C312" s="1" t="n">
        <v>45964</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6556-2023</t>
        </is>
      </c>
      <c r="B313" s="1" t="n">
        <v>44961</v>
      </c>
      <c r="C313" s="1" t="n">
        <v>45964</v>
      </c>
      <c r="D313" t="inlineStr">
        <is>
          <t>DALARNAS LÄN</t>
        </is>
      </c>
      <c r="E313" t="inlineStr">
        <is>
          <t>HEDEMORA</t>
        </is>
      </c>
      <c r="G313" t="n">
        <v>3.7</v>
      </c>
      <c r="H313" t="n">
        <v>0</v>
      </c>
      <c r="I313" t="n">
        <v>0</v>
      </c>
      <c r="J313" t="n">
        <v>0</v>
      </c>
      <c r="K313" t="n">
        <v>0</v>
      </c>
      <c r="L313" t="n">
        <v>0</v>
      </c>
      <c r="M313" t="n">
        <v>0</v>
      </c>
      <c r="N313" t="n">
        <v>0</v>
      </c>
      <c r="O313" t="n">
        <v>0</v>
      </c>
      <c r="P313" t="n">
        <v>0</v>
      </c>
      <c r="Q313" t="n">
        <v>0</v>
      </c>
      <c r="R313" s="2" t="inlineStr"/>
    </row>
    <row r="314" ht="15" customHeight="1">
      <c r="A314" t="inlineStr">
        <is>
          <t>A 20273-2025</t>
        </is>
      </c>
      <c r="B314" s="1" t="n">
        <v>45773.71921296296</v>
      </c>
      <c r="C314" s="1" t="n">
        <v>45964</v>
      </c>
      <c r="D314" t="inlineStr">
        <is>
          <t>DALARNAS LÄN</t>
        </is>
      </c>
      <c r="E314" t="inlineStr">
        <is>
          <t>HEDEMORA</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29128-2025</t>
        </is>
      </c>
      <c r="B315" s="1" t="n">
        <v>45821.60116898148</v>
      </c>
      <c r="C315" s="1" t="n">
        <v>45964</v>
      </c>
      <c r="D315" t="inlineStr">
        <is>
          <t>DALARNAS LÄN</t>
        </is>
      </c>
      <c r="E315" t="inlineStr">
        <is>
          <t>HEDEMORA</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29792-2025</t>
        </is>
      </c>
      <c r="B316" s="1" t="n">
        <v>45825.66416666667</v>
      </c>
      <c r="C316" s="1" t="n">
        <v>45964</v>
      </c>
      <c r="D316" t="inlineStr">
        <is>
          <t>DALARNAS LÄN</t>
        </is>
      </c>
      <c r="E316" t="inlineStr">
        <is>
          <t>HEDEMORA</t>
        </is>
      </c>
      <c r="F316" t="inlineStr">
        <is>
          <t>Sveaskog</t>
        </is>
      </c>
      <c r="G316" t="n">
        <v>26.3</v>
      </c>
      <c r="H316" t="n">
        <v>0</v>
      </c>
      <c r="I316" t="n">
        <v>0</v>
      </c>
      <c r="J316" t="n">
        <v>0</v>
      </c>
      <c r="K316" t="n">
        <v>0</v>
      </c>
      <c r="L316" t="n">
        <v>0</v>
      </c>
      <c r="M316" t="n">
        <v>0</v>
      </c>
      <c r="N316" t="n">
        <v>0</v>
      </c>
      <c r="O316" t="n">
        <v>0</v>
      </c>
      <c r="P316" t="n">
        <v>0</v>
      </c>
      <c r="Q316" t="n">
        <v>0</v>
      </c>
      <c r="R316" s="2" t="inlineStr"/>
    </row>
    <row r="317" ht="15" customHeight="1">
      <c r="A317" t="inlineStr">
        <is>
          <t>A 39393-2025</t>
        </is>
      </c>
      <c r="B317" s="1" t="n">
        <v>45889.62287037037</v>
      </c>
      <c r="C317" s="1" t="n">
        <v>45964</v>
      </c>
      <c r="D317" t="inlineStr">
        <is>
          <t>DALARNAS LÄN</t>
        </is>
      </c>
      <c r="E317" t="inlineStr">
        <is>
          <t>HEDEMORA</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37573-2025</t>
        </is>
      </c>
      <c r="B318" s="1" t="n">
        <v>45880.37711805556</v>
      </c>
      <c r="C318" s="1" t="n">
        <v>45964</v>
      </c>
      <c r="D318" t="inlineStr">
        <is>
          <t>DALARNAS LÄN</t>
        </is>
      </c>
      <c r="E318" t="inlineStr">
        <is>
          <t>HEDEMORA</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48381-2025</t>
        </is>
      </c>
      <c r="B319" s="1" t="n">
        <v>45933.81800925926</v>
      </c>
      <c r="C319" s="1" t="n">
        <v>45964</v>
      </c>
      <c r="D319" t="inlineStr">
        <is>
          <t>DALARNAS LÄN</t>
        </is>
      </c>
      <c r="E319" t="inlineStr">
        <is>
          <t>HEDEMORA</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21864-2025</t>
        </is>
      </c>
      <c r="B320" s="1" t="n">
        <v>45784</v>
      </c>
      <c r="C320" s="1" t="n">
        <v>45964</v>
      </c>
      <c r="D320" t="inlineStr">
        <is>
          <t>DALARNAS LÄN</t>
        </is>
      </c>
      <c r="E320" t="inlineStr">
        <is>
          <t>HEDEMORA</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37574-2025</t>
        </is>
      </c>
      <c r="B321" s="1" t="n">
        <v>45880.37949074074</v>
      </c>
      <c r="C321" s="1" t="n">
        <v>45964</v>
      </c>
      <c r="D321" t="inlineStr">
        <is>
          <t>DALARNAS LÄN</t>
        </is>
      </c>
      <c r="E321" t="inlineStr">
        <is>
          <t>HEDEMORA</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19690-2025</t>
        </is>
      </c>
      <c r="B322" s="1" t="n">
        <v>45770</v>
      </c>
      <c r="C322" s="1" t="n">
        <v>45964</v>
      </c>
      <c r="D322" t="inlineStr">
        <is>
          <t>DALARNAS LÄN</t>
        </is>
      </c>
      <c r="E322" t="inlineStr">
        <is>
          <t>HEDEMORA</t>
        </is>
      </c>
      <c r="G322" t="n">
        <v>1.6</v>
      </c>
      <c r="H322" t="n">
        <v>0</v>
      </c>
      <c r="I322" t="n">
        <v>0</v>
      </c>
      <c r="J322" t="n">
        <v>0</v>
      </c>
      <c r="K322" t="n">
        <v>0</v>
      </c>
      <c r="L322" t="n">
        <v>0</v>
      </c>
      <c r="M322" t="n">
        <v>0</v>
      </c>
      <c r="N322" t="n">
        <v>0</v>
      </c>
      <c r="O322" t="n">
        <v>0</v>
      </c>
      <c r="P322" t="n">
        <v>0</v>
      </c>
      <c r="Q322" t="n">
        <v>0</v>
      </c>
      <c r="R322" s="2" t="inlineStr"/>
    </row>
    <row r="323" ht="15" customHeight="1">
      <c r="A323" t="inlineStr">
        <is>
          <t>A 48076-2025</t>
        </is>
      </c>
      <c r="B323" s="1" t="n">
        <v>45932.7075</v>
      </c>
      <c r="C323" s="1" t="n">
        <v>45964</v>
      </c>
      <c r="D323" t="inlineStr">
        <is>
          <t>DALARNAS LÄN</t>
        </is>
      </c>
      <c r="E323" t="inlineStr">
        <is>
          <t>HEDEMORA</t>
        </is>
      </c>
      <c r="G323" t="n">
        <v>5.1</v>
      </c>
      <c r="H323" t="n">
        <v>0</v>
      </c>
      <c r="I323" t="n">
        <v>0</v>
      </c>
      <c r="J323" t="n">
        <v>0</v>
      </c>
      <c r="K323" t="n">
        <v>0</v>
      </c>
      <c r="L323" t="n">
        <v>0</v>
      </c>
      <c r="M323" t="n">
        <v>0</v>
      </c>
      <c r="N323" t="n">
        <v>0</v>
      </c>
      <c r="O323" t="n">
        <v>0</v>
      </c>
      <c r="P323" t="n">
        <v>0</v>
      </c>
      <c r="Q323" t="n">
        <v>0</v>
      </c>
      <c r="R323" s="2" t="inlineStr"/>
    </row>
    <row r="324" ht="15" customHeight="1">
      <c r="A324" t="inlineStr">
        <is>
          <t>A 48077-2025</t>
        </is>
      </c>
      <c r="B324" s="1" t="n">
        <v>45932.71114583333</v>
      </c>
      <c r="C324" s="1" t="n">
        <v>45964</v>
      </c>
      <c r="D324" t="inlineStr">
        <is>
          <t>DALARNAS LÄN</t>
        </is>
      </c>
      <c r="E324" t="inlineStr">
        <is>
          <t>HEDEMORA</t>
        </is>
      </c>
      <c r="G324" t="n">
        <v>1.8</v>
      </c>
      <c r="H324" t="n">
        <v>0</v>
      </c>
      <c r="I324" t="n">
        <v>0</v>
      </c>
      <c r="J324" t="n">
        <v>0</v>
      </c>
      <c r="K324" t="n">
        <v>0</v>
      </c>
      <c r="L324" t="n">
        <v>0</v>
      </c>
      <c r="M324" t="n">
        <v>0</v>
      </c>
      <c r="N324" t="n">
        <v>0</v>
      </c>
      <c r="O324" t="n">
        <v>0</v>
      </c>
      <c r="P324" t="n">
        <v>0</v>
      </c>
      <c r="Q324" t="n">
        <v>0</v>
      </c>
      <c r="R324" s="2" t="inlineStr"/>
    </row>
    <row r="325" ht="15" customHeight="1">
      <c r="A325" t="inlineStr">
        <is>
          <t>A 62401-2023</t>
        </is>
      </c>
      <c r="B325" s="1" t="n">
        <v>45268</v>
      </c>
      <c r="C325" s="1" t="n">
        <v>45964</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48320-2024</t>
        </is>
      </c>
      <c r="B326" s="1" t="n">
        <v>45590.4999537037</v>
      </c>
      <c r="C326" s="1" t="n">
        <v>45964</v>
      </c>
      <c r="D326" t="inlineStr">
        <is>
          <t>DALARNAS LÄN</t>
        </is>
      </c>
      <c r="E326" t="inlineStr">
        <is>
          <t>HEDEMORA</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48238-2025</t>
        </is>
      </c>
      <c r="B327" s="1" t="n">
        <v>45933.53237268519</v>
      </c>
      <c r="C327" s="1" t="n">
        <v>45964</v>
      </c>
      <c r="D327" t="inlineStr">
        <is>
          <t>DALARNAS LÄN</t>
        </is>
      </c>
      <c r="E327" t="inlineStr">
        <is>
          <t>HEDEMORA</t>
        </is>
      </c>
      <c r="G327" t="n">
        <v>1.3</v>
      </c>
      <c r="H327" t="n">
        <v>0</v>
      </c>
      <c r="I327" t="n">
        <v>0</v>
      </c>
      <c r="J327" t="n">
        <v>0</v>
      </c>
      <c r="K327" t="n">
        <v>0</v>
      </c>
      <c r="L327" t="n">
        <v>0</v>
      </c>
      <c r="M327" t="n">
        <v>0</v>
      </c>
      <c r="N327" t="n">
        <v>0</v>
      </c>
      <c r="O327" t="n">
        <v>0</v>
      </c>
      <c r="P327" t="n">
        <v>0</v>
      </c>
      <c r="Q327" t="n">
        <v>0</v>
      </c>
      <c r="R327" s="2" t="inlineStr"/>
    </row>
    <row r="328" ht="15" customHeight="1">
      <c r="A328" t="inlineStr">
        <is>
          <t>A 47841-2025</t>
        </is>
      </c>
      <c r="B328" s="1" t="n">
        <v>45932.37429398148</v>
      </c>
      <c r="C328" s="1" t="n">
        <v>45964</v>
      </c>
      <c r="D328" t="inlineStr">
        <is>
          <t>DALARNAS LÄN</t>
        </is>
      </c>
      <c r="E328" t="inlineStr">
        <is>
          <t>HEDEMORA</t>
        </is>
      </c>
      <c r="G328" t="n">
        <v>3</v>
      </c>
      <c r="H328" t="n">
        <v>0</v>
      </c>
      <c r="I328" t="n">
        <v>0</v>
      </c>
      <c r="J328" t="n">
        <v>0</v>
      </c>
      <c r="K328" t="n">
        <v>0</v>
      </c>
      <c r="L328" t="n">
        <v>0</v>
      </c>
      <c r="M328" t="n">
        <v>0</v>
      </c>
      <c r="N328" t="n">
        <v>0</v>
      </c>
      <c r="O328" t="n">
        <v>0</v>
      </c>
      <c r="P328" t="n">
        <v>0</v>
      </c>
      <c r="Q328" t="n">
        <v>0</v>
      </c>
      <c r="R328" s="2" t="inlineStr"/>
    </row>
    <row r="329" ht="15" customHeight="1">
      <c r="A329" t="inlineStr">
        <is>
          <t>A 21868-2025</t>
        </is>
      </c>
      <c r="B329" s="1" t="n">
        <v>45784</v>
      </c>
      <c r="C329" s="1" t="n">
        <v>45964</v>
      </c>
      <c r="D329" t="inlineStr">
        <is>
          <t>DALARNAS LÄN</t>
        </is>
      </c>
      <c r="E329" t="inlineStr">
        <is>
          <t>HEDEMORA</t>
        </is>
      </c>
      <c r="F329" t="inlineStr">
        <is>
          <t>Sveaskog</t>
        </is>
      </c>
      <c r="G329" t="n">
        <v>10.1</v>
      </c>
      <c r="H329" t="n">
        <v>0</v>
      </c>
      <c r="I329" t="n">
        <v>0</v>
      </c>
      <c r="J329" t="n">
        <v>0</v>
      </c>
      <c r="K329" t="n">
        <v>0</v>
      </c>
      <c r="L329" t="n">
        <v>0</v>
      </c>
      <c r="M329" t="n">
        <v>0</v>
      </c>
      <c r="N329" t="n">
        <v>0</v>
      </c>
      <c r="O329" t="n">
        <v>0</v>
      </c>
      <c r="P329" t="n">
        <v>0</v>
      </c>
      <c r="Q329" t="n">
        <v>0</v>
      </c>
      <c r="R329" s="2" t="inlineStr"/>
    </row>
    <row r="330" ht="15" customHeight="1">
      <c r="A330" t="inlineStr">
        <is>
          <t>A 45937-2025</t>
        </is>
      </c>
      <c r="B330" s="1" t="n">
        <v>45924.27231481481</v>
      </c>
      <c r="C330" s="1" t="n">
        <v>45964</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58841-2023</t>
        </is>
      </c>
      <c r="B331" s="1" t="n">
        <v>45252.42115740741</v>
      </c>
      <c r="C331" s="1" t="n">
        <v>45964</v>
      </c>
      <c r="D331" t="inlineStr">
        <is>
          <t>DALARNAS LÄN</t>
        </is>
      </c>
      <c r="E331" t="inlineStr">
        <is>
          <t>HEDEMORA</t>
        </is>
      </c>
      <c r="G331" t="n">
        <v>14.8</v>
      </c>
      <c r="H331" t="n">
        <v>0</v>
      </c>
      <c r="I331" t="n">
        <v>0</v>
      </c>
      <c r="J331" t="n">
        <v>0</v>
      </c>
      <c r="K331" t="n">
        <v>0</v>
      </c>
      <c r="L331" t="n">
        <v>0</v>
      </c>
      <c r="M331" t="n">
        <v>0</v>
      </c>
      <c r="N331" t="n">
        <v>0</v>
      </c>
      <c r="O331" t="n">
        <v>0</v>
      </c>
      <c r="P331" t="n">
        <v>0</v>
      </c>
      <c r="Q331" t="n">
        <v>0</v>
      </c>
      <c r="R331" s="2" t="inlineStr"/>
    </row>
    <row r="332" ht="15" customHeight="1">
      <c r="A332" t="inlineStr">
        <is>
          <t>A 40419-2025</t>
        </is>
      </c>
      <c r="B332" s="1" t="n">
        <v>45895.57958333333</v>
      </c>
      <c r="C332" s="1" t="n">
        <v>45964</v>
      </c>
      <c r="D332" t="inlineStr">
        <is>
          <t>DALARNAS LÄN</t>
        </is>
      </c>
      <c r="E332" t="inlineStr">
        <is>
          <t>HEDEMORA</t>
        </is>
      </c>
      <c r="G332" t="n">
        <v>3.1</v>
      </c>
      <c r="H332" t="n">
        <v>0</v>
      </c>
      <c r="I332" t="n">
        <v>0</v>
      </c>
      <c r="J332" t="n">
        <v>0</v>
      </c>
      <c r="K332" t="n">
        <v>0</v>
      </c>
      <c r="L332" t="n">
        <v>0</v>
      </c>
      <c r="M332" t="n">
        <v>0</v>
      </c>
      <c r="N332" t="n">
        <v>0</v>
      </c>
      <c r="O332" t="n">
        <v>0</v>
      </c>
      <c r="P332" t="n">
        <v>0</v>
      </c>
      <c r="Q332" t="n">
        <v>0</v>
      </c>
      <c r="R332" s="2" t="inlineStr"/>
    </row>
    <row r="333" ht="15" customHeight="1">
      <c r="A333" t="inlineStr">
        <is>
          <t>A 46287-2025</t>
        </is>
      </c>
      <c r="B333" s="1" t="n">
        <v>45925.38450231482</v>
      </c>
      <c r="C333" s="1" t="n">
        <v>45964</v>
      </c>
      <c r="D333" t="inlineStr">
        <is>
          <t>DALARNAS LÄN</t>
        </is>
      </c>
      <c r="E333" t="inlineStr">
        <is>
          <t>HEDEMORA</t>
        </is>
      </c>
      <c r="G333" t="n">
        <v>7.3</v>
      </c>
      <c r="H333" t="n">
        <v>0</v>
      </c>
      <c r="I333" t="n">
        <v>0</v>
      </c>
      <c r="J333" t="n">
        <v>0</v>
      </c>
      <c r="K333" t="n">
        <v>0</v>
      </c>
      <c r="L333" t="n">
        <v>0</v>
      </c>
      <c r="M333" t="n">
        <v>0</v>
      </c>
      <c r="N333" t="n">
        <v>0</v>
      </c>
      <c r="O333" t="n">
        <v>0</v>
      </c>
      <c r="P333" t="n">
        <v>0</v>
      </c>
      <c r="Q333" t="n">
        <v>0</v>
      </c>
      <c r="R333" s="2" t="inlineStr"/>
    </row>
    <row r="334" ht="15" customHeight="1">
      <c r="A334" t="inlineStr">
        <is>
          <t>A 19988-2025</t>
        </is>
      </c>
      <c r="B334" s="1" t="n">
        <v>45771.72665509259</v>
      </c>
      <c r="C334" s="1" t="n">
        <v>45964</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40421-2025</t>
        </is>
      </c>
      <c r="B335" s="1" t="n">
        <v>45895.58449074074</v>
      </c>
      <c r="C335" s="1" t="n">
        <v>45964</v>
      </c>
      <c r="D335" t="inlineStr">
        <is>
          <t>DALARNAS LÄN</t>
        </is>
      </c>
      <c r="E335" t="inlineStr">
        <is>
          <t>HEDEMORA</t>
        </is>
      </c>
      <c r="G335" t="n">
        <v>1.7</v>
      </c>
      <c r="H335" t="n">
        <v>0</v>
      </c>
      <c r="I335" t="n">
        <v>0</v>
      </c>
      <c r="J335" t="n">
        <v>0</v>
      </c>
      <c r="K335" t="n">
        <v>0</v>
      </c>
      <c r="L335" t="n">
        <v>0</v>
      </c>
      <c r="M335" t="n">
        <v>0</v>
      </c>
      <c r="N335" t="n">
        <v>0</v>
      </c>
      <c r="O335" t="n">
        <v>0</v>
      </c>
      <c r="P335" t="n">
        <v>0</v>
      </c>
      <c r="Q335" t="n">
        <v>0</v>
      </c>
      <c r="R335" s="2" t="inlineStr"/>
    </row>
    <row r="336" ht="15" customHeight="1">
      <c r="A336" t="inlineStr">
        <is>
          <t>A 40456-2025</t>
        </is>
      </c>
      <c r="B336" s="1" t="n">
        <v>45895.64342592593</v>
      </c>
      <c r="C336" s="1" t="n">
        <v>45964</v>
      </c>
      <c r="D336" t="inlineStr">
        <is>
          <t>DALARNAS LÄN</t>
        </is>
      </c>
      <c r="E336" t="inlineStr">
        <is>
          <t>HEDEMORA</t>
        </is>
      </c>
      <c r="F336" t="inlineStr">
        <is>
          <t>Bergvik skog väst AB</t>
        </is>
      </c>
      <c r="G336" t="n">
        <v>3.3</v>
      </c>
      <c r="H336" t="n">
        <v>0</v>
      </c>
      <c r="I336" t="n">
        <v>0</v>
      </c>
      <c r="J336" t="n">
        <v>0</v>
      </c>
      <c r="K336" t="n">
        <v>0</v>
      </c>
      <c r="L336" t="n">
        <v>0</v>
      </c>
      <c r="M336" t="n">
        <v>0</v>
      </c>
      <c r="N336" t="n">
        <v>0</v>
      </c>
      <c r="O336" t="n">
        <v>0</v>
      </c>
      <c r="P336" t="n">
        <v>0</v>
      </c>
      <c r="Q336" t="n">
        <v>0</v>
      </c>
      <c r="R336" s="2" t="inlineStr"/>
    </row>
    <row r="337" ht="15" customHeight="1">
      <c r="A337" t="inlineStr">
        <is>
          <t>A 32738-2022</t>
        </is>
      </c>
      <c r="B337" s="1" t="n">
        <v>44783.68931712963</v>
      </c>
      <c r="C337" s="1" t="n">
        <v>45964</v>
      </c>
      <c r="D337" t="inlineStr">
        <is>
          <t>DALARNAS LÄN</t>
        </is>
      </c>
      <c r="E337" t="inlineStr">
        <is>
          <t>HEDEMORA</t>
        </is>
      </c>
      <c r="G337" t="n">
        <v>2.6</v>
      </c>
      <c r="H337" t="n">
        <v>0</v>
      </c>
      <c r="I337" t="n">
        <v>0</v>
      </c>
      <c r="J337" t="n">
        <v>0</v>
      </c>
      <c r="K337" t="n">
        <v>0</v>
      </c>
      <c r="L337" t="n">
        <v>0</v>
      </c>
      <c r="M337" t="n">
        <v>0</v>
      </c>
      <c r="N337" t="n">
        <v>0</v>
      </c>
      <c r="O337" t="n">
        <v>0</v>
      </c>
      <c r="P337" t="n">
        <v>0</v>
      </c>
      <c r="Q337" t="n">
        <v>0</v>
      </c>
      <c r="R337" s="2" t="inlineStr"/>
    </row>
    <row r="338" ht="15" customHeight="1">
      <c r="A338" t="inlineStr">
        <is>
          <t>A 63908-2021</t>
        </is>
      </c>
      <c r="B338" s="1" t="n">
        <v>44509.6580787037</v>
      </c>
      <c r="C338" s="1" t="n">
        <v>45964</v>
      </c>
      <c r="D338" t="inlineStr">
        <is>
          <t>DALARNAS LÄN</t>
        </is>
      </c>
      <c r="E338" t="inlineStr">
        <is>
          <t>HEDEMORA</t>
        </is>
      </c>
      <c r="G338" t="n">
        <v>1.4</v>
      </c>
      <c r="H338" t="n">
        <v>0</v>
      </c>
      <c r="I338" t="n">
        <v>0</v>
      </c>
      <c r="J338" t="n">
        <v>0</v>
      </c>
      <c r="K338" t="n">
        <v>0</v>
      </c>
      <c r="L338" t="n">
        <v>0</v>
      </c>
      <c r="M338" t="n">
        <v>0</v>
      </c>
      <c r="N338" t="n">
        <v>0</v>
      </c>
      <c r="O338" t="n">
        <v>0</v>
      </c>
      <c r="P338" t="n">
        <v>0</v>
      </c>
      <c r="Q338" t="n">
        <v>0</v>
      </c>
      <c r="R338" s="2" t="inlineStr"/>
    </row>
    <row r="339" ht="15" customHeight="1">
      <c r="A339" t="inlineStr">
        <is>
          <t>A 45938-2025</t>
        </is>
      </c>
      <c r="B339" s="1" t="n">
        <v>45924.27704861111</v>
      </c>
      <c r="C339" s="1" t="n">
        <v>45964</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ht="15" customHeight="1">
      <c r="A340" t="inlineStr">
        <is>
          <t>A 45983-2025</t>
        </is>
      </c>
      <c r="B340" s="1" t="n">
        <v>45924.37988425926</v>
      </c>
      <c r="C340" s="1" t="n">
        <v>45964</v>
      </c>
      <c r="D340" t="inlineStr">
        <is>
          <t>DALARNAS LÄN</t>
        </is>
      </c>
      <c r="E340" t="inlineStr">
        <is>
          <t>HEDEMORA</t>
        </is>
      </c>
      <c r="G340" t="n">
        <v>1.2</v>
      </c>
      <c r="H340" t="n">
        <v>0</v>
      </c>
      <c r="I340" t="n">
        <v>0</v>
      </c>
      <c r="J340" t="n">
        <v>0</v>
      </c>
      <c r="K340" t="n">
        <v>0</v>
      </c>
      <c r="L340" t="n">
        <v>0</v>
      </c>
      <c r="M340" t="n">
        <v>0</v>
      </c>
      <c r="N340" t="n">
        <v>0</v>
      </c>
      <c r="O340" t="n">
        <v>0</v>
      </c>
      <c r="P340" t="n">
        <v>0</v>
      </c>
      <c r="Q340" t="n">
        <v>0</v>
      </c>
      <c r="R340" s="2" t="inlineStr"/>
    </row>
    <row r="341" ht="15" customHeight="1">
      <c r="A341" t="inlineStr">
        <is>
          <t>A 45936-2025</t>
        </is>
      </c>
      <c r="B341" s="1" t="n">
        <v>45924.26582175926</v>
      </c>
      <c r="C341" s="1" t="n">
        <v>45964</v>
      </c>
      <c r="D341" t="inlineStr">
        <is>
          <t>DALARNAS LÄN</t>
        </is>
      </c>
      <c r="E341" t="inlineStr">
        <is>
          <t>HEDEMORA</t>
        </is>
      </c>
      <c r="G341" t="n">
        <v>4.7</v>
      </c>
      <c r="H341" t="n">
        <v>0</v>
      </c>
      <c r="I341" t="n">
        <v>0</v>
      </c>
      <c r="J341" t="n">
        <v>0</v>
      </c>
      <c r="K341" t="n">
        <v>0</v>
      </c>
      <c r="L341" t="n">
        <v>0</v>
      </c>
      <c r="M341" t="n">
        <v>0</v>
      </c>
      <c r="N341" t="n">
        <v>0</v>
      </c>
      <c r="O341" t="n">
        <v>0</v>
      </c>
      <c r="P341" t="n">
        <v>0</v>
      </c>
      <c r="Q341" t="n">
        <v>0</v>
      </c>
      <c r="R341" s="2" t="inlineStr"/>
    </row>
    <row r="342" ht="15" customHeight="1">
      <c r="A342" t="inlineStr">
        <is>
          <t>A 19688-2025</t>
        </is>
      </c>
      <c r="B342" s="1" t="n">
        <v>45770.88217592592</v>
      </c>
      <c r="C342" s="1" t="n">
        <v>45964</v>
      </c>
      <c r="D342" t="inlineStr">
        <is>
          <t>DALARNAS LÄN</t>
        </is>
      </c>
      <c r="E342" t="inlineStr">
        <is>
          <t>HEDEMORA</t>
        </is>
      </c>
      <c r="G342" t="n">
        <v>1.9</v>
      </c>
      <c r="H342" t="n">
        <v>0</v>
      </c>
      <c r="I342" t="n">
        <v>0</v>
      </c>
      <c r="J342" t="n">
        <v>0</v>
      </c>
      <c r="K342" t="n">
        <v>0</v>
      </c>
      <c r="L342" t="n">
        <v>0</v>
      </c>
      <c r="M342" t="n">
        <v>0</v>
      </c>
      <c r="N342" t="n">
        <v>0</v>
      </c>
      <c r="O342" t="n">
        <v>0</v>
      </c>
      <c r="P342" t="n">
        <v>0</v>
      </c>
      <c r="Q342" t="n">
        <v>0</v>
      </c>
      <c r="R342" s="2" t="inlineStr"/>
    </row>
    <row r="343" ht="15" customHeight="1">
      <c r="A343" t="inlineStr">
        <is>
          <t>A 20272-2025</t>
        </is>
      </c>
      <c r="B343" s="1" t="n">
        <v>45773.71663194444</v>
      </c>
      <c r="C343" s="1" t="n">
        <v>45964</v>
      </c>
      <c r="D343" t="inlineStr">
        <is>
          <t>DALARNAS LÄN</t>
        </is>
      </c>
      <c r="E343" t="inlineStr">
        <is>
          <t>HEDEMORA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19689-2025</t>
        </is>
      </c>
      <c r="B344" s="1" t="n">
        <v>45770.88462962963</v>
      </c>
      <c r="C344" s="1" t="n">
        <v>45964</v>
      </c>
      <c r="D344" t="inlineStr">
        <is>
          <t>DALARNAS LÄN</t>
        </is>
      </c>
      <c r="E344" t="inlineStr">
        <is>
          <t>HEDEMORA</t>
        </is>
      </c>
      <c r="G344" t="n">
        <v>1.1</v>
      </c>
      <c r="H344" t="n">
        <v>0</v>
      </c>
      <c r="I344" t="n">
        <v>0</v>
      </c>
      <c r="J344" t="n">
        <v>0</v>
      </c>
      <c r="K344" t="n">
        <v>0</v>
      </c>
      <c r="L344" t="n">
        <v>0</v>
      </c>
      <c r="M344" t="n">
        <v>0</v>
      </c>
      <c r="N344" t="n">
        <v>0</v>
      </c>
      <c r="O344" t="n">
        <v>0</v>
      </c>
      <c r="P344" t="n">
        <v>0</v>
      </c>
      <c r="Q344" t="n">
        <v>0</v>
      </c>
      <c r="R344" s="2" t="inlineStr"/>
    </row>
    <row r="345" ht="15" customHeight="1">
      <c r="A345" t="inlineStr">
        <is>
          <t>A 9314-2024</t>
        </is>
      </c>
      <c r="B345" s="1" t="n">
        <v>45358</v>
      </c>
      <c r="C345" s="1" t="n">
        <v>45964</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55882-2023</t>
        </is>
      </c>
      <c r="B346" s="1" t="n">
        <v>45239</v>
      </c>
      <c r="C346" s="1" t="n">
        <v>45964</v>
      </c>
      <c r="D346" t="inlineStr">
        <is>
          <t>DALARNAS LÄN</t>
        </is>
      </c>
      <c r="E346" t="inlineStr">
        <is>
          <t>HEDEMORA</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50038-2025</t>
        </is>
      </c>
      <c r="B347" s="1" t="n">
        <v>45943.40084490741</v>
      </c>
      <c r="C347" s="1" t="n">
        <v>45964</v>
      </c>
      <c r="D347" t="inlineStr">
        <is>
          <t>DALARNAS LÄN</t>
        </is>
      </c>
      <c r="E347" t="inlineStr">
        <is>
          <t>HEDEMORA</t>
        </is>
      </c>
      <c r="G347" t="n">
        <v>2.9</v>
      </c>
      <c r="H347" t="n">
        <v>0</v>
      </c>
      <c r="I347" t="n">
        <v>0</v>
      </c>
      <c r="J347" t="n">
        <v>0</v>
      </c>
      <c r="K347" t="n">
        <v>0</v>
      </c>
      <c r="L347" t="n">
        <v>0</v>
      </c>
      <c r="M347" t="n">
        <v>0</v>
      </c>
      <c r="N347" t="n">
        <v>0</v>
      </c>
      <c r="O347" t="n">
        <v>0</v>
      </c>
      <c r="P347" t="n">
        <v>0</v>
      </c>
      <c r="Q347" t="n">
        <v>0</v>
      </c>
      <c r="R347" s="2" t="inlineStr"/>
    </row>
    <row r="348" ht="15" customHeight="1">
      <c r="A348" t="inlineStr">
        <is>
          <t>A 50043-2025</t>
        </is>
      </c>
      <c r="B348" s="1" t="n">
        <v>45943.40546296296</v>
      </c>
      <c r="C348" s="1" t="n">
        <v>45964</v>
      </c>
      <c r="D348" t="inlineStr">
        <is>
          <t>DALARNAS LÄN</t>
        </is>
      </c>
      <c r="E348" t="inlineStr">
        <is>
          <t>HEDEMORA</t>
        </is>
      </c>
      <c r="G348" t="n">
        <v>0.8</v>
      </c>
      <c r="H348" t="n">
        <v>0</v>
      </c>
      <c r="I348" t="n">
        <v>0</v>
      </c>
      <c r="J348" t="n">
        <v>0</v>
      </c>
      <c r="K348" t="n">
        <v>0</v>
      </c>
      <c r="L348" t="n">
        <v>0</v>
      </c>
      <c r="M348" t="n">
        <v>0</v>
      </c>
      <c r="N348" t="n">
        <v>0</v>
      </c>
      <c r="O348" t="n">
        <v>0</v>
      </c>
      <c r="P348" t="n">
        <v>0</v>
      </c>
      <c r="Q348" t="n">
        <v>0</v>
      </c>
      <c r="R348" s="2" t="inlineStr"/>
    </row>
    <row r="349" ht="15" customHeight="1">
      <c r="A349" t="inlineStr">
        <is>
          <t>A 50078-2025</t>
        </is>
      </c>
      <c r="B349" s="1" t="n">
        <v>45943</v>
      </c>
      <c r="C349" s="1" t="n">
        <v>45964</v>
      </c>
      <c r="D349" t="inlineStr">
        <is>
          <t>DALARNAS LÄN</t>
        </is>
      </c>
      <c r="E349" t="inlineStr">
        <is>
          <t>HEDEMORA</t>
        </is>
      </c>
      <c r="G349" t="n">
        <v>2.5</v>
      </c>
      <c r="H349" t="n">
        <v>0</v>
      </c>
      <c r="I349" t="n">
        <v>0</v>
      </c>
      <c r="J349" t="n">
        <v>0</v>
      </c>
      <c r="K349" t="n">
        <v>0</v>
      </c>
      <c r="L349" t="n">
        <v>0</v>
      </c>
      <c r="M349" t="n">
        <v>0</v>
      </c>
      <c r="N349" t="n">
        <v>0</v>
      </c>
      <c r="O349" t="n">
        <v>0</v>
      </c>
      <c r="P349" t="n">
        <v>0</v>
      </c>
      <c r="Q349" t="n">
        <v>0</v>
      </c>
      <c r="R349" s="2" t="inlineStr"/>
    </row>
    <row r="350" ht="15" customHeight="1">
      <c r="A350" t="inlineStr">
        <is>
          <t>A 50115-2025</t>
        </is>
      </c>
      <c r="B350" s="1" t="n">
        <v>45943.54636574074</v>
      </c>
      <c r="C350" s="1" t="n">
        <v>45964</v>
      </c>
      <c r="D350" t="inlineStr">
        <is>
          <t>DALARNAS LÄN</t>
        </is>
      </c>
      <c r="E350" t="inlineStr">
        <is>
          <t>HEDEMORA</t>
        </is>
      </c>
      <c r="G350" t="n">
        <v>1.1</v>
      </c>
      <c r="H350" t="n">
        <v>0</v>
      </c>
      <c r="I350" t="n">
        <v>0</v>
      </c>
      <c r="J350" t="n">
        <v>0</v>
      </c>
      <c r="K350" t="n">
        <v>0</v>
      </c>
      <c r="L350" t="n">
        <v>0</v>
      </c>
      <c r="M350" t="n">
        <v>0</v>
      </c>
      <c r="N350" t="n">
        <v>0</v>
      </c>
      <c r="O350" t="n">
        <v>0</v>
      </c>
      <c r="P350" t="n">
        <v>0</v>
      </c>
      <c r="Q350" t="n">
        <v>0</v>
      </c>
      <c r="R350" s="2" t="inlineStr"/>
    </row>
    <row r="351" ht="15" customHeight="1">
      <c r="A351" t="inlineStr">
        <is>
          <t>A 50101-2025</t>
        </is>
      </c>
      <c r="B351" s="1" t="n">
        <v>45943.53317129629</v>
      </c>
      <c r="C351" s="1" t="n">
        <v>45964</v>
      </c>
      <c r="D351" t="inlineStr">
        <is>
          <t>DALARNAS LÄN</t>
        </is>
      </c>
      <c r="E351" t="inlineStr">
        <is>
          <t>HEDEMORA</t>
        </is>
      </c>
      <c r="G351" t="n">
        <v>3.5</v>
      </c>
      <c r="H351" t="n">
        <v>0</v>
      </c>
      <c r="I351" t="n">
        <v>0</v>
      </c>
      <c r="J351" t="n">
        <v>0</v>
      </c>
      <c r="K351" t="n">
        <v>0</v>
      </c>
      <c r="L351" t="n">
        <v>0</v>
      </c>
      <c r="M351" t="n">
        <v>0</v>
      </c>
      <c r="N351" t="n">
        <v>0</v>
      </c>
      <c r="O351" t="n">
        <v>0</v>
      </c>
      <c r="P351" t="n">
        <v>0</v>
      </c>
      <c r="Q351" t="n">
        <v>0</v>
      </c>
      <c r="R351" s="2" t="inlineStr"/>
    </row>
    <row r="352" ht="15" customHeight="1">
      <c r="A352" t="inlineStr">
        <is>
          <t>A 19990-2025</t>
        </is>
      </c>
      <c r="B352" s="1" t="n">
        <v>45771.73082175926</v>
      </c>
      <c r="C352" s="1" t="n">
        <v>45964</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21763-2024</t>
        </is>
      </c>
      <c r="B353" s="1" t="n">
        <v>45442.60204861111</v>
      </c>
      <c r="C353" s="1" t="n">
        <v>45964</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17594-2025</t>
        </is>
      </c>
      <c r="B354" s="1" t="n">
        <v>45757</v>
      </c>
      <c r="C354" s="1" t="n">
        <v>45964</v>
      </c>
      <c r="D354" t="inlineStr">
        <is>
          <t>DALARNAS LÄN</t>
        </is>
      </c>
      <c r="E354" t="inlineStr">
        <is>
          <t>HEDEMORA</t>
        </is>
      </c>
      <c r="G354" t="n">
        <v>0.6</v>
      </c>
      <c r="H354" t="n">
        <v>0</v>
      </c>
      <c r="I354" t="n">
        <v>0</v>
      </c>
      <c r="J354" t="n">
        <v>0</v>
      </c>
      <c r="K354" t="n">
        <v>0</v>
      </c>
      <c r="L354" t="n">
        <v>0</v>
      </c>
      <c r="M354" t="n">
        <v>0</v>
      </c>
      <c r="N354" t="n">
        <v>0</v>
      </c>
      <c r="O354" t="n">
        <v>0</v>
      </c>
      <c r="P354" t="n">
        <v>0</v>
      </c>
      <c r="Q354" t="n">
        <v>0</v>
      </c>
      <c r="R354" s="2" t="inlineStr"/>
    </row>
    <row r="355" ht="15" customHeight="1">
      <c r="A355" t="inlineStr">
        <is>
          <t>A 50040-2025</t>
        </is>
      </c>
      <c r="B355" s="1" t="n">
        <v>45943.40377314815</v>
      </c>
      <c r="C355" s="1" t="n">
        <v>45964</v>
      </c>
      <c r="D355" t="inlineStr">
        <is>
          <t>DALARNAS LÄN</t>
        </is>
      </c>
      <c r="E355" t="inlineStr">
        <is>
          <t>HEDEMORA</t>
        </is>
      </c>
      <c r="G355" t="n">
        <v>0.6</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45964</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49772-2025</t>
        </is>
      </c>
      <c r="B357" s="1" t="n">
        <v>45940.37288194444</v>
      </c>
      <c r="C357" s="1" t="n">
        <v>45964</v>
      </c>
      <c r="D357" t="inlineStr">
        <is>
          <t>DALARNAS LÄN</t>
        </is>
      </c>
      <c r="E357" t="inlineStr">
        <is>
          <t>HEDEMORA</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49942-2025</t>
        </is>
      </c>
      <c r="B358" s="1" t="n">
        <v>45940.69508101852</v>
      </c>
      <c r="C358" s="1" t="n">
        <v>45964</v>
      </c>
      <c r="D358" t="inlineStr">
        <is>
          <t>DALARNAS LÄN</t>
        </is>
      </c>
      <c r="E358" t="inlineStr">
        <is>
          <t>HEDEMORA</t>
        </is>
      </c>
      <c r="G358" t="n">
        <v>2</v>
      </c>
      <c r="H358" t="n">
        <v>0</v>
      </c>
      <c r="I358" t="n">
        <v>0</v>
      </c>
      <c r="J358" t="n">
        <v>0</v>
      </c>
      <c r="K358" t="n">
        <v>0</v>
      </c>
      <c r="L358" t="n">
        <v>0</v>
      </c>
      <c r="M358" t="n">
        <v>0</v>
      </c>
      <c r="N358" t="n">
        <v>0</v>
      </c>
      <c r="O358" t="n">
        <v>0</v>
      </c>
      <c r="P358" t="n">
        <v>0</v>
      </c>
      <c r="Q358" t="n">
        <v>0</v>
      </c>
      <c r="R358" s="2" t="inlineStr"/>
    </row>
    <row r="359" ht="15" customHeight="1">
      <c r="A359" t="inlineStr">
        <is>
          <t>A 23435-2025</t>
        </is>
      </c>
      <c r="B359" s="1" t="n">
        <v>45792.37162037037</v>
      </c>
      <c r="C359" s="1" t="n">
        <v>45964</v>
      </c>
      <c r="D359" t="inlineStr">
        <is>
          <t>DALARNAS LÄN</t>
        </is>
      </c>
      <c r="E359" t="inlineStr">
        <is>
          <t>HEDEMORA</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42510-2025</t>
        </is>
      </c>
      <c r="B360" s="1" t="n">
        <v>45905.54068287037</v>
      </c>
      <c r="C360" s="1" t="n">
        <v>45964</v>
      </c>
      <c r="D360" t="inlineStr">
        <is>
          <t>DALARNAS LÄN</t>
        </is>
      </c>
      <c r="E360" t="inlineStr">
        <is>
          <t>HEDEMORA</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42645-2025</t>
        </is>
      </c>
      <c r="B361" s="1" t="n">
        <v>45906.40199074074</v>
      </c>
      <c r="C361" s="1" t="n">
        <v>45964</v>
      </c>
      <c r="D361" t="inlineStr">
        <is>
          <t>DALARNAS LÄN</t>
        </is>
      </c>
      <c r="E361" t="inlineStr">
        <is>
          <t>HEDEMORA</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51695-2025</t>
        </is>
      </c>
      <c r="B362" s="1" t="n">
        <v>45951.54824074074</v>
      </c>
      <c r="C362" s="1" t="n">
        <v>45964</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51615-2025</t>
        </is>
      </c>
      <c r="B363" s="1" t="n">
        <v>45951.40246527778</v>
      </c>
      <c r="C363" s="1" t="n">
        <v>45964</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52325-2025</t>
        </is>
      </c>
      <c r="B364" s="1" t="n">
        <v>45953.67032407408</v>
      </c>
      <c r="C364" s="1" t="n">
        <v>45964</v>
      </c>
      <c r="D364" t="inlineStr">
        <is>
          <t>DALARNAS LÄN</t>
        </is>
      </c>
      <c r="E364" t="inlineStr">
        <is>
          <t>HEDEMORA</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43193-2025</t>
        </is>
      </c>
      <c r="B365" s="1" t="n">
        <v>45910.42417824074</v>
      </c>
      <c r="C365" s="1" t="n">
        <v>45964</v>
      </c>
      <c r="D365" t="inlineStr">
        <is>
          <t>DALARNAS LÄN</t>
        </is>
      </c>
      <c r="E365" t="inlineStr">
        <is>
          <t>HEDEMORA</t>
        </is>
      </c>
      <c r="G365" t="n">
        <v>3.9</v>
      </c>
      <c r="H365" t="n">
        <v>0</v>
      </c>
      <c r="I365" t="n">
        <v>0</v>
      </c>
      <c r="J365" t="n">
        <v>0</v>
      </c>
      <c r="K365" t="n">
        <v>0</v>
      </c>
      <c r="L365" t="n">
        <v>0</v>
      </c>
      <c r="M365" t="n">
        <v>0</v>
      </c>
      <c r="N365" t="n">
        <v>0</v>
      </c>
      <c r="O365" t="n">
        <v>0</v>
      </c>
      <c r="P365" t="n">
        <v>0</v>
      </c>
      <c r="Q365" t="n">
        <v>0</v>
      </c>
      <c r="R365" s="2" t="inlineStr"/>
    </row>
    <row r="366" ht="15" customHeight="1">
      <c r="A366" t="inlineStr">
        <is>
          <t>A 52328-2025</t>
        </is>
      </c>
      <c r="B366" s="1" t="n">
        <v>45953.67157407408</v>
      </c>
      <c r="C366" s="1" t="n">
        <v>45964</v>
      </c>
      <c r="D366" t="inlineStr">
        <is>
          <t>DALARNAS LÄN</t>
        </is>
      </c>
      <c r="E366" t="inlineStr">
        <is>
          <t>HEDEMORA</t>
        </is>
      </c>
      <c r="F366" t="inlineStr">
        <is>
          <t>Sveaskog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50566-2025</t>
        </is>
      </c>
      <c r="B367" s="1" t="n">
        <v>45945</v>
      </c>
      <c r="C367" s="1" t="n">
        <v>45964</v>
      </c>
      <c r="D367" t="inlineStr">
        <is>
          <t>DALARNAS LÄN</t>
        </is>
      </c>
      <c r="E367" t="inlineStr">
        <is>
          <t>HEDEMORA</t>
        </is>
      </c>
      <c r="G367" t="n">
        <v>1.4</v>
      </c>
      <c r="H367" t="n">
        <v>0</v>
      </c>
      <c r="I367" t="n">
        <v>0</v>
      </c>
      <c r="J367" t="n">
        <v>0</v>
      </c>
      <c r="K367" t="n">
        <v>0</v>
      </c>
      <c r="L367" t="n">
        <v>0</v>
      </c>
      <c r="M367" t="n">
        <v>0</v>
      </c>
      <c r="N367" t="n">
        <v>0</v>
      </c>
      <c r="O367" t="n">
        <v>0</v>
      </c>
      <c r="P367" t="n">
        <v>0</v>
      </c>
      <c r="Q367" t="n">
        <v>0</v>
      </c>
      <c r="R367" s="2" t="inlineStr"/>
    </row>
    <row r="368" ht="15" customHeight="1">
      <c r="A368" t="inlineStr">
        <is>
          <t>A 52759-2025</t>
        </is>
      </c>
      <c r="B368" s="1" t="n">
        <v>45957.39364583333</v>
      </c>
      <c r="C368" s="1" t="n">
        <v>45964</v>
      </c>
      <c r="D368" t="inlineStr">
        <is>
          <t>DALARNAS LÄN</t>
        </is>
      </c>
      <c r="E368" t="inlineStr">
        <is>
          <t>HEDEMORA</t>
        </is>
      </c>
      <c r="G368" t="n">
        <v>0.8</v>
      </c>
      <c r="H368" t="n">
        <v>0</v>
      </c>
      <c r="I368" t="n">
        <v>0</v>
      </c>
      <c r="J368" t="n">
        <v>0</v>
      </c>
      <c r="K368" t="n">
        <v>0</v>
      </c>
      <c r="L368" t="n">
        <v>0</v>
      </c>
      <c r="M368" t="n">
        <v>0</v>
      </c>
      <c r="N368" t="n">
        <v>0</v>
      </c>
      <c r="O368" t="n">
        <v>0</v>
      </c>
      <c r="P368" t="n">
        <v>0</v>
      </c>
      <c r="Q368" t="n">
        <v>0</v>
      </c>
      <c r="R368" s="2" t="inlineStr"/>
    </row>
    <row r="369" ht="15" customHeight="1">
      <c r="A369" t="inlineStr">
        <is>
          <t>A 52853-2025</t>
        </is>
      </c>
      <c r="B369" s="1" t="n">
        <v>45957.49408564815</v>
      </c>
      <c r="C369" s="1" t="n">
        <v>45964</v>
      </c>
      <c r="D369" t="inlineStr">
        <is>
          <t>DALARNAS LÄN</t>
        </is>
      </c>
      <c r="E369" t="inlineStr">
        <is>
          <t>HEDEMORA</t>
        </is>
      </c>
      <c r="G369" t="n">
        <v>1.5</v>
      </c>
      <c r="H369" t="n">
        <v>0</v>
      </c>
      <c r="I369" t="n">
        <v>0</v>
      </c>
      <c r="J369" t="n">
        <v>0</v>
      </c>
      <c r="K369" t="n">
        <v>0</v>
      </c>
      <c r="L369" t="n">
        <v>0</v>
      </c>
      <c r="M369" t="n">
        <v>0</v>
      </c>
      <c r="N369" t="n">
        <v>0</v>
      </c>
      <c r="O369" t="n">
        <v>0</v>
      </c>
      <c r="P369" t="n">
        <v>0</v>
      </c>
      <c r="Q369" t="n">
        <v>0</v>
      </c>
      <c r="R369" s="2" t="inlineStr"/>
    </row>
    <row r="370" ht="15" customHeight="1">
      <c r="A370" t="inlineStr">
        <is>
          <t>A 53044-2025</t>
        </is>
      </c>
      <c r="B370" s="1" t="n">
        <v>45958.35663194444</v>
      </c>
      <c r="C370" s="1" t="n">
        <v>45964</v>
      </c>
      <c r="D370" t="inlineStr">
        <is>
          <t>DALARNAS LÄN</t>
        </is>
      </c>
      <c r="E370" t="inlineStr">
        <is>
          <t>HEDEMORA</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53040-2025</t>
        </is>
      </c>
      <c r="B371" s="1" t="n">
        <v>45958.35328703704</v>
      </c>
      <c r="C371" s="1" t="n">
        <v>45964</v>
      </c>
      <c r="D371" t="inlineStr">
        <is>
          <t>DALARNAS LÄN</t>
        </is>
      </c>
      <c r="E371" t="inlineStr">
        <is>
          <t>HEDEMORA</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53042-2025</t>
        </is>
      </c>
      <c r="B372" s="1" t="n">
        <v>45958.35527777778</v>
      </c>
      <c r="C372" s="1" t="n">
        <v>45964</v>
      </c>
      <c r="D372" t="inlineStr">
        <is>
          <t>DALARNAS LÄN</t>
        </is>
      </c>
      <c r="E372" t="inlineStr">
        <is>
          <t>HEDEMORA</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52714-2025</t>
        </is>
      </c>
      <c r="B373" s="1" t="n">
        <v>45953</v>
      </c>
      <c r="C373" s="1" t="n">
        <v>45964</v>
      </c>
      <c r="D373" t="inlineStr">
        <is>
          <t>DALARNAS LÄN</t>
        </is>
      </c>
      <c r="E373" t="inlineStr">
        <is>
          <t>HEDEMORA</t>
        </is>
      </c>
      <c r="F373" t="inlineStr">
        <is>
          <t>Bergvik skog väst AB</t>
        </is>
      </c>
      <c r="G373" t="n">
        <v>14.7</v>
      </c>
      <c r="H373" t="n">
        <v>0</v>
      </c>
      <c r="I373" t="n">
        <v>0</v>
      </c>
      <c r="J373" t="n">
        <v>0</v>
      </c>
      <c r="K373" t="n">
        <v>0</v>
      </c>
      <c r="L373" t="n">
        <v>0</v>
      </c>
      <c r="M373" t="n">
        <v>0</v>
      </c>
      <c r="N373" t="n">
        <v>0</v>
      </c>
      <c r="O373" t="n">
        <v>0</v>
      </c>
      <c r="P373" t="n">
        <v>0</v>
      </c>
      <c r="Q373" t="n">
        <v>0</v>
      </c>
      <c r="R373" s="2" t="inlineStr"/>
    </row>
    <row r="374" ht="15" customHeight="1">
      <c r="A374" t="inlineStr">
        <is>
          <t>A 44850-2025</t>
        </is>
      </c>
      <c r="B374" s="1" t="n">
        <v>45918.44587962963</v>
      </c>
      <c r="C374" s="1" t="n">
        <v>45964</v>
      </c>
      <c r="D374" t="inlineStr">
        <is>
          <t>DALARNAS LÄN</t>
        </is>
      </c>
      <c r="E374" t="inlineStr">
        <is>
          <t>HEDEMORA</t>
        </is>
      </c>
      <c r="G374" t="n">
        <v>3.9</v>
      </c>
      <c r="H374" t="n">
        <v>0</v>
      </c>
      <c r="I374" t="n">
        <v>0</v>
      </c>
      <c r="J374" t="n">
        <v>0</v>
      </c>
      <c r="K374" t="n">
        <v>0</v>
      </c>
      <c r="L374" t="n">
        <v>0</v>
      </c>
      <c r="M374" t="n">
        <v>0</v>
      </c>
      <c r="N374" t="n">
        <v>0</v>
      </c>
      <c r="O374" t="n">
        <v>0</v>
      </c>
      <c r="P374" t="n">
        <v>0</v>
      </c>
      <c r="Q374" t="n">
        <v>0</v>
      </c>
      <c r="R374" s="2" t="inlineStr"/>
    </row>
    <row r="375" ht="15" customHeight="1">
      <c r="A375" t="inlineStr">
        <is>
          <t>A 53820-2025</t>
        </is>
      </c>
      <c r="B375" s="1" t="n">
        <v>45961.32736111111</v>
      </c>
      <c r="C375" s="1" t="n">
        <v>45964</v>
      </c>
      <c r="D375" t="inlineStr">
        <is>
          <t>DALARNAS LÄN</t>
        </is>
      </c>
      <c r="E375" t="inlineStr">
        <is>
          <t>HEDEMORA</t>
        </is>
      </c>
      <c r="G375" t="n">
        <v>10</v>
      </c>
      <c r="H375" t="n">
        <v>0</v>
      </c>
      <c r="I375" t="n">
        <v>0</v>
      </c>
      <c r="J375" t="n">
        <v>0</v>
      </c>
      <c r="K375" t="n">
        <v>0</v>
      </c>
      <c r="L375" t="n">
        <v>0</v>
      </c>
      <c r="M375" t="n">
        <v>0</v>
      </c>
      <c r="N375" t="n">
        <v>0</v>
      </c>
      <c r="O375" t="n">
        <v>0</v>
      </c>
      <c r="P375" t="n">
        <v>0</v>
      </c>
      <c r="Q375" t="n">
        <v>0</v>
      </c>
      <c r="R375" s="2" t="inlineStr"/>
    </row>
    <row r="376" ht="15" customHeight="1">
      <c r="A376" t="inlineStr">
        <is>
          <t>A 52316-2025</t>
        </is>
      </c>
      <c r="B376" s="1" t="n">
        <v>45953.65537037037</v>
      </c>
      <c r="C376" s="1" t="n">
        <v>45964</v>
      </c>
      <c r="D376" t="inlineStr">
        <is>
          <t>DALARNAS LÄN</t>
        </is>
      </c>
      <c r="E376" t="inlineStr">
        <is>
          <t>HEDEMORA</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53551-2025</t>
        </is>
      </c>
      <c r="B377" s="1" t="n">
        <v>45960.3875</v>
      </c>
      <c r="C377" s="1" t="n">
        <v>45964</v>
      </c>
      <c r="D377" t="inlineStr">
        <is>
          <t>DALARNAS LÄN</t>
        </is>
      </c>
      <c r="E377" t="inlineStr">
        <is>
          <t>HEDEMORA</t>
        </is>
      </c>
      <c r="G377" t="n">
        <v>6.2</v>
      </c>
      <c r="H377" t="n">
        <v>0</v>
      </c>
      <c r="I377" t="n">
        <v>0</v>
      </c>
      <c r="J377" t="n">
        <v>0</v>
      </c>
      <c r="K377" t="n">
        <v>0</v>
      </c>
      <c r="L377" t="n">
        <v>0</v>
      </c>
      <c r="M377" t="n">
        <v>0</v>
      </c>
      <c r="N377" t="n">
        <v>0</v>
      </c>
      <c r="O377" t="n">
        <v>0</v>
      </c>
      <c r="P377" t="n">
        <v>0</v>
      </c>
      <c r="Q377" t="n">
        <v>0</v>
      </c>
      <c r="R377" s="2" t="inlineStr"/>
    </row>
    <row r="378">
      <c r="A378" t="inlineStr">
        <is>
          <t>A 45097-2025</t>
        </is>
      </c>
      <c r="B378" s="1" t="n">
        <v>45919.38918981481</v>
      </c>
      <c r="C378" s="1" t="n">
        <v>45964</v>
      </c>
      <c r="D378" t="inlineStr">
        <is>
          <t>DALARNAS LÄN</t>
        </is>
      </c>
      <c r="E378" t="inlineStr">
        <is>
          <t>HEDEMORA</t>
        </is>
      </c>
      <c r="F378" t="inlineStr">
        <is>
          <t>Sveaskog</t>
        </is>
      </c>
      <c r="G378" t="n">
        <v>3.1</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2025-11-03T10:04:07Z</dcterms:created>
  <dcterms:modified xmlns:dcterms="http://purl.org/dc/terms/" xmlns:xsi="http://www.w3.org/2001/XMLSchema-instance" xsi:type="dcterms:W3CDTF">2025-11-03T10:04:08Z</dcterms:modified>
</cp:coreProperties>
</file>