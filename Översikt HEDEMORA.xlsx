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46216</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46216</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46216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A 42345-2023</t>
        </is>
      </c>
      <c r="B5" t="inlineStr">
        <is>
          <t>avverkningsanmälan</t>
        </is>
      </c>
      <c r="C5" t="inlineStr">
        <is>
          <t>Föryngringsavverkning</t>
        </is>
      </c>
      <c r="D5" s="1" t="n">
        <v>45180</v>
      </c>
      <c r="E5" s="1" t="n">
        <v>46216</v>
      </c>
      <c r="F5" t="inlineStr">
        <is>
          <t>DALARNAS LÄN</t>
        </is>
      </c>
      <c r="G5" t="inlineStr">
        <is>
          <t>HEDEMORA</t>
        </is>
      </c>
      <c r="I5" t="n">
        <v>2.3</v>
      </c>
      <c r="J5" t="n">
        <v>4</v>
      </c>
      <c r="K5" t="n">
        <v>4</v>
      </c>
      <c r="L5" t="n">
        <v>8</v>
      </c>
      <c r="M5" t="n">
        <v>5</v>
      </c>
      <c r="N5" t="n">
        <v>0</v>
      </c>
      <c r="O5" t="n">
        <v>0</v>
      </c>
      <c r="P5" t="n">
        <v>0</v>
      </c>
      <c r="Q5" t="n">
        <v>13</v>
      </c>
      <c r="R5" t="n">
        <v>5</v>
      </c>
      <c r="S5" t="n">
        <v>19</v>
      </c>
      <c r="T5" t="n">
        <v>68</v>
      </c>
      <c r="U5" s="2" t="inlineStr">
        <is>
          <t>Bullspindling
Garnlav
Grangråticka
Knärot
Rostskinn
Fjällig taggsvamp s.str.
Motaggsvamp
Rosenticka
Rynkskinn
Skarp dropptaggsvamp
Talltita
Ullticka
Vågticka
Bronshjon
Gullgröppa
Trådticka
Vedticka
Mattlummer
Spillkråka</t>
        </is>
      </c>
      <c r="V5">
        <f>HYPERLINK("https://klasma.github.io/Logging_2083/artfynd/A 42345-2023 artfynd.xlsx", "A 42345-2023")</f>
        <v/>
      </c>
      <c r="W5">
        <f>HYPERLINK("https://klasma.github.io/Logging_2083/kartor/A 42345-2023 karta.png", "A 42345-2023")</f>
        <v/>
      </c>
      <c r="X5">
        <f>HYPERLINK("https://klasma.github.io/Logging_2083/knärot/A 42345-2023 karta knärot.png", "A 42345-2023")</f>
        <v/>
      </c>
      <c r="Y5">
        <f>HYPERLINK("https://klasma.github.io/Logging_2083/klagomål/A 42345-2023 FSC-klagomål.docx", "A 42345-2023")</f>
        <v/>
      </c>
      <c r="Z5">
        <f>HYPERLINK("https://klasma.github.io/Logging_2083/klagomålsmail/A 42345-2023 FSC-klagomål mail.docx", "A 42345-2023")</f>
        <v/>
      </c>
      <c r="AA5">
        <f>HYPERLINK("https://klasma.github.io/Logging_2083/tillsyn/A 42345-2023 tillsynsbegäran.docx", "A 42345-2023")</f>
        <v/>
      </c>
      <c r="AB5">
        <f>HYPERLINK("https://klasma.github.io/Logging_2083/tillsynsmail/A 42345-2023 tillsynsbegäran mail.docx", "A 42345-2023")</f>
        <v/>
      </c>
      <c r="AC5">
        <f>HYPERLINK("https://klasma.github.io/Logging_2083/fåglar/A 42345-2023 prioriterade fågelarter.docx", "A 42345-2023")</f>
        <v/>
      </c>
    </row>
    <row r="6" ht="15" customHeight="1">
      <c r="A6" t="inlineStr">
        <is>
          <t>A 1453-2026</t>
        </is>
      </c>
      <c r="B6" t="inlineStr">
        <is>
          <t>avverkningsanmälan</t>
        </is>
      </c>
      <c r="C6" t="inlineStr">
        <is>
          <t>Föryngringsavverkning</t>
        </is>
      </c>
      <c r="D6" s="1" t="n">
        <v>46033</v>
      </c>
      <c r="E6" s="1" t="n">
        <v>46216</v>
      </c>
      <c r="F6" t="inlineStr">
        <is>
          <t>DALARNAS LÄN</t>
        </is>
      </c>
      <c r="G6" t="inlineStr">
        <is>
          <t>HEDEMORA</t>
        </is>
      </c>
      <c r="I6" t="n">
        <v>1.3</v>
      </c>
      <c r="J6" t="n">
        <v>4</v>
      </c>
      <c r="K6" t="n">
        <v>4</v>
      </c>
      <c r="L6" t="n">
        <v>7</v>
      </c>
      <c r="M6" t="n">
        <v>5</v>
      </c>
      <c r="N6" t="n">
        <v>0</v>
      </c>
      <c r="O6" t="n">
        <v>0</v>
      </c>
      <c r="P6" t="n">
        <v>0</v>
      </c>
      <c r="Q6" t="n">
        <v>12</v>
      </c>
      <c r="R6" t="n">
        <v>5</v>
      </c>
      <c r="S6" t="n">
        <v>18</v>
      </c>
      <c r="T6" t="n">
        <v>51</v>
      </c>
      <c r="U6" s="2" t="inlineStr">
        <is>
          <t>Bullspindling
Garnlav
Grangråticka
Knärot
Rostskinn
Fjällig taggsvamp s.str.
Rosenticka
Rynkskinn
Skarp dropptaggsvamp
Talltita
Ullticka
Vågticka
Bronshjon
Gullgröppa
Trådticka
Vedticka
Mattlummer
Spillkråka</t>
        </is>
      </c>
      <c r="V6">
        <f>HYPERLINK("https://klasma.github.io/Logging_2083/artfynd/A 1453-2026 artfynd.xlsx", "A 1453-2026")</f>
        <v/>
      </c>
      <c r="W6">
        <f>HYPERLINK("https://klasma.github.io/Logging_2083/kartor/A 1453-2026 karta.png", "A 1453-2026")</f>
        <v/>
      </c>
      <c r="X6">
        <f>HYPERLINK("https://klasma.github.io/Logging_2083/knärot/A 1453-2026 karta knärot.png", "A 1453-2026")</f>
        <v/>
      </c>
      <c r="Y6">
        <f>HYPERLINK("https://klasma.github.io/Logging_2083/klagomål/A 1453-2026 FSC-klagomål.docx", "A 1453-2026")</f>
        <v/>
      </c>
      <c r="Z6">
        <f>HYPERLINK("https://klasma.github.io/Logging_2083/klagomålsmail/A 1453-2026 FSC-klagomål mail.docx", "A 1453-2026")</f>
        <v/>
      </c>
      <c r="AA6">
        <f>HYPERLINK("https://klasma.github.io/Logging_2083/tillsyn/A 1453-2026 tillsynsbegäran.docx", "A 1453-2026")</f>
        <v/>
      </c>
      <c r="AB6">
        <f>HYPERLINK("https://klasma.github.io/Logging_2083/tillsynsmail/A 1453-2026 tillsynsbegäran mail.docx", "A 1453-2026")</f>
        <v/>
      </c>
      <c r="AC6">
        <f>HYPERLINK("https://klasma.github.io/Logging_2083/fåglar/A 1453-2026 prioriterade fågelarter.docx", "A 1453-2026")</f>
        <v/>
      </c>
    </row>
    <row r="7" ht="15" customHeight="1">
      <c r="A7" t="inlineStr">
        <is>
          <t>A 56932-2024</t>
        </is>
      </c>
      <c r="B7" t="inlineStr">
        <is>
          <t>avverkningsanmälan</t>
        </is>
      </c>
      <c r="C7" t="inlineStr">
        <is>
          <t>Avverkning för att bevara och utveckla /försöksver</t>
        </is>
      </c>
      <c r="D7" s="1" t="n">
        <v>45628</v>
      </c>
      <c r="E7" s="1" t="n">
        <v>46216</v>
      </c>
      <c r="F7" t="inlineStr">
        <is>
          <t>DALARNAS LÄN</t>
        </is>
      </c>
      <c r="G7" t="inlineStr">
        <is>
          <t>HEDEMORA</t>
        </is>
      </c>
      <c r="H7" t="inlineStr">
        <is>
          <t>Sveaskog</t>
        </is>
      </c>
      <c r="I7" t="n">
        <v>5</v>
      </c>
      <c r="J7" t="n">
        <v>3</v>
      </c>
      <c r="K7" t="n">
        <v>4</v>
      </c>
      <c r="L7" t="n">
        <v>6</v>
      </c>
      <c r="M7" t="n">
        <v>2</v>
      </c>
      <c r="N7" t="n">
        <v>2</v>
      </c>
      <c r="O7" t="n">
        <v>0</v>
      </c>
      <c r="P7" t="n">
        <v>0</v>
      </c>
      <c r="Q7" t="n">
        <v>10</v>
      </c>
      <c r="R7" t="n">
        <v>4</v>
      </c>
      <c r="S7" t="n">
        <v>16</v>
      </c>
      <c r="T7" t="n">
        <v>24</v>
      </c>
      <c r="U7" s="2" t="inlineStr">
        <is>
          <t>Ask
Bitter taggsvamp
Knärot
Ostticka
Hängticka
Kandelabersvamp
Kötticka
Rosenticka
Rynkskinn
Ullticka
Bronshjon
Svavelriska
Tibast
Vedticka
Blåsippa
Spillkråka</t>
        </is>
      </c>
      <c r="V7">
        <f>HYPERLINK("https://klasma.github.io/Logging_2083/artfynd/A 56932-2024 artfynd.xlsx", "A 56932-2024")</f>
        <v/>
      </c>
      <c r="W7">
        <f>HYPERLINK("https://klasma.github.io/Logging_2083/kartor/A 56932-2024 karta.png", "A 56932-2024")</f>
        <v/>
      </c>
      <c r="X7">
        <f>HYPERLINK("https://klasma.github.io/Logging_2083/knärot/A 56932-2024 karta knärot.png", "A 56932-2024")</f>
        <v/>
      </c>
      <c r="Y7">
        <f>HYPERLINK("https://klasma.github.io/Logging_2083/klagomål/A 56932-2024 FSC-klagomål.docx", "A 56932-2024")</f>
        <v/>
      </c>
      <c r="Z7">
        <f>HYPERLINK("https://klasma.github.io/Logging_2083/klagomålsmail/A 56932-2024 FSC-klagomål mail.docx", "A 56932-2024")</f>
        <v/>
      </c>
      <c r="AA7">
        <f>HYPERLINK("https://klasma.github.io/Logging_2083/tillsyn/A 56932-2024 tillsynsbegäran.docx", "A 56932-2024")</f>
        <v/>
      </c>
      <c r="AB7">
        <f>HYPERLINK("https://klasma.github.io/Logging_2083/tillsynsmail/A 56932-2024 tillsynsbegäran mail.docx", "A 56932-2024")</f>
        <v/>
      </c>
      <c r="AC7">
        <f>HYPERLINK("https://klasma.github.io/Logging_2083/fåglar/A 56932-2024 prioriterade fågelarter.docx", "A 56932-2024")</f>
        <v/>
      </c>
    </row>
    <row r="8" ht="15" customHeight="1">
      <c r="A8" t="inlineStr">
        <is>
          <t>A 55899-2023</t>
        </is>
      </c>
      <c r="B8" t="inlineStr">
        <is>
          <t>avverkningsanmälan</t>
        </is>
      </c>
      <c r="C8" t="inlineStr">
        <is>
          <t>Föryngringsavverkning</t>
        </is>
      </c>
      <c r="D8" s="1" t="n">
        <v>45239</v>
      </c>
      <c r="E8" s="1" t="n">
        <v>46216</v>
      </c>
      <c r="F8" t="inlineStr">
        <is>
          <t>DALARNAS LÄN</t>
        </is>
      </c>
      <c r="G8" t="inlineStr">
        <is>
          <t>HEDEMORA</t>
        </is>
      </c>
      <c r="I8" t="n">
        <v>6.9</v>
      </c>
      <c r="J8" t="n">
        <v>5</v>
      </c>
      <c r="K8" t="n">
        <v>4</v>
      </c>
      <c r="L8" t="n">
        <v>7</v>
      </c>
      <c r="M8" t="n">
        <v>2</v>
      </c>
      <c r="N8" t="n">
        <v>0</v>
      </c>
      <c r="O8" t="n">
        <v>0</v>
      </c>
      <c r="P8" t="n">
        <v>0</v>
      </c>
      <c r="Q8" t="n">
        <v>9</v>
      </c>
      <c r="R8" t="n">
        <v>2</v>
      </c>
      <c r="S8" t="n">
        <v>16</v>
      </c>
      <c r="T8" t="n">
        <v>71</v>
      </c>
      <c r="U8" s="2" t="inlineStr">
        <is>
          <t>Garnlav
Knärot
Dropptaggsvamp
Kattfotslav
Stjärntagging
Tallticka
Tretåig hackspett
Ullticka
Vedtrappmossa
Bollvitmossa
Bronshjon
Vedticka
Vågbandad barkbock
Spillkråka
Tjäder
Revlummer</t>
        </is>
      </c>
      <c r="V8">
        <f>HYPERLINK("https://klasma.github.io/Logging_2083/artfynd/A 55899-2023 artfynd.xlsx", "A 55899-2023")</f>
        <v/>
      </c>
      <c r="W8">
        <f>HYPERLINK("https://klasma.github.io/Logging_2083/kartor/A 55899-2023 karta.png", "A 55899-2023")</f>
        <v/>
      </c>
      <c r="X8">
        <f>HYPERLINK("https://klasma.github.io/Logging_2083/knärot/A 55899-2023 karta knärot.png", "A 55899-2023")</f>
        <v/>
      </c>
      <c r="Y8">
        <f>HYPERLINK("https://klasma.github.io/Logging_2083/klagomål/A 55899-2023 FSC-klagomål.docx", "A 55899-2023")</f>
        <v/>
      </c>
      <c r="Z8">
        <f>HYPERLINK("https://klasma.github.io/Logging_2083/klagomålsmail/A 55899-2023 FSC-klagomål mail.docx", "A 55899-2023")</f>
        <v/>
      </c>
      <c r="AA8">
        <f>HYPERLINK("https://klasma.github.io/Logging_2083/tillsyn/A 55899-2023 tillsynsbegäran.docx", "A 55899-2023")</f>
        <v/>
      </c>
      <c r="AB8">
        <f>HYPERLINK("https://klasma.github.io/Logging_2083/tillsynsmail/A 55899-2023 tillsynsbegäran mail.docx", "A 55899-2023")</f>
        <v/>
      </c>
      <c r="AC8">
        <f>HYPERLINK("https://klasma.github.io/Logging_2083/fåglar/A 55899-2023 prioriterade fågelarter.docx", "A 55899-2023")</f>
        <v/>
      </c>
    </row>
    <row r="9" ht="15" customHeight="1">
      <c r="A9" t="inlineStr">
        <is>
          <t>A 34930-2024</t>
        </is>
      </c>
      <c r="B9" t="inlineStr">
        <is>
          <t>avverkningsanmälan</t>
        </is>
      </c>
      <c r="C9" t="inlineStr">
        <is>
          <t>Föryngringsavverkning</t>
        </is>
      </c>
      <c r="D9" s="1" t="n">
        <v>45527</v>
      </c>
      <c r="E9" s="1" t="n">
        <v>46216</v>
      </c>
      <c r="F9" t="inlineStr">
        <is>
          <t>DALARNAS LÄN</t>
        </is>
      </c>
      <c r="G9" t="inlineStr">
        <is>
          <t>HEDEMORA</t>
        </is>
      </c>
      <c r="H9" t="inlineStr">
        <is>
          <t>Sveaskog</t>
        </is>
      </c>
      <c r="I9" t="n">
        <v>6.1</v>
      </c>
      <c r="J9" t="n">
        <v>3</v>
      </c>
      <c r="K9" t="n">
        <v>3</v>
      </c>
      <c r="L9" t="n">
        <v>6</v>
      </c>
      <c r="M9" t="n">
        <v>3</v>
      </c>
      <c r="N9" t="n">
        <v>0</v>
      </c>
      <c r="O9" t="n">
        <v>0</v>
      </c>
      <c r="P9" t="n">
        <v>0</v>
      </c>
      <c r="Q9" t="n">
        <v>9</v>
      </c>
      <c r="R9" t="n">
        <v>3</v>
      </c>
      <c r="S9" t="n">
        <v>14</v>
      </c>
      <c r="T9" t="n">
        <v>90</v>
      </c>
      <c r="U9" s="2" t="inlineStr">
        <is>
          <t>Gul taggsvamp
Läderdoftande fingersvamp
Taggfingersvamp
Dofttaggsvamp
Fjällig taggsvamp s.str.
Odörspindling
Skarp dropptaggsvamp
Talltita
Ullticka
Anisspindling
Olivspindling
Svavelriska
Blåsippa
Revlummer</t>
        </is>
      </c>
      <c r="V9">
        <f>HYPERLINK("https://klasma.github.io/Logging_2083/artfynd/A 34930-2024 artfynd.xlsx", "A 34930-2024")</f>
        <v/>
      </c>
      <c r="W9">
        <f>HYPERLINK("https://klasma.github.io/Logging_2083/kartor/A 34930-2024 karta.png", "A 34930-2024")</f>
        <v/>
      </c>
      <c r="Y9">
        <f>HYPERLINK("https://klasma.github.io/Logging_2083/klagomål/A 34930-2024 FSC-klagomål.docx", "A 34930-2024")</f>
        <v/>
      </c>
      <c r="Z9">
        <f>HYPERLINK("https://klasma.github.io/Logging_2083/klagomålsmail/A 34930-2024 FSC-klagomål mail.docx", "A 34930-2024")</f>
        <v/>
      </c>
      <c r="AA9">
        <f>HYPERLINK("https://klasma.github.io/Logging_2083/tillsyn/A 34930-2024 tillsynsbegäran.docx", "A 34930-2024")</f>
        <v/>
      </c>
      <c r="AB9">
        <f>HYPERLINK("https://klasma.github.io/Logging_2083/tillsynsmail/A 34930-2024 tillsynsbegäran mail.docx", "A 34930-2024")</f>
        <v/>
      </c>
      <c r="AC9">
        <f>HYPERLINK("https://klasma.github.io/Logging_2083/fåglar/A 34930-2024 prioriterade fågelarter.docx", "A 34930-2024")</f>
        <v/>
      </c>
    </row>
    <row r="10" ht="15" customHeight="1">
      <c r="A10" t="inlineStr">
        <is>
          <t>A 1455-2026</t>
        </is>
      </c>
      <c r="B10" t="inlineStr">
        <is>
          <t>avverkningsanmälan</t>
        </is>
      </c>
      <c r="C10" t="inlineStr">
        <is>
          <t>Föryngringsavverkning</t>
        </is>
      </c>
      <c r="D10" s="1" t="n">
        <v>46033</v>
      </c>
      <c r="E10" s="1" t="n">
        <v>46216</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s="2" t="inlineStr">
        <is>
          <t>Knärot
Laxporing
Blågrå svartspik
Gropticka
Kortskaftad ärgspik
Talltita
Tretåig hackspett
Ullticka
Vaddporing
Bronshjon
Vedticka
Vågbandad barkbock
Tjäder
Grönsiska</t>
        </is>
      </c>
      <c r="V10">
        <f>HYPERLINK("https://klasma.github.io/Logging_2083/artfynd/A 1455-2026 artfynd.xlsx", "A 1455-2026")</f>
        <v/>
      </c>
      <c r="W10">
        <f>HYPERLINK("https://klasma.github.io/Logging_2083/kartor/A 1455-2026 karta.png", "A 1455-2026")</f>
        <v/>
      </c>
      <c r="X10">
        <f>HYPERLINK("https://klasma.github.io/Logging_2083/knärot/A 1455-2026 karta knärot.png", "A 1455-2026")</f>
        <v/>
      </c>
      <c r="Y10">
        <f>HYPERLINK("https://klasma.github.io/Logging_2083/klagomål/A 1455-2026 FSC-klagomål.docx", "A 1455-2026")</f>
        <v/>
      </c>
      <c r="Z10">
        <f>HYPERLINK("https://klasma.github.io/Logging_2083/klagomålsmail/A 1455-2026 FSC-klagomål mail.docx", "A 1455-2026")</f>
        <v/>
      </c>
      <c r="AA10">
        <f>HYPERLINK("https://klasma.github.io/Logging_2083/tillsyn/A 1455-2026 tillsynsbegäran.docx", "A 1455-2026")</f>
        <v/>
      </c>
      <c r="AB10">
        <f>HYPERLINK("https://klasma.github.io/Logging_2083/tillsynsmail/A 1455-2026 tillsynsbegäran mail.docx", "A 1455-2026")</f>
        <v/>
      </c>
      <c r="AC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46216</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62040-2021 artfynd.xlsx", "A 62040-2021")</f>
        <v/>
      </c>
      <c r="W11">
        <f>HYPERLINK("https://klasma.github.io/Logging_2083/kartor/A 62040-2021 karta.png", "A 62040-2021")</f>
        <v/>
      </c>
      <c r="X11">
        <f>HYPERLINK("https://klasma.github.io/Logging_2083/knärot/A 62040-2021 karta knärot.png", "A 62040-2021")</f>
        <v/>
      </c>
      <c r="Y11">
        <f>HYPERLINK("https://klasma.github.io/Logging_2083/klagomål/A 62040-2021 FSC-klagomål.docx", "A 62040-2021")</f>
        <v/>
      </c>
      <c r="Z11">
        <f>HYPERLINK("https://klasma.github.io/Logging_2083/klagomålsmail/A 62040-2021 FSC-klagomål mail.docx", "A 62040-2021")</f>
        <v/>
      </c>
      <c r="AA11">
        <f>HYPERLINK("https://klasma.github.io/Logging_2083/tillsyn/A 62040-2021 tillsynsbegäran.docx", "A 62040-2021")</f>
        <v/>
      </c>
      <c r="AB11">
        <f>HYPERLINK("https://klasma.github.io/Logging_2083/tillsynsmail/A 62040-2021 tillsynsbegäran mail.docx", "A 62040-2021")</f>
        <v/>
      </c>
      <c r="AC11">
        <f>HYPERLINK("https://klasma.github.io/Logging_2083/fåglar/A 62040-2021 prioriterade fågelarter.docx", "A 62040-2021")</f>
        <v/>
      </c>
    </row>
    <row r="12" ht="15" customHeight="1">
      <c r="A12" t="inlineStr">
        <is>
          <t>S 2840-2025</t>
        </is>
      </c>
      <c r="B12" t="inlineStr">
        <is>
          <t>samrådsanmälan</t>
        </is>
      </c>
      <c r="C12" t="inlineStr">
        <is>
          <t>Annan skogsbruksåtgärd</t>
        </is>
      </c>
      <c r="D12" s="1" t="n">
        <v>45940</v>
      </c>
      <c r="E12" s="1" t="n">
        <v>46216</v>
      </c>
      <c r="F12" t="inlineStr">
        <is>
          <t>DALARNAS LÄN</t>
        </is>
      </c>
      <c r="G12" t="inlineStr">
        <is>
          <t>HEDEMORA</t>
        </is>
      </c>
      <c r="H12" t="inlineStr">
        <is>
          <t>Bergvik skog väst AB</t>
        </is>
      </c>
      <c r="I12" t="n">
        <v>6.7</v>
      </c>
      <c r="J12" t="n">
        <v>6</v>
      </c>
      <c r="K12" t="n">
        <v>2</v>
      </c>
      <c r="L12" t="n">
        <v>7</v>
      </c>
      <c r="M12" t="n">
        <v>2</v>
      </c>
      <c r="N12" t="n">
        <v>0</v>
      </c>
      <c r="O12" t="n">
        <v>0</v>
      </c>
      <c r="P12" t="n">
        <v>0</v>
      </c>
      <c r="Q12" t="n">
        <v>9</v>
      </c>
      <c r="R12" t="n">
        <v>2</v>
      </c>
      <c r="S12" t="n">
        <v>14</v>
      </c>
      <c r="T12" t="n">
        <v>55</v>
      </c>
      <c r="U12" s="2" t="inlineStr">
        <is>
          <t>Berguv
Lakritsmusseron
Dropptaggsvamp
Motaggsvamp
Sotvaxskivling
Tallfingersvamp
Tallticka
Talltita
Tretåig hackspett
Blomkålssvamp
Mindre märgborre
Nattskärra
Spillkråka
Kråka</t>
        </is>
      </c>
      <c r="V12">
        <f>HYPERLINK("https://klasma.github.io/Logging_2083/artfynd/S 2840-2025 artfynd.xlsx", "S 2840-2025")</f>
        <v/>
      </c>
      <c r="W12">
        <f>HYPERLINK("https://klasma.github.io/Logging_2083/kartor/S 2840-2025 karta.png", "S 2840-2025")</f>
        <v/>
      </c>
      <c r="Y12">
        <f>HYPERLINK("https://klasma.github.io/Logging_2083/klagomål/S 2840-2025 FSC-klagomål.docx", "S 2840-2025")</f>
        <v/>
      </c>
      <c r="Z12">
        <f>HYPERLINK("https://klasma.github.io/Logging_2083/klagomålsmail/S 2840-2025 FSC-klagomål mail.docx", "S 2840-2025")</f>
        <v/>
      </c>
      <c r="AA12">
        <f>HYPERLINK("https://klasma.github.io/Logging_2083/tillsyn/S 2840-2025 tillsynsbegäran.docx", "S 2840-2025")</f>
        <v/>
      </c>
      <c r="AB12">
        <f>HYPERLINK("https://klasma.github.io/Logging_2083/tillsynsmail/S 2840-2025 tillsynsbegäran mail.docx", "S 2840-2025")</f>
        <v/>
      </c>
      <c r="AC12">
        <f>HYPERLINK("https://klasma.github.io/Logging_2083/fåglar/S 2840-2025 prioriterade fågelarter.docx", "S 2840-2025")</f>
        <v/>
      </c>
    </row>
    <row r="13" ht="15" customHeight="1">
      <c r="A13" t="inlineStr">
        <is>
          <t>A 34929-2024</t>
        </is>
      </c>
      <c r="B13" t="inlineStr">
        <is>
          <t>avverkningsanmälan</t>
        </is>
      </c>
      <c r="C13" t="inlineStr">
        <is>
          <t>Föryngringsavverkning</t>
        </is>
      </c>
      <c r="D13" s="1" t="n">
        <v>45527</v>
      </c>
      <c r="E13" s="1" t="n">
        <v>46216</v>
      </c>
      <c r="F13" t="inlineStr">
        <is>
          <t>DALARNAS LÄN</t>
        </is>
      </c>
      <c r="G13" t="inlineStr">
        <is>
          <t>HEDEMORA</t>
        </is>
      </c>
      <c r="H13" t="inlineStr">
        <is>
          <t>Sveaskog</t>
        </is>
      </c>
      <c r="I13" t="n">
        <v>5.1</v>
      </c>
      <c r="J13" t="n">
        <v>2</v>
      </c>
      <c r="K13" t="n">
        <v>5</v>
      </c>
      <c r="L13" t="n">
        <v>2</v>
      </c>
      <c r="M13" t="n">
        <v>1</v>
      </c>
      <c r="N13" t="n">
        <v>2</v>
      </c>
      <c r="O13" t="n">
        <v>0</v>
      </c>
      <c r="P13" t="n">
        <v>0</v>
      </c>
      <c r="Q13" t="n">
        <v>5</v>
      </c>
      <c r="R13" t="n">
        <v>3</v>
      </c>
      <c r="S13" t="n">
        <v>12</v>
      </c>
      <c r="T13" t="n">
        <v>31</v>
      </c>
      <c r="U13" s="2" t="inlineStr">
        <is>
          <t>Sammetstaggsvamp
Violgubbe
Gul taggsvamp
Dofttaggsvamp
Gultoppig fingersvamp
Olivspindling
Rödgul trumpetsvamp
Skogsknipprot
Svart trolldruva
Svavelriska
Blåsippa
Svarta vinbär</t>
        </is>
      </c>
      <c r="V13">
        <f>HYPERLINK("https://klasma.github.io/Logging_2083/artfynd/A 34929-2024 artfynd.xlsx", "A 34929-2024")</f>
        <v/>
      </c>
      <c r="W13">
        <f>HYPERLINK("https://klasma.github.io/Logging_2083/kartor/A 34929-2024 karta.png", "A 34929-2024")</f>
        <v/>
      </c>
      <c r="Y13">
        <f>HYPERLINK("https://klasma.github.io/Logging_2083/klagomål/A 34929-2024 FSC-klagomål.docx", "A 34929-2024")</f>
        <v/>
      </c>
      <c r="Z13">
        <f>HYPERLINK("https://klasma.github.io/Logging_2083/klagomålsmail/A 34929-2024 FSC-klagomål mail.docx", "A 34929-2024")</f>
        <v/>
      </c>
      <c r="AA13">
        <f>HYPERLINK("https://klasma.github.io/Logging_2083/tillsyn/A 34929-2024 tillsynsbegäran.docx", "A 34929-2024")</f>
        <v/>
      </c>
      <c r="AB13">
        <f>HYPERLINK("https://klasma.github.io/Logging_2083/tillsynsmail/A 34929-2024 tillsynsbegäran mail.docx", "A 34929-2024")</f>
        <v/>
      </c>
    </row>
    <row r="14" ht="15" customHeight="1">
      <c r="A14" t="inlineStr">
        <is>
          <t>A 54120-2024</t>
        </is>
      </c>
      <c r="B14" t="inlineStr">
        <is>
          <t>avverkningsanmälan</t>
        </is>
      </c>
      <c r="C14" t="inlineStr">
        <is>
          <t>Föryngringsavverkning</t>
        </is>
      </c>
      <c r="D14" s="1" t="n">
        <v>45616</v>
      </c>
      <c r="E14" s="1" t="n">
        <v>46216</v>
      </c>
      <c r="F14" t="inlineStr">
        <is>
          <t>DALARNAS LÄN</t>
        </is>
      </c>
      <c r="G14" t="inlineStr">
        <is>
          <t>HEDEMORA</t>
        </is>
      </c>
      <c r="I14" t="n">
        <v>7.7</v>
      </c>
      <c r="J14" t="n">
        <v>1</v>
      </c>
      <c r="K14" t="n">
        <v>3</v>
      </c>
      <c r="L14" t="n">
        <v>5</v>
      </c>
      <c r="M14" t="n">
        <v>3</v>
      </c>
      <c r="N14" t="n">
        <v>0</v>
      </c>
      <c r="O14" t="n">
        <v>0</v>
      </c>
      <c r="P14" t="n">
        <v>0</v>
      </c>
      <c r="Q14" t="n">
        <v>8</v>
      </c>
      <c r="R14" t="n">
        <v>3</v>
      </c>
      <c r="S14" t="n">
        <v>11</v>
      </c>
      <c r="T14" t="n">
        <v>22</v>
      </c>
      <c r="U14" s="2" t="inlineStr">
        <is>
          <t>Grangråticka
Gul taggsvamp
Knärot
Dofttaggsvamp
Fjällig taggsvamp s.str.
Rosenticka
Rynkskinn
Ullticka
Diskvaxskivling
Svavelriska
Trådticka</t>
        </is>
      </c>
      <c r="V14">
        <f>HYPERLINK("https://klasma.github.io/Logging_2083/artfynd/A 54120-2024 artfynd.xlsx", "A 54120-2024")</f>
        <v/>
      </c>
      <c r="W14">
        <f>HYPERLINK("https://klasma.github.io/Logging_2083/kartor/A 54120-2024 karta.png", "A 54120-2024")</f>
        <v/>
      </c>
      <c r="X14">
        <f>HYPERLINK("https://klasma.github.io/Logging_2083/knärot/A 54120-2024 karta knärot.png", "A 54120-2024")</f>
        <v/>
      </c>
      <c r="Y14">
        <f>HYPERLINK("https://klasma.github.io/Logging_2083/klagomål/A 54120-2024 FSC-klagomål.docx", "A 54120-2024")</f>
        <v/>
      </c>
      <c r="Z14">
        <f>HYPERLINK("https://klasma.github.io/Logging_2083/klagomålsmail/A 54120-2024 FSC-klagomål mail.docx", "A 54120-2024")</f>
        <v/>
      </c>
      <c r="AA14">
        <f>HYPERLINK("https://klasma.github.io/Logging_2083/tillsyn/A 54120-2024 tillsynsbegäran.docx", "A 54120-2024")</f>
        <v/>
      </c>
      <c r="AB14">
        <f>HYPERLINK("https://klasma.github.io/Logging_2083/tillsynsmail/A 54120-2024 tillsynsbegäran mail.docx", "A 54120-2024")</f>
        <v/>
      </c>
    </row>
    <row r="15" ht="15" customHeight="1">
      <c r="A15" t="inlineStr">
        <is>
          <t>A 45277-2025</t>
        </is>
      </c>
      <c r="B15" t="inlineStr">
        <is>
          <t>avverkningsanmälan</t>
        </is>
      </c>
      <c r="C15" t="inlineStr">
        <is>
          <t>Föryngringsavverkning</t>
        </is>
      </c>
      <c r="D15" s="1" t="n">
        <v>45919</v>
      </c>
      <c r="E15" s="1" t="n">
        <v>46216</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s="2" t="inlineStr">
        <is>
          <t>Knärot
Kopparspindling
Rostskinn
Fjällig taggsvamp s.str.
Rödfläckig zontaggsvamp
Talltita
Ullticka
Bronshjon
Blåsippa
Mattlummer
Spillkråka</t>
        </is>
      </c>
      <c r="V15">
        <f>HYPERLINK("https://klasma.github.io/Logging_2083/artfynd/A 45277-2025 artfynd.xlsx", "A 45277-2025")</f>
        <v/>
      </c>
      <c r="W15">
        <f>HYPERLINK("https://klasma.github.io/Logging_2083/kartor/A 45277-2025 karta.png", "A 45277-2025")</f>
        <v/>
      </c>
      <c r="X15">
        <f>HYPERLINK("https://klasma.github.io/Logging_2083/knärot/A 45277-2025 karta knärot.png", "A 45277-2025")</f>
        <v/>
      </c>
      <c r="Y15">
        <f>HYPERLINK("https://klasma.github.io/Logging_2083/klagomål/A 45277-2025 FSC-klagomål.docx", "A 45277-2025")</f>
        <v/>
      </c>
      <c r="Z15">
        <f>HYPERLINK("https://klasma.github.io/Logging_2083/klagomålsmail/A 45277-2025 FSC-klagomål mail.docx", "A 45277-2025")</f>
        <v/>
      </c>
      <c r="AA15">
        <f>HYPERLINK("https://klasma.github.io/Logging_2083/tillsyn/A 45277-2025 tillsynsbegäran.docx", "A 45277-2025")</f>
        <v/>
      </c>
      <c r="AB15">
        <f>HYPERLINK("https://klasma.github.io/Logging_2083/tillsynsmail/A 45277-2025 tillsynsbegäran mail.docx", "A 45277-2025")</f>
        <v/>
      </c>
      <c r="AC15">
        <f>HYPERLINK("https://klasma.github.io/Logging_2083/fåglar/A 45277-2025 prioriterade fågelarter.docx", "A 45277-2025")</f>
        <v/>
      </c>
    </row>
    <row r="16" ht="15" customHeight="1">
      <c r="A16" t="inlineStr">
        <is>
          <t>S 1363-2026</t>
        </is>
      </c>
      <c r="B16" t="inlineStr">
        <is>
          <t>samrådsanmälan</t>
        </is>
      </c>
      <c r="C16" t="inlineStr">
        <is>
          <t>Annan skogsbruksåtgärd</t>
        </is>
      </c>
      <c r="D16" s="1" t="n">
        <v>46150</v>
      </c>
      <c r="E16" s="1" t="n">
        <v>46216</v>
      </c>
      <c r="F16" t="inlineStr">
        <is>
          <t>DALARNAS LÄN</t>
        </is>
      </c>
      <c r="G16" t="inlineStr">
        <is>
          <t>HEDEMORA</t>
        </is>
      </c>
      <c r="I16" t="n">
        <v>6.9</v>
      </c>
      <c r="J16" t="n">
        <v>1</v>
      </c>
      <c r="K16" t="n">
        <v>3</v>
      </c>
      <c r="L16" t="n">
        <v>5</v>
      </c>
      <c r="M16" t="n">
        <v>3</v>
      </c>
      <c r="N16" t="n">
        <v>0</v>
      </c>
      <c r="O16" t="n">
        <v>0</v>
      </c>
      <c r="P16" t="n">
        <v>0</v>
      </c>
      <c r="Q16" t="n">
        <v>8</v>
      </c>
      <c r="R16" t="n">
        <v>3</v>
      </c>
      <c r="S16" t="n">
        <v>11</v>
      </c>
      <c r="T16" t="n">
        <v>22</v>
      </c>
      <c r="U16" s="2" t="inlineStr">
        <is>
          <t>Grangråticka
Gul taggsvamp
Knärot
Dofttaggsvamp
Fjällig taggsvamp s.str.
Rosenticka
Rynkskinn
Ullticka
Diskvaxskivling
Svavelriska
Trådticka</t>
        </is>
      </c>
      <c r="V16">
        <f>HYPERLINK("https://klasma.github.io/Logging_2083/artfynd/S 1363-2026 artfynd.xlsx", "S 1363-2026")</f>
        <v/>
      </c>
      <c r="W16">
        <f>HYPERLINK("https://klasma.github.io/Logging_2083/kartor/S 1363-2026 karta.png", "S 1363-2026")</f>
        <v/>
      </c>
      <c r="X16">
        <f>HYPERLINK("https://klasma.github.io/Logging_2083/knärot/S 1363-2026 karta knärot.png", "S 1363-2026")</f>
        <v/>
      </c>
      <c r="Y16">
        <f>HYPERLINK("https://klasma.github.io/Logging_2083/klagomål/S 1363-2026 FSC-klagomål.docx", "S 1363-2026")</f>
        <v/>
      </c>
      <c r="Z16">
        <f>HYPERLINK("https://klasma.github.io/Logging_2083/klagomålsmail/S 1363-2026 FSC-klagomål mail.docx", "S 1363-2026")</f>
        <v/>
      </c>
      <c r="AA16">
        <f>HYPERLINK("https://klasma.github.io/Logging_2083/tillsyn/S 1363-2026 tillsynsbegäran.docx", "S 1363-2026")</f>
        <v/>
      </c>
      <c r="AB16">
        <f>HYPERLINK("https://klasma.github.io/Logging_2083/tillsynsmail/S 1363-2026 tillsynsbegäran mail.docx", "S 1363-2026")</f>
        <v/>
      </c>
    </row>
    <row r="17" ht="15" customHeight="1">
      <c r="A17" t="inlineStr">
        <is>
          <t>A 38724-2025</t>
        </is>
      </c>
      <c r="B17" t="inlineStr">
        <is>
          <t>avverkningsanmälan</t>
        </is>
      </c>
      <c r="C17" t="inlineStr">
        <is>
          <t>Föryngringsavverkning</t>
        </is>
      </c>
      <c r="D17" s="1" t="n">
        <v>45887</v>
      </c>
      <c r="E17" s="1" t="n">
        <v>46216</v>
      </c>
      <c r="F17" t="inlineStr">
        <is>
          <t>DALARNAS LÄN</t>
        </is>
      </c>
      <c r="G17" t="inlineStr">
        <is>
          <t>HEDEMORA</t>
        </is>
      </c>
      <c r="I17" t="n">
        <v>5</v>
      </c>
      <c r="J17" t="n">
        <v>0</v>
      </c>
      <c r="K17" t="n">
        <v>4</v>
      </c>
      <c r="L17" t="n">
        <v>4</v>
      </c>
      <c r="M17" t="n">
        <v>2</v>
      </c>
      <c r="N17" t="n">
        <v>0</v>
      </c>
      <c r="O17" t="n">
        <v>0</v>
      </c>
      <c r="P17" t="n">
        <v>0</v>
      </c>
      <c r="Q17" t="n">
        <v>6</v>
      </c>
      <c r="R17" t="n">
        <v>2</v>
      </c>
      <c r="S17" t="n">
        <v>10</v>
      </c>
      <c r="T17" t="n">
        <v>24</v>
      </c>
      <c r="U17" s="2" t="inlineStr">
        <is>
          <t>Gul taggsvamp
Läderdoftande fingersvamp
Fjällig taggsvamp s.str.
Odörspindling
Skarp dropptaggsvamp
Sotvaxskivling
Diskvaxskivling
Olivspindling
Strimspindling
Svavelriska</t>
        </is>
      </c>
      <c r="V17">
        <f>HYPERLINK("https://klasma.github.io/Logging_2083/artfynd/A 38724-2025 artfynd.xlsx", "A 38724-2025")</f>
        <v/>
      </c>
      <c r="W17">
        <f>HYPERLINK("https://klasma.github.io/Logging_2083/kartor/A 38724-2025 karta.png", "A 38724-2025")</f>
        <v/>
      </c>
      <c r="Y17">
        <f>HYPERLINK("https://klasma.github.io/Logging_2083/klagomål/A 38724-2025 FSC-klagomål.docx", "A 38724-2025")</f>
        <v/>
      </c>
      <c r="Z17">
        <f>HYPERLINK("https://klasma.github.io/Logging_2083/klagomålsmail/A 38724-2025 FSC-klagomål mail.docx", "A 38724-2025")</f>
        <v/>
      </c>
      <c r="AA17">
        <f>HYPERLINK("https://klasma.github.io/Logging_2083/tillsyn/A 38724-2025 tillsynsbegäran.docx", "A 38724-2025")</f>
        <v/>
      </c>
      <c r="AB17">
        <f>HYPERLINK("https://klasma.github.io/Logging_2083/tillsynsmail/A 38724-2025 tillsynsbegäran mail.docx", "A 38724-2025")</f>
        <v/>
      </c>
    </row>
    <row r="18" ht="15" customHeight="1">
      <c r="A18" t="inlineStr">
        <is>
          <t>A 34928-2024</t>
        </is>
      </c>
      <c r="B18" t="inlineStr">
        <is>
          <t>avverkningsanmälan</t>
        </is>
      </c>
      <c r="C18" t="inlineStr">
        <is>
          <t>Föryngringsavverkning</t>
        </is>
      </c>
      <c r="D18" s="1" t="n">
        <v>45527</v>
      </c>
      <c r="E18" s="1" t="n">
        <v>46216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s="2" t="inlineStr">
        <is>
          <t>Sammetstaggsvamp
Violgubbe
Gul taggsvamp
Dofttaggsvamp
Gultoppig fingersvamp
Puderspindling
Olivspindling
Svavelriska
Blåsippa
Spillkråka</t>
        </is>
      </c>
      <c r="V18">
        <f>HYPERLINK("https://klasma.github.io/Logging_2083/artfynd/A 34928-2024 artfynd.xlsx", "A 34928-2024")</f>
        <v/>
      </c>
      <c r="W18">
        <f>HYPERLINK("https://klasma.github.io/Logging_2083/kartor/A 34928-2024 karta.png", "A 34928-2024")</f>
        <v/>
      </c>
      <c r="Y18">
        <f>HYPERLINK("https://klasma.github.io/Logging_2083/klagomål/A 34928-2024 FSC-klagomål.docx", "A 34928-2024")</f>
        <v/>
      </c>
      <c r="Z18">
        <f>HYPERLINK("https://klasma.github.io/Logging_2083/klagomålsmail/A 34928-2024 FSC-klagomål mail.docx", "A 34928-2024")</f>
        <v/>
      </c>
      <c r="AA18">
        <f>HYPERLINK("https://klasma.github.io/Logging_2083/tillsyn/A 34928-2024 tillsynsbegäran.docx", "A 34928-2024")</f>
        <v/>
      </c>
      <c r="AB18">
        <f>HYPERLINK("https://klasma.github.io/Logging_2083/tillsynsmail/A 34928-2024 tillsynsbegäran mail.docx", "A 34928-2024")</f>
        <v/>
      </c>
      <c r="AC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46216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s="2" t="inlineStr">
        <is>
          <t>Knärot
Ulltickeporing
Talltita
Ullticka
Björksplintborre
Bronshjon
Thomsons trägnagare
Vedticka
Spillkråka
Revlummer</t>
        </is>
      </c>
      <c r="V19">
        <f>HYPERLINK("https://klasma.github.io/Logging_2083/artfynd/A 10669-2026 artfynd.xlsx", "A 10669-2026")</f>
        <v/>
      </c>
      <c r="W19">
        <f>HYPERLINK("https://klasma.github.io/Logging_2083/kartor/A 10669-2026 karta.png", "A 10669-2026")</f>
        <v/>
      </c>
      <c r="X19">
        <f>HYPERLINK("https://klasma.github.io/Logging_2083/knärot/A 10669-2026 karta knärot.png", "A 10669-2026")</f>
        <v/>
      </c>
      <c r="Y19">
        <f>HYPERLINK("https://klasma.github.io/Logging_2083/klagomål/A 10669-2026 FSC-klagomål.docx", "A 10669-2026")</f>
        <v/>
      </c>
      <c r="Z19">
        <f>HYPERLINK("https://klasma.github.io/Logging_2083/klagomålsmail/A 10669-2026 FSC-klagomål mail.docx", "A 10669-2026")</f>
        <v/>
      </c>
      <c r="AA19">
        <f>HYPERLINK("https://klasma.github.io/Logging_2083/tillsyn/A 10669-2026 tillsynsbegäran.docx", "A 10669-2026")</f>
        <v/>
      </c>
      <c r="AB19">
        <f>HYPERLINK("https://klasma.github.io/Logging_2083/tillsynsmail/A 10669-2026 tillsynsbegäran mail.docx", "A 10669-2026")</f>
        <v/>
      </c>
      <c r="AC19">
        <f>HYPERLINK("https://klasma.github.io/Logging_2083/fåglar/A 10669-2026 prioriterade fågelarter.docx", "A 10669-2026")</f>
        <v/>
      </c>
    </row>
    <row r="20" ht="15" customHeight="1">
      <c r="A20" t="inlineStr">
        <is>
          <t>A 25923-2026</t>
        </is>
      </c>
      <c r="B20" t="inlineStr">
        <is>
          <t>avverkningsanmälan</t>
        </is>
      </c>
      <c r="C20" t="inlineStr">
        <is>
          <t>Föryngringsavverkning</t>
        </is>
      </c>
      <c r="D20" s="1" t="n">
        <v>46178</v>
      </c>
      <c r="E20" s="1" t="n">
        <v>46216</v>
      </c>
      <c r="F20" t="inlineStr">
        <is>
          <t>DALARNAS LÄN</t>
        </is>
      </c>
      <c r="G20" t="inlineStr">
        <is>
          <t>HEDEMORA</t>
        </is>
      </c>
      <c r="H20" t="inlineStr">
        <is>
          <t>Sveaskog</t>
        </is>
      </c>
      <c r="I20" t="n">
        <v>1.8</v>
      </c>
      <c r="J20" t="n">
        <v>1</v>
      </c>
      <c r="K20" t="n">
        <v>6</v>
      </c>
      <c r="L20" t="n">
        <v>2</v>
      </c>
      <c r="M20" t="n">
        <v>1</v>
      </c>
      <c r="N20" t="n">
        <v>0</v>
      </c>
      <c r="O20" t="n">
        <v>0</v>
      </c>
      <c r="P20" t="n">
        <v>0</v>
      </c>
      <c r="Q20" t="n">
        <v>3</v>
      </c>
      <c r="R20" t="n">
        <v>1</v>
      </c>
      <c r="S20" t="n">
        <v>9</v>
      </c>
      <c r="T20" t="n">
        <v>24</v>
      </c>
      <c r="U20" s="2" t="inlineStr">
        <is>
          <t>Knärot
Ullticka
Vedtrappmossa
Björksplintborre
Bollvitmossa
Bronshjon
Rävticka
Svavelriska
Vedticka</t>
        </is>
      </c>
      <c r="V20">
        <f>HYPERLINK("https://klasma.github.io/Logging_2083/artfynd/A 25923-2026 artfynd.xlsx", "A 25923-2026")</f>
        <v/>
      </c>
      <c r="W20">
        <f>HYPERLINK("https://klasma.github.io/Logging_2083/kartor/A 25923-2026 karta.png", "A 25923-2026")</f>
        <v/>
      </c>
      <c r="X20">
        <f>HYPERLINK("https://klasma.github.io/Logging_2083/knärot/A 25923-2026 karta knärot.png", "A 25923-2026")</f>
        <v/>
      </c>
      <c r="Y20">
        <f>HYPERLINK("https://klasma.github.io/Logging_2083/klagomål/A 25923-2026 FSC-klagomål.docx", "A 25923-2026")</f>
        <v/>
      </c>
      <c r="Z20">
        <f>HYPERLINK("https://klasma.github.io/Logging_2083/klagomålsmail/A 25923-2026 FSC-klagomål mail.docx", "A 25923-2026")</f>
        <v/>
      </c>
      <c r="AA20">
        <f>HYPERLINK("https://klasma.github.io/Logging_2083/tillsyn/A 25923-2026 tillsynsbegäran.docx", "A 25923-2026")</f>
        <v/>
      </c>
      <c r="AB20">
        <f>HYPERLINK("https://klasma.github.io/Logging_2083/tillsynsmail/A 25923-2026 tillsynsbegäran mail.docx", "A 25923-2026")</f>
        <v/>
      </c>
    </row>
    <row r="21" ht="15" customHeight="1">
      <c r="A21" t="inlineStr">
        <is>
          <t>A 63851-2025</t>
        </is>
      </c>
      <c r="B21" t="inlineStr">
        <is>
          <t>avverkningsanmälan</t>
        </is>
      </c>
      <c r="C21" t="inlineStr">
        <is>
          <t>Föryngringsavverkning</t>
        </is>
      </c>
      <c r="D21" s="1" t="n">
        <v>46020</v>
      </c>
      <c r="E21" s="1" t="n">
        <v>46216</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HYPERLINK("https://klasma.github.io/Logging_2083/knärot/A 63851-2025 karta knärot.png", "A 63851-2025")</f>
        <v/>
      </c>
      <c r="Y21">
        <f>HYPERLINK("https://klasma.github.io/Logging_2083/klagomål/A 63851-2025 FSC-klagomål.docx", "A 63851-2025")</f>
        <v/>
      </c>
      <c r="Z21">
        <f>HYPERLINK("https://klasma.github.io/Logging_2083/klagomålsmail/A 63851-2025 FSC-klagomål mail.docx", "A 63851-2025")</f>
        <v/>
      </c>
      <c r="AA21">
        <f>HYPERLINK("https://klasma.github.io/Logging_2083/tillsyn/A 63851-2025 tillsynsbegäran.docx", "A 63851-2025")</f>
        <v/>
      </c>
      <c r="AB21">
        <f>HYPERLINK("https://klasma.github.io/Logging_2083/tillsynsmail/A 63851-2025 tillsynsbegäran mail.docx", "A 63851-2025")</f>
        <v/>
      </c>
      <c r="AC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46216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s="2" t="inlineStr">
        <is>
          <t>Knärot
Ullticka
Skogshakmossa
Svavelriska
Thomsons trägnagare
Vågbandad barkbock
Spillkråka
Kungsfågel
Revlummer</t>
        </is>
      </c>
      <c r="V22">
        <f>HYPERLINK("https://klasma.github.io/Logging_2083/artfynd/A 53820-2025 artfynd.xlsx", "A 53820-2025")</f>
        <v/>
      </c>
      <c r="W22">
        <f>HYPERLINK("https://klasma.github.io/Logging_2083/kartor/A 53820-2025 karta.png", "A 53820-2025")</f>
        <v/>
      </c>
      <c r="X22">
        <f>HYPERLINK("https://klasma.github.io/Logging_2083/knärot/A 53820-2025 karta knärot.png", "A 53820-2025")</f>
        <v/>
      </c>
      <c r="Y22">
        <f>HYPERLINK("https://klasma.github.io/Logging_2083/klagomål/A 53820-2025 FSC-klagomål.docx", "A 53820-2025")</f>
        <v/>
      </c>
      <c r="Z22">
        <f>HYPERLINK("https://klasma.github.io/Logging_2083/klagomålsmail/A 53820-2025 FSC-klagomål mail.docx", "A 53820-2025")</f>
        <v/>
      </c>
      <c r="AA22">
        <f>HYPERLINK("https://klasma.github.io/Logging_2083/tillsyn/A 53820-2025 tillsynsbegäran.docx", "A 53820-2025")</f>
        <v/>
      </c>
      <c r="AB22">
        <f>HYPERLINK("https://klasma.github.io/Logging_2083/tillsynsmail/A 53820-2025 tillsynsbegäran mail.docx", "A 53820-2025")</f>
        <v/>
      </c>
      <c r="AC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46216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s="2" t="inlineStr">
        <is>
          <t>Knärot
Ullticka
Älg
Bronshjon
Grönpyrola
Plattlummer
Mattlummer
Fläcknycklar
Revlummer</t>
        </is>
      </c>
      <c r="V23">
        <f>HYPERLINK("https://klasma.github.io/Logging_2083/artfynd/S 479-2025 artfynd.xlsx", "S 479-2025")</f>
        <v/>
      </c>
      <c r="W23">
        <f>HYPERLINK("https://klasma.github.io/Logging_2083/kartor/S 479-2025 karta.png", "S 479-2025")</f>
        <v/>
      </c>
      <c r="X23">
        <f>HYPERLINK("https://klasma.github.io/Logging_2083/knärot/S 479-2025 karta knärot.png", "S 479-2025")</f>
        <v/>
      </c>
      <c r="Y23">
        <f>HYPERLINK("https://klasma.github.io/Logging_2083/klagomål/S 479-2025 FSC-klagomål.docx", "S 479-2025")</f>
        <v/>
      </c>
      <c r="Z23">
        <f>HYPERLINK("https://klasma.github.io/Logging_2083/klagomålsmail/S 479-2025 FSC-klagomål mail.docx", "S 479-2025")</f>
        <v/>
      </c>
      <c r="AA23">
        <f>HYPERLINK("https://klasma.github.io/Logging_2083/tillsyn/S 479-2025 tillsynsbegäran.docx", "S 479-2025")</f>
        <v/>
      </c>
      <c r="AB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46216</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s="2" t="inlineStr">
        <is>
          <t>Gyllenspindling
Kattfotslav
Talltita
Bollvitmossa
Gulnål
Rödgul trumpetsvamp
Svavelriska
Spillkråka</t>
        </is>
      </c>
      <c r="V24">
        <f>HYPERLINK("https://klasma.github.io/Logging_2083/artfynd/A 45872-2021 artfynd.xlsx", "A 45872-2021")</f>
        <v/>
      </c>
      <c r="W24">
        <f>HYPERLINK("https://klasma.github.io/Logging_2083/kartor/A 45872-2021 karta.png", "A 45872-2021")</f>
        <v/>
      </c>
      <c r="Y24">
        <f>HYPERLINK("https://klasma.github.io/Logging_2083/klagomål/A 45872-2021 FSC-klagomål.docx", "A 45872-2021")</f>
        <v/>
      </c>
      <c r="Z24">
        <f>HYPERLINK("https://klasma.github.io/Logging_2083/klagomålsmail/A 45872-2021 FSC-klagomål mail.docx", "A 45872-2021")</f>
        <v/>
      </c>
      <c r="AA24">
        <f>HYPERLINK("https://klasma.github.io/Logging_2083/tillsyn/A 45872-2021 tillsynsbegäran.docx", "A 45872-2021")</f>
        <v/>
      </c>
      <c r="AB24">
        <f>HYPERLINK("https://klasma.github.io/Logging_2083/tillsynsmail/A 45872-2021 tillsynsbegäran mail.docx", "A 45872-2021")</f>
        <v/>
      </c>
      <c r="AC24">
        <f>HYPERLINK("https://klasma.github.io/Logging_2083/fåglar/A 45872-2021 prioriterade fågelarter.docx", "A 45872-2021")</f>
        <v/>
      </c>
    </row>
    <row r="25" ht="15" customHeight="1">
      <c r="A25" t="inlineStr">
        <is>
          <t>A 992-2024</t>
        </is>
      </c>
      <c r="B25" t="inlineStr">
        <is>
          <t>avverkningsanmälan</t>
        </is>
      </c>
      <c r="C25" t="inlineStr">
        <is>
          <t>Föryngringsavverkning</t>
        </is>
      </c>
      <c r="D25" s="1" t="n">
        <v>45301</v>
      </c>
      <c r="E25" s="1" t="n">
        <v>46216</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s="2" t="inlineStr">
        <is>
          <t>Aspskinn
Sotvaxskivling
Talltita
Tretåig hackspett
Ullticka
Vårärt
Spillkråka
Tjäder</t>
        </is>
      </c>
      <c r="V25">
        <f>HYPERLINK("https://klasma.github.io/Logging_2083/artfynd/A 992-2024 artfynd.xlsx", "A 992-2024")</f>
        <v/>
      </c>
      <c r="W25">
        <f>HYPERLINK("https://klasma.github.io/Logging_2083/kartor/A 992-2024 karta.png", "A 992-2024")</f>
        <v/>
      </c>
      <c r="Y25">
        <f>HYPERLINK("https://klasma.github.io/Logging_2083/klagomål/A 992-2024 FSC-klagomål.docx", "A 992-2024")</f>
        <v/>
      </c>
      <c r="Z25">
        <f>HYPERLINK("https://klasma.github.io/Logging_2083/klagomålsmail/A 992-2024 FSC-klagomål mail.docx", "A 992-2024")</f>
        <v/>
      </c>
      <c r="AA25">
        <f>HYPERLINK("https://klasma.github.io/Logging_2083/tillsyn/A 992-2024 tillsynsbegäran.docx", "A 992-2024")</f>
        <v/>
      </c>
      <c r="AB25">
        <f>HYPERLINK("https://klasma.github.io/Logging_2083/tillsynsmail/A 992-2024 tillsynsbegäran mail.docx", "A 992-2024")</f>
        <v/>
      </c>
      <c r="AC25">
        <f>HYPERLINK("https://klasma.github.io/Logging_2083/fåglar/A 992-2024 prioriterade fågelarter.docx", "A 992-2024")</f>
        <v/>
      </c>
    </row>
    <row r="26" ht="15" customHeight="1">
      <c r="A26" t="inlineStr">
        <is>
          <t>A 34931-2024</t>
        </is>
      </c>
      <c r="B26" t="inlineStr">
        <is>
          <t>avverkningsanmälan</t>
        </is>
      </c>
      <c r="C26" t="inlineStr">
        <is>
          <t>Föryngringsavverkning</t>
        </is>
      </c>
      <c r="D26" s="1" t="n">
        <v>45527</v>
      </c>
      <c r="E26" s="1" t="n">
        <v>46216</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s="2" t="inlineStr">
        <is>
          <t>Gul taggsvamp
Läderdoftande fingersvamp
Dofttaggsvamp
Fjällig taggsvamp s.str.
Talltita
Olivspindling
Svavelriska
Tibast</t>
        </is>
      </c>
      <c r="V26">
        <f>HYPERLINK("https://klasma.github.io/Logging_2083/artfynd/A 34931-2024 artfynd.xlsx", "A 34931-2024")</f>
        <v/>
      </c>
      <c r="W26">
        <f>HYPERLINK("https://klasma.github.io/Logging_2083/kartor/A 34931-2024 karta.png", "A 34931-2024")</f>
        <v/>
      </c>
      <c r="Y26">
        <f>HYPERLINK("https://klasma.github.io/Logging_2083/klagomål/A 34931-2024 FSC-klagomål.docx", "A 34931-2024")</f>
        <v/>
      </c>
      <c r="Z26">
        <f>HYPERLINK("https://klasma.github.io/Logging_2083/klagomålsmail/A 34931-2024 FSC-klagomål mail.docx", "A 34931-2024")</f>
        <v/>
      </c>
      <c r="AA26">
        <f>HYPERLINK("https://klasma.github.io/Logging_2083/tillsyn/A 34931-2024 tillsynsbegäran.docx", "A 34931-2024")</f>
        <v/>
      </c>
      <c r="AB26">
        <f>HYPERLINK("https://klasma.github.io/Logging_2083/tillsynsmail/A 34931-2024 tillsynsbegäran mail.docx", "A 34931-2024")</f>
        <v/>
      </c>
      <c r="AC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46216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s="2" t="inlineStr">
        <is>
          <t>Grangråticka
Fjällig taggsvamp s.str.
Odörspindling
Persiljespindling
Puderspindling
Olivspindling
Svavelriska</t>
        </is>
      </c>
      <c r="V27">
        <f>HYPERLINK("https://klasma.github.io/Logging_2083/artfynd/A 38725-2025 artfynd.xlsx", "A 38725-2025")</f>
        <v/>
      </c>
      <c r="W27">
        <f>HYPERLINK("https://klasma.github.io/Logging_2083/kartor/A 38725-2025 karta.png", "A 38725-2025")</f>
        <v/>
      </c>
      <c r="Y27">
        <f>HYPERLINK("https://klasma.github.io/Logging_2083/klagomål/A 38725-2025 FSC-klagomål.docx", "A 38725-2025")</f>
        <v/>
      </c>
      <c r="Z27">
        <f>HYPERLINK("https://klasma.github.io/Logging_2083/klagomålsmail/A 38725-2025 FSC-klagomål mail.docx", "A 38725-2025")</f>
        <v/>
      </c>
      <c r="AA27">
        <f>HYPERLINK("https://klasma.github.io/Logging_2083/tillsyn/A 38725-2025 tillsynsbegäran.docx", "A 38725-2025")</f>
        <v/>
      </c>
      <c r="AB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46216</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s="2" t="inlineStr">
        <is>
          <t>Garnlav
Knärot
Talltita
Vedtrappmossa
Bronshjon
Fläcknycklar
Revlummer</t>
        </is>
      </c>
      <c r="V28">
        <f>HYPERLINK("https://klasma.github.io/Logging_2083/artfynd/A 40765-2025 artfynd.xlsx", "A 40765-2025")</f>
        <v/>
      </c>
      <c r="W28">
        <f>HYPERLINK("https://klasma.github.io/Logging_2083/kartor/A 40765-2025 karta.png", "A 40765-2025")</f>
        <v/>
      </c>
      <c r="X28">
        <f>HYPERLINK("https://klasma.github.io/Logging_2083/knärot/A 40765-2025 karta knärot.png", "A 40765-2025")</f>
        <v/>
      </c>
      <c r="Y28">
        <f>HYPERLINK("https://klasma.github.io/Logging_2083/klagomål/A 40765-2025 FSC-klagomål.docx", "A 40765-2025")</f>
        <v/>
      </c>
      <c r="Z28">
        <f>HYPERLINK("https://klasma.github.io/Logging_2083/klagomålsmail/A 40765-2025 FSC-klagomål mail.docx", "A 40765-2025")</f>
        <v/>
      </c>
      <c r="AA28">
        <f>HYPERLINK("https://klasma.github.io/Logging_2083/tillsyn/A 40765-2025 tillsynsbegäran.docx", "A 40765-2025")</f>
        <v/>
      </c>
      <c r="AB28">
        <f>HYPERLINK("https://klasma.github.io/Logging_2083/tillsynsmail/A 40765-2025 tillsynsbegäran mail.docx", "A 40765-2025")</f>
        <v/>
      </c>
      <c r="AC28">
        <f>HYPERLINK("https://klasma.github.io/Logging_2083/fåglar/A 40765-2025 prioriterade fågelarter.docx", "A 40765-2025")</f>
        <v/>
      </c>
    </row>
    <row r="29" ht="15" customHeight="1">
      <c r="A29" t="inlineStr">
        <is>
          <t>A 26431-2024</t>
        </is>
      </c>
      <c r="B29" t="inlineStr">
        <is>
          <t>avverkningsanmälan</t>
        </is>
      </c>
      <c r="C29" t="inlineStr">
        <is>
          <t>Föryngringsavverkning</t>
        </is>
      </c>
      <c r="D29" s="1" t="n">
        <v>45469</v>
      </c>
      <c r="E29" s="1" t="n">
        <v>46216</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s="2" t="inlineStr">
        <is>
          <t>Knärot
Fjällig taggsvamp s.str.
Rynkskinn
Ullticka
Rödgul trumpetsvamp
Svavelriska
Blåsippa</t>
        </is>
      </c>
      <c r="V29">
        <f>HYPERLINK("https://klasma.github.io/Logging_2083/artfynd/A 26431-2024 artfynd.xlsx", "A 26431-2024")</f>
        <v/>
      </c>
      <c r="W29">
        <f>HYPERLINK("https://klasma.github.io/Logging_2083/kartor/A 26431-2024 karta.png", "A 26431-2024")</f>
        <v/>
      </c>
      <c r="X29">
        <f>HYPERLINK("https://klasma.github.io/Logging_2083/knärot/A 26431-2024 karta knärot.png", "A 26431-2024")</f>
        <v/>
      </c>
      <c r="Y29">
        <f>HYPERLINK("https://klasma.github.io/Logging_2083/klagomål/A 26431-2024 FSC-klagomål.docx", "A 26431-2024")</f>
        <v/>
      </c>
      <c r="Z29">
        <f>HYPERLINK("https://klasma.github.io/Logging_2083/klagomålsmail/A 26431-2024 FSC-klagomål mail.docx", "A 26431-2024")</f>
        <v/>
      </c>
      <c r="AA29">
        <f>HYPERLINK("https://klasma.github.io/Logging_2083/tillsyn/A 26431-2024 tillsynsbegäran.docx", "A 26431-2024")</f>
        <v/>
      </c>
      <c r="AB29">
        <f>HYPERLINK("https://klasma.github.io/Logging_2083/tillsynsmail/A 26431-2024 tillsynsbegäran mail.docx", "A 26431-2024")</f>
        <v/>
      </c>
    </row>
    <row r="30" ht="15" customHeight="1">
      <c r="A30" t="inlineStr">
        <is>
          <t>A 58719-2021</t>
        </is>
      </c>
      <c r="B30" t="inlineStr">
        <is>
          <t>avverkningsanmälan</t>
        </is>
      </c>
      <c r="C30" t="inlineStr">
        <is>
          <t>Föryngringsavverkning</t>
        </is>
      </c>
      <c r="D30" s="1" t="n">
        <v>44489</v>
      </c>
      <c r="E30" s="1" t="n">
        <v>46216</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s="2" t="inlineStr">
        <is>
          <t>Knärot
Dropptaggsvamp
Sotvaxskivling
Blomkålssvamp
Bronshjon
Tjäder</t>
        </is>
      </c>
      <c r="V30">
        <f>HYPERLINK("https://klasma.github.io/Logging_2083/artfynd/A 58719-2021 artfynd.xlsx", "A 58719-2021")</f>
        <v/>
      </c>
      <c r="W30">
        <f>HYPERLINK("https://klasma.github.io/Logging_2083/kartor/A 58719-2021 karta.png", "A 58719-2021")</f>
        <v/>
      </c>
      <c r="X30">
        <f>HYPERLINK("https://klasma.github.io/Logging_2083/knärot/A 58719-2021 karta knärot.png", "A 58719-2021")</f>
        <v/>
      </c>
      <c r="Y30">
        <f>HYPERLINK("https://klasma.github.io/Logging_2083/klagomål/A 58719-2021 FSC-klagomål.docx", "A 58719-2021")</f>
        <v/>
      </c>
      <c r="Z30">
        <f>HYPERLINK("https://klasma.github.io/Logging_2083/klagomålsmail/A 58719-2021 FSC-klagomål mail.docx", "A 58719-2021")</f>
        <v/>
      </c>
      <c r="AA30">
        <f>HYPERLINK("https://klasma.github.io/Logging_2083/tillsyn/A 58719-2021 tillsynsbegäran.docx", "A 58719-2021")</f>
        <v/>
      </c>
      <c r="AB30">
        <f>HYPERLINK("https://klasma.github.io/Logging_2083/tillsynsmail/A 58719-2021 tillsynsbegäran mail.docx", "A 58719-2021")</f>
        <v/>
      </c>
      <c r="AC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46216</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s="2" t="inlineStr">
        <is>
          <t>Knärot
Dropptaggsvamp
Blomkålssvamp
Gullgröppa
Tjäder
Slaguggla</t>
        </is>
      </c>
      <c r="V31">
        <f>HYPERLINK("https://klasma.github.io/Logging_2083/artfynd/A 1452-2026 artfynd.xlsx", "A 1452-2026")</f>
        <v/>
      </c>
      <c r="W31">
        <f>HYPERLINK("https://klasma.github.io/Logging_2083/kartor/A 1452-2026 karta.png", "A 1452-2026")</f>
        <v/>
      </c>
      <c r="X31">
        <f>HYPERLINK("https://klasma.github.io/Logging_2083/knärot/A 1452-2026 karta knärot.png", "A 1452-2026")</f>
        <v/>
      </c>
      <c r="Y31">
        <f>HYPERLINK("https://klasma.github.io/Logging_2083/klagomål/A 1452-2026 FSC-klagomål.docx", "A 1452-2026")</f>
        <v/>
      </c>
      <c r="Z31">
        <f>HYPERLINK("https://klasma.github.io/Logging_2083/klagomålsmail/A 1452-2026 FSC-klagomål mail.docx", "A 1452-2026")</f>
        <v/>
      </c>
      <c r="AA31">
        <f>HYPERLINK("https://klasma.github.io/Logging_2083/tillsyn/A 1452-2026 tillsynsbegäran.docx", "A 1452-2026")</f>
        <v/>
      </c>
      <c r="AB31">
        <f>HYPERLINK("https://klasma.github.io/Logging_2083/tillsynsmail/A 1452-2026 tillsynsbegäran mail.docx", "A 1452-2026")</f>
        <v/>
      </c>
      <c r="AC31">
        <f>HYPERLINK("https://klasma.github.io/Logging_2083/fåglar/A 1452-2026 prioriterade fågelarter.docx", "A 1452-2026")</f>
        <v/>
      </c>
    </row>
    <row r="32" ht="15" customHeight="1">
      <c r="A32" t="inlineStr">
        <is>
          <t>A 25878-2026</t>
        </is>
      </c>
      <c r="B32" t="inlineStr">
        <is>
          <t>avverkningsanmälan</t>
        </is>
      </c>
      <c r="C32" t="inlineStr">
        <is>
          <t>Föryngringsavverkning</t>
        </is>
      </c>
      <c r="D32" s="1" t="n">
        <v>46178</v>
      </c>
      <c r="E32" s="1" t="n">
        <v>46216</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s="2" t="inlineStr">
        <is>
          <t>Garnlav
Gränsticka
Sprickporing
Ullticka
Bollvitmossa
Vedticka</t>
        </is>
      </c>
      <c r="V32">
        <f>HYPERLINK("https://klasma.github.io/Logging_2083/artfynd/A 25878-2026 artfynd.xlsx", "A 25878-2026")</f>
        <v/>
      </c>
      <c r="W32">
        <f>HYPERLINK("https://klasma.github.io/Logging_2083/kartor/A 25878-2026 karta.png", "A 25878-2026")</f>
        <v/>
      </c>
      <c r="Y32">
        <f>HYPERLINK("https://klasma.github.io/Logging_2083/klagomål/A 25878-2026 FSC-klagomål.docx", "A 25878-2026")</f>
        <v/>
      </c>
      <c r="Z32">
        <f>HYPERLINK("https://klasma.github.io/Logging_2083/klagomålsmail/A 25878-2026 FSC-klagomål mail.docx", "A 25878-2026")</f>
        <v/>
      </c>
      <c r="AA32">
        <f>HYPERLINK("https://klasma.github.io/Logging_2083/tillsyn/A 25878-2026 tillsynsbegäran.docx", "A 25878-2026")</f>
        <v/>
      </c>
      <c r="AB32">
        <f>HYPERLINK("https://klasma.github.io/Logging_2083/tillsynsmail/A 25878-2026 tillsynsbegäran mail.docx", "A 25878-2026")</f>
        <v/>
      </c>
    </row>
    <row r="33" ht="15" customHeight="1">
      <c r="A33" t="inlineStr">
        <is>
          <t>A 6339-2026</t>
        </is>
      </c>
      <c r="B33" t="inlineStr">
        <is>
          <t>avverkningsanmälan</t>
        </is>
      </c>
      <c r="C33" t="inlineStr">
        <is>
          <t>Föryngringsavverkning</t>
        </is>
      </c>
      <c r="D33" s="1" t="n">
        <v>46055</v>
      </c>
      <c r="E33" s="1" t="n">
        <v>46216</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s="2" t="inlineStr">
        <is>
          <t>Knärot
Gropticka
Ullticka
Bronshjon
Vedticka
Vågbandad barkbock</t>
        </is>
      </c>
      <c r="V33">
        <f>HYPERLINK("https://klasma.github.io/Logging_2083/artfynd/A 6339-2026 artfynd.xlsx", "A 6339-2026")</f>
        <v/>
      </c>
      <c r="W33">
        <f>HYPERLINK("https://klasma.github.io/Logging_2083/kartor/A 6339-2026 karta.png", "A 6339-2026")</f>
        <v/>
      </c>
      <c r="X33">
        <f>HYPERLINK("https://klasma.github.io/Logging_2083/knärot/A 6339-2026 karta knärot.png", "A 6339-2026")</f>
        <v/>
      </c>
      <c r="Y33">
        <f>HYPERLINK("https://klasma.github.io/Logging_2083/klagomål/A 6339-2026 FSC-klagomål.docx", "A 6339-2026")</f>
        <v/>
      </c>
      <c r="Z33">
        <f>HYPERLINK("https://klasma.github.io/Logging_2083/klagomålsmail/A 6339-2026 FSC-klagomål mail.docx", "A 6339-2026")</f>
        <v/>
      </c>
      <c r="AA33">
        <f>HYPERLINK("https://klasma.github.io/Logging_2083/tillsyn/A 6339-2026 tillsynsbegäran.docx", "A 6339-2026")</f>
        <v/>
      </c>
      <c r="AB33">
        <f>HYPERLINK("https://klasma.github.io/Logging_2083/tillsynsmail/A 6339-2026 tillsynsbegäran mail.docx", "A 6339-2026")</f>
        <v/>
      </c>
    </row>
    <row r="34" ht="15" customHeight="1">
      <c r="A34" t="inlineStr">
        <is>
          <t>S 478-2025</t>
        </is>
      </c>
      <c r="B34" t="inlineStr">
        <is>
          <t>samrådsanmälan</t>
        </is>
      </c>
      <c r="C34" t="inlineStr">
        <is>
          <t>Askåterföring</t>
        </is>
      </c>
      <c r="D34" s="1" t="n">
        <v>45702</v>
      </c>
      <c r="E34" s="1" t="n">
        <v>46216</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s="2" t="inlineStr">
        <is>
          <t>Tornseglare
Duvhök
Spillkråka
Grönsiska
Sångsvan
Trana</t>
        </is>
      </c>
      <c r="V34">
        <f>HYPERLINK("https://klasma.github.io/Logging_2083/artfynd/S 478-2025 artfynd.xlsx", "S 478-2025")</f>
        <v/>
      </c>
      <c r="W34">
        <f>HYPERLINK("https://klasma.github.io/Logging_2083/kartor/S 478-2025 karta.png", "S 478-2025")</f>
        <v/>
      </c>
      <c r="Y34">
        <f>HYPERLINK("https://klasma.github.io/Logging_2083/klagomål/S 478-2025 FSC-klagomål.docx", "S 478-2025")</f>
        <v/>
      </c>
      <c r="Z34">
        <f>HYPERLINK("https://klasma.github.io/Logging_2083/klagomålsmail/S 478-2025 FSC-klagomål mail.docx", "S 478-2025")</f>
        <v/>
      </c>
      <c r="AA34">
        <f>HYPERLINK("https://klasma.github.io/Logging_2083/tillsyn/S 478-2025 tillsynsbegäran.docx", "S 478-2025")</f>
        <v/>
      </c>
      <c r="AB34">
        <f>HYPERLINK("https://klasma.github.io/Logging_2083/tillsynsmail/S 478-2025 tillsynsbegäran mail.docx", "S 478-2025")</f>
        <v/>
      </c>
      <c r="AC34">
        <f>HYPERLINK("https://klasma.github.io/Logging_2083/fåglar/S 478-2025 prioriterade fågelarter.docx", "S 478-2025")</f>
        <v/>
      </c>
    </row>
    <row r="35" ht="15" customHeight="1">
      <c r="A35" t="inlineStr">
        <is>
          <t>A 4031-2022</t>
        </is>
      </c>
      <c r="B35" t="inlineStr">
        <is>
          <t>avverkningsanmälan</t>
        </is>
      </c>
      <c r="C35" t="inlineStr">
        <is>
          <t>Föryngringsavverkning</t>
        </is>
      </c>
      <c r="D35" s="1" t="n">
        <v>44588</v>
      </c>
      <c r="E35" s="1" t="n">
        <v>46216</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s="2" t="inlineStr">
        <is>
          <t>Rödvingetrast
Grön sköldmossa
Stubbspretmossa
Blåsippa
Kungsfågel</t>
        </is>
      </c>
      <c r="V35">
        <f>HYPERLINK("https://klasma.github.io/Logging_2083/artfynd/A 4031-2022 artfynd.xlsx", "A 4031-2022")</f>
        <v/>
      </c>
      <c r="W35">
        <f>HYPERLINK("https://klasma.github.io/Logging_2083/kartor/A 4031-2022 karta.png", "A 4031-2022")</f>
        <v/>
      </c>
      <c r="Y35">
        <f>HYPERLINK("https://klasma.github.io/Logging_2083/klagomål/A 4031-2022 FSC-klagomål.docx", "A 4031-2022")</f>
        <v/>
      </c>
      <c r="Z35">
        <f>HYPERLINK("https://klasma.github.io/Logging_2083/klagomålsmail/A 4031-2022 FSC-klagomål mail.docx", "A 4031-2022")</f>
        <v/>
      </c>
      <c r="AA35">
        <f>HYPERLINK("https://klasma.github.io/Logging_2083/tillsyn/A 4031-2022 tillsynsbegäran.docx", "A 4031-2022")</f>
        <v/>
      </c>
      <c r="AB35">
        <f>HYPERLINK("https://klasma.github.io/Logging_2083/tillsynsmail/A 4031-2022 tillsynsbegäran mail.docx", "A 4031-2022")</f>
        <v/>
      </c>
      <c r="AC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46216</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s="2" t="inlineStr">
        <is>
          <t>Garnlav
Knärot
Motaggsvamp
Tallfingersvamp
Ullticka</t>
        </is>
      </c>
      <c r="V36">
        <f>HYPERLINK("https://klasma.github.io/Logging_2083/artfynd/A 1454-2026 artfynd.xlsx", "A 1454-2026")</f>
        <v/>
      </c>
      <c r="W36">
        <f>HYPERLINK("https://klasma.github.io/Logging_2083/kartor/A 1454-2026 karta.png", "A 1454-2026")</f>
        <v/>
      </c>
      <c r="X36">
        <f>HYPERLINK("https://klasma.github.io/Logging_2083/knärot/A 1454-2026 karta knärot.png", "A 1454-2026")</f>
        <v/>
      </c>
      <c r="Y36">
        <f>HYPERLINK("https://klasma.github.io/Logging_2083/klagomål/A 1454-2026 FSC-klagomål.docx", "A 1454-2026")</f>
        <v/>
      </c>
      <c r="Z36">
        <f>HYPERLINK("https://klasma.github.io/Logging_2083/klagomålsmail/A 1454-2026 FSC-klagomål mail.docx", "A 1454-2026")</f>
        <v/>
      </c>
      <c r="AA36">
        <f>HYPERLINK("https://klasma.github.io/Logging_2083/tillsyn/A 1454-2026 tillsynsbegäran.docx", "A 1454-2026")</f>
        <v/>
      </c>
      <c r="AB36">
        <f>HYPERLINK("https://klasma.github.io/Logging_2083/tillsynsmail/A 1454-2026 tillsynsbegäran mail.docx", "A 1454-2026")</f>
        <v/>
      </c>
    </row>
    <row r="37" ht="15" customHeight="1">
      <c r="A37" t="inlineStr">
        <is>
          <t>A 45884-2021</t>
        </is>
      </c>
      <c r="B37" t="inlineStr">
        <is>
          <t>avverkningsanmälan</t>
        </is>
      </c>
      <c r="C37" t="inlineStr">
        <is>
          <t>Föryngringsavverkning</t>
        </is>
      </c>
      <c r="D37" s="1" t="n">
        <v>44441</v>
      </c>
      <c r="E37" s="1" t="n">
        <v>46216</v>
      </c>
      <c r="F37" t="inlineStr">
        <is>
          <t>DALARNAS LÄN</t>
        </is>
      </c>
      <c r="G37" t="inlineStr">
        <is>
          <t>HEDEMORA</t>
        </is>
      </c>
      <c r="I37" t="n">
        <v>0.9</v>
      </c>
      <c r="J37" t="n">
        <v>3</v>
      </c>
      <c r="K37" t="n">
        <v>2</v>
      </c>
      <c r="L37" t="n">
        <v>0</v>
      </c>
      <c r="M37" t="n">
        <v>1</v>
      </c>
      <c r="N37" t="n">
        <v>0</v>
      </c>
      <c r="O37" t="n">
        <v>0</v>
      </c>
      <c r="P37" t="n">
        <v>0</v>
      </c>
      <c r="Q37" t="n">
        <v>1</v>
      </c>
      <c r="R37" t="n">
        <v>1</v>
      </c>
      <c r="S37" t="n">
        <v>5</v>
      </c>
      <c r="T37" t="n">
        <v>15</v>
      </c>
      <c r="U37" s="2" t="inlineStr">
        <is>
          <t>Knärot
Bollvitmossa
Bronshjon
Spillkråka
Tjäder</t>
        </is>
      </c>
      <c r="V37">
        <f>HYPERLINK("https://klasma.github.io/Logging_2083/artfynd/A 45884-2021 artfynd.xlsx", "A 45884-2021")</f>
        <v/>
      </c>
      <c r="W37">
        <f>HYPERLINK("https://klasma.github.io/Logging_2083/kartor/A 45884-2021 karta.png", "A 45884-2021")</f>
        <v/>
      </c>
      <c r="X37">
        <f>HYPERLINK("https://klasma.github.io/Logging_2083/knärot/A 45884-2021 karta knärot.png", "A 45884-2021")</f>
        <v/>
      </c>
      <c r="Y37">
        <f>HYPERLINK("https://klasma.github.io/Logging_2083/klagomål/A 45884-2021 FSC-klagomål.docx", "A 45884-2021")</f>
        <v/>
      </c>
      <c r="Z37">
        <f>HYPERLINK("https://klasma.github.io/Logging_2083/klagomålsmail/A 45884-2021 FSC-klagomål mail.docx", "A 45884-2021")</f>
        <v/>
      </c>
      <c r="AA37">
        <f>HYPERLINK("https://klasma.github.io/Logging_2083/tillsyn/A 45884-2021 tillsynsbegäran.docx", "A 45884-2021")</f>
        <v/>
      </c>
      <c r="AB37">
        <f>HYPERLINK("https://klasma.github.io/Logging_2083/tillsynsmail/A 45884-2021 tillsynsbegäran mail.docx", "A 45884-2021")</f>
        <v/>
      </c>
      <c r="AC37">
        <f>HYPERLINK("https://klasma.github.io/Logging_2083/fåglar/A 45884-2021 prioriterade fågelarter.docx", "A 45884-2021")</f>
        <v/>
      </c>
    </row>
    <row r="38" ht="15" customHeight="1">
      <c r="A38" t="inlineStr">
        <is>
          <t>A 29519-2026</t>
        </is>
      </c>
      <c r="B38" t="inlineStr">
        <is>
          <t>avverkningsanmälan</t>
        </is>
      </c>
      <c r="C38" t="inlineStr">
        <is>
          <t>Föryngringsavverkning</t>
        </is>
      </c>
      <c r="D38" s="1" t="n">
        <v>46198</v>
      </c>
      <c r="E38" s="1" t="n">
        <v>46216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s="2" t="inlineStr">
        <is>
          <t>Gultoppig fingersvamp
Svartvit taggsvamp
Talltita
Rödgul trumpetsvamp
Svavelriska</t>
        </is>
      </c>
      <c r="V38">
        <f>HYPERLINK("https://klasma.github.io/Logging_2083/artfynd/A 29519-2026 artfynd.xlsx", "A 29519-2026")</f>
        <v/>
      </c>
      <c r="W38">
        <f>HYPERLINK("https://klasma.github.io/Logging_2083/kartor/A 29519-2026 karta.png", "A 29519-2026")</f>
        <v/>
      </c>
      <c r="Y38">
        <f>HYPERLINK("https://klasma.github.io/Logging_2083/klagomål/A 29519-2026 FSC-klagomål.docx", "A 29519-2026")</f>
        <v/>
      </c>
      <c r="Z38">
        <f>HYPERLINK("https://klasma.github.io/Logging_2083/klagomålsmail/A 29519-2026 FSC-klagomål mail.docx", "A 29519-2026")</f>
        <v/>
      </c>
      <c r="AA38">
        <f>HYPERLINK("https://klasma.github.io/Logging_2083/tillsyn/A 29519-2026 tillsynsbegäran.docx", "A 29519-2026")</f>
        <v/>
      </c>
      <c r="AB38">
        <f>HYPERLINK("https://klasma.github.io/Logging_2083/tillsynsmail/A 29519-2026 tillsynsbegäran mail.docx", "A 29519-2026")</f>
        <v/>
      </c>
      <c r="AC38">
        <f>HYPERLINK("https://klasma.github.io/Logging_2083/fåglar/A 29519-2026 prioriterade fågelarter.docx", "A 29519-2026")</f>
        <v/>
      </c>
    </row>
    <row r="39" ht="15" customHeight="1">
      <c r="A39" t="inlineStr">
        <is>
          <t>S 346-2026</t>
        </is>
      </c>
      <c r="B39" t="inlineStr">
        <is>
          <t>samrådsanmälan</t>
        </is>
      </c>
      <c r="C39" t="inlineStr">
        <is>
          <t>Skogsgödsling</t>
        </is>
      </c>
      <c r="D39" s="1" t="n">
        <v>46062</v>
      </c>
      <c r="E39" s="1" t="n">
        <v>46216</v>
      </c>
      <c r="F39" t="inlineStr">
        <is>
          <t>DALARNAS LÄN</t>
        </is>
      </c>
      <c r="G39" t="inlineStr">
        <is>
          <t>HEDEMORA</t>
        </is>
      </c>
      <c r="H39" t="inlineStr">
        <is>
          <t>Sveaskog</t>
        </is>
      </c>
      <c r="I39" t="n">
        <v>81.40000000000001</v>
      </c>
      <c r="J39" t="n">
        <v>4</v>
      </c>
      <c r="K39" t="n">
        <v>0</v>
      </c>
      <c r="L39" t="n">
        <v>2</v>
      </c>
      <c r="M39" t="n">
        <v>0</v>
      </c>
      <c r="N39" t="n">
        <v>0</v>
      </c>
      <c r="O39" t="n">
        <v>0</v>
      </c>
      <c r="P39" t="n">
        <v>0</v>
      </c>
      <c r="Q39" t="n">
        <v>2</v>
      </c>
      <c r="R39" t="n">
        <v>0</v>
      </c>
      <c r="S39" t="n">
        <v>5</v>
      </c>
      <c r="T39" t="n">
        <v>60</v>
      </c>
      <c r="U39" s="2" t="inlineStr">
        <is>
          <t>Myskmåra
Nordfladdermus
Tjäder
Orre
Vattenfladdermus</t>
        </is>
      </c>
      <c r="V39">
        <f>HYPERLINK("https://klasma.github.io/Logging_2083/artfynd/S 346-2026 artfynd.xlsx", "S 346-2026")</f>
        <v/>
      </c>
      <c r="W39">
        <f>HYPERLINK("https://klasma.github.io/Logging_2083/kartor/S 346-2026 karta.png", "S 346-2026")</f>
        <v/>
      </c>
      <c r="Y39">
        <f>HYPERLINK("https://klasma.github.io/Logging_2083/klagomål/S 346-2026 FSC-klagomål.docx", "S 346-2026")</f>
        <v/>
      </c>
      <c r="Z39">
        <f>HYPERLINK("https://klasma.github.io/Logging_2083/klagomålsmail/S 346-2026 FSC-klagomål mail.docx", "S 346-2026")</f>
        <v/>
      </c>
      <c r="AA39">
        <f>HYPERLINK("https://klasma.github.io/Logging_2083/tillsyn/S 346-2026 tillsynsbegäran.docx", "S 346-2026")</f>
        <v/>
      </c>
      <c r="AB39">
        <f>HYPERLINK("https://klasma.github.io/Logging_2083/tillsynsmail/S 346-2026 tillsynsbegäran mail.docx", "S 346-2026")</f>
        <v/>
      </c>
      <c r="AC39">
        <f>HYPERLINK("https://klasma.github.io/Logging_2083/fåglar/S 346-2026 prioriterade fågelarter.docx", "S 346-2026")</f>
        <v/>
      </c>
    </row>
    <row r="40" ht="15" customHeight="1">
      <c r="A40" t="inlineStr">
        <is>
          <t>A 62054-2021</t>
        </is>
      </c>
      <c r="B40" t="inlineStr">
        <is>
          <t>avverkningsanmälan</t>
        </is>
      </c>
      <c r="C40" t="inlineStr">
        <is>
          <t>Föryngringsavverkning</t>
        </is>
      </c>
      <c r="D40" s="1" t="n">
        <v>44502</v>
      </c>
      <c r="E40" s="1" t="n">
        <v>46216</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s="2" t="inlineStr">
        <is>
          <t>Garnlav
Knärot
Motaggsvamp
Ullticka</t>
        </is>
      </c>
      <c r="V40">
        <f>HYPERLINK("https://klasma.github.io/Logging_2083/artfynd/A 62054-2021 artfynd.xlsx", "A 62054-2021")</f>
        <v/>
      </c>
      <c r="W40">
        <f>HYPERLINK("https://klasma.github.io/Logging_2083/kartor/A 62054-2021 karta.png", "A 62054-2021")</f>
        <v/>
      </c>
      <c r="X40">
        <f>HYPERLINK("https://klasma.github.io/Logging_2083/knärot/A 62054-2021 karta knärot.png", "A 62054-2021")</f>
        <v/>
      </c>
      <c r="Y40">
        <f>HYPERLINK("https://klasma.github.io/Logging_2083/klagomål/A 62054-2021 FSC-klagomål.docx", "A 62054-2021")</f>
        <v/>
      </c>
      <c r="Z40">
        <f>HYPERLINK("https://klasma.github.io/Logging_2083/klagomålsmail/A 62054-2021 FSC-klagomål mail.docx", "A 62054-2021")</f>
        <v/>
      </c>
      <c r="AA40">
        <f>HYPERLINK("https://klasma.github.io/Logging_2083/tillsyn/A 62054-2021 tillsynsbegäran.docx", "A 62054-2021")</f>
        <v/>
      </c>
      <c r="AB40">
        <f>HYPERLINK("https://klasma.github.io/Logging_2083/tillsynsmail/A 62054-2021 tillsynsbegäran mail.docx", "A 62054-2021")</f>
        <v/>
      </c>
    </row>
    <row r="41" ht="15" customHeight="1">
      <c r="A41" t="inlineStr">
        <is>
          <t>A 59035-2023</t>
        </is>
      </c>
      <c r="B41" t="inlineStr">
        <is>
          <t>avverkningsanmälan</t>
        </is>
      </c>
      <c r="C41" t="inlineStr">
        <is>
          <t>Föryngringsavverkning</t>
        </is>
      </c>
      <c r="D41" s="1" t="n">
        <v>45252</v>
      </c>
      <c r="E41" s="1" t="n">
        <v>46216</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s="2" t="inlineStr">
        <is>
          <t>Knärot
Grönpyrola
Blåsippa
Fläcknycklar</t>
        </is>
      </c>
      <c r="V41">
        <f>HYPERLINK("https://klasma.github.io/Logging_2083/artfynd/A 59035-2023 artfynd.xlsx", "A 59035-2023")</f>
        <v/>
      </c>
      <c r="W41">
        <f>HYPERLINK("https://klasma.github.io/Logging_2083/kartor/A 59035-2023 karta.png", "A 59035-2023")</f>
        <v/>
      </c>
      <c r="X41">
        <f>HYPERLINK("https://klasma.github.io/Logging_2083/knärot/A 59035-2023 karta knärot.png", "A 59035-2023")</f>
        <v/>
      </c>
      <c r="Y41">
        <f>HYPERLINK("https://klasma.github.io/Logging_2083/klagomål/A 59035-2023 FSC-klagomål.docx", "A 59035-2023")</f>
        <v/>
      </c>
      <c r="Z41">
        <f>HYPERLINK("https://klasma.github.io/Logging_2083/klagomålsmail/A 59035-2023 FSC-klagomål mail.docx", "A 59035-2023")</f>
        <v/>
      </c>
      <c r="AA41">
        <f>HYPERLINK("https://klasma.github.io/Logging_2083/tillsyn/A 59035-2023 tillsynsbegäran.docx", "A 59035-2023")</f>
        <v/>
      </c>
      <c r="AB41">
        <f>HYPERLINK("https://klasma.github.io/Logging_2083/tillsynsmail/A 59035-2023 tillsynsbegäran mail.docx", "A 59035-2023")</f>
        <v/>
      </c>
    </row>
    <row r="42" ht="15" customHeight="1">
      <c r="A42" t="inlineStr">
        <is>
          <t>A 5326-2026</t>
        </is>
      </c>
      <c r="B42" t="inlineStr">
        <is>
          <t>avverkningsanmälan</t>
        </is>
      </c>
      <c r="C42" t="inlineStr">
        <is>
          <t>Föryngringsavverkning</t>
        </is>
      </c>
      <c r="D42" s="1" t="n">
        <v>46048</v>
      </c>
      <c r="E42" s="1" t="n">
        <v>46216</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s="2" t="inlineStr">
        <is>
          <t>Tretåig hackspett
Ullticka
Kransmossa
Spillkråka</t>
        </is>
      </c>
      <c r="V42">
        <f>HYPERLINK("https://klasma.github.io/Logging_2083/artfynd/A 5326-2026 artfynd.xlsx", "A 5326-2026")</f>
        <v/>
      </c>
      <c r="W42">
        <f>HYPERLINK("https://klasma.github.io/Logging_2083/kartor/A 5326-2026 karta.png", "A 5326-2026")</f>
        <v/>
      </c>
      <c r="Y42">
        <f>HYPERLINK("https://klasma.github.io/Logging_2083/klagomål/A 5326-2026 FSC-klagomål.docx", "A 5326-2026")</f>
        <v/>
      </c>
      <c r="Z42">
        <f>HYPERLINK("https://klasma.github.io/Logging_2083/klagomålsmail/A 5326-2026 FSC-klagomål mail.docx", "A 5326-2026")</f>
        <v/>
      </c>
      <c r="AA42">
        <f>HYPERLINK("https://klasma.github.io/Logging_2083/tillsyn/A 5326-2026 tillsynsbegäran.docx", "A 5326-2026")</f>
        <v/>
      </c>
      <c r="AB42">
        <f>HYPERLINK("https://klasma.github.io/Logging_2083/tillsynsmail/A 5326-2026 tillsynsbegäran mail.docx", "A 5326-2026")</f>
        <v/>
      </c>
      <c r="AC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46216</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s="2" t="inlineStr">
        <is>
          <t>Knärot
Rynkskinn
Ullticka
Bronshjon</t>
        </is>
      </c>
      <c r="V43">
        <f>HYPERLINK("https://klasma.github.io/Logging_2083/artfynd/A 5713-2026 artfynd.xlsx", "A 5713-2026")</f>
        <v/>
      </c>
      <c r="W43">
        <f>HYPERLINK("https://klasma.github.io/Logging_2083/kartor/A 5713-2026 karta.png", "A 5713-2026")</f>
        <v/>
      </c>
      <c r="X43">
        <f>HYPERLINK("https://klasma.github.io/Logging_2083/knärot/A 5713-2026 karta knärot.png", "A 5713-2026")</f>
        <v/>
      </c>
      <c r="Y43">
        <f>HYPERLINK("https://klasma.github.io/Logging_2083/klagomål/A 5713-2026 FSC-klagomål.docx", "A 5713-2026")</f>
        <v/>
      </c>
      <c r="Z43">
        <f>HYPERLINK("https://klasma.github.io/Logging_2083/klagomålsmail/A 5713-2026 FSC-klagomål mail.docx", "A 5713-2026")</f>
        <v/>
      </c>
      <c r="AA43">
        <f>HYPERLINK("https://klasma.github.io/Logging_2083/tillsyn/A 5713-2026 tillsynsbegäran.docx", "A 5713-2026")</f>
        <v/>
      </c>
      <c r="AB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46216</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s="2" t="inlineStr">
        <is>
          <t>Knärot
Fjällig taggsvamp s.str.
Blåsippa
Revlummer</t>
        </is>
      </c>
      <c r="V44">
        <f>HYPERLINK("https://klasma.github.io/Logging_2083/artfynd/A 49872-2021 artfynd.xlsx", "A 49872-2021")</f>
        <v/>
      </c>
      <c r="W44">
        <f>HYPERLINK("https://klasma.github.io/Logging_2083/kartor/A 49872-2021 karta.png", "A 49872-2021")</f>
        <v/>
      </c>
      <c r="X44">
        <f>HYPERLINK("https://klasma.github.io/Logging_2083/knärot/A 49872-2021 karta knärot.png", "A 49872-2021")</f>
        <v/>
      </c>
      <c r="Y44">
        <f>HYPERLINK("https://klasma.github.io/Logging_2083/klagomål/A 49872-2021 FSC-klagomål.docx", "A 49872-2021")</f>
        <v/>
      </c>
      <c r="Z44">
        <f>HYPERLINK("https://klasma.github.io/Logging_2083/klagomålsmail/A 49872-2021 FSC-klagomål mail.docx", "A 49872-2021")</f>
        <v/>
      </c>
      <c r="AA44">
        <f>HYPERLINK("https://klasma.github.io/Logging_2083/tillsyn/A 49872-2021 tillsynsbegäran.docx", "A 49872-2021")</f>
        <v/>
      </c>
      <c r="AB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46216</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s="2" t="inlineStr">
        <is>
          <t>Garnlav
Talltita
Spillkråka</t>
        </is>
      </c>
      <c r="V45">
        <f>HYPERLINK("https://klasma.github.io/Logging_2083/artfynd/A 42614-2024 artfynd.xlsx", "A 42614-2024")</f>
        <v/>
      </c>
      <c r="W45">
        <f>HYPERLINK("https://klasma.github.io/Logging_2083/kartor/A 42614-2024 karta.png", "A 42614-2024")</f>
        <v/>
      </c>
      <c r="Y45">
        <f>HYPERLINK("https://klasma.github.io/Logging_2083/klagomål/A 42614-2024 FSC-klagomål.docx", "A 42614-2024")</f>
        <v/>
      </c>
      <c r="Z45">
        <f>HYPERLINK("https://klasma.github.io/Logging_2083/klagomålsmail/A 42614-2024 FSC-klagomål mail.docx", "A 42614-2024")</f>
        <v/>
      </c>
      <c r="AA45">
        <f>HYPERLINK("https://klasma.github.io/Logging_2083/tillsyn/A 42614-2024 tillsynsbegäran.docx", "A 42614-2024")</f>
        <v/>
      </c>
      <c r="AB45">
        <f>HYPERLINK("https://klasma.github.io/Logging_2083/tillsynsmail/A 42614-2024 tillsynsbegäran mail.docx", "A 42614-2024")</f>
        <v/>
      </c>
      <c r="AC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46216</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s="2" t="inlineStr">
        <is>
          <t>Knärot
Bronshjon
Svartvit flugsnappare</t>
        </is>
      </c>
      <c r="V46">
        <f>HYPERLINK("https://klasma.github.io/Logging_2083/artfynd/A 48382-2025 artfynd.xlsx", "A 48382-2025")</f>
        <v/>
      </c>
      <c r="W46">
        <f>HYPERLINK("https://klasma.github.io/Logging_2083/kartor/A 48382-2025 karta.png", "A 48382-2025")</f>
        <v/>
      </c>
      <c r="X46">
        <f>HYPERLINK("https://klasma.github.io/Logging_2083/knärot/A 48382-2025 karta knärot.png", "A 48382-2025")</f>
        <v/>
      </c>
      <c r="Y46">
        <f>HYPERLINK("https://klasma.github.io/Logging_2083/klagomål/A 48382-2025 FSC-klagomål.docx", "A 48382-2025")</f>
        <v/>
      </c>
      <c r="Z46">
        <f>HYPERLINK("https://klasma.github.io/Logging_2083/klagomålsmail/A 48382-2025 FSC-klagomål mail.docx", "A 48382-2025")</f>
        <v/>
      </c>
      <c r="AA46">
        <f>HYPERLINK("https://klasma.github.io/Logging_2083/tillsyn/A 48382-2025 tillsynsbegäran.docx", "A 48382-2025")</f>
        <v/>
      </c>
      <c r="AB46">
        <f>HYPERLINK("https://klasma.github.io/Logging_2083/tillsynsmail/A 48382-2025 tillsynsbegäran mail.docx", "A 48382-2025")</f>
        <v/>
      </c>
    </row>
    <row r="47" ht="15" customHeight="1">
      <c r="A47" t="inlineStr">
        <is>
          <t>A 44960-2021</t>
        </is>
      </c>
      <c r="B47" t="inlineStr">
        <is>
          <t>avverkningsanmälan</t>
        </is>
      </c>
      <c r="C47" t="inlineStr">
        <is>
          <t>Föryngringsavverkning</t>
        </is>
      </c>
      <c r="D47" s="1" t="n">
        <v>44438</v>
      </c>
      <c r="E47" s="1" t="n">
        <v>46216</v>
      </c>
      <c r="F47" t="inlineStr">
        <is>
          <t>DALARNAS LÄN</t>
        </is>
      </c>
      <c r="G47" t="inlineStr">
        <is>
          <t>HEDEMORA</t>
        </is>
      </c>
      <c r="H47" t="inlineStr">
        <is>
          <t>Sveaskog</t>
        </is>
      </c>
      <c r="I47" t="n">
        <v>1.8</v>
      </c>
      <c r="J47" t="n">
        <v>2</v>
      </c>
      <c r="K47" t="n">
        <v>0</v>
      </c>
      <c r="L47" t="n">
        <v>1</v>
      </c>
      <c r="M47" t="n">
        <v>0</v>
      </c>
      <c r="N47" t="n">
        <v>0</v>
      </c>
      <c r="O47" t="n">
        <v>0</v>
      </c>
      <c r="P47" t="n">
        <v>0</v>
      </c>
      <c r="Q47" t="n">
        <v>1</v>
      </c>
      <c r="R47" t="n">
        <v>0</v>
      </c>
      <c r="S47" t="n">
        <v>3</v>
      </c>
      <c r="T47" t="n">
        <v>3</v>
      </c>
      <c r="U47" s="2" t="inlineStr">
        <is>
          <t>Älg
Mattlummer
Fläcknycklar</t>
        </is>
      </c>
      <c r="V47">
        <f>HYPERLINK("https://klasma.github.io/Logging_2083/artfynd/A 44960-2021 artfynd.xlsx", "A 44960-2021")</f>
        <v/>
      </c>
      <c r="W47">
        <f>HYPERLINK("https://klasma.github.io/Logging_2083/kartor/A 44960-2021 karta.png", "A 44960-2021")</f>
        <v/>
      </c>
      <c r="Y47">
        <f>HYPERLINK("https://klasma.github.io/Logging_2083/klagomål/A 44960-2021 FSC-klagomål.docx", "A 44960-2021")</f>
        <v/>
      </c>
      <c r="Z47">
        <f>HYPERLINK("https://klasma.github.io/Logging_2083/klagomålsmail/A 44960-2021 FSC-klagomål mail.docx", "A 44960-2021")</f>
        <v/>
      </c>
      <c r="AA47">
        <f>HYPERLINK("https://klasma.github.io/Logging_2083/tillsyn/A 44960-2021 tillsynsbegäran.docx", "A 44960-2021")</f>
        <v/>
      </c>
      <c r="AB47">
        <f>HYPERLINK("https://klasma.github.io/Logging_2083/tillsynsmail/A 44960-2021 tillsynsbegäran mail.docx", "A 44960-2021")</f>
        <v/>
      </c>
    </row>
    <row r="48" ht="15" customHeight="1">
      <c r="A48" t="inlineStr">
        <is>
          <t>A 451-2025</t>
        </is>
      </c>
      <c r="B48" t="inlineStr">
        <is>
          <t>avverkningsanmälan</t>
        </is>
      </c>
      <c r="C48" t="inlineStr">
        <is>
          <t>Föryngringsavverkning</t>
        </is>
      </c>
      <c r="D48" s="1" t="n">
        <v>45664</v>
      </c>
      <c r="E48" s="1" t="n">
        <v>46216</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s="2" t="inlineStr">
        <is>
          <t>Knärot
Vedskivlav
Spillkråka</t>
        </is>
      </c>
      <c r="V48">
        <f>HYPERLINK("https://klasma.github.io/Logging_2083/artfynd/A 451-2025 artfynd.xlsx", "A 451-2025")</f>
        <v/>
      </c>
      <c r="W48">
        <f>HYPERLINK("https://klasma.github.io/Logging_2083/kartor/A 451-2025 karta.png", "A 451-2025")</f>
        <v/>
      </c>
      <c r="X48">
        <f>HYPERLINK("https://klasma.github.io/Logging_2083/knärot/A 451-2025 karta knärot.png", "A 451-2025")</f>
        <v/>
      </c>
      <c r="Y48">
        <f>HYPERLINK("https://klasma.github.io/Logging_2083/klagomål/A 451-2025 FSC-klagomål.docx", "A 451-2025")</f>
        <v/>
      </c>
      <c r="Z48">
        <f>HYPERLINK("https://klasma.github.io/Logging_2083/klagomålsmail/A 451-2025 FSC-klagomål mail.docx", "A 451-2025")</f>
        <v/>
      </c>
      <c r="AA48">
        <f>HYPERLINK("https://klasma.github.io/Logging_2083/tillsyn/A 451-2025 tillsynsbegäran.docx", "A 451-2025")</f>
        <v/>
      </c>
      <c r="AB48">
        <f>HYPERLINK("https://klasma.github.io/Logging_2083/tillsynsmail/A 451-2025 tillsynsbegäran mail.docx", "A 451-2025")</f>
        <v/>
      </c>
      <c r="AC48">
        <f>HYPERLINK("https://klasma.github.io/Logging_2083/fåglar/A 451-2025 prioriterade fågelarter.docx", "A 451-2025")</f>
        <v/>
      </c>
    </row>
    <row r="49" ht="15" customHeight="1">
      <c r="A49" t="inlineStr">
        <is>
          <t>A 5677-2026</t>
        </is>
      </c>
      <c r="B49" t="inlineStr">
        <is>
          <t>avverkningsanmälan</t>
        </is>
      </c>
      <c r="C49" t="inlineStr">
        <is>
          <t>Föryngringsavverkning</t>
        </is>
      </c>
      <c r="D49" s="1" t="n">
        <v>46051</v>
      </c>
      <c r="E49" s="1" t="n">
        <v>46216</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s="2" t="inlineStr">
        <is>
          <t>Brunlångöra
Nordfladdermus
Vattenfladdermus</t>
        </is>
      </c>
      <c r="V49">
        <f>HYPERLINK("https://klasma.github.io/Logging_2083/artfynd/A 5677-2026 artfynd.xlsx", "A 5677-2026")</f>
        <v/>
      </c>
      <c r="W49">
        <f>HYPERLINK("https://klasma.github.io/Logging_2083/kartor/A 5677-2026 karta.png", "A 5677-2026")</f>
        <v/>
      </c>
      <c r="Y49">
        <f>HYPERLINK("https://klasma.github.io/Logging_2083/klagomål/A 5677-2026 FSC-klagomål.docx", "A 5677-2026")</f>
        <v/>
      </c>
      <c r="Z49">
        <f>HYPERLINK("https://klasma.github.io/Logging_2083/klagomålsmail/A 5677-2026 FSC-klagomål mail.docx", "A 5677-2026")</f>
        <v/>
      </c>
      <c r="AA49">
        <f>HYPERLINK("https://klasma.github.io/Logging_2083/tillsyn/A 5677-2026 tillsynsbegäran.docx", "A 5677-2026")</f>
        <v/>
      </c>
      <c r="AB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46216</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s="2" t="inlineStr">
        <is>
          <t>Knärot
Ullticka
Bronshjon</t>
        </is>
      </c>
      <c r="V50">
        <f>HYPERLINK("https://klasma.github.io/Logging_2083/artfynd/A 3152-2022 artfynd.xlsx", "A 3152-2022")</f>
        <v/>
      </c>
      <c r="W50">
        <f>HYPERLINK("https://klasma.github.io/Logging_2083/kartor/A 3152-2022 karta.png", "A 3152-2022")</f>
        <v/>
      </c>
      <c r="X50">
        <f>HYPERLINK("https://klasma.github.io/Logging_2083/knärot/A 3152-2022 karta knärot.png", "A 3152-2022")</f>
        <v/>
      </c>
      <c r="Y50">
        <f>HYPERLINK("https://klasma.github.io/Logging_2083/klagomål/A 3152-2022 FSC-klagomål.docx", "A 3152-2022")</f>
        <v/>
      </c>
      <c r="Z50">
        <f>HYPERLINK("https://klasma.github.io/Logging_2083/klagomålsmail/A 3152-2022 FSC-klagomål mail.docx", "A 3152-2022")</f>
        <v/>
      </c>
      <c r="AA50">
        <f>HYPERLINK("https://klasma.github.io/Logging_2083/tillsyn/A 3152-2022 tillsynsbegäran.docx", "A 3152-2022")</f>
        <v/>
      </c>
      <c r="AB50">
        <f>HYPERLINK("https://klasma.github.io/Logging_2083/tillsynsmail/A 3152-2022 tillsynsbegäran mail.docx", "A 3152-2022")</f>
        <v/>
      </c>
    </row>
    <row r="51" ht="15" customHeight="1">
      <c r="A51" t="inlineStr">
        <is>
          <t>A 2409-2022</t>
        </is>
      </c>
      <c r="B51" t="inlineStr">
        <is>
          <t>avverkningsanmälan</t>
        </is>
      </c>
      <c r="C51" t="inlineStr">
        <is>
          <t>Föryngringsavverkning</t>
        </is>
      </c>
      <c r="D51" s="1" t="n">
        <v>44579</v>
      </c>
      <c r="E51" s="1" t="n">
        <v>46216</v>
      </c>
      <c r="F51" t="inlineStr">
        <is>
          <t>DALARNAS LÄN</t>
        </is>
      </c>
      <c r="G51" t="inlineStr">
        <is>
          <t>HEDEMORA</t>
        </is>
      </c>
      <c r="I51" t="n">
        <v>3.1</v>
      </c>
      <c r="J51" t="n">
        <v>1</v>
      </c>
      <c r="K51" t="n">
        <v>1</v>
      </c>
      <c r="L51" t="n">
        <v>1</v>
      </c>
      <c r="M51" t="n">
        <v>1</v>
      </c>
      <c r="N51" t="n">
        <v>0</v>
      </c>
      <c r="O51" t="n">
        <v>0</v>
      </c>
      <c r="P51" t="n">
        <v>0</v>
      </c>
      <c r="Q51" t="n">
        <v>2</v>
      </c>
      <c r="R51" t="n">
        <v>1</v>
      </c>
      <c r="S51" t="n">
        <v>3</v>
      </c>
      <c r="T51" t="n">
        <v>12</v>
      </c>
      <c r="U51" s="2" t="inlineStr">
        <is>
          <t>Knärot
Ullticka
Vedticka</t>
        </is>
      </c>
      <c r="V51">
        <f>HYPERLINK("https://klasma.github.io/Logging_2083/artfynd/A 2409-2022 artfynd.xlsx", "A 2409-2022")</f>
        <v/>
      </c>
      <c r="W51">
        <f>HYPERLINK("https://klasma.github.io/Logging_2083/kartor/A 2409-2022 karta.png", "A 2409-2022")</f>
        <v/>
      </c>
      <c r="X51">
        <f>HYPERLINK("https://klasma.github.io/Logging_2083/knärot/A 2409-2022 karta knärot.png", "A 2409-2022")</f>
        <v/>
      </c>
      <c r="Y51">
        <f>HYPERLINK("https://klasma.github.io/Logging_2083/klagomål/A 2409-2022 FSC-klagomål.docx", "A 2409-2022")</f>
        <v/>
      </c>
      <c r="Z51">
        <f>HYPERLINK("https://klasma.github.io/Logging_2083/klagomålsmail/A 2409-2022 FSC-klagomål mail.docx", "A 2409-2022")</f>
        <v/>
      </c>
      <c r="AA51">
        <f>HYPERLINK("https://klasma.github.io/Logging_2083/tillsyn/A 2409-2022 tillsynsbegäran.docx", "A 2409-2022")</f>
        <v/>
      </c>
      <c r="AB51">
        <f>HYPERLINK("https://klasma.github.io/Logging_2083/tillsynsmail/A 2409-2022 tillsynsbegäran mail.docx", "A 2409-2022")</f>
        <v/>
      </c>
    </row>
    <row r="52" ht="15" customHeight="1">
      <c r="A52" t="inlineStr">
        <is>
          <t>A 6556-2023</t>
        </is>
      </c>
      <c r="B52" t="inlineStr">
        <is>
          <t>avverkningsanmälan</t>
        </is>
      </c>
      <c r="C52" t="inlineStr">
        <is>
          <t>Avverkning för att bevara och utveckla /försöksver</t>
        </is>
      </c>
      <c r="D52" s="1" t="n">
        <v>44961</v>
      </c>
      <c r="E52" s="1" t="n">
        <v>46216</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s="2" t="inlineStr">
        <is>
          <t>Ask
Buskskvätta
Kungsfågel</t>
        </is>
      </c>
      <c r="V52">
        <f>HYPERLINK("https://klasma.github.io/Logging_2083/artfynd/A 6556-2023 artfynd.xlsx", "A 6556-2023")</f>
        <v/>
      </c>
      <c r="W52">
        <f>HYPERLINK("https://klasma.github.io/Logging_2083/kartor/A 6556-2023 karta.png", "A 6556-2023")</f>
        <v/>
      </c>
      <c r="Y52">
        <f>HYPERLINK("https://klasma.github.io/Logging_2083/klagomål/A 6556-2023 FSC-klagomål.docx", "A 6556-2023")</f>
        <v/>
      </c>
      <c r="Z52">
        <f>HYPERLINK("https://klasma.github.io/Logging_2083/klagomålsmail/A 6556-2023 FSC-klagomål mail.docx", "A 6556-2023")</f>
        <v/>
      </c>
      <c r="AA52">
        <f>HYPERLINK("https://klasma.github.io/Logging_2083/tillsyn/A 6556-2023 tillsynsbegäran.docx", "A 6556-2023")</f>
        <v/>
      </c>
      <c r="AB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46216</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s="2" t="inlineStr">
        <is>
          <t>Talltita
Tjäder
Fläcknycklar</t>
        </is>
      </c>
      <c r="V53">
        <f>HYPERLINK("https://klasma.github.io/Logging_2083/artfynd/S 10369-2021 artfynd.xlsx", "S 10369-2021")</f>
        <v/>
      </c>
      <c r="W53">
        <f>HYPERLINK("https://klasma.github.io/Logging_2083/kartor/S 10369-2021 karta.png", "S 10369-2021")</f>
        <v/>
      </c>
      <c r="Y53">
        <f>HYPERLINK("https://klasma.github.io/Logging_2083/klagomål/S 10369-2021 FSC-klagomål.docx", "S 10369-2021")</f>
        <v/>
      </c>
      <c r="Z53">
        <f>HYPERLINK("https://klasma.github.io/Logging_2083/klagomålsmail/S 10369-2021 FSC-klagomål mail.docx", "S 10369-2021")</f>
        <v/>
      </c>
      <c r="AA53">
        <f>HYPERLINK("https://klasma.github.io/Logging_2083/tillsyn/S 10369-2021 tillsynsbegäran.docx", "S 10369-2021")</f>
        <v/>
      </c>
      <c r="AB53">
        <f>HYPERLINK("https://klasma.github.io/Logging_2083/tillsynsmail/S 10369-2021 tillsynsbegäran mail.docx", "S 10369-2021")</f>
        <v/>
      </c>
      <c r="AC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46216</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s="2" t="inlineStr">
        <is>
          <t>Vågbandad barkbock
Revlummer</t>
        </is>
      </c>
      <c r="V54">
        <f>HYPERLINK("https://klasma.github.io/Logging_2083/artfynd/A 67282-2021 artfynd.xlsx", "A 67282-2021")</f>
        <v/>
      </c>
      <c r="W54">
        <f>HYPERLINK("https://klasma.github.io/Logging_2083/kartor/A 67282-2021 karta.png", "A 67282-2021")</f>
        <v/>
      </c>
      <c r="Y54">
        <f>HYPERLINK("https://klasma.github.io/Logging_2083/klagomål/A 67282-2021 FSC-klagomål.docx", "A 67282-2021")</f>
        <v/>
      </c>
      <c r="Z54">
        <f>HYPERLINK("https://klasma.github.io/Logging_2083/klagomålsmail/A 67282-2021 FSC-klagomål mail.docx", "A 67282-2021")</f>
        <v/>
      </c>
      <c r="AA54">
        <f>HYPERLINK("https://klasma.github.io/Logging_2083/tillsyn/A 67282-2021 tillsynsbegäran.docx", "A 67282-2021")</f>
        <v/>
      </c>
      <c r="AB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46216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s="2" t="inlineStr">
        <is>
          <t>Garnlav
Talltita</t>
        </is>
      </c>
      <c r="V55">
        <f>HYPERLINK("https://klasma.github.io/Logging_2083/artfynd/A 54849-2022 artfynd.xlsx", "A 54849-2022")</f>
        <v/>
      </c>
      <c r="W55">
        <f>HYPERLINK("https://klasma.github.io/Logging_2083/kartor/A 54849-2022 karta.png", "A 54849-2022")</f>
        <v/>
      </c>
      <c r="Y55">
        <f>HYPERLINK("https://klasma.github.io/Logging_2083/klagomål/A 54849-2022 FSC-klagomål.docx", "A 54849-2022")</f>
        <v/>
      </c>
      <c r="Z55">
        <f>HYPERLINK("https://klasma.github.io/Logging_2083/klagomålsmail/A 54849-2022 FSC-klagomål mail.docx", "A 54849-2022")</f>
        <v/>
      </c>
      <c r="AA55">
        <f>HYPERLINK("https://klasma.github.io/Logging_2083/tillsyn/A 54849-2022 tillsynsbegäran.docx", "A 54849-2022")</f>
        <v/>
      </c>
      <c r="AB55">
        <f>HYPERLINK("https://klasma.github.io/Logging_2083/tillsynsmail/A 54849-2022 tillsynsbegäran mail.docx", "A 54849-2022")</f>
        <v/>
      </c>
      <c r="AC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46216</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s="2" t="inlineStr">
        <is>
          <t>Knärot
Rödgul trumpetsvamp</t>
        </is>
      </c>
      <c r="V56">
        <f>HYPERLINK("https://klasma.github.io/Logging_2083/artfynd/A 60017-2024 artfynd.xlsx", "A 60017-2024")</f>
        <v/>
      </c>
      <c r="W56">
        <f>HYPERLINK("https://klasma.github.io/Logging_2083/kartor/A 60017-2024 karta.png", "A 60017-2024")</f>
        <v/>
      </c>
      <c r="X56">
        <f>HYPERLINK("https://klasma.github.io/Logging_2083/knärot/A 60017-2024 karta knärot.png", "A 60017-2024")</f>
        <v/>
      </c>
      <c r="Y56">
        <f>HYPERLINK("https://klasma.github.io/Logging_2083/klagomål/A 60017-2024 FSC-klagomål.docx", "A 60017-2024")</f>
        <v/>
      </c>
      <c r="Z56">
        <f>HYPERLINK("https://klasma.github.io/Logging_2083/klagomålsmail/A 60017-2024 FSC-klagomål mail.docx", "A 60017-2024")</f>
        <v/>
      </c>
      <c r="AA56">
        <f>HYPERLINK("https://klasma.github.io/Logging_2083/tillsyn/A 60017-2024 tillsynsbegäran.docx", "A 60017-2024")</f>
        <v/>
      </c>
      <c r="AB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46216</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s="2" t="inlineStr">
        <is>
          <t>Gråspett
Tjäder</t>
        </is>
      </c>
      <c r="V57">
        <f>HYPERLINK("https://klasma.github.io/Logging_2083/artfynd/A 29128-2025 artfynd.xlsx", "A 29128-2025")</f>
        <v/>
      </c>
      <c r="W57">
        <f>HYPERLINK("https://klasma.github.io/Logging_2083/kartor/A 29128-2025 karta.png", "A 29128-2025")</f>
        <v/>
      </c>
      <c r="Y57">
        <f>HYPERLINK("https://klasma.github.io/Logging_2083/klagomål/A 29128-2025 FSC-klagomål.docx", "A 29128-2025")</f>
        <v/>
      </c>
      <c r="Z57">
        <f>HYPERLINK("https://klasma.github.io/Logging_2083/klagomålsmail/A 29128-2025 FSC-klagomål mail.docx", "A 29128-2025")</f>
        <v/>
      </c>
      <c r="AA57">
        <f>HYPERLINK("https://klasma.github.io/Logging_2083/tillsyn/A 29128-2025 tillsynsbegäran.docx", "A 29128-2025")</f>
        <v/>
      </c>
      <c r="AB57">
        <f>HYPERLINK("https://klasma.github.io/Logging_2083/tillsynsmail/A 29128-2025 tillsynsbegäran mail.docx", "A 29128-2025")</f>
        <v/>
      </c>
      <c r="AC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46216</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s="2" t="inlineStr">
        <is>
          <t>Entita
Tjäder</t>
        </is>
      </c>
      <c r="V58">
        <f>HYPERLINK("https://klasma.github.io/Logging_2083/artfynd/A 29792-2025 artfynd.xlsx", "A 29792-2025")</f>
        <v/>
      </c>
      <c r="W58">
        <f>HYPERLINK("https://klasma.github.io/Logging_2083/kartor/A 29792-2025 karta.png", "A 29792-2025")</f>
        <v/>
      </c>
      <c r="Y58">
        <f>HYPERLINK("https://klasma.github.io/Logging_2083/klagomål/A 29792-2025 FSC-klagomål.docx", "A 29792-2025")</f>
        <v/>
      </c>
      <c r="Z58">
        <f>HYPERLINK("https://klasma.github.io/Logging_2083/klagomålsmail/A 29792-2025 FSC-klagomål mail.docx", "A 29792-2025")</f>
        <v/>
      </c>
      <c r="AA58">
        <f>HYPERLINK("https://klasma.github.io/Logging_2083/tillsyn/A 29792-2025 tillsynsbegäran.docx", "A 29792-2025")</f>
        <v/>
      </c>
      <c r="AB58">
        <f>HYPERLINK("https://klasma.github.io/Logging_2083/tillsynsmail/A 29792-2025 tillsynsbegäran mail.docx", "A 29792-2025")</f>
        <v/>
      </c>
      <c r="AC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46216</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s="2" t="inlineStr">
        <is>
          <t>Vedtrappmossa
Blåsippa</t>
        </is>
      </c>
      <c r="V59">
        <f>HYPERLINK("https://klasma.github.io/Logging_2083/artfynd/A 2996-2023 artfynd.xlsx", "A 2996-2023")</f>
        <v/>
      </c>
      <c r="W59">
        <f>HYPERLINK("https://klasma.github.io/Logging_2083/kartor/A 2996-2023 karta.png", "A 2996-2023")</f>
        <v/>
      </c>
      <c r="Y59">
        <f>HYPERLINK("https://klasma.github.io/Logging_2083/klagomål/A 2996-2023 FSC-klagomål.docx", "A 2996-2023")</f>
        <v/>
      </c>
      <c r="Z59">
        <f>HYPERLINK("https://klasma.github.io/Logging_2083/klagomålsmail/A 2996-2023 FSC-klagomål mail.docx", "A 2996-2023")</f>
        <v/>
      </c>
      <c r="AA59">
        <f>HYPERLINK("https://klasma.github.io/Logging_2083/tillsyn/A 2996-2023 tillsynsbegäran.docx", "A 2996-2023")</f>
        <v/>
      </c>
      <c r="AB59">
        <f>HYPERLINK("https://klasma.github.io/Logging_2083/tillsynsmail/A 2996-2023 tillsynsbegäran mail.docx", "A 2996-2023")</f>
        <v/>
      </c>
    </row>
    <row r="60" ht="15" customHeight="1">
      <c r="A60" t="inlineStr">
        <is>
          <t>A 1518-2025</t>
        </is>
      </c>
      <c r="B60" t="inlineStr">
        <is>
          <t>avverkningsanmälan</t>
        </is>
      </c>
      <c r="C60" t="inlineStr">
        <is>
          <t>Föryngringsavverkning</t>
        </is>
      </c>
      <c r="D60" s="1" t="n">
        <v>45670</v>
      </c>
      <c r="E60" s="1" t="n">
        <v>46216</v>
      </c>
      <c r="F60" t="inlineStr">
        <is>
          <t>DALARNAS LÄN</t>
        </is>
      </c>
      <c r="G60" t="inlineStr">
        <is>
          <t>HEDEMORA</t>
        </is>
      </c>
      <c r="I60" t="n">
        <v>3.8</v>
      </c>
      <c r="J60" t="n">
        <v>1</v>
      </c>
      <c r="K60" t="n">
        <v>0</v>
      </c>
      <c r="L60" t="n">
        <v>1</v>
      </c>
      <c r="M60" t="n">
        <v>1</v>
      </c>
      <c r="N60" t="n">
        <v>0</v>
      </c>
      <c r="O60" t="n">
        <v>0</v>
      </c>
      <c r="P60" t="n">
        <v>0</v>
      </c>
      <c r="Q60" t="n">
        <v>2</v>
      </c>
      <c r="R60" t="n">
        <v>1</v>
      </c>
      <c r="S60" t="n">
        <v>2</v>
      </c>
      <c r="T60" t="n">
        <v>8</v>
      </c>
      <c r="U60" s="2" t="inlineStr">
        <is>
          <t>Knärot
Ullticka</t>
        </is>
      </c>
      <c r="V60">
        <f>HYPERLINK("https://klasma.github.io/Logging_2083/artfynd/A 1518-2025 artfynd.xlsx", "A 1518-2025")</f>
        <v/>
      </c>
      <c r="W60">
        <f>HYPERLINK("https://klasma.github.io/Logging_2083/kartor/A 1518-2025 karta.png", "A 1518-2025")</f>
        <v/>
      </c>
      <c r="X60">
        <f>HYPERLINK("https://klasma.github.io/Logging_2083/knärot/A 1518-2025 karta knärot.png", "A 1518-2025")</f>
        <v/>
      </c>
      <c r="Y60">
        <f>HYPERLINK("https://klasma.github.io/Logging_2083/klagomål/A 1518-2025 FSC-klagomål.docx", "A 1518-2025")</f>
        <v/>
      </c>
      <c r="Z60">
        <f>HYPERLINK("https://klasma.github.io/Logging_2083/klagomålsmail/A 1518-2025 FSC-klagomål mail.docx", "A 1518-2025")</f>
        <v/>
      </c>
      <c r="AA60">
        <f>HYPERLINK("https://klasma.github.io/Logging_2083/tillsyn/A 1518-2025 tillsynsbegäran.docx", "A 1518-2025")</f>
        <v/>
      </c>
      <c r="AB60">
        <f>HYPERLINK("https://klasma.github.io/Logging_2083/tillsynsmail/A 1518-2025 tillsynsbegäran mail.docx", "A 1518-2025")</f>
        <v/>
      </c>
    </row>
    <row r="61" ht="15" customHeight="1">
      <c r="A61" t="inlineStr">
        <is>
          <t>A 9549-2026</t>
        </is>
      </c>
      <c r="B61" t="inlineStr">
        <is>
          <t>avverkningsanmälan</t>
        </is>
      </c>
      <c r="C61" t="inlineStr">
        <is>
          <t>Föryngringsavverkning</t>
        </is>
      </c>
      <c r="D61" s="1" t="n">
        <v>46070</v>
      </c>
      <c r="E61" s="1" t="n">
        <v>46216</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s="2" t="inlineStr">
        <is>
          <t>Korallblylav
Orre</t>
        </is>
      </c>
      <c r="V61">
        <f>HYPERLINK("https://klasma.github.io/Logging_2083/artfynd/A 9549-2026 artfynd.xlsx", "A 9549-2026")</f>
        <v/>
      </c>
      <c r="W61">
        <f>HYPERLINK("https://klasma.github.io/Logging_2083/kartor/A 9549-2026 karta.png", "A 9549-2026")</f>
        <v/>
      </c>
      <c r="Y61">
        <f>HYPERLINK("https://klasma.github.io/Logging_2083/klagomål/A 9549-2026 FSC-klagomål.docx", "A 9549-2026")</f>
        <v/>
      </c>
      <c r="Z61">
        <f>HYPERLINK("https://klasma.github.io/Logging_2083/klagomålsmail/A 9549-2026 FSC-klagomål mail.docx", "A 9549-2026")</f>
        <v/>
      </c>
      <c r="AA61">
        <f>HYPERLINK("https://klasma.github.io/Logging_2083/tillsyn/A 9549-2026 tillsynsbegäran.docx", "A 9549-2026")</f>
        <v/>
      </c>
      <c r="AB61">
        <f>HYPERLINK("https://klasma.github.io/Logging_2083/tillsynsmail/A 9549-2026 tillsynsbegäran mail.docx", "A 9549-2026")</f>
        <v/>
      </c>
      <c r="AC61">
        <f>HYPERLINK("https://klasma.github.io/Logging_2083/fåglar/A 9549-2026 prioriterade fågelarter.docx", "A 9549-2026")</f>
        <v/>
      </c>
    </row>
    <row r="62" ht="15" customHeight="1">
      <c r="A62" t="inlineStr">
        <is>
          <t>A 61136-2025</t>
        </is>
      </c>
      <c r="B62" t="inlineStr">
        <is>
          <t>avverkningsanmälan</t>
        </is>
      </c>
      <c r="C62" t="inlineStr">
        <is>
          <t>Föryngringsavverkning</t>
        </is>
      </c>
      <c r="D62" s="1" t="n">
        <v>46000</v>
      </c>
      <c r="E62" s="1" t="n">
        <v>46216</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s="2" t="inlineStr">
        <is>
          <t>Brunklöver
Fläcknycklar</t>
        </is>
      </c>
      <c r="V62">
        <f>HYPERLINK("https://klasma.github.io/Logging_2083/artfynd/A 61136-2025 artfynd.xlsx", "A 61136-2025")</f>
        <v/>
      </c>
      <c r="W62">
        <f>HYPERLINK("https://klasma.github.io/Logging_2083/kartor/A 61136-2025 karta.png", "A 61136-2025")</f>
        <v/>
      </c>
      <c r="Y62">
        <f>HYPERLINK("https://klasma.github.io/Logging_2083/klagomål/A 61136-2025 FSC-klagomål.docx", "A 61136-2025")</f>
        <v/>
      </c>
      <c r="Z62">
        <f>HYPERLINK("https://klasma.github.io/Logging_2083/klagomålsmail/A 61136-2025 FSC-klagomål mail.docx", "A 61136-2025")</f>
        <v/>
      </c>
      <c r="AA62">
        <f>HYPERLINK("https://klasma.github.io/Logging_2083/tillsyn/A 61136-2025 tillsynsbegäran.docx", "A 61136-2025")</f>
        <v/>
      </c>
      <c r="AB62">
        <f>HYPERLINK("https://klasma.github.io/Logging_2083/tillsynsmail/A 61136-2025 tillsynsbegäran mail.docx", "A 61136-2025")</f>
        <v/>
      </c>
    </row>
    <row r="63" ht="15" customHeight="1">
      <c r="A63" t="inlineStr">
        <is>
          <t>A 20666-2024</t>
        </is>
      </c>
      <c r="B63" t="inlineStr">
        <is>
          <t>avverkningsanmälan</t>
        </is>
      </c>
      <c r="C63" t="inlineStr">
        <is>
          <t>Föryngringsavverkning</t>
        </is>
      </c>
      <c r="D63" s="1" t="n">
        <v>45436</v>
      </c>
      <c r="E63" s="1" t="n">
        <v>46216</v>
      </c>
      <c r="F63" t="inlineStr">
        <is>
          <t>DALARNAS LÄN</t>
        </is>
      </c>
      <c r="G63" t="inlineStr">
        <is>
          <t>HEDEMORA</t>
        </is>
      </c>
      <c r="I63" t="n">
        <v>5.1</v>
      </c>
      <c r="J63" t="n">
        <v>2</v>
      </c>
      <c r="K63" t="n">
        <v>0</v>
      </c>
      <c r="L63" t="n">
        <v>0</v>
      </c>
      <c r="M63" t="n">
        <v>0</v>
      </c>
      <c r="N63" t="n">
        <v>0</v>
      </c>
      <c r="O63" t="n">
        <v>0</v>
      </c>
      <c r="P63" t="n">
        <v>0</v>
      </c>
      <c r="Q63" t="n">
        <v>0</v>
      </c>
      <c r="R63" t="n">
        <v>0</v>
      </c>
      <c r="S63" t="n">
        <v>2</v>
      </c>
      <c r="T63" t="n">
        <v>2</v>
      </c>
      <c r="U63" s="2" t="inlineStr">
        <is>
          <t>Orre
Fläcknycklar</t>
        </is>
      </c>
      <c r="V63">
        <f>HYPERLINK("https://klasma.github.io/Logging_2083/artfynd/A 20666-2024 artfynd.xlsx", "A 20666-2024")</f>
        <v/>
      </c>
      <c r="W63">
        <f>HYPERLINK("https://klasma.github.io/Logging_2083/kartor/A 20666-2024 karta.png", "A 20666-2024")</f>
        <v/>
      </c>
      <c r="Y63">
        <f>HYPERLINK("https://klasma.github.io/Logging_2083/klagomål/A 20666-2024 FSC-klagomål.docx", "A 20666-2024")</f>
        <v/>
      </c>
      <c r="Z63">
        <f>HYPERLINK("https://klasma.github.io/Logging_2083/klagomålsmail/A 20666-2024 FSC-klagomål mail.docx", "A 20666-2024")</f>
        <v/>
      </c>
      <c r="AA63">
        <f>HYPERLINK("https://klasma.github.io/Logging_2083/tillsyn/A 20666-2024 tillsynsbegäran.docx", "A 20666-2024")</f>
        <v/>
      </c>
      <c r="AB63">
        <f>HYPERLINK("https://klasma.github.io/Logging_2083/tillsynsmail/A 20666-2024 tillsynsbegäran mail.docx", "A 20666-2024")</f>
        <v/>
      </c>
      <c r="AC63">
        <f>HYPERLINK("https://klasma.github.io/Logging_2083/fåglar/A 20666-2024 prioriterade fågelarter.docx", "A 20666-2024")</f>
        <v/>
      </c>
    </row>
    <row r="64" ht="15" customHeight="1">
      <c r="A64" t="inlineStr">
        <is>
          <t>A 41477-2023</t>
        </is>
      </c>
      <c r="B64" t="inlineStr">
        <is>
          <t>avverkningsanmälan</t>
        </is>
      </c>
      <c r="C64" t="inlineStr">
        <is>
          <t>Föryngringsavverkning</t>
        </is>
      </c>
      <c r="D64" s="1" t="n">
        <v>45171</v>
      </c>
      <c r="E64" s="1" t="n">
        <v>46216</v>
      </c>
      <c r="F64" t="inlineStr">
        <is>
          <t>DALARNAS LÄN</t>
        </is>
      </c>
      <c r="G64" t="inlineStr">
        <is>
          <t>HEDEMORA</t>
        </is>
      </c>
      <c r="H64" t="inlineStr">
        <is>
          <t>Bergvik skog väst AB</t>
        </is>
      </c>
      <c r="I64" t="n">
        <v>9.1</v>
      </c>
      <c r="J64" t="n">
        <v>0</v>
      </c>
      <c r="K64" t="n">
        <v>1</v>
      </c>
      <c r="L64" t="n">
        <v>1</v>
      </c>
      <c r="M64" t="n">
        <v>0</v>
      </c>
      <c r="N64" t="n">
        <v>0</v>
      </c>
      <c r="O64" t="n">
        <v>0</v>
      </c>
      <c r="P64" t="n">
        <v>0</v>
      </c>
      <c r="Q64" t="n">
        <v>1</v>
      </c>
      <c r="R64" t="n">
        <v>0</v>
      </c>
      <c r="S64" t="n">
        <v>2</v>
      </c>
      <c r="T64" t="n">
        <v>2</v>
      </c>
      <c r="U64" s="2" t="inlineStr">
        <is>
          <t>Gullpudra
Ögonpyrola</t>
        </is>
      </c>
      <c r="V64">
        <f>HYPERLINK("https://klasma.github.io/Logging_2083/artfynd/A 41477-2023 artfynd.xlsx", "A 41477-2023")</f>
        <v/>
      </c>
      <c r="W64">
        <f>HYPERLINK("https://klasma.github.io/Logging_2083/kartor/A 41477-2023 karta.png", "A 41477-2023")</f>
        <v/>
      </c>
      <c r="Y64">
        <f>HYPERLINK("https://klasma.github.io/Logging_2083/klagomål/A 41477-2023 FSC-klagomål.docx", "A 41477-2023")</f>
        <v/>
      </c>
      <c r="Z64">
        <f>HYPERLINK("https://klasma.github.io/Logging_2083/klagomålsmail/A 41477-2023 FSC-klagomål mail.docx", "A 41477-2023")</f>
        <v/>
      </c>
      <c r="AA64">
        <f>HYPERLINK("https://klasma.github.io/Logging_2083/tillsyn/A 41477-2023 tillsynsbegäran.docx", "A 41477-2023")</f>
        <v/>
      </c>
      <c r="AB64">
        <f>HYPERLINK("https://klasma.github.io/Logging_2083/tillsynsmail/A 41477-2023 tillsynsbegäran mail.docx", "A 41477-2023")</f>
        <v/>
      </c>
    </row>
    <row r="65" ht="15" customHeight="1">
      <c r="A65" t="inlineStr">
        <is>
          <t>A 25338-2026</t>
        </is>
      </c>
      <c r="B65" t="inlineStr">
        <is>
          <t>avverkningsanmälan</t>
        </is>
      </c>
      <c r="C65" t="inlineStr">
        <is>
          <t>Föryngringsavverkning</t>
        </is>
      </c>
      <c r="D65" s="1" t="n">
        <v>46176</v>
      </c>
      <c r="E65" s="1" t="n">
        <v>46216</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s="2" t="inlineStr">
        <is>
          <t>Åkergroda
Fläcknycklar</t>
        </is>
      </c>
      <c r="V65">
        <f>HYPERLINK("https://klasma.github.io/Logging_2083/artfynd/A 25338-2026 artfynd.xlsx", "A 25338-2026")</f>
        <v/>
      </c>
      <c r="W65">
        <f>HYPERLINK("https://klasma.github.io/Logging_2083/kartor/A 25338-2026 karta.png", "A 25338-2026")</f>
        <v/>
      </c>
      <c r="Y65">
        <f>HYPERLINK("https://klasma.github.io/Logging_2083/klagomål/A 25338-2026 FSC-klagomål.docx", "A 25338-2026")</f>
        <v/>
      </c>
      <c r="Z65">
        <f>HYPERLINK("https://klasma.github.io/Logging_2083/klagomålsmail/A 25338-2026 FSC-klagomål mail.docx", "A 25338-2026")</f>
        <v/>
      </c>
      <c r="AA65">
        <f>HYPERLINK("https://klasma.github.io/Logging_2083/tillsyn/A 25338-2026 tillsynsbegäran.docx", "A 25338-2026")</f>
        <v/>
      </c>
      <c r="AB65">
        <f>HYPERLINK("https://klasma.github.io/Logging_2083/tillsynsmail/A 25338-2026 tillsynsbegäran mail.docx", "A 25338-2026")</f>
        <v/>
      </c>
    </row>
    <row r="66" ht="15" customHeight="1">
      <c r="A66" t="inlineStr">
        <is>
          <t>A 25420-2026</t>
        </is>
      </c>
      <c r="B66" t="inlineStr">
        <is>
          <t>avverkningsanmälan</t>
        </is>
      </c>
      <c r="C66" t="inlineStr">
        <is>
          <t>Föryngringsavverkning</t>
        </is>
      </c>
      <c r="D66" s="1" t="n">
        <v>46177</v>
      </c>
      <c r="E66" s="1" t="n">
        <v>46216</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s="2" t="inlineStr">
        <is>
          <t>Gullpudra
Huggorm</t>
        </is>
      </c>
      <c r="V66">
        <f>HYPERLINK("https://klasma.github.io/Logging_2083/artfynd/A 25420-2026 artfynd.xlsx", "A 25420-2026")</f>
        <v/>
      </c>
      <c r="W66">
        <f>HYPERLINK("https://klasma.github.io/Logging_2083/kartor/A 25420-2026 karta.png", "A 25420-2026")</f>
        <v/>
      </c>
      <c r="Y66">
        <f>HYPERLINK("https://klasma.github.io/Logging_2083/klagomål/A 25420-2026 FSC-klagomål.docx", "A 25420-2026")</f>
        <v/>
      </c>
      <c r="Z66">
        <f>HYPERLINK("https://klasma.github.io/Logging_2083/klagomålsmail/A 25420-2026 FSC-klagomål mail.docx", "A 25420-2026")</f>
        <v/>
      </c>
      <c r="AA66">
        <f>HYPERLINK("https://klasma.github.io/Logging_2083/tillsyn/A 25420-2026 tillsynsbegäran.docx", "A 25420-2026")</f>
        <v/>
      </c>
      <c r="AB66">
        <f>HYPERLINK("https://klasma.github.io/Logging_2083/tillsynsmail/A 25420-2026 tillsynsbegäran mail.docx", "A 25420-2026")</f>
        <v/>
      </c>
    </row>
    <row r="67" ht="15" customHeight="1">
      <c r="A67" t="inlineStr">
        <is>
          <t>A 25876-2026</t>
        </is>
      </c>
      <c r="B67" t="inlineStr">
        <is>
          <t>avverkningsanmälan</t>
        </is>
      </c>
      <c r="C67" t="inlineStr">
        <is>
          <t>Föryngringsavverkning</t>
        </is>
      </c>
      <c r="D67" s="1" t="n">
        <v>46178</v>
      </c>
      <c r="E67" s="1" t="n">
        <v>46216</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s="2" t="inlineStr">
        <is>
          <t>Knärot
Bronshjon</t>
        </is>
      </c>
      <c r="V67">
        <f>HYPERLINK("https://klasma.github.io/Logging_2083/artfynd/A 25876-2026 artfynd.xlsx", "A 25876-2026")</f>
        <v/>
      </c>
      <c r="W67">
        <f>HYPERLINK("https://klasma.github.io/Logging_2083/kartor/A 25876-2026 karta.png", "A 25876-2026")</f>
        <v/>
      </c>
      <c r="X67">
        <f>HYPERLINK("https://klasma.github.io/Logging_2083/knärot/A 25876-2026 karta knärot.png", "A 25876-2026")</f>
        <v/>
      </c>
      <c r="Y67">
        <f>HYPERLINK("https://klasma.github.io/Logging_2083/klagomål/A 25876-2026 FSC-klagomål.docx", "A 25876-2026")</f>
        <v/>
      </c>
      <c r="Z67">
        <f>HYPERLINK("https://klasma.github.io/Logging_2083/klagomålsmail/A 25876-2026 FSC-klagomål mail.docx", "A 25876-2026")</f>
        <v/>
      </c>
      <c r="AA67">
        <f>HYPERLINK("https://klasma.github.io/Logging_2083/tillsyn/A 25876-2026 tillsynsbegäran.docx", "A 25876-2026")</f>
        <v/>
      </c>
      <c r="AB67">
        <f>HYPERLINK("https://klasma.github.io/Logging_2083/tillsynsmail/A 25876-2026 tillsynsbegäran mail.docx", "A 25876-2026")</f>
        <v/>
      </c>
    </row>
    <row r="68" ht="15" customHeight="1">
      <c r="A68" t="inlineStr">
        <is>
          <t>A 25884-2026</t>
        </is>
      </c>
      <c r="B68" t="inlineStr">
        <is>
          <t>avverkningsanmälan</t>
        </is>
      </c>
      <c r="C68" t="inlineStr">
        <is>
          <t>Föryngringsavverkning</t>
        </is>
      </c>
      <c r="D68" s="1" t="n">
        <v>46178</v>
      </c>
      <c r="E68" s="1" t="n">
        <v>46216</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s="2" t="inlineStr">
        <is>
          <t>Kungsörn
Tjäder</t>
        </is>
      </c>
      <c r="V68">
        <f>HYPERLINK("https://klasma.github.io/Logging_2083/artfynd/A 25884-2026 artfynd.xlsx", "A 25884-2026")</f>
        <v/>
      </c>
      <c r="W68">
        <f>HYPERLINK("https://klasma.github.io/Logging_2083/kartor/A 25884-2026 karta.png", "A 25884-2026")</f>
        <v/>
      </c>
      <c r="Y68">
        <f>HYPERLINK("https://klasma.github.io/Logging_2083/klagomål/A 25884-2026 FSC-klagomål.docx", "A 25884-2026")</f>
        <v/>
      </c>
      <c r="Z68">
        <f>HYPERLINK("https://klasma.github.io/Logging_2083/klagomålsmail/A 25884-2026 FSC-klagomål mail.docx", "A 25884-2026")</f>
        <v/>
      </c>
      <c r="AA68">
        <f>HYPERLINK("https://klasma.github.io/Logging_2083/tillsyn/A 25884-2026 tillsynsbegäran.docx", "A 25884-2026")</f>
        <v/>
      </c>
      <c r="AB68">
        <f>HYPERLINK("https://klasma.github.io/Logging_2083/tillsynsmail/A 25884-2026 tillsynsbegäran mail.docx", "A 25884-2026")</f>
        <v/>
      </c>
      <c r="AC68">
        <f>HYPERLINK("https://klasma.github.io/Logging_2083/fåglar/A 25884-2026 prioriterade fågelarter.docx", "A 25884-2026")</f>
        <v/>
      </c>
    </row>
    <row r="69" ht="15" customHeight="1">
      <c r="A69" t="inlineStr">
        <is>
          <t>A 26904-2026</t>
        </is>
      </c>
      <c r="B69" t="inlineStr">
        <is>
          <t>avverkningsanmälan</t>
        </is>
      </c>
      <c r="C69" t="inlineStr">
        <is>
          <t>Föryngringsavverkning</t>
        </is>
      </c>
      <c r="D69" s="1" t="n">
        <v>46185</v>
      </c>
      <c r="E69" s="1" t="n">
        <v>46216</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s="2" t="inlineStr">
        <is>
          <t>Spillkråka
Kungsfågel</t>
        </is>
      </c>
      <c r="V69">
        <f>HYPERLINK("https://klasma.github.io/Logging_2083/artfynd/A 26904-2026 artfynd.xlsx", "A 26904-2026")</f>
        <v/>
      </c>
      <c r="W69">
        <f>HYPERLINK("https://klasma.github.io/Logging_2083/kartor/A 26904-2026 karta.png", "A 26904-2026")</f>
        <v/>
      </c>
      <c r="Y69">
        <f>HYPERLINK("https://klasma.github.io/Logging_2083/klagomål/A 26904-2026 FSC-klagomål.docx", "A 26904-2026")</f>
        <v/>
      </c>
      <c r="Z69">
        <f>HYPERLINK("https://klasma.github.io/Logging_2083/klagomålsmail/A 26904-2026 FSC-klagomål mail.docx", "A 26904-2026")</f>
        <v/>
      </c>
      <c r="AA69">
        <f>HYPERLINK("https://klasma.github.io/Logging_2083/tillsyn/A 26904-2026 tillsynsbegäran.docx", "A 26904-2026")</f>
        <v/>
      </c>
      <c r="AB69">
        <f>HYPERLINK("https://klasma.github.io/Logging_2083/tillsynsmail/A 26904-2026 tillsynsbegäran mail.docx", "A 26904-2026")</f>
        <v/>
      </c>
      <c r="AC69">
        <f>HYPERLINK("https://klasma.github.io/Logging_2083/fåglar/A 26904-2026 prioriterade fågelarter.docx", "A 26904-2026")</f>
        <v/>
      </c>
    </row>
    <row r="70" ht="15" customHeight="1">
      <c r="A70" t="inlineStr">
        <is>
          <t>A 22762-2026</t>
        </is>
      </c>
      <c r="B70" t="inlineStr">
        <is>
          <t>avverkningsanmälan</t>
        </is>
      </c>
      <c r="C70" t="inlineStr">
        <is>
          <t>Föryngringsavverkning</t>
        </is>
      </c>
      <c r="D70" s="1" t="n">
        <v>46157</v>
      </c>
      <c r="E70" s="1" t="n">
        <v>46216</v>
      </c>
      <c r="F70" t="inlineStr">
        <is>
          <t>DALARNAS LÄN</t>
        </is>
      </c>
      <c r="G70" t="inlineStr">
        <is>
          <t>HEDEMORA</t>
        </is>
      </c>
      <c r="H70" t="inlineStr">
        <is>
          <t>Bergvik skog väst AB</t>
        </is>
      </c>
      <c r="I70" t="n">
        <v>2.2</v>
      </c>
      <c r="J70" t="n">
        <v>0</v>
      </c>
      <c r="K70" t="n">
        <v>0</v>
      </c>
      <c r="L70" t="n">
        <v>2</v>
      </c>
      <c r="M70" t="n">
        <v>0</v>
      </c>
      <c r="N70" t="n">
        <v>0</v>
      </c>
      <c r="O70" t="n">
        <v>0</v>
      </c>
      <c r="P70" t="n">
        <v>0</v>
      </c>
      <c r="Q70" t="n">
        <v>2</v>
      </c>
      <c r="R70" t="n">
        <v>0</v>
      </c>
      <c r="S70" t="n">
        <v>2</v>
      </c>
      <c r="T70" t="n">
        <v>2</v>
      </c>
      <c r="U70" s="2" t="inlineStr">
        <is>
          <t>Rosenticka
Rynkskinn</t>
        </is>
      </c>
      <c r="V70">
        <f>HYPERLINK("https://klasma.github.io/Logging_2083/artfynd/A 22762-2026 artfynd.xlsx", "A 22762-2026")</f>
        <v/>
      </c>
      <c r="W70">
        <f>HYPERLINK("https://klasma.github.io/Logging_2083/kartor/A 22762-2026 karta.png", "A 22762-2026")</f>
        <v/>
      </c>
      <c r="Y70">
        <f>HYPERLINK("https://klasma.github.io/Logging_2083/klagomål/A 22762-2026 FSC-klagomål.docx", "A 22762-2026")</f>
        <v/>
      </c>
      <c r="Z70">
        <f>HYPERLINK("https://klasma.github.io/Logging_2083/klagomålsmail/A 22762-2026 FSC-klagomål mail.docx", "A 22762-2026")</f>
        <v/>
      </c>
      <c r="AA70">
        <f>HYPERLINK("https://klasma.github.io/Logging_2083/tillsyn/A 22762-2026 tillsynsbegäran.docx", "A 22762-2026")</f>
        <v/>
      </c>
      <c r="AB70">
        <f>HYPERLINK("https://klasma.github.io/Logging_2083/tillsynsmail/A 22762-2026 tillsynsbegäran mail.docx", "A 22762-2026")</f>
        <v/>
      </c>
    </row>
    <row r="71" ht="15" customHeight="1">
      <c r="A71" t="inlineStr">
        <is>
          <t>A 29521-2026</t>
        </is>
      </c>
      <c r="B71" t="inlineStr">
        <is>
          <t>avverkningsanmälan</t>
        </is>
      </c>
      <c r="C71" t="inlineStr">
        <is>
          <t>Föryngringsavverkning</t>
        </is>
      </c>
      <c r="D71" s="1" t="n">
        <v>46198</v>
      </c>
      <c r="E71" s="1" t="n">
        <v>46216</v>
      </c>
      <c r="F71" t="inlineStr">
        <is>
          <t>DALARNAS LÄN</t>
        </is>
      </c>
      <c r="G71" t="inlineStr">
        <is>
          <t>HEDEMORA</t>
        </is>
      </c>
      <c r="I71" t="n">
        <v>14.9</v>
      </c>
      <c r="J71" t="n">
        <v>2</v>
      </c>
      <c r="K71" t="n">
        <v>0</v>
      </c>
      <c r="L71" t="n">
        <v>0</v>
      </c>
      <c r="M71" t="n">
        <v>0</v>
      </c>
      <c r="N71" t="n">
        <v>0</v>
      </c>
      <c r="O71" t="n">
        <v>0</v>
      </c>
      <c r="P71" t="n">
        <v>0</v>
      </c>
      <c r="Q71" t="n">
        <v>0</v>
      </c>
      <c r="R71" t="n">
        <v>0</v>
      </c>
      <c r="S71" t="n">
        <v>2</v>
      </c>
      <c r="T71" t="n">
        <v>3</v>
      </c>
      <c r="U71" s="2" t="inlineStr">
        <is>
          <t>Spillkråka
Revlummer</t>
        </is>
      </c>
      <c r="V71">
        <f>HYPERLINK("https://klasma.github.io/Logging_2083/artfynd/A 29521-2026 artfynd.xlsx", "A 29521-2026")</f>
        <v/>
      </c>
      <c r="W71">
        <f>HYPERLINK("https://klasma.github.io/Logging_2083/kartor/A 29521-2026 karta.png", "A 29521-2026")</f>
        <v/>
      </c>
      <c r="X71">
        <f>HYPERLINK("https://klasma.github.io/Logging_2083/knärot/A 29521-2026 karta knärot.png", "A 29521-2026")</f>
        <v/>
      </c>
      <c r="Y71">
        <f>HYPERLINK("https://klasma.github.io/Logging_2083/klagomål/A 29521-2026 FSC-klagomål.docx", "A 29521-2026")</f>
        <v/>
      </c>
      <c r="Z71">
        <f>HYPERLINK("https://klasma.github.io/Logging_2083/klagomålsmail/A 29521-2026 FSC-klagomål mail.docx", "A 29521-2026")</f>
        <v/>
      </c>
      <c r="AA71">
        <f>HYPERLINK("https://klasma.github.io/Logging_2083/tillsyn/A 29521-2026 tillsynsbegäran.docx", "A 29521-2026")</f>
        <v/>
      </c>
      <c r="AB71">
        <f>HYPERLINK("https://klasma.github.io/Logging_2083/tillsynsmail/A 29521-2026 tillsynsbegäran mail.docx", "A 29521-2026")</f>
        <v/>
      </c>
      <c r="AC71">
        <f>HYPERLINK("https://klasma.github.io/Logging_2083/fåglar/A 29521-2026 prioriterade fågelarter.docx", "A 29521-2026")</f>
        <v/>
      </c>
    </row>
    <row r="72" ht="15" customHeight="1">
      <c r="A72" t="inlineStr">
        <is>
          <t>S 931-2023</t>
        </is>
      </c>
      <c r="B72" t="inlineStr">
        <is>
          <t>samrådsanmälan</t>
        </is>
      </c>
      <c r="C72" t="inlineStr">
        <is>
          <t>Askåterföring</t>
        </is>
      </c>
      <c r="D72" s="1" t="n">
        <v>45001</v>
      </c>
      <c r="E72" s="1" t="n">
        <v>46216</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s="2" t="inlineStr">
        <is>
          <t>Garnlav
Vågbandad barkbock</t>
        </is>
      </c>
      <c r="V72">
        <f>HYPERLINK("https://klasma.github.io/Logging_2083/artfynd/S 931-2023 artfynd.xlsx", "S 931-2023")</f>
        <v/>
      </c>
      <c r="W72">
        <f>HYPERLINK("https://klasma.github.io/Logging_2083/kartor/S 931-2023 karta.png", "S 931-2023")</f>
        <v/>
      </c>
      <c r="Y72">
        <f>HYPERLINK("https://klasma.github.io/Logging_2083/klagomål/S 931-2023 FSC-klagomål.docx", "S 931-2023")</f>
        <v/>
      </c>
      <c r="Z72">
        <f>HYPERLINK("https://klasma.github.io/Logging_2083/klagomålsmail/S 931-2023 FSC-klagomål mail.docx", "S 931-2023")</f>
        <v/>
      </c>
      <c r="AA72">
        <f>HYPERLINK("https://klasma.github.io/Logging_2083/tillsyn/S 931-2023 tillsynsbegäran.docx", "S 931-2023")</f>
        <v/>
      </c>
      <c r="AB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46216</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s="2" t="inlineStr">
        <is>
          <t>Linmåra/småsnärjmåra
Motaggsvamp</t>
        </is>
      </c>
      <c r="V73">
        <f>HYPERLINK("https://klasma.github.io/Logging_2083/artfynd/S 10368-2021 artfynd.xlsx", "S 10368-2021")</f>
        <v/>
      </c>
      <c r="W73">
        <f>HYPERLINK("https://klasma.github.io/Logging_2083/kartor/S 10368-2021 karta.png", "S 10368-2021")</f>
        <v/>
      </c>
      <c r="Y73">
        <f>HYPERLINK("https://klasma.github.io/Logging_2083/klagomål/S 10368-2021 FSC-klagomål.docx", "S 10368-2021")</f>
        <v/>
      </c>
      <c r="Z73">
        <f>HYPERLINK("https://klasma.github.io/Logging_2083/klagomålsmail/S 10368-2021 FSC-klagomål mail.docx", "S 10368-2021")</f>
        <v/>
      </c>
      <c r="AA73">
        <f>HYPERLINK("https://klasma.github.io/Logging_2083/tillsyn/S 10368-2021 tillsynsbegäran.docx", "S 10368-2021")</f>
        <v/>
      </c>
      <c r="AB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46216</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s="2" t="inlineStr">
        <is>
          <t>Järpe
Tjäder</t>
        </is>
      </c>
      <c r="V74">
        <f>HYPERLINK("https://klasma.github.io/Logging_2083/artfynd/S 227-2024 artfynd.xlsx", "S 227-2024")</f>
        <v/>
      </c>
      <c r="W74">
        <f>HYPERLINK("https://klasma.github.io/Logging_2083/kartor/S 227-2024 karta.png", "S 227-2024")</f>
        <v/>
      </c>
      <c r="Y74">
        <f>HYPERLINK("https://klasma.github.io/Logging_2083/klagomål/S 227-2024 FSC-klagomål.docx", "S 227-2024")</f>
        <v/>
      </c>
      <c r="Z74">
        <f>HYPERLINK("https://klasma.github.io/Logging_2083/klagomålsmail/S 227-2024 FSC-klagomål mail.docx", "S 227-2024")</f>
        <v/>
      </c>
      <c r="AA74">
        <f>HYPERLINK("https://klasma.github.io/Logging_2083/tillsyn/S 227-2024 tillsynsbegäran.docx", "S 227-2024")</f>
        <v/>
      </c>
      <c r="AB74">
        <f>HYPERLINK("https://klasma.github.io/Logging_2083/tillsynsmail/S 227-2024 tillsynsbegäran mail.docx", "S 227-2024")</f>
        <v/>
      </c>
      <c r="AC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46216</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s="2" t="inlineStr">
        <is>
          <t>Talltita</t>
        </is>
      </c>
      <c r="V75">
        <f>HYPERLINK("https://klasma.github.io/Logging_2083/artfynd/A 53915-2022 artfynd.xlsx", "A 53915-2022")</f>
        <v/>
      </c>
      <c r="W75">
        <f>HYPERLINK("https://klasma.github.io/Logging_2083/kartor/A 53915-2022 karta.png", "A 53915-2022")</f>
        <v/>
      </c>
      <c r="Y75">
        <f>HYPERLINK("https://klasma.github.io/Logging_2083/klagomål/A 53915-2022 FSC-klagomål.docx", "A 53915-2022")</f>
        <v/>
      </c>
      <c r="Z75">
        <f>HYPERLINK("https://klasma.github.io/Logging_2083/klagomålsmail/A 53915-2022 FSC-klagomål mail.docx", "A 53915-2022")</f>
        <v/>
      </c>
      <c r="AA75">
        <f>HYPERLINK("https://klasma.github.io/Logging_2083/tillsyn/A 53915-2022 tillsynsbegäran.docx", "A 53915-2022")</f>
        <v/>
      </c>
      <c r="AB75">
        <f>HYPERLINK("https://klasma.github.io/Logging_2083/tillsynsmail/A 53915-2022 tillsynsbegäran mail.docx", "A 53915-2022")</f>
        <v/>
      </c>
      <c r="AC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46216</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s="2" t="inlineStr">
        <is>
          <t>Fläcknycklar</t>
        </is>
      </c>
      <c r="V76">
        <f>HYPERLINK("https://klasma.github.io/Logging_2083/artfynd/A 1666-2022 artfynd.xlsx", "A 1666-2022")</f>
        <v/>
      </c>
      <c r="W76">
        <f>HYPERLINK("https://klasma.github.io/Logging_2083/kartor/A 1666-2022 karta.png", "A 1666-2022")</f>
        <v/>
      </c>
      <c r="Y76">
        <f>HYPERLINK("https://klasma.github.io/Logging_2083/klagomål/A 1666-2022 FSC-klagomål.docx", "A 1666-2022")</f>
        <v/>
      </c>
      <c r="Z76">
        <f>HYPERLINK("https://klasma.github.io/Logging_2083/klagomålsmail/A 1666-2022 FSC-klagomål mail.docx", "A 1666-2022")</f>
        <v/>
      </c>
      <c r="AA76">
        <f>HYPERLINK("https://klasma.github.io/Logging_2083/tillsyn/A 1666-2022 tillsynsbegäran.docx", "A 1666-2022")</f>
        <v/>
      </c>
      <c r="AB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46216</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s="2" t="inlineStr">
        <is>
          <t>Spillkråka</t>
        </is>
      </c>
      <c r="V77">
        <f>HYPERLINK("https://klasma.github.io/Logging_2083/artfynd/A 53916-2022 artfynd.xlsx", "A 53916-2022")</f>
        <v/>
      </c>
      <c r="W77">
        <f>HYPERLINK("https://klasma.github.io/Logging_2083/kartor/A 53916-2022 karta.png", "A 53916-2022")</f>
        <v/>
      </c>
      <c r="Y77">
        <f>HYPERLINK("https://klasma.github.io/Logging_2083/klagomål/A 53916-2022 FSC-klagomål.docx", "A 53916-2022")</f>
        <v/>
      </c>
      <c r="Z77">
        <f>HYPERLINK("https://klasma.github.io/Logging_2083/klagomålsmail/A 53916-2022 FSC-klagomål mail.docx", "A 53916-2022")</f>
        <v/>
      </c>
      <c r="AA77">
        <f>HYPERLINK("https://klasma.github.io/Logging_2083/tillsyn/A 53916-2022 tillsynsbegäran.docx", "A 53916-2022")</f>
        <v/>
      </c>
      <c r="AB77">
        <f>HYPERLINK("https://klasma.github.io/Logging_2083/tillsynsmail/A 53916-2022 tillsynsbegäran mail.docx", "A 53916-2022")</f>
        <v/>
      </c>
      <c r="AC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46216</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s="2" t="inlineStr">
        <is>
          <t>Knärot</t>
        </is>
      </c>
      <c r="V78">
        <f>HYPERLINK("https://klasma.github.io/Logging_2083/artfynd/A 49889-2022 artfynd.xlsx", "A 49889-2022")</f>
        <v/>
      </c>
      <c r="W78">
        <f>HYPERLINK("https://klasma.github.io/Logging_2083/kartor/A 49889-2022 karta.png", "A 49889-2022")</f>
        <v/>
      </c>
      <c r="X78">
        <f>HYPERLINK("https://klasma.github.io/Logging_2083/knärot/A 49889-2022 karta knärot.png", "A 49889-2022")</f>
        <v/>
      </c>
      <c r="Y78">
        <f>HYPERLINK("https://klasma.github.io/Logging_2083/klagomål/A 49889-2022 FSC-klagomål.docx", "A 49889-2022")</f>
        <v/>
      </c>
      <c r="Z78">
        <f>HYPERLINK("https://klasma.github.io/Logging_2083/klagomålsmail/A 49889-2022 FSC-klagomål mail.docx", "A 49889-2022")</f>
        <v/>
      </c>
      <c r="AA78">
        <f>HYPERLINK("https://klasma.github.io/Logging_2083/tillsyn/A 49889-2022 tillsynsbegäran.docx", "A 49889-2022")</f>
        <v/>
      </c>
      <c r="AB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46216</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s="2" t="inlineStr">
        <is>
          <t>Knärot</t>
        </is>
      </c>
      <c r="V79">
        <f>HYPERLINK("https://klasma.github.io/Logging_2083/artfynd/A 39396-2025 artfynd.xlsx", "A 39396-2025")</f>
        <v/>
      </c>
      <c r="W79">
        <f>HYPERLINK("https://klasma.github.io/Logging_2083/kartor/A 39396-2025 karta.png", "A 39396-2025")</f>
        <v/>
      </c>
      <c r="X79">
        <f>HYPERLINK("https://klasma.github.io/Logging_2083/knärot/A 39396-2025 karta knärot.png", "A 39396-2025")</f>
        <v/>
      </c>
      <c r="Y79">
        <f>HYPERLINK("https://klasma.github.io/Logging_2083/klagomål/A 39396-2025 FSC-klagomål.docx", "A 39396-2025")</f>
        <v/>
      </c>
      <c r="Z79">
        <f>HYPERLINK("https://klasma.github.io/Logging_2083/klagomålsmail/A 39396-2025 FSC-klagomål mail.docx", "A 39396-2025")</f>
        <v/>
      </c>
      <c r="AA79">
        <f>HYPERLINK("https://klasma.github.io/Logging_2083/tillsyn/A 39396-2025 tillsynsbegäran.docx", "A 39396-2025")</f>
        <v/>
      </c>
      <c r="AB79">
        <f>HYPERLINK("https://klasma.github.io/Logging_2083/tillsynsmail/A 39396-2025 tillsynsbegäran mail.docx", "A 39396-2025")</f>
        <v/>
      </c>
    </row>
    <row r="80" ht="15" customHeight="1">
      <c r="A80" t="inlineStr">
        <is>
          <t>A 28183-2025</t>
        </is>
      </c>
      <c r="B80" t="inlineStr">
        <is>
          <t>avverkningsanmälan</t>
        </is>
      </c>
      <c r="C80" t="inlineStr">
        <is>
          <t>Föryngringsavverkning</t>
        </is>
      </c>
      <c r="D80" s="1" t="n">
        <v>45818</v>
      </c>
      <c r="E80" s="1" t="n">
        <v>46216</v>
      </c>
      <c r="F80" t="inlineStr">
        <is>
          <t>DALARNAS LÄN</t>
        </is>
      </c>
      <c r="G80" t="inlineStr">
        <is>
          <t>HEDEMORA</t>
        </is>
      </c>
      <c r="H80" t="inlineStr">
        <is>
          <t>Sveaskog</t>
        </is>
      </c>
      <c r="I80" t="n">
        <v>2.7</v>
      </c>
      <c r="J80" t="n">
        <v>1</v>
      </c>
      <c r="K80" t="n">
        <v>0</v>
      </c>
      <c r="L80" t="n">
        <v>1</v>
      </c>
      <c r="M80" t="n">
        <v>0</v>
      </c>
      <c r="N80" t="n">
        <v>0</v>
      </c>
      <c r="O80" t="n">
        <v>0</v>
      </c>
      <c r="P80" t="n">
        <v>0</v>
      </c>
      <c r="Q80" t="n">
        <v>1</v>
      </c>
      <c r="R80" t="n">
        <v>0</v>
      </c>
      <c r="S80" t="n">
        <v>1</v>
      </c>
      <c r="T80" t="n">
        <v>1</v>
      </c>
      <c r="U80" s="2" t="inlineStr">
        <is>
          <t>Brunlångöra</t>
        </is>
      </c>
      <c r="V80">
        <f>HYPERLINK("https://klasma.github.io/Logging_2083/artfynd/A 28183-2025 artfynd.xlsx", "A 28183-2025")</f>
        <v/>
      </c>
      <c r="W80">
        <f>HYPERLINK("https://klasma.github.io/Logging_2083/kartor/A 28183-2025 karta.png", "A 28183-2025")</f>
        <v/>
      </c>
      <c r="Y80">
        <f>HYPERLINK("https://klasma.github.io/Logging_2083/klagomål/A 28183-2025 FSC-klagomål.docx", "A 28183-2025")</f>
        <v/>
      </c>
      <c r="Z80">
        <f>HYPERLINK("https://klasma.github.io/Logging_2083/klagomålsmail/A 28183-2025 FSC-klagomål mail.docx", "A 28183-2025")</f>
        <v/>
      </c>
      <c r="AA80">
        <f>HYPERLINK("https://klasma.github.io/Logging_2083/tillsyn/A 28183-2025 tillsynsbegäran.docx", "A 28183-2025")</f>
        <v/>
      </c>
      <c r="AB80">
        <f>HYPERLINK("https://klasma.github.io/Logging_2083/tillsynsmail/A 28183-2025 tillsynsbegäran mail.docx", "A 28183-2025")</f>
        <v/>
      </c>
    </row>
    <row r="81" ht="15" customHeight="1">
      <c r="A81" t="inlineStr">
        <is>
          <t>A 28181-2025</t>
        </is>
      </c>
      <c r="B81" t="inlineStr">
        <is>
          <t>avverkningsanmälan</t>
        </is>
      </c>
      <c r="C81" t="inlineStr">
        <is>
          <t>Föryngringsavverkning</t>
        </is>
      </c>
      <c r="D81" s="1" t="n">
        <v>45818</v>
      </c>
      <c r="E81" s="1" t="n">
        <v>46216</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s="2" t="inlineStr">
        <is>
          <t>Plattlummer</t>
        </is>
      </c>
      <c r="V81">
        <f>HYPERLINK("https://klasma.github.io/Logging_2083/artfynd/A 28181-2025 artfynd.xlsx", "A 28181-2025")</f>
        <v/>
      </c>
      <c r="W81">
        <f>HYPERLINK("https://klasma.github.io/Logging_2083/kartor/A 28181-2025 karta.png", "A 28181-2025")</f>
        <v/>
      </c>
      <c r="Y81">
        <f>HYPERLINK("https://klasma.github.io/Logging_2083/klagomål/A 28181-2025 FSC-klagomål.docx", "A 28181-2025")</f>
        <v/>
      </c>
      <c r="Z81">
        <f>HYPERLINK("https://klasma.github.io/Logging_2083/klagomålsmail/A 28181-2025 FSC-klagomål mail.docx", "A 28181-2025")</f>
        <v/>
      </c>
      <c r="AA81">
        <f>HYPERLINK("https://klasma.github.io/Logging_2083/tillsyn/A 28181-2025 tillsynsbegäran.docx", "A 28181-2025")</f>
        <v/>
      </c>
      <c r="AB81">
        <f>HYPERLINK("https://klasma.github.io/Logging_2083/tillsynsmail/A 28181-2025 tillsynsbegäran mail.docx", "A 28181-2025")</f>
        <v/>
      </c>
    </row>
    <row r="82" ht="15" customHeight="1">
      <c r="A82" t="inlineStr">
        <is>
          <t>A 15036-2025</t>
        </is>
      </c>
      <c r="B82" t="inlineStr">
        <is>
          <t>avverkningsanmälan</t>
        </is>
      </c>
      <c r="C82" t="inlineStr">
        <is>
          <t>Föryngringsavverkning</t>
        </is>
      </c>
      <c r="D82" s="1" t="n">
        <v>45743</v>
      </c>
      <c r="E82" s="1" t="n">
        <v>46216</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s="2" t="inlineStr">
        <is>
          <t>Kolflarnlav</t>
        </is>
      </c>
      <c r="V82">
        <f>HYPERLINK("https://klasma.github.io/Logging_2083/artfynd/A 15036-2025 artfynd.xlsx", "A 15036-2025")</f>
        <v/>
      </c>
      <c r="W82">
        <f>HYPERLINK("https://klasma.github.io/Logging_2083/kartor/A 15036-2025 karta.png", "A 15036-2025")</f>
        <v/>
      </c>
      <c r="Y82">
        <f>HYPERLINK("https://klasma.github.io/Logging_2083/klagomål/A 15036-2025 FSC-klagomål.docx", "A 15036-2025")</f>
        <v/>
      </c>
      <c r="Z82">
        <f>HYPERLINK("https://klasma.github.io/Logging_2083/klagomålsmail/A 15036-2025 FSC-klagomål mail.docx", "A 15036-2025")</f>
        <v/>
      </c>
      <c r="AA82">
        <f>HYPERLINK("https://klasma.github.io/Logging_2083/tillsyn/A 15036-2025 tillsynsbegäran.docx", "A 15036-2025")</f>
        <v/>
      </c>
      <c r="AB82">
        <f>HYPERLINK("https://klasma.github.io/Logging_2083/tillsynsmail/A 15036-2025 tillsynsbegäran mail.docx", "A 15036-2025")</f>
        <v/>
      </c>
    </row>
    <row r="83" ht="15" customHeight="1">
      <c r="A83" t="inlineStr">
        <is>
          <t>A 15054-2025</t>
        </is>
      </c>
      <c r="B83" t="inlineStr">
        <is>
          <t>avverkningsanmälan</t>
        </is>
      </c>
      <c r="C83" t="inlineStr">
        <is>
          <t>Föryngringsavverkning</t>
        </is>
      </c>
      <c r="D83" s="1" t="n">
        <v>45743</v>
      </c>
      <c r="E83" s="1" t="n">
        <v>46216</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s="2" t="inlineStr">
        <is>
          <t>Dropptaggsvamp</t>
        </is>
      </c>
      <c r="V83">
        <f>HYPERLINK("https://klasma.github.io/Logging_2083/artfynd/A 15054-2025 artfynd.xlsx", "A 15054-2025")</f>
        <v/>
      </c>
      <c r="W83">
        <f>HYPERLINK("https://klasma.github.io/Logging_2083/kartor/A 15054-2025 karta.png", "A 15054-2025")</f>
        <v/>
      </c>
      <c r="Y83">
        <f>HYPERLINK("https://klasma.github.io/Logging_2083/klagomål/A 15054-2025 FSC-klagomål.docx", "A 15054-2025")</f>
        <v/>
      </c>
      <c r="Z83">
        <f>HYPERLINK("https://klasma.github.io/Logging_2083/klagomålsmail/A 15054-2025 FSC-klagomål mail.docx", "A 15054-2025")</f>
        <v/>
      </c>
      <c r="AA83">
        <f>HYPERLINK("https://klasma.github.io/Logging_2083/tillsyn/A 15054-2025 tillsynsbegäran.docx", "A 15054-2025")</f>
        <v/>
      </c>
      <c r="AB83">
        <f>HYPERLINK("https://klasma.github.io/Logging_2083/tillsynsmail/A 15054-2025 tillsynsbegäran mail.docx", "A 15054-2025")</f>
        <v/>
      </c>
    </row>
    <row r="84" ht="15" customHeight="1">
      <c r="A84" t="inlineStr">
        <is>
          <t>A 15058-2025</t>
        </is>
      </c>
      <c r="B84" t="inlineStr">
        <is>
          <t>avverkningsanmälan</t>
        </is>
      </c>
      <c r="C84" t="inlineStr">
        <is>
          <t>Föryngringsavverkning</t>
        </is>
      </c>
      <c r="D84" s="1" t="n">
        <v>45743</v>
      </c>
      <c r="E84" s="1" t="n">
        <v>46216</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s="2" t="inlineStr">
        <is>
          <t>Dropptaggsvamp</t>
        </is>
      </c>
      <c r="V84">
        <f>HYPERLINK("https://klasma.github.io/Logging_2083/artfynd/A 15058-2025 artfynd.xlsx", "A 15058-2025")</f>
        <v/>
      </c>
      <c r="W84">
        <f>HYPERLINK("https://klasma.github.io/Logging_2083/kartor/A 15058-2025 karta.png", "A 15058-2025")</f>
        <v/>
      </c>
      <c r="Y84">
        <f>HYPERLINK("https://klasma.github.io/Logging_2083/klagomål/A 15058-2025 FSC-klagomål.docx", "A 15058-2025")</f>
        <v/>
      </c>
      <c r="Z84">
        <f>HYPERLINK("https://klasma.github.io/Logging_2083/klagomålsmail/A 15058-2025 FSC-klagomål mail.docx", "A 15058-2025")</f>
        <v/>
      </c>
      <c r="AA84">
        <f>HYPERLINK("https://klasma.github.io/Logging_2083/tillsyn/A 15058-2025 tillsynsbegäran.docx", "A 15058-2025")</f>
        <v/>
      </c>
      <c r="AB84">
        <f>HYPERLINK("https://klasma.github.io/Logging_2083/tillsynsmail/A 15058-2025 tillsynsbegäran mail.docx", "A 15058-2025")</f>
        <v/>
      </c>
    </row>
    <row r="85" ht="15" customHeight="1">
      <c r="A85" t="inlineStr">
        <is>
          <t>A 19094-2025</t>
        </is>
      </c>
      <c r="B85" t="inlineStr">
        <is>
          <t>avverkningsanmälan</t>
        </is>
      </c>
      <c r="C85" t="inlineStr">
        <is>
          <t>Föryngringsavverkning</t>
        </is>
      </c>
      <c r="D85" s="1" t="n">
        <v>45767</v>
      </c>
      <c r="E85" s="1" t="n">
        <v>46216</v>
      </c>
      <c r="F85" t="inlineStr">
        <is>
          <t>DALARNAS LÄN</t>
        </is>
      </c>
      <c r="G85" t="inlineStr">
        <is>
          <t>HEDEMORA</t>
        </is>
      </c>
      <c r="H85" t="inlineStr">
        <is>
          <t>Sveaskog</t>
        </is>
      </c>
      <c r="I85" t="n">
        <v>16.9</v>
      </c>
      <c r="J85" t="n">
        <v>1</v>
      </c>
      <c r="K85" t="n">
        <v>1</v>
      </c>
      <c r="L85" t="n">
        <v>0</v>
      </c>
      <c r="M85" t="n">
        <v>0</v>
      </c>
      <c r="N85" t="n">
        <v>0</v>
      </c>
      <c r="O85" t="n">
        <v>0</v>
      </c>
      <c r="P85" t="n">
        <v>0</v>
      </c>
      <c r="Q85" t="n">
        <v>0</v>
      </c>
      <c r="R85" t="n">
        <v>0</v>
      </c>
      <c r="S85" t="n">
        <v>1</v>
      </c>
      <c r="T85" t="n">
        <v>3</v>
      </c>
      <c r="U85" s="2" t="inlineStr">
        <is>
          <t>Plattlummer</t>
        </is>
      </c>
      <c r="V85">
        <f>HYPERLINK("https://klasma.github.io/Logging_2083/artfynd/A 19094-2025 artfynd.xlsx", "A 19094-2025")</f>
        <v/>
      </c>
      <c r="W85">
        <f>HYPERLINK("https://klasma.github.io/Logging_2083/kartor/A 19094-2025 karta.png", "A 19094-2025")</f>
        <v/>
      </c>
      <c r="Y85">
        <f>HYPERLINK("https://klasma.github.io/Logging_2083/klagomål/A 19094-2025 FSC-klagomål.docx", "A 19094-2025")</f>
        <v/>
      </c>
      <c r="Z85">
        <f>HYPERLINK("https://klasma.github.io/Logging_2083/klagomålsmail/A 19094-2025 FSC-klagomål mail.docx", "A 19094-2025")</f>
        <v/>
      </c>
      <c r="AA85">
        <f>HYPERLINK("https://klasma.github.io/Logging_2083/tillsyn/A 19094-2025 tillsynsbegäran.docx", "A 19094-2025")</f>
        <v/>
      </c>
      <c r="AB85">
        <f>HYPERLINK("https://klasma.github.io/Logging_2083/tillsynsmail/A 19094-2025 tillsynsbegäran mail.docx", "A 19094-2025")</f>
        <v/>
      </c>
    </row>
    <row r="86" ht="15" customHeight="1">
      <c r="A86" t="inlineStr">
        <is>
          <t>A 33968-2025</t>
        </is>
      </c>
      <c r="B86" t="inlineStr">
        <is>
          <t>avverkningsanmälan</t>
        </is>
      </c>
      <c r="C86" t="inlineStr">
        <is>
          <t>Föryngringsavverkning</t>
        </is>
      </c>
      <c r="D86" s="1" t="n">
        <v>45842</v>
      </c>
      <c r="E86" s="1" t="n">
        <v>46216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s="2" t="inlineStr">
        <is>
          <t>Plattlummer</t>
        </is>
      </c>
      <c r="V86">
        <f>HYPERLINK("https://klasma.github.io/Logging_2083/artfynd/A 33968-2025 artfynd.xlsx", "A 33968-2025")</f>
        <v/>
      </c>
      <c r="W86">
        <f>HYPERLINK("https://klasma.github.io/Logging_2083/kartor/A 33968-2025 karta.png", "A 33968-2025")</f>
        <v/>
      </c>
      <c r="Y86">
        <f>HYPERLINK("https://klasma.github.io/Logging_2083/klagomål/A 33968-2025 FSC-klagomål.docx", "A 33968-2025")</f>
        <v/>
      </c>
      <c r="Z86">
        <f>HYPERLINK("https://klasma.github.io/Logging_2083/klagomålsmail/A 33968-2025 FSC-klagomål mail.docx", "A 33968-2025")</f>
        <v/>
      </c>
      <c r="AA86">
        <f>HYPERLINK("https://klasma.github.io/Logging_2083/tillsyn/A 33968-2025 tillsynsbegäran.docx", "A 33968-2025")</f>
        <v/>
      </c>
      <c r="AB86">
        <f>HYPERLINK("https://klasma.github.io/Logging_2083/tillsynsmail/A 33968-2025 tillsynsbegäran mail.docx", "A 33968-2025")</f>
        <v/>
      </c>
    </row>
    <row r="87" ht="15" customHeight="1">
      <c r="A87" t="inlineStr">
        <is>
          <t>A 13986-2023</t>
        </is>
      </c>
      <c r="B87" t="inlineStr">
        <is>
          <t>avverkningsanmälan</t>
        </is>
      </c>
      <c r="C87" t="inlineStr">
        <is>
          <t>Föryngringsavverkning</t>
        </is>
      </c>
      <c r="D87" s="1" t="n">
        <v>45008</v>
      </c>
      <c r="E87" s="1" t="n">
        <v>46216</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s="2" t="inlineStr">
        <is>
          <t>Knärot</t>
        </is>
      </c>
      <c r="V87">
        <f>HYPERLINK("https://klasma.github.io/Logging_2083/artfynd/A 13986-2023 artfynd.xlsx", "A 13986-2023")</f>
        <v/>
      </c>
      <c r="W87">
        <f>HYPERLINK("https://klasma.github.io/Logging_2083/kartor/A 13986-2023 karta.png", "A 13986-2023")</f>
        <v/>
      </c>
      <c r="X87">
        <f>HYPERLINK("https://klasma.github.io/Logging_2083/knärot/A 13986-2023 karta knärot.png", "A 13986-2023")</f>
        <v/>
      </c>
      <c r="Y87">
        <f>HYPERLINK("https://klasma.github.io/Logging_2083/klagomål/A 13986-2023 FSC-klagomål.docx", "A 13986-2023")</f>
        <v/>
      </c>
      <c r="Z87">
        <f>HYPERLINK("https://klasma.github.io/Logging_2083/klagomålsmail/A 13986-2023 FSC-klagomål mail.docx", "A 13986-2023")</f>
        <v/>
      </c>
      <c r="AA87">
        <f>HYPERLINK("https://klasma.github.io/Logging_2083/tillsyn/A 13986-2023 tillsynsbegäran.docx", "A 13986-2023")</f>
        <v/>
      </c>
      <c r="AB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46216</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s="2" t="inlineStr">
        <is>
          <t>Igelkott</t>
        </is>
      </c>
      <c r="V88">
        <f>HYPERLINK("https://klasma.github.io/Logging_2083/artfynd/A 21514-2024 artfynd.xlsx", "A 21514-2024")</f>
        <v/>
      </c>
      <c r="W88">
        <f>HYPERLINK("https://klasma.github.io/Logging_2083/kartor/A 21514-2024 karta.png", "A 21514-2024")</f>
        <v/>
      </c>
      <c r="Y88">
        <f>HYPERLINK("https://klasma.github.io/Logging_2083/klagomål/A 21514-2024 FSC-klagomål.docx", "A 21514-2024")</f>
        <v/>
      </c>
      <c r="Z88">
        <f>HYPERLINK("https://klasma.github.io/Logging_2083/klagomålsmail/A 21514-2024 FSC-klagomål mail.docx", "A 21514-2024")</f>
        <v/>
      </c>
      <c r="AA88">
        <f>HYPERLINK("https://klasma.github.io/Logging_2083/tillsyn/A 21514-2024 tillsynsbegäran.docx", "A 21514-2024")</f>
        <v/>
      </c>
      <c r="AB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46216</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s="2" t="inlineStr">
        <is>
          <t>Bronshjon</t>
        </is>
      </c>
      <c r="V89">
        <f>HYPERLINK("https://klasma.github.io/Logging_2083/artfynd/A 7719-2026 artfynd.xlsx", "A 7719-2026")</f>
        <v/>
      </c>
      <c r="W89">
        <f>HYPERLINK("https://klasma.github.io/Logging_2083/kartor/A 7719-2026 karta.png", "A 7719-2026")</f>
        <v/>
      </c>
      <c r="X89">
        <f>HYPERLINK("https://klasma.github.io/Logging_2083/knärot/A 7719-2026 karta knärot.png", "A 7719-2026")</f>
        <v/>
      </c>
      <c r="Y89">
        <f>HYPERLINK("https://klasma.github.io/Logging_2083/klagomål/A 7719-2026 FSC-klagomål.docx", "A 7719-2026")</f>
        <v/>
      </c>
      <c r="Z89">
        <f>HYPERLINK("https://klasma.github.io/Logging_2083/klagomålsmail/A 7719-2026 FSC-klagomål mail.docx", "A 7719-2026")</f>
        <v/>
      </c>
      <c r="AA89">
        <f>HYPERLINK("https://klasma.github.io/Logging_2083/tillsyn/A 7719-2026 tillsynsbegäran.docx", "A 7719-2026")</f>
        <v/>
      </c>
      <c r="AB89">
        <f>HYPERLINK("https://klasma.github.io/Logging_2083/tillsynsmail/A 7719-2026 tillsynsbegäran mail.docx", "A 7719-2026")</f>
        <v/>
      </c>
    </row>
    <row r="90" ht="15" customHeight="1">
      <c r="A90" t="inlineStr">
        <is>
          <t>A 51111-2021</t>
        </is>
      </c>
      <c r="B90" t="inlineStr">
        <is>
          <t>avverkningsanmälan</t>
        </is>
      </c>
      <c r="C90" t="inlineStr">
        <is>
          <t>Föryngringsavverkning</t>
        </is>
      </c>
      <c r="D90" s="1" t="n">
        <v>44461</v>
      </c>
      <c r="E90" s="1" t="n">
        <v>46216</v>
      </c>
      <c r="F90" t="inlineStr">
        <is>
          <t>DALARNAS LÄN</t>
        </is>
      </c>
      <c r="G90" t="inlineStr">
        <is>
          <t>HEDEMORA</t>
        </is>
      </c>
      <c r="I90" t="n">
        <v>0.9</v>
      </c>
      <c r="J90" t="n">
        <v>1</v>
      </c>
      <c r="K90" t="n">
        <v>0</v>
      </c>
      <c r="L90" t="n">
        <v>0</v>
      </c>
      <c r="M90" t="n">
        <v>1</v>
      </c>
      <c r="N90" t="n">
        <v>0</v>
      </c>
      <c r="O90" t="n">
        <v>0</v>
      </c>
      <c r="P90" t="n">
        <v>0</v>
      </c>
      <c r="Q90" t="n">
        <v>1</v>
      </c>
      <c r="R90" t="n">
        <v>1</v>
      </c>
      <c r="S90" t="n">
        <v>1</v>
      </c>
      <c r="T90" t="n">
        <v>8</v>
      </c>
      <c r="U90" s="2" t="inlineStr">
        <is>
          <t>Knärot</t>
        </is>
      </c>
      <c r="V90">
        <f>HYPERLINK("https://klasma.github.io/Logging_2083/artfynd/A 51111-2021 artfynd.xlsx", "A 51111-2021")</f>
        <v/>
      </c>
      <c r="W90">
        <f>HYPERLINK("https://klasma.github.io/Logging_2083/kartor/A 51111-2021 karta.png", "A 51111-2021")</f>
        <v/>
      </c>
      <c r="X90">
        <f>HYPERLINK("https://klasma.github.io/Logging_2083/knärot/A 51111-2021 karta knärot.png", "A 51111-2021")</f>
        <v/>
      </c>
      <c r="Y90">
        <f>HYPERLINK("https://klasma.github.io/Logging_2083/klagomål/A 51111-2021 FSC-klagomål.docx", "A 51111-2021")</f>
        <v/>
      </c>
      <c r="Z90">
        <f>HYPERLINK("https://klasma.github.io/Logging_2083/klagomålsmail/A 51111-2021 FSC-klagomål mail.docx", "A 51111-2021")</f>
        <v/>
      </c>
      <c r="AA90">
        <f>HYPERLINK("https://klasma.github.io/Logging_2083/tillsyn/A 51111-2021 tillsynsbegäran.docx", "A 51111-2021")</f>
        <v/>
      </c>
      <c r="AB90">
        <f>HYPERLINK("https://klasma.github.io/Logging_2083/tillsynsmail/A 51111-2021 tillsynsbegäran mail.docx", "A 51111-2021")</f>
        <v/>
      </c>
    </row>
    <row r="91" ht="15" customHeight="1">
      <c r="A91" t="inlineStr">
        <is>
          <t>A 25422-2026</t>
        </is>
      </c>
      <c r="B91" t="inlineStr">
        <is>
          <t>avverkningsanmälan</t>
        </is>
      </c>
      <c r="C91" t="inlineStr">
        <is>
          <t>Föryngringsavverkning</t>
        </is>
      </c>
      <c r="D91" s="1" t="n">
        <v>46177</v>
      </c>
      <c r="E91" s="1" t="n">
        <v>46216</v>
      </c>
      <c r="F91" t="inlineStr">
        <is>
          <t>DALARNAS LÄN</t>
        </is>
      </c>
      <c r="G91" t="inlineStr">
        <is>
          <t>HEDEMORA</t>
        </is>
      </c>
      <c r="H91" t="inlineStr">
        <is>
          <t>Sveaskog</t>
        </is>
      </c>
      <c r="I91" t="n">
        <v>0.8</v>
      </c>
      <c r="J91" t="n">
        <v>0</v>
      </c>
      <c r="K91" t="n">
        <v>0</v>
      </c>
      <c r="L91" t="n">
        <v>1</v>
      </c>
      <c r="M91" t="n">
        <v>0</v>
      </c>
      <c r="N91" t="n">
        <v>0</v>
      </c>
      <c r="O91" t="n">
        <v>0</v>
      </c>
      <c r="P91" t="n">
        <v>0</v>
      </c>
      <c r="Q91" t="n">
        <v>1</v>
      </c>
      <c r="R91" t="n">
        <v>0</v>
      </c>
      <c r="S91" t="n">
        <v>1</v>
      </c>
      <c r="T91" t="n">
        <v>1</v>
      </c>
      <c r="U91" s="2" t="inlineStr">
        <is>
          <t>Tallticka</t>
        </is>
      </c>
      <c r="V91">
        <f>HYPERLINK("https://klasma.github.io/Logging_2083/artfynd/A 25422-2026 artfynd.xlsx", "A 25422-2026")</f>
        <v/>
      </c>
      <c r="W91">
        <f>HYPERLINK("https://klasma.github.io/Logging_2083/kartor/A 25422-2026 karta.png", "A 25422-2026")</f>
        <v/>
      </c>
      <c r="Y91">
        <f>HYPERLINK("https://klasma.github.io/Logging_2083/klagomål/A 25422-2026 FSC-klagomål.docx", "A 25422-2026")</f>
        <v/>
      </c>
      <c r="Z91">
        <f>HYPERLINK("https://klasma.github.io/Logging_2083/klagomålsmail/A 25422-2026 FSC-klagomål mail.docx", "A 25422-2026")</f>
        <v/>
      </c>
      <c r="AA91">
        <f>HYPERLINK("https://klasma.github.io/Logging_2083/tillsyn/A 25422-2026 tillsynsbegäran.docx", "A 25422-2026")</f>
        <v/>
      </c>
      <c r="AB91">
        <f>HYPERLINK("https://klasma.github.io/Logging_2083/tillsynsmail/A 25422-2026 tillsynsbegäran mail.docx", "A 25422-2026")</f>
        <v/>
      </c>
    </row>
    <row r="92" ht="15" customHeight="1">
      <c r="A92" t="inlineStr">
        <is>
          <t>A 63542-2023</t>
        </is>
      </c>
      <c r="B92" t="inlineStr">
        <is>
          <t>avverkningsanmälan</t>
        </is>
      </c>
      <c r="C92" t="inlineStr">
        <is>
          <t>Föryngringsavverkning</t>
        </is>
      </c>
      <c r="D92" s="1" t="n">
        <v>45275</v>
      </c>
      <c r="E92" s="1" t="n">
        <v>46216</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s="2" t="inlineStr">
        <is>
          <t>Spillkråka</t>
        </is>
      </c>
      <c r="V92">
        <f>HYPERLINK("https://klasma.github.io/Logging_2083/artfynd/A 63542-2023 artfynd.xlsx", "A 63542-2023")</f>
        <v/>
      </c>
      <c r="W92">
        <f>HYPERLINK("https://klasma.github.io/Logging_2083/kartor/A 63542-2023 karta.png", "A 63542-2023")</f>
        <v/>
      </c>
      <c r="Y92">
        <f>HYPERLINK("https://klasma.github.io/Logging_2083/klagomål/A 63542-2023 FSC-klagomål.docx", "A 63542-2023")</f>
        <v/>
      </c>
      <c r="Z92">
        <f>HYPERLINK("https://klasma.github.io/Logging_2083/klagomålsmail/A 63542-2023 FSC-klagomål mail.docx", "A 63542-2023")</f>
        <v/>
      </c>
      <c r="AA92">
        <f>HYPERLINK("https://klasma.github.io/Logging_2083/tillsyn/A 63542-2023 tillsynsbegäran.docx", "A 63542-2023")</f>
        <v/>
      </c>
      <c r="AB92">
        <f>HYPERLINK("https://klasma.github.io/Logging_2083/tillsynsmail/A 63542-2023 tillsynsbegäran mail.docx", "A 63542-2023")</f>
        <v/>
      </c>
      <c r="AC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46216</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s="2" t="inlineStr">
        <is>
          <t>Knärot</t>
        </is>
      </c>
      <c r="V93">
        <f>HYPERLINK("https://klasma.github.io/Logging_2083/artfynd/A 52941-2024 artfynd.xlsx", "A 52941-2024")</f>
        <v/>
      </c>
      <c r="W93">
        <f>HYPERLINK("https://klasma.github.io/Logging_2083/kartor/A 52941-2024 karta.png", "A 52941-2024")</f>
        <v/>
      </c>
      <c r="X93">
        <f>HYPERLINK("https://klasma.github.io/Logging_2083/knärot/A 52941-2024 karta knärot.png", "A 52941-2024")</f>
        <v/>
      </c>
      <c r="Y93">
        <f>HYPERLINK("https://klasma.github.io/Logging_2083/klagomål/A 52941-2024 FSC-klagomål.docx", "A 52941-2024")</f>
        <v/>
      </c>
      <c r="Z93">
        <f>HYPERLINK("https://klasma.github.io/Logging_2083/klagomålsmail/A 52941-2024 FSC-klagomål mail.docx", "A 52941-2024")</f>
        <v/>
      </c>
      <c r="AA93">
        <f>HYPERLINK("https://klasma.github.io/Logging_2083/tillsyn/A 52941-2024 tillsynsbegäran.docx", "A 52941-2024")</f>
        <v/>
      </c>
      <c r="AB93">
        <f>HYPERLINK("https://klasma.github.io/Logging_2083/tillsynsmail/A 52941-2024 tillsynsbegäran mail.docx", "A 52941-2024")</f>
        <v/>
      </c>
    </row>
    <row r="94" ht="15" customHeight="1">
      <c r="A94" t="inlineStr">
        <is>
          <t>A 18572-2025</t>
        </is>
      </c>
      <c r="B94" t="inlineStr">
        <is>
          <t>avverkningsanmälan</t>
        </is>
      </c>
      <c r="C94" t="inlineStr">
        <is>
          <t>Avverkning för annat ändamål</t>
        </is>
      </c>
      <c r="D94" s="1" t="n">
        <v>45763</v>
      </c>
      <c r="E94" s="1" t="n">
        <v>46216</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s="2" t="inlineStr">
        <is>
          <t>Vedskivlav</t>
        </is>
      </c>
      <c r="V94">
        <f>HYPERLINK("https://klasma.github.io/Logging_2083/artfynd/A 18572-2025 artfynd.xlsx", "A 18572-2025")</f>
        <v/>
      </c>
      <c r="W94">
        <f>HYPERLINK("https://klasma.github.io/Logging_2083/kartor/A 18572-2025 karta.png", "A 18572-2025")</f>
        <v/>
      </c>
      <c r="Y94">
        <f>HYPERLINK("https://klasma.github.io/Logging_2083/klagomål/A 18572-2025 FSC-klagomål.docx", "A 18572-2025")</f>
        <v/>
      </c>
      <c r="Z94">
        <f>HYPERLINK("https://klasma.github.io/Logging_2083/klagomålsmail/A 18572-2025 FSC-klagomål mail.docx", "A 18572-2025")</f>
        <v/>
      </c>
      <c r="AA94">
        <f>HYPERLINK("https://klasma.github.io/Logging_2083/tillsyn/A 18572-2025 tillsynsbegäran.docx", "A 18572-2025")</f>
        <v/>
      </c>
      <c r="AB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46216</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s="2" t="inlineStr">
        <is>
          <t>Vårärt</t>
        </is>
      </c>
      <c r="V95">
        <f>HYPERLINK("https://klasma.github.io/Logging_2083/artfynd/A 62046-2022 artfynd.xlsx", "A 62046-2022")</f>
        <v/>
      </c>
      <c r="W95">
        <f>HYPERLINK("https://klasma.github.io/Logging_2083/kartor/A 62046-2022 karta.png", "A 62046-2022")</f>
        <v/>
      </c>
      <c r="Y95">
        <f>HYPERLINK("https://klasma.github.io/Logging_2083/klagomål/A 62046-2022 FSC-klagomål.docx", "A 62046-2022")</f>
        <v/>
      </c>
      <c r="Z95">
        <f>HYPERLINK("https://klasma.github.io/Logging_2083/klagomålsmail/A 62046-2022 FSC-klagomål mail.docx", "A 62046-2022")</f>
        <v/>
      </c>
      <c r="AA95">
        <f>HYPERLINK("https://klasma.github.io/Logging_2083/tillsyn/A 62046-2022 tillsynsbegäran.docx", "A 62046-2022")</f>
        <v/>
      </c>
      <c r="AB95">
        <f>HYPERLINK("https://klasma.github.io/Logging_2083/tillsynsmail/A 62046-2022 tillsynsbegäran mail.docx", "A 62046-2022")</f>
        <v/>
      </c>
    </row>
    <row r="96" ht="15" customHeight="1">
      <c r="A96" t="inlineStr">
        <is>
          <t>A 53031-2023</t>
        </is>
      </c>
      <c r="B96" t="inlineStr">
        <is>
          <t>avverkningsanmälan</t>
        </is>
      </c>
      <c r="C96" t="inlineStr">
        <is>
          <t>Föryngringsavverkning</t>
        </is>
      </c>
      <c r="D96" s="1" t="n">
        <v>45226</v>
      </c>
      <c r="E96" s="1" t="n">
        <v>46216</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s="2" t="inlineStr">
        <is>
          <t>Talltita</t>
        </is>
      </c>
      <c r="V96">
        <f>HYPERLINK("https://klasma.github.io/Logging_2083/artfynd/A 53031-2023 artfynd.xlsx", "A 53031-2023")</f>
        <v/>
      </c>
      <c r="W96">
        <f>HYPERLINK("https://klasma.github.io/Logging_2083/kartor/A 53031-2023 karta.png", "A 53031-2023")</f>
        <v/>
      </c>
      <c r="Y96">
        <f>HYPERLINK("https://klasma.github.io/Logging_2083/klagomål/A 53031-2023 FSC-klagomål.docx", "A 53031-2023")</f>
        <v/>
      </c>
      <c r="Z96">
        <f>HYPERLINK("https://klasma.github.io/Logging_2083/klagomålsmail/A 53031-2023 FSC-klagomål mail.docx", "A 53031-2023")</f>
        <v/>
      </c>
      <c r="AA96">
        <f>HYPERLINK("https://klasma.github.io/Logging_2083/tillsyn/A 53031-2023 tillsynsbegäran.docx", "A 53031-2023")</f>
        <v/>
      </c>
      <c r="AB96">
        <f>HYPERLINK("https://klasma.github.io/Logging_2083/tillsynsmail/A 53031-2023 tillsynsbegäran mail.docx", "A 53031-2023")</f>
        <v/>
      </c>
      <c r="AC96">
        <f>HYPERLINK("https://klasma.github.io/Logging_2083/fåglar/A 53031-2023 prioriterade fågelarter.docx", "A 53031-2023")</f>
        <v/>
      </c>
    </row>
    <row r="97" ht="15" customHeight="1">
      <c r="A97" t="inlineStr">
        <is>
          <t>A 53924-2024</t>
        </is>
      </c>
      <c r="B97" t="inlineStr">
        <is>
          <t>avverkningsanmälan</t>
        </is>
      </c>
      <c r="C97" t="inlineStr">
        <is>
          <t>Föryngringsavverkning</t>
        </is>
      </c>
      <c r="D97" s="1" t="n">
        <v>45615</v>
      </c>
      <c r="E97" s="1" t="n">
        <v>46216</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s="2" t="inlineStr">
        <is>
          <t>Plattlummer</t>
        </is>
      </c>
      <c r="V97">
        <f>HYPERLINK("https://klasma.github.io/Logging_2083/artfynd/A 53924-2024 artfynd.xlsx", "A 53924-2024")</f>
        <v/>
      </c>
      <c r="W97">
        <f>HYPERLINK("https://klasma.github.io/Logging_2083/kartor/A 53924-2024 karta.png", "A 53924-2024")</f>
        <v/>
      </c>
      <c r="Y97">
        <f>HYPERLINK("https://klasma.github.io/Logging_2083/klagomål/A 53924-2024 FSC-klagomål.docx", "A 53924-2024")</f>
        <v/>
      </c>
      <c r="Z97">
        <f>HYPERLINK("https://klasma.github.io/Logging_2083/klagomålsmail/A 53924-2024 FSC-klagomål mail.docx", "A 53924-2024")</f>
        <v/>
      </c>
      <c r="AA97">
        <f>HYPERLINK("https://klasma.github.io/Logging_2083/tillsyn/A 53924-2024 tillsynsbegäran.docx", "A 53924-2024")</f>
        <v/>
      </c>
      <c r="AB97">
        <f>HYPERLINK("https://klasma.github.io/Logging_2083/tillsynsmail/A 53924-2024 tillsynsbegäran mail.docx", "A 53924-2024")</f>
        <v/>
      </c>
    </row>
    <row r="98" ht="15" customHeight="1">
      <c r="A98" t="inlineStr">
        <is>
          <t>A 17645-2022</t>
        </is>
      </c>
      <c r="B98" t="inlineStr">
        <is>
          <t>avverkningsanmälan</t>
        </is>
      </c>
      <c r="C98" t="inlineStr">
        <is>
          <t>Föryngringsavverkning</t>
        </is>
      </c>
      <c r="D98" s="1" t="n">
        <v>44680</v>
      </c>
      <c r="E98" s="1" t="n">
        <v>46216</v>
      </c>
      <c r="F98" t="inlineStr">
        <is>
          <t>DALARNAS LÄN</t>
        </is>
      </c>
      <c r="G98" t="inlineStr">
        <is>
          <t>HEDEMORA</t>
        </is>
      </c>
      <c r="I98" t="n">
        <v>1.3</v>
      </c>
      <c r="J98" t="n">
        <v>0</v>
      </c>
      <c r="K98" t="n">
        <v>0</v>
      </c>
      <c r="L98" t="n">
        <v>0</v>
      </c>
      <c r="M98" t="n">
        <v>0</v>
      </c>
      <c r="N98" t="n">
        <v>1</v>
      </c>
      <c r="O98" t="n">
        <v>0</v>
      </c>
      <c r="P98" t="n">
        <v>0</v>
      </c>
      <c r="Q98" t="n">
        <v>1</v>
      </c>
      <c r="R98" t="n">
        <v>1</v>
      </c>
      <c r="S98" t="n">
        <v>1</v>
      </c>
      <c r="T98" t="n">
        <v>1</v>
      </c>
      <c r="U98" s="2" t="inlineStr">
        <is>
          <t>Ask</t>
        </is>
      </c>
      <c r="V98">
        <f>HYPERLINK("https://klasma.github.io/Logging_2083/artfynd/A 17645-2022 artfynd.xlsx", "A 17645-2022")</f>
        <v/>
      </c>
      <c r="W98">
        <f>HYPERLINK("https://klasma.github.io/Logging_2083/kartor/A 17645-2022 karta.png", "A 17645-2022")</f>
        <v/>
      </c>
      <c r="Y98">
        <f>HYPERLINK("https://klasma.github.io/Logging_2083/klagomål/A 17645-2022 FSC-klagomål.docx", "A 17645-2022")</f>
        <v/>
      </c>
      <c r="Z98">
        <f>HYPERLINK("https://klasma.github.io/Logging_2083/klagomålsmail/A 17645-2022 FSC-klagomål mail.docx", "A 17645-2022")</f>
        <v/>
      </c>
      <c r="AA98">
        <f>HYPERLINK("https://klasma.github.io/Logging_2083/tillsyn/A 17645-2022 tillsynsbegäran.docx", "A 17645-2022")</f>
        <v/>
      </c>
      <c r="AB98">
        <f>HYPERLINK("https://klasma.github.io/Logging_2083/tillsynsmail/A 17645-2022 tillsynsbegäran mail.docx", "A 17645-2022")</f>
        <v/>
      </c>
    </row>
    <row r="99" ht="15" customHeight="1">
      <c r="A99" t="inlineStr">
        <is>
          <t>A 21029-2026</t>
        </is>
      </c>
      <c r="B99" t="inlineStr">
        <is>
          <t>avverkningsanmälan</t>
        </is>
      </c>
      <c r="C99" t="inlineStr">
        <is>
          <t>Föryngringsavverkning</t>
        </is>
      </c>
      <c r="D99" s="1" t="n">
        <v>46146</v>
      </c>
      <c r="E99" s="1" t="n">
        <v>46216</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s="2" t="inlineStr">
        <is>
          <t>Nordfladdermus</t>
        </is>
      </c>
      <c r="V99">
        <f>HYPERLINK("https://klasma.github.io/Logging_2083/artfynd/A 21029-2026 artfynd.xlsx", "A 21029-2026")</f>
        <v/>
      </c>
      <c r="W99">
        <f>HYPERLINK("https://klasma.github.io/Logging_2083/kartor/A 21029-2026 karta.png", "A 21029-2026")</f>
        <v/>
      </c>
      <c r="Y99">
        <f>HYPERLINK("https://klasma.github.io/Logging_2083/klagomål/A 21029-2026 FSC-klagomål.docx", "A 21029-2026")</f>
        <v/>
      </c>
      <c r="Z99">
        <f>HYPERLINK("https://klasma.github.io/Logging_2083/klagomålsmail/A 21029-2026 FSC-klagomål mail.docx", "A 21029-2026")</f>
        <v/>
      </c>
      <c r="AA99">
        <f>HYPERLINK("https://klasma.github.io/Logging_2083/tillsyn/A 21029-2026 tillsynsbegäran.docx", "A 21029-2026")</f>
        <v/>
      </c>
      <c r="AB99">
        <f>HYPERLINK("https://klasma.github.io/Logging_2083/tillsynsmail/A 21029-2026 tillsynsbegäran mail.docx", "A 21029-2026")</f>
        <v/>
      </c>
    </row>
    <row r="100" ht="15" customHeight="1">
      <c r="A100" t="inlineStr">
        <is>
          <t>A 15274-2026</t>
        </is>
      </c>
      <c r="B100" t="inlineStr">
        <is>
          <t>avverkningsanmälan</t>
        </is>
      </c>
      <c r="C100" t="inlineStr">
        <is>
          <t>Föryngringsavverkning</t>
        </is>
      </c>
      <c r="D100" s="1" t="n">
        <v>46105</v>
      </c>
      <c r="E100" s="1" t="n">
        <v>46216</v>
      </c>
      <c r="F100" t="inlineStr">
        <is>
          <t>DALARNAS LÄN</t>
        </is>
      </c>
      <c r="G100" t="inlineStr">
        <is>
          <t>HEDEMORA</t>
        </is>
      </c>
      <c r="H100" t="inlineStr">
        <is>
          <t>Övriga Aktiebolag</t>
        </is>
      </c>
      <c r="I100" t="n">
        <v>1.9</v>
      </c>
      <c r="J100" t="n">
        <v>0</v>
      </c>
      <c r="K100" t="n">
        <v>0</v>
      </c>
      <c r="L100" t="n">
        <v>1</v>
      </c>
      <c r="M100" t="n">
        <v>0</v>
      </c>
      <c r="N100" t="n">
        <v>0</v>
      </c>
      <c r="O100" t="n">
        <v>0</v>
      </c>
      <c r="P100" t="n">
        <v>0</v>
      </c>
      <c r="Q100" t="n">
        <v>1</v>
      </c>
      <c r="R100" t="n">
        <v>0</v>
      </c>
      <c r="S100" t="n">
        <v>1</v>
      </c>
      <c r="T100" t="n">
        <v>1</v>
      </c>
      <c r="U100" s="2" t="inlineStr">
        <is>
          <t>Ullticka</t>
        </is>
      </c>
      <c r="V100">
        <f>HYPERLINK("https://klasma.github.io/Logging_2083/artfynd/A 15274-2026 artfynd.xlsx", "A 15274-2026")</f>
        <v/>
      </c>
      <c r="W100">
        <f>HYPERLINK("https://klasma.github.io/Logging_2083/kartor/A 15274-2026 karta.png", "A 15274-2026")</f>
        <v/>
      </c>
      <c r="Y100">
        <f>HYPERLINK("https://klasma.github.io/Logging_2083/klagomål/A 15274-2026 FSC-klagomål.docx", "A 15274-2026")</f>
        <v/>
      </c>
      <c r="Z100">
        <f>HYPERLINK("https://klasma.github.io/Logging_2083/klagomålsmail/A 15274-2026 FSC-klagomål mail.docx", "A 15274-2026")</f>
        <v/>
      </c>
      <c r="AA100">
        <f>HYPERLINK("https://klasma.github.io/Logging_2083/tillsyn/A 15274-2026 tillsynsbegäran.docx", "A 15274-2026")</f>
        <v/>
      </c>
      <c r="AB100">
        <f>HYPERLINK("https://klasma.github.io/Logging_2083/tillsynsmail/A 15274-2026 tillsynsbegäran mail.docx", "A 15274-2026")</f>
        <v/>
      </c>
    </row>
    <row r="101" ht="15" customHeight="1">
      <c r="A101" t="inlineStr">
        <is>
          <t>A 17590-2025</t>
        </is>
      </c>
      <c r="B101" t="inlineStr">
        <is>
          <t>avverkningsanmälan</t>
        </is>
      </c>
      <c r="C101" t="inlineStr">
        <is>
          <t>Föryngringsavverkning</t>
        </is>
      </c>
      <c r="D101" s="1" t="n">
        <v>45757</v>
      </c>
      <c r="E101" s="1" t="n">
        <v>46216</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s="2" t="inlineStr">
        <is>
          <t>Garnlav</t>
        </is>
      </c>
      <c r="V101">
        <f>HYPERLINK("https://klasma.github.io/Logging_2083/artfynd/A 17590-2025 artfynd.xlsx", "A 17590-2025")</f>
        <v/>
      </c>
      <c r="W101">
        <f>HYPERLINK("https://klasma.github.io/Logging_2083/kartor/A 17590-2025 karta.png", "A 17590-2025")</f>
        <v/>
      </c>
      <c r="Y101">
        <f>HYPERLINK("https://klasma.github.io/Logging_2083/klagomål/A 17590-2025 FSC-klagomål.docx", "A 17590-2025")</f>
        <v/>
      </c>
      <c r="Z101">
        <f>HYPERLINK("https://klasma.github.io/Logging_2083/klagomålsmail/A 17590-2025 FSC-klagomål mail.docx", "A 17590-2025")</f>
        <v/>
      </c>
      <c r="AA101">
        <f>HYPERLINK("https://klasma.github.io/Logging_2083/tillsyn/A 17590-2025 tillsynsbegäran.docx", "A 17590-2025")</f>
        <v/>
      </c>
      <c r="AB101">
        <f>HYPERLINK("https://klasma.github.io/Logging_2083/tillsynsmail/A 17590-2025 tillsynsbegäran mail.docx", "A 17590-2025")</f>
        <v/>
      </c>
    </row>
    <row r="102" ht="15" customHeight="1">
      <c r="A102" t="inlineStr">
        <is>
          <t>A 28868-2026</t>
        </is>
      </c>
      <c r="B102" t="inlineStr">
        <is>
          <t>avverkningsanmälan</t>
        </is>
      </c>
      <c r="C102" t="inlineStr">
        <is>
          <t>Föryngringsavverkning</t>
        </is>
      </c>
      <c r="D102" s="1" t="n">
        <v>46199</v>
      </c>
      <c r="E102" s="1" t="n">
        <v>46216</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s="2" t="inlineStr">
        <is>
          <t>Dofttaggsvamp</t>
        </is>
      </c>
      <c r="V102">
        <f>HYPERLINK("https://klasma.github.io/Logging_2083/artfynd/A 28868-2026 artfynd.xlsx", "A 28868-2026")</f>
        <v/>
      </c>
      <c r="W102">
        <f>HYPERLINK("https://klasma.github.io/Logging_2083/kartor/A 28868-2026 karta.png", "A 28868-2026")</f>
        <v/>
      </c>
      <c r="Y102">
        <f>HYPERLINK("https://klasma.github.io/Logging_2083/klagomål/A 28868-2026 FSC-klagomål.docx", "A 28868-2026")</f>
        <v/>
      </c>
      <c r="Z102">
        <f>HYPERLINK("https://klasma.github.io/Logging_2083/klagomålsmail/A 28868-2026 FSC-klagomål mail.docx", "A 28868-2026")</f>
        <v/>
      </c>
      <c r="AA102">
        <f>HYPERLINK("https://klasma.github.io/Logging_2083/tillsyn/A 28868-2026 tillsynsbegäran.docx", "A 28868-2026")</f>
        <v/>
      </c>
      <c r="AB102">
        <f>HYPERLINK("https://klasma.github.io/Logging_2083/tillsynsmail/A 28868-2026 tillsynsbegäran mail.docx", "A 28868-2026")</f>
        <v/>
      </c>
    </row>
    <row r="103" ht="15" customHeight="1">
      <c r="A103" t="inlineStr">
        <is>
          <t>A 21007-2026</t>
        </is>
      </c>
      <c r="B103" t="inlineStr">
        <is>
          <t>avverkningsanmälan</t>
        </is>
      </c>
      <c r="C103" t="inlineStr">
        <is>
          <t>Föryngringsavverkning</t>
        </is>
      </c>
      <c r="D103" s="1" t="n">
        <v>46142</v>
      </c>
      <c r="E103" s="1" t="n">
        <v>46216</v>
      </c>
      <c r="F103" t="inlineStr">
        <is>
          <t>DALARNAS LÄN</t>
        </is>
      </c>
      <c r="G103" t="inlineStr">
        <is>
          <t>HEDEMORA</t>
        </is>
      </c>
      <c r="H103" t="inlineStr">
        <is>
          <t>Sveaskog</t>
        </is>
      </c>
      <c r="I103" t="n">
        <v>7.5</v>
      </c>
      <c r="J103" t="n">
        <v>0</v>
      </c>
      <c r="K103" t="n">
        <v>0</v>
      </c>
      <c r="L103" t="n">
        <v>1</v>
      </c>
      <c r="M103" t="n">
        <v>0</v>
      </c>
      <c r="N103" t="n">
        <v>0</v>
      </c>
      <c r="O103" t="n">
        <v>0</v>
      </c>
      <c r="P103" t="n">
        <v>0</v>
      </c>
      <c r="Q103" t="n">
        <v>1</v>
      </c>
      <c r="R103" t="n">
        <v>0</v>
      </c>
      <c r="S103" t="n">
        <v>1</v>
      </c>
      <c r="T103" t="n">
        <v>1</v>
      </c>
      <c r="U103" s="2" t="inlineStr">
        <is>
          <t>Veckticka</t>
        </is>
      </c>
      <c r="V103">
        <f>HYPERLINK("https://klasma.github.io/Logging_2083/artfynd/A 21007-2026 artfynd.xlsx", "A 21007-2026")</f>
        <v/>
      </c>
      <c r="W103">
        <f>HYPERLINK("https://klasma.github.io/Logging_2083/kartor/A 21007-2026 karta.png", "A 21007-2026")</f>
        <v/>
      </c>
      <c r="Y103">
        <f>HYPERLINK("https://klasma.github.io/Logging_2083/klagomål/A 21007-2026 FSC-klagomål.docx", "A 21007-2026")</f>
        <v/>
      </c>
      <c r="Z103">
        <f>HYPERLINK("https://klasma.github.io/Logging_2083/klagomålsmail/A 21007-2026 FSC-klagomål mail.docx", "A 21007-2026")</f>
        <v/>
      </c>
      <c r="AA103">
        <f>HYPERLINK("https://klasma.github.io/Logging_2083/tillsyn/A 21007-2026 tillsynsbegäran.docx", "A 21007-2026")</f>
        <v/>
      </c>
      <c r="AB103">
        <f>HYPERLINK("https://klasma.github.io/Logging_2083/tillsynsmail/A 21007-2026 tillsynsbegäran mail.docx", "A 21007-2026")</f>
        <v/>
      </c>
    </row>
    <row r="104" ht="15" customHeight="1">
      <c r="A104" t="inlineStr">
        <is>
          <t>A 29640-2026</t>
        </is>
      </c>
      <c r="B104" t="inlineStr">
        <is>
          <t>avverkningsanmälan</t>
        </is>
      </c>
      <c r="C104" t="inlineStr">
        <is>
          <t>Föryngringsavverkning</t>
        </is>
      </c>
      <c r="D104" s="1" t="n">
        <v>46204</v>
      </c>
      <c r="E104" s="1" t="n">
        <v>46216</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s="2" t="inlineStr">
        <is>
          <t>Knärot</t>
        </is>
      </c>
      <c r="V104">
        <f>HYPERLINK("https://klasma.github.io/Logging_2083/artfynd/A 29640-2026 artfynd.xlsx", "A 29640-2026")</f>
        <v/>
      </c>
      <c r="W104">
        <f>HYPERLINK("https://klasma.github.io/Logging_2083/kartor/A 29640-2026 karta.png", "A 29640-2026")</f>
        <v/>
      </c>
      <c r="X104">
        <f>HYPERLINK("https://klasma.github.io/Logging_2083/knärot/A 29640-2026 karta knärot.png", "A 29640-2026")</f>
        <v/>
      </c>
      <c r="Y104">
        <f>HYPERLINK("https://klasma.github.io/Logging_2083/klagomål/A 29640-2026 FSC-klagomål.docx", "A 29640-2026")</f>
        <v/>
      </c>
      <c r="Z104">
        <f>HYPERLINK("https://klasma.github.io/Logging_2083/klagomålsmail/A 29640-2026 FSC-klagomål mail.docx", "A 29640-2026")</f>
        <v/>
      </c>
      <c r="AA104">
        <f>HYPERLINK("https://klasma.github.io/Logging_2083/tillsyn/A 29640-2026 tillsynsbegäran.docx", "A 29640-2026")</f>
        <v/>
      </c>
      <c r="AB104">
        <f>HYPERLINK("https://klasma.github.io/Logging_2083/tillsynsmail/A 29640-2026 tillsynsbegäran mail.docx", "A 29640-2026")</f>
        <v/>
      </c>
    </row>
    <row r="105" ht="15" customHeight="1">
      <c r="A105" t="inlineStr">
        <is>
          <t>A 23642-2026</t>
        </is>
      </c>
      <c r="B105" t="inlineStr">
        <is>
          <t>avverkningsanmälan</t>
        </is>
      </c>
      <c r="C105" t="inlineStr">
        <is>
          <t>Föryngringsavverkning</t>
        </is>
      </c>
      <c r="D105" s="1" t="n">
        <v>46164</v>
      </c>
      <c r="E105" s="1" t="n">
        <v>46216</v>
      </c>
      <c r="F105" t="inlineStr">
        <is>
          <t>DALARNAS LÄN</t>
        </is>
      </c>
      <c r="G105" t="inlineStr">
        <is>
          <t>HEDEMORA</t>
        </is>
      </c>
      <c r="H105" t="inlineStr">
        <is>
          <t>Sveaskog</t>
        </is>
      </c>
      <c r="I105" t="n">
        <v>6.3</v>
      </c>
      <c r="J105" t="n">
        <v>1</v>
      </c>
      <c r="K105" t="n">
        <v>0</v>
      </c>
      <c r="L105" t="n">
        <v>0</v>
      </c>
      <c r="M105" t="n">
        <v>0</v>
      </c>
      <c r="N105" t="n">
        <v>0</v>
      </c>
      <c r="O105" t="n">
        <v>0</v>
      </c>
      <c r="P105" t="n">
        <v>0</v>
      </c>
      <c r="Q105" t="n">
        <v>0</v>
      </c>
      <c r="R105" t="n">
        <v>0</v>
      </c>
      <c r="S105" t="n">
        <v>1</v>
      </c>
      <c r="T105" t="n">
        <v>1</v>
      </c>
      <c r="U105" s="2" t="inlineStr">
        <is>
          <t>Revlummer</t>
        </is>
      </c>
      <c r="V105">
        <f>HYPERLINK("https://klasma.github.io/Logging_2083/artfynd/A 23642-2026 artfynd.xlsx", "A 23642-2026")</f>
        <v/>
      </c>
      <c r="W105">
        <f>HYPERLINK("https://klasma.github.io/Logging_2083/kartor/A 23642-2026 karta.png", "A 23642-2026")</f>
        <v/>
      </c>
      <c r="Y105">
        <f>HYPERLINK("https://klasma.github.io/Logging_2083/klagomål/A 23642-2026 FSC-klagomål.docx", "A 23642-2026")</f>
        <v/>
      </c>
      <c r="Z105">
        <f>HYPERLINK("https://klasma.github.io/Logging_2083/klagomålsmail/A 23642-2026 FSC-klagomål mail.docx", "A 23642-2026")</f>
        <v/>
      </c>
      <c r="AA105">
        <f>HYPERLINK("https://klasma.github.io/Logging_2083/tillsyn/A 23642-2026 tillsynsbegäran.docx", "A 23642-2026")</f>
        <v/>
      </c>
      <c r="AB105">
        <f>HYPERLINK("https://klasma.github.io/Logging_2083/tillsynsmail/A 23642-2026 tillsynsbegäran mail.docx", "A 23642-2026")</f>
        <v/>
      </c>
    </row>
    <row r="106" ht="15" customHeight="1">
      <c r="A106" t="inlineStr">
        <is>
          <t>A 30879-2026</t>
        </is>
      </c>
      <c r="B106" t="inlineStr">
        <is>
          <t>avverkningsanmälan</t>
        </is>
      </c>
      <c r="C106" t="inlineStr">
        <is>
          <t>Föryngringsavverkning</t>
        </is>
      </c>
      <c r="D106" s="1" t="n">
        <v>46212</v>
      </c>
      <c r="E106" s="1" t="n">
        <v>46216</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HYPERLINK("https://klasma.github.io/Logging_2083/artfynd/A 30879-2026 artfynd.xlsx", "A 30879-2026")</f>
        <v/>
      </c>
      <c r="W106">
        <f>HYPERLINK("https://klasma.github.io/Logging_2083/kartor/A 30879-2026 karta.png", "A 30879-2026")</f>
        <v/>
      </c>
      <c r="Y106">
        <f>HYPERLINK("https://klasma.github.io/Logging_2083/klagomål/A 30879-2026 FSC-klagomål.docx", "A 30879-2026")</f>
        <v/>
      </c>
      <c r="Z106">
        <f>HYPERLINK("https://klasma.github.io/Logging_2083/klagomålsmail/A 30879-2026 FSC-klagomål mail.docx", "A 30879-2026")</f>
        <v/>
      </c>
      <c r="AA106">
        <f>HYPERLINK("https://klasma.github.io/Logging_2083/tillsyn/A 30879-2026 tillsynsbegäran.docx", "A 30879-2026")</f>
        <v/>
      </c>
      <c r="AB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46216</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s="2" t="inlineStr">
        <is>
          <t>Knärot</t>
        </is>
      </c>
      <c r="V107">
        <f>HYPERLINK("https://klasma.github.io/Logging_2083/artfynd/A 31023-2026 artfynd.xlsx", "A 31023-2026")</f>
        <v/>
      </c>
      <c r="W107">
        <f>HYPERLINK("https://klasma.github.io/Logging_2083/kartor/A 31023-2026 karta.png", "A 31023-2026")</f>
        <v/>
      </c>
      <c r="X107">
        <f>HYPERLINK("https://klasma.github.io/Logging_2083/knärot/A 31023-2026 karta knärot.png", "A 31023-2026")</f>
        <v/>
      </c>
      <c r="Y107">
        <f>HYPERLINK("https://klasma.github.io/Logging_2083/klagomål/A 31023-2026 FSC-klagomål.docx", "A 31023-2026")</f>
        <v/>
      </c>
      <c r="Z107">
        <f>HYPERLINK("https://klasma.github.io/Logging_2083/klagomålsmail/A 31023-2026 FSC-klagomål mail.docx", "A 31023-2026")</f>
        <v/>
      </c>
      <c r="AA107">
        <f>HYPERLINK("https://klasma.github.io/Logging_2083/tillsyn/A 31023-2026 tillsynsbegäran.docx", "A 31023-2026")</f>
        <v/>
      </c>
      <c r="AB107">
        <f>HYPERLINK("https://klasma.github.io/Logging_2083/tillsynsmail/A 31023-2026 tillsynsbegäran mail.docx", "A 31023-2026")</f>
        <v/>
      </c>
    </row>
    <row r="108" ht="15" customHeight="1">
      <c r="A108" t="inlineStr">
        <is>
          <t>S 238-2024</t>
        </is>
      </c>
      <c r="B108" t="inlineStr">
        <is>
          <t>samrådsanmälan</t>
        </is>
      </c>
      <c r="C108" t="inlineStr">
        <is>
          <t>Skogsgödsling</t>
        </is>
      </c>
      <c r="D108" s="1" t="n">
        <v>45319</v>
      </c>
      <c r="E108" s="1" t="n">
        <v>46216</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s="2" t="inlineStr">
        <is>
          <t>Tjäder</t>
        </is>
      </c>
      <c r="V108">
        <f>HYPERLINK("https://klasma.github.io/Logging_2083/artfynd/S 238-2024 artfynd.xlsx", "S 238-2024")</f>
        <v/>
      </c>
      <c r="W108">
        <f>HYPERLINK("https://klasma.github.io/Logging_2083/kartor/S 238-2024 karta.png", "S 238-2024")</f>
        <v/>
      </c>
      <c r="X108">
        <f>HYPERLINK("https://klasma.github.io/Logging_2083/knärot/S 238-2024 karta knärot.png", "S 238-2024")</f>
        <v/>
      </c>
      <c r="Y108">
        <f>HYPERLINK("https://klasma.github.io/Logging_2083/klagomål/S 238-2024 FSC-klagomål.docx", "S 238-2024")</f>
        <v/>
      </c>
      <c r="Z108">
        <f>HYPERLINK("https://klasma.github.io/Logging_2083/klagomålsmail/S 238-2024 FSC-klagomål mail.docx", "S 238-2024")</f>
        <v/>
      </c>
      <c r="AA108">
        <f>HYPERLINK("https://klasma.github.io/Logging_2083/tillsyn/S 238-2024 tillsynsbegäran.docx", "S 238-2024")</f>
        <v/>
      </c>
      <c r="AB108">
        <f>HYPERLINK("https://klasma.github.io/Logging_2083/tillsynsmail/S 238-2024 tillsynsbegäran mail.docx", "S 238-2024")</f>
        <v/>
      </c>
      <c r="AC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46216</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s="2" t="inlineStr">
        <is>
          <t>Talltita</t>
        </is>
      </c>
      <c r="V109">
        <f>HYPERLINK("https://klasma.github.io/Logging_2083/artfynd/S 223-2024 artfynd.xlsx", "S 223-2024")</f>
        <v/>
      </c>
      <c r="W109">
        <f>HYPERLINK("https://klasma.github.io/Logging_2083/kartor/S 223-2024 karta.png", "S 223-2024")</f>
        <v/>
      </c>
      <c r="Y109">
        <f>HYPERLINK("https://klasma.github.io/Logging_2083/klagomål/S 223-2024 FSC-klagomål.docx", "S 223-2024")</f>
        <v/>
      </c>
      <c r="Z109">
        <f>HYPERLINK("https://klasma.github.io/Logging_2083/klagomålsmail/S 223-2024 FSC-klagomål mail.docx", "S 223-2024")</f>
        <v/>
      </c>
      <c r="AA109">
        <f>HYPERLINK("https://klasma.github.io/Logging_2083/tillsyn/S 223-2024 tillsynsbegäran.docx", "S 223-2024")</f>
        <v/>
      </c>
      <c r="AB109">
        <f>HYPERLINK("https://klasma.github.io/Logging_2083/tillsynsmail/S 223-2024 tillsynsbegäran mail.docx", "S 223-2024")</f>
        <v/>
      </c>
      <c r="AC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46216</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s="2" t="inlineStr">
        <is>
          <t>Mattlummer</t>
        </is>
      </c>
      <c r="V110">
        <f>HYPERLINK("https://klasma.github.io/Logging_2083/artfynd/S 10370-2021 artfynd.xlsx", "S 10370-2021")</f>
        <v/>
      </c>
      <c r="W110">
        <f>HYPERLINK("https://klasma.github.io/Logging_2083/kartor/S 10370-2021 karta.png", "S 10370-2021")</f>
        <v/>
      </c>
      <c r="Y110">
        <f>HYPERLINK("https://klasma.github.io/Logging_2083/klagomål/S 10370-2021 FSC-klagomål.docx", "S 10370-2021")</f>
        <v/>
      </c>
      <c r="Z110">
        <f>HYPERLINK("https://klasma.github.io/Logging_2083/klagomålsmail/S 10370-2021 FSC-klagomål mail.docx", "S 10370-2021")</f>
        <v/>
      </c>
      <c r="AA110">
        <f>HYPERLINK("https://klasma.github.io/Logging_2083/tillsyn/S 10370-2021 tillsynsbegäran.docx", "S 10370-2021")</f>
        <v/>
      </c>
      <c r="AB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46216</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s="2" t="inlineStr">
        <is>
          <t>Svartvit taggsvamp</t>
        </is>
      </c>
      <c r="V111">
        <f>HYPERLINK("https://klasma.github.io/Logging_2083/artfynd/S 406-2026 artfynd.xlsx", "S 406-2026")</f>
        <v/>
      </c>
      <c r="W111">
        <f>HYPERLINK("https://klasma.github.io/Logging_2083/kartor/S 406-2026 karta.png", "S 406-2026")</f>
        <v/>
      </c>
      <c r="Y111">
        <f>HYPERLINK("https://klasma.github.io/Logging_2083/klagomål/S 406-2026 FSC-klagomål.docx", "S 406-2026")</f>
        <v/>
      </c>
      <c r="Z111">
        <f>HYPERLINK("https://klasma.github.io/Logging_2083/klagomålsmail/S 406-2026 FSC-klagomål mail.docx", "S 406-2026")</f>
        <v/>
      </c>
      <c r="AA111">
        <f>HYPERLINK("https://klasma.github.io/Logging_2083/tillsyn/S 406-2026 tillsynsbegäran.docx", "S 406-2026")</f>
        <v/>
      </c>
      <c r="AB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46216</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295-2022</t>
        </is>
      </c>
      <c r="B113" t="inlineStr">
        <is>
          <t>avverkningsanmälan</t>
        </is>
      </c>
      <c r="C113" t="inlineStr">
        <is>
          <t>Avverkning för annat ändamål</t>
        </is>
      </c>
      <c r="D113" s="1" t="n">
        <v>44565</v>
      </c>
      <c r="E113" s="1" t="n">
        <v>46216</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32748-2022</t>
        </is>
      </c>
      <c r="B114" t="inlineStr">
        <is>
          <t>avverkningsanmälan</t>
        </is>
      </c>
      <c r="C114" t="inlineStr">
        <is>
          <t>Föryngringsavverkning</t>
        </is>
      </c>
      <c r="D114" s="1" t="n">
        <v>44783</v>
      </c>
      <c r="E114" s="1" t="n">
        <v>46216</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52221-2021</t>
        </is>
      </c>
      <c r="B115" t="inlineStr">
        <is>
          <t>avverkningsanmälan</t>
        </is>
      </c>
      <c r="C115" t="inlineStr">
        <is>
          <t>Föryngringsavverkning</t>
        </is>
      </c>
      <c r="D115" s="1" t="n">
        <v>44462</v>
      </c>
      <c r="E115" s="1" t="n">
        <v>46216</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45741-2022</t>
        </is>
      </c>
      <c r="B116" t="inlineStr">
        <is>
          <t>avverkningsanmälan</t>
        </is>
      </c>
      <c r="C116" t="inlineStr">
        <is>
          <t>Föryngringsavverkning</t>
        </is>
      </c>
      <c r="D116" s="1" t="n">
        <v>44846</v>
      </c>
      <c r="E116" s="1" t="n">
        <v>46216</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52425-2021</t>
        </is>
      </c>
      <c r="B117" t="inlineStr">
        <is>
          <t>avverkningsanmälan</t>
        </is>
      </c>
      <c r="C117" t="inlineStr">
        <is>
          <t>Föryngringsavverkning</t>
        </is>
      </c>
      <c r="D117" s="1" t="n">
        <v>44466</v>
      </c>
      <c r="E117" s="1" t="n">
        <v>46216</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35806-2022</t>
        </is>
      </c>
      <c r="B118" t="inlineStr">
        <is>
          <t>avverkningsanmälan</t>
        </is>
      </c>
      <c r="C118" t="inlineStr">
        <is>
          <t>Föryngringsavverkning</t>
        </is>
      </c>
      <c r="D118" s="1" t="n">
        <v>44802</v>
      </c>
      <c r="E118" s="1" t="n">
        <v>46216</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20177-2022</t>
        </is>
      </c>
      <c r="B119" t="inlineStr">
        <is>
          <t>avverkningsanmälan</t>
        </is>
      </c>
      <c r="C119" t="inlineStr">
        <is>
          <t>Föryngringsavverkning</t>
        </is>
      </c>
      <c r="D119" s="1" t="n">
        <v>44698</v>
      </c>
      <c r="E119" s="1" t="n">
        <v>46216</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s="2" t="inlineStr"/>
    </row>
    <row r="120" ht="15" customHeight="1">
      <c r="A120" t="inlineStr">
        <is>
          <t>A 68457-2021</t>
        </is>
      </c>
      <c r="B120" t="inlineStr">
        <is>
          <t>avverkningsanmälan</t>
        </is>
      </c>
      <c r="C120" t="inlineStr">
        <is>
          <t>Föryngringsavverkning</t>
        </is>
      </c>
      <c r="D120" s="1" t="n">
        <v>44529</v>
      </c>
      <c r="E120" s="1" t="n">
        <v>46216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4030-2022</t>
        </is>
      </c>
      <c r="B121" t="inlineStr">
        <is>
          <t>avverkningsanmälan</t>
        </is>
      </c>
      <c r="C121" t="inlineStr">
        <is>
          <t>Föryngringsavverkning</t>
        </is>
      </c>
      <c r="D121" s="1" t="n">
        <v>44588</v>
      </c>
      <c r="E121" s="1" t="n">
        <v>46216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39506-2022</t>
        </is>
      </c>
      <c r="B122" t="inlineStr">
        <is>
          <t>avverkningsanmälan</t>
        </is>
      </c>
      <c r="C122" t="inlineStr">
        <is>
          <t>Föryngringsavverkning</t>
        </is>
      </c>
      <c r="D122" s="1" t="n">
        <v>44817</v>
      </c>
      <c r="E122" s="1" t="n">
        <v>46216</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59495-2021</t>
        </is>
      </c>
      <c r="B123" t="inlineStr">
        <is>
          <t>avverkningsanmälan</t>
        </is>
      </c>
      <c r="C123" t="inlineStr">
        <is>
          <t>Föryngringsavverkning</t>
        </is>
      </c>
      <c r="D123" s="1" t="n">
        <v>44491</v>
      </c>
      <c r="E123" s="1" t="n">
        <v>46216</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52511-2021</t>
        </is>
      </c>
      <c r="B124" t="inlineStr">
        <is>
          <t>avverkningsanmälan</t>
        </is>
      </c>
      <c r="C124" t="inlineStr">
        <is>
          <t>Föryngringsavverkning</t>
        </is>
      </c>
      <c r="D124" s="1" t="n">
        <v>44466</v>
      </c>
      <c r="E124" s="1" t="n">
        <v>46216</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50441-2021</t>
        </is>
      </c>
      <c r="B125" t="inlineStr">
        <is>
          <t>avverkningsanmälan</t>
        </is>
      </c>
      <c r="C125" t="inlineStr">
        <is>
          <t>Föryngringsavverkning</t>
        </is>
      </c>
      <c r="D125" s="1" t="n">
        <v>44456</v>
      </c>
      <c r="E125" s="1" t="n">
        <v>46216</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s="2" t="inlineStr"/>
    </row>
    <row r="126" ht="15" customHeight="1">
      <c r="A126" t="inlineStr">
        <is>
          <t>A 27238-2022</t>
        </is>
      </c>
      <c r="B126" t="inlineStr">
        <is>
          <t>avverkningsanmälan</t>
        </is>
      </c>
      <c r="C126" t="inlineStr">
        <is>
          <t>Föryngringsavverkning</t>
        </is>
      </c>
      <c r="D126" s="1" t="n">
        <v>44741</v>
      </c>
      <c r="E126" s="1" t="n">
        <v>46216</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52221-2021</t>
        </is>
      </c>
      <c r="B127" t="inlineStr">
        <is>
          <t>avverkningsanmälan</t>
        </is>
      </c>
      <c r="C127" t="inlineStr">
        <is>
          <t>Föryngringsavverkning</t>
        </is>
      </c>
      <c r="D127" s="1" t="n">
        <v>44462</v>
      </c>
      <c r="E127" s="1" t="n">
        <v>46216</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23329-2022</t>
        </is>
      </c>
      <c r="B128" t="inlineStr">
        <is>
          <t>avverkningsanmälan</t>
        </is>
      </c>
      <c r="C128" t="inlineStr">
        <is>
          <t>Föryngringsavverkning</t>
        </is>
      </c>
      <c r="D128" s="1" t="n">
        <v>44720</v>
      </c>
      <c r="E128" s="1" t="n">
        <v>46216</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62305-2021</t>
        </is>
      </c>
      <c r="B129" t="inlineStr">
        <is>
          <t>avverkningsanmälan</t>
        </is>
      </c>
      <c r="C129" t="inlineStr">
        <is>
          <t>Föryngringsavverkning</t>
        </is>
      </c>
      <c r="D129" s="1" t="n">
        <v>44502</v>
      </c>
      <c r="E129" s="1" t="n">
        <v>46216</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28105-2022</t>
        </is>
      </c>
      <c r="B130" t="inlineStr">
        <is>
          <t>avverkningsanmälan</t>
        </is>
      </c>
      <c r="C130" t="inlineStr">
        <is>
          <t>Avverkning för annat ändamål</t>
        </is>
      </c>
      <c r="D130" s="1" t="n">
        <v>44746</v>
      </c>
      <c r="E130" s="1" t="n">
        <v>46216</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36943-2021</t>
        </is>
      </c>
      <c r="B131" t="inlineStr">
        <is>
          <t>avverkningsanmälan</t>
        </is>
      </c>
      <c r="C131" t="inlineStr">
        <is>
          <t>Föryngringsavverkning</t>
        </is>
      </c>
      <c r="D131" s="1" t="n">
        <v>44393</v>
      </c>
      <c r="E131" s="1" t="n">
        <v>46216</v>
      </c>
      <c r="F131" t="inlineStr">
        <is>
          <t>DALARNAS LÄN</t>
        </is>
      </c>
      <c r="G131" t="inlineStr">
        <is>
          <t>HEDEMORA</t>
        </is>
      </c>
      <c r="H131" t="inlineStr">
        <is>
          <t>Sveaskog</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46216</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46216</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46216</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46216</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46216</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41435-2023</t>
        </is>
      </c>
      <c r="B137" t="inlineStr">
        <is>
          <t>avverkningsanmälan</t>
        </is>
      </c>
      <c r="C137" t="inlineStr">
        <is>
          <t>Föryngringsavverkning</t>
        </is>
      </c>
      <c r="D137" s="1" t="n">
        <v>45170</v>
      </c>
      <c r="E137" s="1" t="n">
        <v>46216</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49904-2021</t>
        </is>
      </c>
      <c r="B138" t="inlineStr">
        <is>
          <t>avverkningsanmälan</t>
        </is>
      </c>
      <c r="C138" t="inlineStr">
        <is>
          <t>Föryngringsavverkning</t>
        </is>
      </c>
      <c r="D138" s="1" t="n">
        <v>44455</v>
      </c>
      <c r="E138" s="1" t="n">
        <v>46216</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24486-2024</t>
        </is>
      </c>
      <c r="B139" t="inlineStr">
        <is>
          <t>avverkningsanmälan</t>
        </is>
      </c>
      <c r="C139" t="inlineStr">
        <is>
          <t>Avverkning för annat ändamål</t>
        </is>
      </c>
      <c r="D139" s="1" t="n">
        <v>45459</v>
      </c>
      <c r="E139" s="1" t="n">
        <v>46216</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s="2" t="inlineStr"/>
    </row>
    <row r="140" ht="15" customHeight="1">
      <c r="A140" t="inlineStr">
        <is>
          <t>A 11046-2022</t>
        </is>
      </c>
      <c r="B140" t="inlineStr">
        <is>
          <t>avverkningsanmälan</t>
        </is>
      </c>
      <c r="C140" t="inlineStr">
        <is>
          <t>Föryngringsavverkning</t>
        </is>
      </c>
      <c r="D140" s="1" t="n">
        <v>44628</v>
      </c>
      <c r="E140" s="1" t="n">
        <v>46216</v>
      </c>
      <c r="F140" t="inlineStr">
        <is>
          <t>DALARNAS LÄN</t>
        </is>
      </c>
      <c r="G140" t="inlineStr">
        <is>
          <t>HEDEMORA</t>
        </is>
      </c>
      <c r="H140" t="inlineStr">
        <is>
          <t>Bergvik skog väst AB</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15863-2023</t>
        </is>
      </c>
      <c r="B141" t="inlineStr">
        <is>
          <t>avverkningsanmälan</t>
        </is>
      </c>
      <c r="C141" t="inlineStr">
        <is>
          <t>Föryngringsavverkning</t>
        </is>
      </c>
      <c r="D141" s="1" t="n">
        <v>45022</v>
      </c>
      <c r="E141" s="1" t="n">
        <v>46216</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s="2" t="inlineStr"/>
    </row>
    <row r="142" ht="15" customHeight="1">
      <c r="A142" t="inlineStr">
        <is>
          <t>A 44957-2021</t>
        </is>
      </c>
      <c r="B142" t="inlineStr">
        <is>
          <t>avverkningsanmälan</t>
        </is>
      </c>
      <c r="C142" t="inlineStr">
        <is>
          <t>Föryngringsavverkning</t>
        </is>
      </c>
      <c r="D142" s="1" t="n">
        <v>44438</v>
      </c>
      <c r="E142" s="1" t="n">
        <v>46216</v>
      </c>
      <c r="F142" t="inlineStr">
        <is>
          <t>DALARNAS LÄN</t>
        </is>
      </c>
      <c r="G142" t="inlineStr">
        <is>
          <t>HEDEMORA</t>
        </is>
      </c>
      <c r="H142" t="inlineStr">
        <is>
          <t>Sveaskog</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58018-2022</t>
        </is>
      </c>
      <c r="B143" t="inlineStr">
        <is>
          <t>avverkningsanmälan</t>
        </is>
      </c>
      <c r="C143" t="inlineStr">
        <is>
          <t>Föryngringsavverkning</t>
        </is>
      </c>
      <c r="D143" s="1" t="n">
        <v>44900</v>
      </c>
      <c r="E143" s="1" t="n">
        <v>46216</v>
      </c>
      <c r="F143" t="inlineStr">
        <is>
          <t>DALARNAS LÄN</t>
        </is>
      </c>
      <c r="G143" t="inlineStr">
        <is>
          <t>HEDEMORA</t>
        </is>
      </c>
      <c r="I143" t="n">
        <v>3.6</v>
      </c>
      <c r="J143" t="n">
        <v>0</v>
      </c>
      <c r="K143" t="n">
        <v>0</v>
      </c>
      <c r="L143" t="n">
        <v>0</v>
      </c>
      <c r="M143" t="n">
        <v>0</v>
      </c>
      <c r="N143" t="n">
        <v>0</v>
      </c>
      <c r="O143" t="n">
        <v>0</v>
      </c>
      <c r="P143" t="n">
        <v>0</v>
      </c>
      <c r="Q143" t="n">
        <v>0</v>
      </c>
      <c r="R143" t="n">
        <v>0</v>
      </c>
      <c r="S143" t="n">
        <v>0</v>
      </c>
      <c r="T143" t="n">
        <v>0</v>
      </c>
      <c r="U143" s="2" t="inlineStr"/>
    </row>
    <row r="144" ht="15" customHeight="1">
      <c r="A144" t="inlineStr">
        <is>
          <t>A 41642-2023</t>
        </is>
      </c>
      <c r="B144" t="inlineStr">
        <is>
          <t>avverkningsanmälan</t>
        </is>
      </c>
      <c r="C144" t="inlineStr">
        <is>
          <t>Föryngringsavverkning</t>
        </is>
      </c>
      <c r="D144" s="1" t="n">
        <v>45175</v>
      </c>
      <c r="E144" s="1" t="n">
        <v>46216</v>
      </c>
      <c r="F144" t="inlineStr">
        <is>
          <t>DALARNAS LÄN</t>
        </is>
      </c>
      <c r="G144" t="inlineStr">
        <is>
          <t>HEDEMORA</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69624-2021</t>
        </is>
      </c>
      <c r="B145" t="inlineStr">
        <is>
          <t>avverkningsanmälan</t>
        </is>
      </c>
      <c r="C145" t="inlineStr">
        <is>
          <t>Föryngringsavverkning</t>
        </is>
      </c>
      <c r="D145" s="1" t="n">
        <v>44532</v>
      </c>
      <c r="E145" s="1" t="n">
        <v>46216</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37761-2024</t>
        </is>
      </c>
      <c r="B146" t="inlineStr">
        <is>
          <t>avverkningsanmälan</t>
        </is>
      </c>
      <c r="C146" t="inlineStr">
        <is>
          <t>Föryngringsavverkning</t>
        </is>
      </c>
      <c r="D146" s="1" t="n">
        <v>45541</v>
      </c>
      <c r="E146" s="1" t="n">
        <v>46216</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s="2" t="inlineStr"/>
    </row>
    <row r="147" ht="15" customHeight="1">
      <c r="A147" t="inlineStr">
        <is>
          <t>A 40801-2024</t>
        </is>
      </c>
      <c r="B147" t="inlineStr">
        <is>
          <t>avverkningsanmälan</t>
        </is>
      </c>
      <c r="C147" t="inlineStr">
        <is>
          <t>Föryngringsavverkning</t>
        </is>
      </c>
      <c r="D147" s="1" t="n">
        <v>45558</v>
      </c>
      <c r="E147" s="1" t="n">
        <v>46216</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6881-2024</t>
        </is>
      </c>
      <c r="B148" t="inlineStr">
        <is>
          <t>avverkningsanmälan</t>
        </is>
      </c>
      <c r="C148" t="inlineStr">
        <is>
          <t>Föryngringsavverkning</t>
        </is>
      </c>
      <c r="D148" s="1" t="n">
        <v>45342</v>
      </c>
      <c r="E148" s="1" t="n">
        <v>46216</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5010-2023</t>
        </is>
      </c>
      <c r="B149" t="inlineStr">
        <is>
          <t>avverkningsanmälan</t>
        </is>
      </c>
      <c r="C149" t="inlineStr">
        <is>
          <t>Föryngringsavverkning</t>
        </is>
      </c>
      <c r="D149" s="1" t="n">
        <v>44956</v>
      </c>
      <c r="E149" s="1" t="n">
        <v>46216</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36900-2022</t>
        </is>
      </c>
      <c r="B150" t="inlineStr">
        <is>
          <t>avverkningsanmälan</t>
        </is>
      </c>
      <c r="C150" t="inlineStr">
        <is>
          <t>Föryngringsavverkning</t>
        </is>
      </c>
      <c r="D150" s="1" t="n">
        <v>44805</v>
      </c>
      <c r="E150" s="1" t="n">
        <v>46216</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s="2" t="inlineStr"/>
    </row>
    <row r="151" ht="15" customHeight="1">
      <c r="A151" t="inlineStr">
        <is>
          <t>A 25021-2025</t>
        </is>
      </c>
      <c r="B151" t="inlineStr">
        <is>
          <t>avverkningsanmälan</t>
        </is>
      </c>
      <c r="C151" t="inlineStr">
        <is>
          <t>Föryngringsavverkning</t>
        </is>
      </c>
      <c r="D151" s="1" t="n">
        <v>45799</v>
      </c>
      <c r="E151" s="1" t="n">
        <v>46216</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19397-2024</t>
        </is>
      </c>
      <c r="B152" t="inlineStr">
        <is>
          <t>avverkningsanmälan</t>
        </is>
      </c>
      <c r="C152" t="inlineStr">
        <is>
          <t>Föryngringsavverkning</t>
        </is>
      </c>
      <c r="D152" s="1" t="n">
        <v>45429</v>
      </c>
      <c r="E152" s="1" t="n">
        <v>46216</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50040-2025</t>
        </is>
      </c>
      <c r="B153" t="inlineStr">
        <is>
          <t>avverkningsanmälan</t>
        </is>
      </c>
      <c r="C153" t="inlineStr">
        <is>
          <t>Föryngringsavverkning</t>
        </is>
      </c>
      <c r="D153" s="1" t="n">
        <v>45943</v>
      </c>
      <c r="E153" s="1" t="n">
        <v>46216</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34185-2025</t>
        </is>
      </c>
      <c r="B154" t="inlineStr">
        <is>
          <t>avverkningsanmälan</t>
        </is>
      </c>
      <c r="C154" t="inlineStr">
        <is>
          <t>Föryngringsavverkning</t>
        </is>
      </c>
      <c r="D154" s="1" t="n">
        <v>45845</v>
      </c>
      <c r="E154" s="1" t="n">
        <v>46216</v>
      </c>
      <c r="F154" t="inlineStr">
        <is>
          <t>DALARNAS LÄN</t>
        </is>
      </c>
      <c r="G154" t="inlineStr">
        <is>
          <t>HEDEMORA</t>
        </is>
      </c>
      <c r="H154" t="inlineStr">
        <is>
          <t>Sveaskog</t>
        </is>
      </c>
      <c r="I154" t="n">
        <v>2.3</v>
      </c>
      <c r="J154" t="n">
        <v>0</v>
      </c>
      <c r="K154" t="n">
        <v>0</v>
      </c>
      <c r="L154" t="n">
        <v>0</v>
      </c>
      <c r="M154" t="n">
        <v>0</v>
      </c>
      <c r="N154" t="n">
        <v>0</v>
      </c>
      <c r="O154" t="n">
        <v>0</v>
      </c>
      <c r="P154" t="n">
        <v>0</v>
      </c>
      <c r="Q154" t="n">
        <v>0</v>
      </c>
      <c r="R154" t="n">
        <v>0</v>
      </c>
      <c r="S154" t="n">
        <v>0</v>
      </c>
      <c r="T154" t="n">
        <v>0</v>
      </c>
      <c r="U154" s="2" t="inlineStr"/>
    </row>
    <row r="155" ht="15" customHeight="1">
      <c r="A155" t="inlineStr">
        <is>
          <t>A 22270-2023</t>
        </is>
      </c>
      <c r="B155" t="inlineStr">
        <is>
          <t>avverkningsanmälan</t>
        </is>
      </c>
      <c r="C155" t="inlineStr">
        <is>
          <t>Föryngringsavverkning</t>
        </is>
      </c>
      <c r="D155" s="1" t="n">
        <v>45070</v>
      </c>
      <c r="E155" s="1" t="n">
        <v>46216</v>
      </c>
      <c r="F155" t="inlineStr">
        <is>
          <t>DALARNAS LÄN</t>
        </is>
      </c>
      <c r="G155" t="inlineStr">
        <is>
          <t>HEDEMORA</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834-2026</t>
        </is>
      </c>
      <c r="B156" t="inlineStr">
        <is>
          <t>avverkningsanmälan</t>
        </is>
      </c>
      <c r="C156" t="inlineStr">
        <is>
          <t>Föryngringsavverkning</t>
        </is>
      </c>
      <c r="D156" s="1" t="n">
        <v>46030</v>
      </c>
      <c r="E156" s="1" t="n">
        <v>46216</v>
      </c>
      <c r="F156" t="inlineStr">
        <is>
          <t>DALARNAS LÄN</t>
        </is>
      </c>
      <c r="G156" t="inlineStr">
        <is>
          <t>HEDEMORA</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16413-2024</t>
        </is>
      </c>
      <c r="B157" t="inlineStr">
        <is>
          <t>avverkningsanmälan</t>
        </is>
      </c>
      <c r="C157" t="inlineStr">
        <is>
          <t>Avverkning för annat ändamål</t>
        </is>
      </c>
      <c r="D157" s="1" t="n">
        <v>45407</v>
      </c>
      <c r="E157" s="1" t="n">
        <v>46216</v>
      </c>
      <c r="F157" t="inlineStr">
        <is>
          <t>DALARNAS LÄN</t>
        </is>
      </c>
      <c r="G157" t="inlineStr">
        <is>
          <t>HEDEMORA</t>
        </is>
      </c>
      <c r="H157" t="inlineStr">
        <is>
          <t>Sveaskog</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43621-2024</t>
        </is>
      </c>
      <c r="B158" t="inlineStr">
        <is>
          <t>avverkningsanmälan</t>
        </is>
      </c>
      <c r="C158" t="inlineStr">
        <is>
          <t>Föryngringsavverkning</t>
        </is>
      </c>
      <c r="D158" s="1" t="n">
        <v>45569</v>
      </c>
      <c r="E158" s="1" t="n">
        <v>46216</v>
      </c>
      <c r="F158" t="inlineStr">
        <is>
          <t>DALARNAS LÄN</t>
        </is>
      </c>
      <c r="G158" t="inlineStr">
        <is>
          <t>HEDEMORA</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6972-2025</t>
        </is>
      </c>
      <c r="B159" t="inlineStr">
        <is>
          <t>avverkningsanmälan</t>
        </is>
      </c>
      <c r="C159" t="inlineStr">
        <is>
          <t>Föryngringsavverkning</t>
        </is>
      </c>
      <c r="D159" s="1" t="n">
        <v>45701</v>
      </c>
      <c r="E159" s="1" t="n">
        <v>46216</v>
      </c>
      <c r="F159" t="inlineStr">
        <is>
          <t>DALARNAS LÄN</t>
        </is>
      </c>
      <c r="G159" t="inlineStr">
        <is>
          <t>HEDEMORA</t>
        </is>
      </c>
      <c r="I159" t="n">
        <v>4.9</v>
      </c>
      <c r="J159" t="n">
        <v>0</v>
      </c>
      <c r="K159" t="n">
        <v>0</v>
      </c>
      <c r="L159" t="n">
        <v>0</v>
      </c>
      <c r="M159" t="n">
        <v>0</v>
      </c>
      <c r="N159" t="n">
        <v>0</v>
      </c>
      <c r="O159" t="n">
        <v>0</v>
      </c>
      <c r="P159" t="n">
        <v>0</v>
      </c>
      <c r="Q159" t="n">
        <v>0</v>
      </c>
      <c r="R159" t="n">
        <v>0</v>
      </c>
      <c r="S159" t="n">
        <v>0</v>
      </c>
      <c r="T159" t="n">
        <v>0</v>
      </c>
      <c r="U159" s="2" t="inlineStr"/>
    </row>
    <row r="160" ht="15" customHeight="1">
      <c r="A160" t="inlineStr">
        <is>
          <t>A 1449-2026</t>
        </is>
      </c>
      <c r="B160" t="inlineStr">
        <is>
          <t>avverkningsanmälan</t>
        </is>
      </c>
      <c r="C160" t="inlineStr">
        <is>
          <t>Föryngringsavverkning</t>
        </is>
      </c>
      <c r="D160" s="1" t="n">
        <v>46033</v>
      </c>
      <c r="E160" s="1" t="n">
        <v>46216</v>
      </c>
      <c r="F160" t="inlineStr">
        <is>
          <t>DALARNAS LÄN</t>
        </is>
      </c>
      <c r="G160" t="inlineStr">
        <is>
          <t>HEDEMORA</t>
        </is>
      </c>
      <c r="I160" t="n">
        <v>13.5</v>
      </c>
      <c r="J160" t="n">
        <v>0</v>
      </c>
      <c r="K160" t="n">
        <v>0</v>
      </c>
      <c r="L160" t="n">
        <v>0</v>
      </c>
      <c r="M160" t="n">
        <v>0</v>
      </c>
      <c r="N160" t="n">
        <v>0</v>
      </c>
      <c r="O160" t="n">
        <v>0</v>
      </c>
      <c r="P160" t="n">
        <v>0</v>
      </c>
      <c r="Q160" t="n">
        <v>0</v>
      </c>
      <c r="R160" t="n">
        <v>0</v>
      </c>
      <c r="S160" t="n">
        <v>0</v>
      </c>
      <c r="T160" t="n">
        <v>0</v>
      </c>
      <c r="U160" s="2" t="inlineStr"/>
    </row>
    <row r="161" ht="15" customHeight="1">
      <c r="A161" t="inlineStr">
        <is>
          <t>A 53042-2025</t>
        </is>
      </c>
      <c r="B161" t="inlineStr">
        <is>
          <t>avverkningsanmälan</t>
        </is>
      </c>
      <c r="C161" t="inlineStr">
        <is>
          <t>Föryngringsavverkning</t>
        </is>
      </c>
      <c r="D161" s="1" t="n">
        <v>45958</v>
      </c>
      <c r="E161" s="1" t="n">
        <v>46216</v>
      </c>
      <c r="F161" t="inlineStr">
        <is>
          <t>DALARNAS LÄN</t>
        </is>
      </c>
      <c r="G161" t="inlineStr">
        <is>
          <t>HEDEMORA</t>
        </is>
      </c>
      <c r="H161" t="inlineStr">
        <is>
          <t>Sveaskog</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39390-2025</t>
        </is>
      </c>
      <c r="B162" t="inlineStr">
        <is>
          <t>avverkningsanmälan</t>
        </is>
      </c>
      <c r="C162" t="inlineStr">
        <is>
          <t>Föryngringsavverkning</t>
        </is>
      </c>
      <c r="D162" s="1" t="n">
        <v>45889</v>
      </c>
      <c r="E162" s="1" t="n">
        <v>46216</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39393-2025</t>
        </is>
      </c>
      <c r="B163" t="inlineStr">
        <is>
          <t>avverkningsanmälan</t>
        </is>
      </c>
      <c r="C163" t="inlineStr">
        <is>
          <t>Föryngringsavverkning</t>
        </is>
      </c>
      <c r="D163" s="1" t="n">
        <v>45889</v>
      </c>
      <c r="E163" s="1" t="n">
        <v>46216</v>
      </c>
      <c r="F163" t="inlineStr">
        <is>
          <t>DALARNAS LÄN</t>
        </is>
      </c>
      <c r="G163" t="inlineStr">
        <is>
          <t>HEDEMORA</t>
        </is>
      </c>
      <c r="H163" t="inlineStr">
        <is>
          <t>Sveaskog</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1885-2026</t>
        </is>
      </c>
      <c r="B164" t="inlineStr">
        <is>
          <t>avverkningsanmälan</t>
        </is>
      </c>
      <c r="C164" t="inlineStr">
        <is>
          <t>Föryngringsavverkning</t>
        </is>
      </c>
      <c r="D164" s="1" t="n">
        <v>46035</v>
      </c>
      <c r="E164" s="1" t="n">
        <v>46216</v>
      </c>
      <c r="F164" t="inlineStr">
        <is>
          <t>DALARNAS LÄN</t>
        </is>
      </c>
      <c r="G164" t="inlineStr">
        <is>
          <t>HEDEMORA</t>
        </is>
      </c>
      <c r="I164" t="n">
        <v>2.5</v>
      </c>
      <c r="J164" t="n">
        <v>0</v>
      </c>
      <c r="K164" t="n">
        <v>0</v>
      </c>
      <c r="L164" t="n">
        <v>0</v>
      </c>
      <c r="M164" t="n">
        <v>0</v>
      </c>
      <c r="N164" t="n">
        <v>0</v>
      </c>
      <c r="O164" t="n">
        <v>0</v>
      </c>
      <c r="P164" t="n">
        <v>0</v>
      </c>
      <c r="Q164" t="n">
        <v>0</v>
      </c>
      <c r="R164" t="n">
        <v>0</v>
      </c>
      <c r="S164" t="n">
        <v>0</v>
      </c>
      <c r="T164" t="n">
        <v>0</v>
      </c>
      <c r="U164" s="2" t="inlineStr"/>
    </row>
    <row r="165" ht="15" customHeight="1">
      <c r="A165" t="inlineStr">
        <is>
          <t>A 40456-2025</t>
        </is>
      </c>
      <c r="B165" t="inlineStr">
        <is>
          <t>avverkningsanmälan</t>
        </is>
      </c>
      <c r="C165" t="inlineStr">
        <is>
          <t>Föryngringsavverkning</t>
        </is>
      </c>
      <c r="D165" s="1" t="n">
        <v>45895</v>
      </c>
      <c r="E165" s="1" t="n">
        <v>46216</v>
      </c>
      <c r="F165" t="inlineStr">
        <is>
          <t>DALARNAS LÄN</t>
        </is>
      </c>
      <c r="G165" t="inlineStr">
        <is>
          <t>HEDEMORA</t>
        </is>
      </c>
      <c r="H165" t="inlineStr">
        <is>
          <t>Bergvik skog väst AB</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52944-2024</t>
        </is>
      </c>
      <c r="B166" t="inlineStr">
        <is>
          <t>avverkningsanmälan</t>
        </is>
      </c>
      <c r="C166" t="inlineStr">
        <is>
          <t>Föryngringsavverkning</t>
        </is>
      </c>
      <c r="D166" s="1" t="n">
        <v>45610</v>
      </c>
      <c r="E166" s="1" t="n">
        <v>46216</v>
      </c>
      <c r="F166" t="inlineStr">
        <is>
          <t>DALARNAS LÄN</t>
        </is>
      </c>
      <c r="G166" t="inlineStr">
        <is>
          <t>HEDEMORA</t>
        </is>
      </c>
      <c r="H166" t="inlineStr">
        <is>
          <t>Sveaskog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19688-2025</t>
        </is>
      </c>
      <c r="B167" t="inlineStr">
        <is>
          <t>avverkningsanmälan</t>
        </is>
      </c>
      <c r="C167" t="inlineStr">
        <is>
          <t>Föryngringsavverkning</t>
        </is>
      </c>
      <c r="D167" s="1" t="n">
        <v>45770</v>
      </c>
      <c r="E167" s="1" t="n">
        <v>46216</v>
      </c>
      <c r="F167" t="inlineStr">
        <is>
          <t>DALARNAS LÄN</t>
        </is>
      </c>
      <c r="G167" t="inlineStr">
        <is>
          <t>HEDEMORA</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19689-2025</t>
        </is>
      </c>
      <c r="B168" t="inlineStr">
        <is>
          <t>avverkningsanmälan</t>
        </is>
      </c>
      <c r="C168" t="inlineStr">
        <is>
          <t>Föryngringsavverkning</t>
        </is>
      </c>
      <c r="D168" s="1" t="n">
        <v>45770</v>
      </c>
      <c r="E168" s="1" t="n">
        <v>46216</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28180-2025</t>
        </is>
      </c>
      <c r="B169" t="inlineStr">
        <is>
          <t>avverkningsanmälan</t>
        </is>
      </c>
      <c r="C169" t="inlineStr">
        <is>
          <t>Föryngringsavverkning</t>
        </is>
      </c>
      <c r="D169" s="1" t="n">
        <v>45818</v>
      </c>
      <c r="E169" s="1" t="n">
        <v>46216</v>
      </c>
      <c r="F169" t="inlineStr">
        <is>
          <t>DALARNAS LÄN</t>
        </is>
      </c>
      <c r="G169" t="inlineStr">
        <is>
          <t>HEDEMORA</t>
        </is>
      </c>
      <c r="H169" t="inlineStr">
        <is>
          <t>Sveaskog</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28182-2025</t>
        </is>
      </c>
      <c r="B170" t="inlineStr">
        <is>
          <t>avverkningsanmälan</t>
        </is>
      </c>
      <c r="C170" t="inlineStr">
        <is>
          <t>Föryngringsavverkning</t>
        </is>
      </c>
      <c r="D170" s="1" t="n">
        <v>45818</v>
      </c>
      <c r="E170" s="1" t="n">
        <v>46216</v>
      </c>
      <c r="F170" t="inlineStr">
        <is>
          <t>DALARNAS LÄN</t>
        </is>
      </c>
      <c r="G170" t="inlineStr">
        <is>
          <t>HEDEMORA</t>
        </is>
      </c>
      <c r="H170" t="inlineStr">
        <is>
          <t>Sveaskog</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1451-2026</t>
        </is>
      </c>
      <c r="B171" t="inlineStr">
        <is>
          <t>avverkningsanmälan</t>
        </is>
      </c>
      <c r="C171" t="inlineStr">
        <is>
          <t>Föryngringsavverkning</t>
        </is>
      </c>
      <c r="D171" s="1" t="n">
        <v>46033</v>
      </c>
      <c r="E171" s="1" t="n">
        <v>46216</v>
      </c>
      <c r="F171" t="inlineStr">
        <is>
          <t>DALARNAS LÄN</t>
        </is>
      </c>
      <c r="G171" t="inlineStr">
        <is>
          <t>HEDEMORA</t>
        </is>
      </c>
      <c r="I171" t="n">
        <v>7</v>
      </c>
      <c r="J171" t="n">
        <v>0</v>
      </c>
      <c r="K171" t="n">
        <v>0</v>
      </c>
      <c r="L171" t="n">
        <v>0</v>
      </c>
      <c r="M171" t="n">
        <v>0</v>
      </c>
      <c r="N171" t="n">
        <v>0</v>
      </c>
      <c r="O171" t="n">
        <v>0</v>
      </c>
      <c r="P171" t="n">
        <v>0</v>
      </c>
      <c r="Q171" t="n">
        <v>0</v>
      </c>
      <c r="R171" t="n">
        <v>0</v>
      </c>
      <c r="S171" t="n">
        <v>0</v>
      </c>
      <c r="T171" t="n">
        <v>0</v>
      </c>
      <c r="U171" s="2" t="inlineStr"/>
    </row>
    <row r="172" ht="15" customHeight="1">
      <c r="A172" t="inlineStr">
        <is>
          <t>A 1573-2026</t>
        </is>
      </c>
      <c r="B172" t="inlineStr">
        <is>
          <t>avverkningsanmälan</t>
        </is>
      </c>
      <c r="C172" t="inlineStr">
        <is>
          <t>Föryngringsavverkning</t>
        </is>
      </c>
      <c r="D172" s="1" t="n">
        <v>46034</v>
      </c>
      <c r="E172" s="1" t="n">
        <v>46216</v>
      </c>
      <c r="F172" t="inlineStr">
        <is>
          <t>DALARNAS LÄN</t>
        </is>
      </c>
      <c r="G172" t="inlineStr">
        <is>
          <t>HEDEMORA</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5766-2025</t>
        </is>
      </c>
      <c r="B173" t="inlineStr">
        <is>
          <t>avverkningsanmälan</t>
        </is>
      </c>
      <c r="C173" t="inlineStr">
        <is>
          <t>Föryngringsavverkning</t>
        </is>
      </c>
      <c r="D173" s="1" t="n">
        <v>45694</v>
      </c>
      <c r="E173" s="1" t="n">
        <v>46216</v>
      </c>
      <c r="F173" t="inlineStr">
        <is>
          <t>DALARNAS LÄN</t>
        </is>
      </c>
      <c r="G173" t="inlineStr">
        <is>
          <t>HEDEMORA</t>
        </is>
      </c>
      <c r="I173" t="n">
        <v>4.9</v>
      </c>
      <c r="J173" t="n">
        <v>0</v>
      </c>
      <c r="K173" t="n">
        <v>0</v>
      </c>
      <c r="L173" t="n">
        <v>0</v>
      </c>
      <c r="M173" t="n">
        <v>0</v>
      </c>
      <c r="N173" t="n">
        <v>0</v>
      </c>
      <c r="O173" t="n">
        <v>0</v>
      </c>
      <c r="P173" t="n">
        <v>0</v>
      </c>
      <c r="Q173" t="n">
        <v>0</v>
      </c>
      <c r="R173" t="n">
        <v>0</v>
      </c>
      <c r="S173" t="n">
        <v>0</v>
      </c>
      <c r="T173" t="n">
        <v>0</v>
      </c>
      <c r="U173" s="2" t="inlineStr"/>
    </row>
    <row r="174" ht="15" customHeight="1">
      <c r="A174" t="inlineStr">
        <is>
          <t>A 19473-2024</t>
        </is>
      </c>
      <c r="B174" t="inlineStr">
        <is>
          <t>avverkningsanmälan</t>
        </is>
      </c>
      <c r="C174" t="inlineStr">
        <is>
          <t>Föryngringsavverkning</t>
        </is>
      </c>
      <c r="D174" s="1" t="n">
        <v>45429</v>
      </c>
      <c r="E174" s="1" t="n">
        <v>46216</v>
      </c>
      <c r="F174" t="inlineStr">
        <is>
          <t>DALARNAS LÄN</t>
        </is>
      </c>
      <c r="G174" t="inlineStr">
        <is>
          <t>HEDEMORA</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50885-2023</t>
        </is>
      </c>
      <c r="B175" t="inlineStr">
        <is>
          <t>avverkningsanmälan</t>
        </is>
      </c>
      <c r="C175" t="inlineStr">
        <is>
          <t>Föryngringsavverkning</t>
        </is>
      </c>
      <c r="D175" s="1" t="n">
        <v>45218</v>
      </c>
      <c r="E175" s="1" t="n">
        <v>46216</v>
      </c>
      <c r="F175" t="inlineStr">
        <is>
          <t>DALARNAS LÄN</t>
        </is>
      </c>
      <c r="G175" t="inlineStr">
        <is>
          <t>HEDEMORA</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53576-2023</t>
        </is>
      </c>
      <c r="B176" t="inlineStr">
        <is>
          <t>avverkningsanmälan</t>
        </is>
      </c>
      <c r="C176" t="inlineStr">
        <is>
          <t>Föryngringsavverkning</t>
        </is>
      </c>
      <c r="D176" s="1" t="n">
        <v>45230</v>
      </c>
      <c r="E176" s="1" t="n">
        <v>46216</v>
      </c>
      <c r="F176" t="inlineStr">
        <is>
          <t>DALARNAS LÄN</t>
        </is>
      </c>
      <c r="G176" t="inlineStr">
        <is>
          <t>HEDEMORA</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53588-2023</t>
        </is>
      </c>
      <c r="B177" t="inlineStr">
        <is>
          <t>avverkningsanmälan</t>
        </is>
      </c>
      <c r="C177" t="inlineStr">
        <is>
          <t>Föryngringsavverkning</t>
        </is>
      </c>
      <c r="D177" s="1" t="n">
        <v>45230</v>
      </c>
      <c r="E177" s="1" t="n">
        <v>46216</v>
      </c>
      <c r="F177" t="inlineStr">
        <is>
          <t>DALARNAS LÄN</t>
        </is>
      </c>
      <c r="G177" t="inlineStr">
        <is>
          <t>HEDEMORA</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30582-2025</t>
        </is>
      </c>
      <c r="B178" t="inlineStr">
        <is>
          <t>avverkningsanmälan</t>
        </is>
      </c>
      <c r="C178" t="inlineStr">
        <is>
          <t>Föryngringsavverkning</t>
        </is>
      </c>
      <c r="D178" s="1" t="n">
        <v>45831</v>
      </c>
      <c r="E178" s="1" t="n">
        <v>46216</v>
      </c>
      <c r="F178" t="inlineStr">
        <is>
          <t>DALARNAS LÄN</t>
        </is>
      </c>
      <c r="G178" t="inlineStr">
        <is>
          <t>HEDEMORA</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30471-2025</t>
        </is>
      </c>
      <c r="B179" t="inlineStr">
        <is>
          <t>avverkningsanmälan</t>
        </is>
      </c>
      <c r="C179" t="inlineStr">
        <is>
          <t>Föryngringsavverkning</t>
        </is>
      </c>
      <c r="D179" s="1" t="n">
        <v>45827</v>
      </c>
      <c r="E179" s="1" t="n">
        <v>46216</v>
      </c>
      <c r="F179" t="inlineStr">
        <is>
          <t>DALARNAS LÄN</t>
        </is>
      </c>
      <c r="G179" t="inlineStr">
        <is>
          <t>HEDEMORA</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42645-2025</t>
        </is>
      </c>
      <c r="B180" t="inlineStr">
        <is>
          <t>avverkningsanmälan</t>
        </is>
      </c>
      <c r="C180" t="inlineStr">
        <is>
          <t>Avverkning för att bevara och utveckla /försöksver</t>
        </is>
      </c>
      <c r="D180" s="1" t="n">
        <v>45906</v>
      </c>
      <c r="E180" s="1" t="n">
        <v>46216</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8342-2025</t>
        </is>
      </c>
      <c r="B181" t="inlineStr">
        <is>
          <t>avverkningsanmälan</t>
        </is>
      </c>
      <c r="C181" t="inlineStr">
        <is>
          <t>Avverkning för annat ändamål</t>
        </is>
      </c>
      <c r="D181" s="1" t="n">
        <v>45708</v>
      </c>
      <c r="E181" s="1" t="n">
        <v>46216</v>
      </c>
      <c r="F181" t="inlineStr">
        <is>
          <t>DALARNAS LÄN</t>
        </is>
      </c>
      <c r="G181" t="inlineStr">
        <is>
          <t>HEDEMORA</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28029-2023</t>
        </is>
      </c>
      <c r="B182" t="inlineStr">
        <is>
          <t>avverkningsanmälan</t>
        </is>
      </c>
      <c r="C182" t="inlineStr">
        <is>
          <t>Avverkning för annat ändamål</t>
        </is>
      </c>
      <c r="D182" s="1" t="n">
        <v>45099</v>
      </c>
      <c r="E182" s="1" t="n">
        <v>46216</v>
      </c>
      <c r="F182" t="inlineStr">
        <is>
          <t>DALARNAS LÄN</t>
        </is>
      </c>
      <c r="G182" t="inlineStr">
        <is>
          <t>HEDEMORA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2159-2026</t>
        </is>
      </c>
      <c r="B183" t="inlineStr">
        <is>
          <t>avverkningsanmälan</t>
        </is>
      </c>
      <c r="C183" t="inlineStr">
        <is>
          <t>Föryngringsavverkning</t>
        </is>
      </c>
      <c r="D183" s="1" t="n">
        <v>46036</v>
      </c>
      <c r="E183" s="1" t="n">
        <v>46216</v>
      </c>
      <c r="F183" t="inlineStr">
        <is>
          <t>DALARNAS LÄN</t>
        </is>
      </c>
      <c r="G183" t="inlineStr">
        <is>
          <t>HEDEMORA</t>
        </is>
      </c>
      <c r="H183" t="inlineStr">
        <is>
          <t>Kyrkan</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33009-2025</t>
        </is>
      </c>
      <c r="B184" t="inlineStr">
        <is>
          <t>avverkningsanmälan</t>
        </is>
      </c>
      <c r="C184" t="inlineStr">
        <is>
          <t>Föryngringsavverkning</t>
        </is>
      </c>
      <c r="D184" s="1" t="n">
        <v>45840</v>
      </c>
      <c r="E184" s="1" t="n">
        <v>46216</v>
      </c>
      <c r="F184" t="inlineStr">
        <is>
          <t>DALARNAS LÄN</t>
        </is>
      </c>
      <c r="G184" t="inlineStr">
        <is>
          <t>HEDEMORA</t>
        </is>
      </c>
      <c r="H184" t="inlineStr">
        <is>
          <t>Kyrkan</t>
        </is>
      </c>
      <c r="I184" t="n">
        <v>7.6</v>
      </c>
      <c r="J184" t="n">
        <v>0</v>
      </c>
      <c r="K184" t="n">
        <v>0</v>
      </c>
      <c r="L184" t="n">
        <v>0</v>
      </c>
      <c r="M184" t="n">
        <v>0</v>
      </c>
      <c r="N184" t="n">
        <v>0</v>
      </c>
      <c r="O184" t="n">
        <v>0</v>
      </c>
      <c r="P184" t="n">
        <v>0</v>
      </c>
      <c r="Q184" t="n">
        <v>0</v>
      </c>
      <c r="R184" t="n">
        <v>0</v>
      </c>
      <c r="S184" t="n">
        <v>0</v>
      </c>
      <c r="T184" t="n">
        <v>0</v>
      </c>
      <c r="U184" s="2" t="inlineStr"/>
    </row>
    <row r="185" ht="15" customHeight="1">
      <c r="A185" t="inlineStr">
        <is>
          <t>A 33286-2025</t>
        </is>
      </c>
      <c r="B185" t="inlineStr">
        <is>
          <t>avverkningsanmälan</t>
        </is>
      </c>
      <c r="C185" t="inlineStr">
        <is>
          <t>Föryngringsavverkning</t>
        </is>
      </c>
      <c r="D185" s="1" t="n">
        <v>45840</v>
      </c>
      <c r="E185" s="1" t="n">
        <v>46216</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s="2" t="inlineStr"/>
    </row>
    <row r="186" ht="15" customHeight="1">
      <c r="A186" t="inlineStr">
        <is>
          <t>A 30205-2022</t>
        </is>
      </c>
      <c r="B186" t="inlineStr">
        <is>
          <t>avverkningsanmälan</t>
        </is>
      </c>
      <c r="C186" t="inlineStr">
        <is>
          <t>Föryngringsavverkning</t>
        </is>
      </c>
      <c r="D186" s="1" t="n">
        <v>44757</v>
      </c>
      <c r="E186" s="1" t="n">
        <v>46216</v>
      </c>
      <c r="F186" t="inlineStr">
        <is>
          <t>DALARNAS LÄN</t>
        </is>
      </c>
      <c r="G186" t="inlineStr">
        <is>
          <t>HEDEMORA</t>
        </is>
      </c>
      <c r="H186" t="inlineStr">
        <is>
          <t>Sveaskog</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53586-2023</t>
        </is>
      </c>
      <c r="B187" t="inlineStr">
        <is>
          <t>avverkningsanmälan</t>
        </is>
      </c>
      <c r="C187" t="inlineStr">
        <is>
          <t>Föryngringsavverkning</t>
        </is>
      </c>
      <c r="D187" s="1" t="n">
        <v>45230</v>
      </c>
      <c r="E187" s="1" t="n">
        <v>46216</v>
      </c>
      <c r="F187" t="inlineStr">
        <is>
          <t>DALARNAS LÄN</t>
        </is>
      </c>
      <c r="G187" t="inlineStr">
        <is>
          <t>HEDEMORA</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2599-2026</t>
        </is>
      </c>
      <c r="B188" t="inlineStr">
        <is>
          <t>avverkningsanmälan</t>
        </is>
      </c>
      <c r="C188" t="inlineStr">
        <is>
          <t>Föryngringsavverkning</t>
        </is>
      </c>
      <c r="D188" s="1" t="n">
        <v>46037</v>
      </c>
      <c r="E188" s="1" t="n">
        <v>46216</v>
      </c>
      <c r="F188" t="inlineStr">
        <is>
          <t>DALARNAS LÄN</t>
        </is>
      </c>
      <c r="G188" t="inlineStr">
        <is>
          <t>HEDEMORA</t>
        </is>
      </c>
      <c r="I188" t="n">
        <v>6.5</v>
      </c>
      <c r="J188" t="n">
        <v>0</v>
      </c>
      <c r="K188" t="n">
        <v>0</v>
      </c>
      <c r="L188" t="n">
        <v>0</v>
      </c>
      <c r="M188" t="n">
        <v>0</v>
      </c>
      <c r="N188" t="n">
        <v>0</v>
      </c>
      <c r="O188" t="n">
        <v>0</v>
      </c>
      <c r="P188" t="n">
        <v>0</v>
      </c>
      <c r="Q188" t="n">
        <v>0</v>
      </c>
      <c r="R188" t="n">
        <v>0</v>
      </c>
      <c r="S188" t="n">
        <v>0</v>
      </c>
      <c r="T188" t="n">
        <v>0</v>
      </c>
      <c r="U188" s="2" t="inlineStr"/>
    </row>
    <row r="189" ht="15" customHeight="1">
      <c r="A189" t="inlineStr">
        <is>
          <t>A 34734-2025</t>
        </is>
      </c>
      <c r="B189" t="inlineStr">
        <is>
          <t>avverkningsanmälan</t>
        </is>
      </c>
      <c r="C189" t="inlineStr">
        <is>
          <t>Föryngringsavverkning</t>
        </is>
      </c>
      <c r="D189" s="1" t="n">
        <v>45848</v>
      </c>
      <c r="E189" s="1" t="n">
        <v>46216</v>
      </c>
      <c r="F189" t="inlineStr">
        <is>
          <t>DALARNAS LÄN</t>
        </is>
      </c>
      <c r="G189" t="inlineStr">
        <is>
          <t>HEDEMORA</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61533-2021</t>
        </is>
      </c>
      <c r="B190" t="inlineStr">
        <is>
          <t>avverkningsanmälan</t>
        </is>
      </c>
      <c r="C190" t="inlineStr">
        <is>
          <t>Föryngringsavverkning</t>
        </is>
      </c>
      <c r="D190" s="1" t="n">
        <v>44501</v>
      </c>
      <c r="E190" s="1" t="n">
        <v>46216</v>
      </c>
      <c r="F190" t="inlineStr">
        <is>
          <t>DALARNAS LÄN</t>
        </is>
      </c>
      <c r="G190" t="inlineStr">
        <is>
          <t>HEDEMORA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50333-2023</t>
        </is>
      </c>
      <c r="B191" t="inlineStr">
        <is>
          <t>avverkningsanmälan</t>
        </is>
      </c>
      <c r="C191" t="inlineStr">
        <is>
          <t>Avverkning för att bevara och utveckla /försöksver</t>
        </is>
      </c>
      <c r="D191" s="1" t="n">
        <v>45216</v>
      </c>
      <c r="E191" s="1" t="n">
        <v>46216</v>
      </c>
      <c r="F191" t="inlineStr">
        <is>
          <t>DALARNAS LÄN</t>
        </is>
      </c>
      <c r="G191" t="inlineStr">
        <is>
          <t>HEDEMORA</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15048-2025</t>
        </is>
      </c>
      <c r="B192" t="inlineStr">
        <is>
          <t>avverkningsanmälan</t>
        </is>
      </c>
      <c r="C192" t="inlineStr">
        <is>
          <t>Föryngringsavverkning</t>
        </is>
      </c>
      <c r="D192" s="1" t="n">
        <v>45743</v>
      </c>
      <c r="E192" s="1" t="n">
        <v>46216</v>
      </c>
      <c r="F192" t="inlineStr">
        <is>
          <t>DALARNAS LÄN</t>
        </is>
      </c>
      <c r="G192" t="inlineStr">
        <is>
          <t>HEDEMORA</t>
        </is>
      </c>
      <c r="H192" t="inlineStr">
        <is>
          <t>Sveaskog</t>
        </is>
      </c>
      <c r="I192" t="n">
        <v>9.1</v>
      </c>
      <c r="J192" t="n">
        <v>0</v>
      </c>
      <c r="K192" t="n">
        <v>0</v>
      </c>
      <c r="L192" t="n">
        <v>0</v>
      </c>
      <c r="M192" t="n">
        <v>0</v>
      </c>
      <c r="N192" t="n">
        <v>0</v>
      </c>
      <c r="O192" t="n">
        <v>0</v>
      </c>
      <c r="P192" t="n">
        <v>0</v>
      </c>
      <c r="Q192" t="n">
        <v>0</v>
      </c>
      <c r="R192" t="n">
        <v>0</v>
      </c>
      <c r="S192" t="n">
        <v>0</v>
      </c>
      <c r="T192" t="n">
        <v>0</v>
      </c>
      <c r="U192" s="2" t="inlineStr"/>
    </row>
    <row r="193" ht="15" customHeight="1">
      <c r="A193" t="inlineStr">
        <is>
          <t>A 36075-2025</t>
        </is>
      </c>
      <c r="B193" t="inlineStr">
        <is>
          <t>avverkningsanmälan</t>
        </is>
      </c>
      <c r="C193" t="inlineStr">
        <is>
          <t>Avverkning för annat ändamål</t>
        </is>
      </c>
      <c r="D193" s="1" t="n">
        <v>45866</v>
      </c>
      <c r="E193" s="1" t="n">
        <v>46216</v>
      </c>
      <c r="F193" t="inlineStr">
        <is>
          <t>DALARNAS LÄN</t>
        </is>
      </c>
      <c r="G193" t="inlineStr">
        <is>
          <t>HEDEMORA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7916-2024</t>
        </is>
      </c>
      <c r="B194" t="inlineStr">
        <is>
          <t>avverkningsanmälan</t>
        </is>
      </c>
      <c r="C194" t="inlineStr">
        <is>
          <t>Föryngringsavverkning</t>
        </is>
      </c>
      <c r="D194" s="1" t="n">
        <v>45350</v>
      </c>
      <c r="E194" s="1" t="n">
        <v>46216</v>
      </c>
      <c r="F194" t="inlineStr">
        <is>
          <t>DALARNAS LÄN</t>
        </is>
      </c>
      <c r="G194" t="inlineStr">
        <is>
          <t>HEDEMORA</t>
        </is>
      </c>
      <c r="I194" t="n">
        <v>5.8</v>
      </c>
      <c r="J194" t="n">
        <v>0</v>
      </c>
      <c r="K194" t="n">
        <v>0</v>
      </c>
      <c r="L194" t="n">
        <v>0</v>
      </c>
      <c r="M194" t="n">
        <v>0</v>
      </c>
      <c r="N194" t="n">
        <v>0</v>
      </c>
      <c r="O194" t="n">
        <v>0</v>
      </c>
      <c r="P194" t="n">
        <v>0</v>
      </c>
      <c r="Q194" t="n">
        <v>0</v>
      </c>
      <c r="R194" t="n">
        <v>0</v>
      </c>
      <c r="S194" t="n">
        <v>0</v>
      </c>
      <c r="T194" t="n">
        <v>0</v>
      </c>
      <c r="U194" s="2" t="inlineStr"/>
    </row>
    <row r="195" ht="15" customHeight="1">
      <c r="A195" t="inlineStr">
        <is>
          <t>A 36117-2025</t>
        </is>
      </c>
      <c r="B195" t="inlineStr">
        <is>
          <t>avverkningsanmälan</t>
        </is>
      </c>
      <c r="C195" t="inlineStr">
        <is>
          <t>Föryngringsavverkning</t>
        </is>
      </c>
      <c r="D195" s="1" t="n">
        <v>45866</v>
      </c>
      <c r="E195" s="1" t="n">
        <v>46216</v>
      </c>
      <c r="F195" t="inlineStr">
        <is>
          <t>DALARNAS LÄN</t>
        </is>
      </c>
      <c r="G195" t="inlineStr">
        <is>
          <t>HEDEMORA</t>
        </is>
      </c>
      <c r="H195" t="inlineStr">
        <is>
          <t>Sveaskog</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36206-2025</t>
        </is>
      </c>
      <c r="B196" t="inlineStr">
        <is>
          <t>avverkningsanmälan</t>
        </is>
      </c>
      <c r="C196" t="inlineStr">
        <is>
          <t>Avverkning för annat ändamål</t>
        </is>
      </c>
      <c r="D196" s="1" t="n">
        <v>45867</v>
      </c>
      <c r="E196" s="1" t="n">
        <v>46216</v>
      </c>
      <c r="F196" t="inlineStr">
        <is>
          <t>DALARNAS LÄN</t>
        </is>
      </c>
      <c r="G196" t="inlineStr">
        <is>
          <t>HEDEMORA</t>
        </is>
      </c>
      <c r="I196" t="n">
        <v>0.1</v>
      </c>
      <c r="J196" t="n">
        <v>0</v>
      </c>
      <c r="K196" t="n">
        <v>0</v>
      </c>
      <c r="L196" t="n">
        <v>0</v>
      </c>
      <c r="M196" t="n">
        <v>0</v>
      </c>
      <c r="N196" t="n">
        <v>0</v>
      </c>
      <c r="O196" t="n">
        <v>0</v>
      </c>
      <c r="P196" t="n">
        <v>0</v>
      </c>
      <c r="Q196" t="n">
        <v>0</v>
      </c>
      <c r="R196" t="n">
        <v>0</v>
      </c>
      <c r="S196" t="n">
        <v>0</v>
      </c>
      <c r="T196" t="n">
        <v>0</v>
      </c>
      <c r="U196" s="2" t="inlineStr"/>
    </row>
    <row r="197" ht="15" customHeight="1">
      <c r="A197" t="inlineStr">
        <is>
          <t>A 48238-2025</t>
        </is>
      </c>
      <c r="B197" t="inlineStr">
        <is>
          <t>avverkningsanmälan</t>
        </is>
      </c>
      <c r="C197" t="inlineStr">
        <is>
          <t>Föryngringsavverkning</t>
        </is>
      </c>
      <c r="D197" s="1" t="n">
        <v>45933</v>
      </c>
      <c r="E197" s="1" t="n">
        <v>46216</v>
      </c>
      <c r="F197" t="inlineStr">
        <is>
          <t>DALARNAS LÄN</t>
        </is>
      </c>
      <c r="G197" t="inlineStr">
        <is>
          <t>HEDEMORA</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57563-2025</t>
        </is>
      </c>
      <c r="B198" t="inlineStr">
        <is>
          <t>avverkningsanmälan</t>
        </is>
      </c>
      <c r="C198" t="inlineStr">
        <is>
          <t>Föryngringsavverkning</t>
        </is>
      </c>
      <c r="D198" s="1" t="n">
        <v>45980</v>
      </c>
      <c r="E198" s="1" t="n">
        <v>46216</v>
      </c>
      <c r="F198" t="inlineStr">
        <is>
          <t>DALARNAS LÄN</t>
        </is>
      </c>
      <c r="G198" t="inlineStr">
        <is>
          <t>HEDEMORA</t>
        </is>
      </c>
      <c r="H198" t="inlineStr">
        <is>
          <t>Sveaskog</t>
        </is>
      </c>
      <c r="I198" t="n">
        <v>5.8</v>
      </c>
      <c r="J198" t="n">
        <v>0</v>
      </c>
      <c r="K198" t="n">
        <v>0</v>
      </c>
      <c r="L198" t="n">
        <v>0</v>
      </c>
      <c r="M198" t="n">
        <v>0</v>
      </c>
      <c r="N198" t="n">
        <v>0</v>
      </c>
      <c r="O198" t="n">
        <v>0</v>
      </c>
      <c r="P198" t="n">
        <v>0</v>
      </c>
      <c r="Q198" t="n">
        <v>0</v>
      </c>
      <c r="R198" t="n">
        <v>0</v>
      </c>
      <c r="S198" t="n">
        <v>0</v>
      </c>
      <c r="T198" t="n">
        <v>0</v>
      </c>
      <c r="U198" s="2" t="inlineStr"/>
    </row>
    <row r="199" ht="15" customHeight="1">
      <c r="A199" t="inlineStr">
        <is>
          <t>A 36656-2025</t>
        </is>
      </c>
      <c r="B199" t="inlineStr">
        <is>
          <t>avverkningsanmälan</t>
        </is>
      </c>
      <c r="C199" t="inlineStr">
        <is>
          <t>Föryngringsavverkning</t>
        </is>
      </c>
      <c r="D199" s="1" t="n">
        <v>45873</v>
      </c>
      <c r="E199" s="1" t="n">
        <v>46216</v>
      </c>
      <c r="F199" t="inlineStr">
        <is>
          <t>DALARNAS LÄN</t>
        </is>
      </c>
      <c r="G199" t="inlineStr">
        <is>
          <t>HEDEMORA</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21868-2025</t>
        </is>
      </c>
      <c r="B200" t="inlineStr">
        <is>
          <t>avverkningsanmälan</t>
        </is>
      </c>
      <c r="C200" t="inlineStr">
        <is>
          <t>Föryngringsavverkning</t>
        </is>
      </c>
      <c r="D200" s="1" t="n">
        <v>45784</v>
      </c>
      <c r="E200" s="1" t="n">
        <v>46216</v>
      </c>
      <c r="F200" t="inlineStr">
        <is>
          <t>DALARNAS LÄN</t>
        </is>
      </c>
      <c r="G200" t="inlineStr">
        <is>
          <t>HEDEMORA</t>
        </is>
      </c>
      <c r="H200" t="inlineStr">
        <is>
          <t>Sveaskog</t>
        </is>
      </c>
      <c r="I200" t="n">
        <v>10.1</v>
      </c>
      <c r="J200" t="n">
        <v>0</v>
      </c>
      <c r="K200" t="n">
        <v>0</v>
      </c>
      <c r="L200" t="n">
        <v>0</v>
      </c>
      <c r="M200" t="n">
        <v>0</v>
      </c>
      <c r="N200" t="n">
        <v>0</v>
      </c>
      <c r="O200" t="n">
        <v>0</v>
      </c>
      <c r="P200" t="n">
        <v>0</v>
      </c>
      <c r="Q200" t="n">
        <v>0</v>
      </c>
      <c r="R200" t="n">
        <v>0</v>
      </c>
      <c r="S200" t="n">
        <v>0</v>
      </c>
      <c r="T200" t="n">
        <v>0</v>
      </c>
      <c r="U200" s="2" t="inlineStr"/>
    </row>
    <row r="201" ht="15" customHeight="1">
      <c r="A201" t="inlineStr">
        <is>
          <t>A 34409-2022</t>
        </is>
      </c>
      <c r="B201" t="inlineStr">
        <is>
          <t>avverkningsanmälan</t>
        </is>
      </c>
      <c r="C201" t="inlineStr">
        <is>
          <t>Föryngringsavverkning</t>
        </is>
      </c>
      <c r="D201" s="1" t="n">
        <v>44792</v>
      </c>
      <c r="E201" s="1" t="n">
        <v>46216</v>
      </c>
      <c r="F201" t="inlineStr">
        <is>
          <t>DALARNAS LÄN</t>
        </is>
      </c>
      <c r="G201" t="inlineStr">
        <is>
          <t>HEDEMORA</t>
        </is>
      </c>
      <c r="I201" t="n">
        <v>13.7</v>
      </c>
      <c r="J201" t="n">
        <v>0</v>
      </c>
      <c r="K201" t="n">
        <v>0</v>
      </c>
      <c r="L201" t="n">
        <v>0</v>
      </c>
      <c r="M201" t="n">
        <v>0</v>
      </c>
      <c r="N201" t="n">
        <v>0</v>
      </c>
      <c r="O201" t="n">
        <v>0</v>
      </c>
      <c r="P201" t="n">
        <v>0</v>
      </c>
      <c r="Q201" t="n">
        <v>0</v>
      </c>
      <c r="R201" t="n">
        <v>0</v>
      </c>
      <c r="S201" t="n">
        <v>0</v>
      </c>
      <c r="T201" t="n">
        <v>0</v>
      </c>
      <c r="U201" s="2" t="inlineStr"/>
    </row>
    <row r="202" ht="15" customHeight="1">
      <c r="A202" t="inlineStr">
        <is>
          <t>A 34932-2024</t>
        </is>
      </c>
      <c r="B202" t="inlineStr">
        <is>
          <t>avverkningsanmälan</t>
        </is>
      </c>
      <c r="C202" t="inlineStr">
        <is>
          <t>Föryngringsavverkning</t>
        </is>
      </c>
      <c r="D202" s="1" t="n">
        <v>45527</v>
      </c>
      <c r="E202" s="1" t="n">
        <v>46216</v>
      </c>
      <c r="F202" t="inlineStr">
        <is>
          <t>DALARNAS LÄN</t>
        </is>
      </c>
      <c r="G202" t="inlineStr">
        <is>
          <t>HEDEMORA</t>
        </is>
      </c>
      <c r="H202" t="inlineStr">
        <is>
          <t>Sveaskog</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51615-2025</t>
        </is>
      </c>
      <c r="B203" t="inlineStr">
        <is>
          <t>avverkningsanmälan</t>
        </is>
      </c>
      <c r="C203" t="inlineStr">
        <is>
          <t>Föryngringsavverkning</t>
        </is>
      </c>
      <c r="D203" s="1" t="n">
        <v>45951</v>
      </c>
      <c r="E203" s="1" t="n">
        <v>46216</v>
      </c>
      <c r="F203" t="inlineStr">
        <is>
          <t>DALARNAS LÄN</t>
        </is>
      </c>
      <c r="G203" t="inlineStr">
        <is>
          <t>HEDEMORA</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3759-2026</t>
        </is>
      </c>
      <c r="B204" t="inlineStr">
        <is>
          <t>avverkningsanmälan</t>
        </is>
      </c>
      <c r="C204" t="inlineStr">
        <is>
          <t>Föryngringsavverkning</t>
        </is>
      </c>
      <c r="D204" s="1" t="n">
        <v>46043</v>
      </c>
      <c r="E204" s="1" t="n">
        <v>46216</v>
      </c>
      <c r="F204" t="inlineStr">
        <is>
          <t>DALARNAS LÄN</t>
        </is>
      </c>
      <c r="G204" t="inlineStr">
        <is>
          <t>HEDEMORA</t>
        </is>
      </c>
      <c r="I204" t="n">
        <v>6.6</v>
      </c>
      <c r="J204" t="n">
        <v>0</v>
      </c>
      <c r="K204" t="n">
        <v>0</v>
      </c>
      <c r="L204" t="n">
        <v>0</v>
      </c>
      <c r="M204" t="n">
        <v>0</v>
      </c>
      <c r="N204" t="n">
        <v>0</v>
      </c>
      <c r="O204" t="n">
        <v>0</v>
      </c>
      <c r="P204" t="n">
        <v>0</v>
      </c>
      <c r="Q204" t="n">
        <v>0</v>
      </c>
      <c r="R204" t="n">
        <v>0</v>
      </c>
      <c r="S204" t="n">
        <v>0</v>
      </c>
      <c r="T204" t="n">
        <v>0</v>
      </c>
      <c r="U204" s="2" t="inlineStr"/>
    </row>
    <row r="205" ht="15" customHeight="1">
      <c r="A205" t="inlineStr">
        <is>
          <t>A 51695-2025</t>
        </is>
      </c>
      <c r="B205" t="inlineStr">
        <is>
          <t>avverkningsanmälan</t>
        </is>
      </c>
      <c r="C205" t="inlineStr">
        <is>
          <t>Föryngringsavverkning</t>
        </is>
      </c>
      <c r="D205" s="1" t="n">
        <v>45951</v>
      </c>
      <c r="E205" s="1" t="n">
        <v>46216</v>
      </c>
      <c r="F205" t="inlineStr">
        <is>
          <t>DALARNAS LÄN</t>
        </is>
      </c>
      <c r="G205" t="inlineStr">
        <is>
          <t>HEDEMORA</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52714-2025</t>
        </is>
      </c>
      <c r="B206" t="inlineStr">
        <is>
          <t>avverkningsanmälan</t>
        </is>
      </c>
      <c r="C206" t="inlineStr">
        <is>
          <t>Föryngringsavverkning</t>
        </is>
      </c>
      <c r="D206" s="1" t="n">
        <v>45953</v>
      </c>
      <c r="E206" s="1" t="n">
        <v>46216</v>
      </c>
      <c r="F206" t="inlineStr">
        <is>
          <t>DALARNAS LÄN</t>
        </is>
      </c>
      <c r="G206" t="inlineStr">
        <is>
          <t>HEDEMORA</t>
        </is>
      </c>
      <c r="H206" t="inlineStr">
        <is>
          <t>Bergvik skog väst AB</t>
        </is>
      </c>
      <c r="I206" t="n">
        <v>14.7</v>
      </c>
      <c r="J206" t="n">
        <v>0</v>
      </c>
      <c r="K206" t="n">
        <v>0</v>
      </c>
      <c r="L206" t="n">
        <v>0</v>
      </c>
      <c r="M206" t="n">
        <v>0</v>
      </c>
      <c r="N206" t="n">
        <v>0</v>
      </c>
      <c r="O206" t="n">
        <v>0</v>
      </c>
      <c r="P206" t="n">
        <v>0</v>
      </c>
      <c r="Q206" t="n">
        <v>0</v>
      </c>
      <c r="R206" t="n">
        <v>0</v>
      </c>
      <c r="S206" t="n">
        <v>0</v>
      </c>
      <c r="T206" t="n">
        <v>0</v>
      </c>
      <c r="U206" s="2" t="inlineStr"/>
    </row>
    <row r="207" ht="15" customHeight="1">
      <c r="A207" t="inlineStr">
        <is>
          <t>A 51943-2025</t>
        </is>
      </c>
      <c r="B207" t="inlineStr">
        <is>
          <t>avverkningsanmälan</t>
        </is>
      </c>
      <c r="C207" t="inlineStr">
        <is>
          <t>Föryngringsavverkning</t>
        </is>
      </c>
      <c r="D207" s="1" t="n">
        <v>45952</v>
      </c>
      <c r="E207" s="1" t="n">
        <v>46216</v>
      </c>
      <c r="F207" t="inlineStr">
        <is>
          <t>DALARNAS LÄN</t>
        </is>
      </c>
      <c r="G207" t="inlineStr">
        <is>
          <t>HEDEMORA</t>
        </is>
      </c>
      <c r="I207" t="n">
        <v>4.5</v>
      </c>
      <c r="J207" t="n">
        <v>0</v>
      </c>
      <c r="K207" t="n">
        <v>0</v>
      </c>
      <c r="L207" t="n">
        <v>0</v>
      </c>
      <c r="M207" t="n">
        <v>0</v>
      </c>
      <c r="N207" t="n">
        <v>0</v>
      </c>
      <c r="O207" t="n">
        <v>0</v>
      </c>
      <c r="P207" t="n">
        <v>0</v>
      </c>
      <c r="Q207" t="n">
        <v>0</v>
      </c>
      <c r="R207" t="n">
        <v>0</v>
      </c>
      <c r="S207" t="n">
        <v>0</v>
      </c>
      <c r="T207" t="n">
        <v>0</v>
      </c>
      <c r="U207" s="2" t="inlineStr"/>
    </row>
    <row r="208" ht="15" customHeight="1">
      <c r="A208" t="inlineStr">
        <is>
          <t>A 2056-2026</t>
        </is>
      </c>
      <c r="B208" t="inlineStr">
        <is>
          <t>avverkningsanmälan</t>
        </is>
      </c>
      <c r="C208" t="inlineStr">
        <is>
          <t>Avverkning för att bevara och utveckla /försöksver</t>
        </is>
      </c>
      <c r="D208" s="1" t="n">
        <v>46032</v>
      </c>
      <c r="E208" s="1" t="n">
        <v>46216</v>
      </c>
      <c r="F208" t="inlineStr">
        <is>
          <t>DALARNAS LÄN</t>
        </is>
      </c>
      <c r="G208" t="inlineStr">
        <is>
          <t>HEDEMORA</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36306-2024</t>
        </is>
      </c>
      <c r="B209" t="inlineStr">
        <is>
          <t>avverkningsanmälan</t>
        </is>
      </c>
      <c r="C209" t="inlineStr">
        <is>
          <t>Föryngringsavverkning</t>
        </is>
      </c>
      <c r="D209" s="1" t="n">
        <v>45534</v>
      </c>
      <c r="E209" s="1" t="n">
        <v>46216</v>
      </c>
      <c r="F209" t="inlineStr">
        <is>
          <t>DALARNAS LÄN</t>
        </is>
      </c>
      <c r="G209" t="inlineStr">
        <is>
          <t>HEDEMORA</t>
        </is>
      </c>
      <c r="H209" t="inlineStr">
        <is>
          <t>Sveaskog</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29303-2023</t>
        </is>
      </c>
      <c r="B210" t="inlineStr">
        <is>
          <t>avverkningsanmälan</t>
        </is>
      </c>
      <c r="C210" t="inlineStr">
        <is>
          <t>Föryngringsavverkning</t>
        </is>
      </c>
      <c r="D210" s="1" t="n">
        <v>45105</v>
      </c>
      <c r="E210" s="1" t="n">
        <v>46216</v>
      </c>
      <c r="F210" t="inlineStr">
        <is>
          <t>DALARNAS LÄN</t>
        </is>
      </c>
      <c r="G210" t="inlineStr">
        <is>
          <t>HEDEMORA</t>
        </is>
      </c>
      <c r="H210" t="inlineStr">
        <is>
          <t>Sveaskog</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4070-2026</t>
        </is>
      </c>
      <c r="B211" t="inlineStr">
        <is>
          <t>avverkningsanmälan</t>
        </is>
      </c>
      <c r="C211" t="inlineStr">
        <is>
          <t>Föryngringsavverkning</t>
        </is>
      </c>
      <c r="D211" s="1" t="n">
        <v>46044</v>
      </c>
      <c r="E211" s="1" t="n">
        <v>46216</v>
      </c>
      <c r="F211" t="inlineStr">
        <is>
          <t>DALARNAS LÄN</t>
        </is>
      </c>
      <c r="G211" t="inlineStr">
        <is>
          <t>HEDEMORA</t>
        </is>
      </c>
      <c r="I211" t="n">
        <v>29.2</v>
      </c>
      <c r="J211" t="n">
        <v>0</v>
      </c>
      <c r="K211" t="n">
        <v>0</v>
      </c>
      <c r="L211" t="n">
        <v>0</v>
      </c>
      <c r="M211" t="n">
        <v>0</v>
      </c>
      <c r="N211" t="n">
        <v>0</v>
      </c>
      <c r="O211" t="n">
        <v>0</v>
      </c>
      <c r="P211" t="n">
        <v>0</v>
      </c>
      <c r="Q211" t="n">
        <v>0</v>
      </c>
      <c r="R211" t="n">
        <v>0</v>
      </c>
      <c r="S211" t="n">
        <v>0</v>
      </c>
      <c r="T211" t="n">
        <v>0</v>
      </c>
      <c r="U211" s="2" t="inlineStr"/>
    </row>
    <row r="212" ht="15" customHeight="1">
      <c r="A212" t="inlineStr">
        <is>
          <t>A 53040-2025</t>
        </is>
      </c>
      <c r="B212" t="inlineStr">
        <is>
          <t>avverkningsanmälan</t>
        </is>
      </c>
      <c r="C212" t="inlineStr">
        <is>
          <t>Föryngringsavverkning</t>
        </is>
      </c>
      <c r="D212" s="1" t="n">
        <v>45958</v>
      </c>
      <c r="E212" s="1" t="n">
        <v>46216</v>
      </c>
      <c r="F212" t="inlineStr">
        <is>
          <t>DALARNAS LÄN</t>
        </is>
      </c>
      <c r="G212" t="inlineStr">
        <is>
          <t>HEDEMORA</t>
        </is>
      </c>
      <c r="H212" t="inlineStr">
        <is>
          <t>Sveaskog</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53044-2025</t>
        </is>
      </c>
      <c r="B213" t="inlineStr">
        <is>
          <t>avverkningsanmälan</t>
        </is>
      </c>
      <c r="C213" t="inlineStr">
        <is>
          <t>Föryngringsavverkning</t>
        </is>
      </c>
      <c r="D213" s="1" t="n">
        <v>45958</v>
      </c>
      <c r="E213" s="1" t="n">
        <v>46216</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59232-2023</t>
        </is>
      </c>
      <c r="B214" t="inlineStr">
        <is>
          <t>avverkningsanmälan</t>
        </is>
      </c>
      <c r="C214" t="inlineStr">
        <is>
          <t>Föryngringsavverkning</t>
        </is>
      </c>
      <c r="D214" s="1" t="n">
        <v>45253</v>
      </c>
      <c r="E214" s="1" t="n">
        <v>46216</v>
      </c>
      <c r="F214" t="inlineStr">
        <is>
          <t>DALARNAS LÄN</t>
        </is>
      </c>
      <c r="G214" t="inlineStr">
        <is>
          <t>HEDEMORA</t>
        </is>
      </c>
      <c r="I214" t="n">
        <v>3.7</v>
      </c>
      <c r="J214" t="n">
        <v>0</v>
      </c>
      <c r="K214" t="n">
        <v>0</v>
      </c>
      <c r="L214" t="n">
        <v>0</v>
      </c>
      <c r="M214" t="n">
        <v>0</v>
      </c>
      <c r="N214" t="n">
        <v>0</v>
      </c>
      <c r="O214" t="n">
        <v>0</v>
      </c>
      <c r="P214" t="n">
        <v>0</v>
      </c>
      <c r="Q214" t="n">
        <v>0</v>
      </c>
      <c r="R214" t="n">
        <v>0</v>
      </c>
      <c r="S214" t="n">
        <v>0</v>
      </c>
      <c r="T214" t="n">
        <v>0</v>
      </c>
      <c r="U214" s="2" t="inlineStr"/>
    </row>
    <row r="215" ht="15" customHeight="1">
      <c r="A215" t="inlineStr">
        <is>
          <t>A 54040-2025</t>
        </is>
      </c>
      <c r="B215" t="inlineStr">
        <is>
          <t>avverkningsanmälan</t>
        </is>
      </c>
      <c r="C215" t="inlineStr">
        <is>
          <t>Föryngringsavverkning</t>
        </is>
      </c>
      <c r="D215" s="1" t="n">
        <v>45963</v>
      </c>
      <c r="E215" s="1" t="n">
        <v>46216</v>
      </c>
      <c r="F215" t="inlineStr">
        <is>
          <t>DALARNAS LÄN</t>
        </is>
      </c>
      <c r="G215" t="inlineStr">
        <is>
          <t>HEDEMORA</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3089-2024</t>
        </is>
      </c>
      <c r="B216" t="inlineStr">
        <is>
          <t>avverkningsanmälan</t>
        </is>
      </c>
      <c r="C216" t="inlineStr">
        <is>
          <t>Föryngringsavverkning</t>
        </is>
      </c>
      <c r="D216" s="1" t="n">
        <v>45316</v>
      </c>
      <c r="E216" s="1" t="n">
        <v>46216</v>
      </c>
      <c r="F216" t="inlineStr">
        <is>
          <t>DALARNAS LÄN</t>
        </is>
      </c>
      <c r="G216" t="inlineStr">
        <is>
          <t>HEDEMORA</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32738-2022</t>
        </is>
      </c>
      <c r="B217" t="inlineStr">
        <is>
          <t>avverkningsanmälan</t>
        </is>
      </c>
      <c r="C217" t="inlineStr">
        <is>
          <t>Föryngringsavverkning</t>
        </is>
      </c>
      <c r="D217" s="1" t="n">
        <v>44783</v>
      </c>
      <c r="E217" s="1" t="n">
        <v>46216</v>
      </c>
      <c r="F217" t="inlineStr">
        <is>
          <t>DALARNAS LÄN</t>
        </is>
      </c>
      <c r="G217" t="inlineStr">
        <is>
          <t>HEDEMORA</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33287-2025</t>
        </is>
      </c>
      <c r="B218" t="inlineStr">
        <is>
          <t>avverkningsanmälan</t>
        </is>
      </c>
      <c r="C218" t="inlineStr">
        <is>
          <t>Föryngringsavverkning</t>
        </is>
      </c>
      <c r="D218" s="1" t="n">
        <v>45840</v>
      </c>
      <c r="E218" s="1" t="n">
        <v>46216</v>
      </c>
      <c r="F218" t="inlineStr">
        <is>
          <t>DALARNAS LÄN</t>
        </is>
      </c>
      <c r="G218" t="inlineStr">
        <is>
          <t>HEDEMORA</t>
        </is>
      </c>
      <c r="H218" t="inlineStr">
        <is>
          <t>Sveaskog</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23435-2025</t>
        </is>
      </c>
      <c r="B219" t="inlineStr">
        <is>
          <t>avverkningsanmälan</t>
        </is>
      </c>
      <c r="C219" t="inlineStr">
        <is>
          <t>Föryngringsavverkning</t>
        </is>
      </c>
      <c r="D219" s="1" t="n">
        <v>45792</v>
      </c>
      <c r="E219" s="1" t="n">
        <v>46216</v>
      </c>
      <c r="F219" t="inlineStr">
        <is>
          <t>DALARNAS LÄN</t>
        </is>
      </c>
      <c r="G219" t="inlineStr">
        <is>
          <t>HEDEMORA</t>
        </is>
      </c>
      <c r="H219" t="inlineStr">
        <is>
          <t>Sveaskog</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21869-2025</t>
        </is>
      </c>
      <c r="B220" t="inlineStr">
        <is>
          <t>avverkningsanmälan</t>
        </is>
      </c>
      <c r="C220" t="inlineStr">
        <is>
          <t>Föryngringsavverkning</t>
        </is>
      </c>
      <c r="D220" s="1" t="n">
        <v>45784</v>
      </c>
      <c r="E220" s="1" t="n">
        <v>46216</v>
      </c>
      <c r="F220" t="inlineStr">
        <is>
          <t>DALARNAS LÄN</t>
        </is>
      </c>
      <c r="G220" t="inlineStr">
        <is>
          <t>HEDEMORA</t>
        </is>
      </c>
      <c r="H220" t="inlineStr">
        <is>
          <t>Sveaskog</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5617-2026</t>
        </is>
      </c>
      <c r="B221" t="inlineStr">
        <is>
          <t>avverkningsanmälan</t>
        </is>
      </c>
      <c r="C221" t="inlineStr">
        <is>
          <t>Föryngringsavverkning</t>
        </is>
      </c>
      <c r="D221" s="1" t="n">
        <v>46051</v>
      </c>
      <c r="E221" s="1" t="n">
        <v>46216</v>
      </c>
      <c r="F221" t="inlineStr">
        <is>
          <t>DALARNAS LÄN</t>
        </is>
      </c>
      <c r="G221" t="inlineStr">
        <is>
          <t>HEDEMORA</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5784-2026</t>
        </is>
      </c>
      <c r="B222" t="inlineStr">
        <is>
          <t>avverkningsanmälan</t>
        </is>
      </c>
      <c r="C222" t="inlineStr">
        <is>
          <t>Föryngringsavverkning</t>
        </is>
      </c>
      <c r="D222" s="1" t="n">
        <v>46051</v>
      </c>
      <c r="E222" s="1" t="n">
        <v>46216</v>
      </c>
      <c r="F222" t="inlineStr">
        <is>
          <t>DALARNAS LÄN</t>
        </is>
      </c>
      <c r="G222" t="inlineStr">
        <is>
          <t>HEDEMORA</t>
        </is>
      </c>
      <c r="I222" t="n">
        <v>3.6</v>
      </c>
      <c r="J222" t="n">
        <v>0</v>
      </c>
      <c r="K222" t="n">
        <v>0</v>
      </c>
      <c r="L222" t="n">
        <v>0</v>
      </c>
      <c r="M222" t="n">
        <v>0</v>
      </c>
      <c r="N222" t="n">
        <v>0</v>
      </c>
      <c r="O222" t="n">
        <v>0</v>
      </c>
      <c r="P222" t="n">
        <v>0</v>
      </c>
      <c r="Q222" t="n">
        <v>0</v>
      </c>
      <c r="R222" t="n">
        <v>0</v>
      </c>
      <c r="S222" t="n">
        <v>0</v>
      </c>
      <c r="T222" t="n">
        <v>0</v>
      </c>
      <c r="U222" s="2" t="inlineStr"/>
    </row>
    <row r="223" ht="15" customHeight="1">
      <c r="A223" t="inlineStr">
        <is>
          <t>A 5316-2026</t>
        </is>
      </c>
      <c r="B223" t="inlineStr">
        <is>
          <t>avverkningsanmälan</t>
        </is>
      </c>
      <c r="C223" t="inlineStr">
        <is>
          <t>Föryngringsavverkning</t>
        </is>
      </c>
      <c r="D223" s="1" t="n">
        <v>46050</v>
      </c>
      <c r="E223" s="1" t="n">
        <v>46216</v>
      </c>
      <c r="F223" t="inlineStr">
        <is>
          <t>DALARNAS LÄN</t>
        </is>
      </c>
      <c r="G223" t="inlineStr">
        <is>
          <t>HEDEMORA</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53584-2023</t>
        </is>
      </c>
      <c r="B224" t="inlineStr">
        <is>
          <t>avverkningsanmälan</t>
        </is>
      </c>
      <c r="C224" t="inlineStr">
        <is>
          <t>Föryngringsavverkning</t>
        </is>
      </c>
      <c r="D224" s="1" t="n">
        <v>45230</v>
      </c>
      <c r="E224" s="1" t="n">
        <v>46216</v>
      </c>
      <c r="F224" t="inlineStr">
        <is>
          <t>DALARNAS LÄN</t>
        </is>
      </c>
      <c r="G224" t="inlineStr">
        <is>
          <t>HEDEMORA</t>
        </is>
      </c>
      <c r="I224" t="n">
        <v>6.6</v>
      </c>
      <c r="J224" t="n">
        <v>0</v>
      </c>
      <c r="K224" t="n">
        <v>0</v>
      </c>
      <c r="L224" t="n">
        <v>0</v>
      </c>
      <c r="M224" t="n">
        <v>0</v>
      </c>
      <c r="N224" t="n">
        <v>0</v>
      </c>
      <c r="O224" t="n">
        <v>0</v>
      </c>
      <c r="P224" t="n">
        <v>0</v>
      </c>
      <c r="Q224" t="n">
        <v>0</v>
      </c>
      <c r="R224" t="n">
        <v>0</v>
      </c>
      <c r="S224" t="n">
        <v>0</v>
      </c>
      <c r="T224" t="n">
        <v>0</v>
      </c>
      <c r="U224" s="2" t="inlineStr"/>
    </row>
    <row r="225" ht="15" customHeight="1">
      <c r="A225" t="inlineStr">
        <is>
          <t>A 48147-2025</t>
        </is>
      </c>
      <c r="B225" t="inlineStr">
        <is>
          <t>avverkningsanmälan</t>
        </is>
      </c>
      <c r="C225" t="inlineStr">
        <is>
          <t>Föryngringsavverkning</t>
        </is>
      </c>
      <c r="D225" s="1" t="n">
        <v>45933</v>
      </c>
      <c r="E225" s="1" t="n">
        <v>46216</v>
      </c>
      <c r="F225" t="inlineStr">
        <is>
          <t>DALARNAS LÄN</t>
        </is>
      </c>
      <c r="G225" t="inlineStr">
        <is>
          <t>HEDEMORA</t>
        </is>
      </c>
      <c r="I225" t="n">
        <v>6.6</v>
      </c>
      <c r="J225" t="n">
        <v>0</v>
      </c>
      <c r="K225" t="n">
        <v>0</v>
      </c>
      <c r="L225" t="n">
        <v>0</v>
      </c>
      <c r="M225" t="n">
        <v>0</v>
      </c>
      <c r="N225" t="n">
        <v>0</v>
      </c>
      <c r="O225" t="n">
        <v>0</v>
      </c>
      <c r="P225" t="n">
        <v>0</v>
      </c>
      <c r="Q225" t="n">
        <v>0</v>
      </c>
      <c r="R225" t="n">
        <v>0</v>
      </c>
      <c r="S225" t="n">
        <v>0</v>
      </c>
      <c r="T225" t="n">
        <v>0</v>
      </c>
      <c r="U225" s="2" t="inlineStr"/>
    </row>
    <row r="226" ht="15" customHeight="1">
      <c r="A226" t="inlineStr">
        <is>
          <t>A 55159-2025</t>
        </is>
      </c>
      <c r="B226" t="inlineStr">
        <is>
          <t>avverkningsanmälan</t>
        </is>
      </c>
      <c r="C226" t="inlineStr">
        <is>
          <t>Föryngringsavverkning</t>
        </is>
      </c>
      <c r="D226" s="1" t="n">
        <v>45968</v>
      </c>
      <c r="E226" s="1" t="n">
        <v>46216</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5619-2026</t>
        </is>
      </c>
      <c r="B227" t="inlineStr">
        <is>
          <t>avverkningsanmälan</t>
        </is>
      </c>
      <c r="C227" t="inlineStr">
        <is>
          <t>Föryngringsavverkning</t>
        </is>
      </c>
      <c r="D227" s="1" t="n">
        <v>46051</v>
      </c>
      <c r="E227" s="1" t="n">
        <v>46216</v>
      </c>
      <c r="F227" t="inlineStr">
        <is>
          <t>DALARNAS LÄN</t>
        </is>
      </c>
      <c r="G227" t="inlineStr">
        <is>
          <t>HEDEMORA</t>
        </is>
      </c>
      <c r="I227" t="n">
        <v>8</v>
      </c>
      <c r="J227" t="n">
        <v>0</v>
      </c>
      <c r="K227" t="n">
        <v>0</v>
      </c>
      <c r="L227" t="n">
        <v>0</v>
      </c>
      <c r="M227" t="n">
        <v>0</v>
      </c>
      <c r="N227" t="n">
        <v>0</v>
      </c>
      <c r="O227" t="n">
        <v>0</v>
      </c>
      <c r="P227" t="n">
        <v>0</v>
      </c>
      <c r="Q227" t="n">
        <v>0</v>
      </c>
      <c r="R227" t="n">
        <v>0</v>
      </c>
      <c r="S227" t="n">
        <v>0</v>
      </c>
      <c r="T227" t="n">
        <v>0</v>
      </c>
      <c r="U227" s="2" t="inlineStr"/>
    </row>
    <row r="228" ht="15" customHeight="1">
      <c r="A228" t="inlineStr">
        <is>
          <t>A 33288-2025</t>
        </is>
      </c>
      <c r="B228" t="inlineStr">
        <is>
          <t>avverkningsanmälan</t>
        </is>
      </c>
      <c r="C228" t="inlineStr">
        <is>
          <t>Föryngringsavverkning</t>
        </is>
      </c>
      <c r="D228" s="1" t="n">
        <v>45840</v>
      </c>
      <c r="E228" s="1" t="n">
        <v>46216</v>
      </c>
      <c r="F228" t="inlineStr">
        <is>
          <t>DALARNAS LÄN</t>
        </is>
      </c>
      <c r="G228" t="inlineStr">
        <is>
          <t>HEDEMORA</t>
        </is>
      </c>
      <c r="H228" t="inlineStr">
        <is>
          <t>Sveaskog</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39389-2025</t>
        </is>
      </c>
      <c r="B229" t="inlineStr">
        <is>
          <t>avverkningsanmälan</t>
        </is>
      </c>
      <c r="C229" t="inlineStr">
        <is>
          <t>Föryngringsavverkning</t>
        </is>
      </c>
      <c r="D229" s="1" t="n">
        <v>45889</v>
      </c>
      <c r="E229" s="1" t="n">
        <v>46216</v>
      </c>
      <c r="F229" t="inlineStr">
        <is>
          <t>DALARNAS LÄN</t>
        </is>
      </c>
      <c r="G229" t="inlineStr">
        <is>
          <t>HEDEMORA</t>
        </is>
      </c>
      <c r="H229" t="inlineStr">
        <is>
          <t>Sveaskog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55606-2025</t>
        </is>
      </c>
      <c r="B230" t="inlineStr">
        <is>
          <t>avverkningsanmälan</t>
        </is>
      </c>
      <c r="C230" t="inlineStr">
        <is>
          <t>Föryngringsavverkning</t>
        </is>
      </c>
      <c r="D230" s="1" t="n">
        <v>45971</v>
      </c>
      <c r="E230" s="1" t="n">
        <v>46216</v>
      </c>
      <c r="F230" t="inlineStr">
        <is>
          <t>DALARNAS LÄN</t>
        </is>
      </c>
      <c r="G230" t="inlineStr">
        <is>
          <t>HEDEMORA</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56070-2025</t>
        </is>
      </c>
      <c r="B231" t="inlineStr">
        <is>
          <t>avverkningsanmälan</t>
        </is>
      </c>
      <c r="C231" t="inlineStr">
        <is>
          <t>Föryngringsavverkning</t>
        </is>
      </c>
      <c r="D231" s="1" t="n">
        <v>45973</v>
      </c>
      <c r="E231" s="1" t="n">
        <v>46216</v>
      </c>
      <c r="F231" t="inlineStr">
        <is>
          <t>DALARNAS LÄN</t>
        </is>
      </c>
      <c r="G231" t="inlineStr">
        <is>
          <t>HEDEMORA</t>
        </is>
      </c>
      <c r="H231" t="inlineStr">
        <is>
          <t>Bergvik skog väst AB</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56679-2025</t>
        </is>
      </c>
      <c r="B232" t="inlineStr">
        <is>
          <t>avverkningsanmälan</t>
        </is>
      </c>
      <c r="C232" t="inlineStr">
        <is>
          <t>Föryngringsavverkning</t>
        </is>
      </c>
      <c r="D232" s="1" t="n">
        <v>45975</v>
      </c>
      <c r="E232" s="1" t="n">
        <v>46216</v>
      </c>
      <c r="F232" t="inlineStr">
        <is>
          <t>DALARNAS LÄN</t>
        </is>
      </c>
      <c r="G232" t="inlineStr">
        <is>
          <t>HEDEMORA</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58841-2023</t>
        </is>
      </c>
      <c r="B233" t="inlineStr">
        <is>
          <t>avverkningsanmälan</t>
        </is>
      </c>
      <c r="C233" t="inlineStr">
        <is>
          <t>Föryngringsavverkning</t>
        </is>
      </c>
      <c r="D233" s="1" t="n">
        <v>45252</v>
      </c>
      <c r="E233" s="1" t="n">
        <v>46216</v>
      </c>
      <c r="F233" t="inlineStr">
        <is>
          <t>DALARNAS LÄN</t>
        </is>
      </c>
      <c r="G233" t="inlineStr">
        <is>
          <t>HEDEMORA</t>
        </is>
      </c>
      <c r="I233" t="n">
        <v>14.8</v>
      </c>
      <c r="J233" t="n">
        <v>0</v>
      </c>
      <c r="K233" t="n">
        <v>0</v>
      </c>
      <c r="L233" t="n">
        <v>0</v>
      </c>
      <c r="M233" t="n">
        <v>0</v>
      </c>
      <c r="N233" t="n">
        <v>0</v>
      </c>
      <c r="O233" t="n">
        <v>0</v>
      </c>
      <c r="P233" t="n">
        <v>0</v>
      </c>
      <c r="Q233" t="n">
        <v>0</v>
      </c>
      <c r="R233" t="n">
        <v>0</v>
      </c>
      <c r="S233" t="n">
        <v>0</v>
      </c>
      <c r="T233" t="n">
        <v>0</v>
      </c>
      <c r="U233" s="2" t="inlineStr"/>
    </row>
    <row r="234" ht="15" customHeight="1">
      <c r="A234" t="inlineStr">
        <is>
          <t>A 7165-2026</t>
        </is>
      </c>
      <c r="B234" t="inlineStr">
        <is>
          <t>avverkningsanmälan</t>
        </is>
      </c>
      <c r="C234" t="inlineStr">
        <is>
          <t>Föryngringsavverkning</t>
        </is>
      </c>
      <c r="D234" s="1" t="n">
        <v>46058</v>
      </c>
      <c r="E234" s="1" t="n">
        <v>46216</v>
      </c>
      <c r="F234" t="inlineStr">
        <is>
          <t>DALARNAS LÄN</t>
        </is>
      </c>
      <c r="G234" t="inlineStr">
        <is>
          <t>HEDEMORA</t>
        </is>
      </c>
      <c r="I234" t="n">
        <v>4.9</v>
      </c>
      <c r="J234" t="n">
        <v>0</v>
      </c>
      <c r="K234" t="n">
        <v>0</v>
      </c>
      <c r="L234" t="n">
        <v>0</v>
      </c>
      <c r="M234" t="n">
        <v>0</v>
      </c>
      <c r="N234" t="n">
        <v>0</v>
      </c>
      <c r="O234" t="n">
        <v>0</v>
      </c>
      <c r="P234" t="n">
        <v>0</v>
      </c>
      <c r="Q234" t="n">
        <v>0</v>
      </c>
      <c r="R234" t="n">
        <v>0</v>
      </c>
      <c r="S234" t="n">
        <v>0</v>
      </c>
      <c r="T234" t="n">
        <v>0</v>
      </c>
      <c r="U234" s="2" t="inlineStr"/>
    </row>
    <row r="235" ht="15" customHeight="1">
      <c r="A235" t="inlineStr">
        <is>
          <t>A 60786-2023</t>
        </is>
      </c>
      <c r="B235" t="inlineStr">
        <is>
          <t>avverkningsanmälan</t>
        </is>
      </c>
      <c r="C235" t="inlineStr">
        <is>
          <t>Föryngringsavverkning</t>
        </is>
      </c>
      <c r="D235" s="1" t="n">
        <v>45260</v>
      </c>
      <c r="E235" s="1" t="n">
        <v>46216</v>
      </c>
      <c r="F235" t="inlineStr">
        <is>
          <t>DALARNAS LÄN</t>
        </is>
      </c>
      <c r="G235" t="inlineStr">
        <is>
          <t>HEDEMORA</t>
        </is>
      </c>
      <c r="I235" t="n">
        <v>7.1</v>
      </c>
      <c r="J235" t="n">
        <v>0</v>
      </c>
      <c r="K235" t="n">
        <v>0</v>
      </c>
      <c r="L235" t="n">
        <v>0</v>
      </c>
      <c r="M235" t="n">
        <v>0</v>
      </c>
      <c r="N235" t="n">
        <v>0</v>
      </c>
      <c r="O235" t="n">
        <v>0</v>
      </c>
      <c r="P235" t="n">
        <v>0</v>
      </c>
      <c r="Q235" t="n">
        <v>0</v>
      </c>
      <c r="R235" t="n">
        <v>0</v>
      </c>
      <c r="S235" t="n">
        <v>0</v>
      </c>
      <c r="T235" t="n">
        <v>0</v>
      </c>
      <c r="U235" s="2" t="inlineStr"/>
    </row>
    <row r="236" ht="15" customHeight="1">
      <c r="A236" t="inlineStr">
        <is>
          <t>A 7743-2026</t>
        </is>
      </c>
      <c r="B236" t="inlineStr">
        <is>
          <t>avverkningsanmälan</t>
        </is>
      </c>
      <c r="C236" t="inlineStr">
        <is>
          <t>Föryngringsavverkning</t>
        </is>
      </c>
      <c r="D236" s="1" t="n">
        <v>46062</v>
      </c>
      <c r="E236" s="1" t="n">
        <v>46216</v>
      </c>
      <c r="F236" t="inlineStr">
        <is>
          <t>DALARNAS LÄN</t>
        </is>
      </c>
      <c r="G236" t="inlineStr">
        <is>
          <t>HEDEMORA</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4809-2026</t>
        </is>
      </c>
      <c r="B237" t="inlineStr">
        <is>
          <t>avverkningsanmälan</t>
        </is>
      </c>
      <c r="C237" t="inlineStr">
        <is>
          <t>Föryngringsavverkning</t>
        </is>
      </c>
      <c r="D237" s="1" t="n">
        <v>46048</v>
      </c>
      <c r="E237" s="1" t="n">
        <v>46216</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37574-2025</t>
        </is>
      </c>
      <c r="B238" t="inlineStr">
        <is>
          <t>avverkningsanmälan</t>
        </is>
      </c>
      <c r="C238" t="inlineStr">
        <is>
          <t>Föryngringsavverkning</t>
        </is>
      </c>
      <c r="D238" s="1" t="n">
        <v>45880</v>
      </c>
      <c r="E238" s="1" t="n">
        <v>46216</v>
      </c>
      <c r="F238" t="inlineStr">
        <is>
          <t>DALARNAS LÄN</t>
        </is>
      </c>
      <c r="G238" t="inlineStr">
        <is>
          <t>HEDEMORA</t>
        </is>
      </c>
      <c r="H238" t="inlineStr">
        <is>
          <t>Sveaskog</t>
        </is>
      </c>
      <c r="I238" t="n">
        <v>5.7</v>
      </c>
      <c r="J238" t="n">
        <v>0</v>
      </c>
      <c r="K238" t="n">
        <v>0</v>
      </c>
      <c r="L238" t="n">
        <v>0</v>
      </c>
      <c r="M238" t="n">
        <v>0</v>
      </c>
      <c r="N238" t="n">
        <v>0</v>
      </c>
      <c r="O238" t="n">
        <v>0</v>
      </c>
      <c r="P238" t="n">
        <v>0</v>
      </c>
      <c r="Q238" t="n">
        <v>0</v>
      </c>
      <c r="R238" t="n">
        <v>0</v>
      </c>
      <c r="S238" t="n">
        <v>0</v>
      </c>
      <c r="T238" t="n">
        <v>0</v>
      </c>
      <c r="U238" s="2" t="inlineStr"/>
    </row>
    <row r="239" ht="15" customHeight="1">
      <c r="A239" t="inlineStr">
        <is>
          <t>A 65057-2023</t>
        </is>
      </c>
      <c r="B239" t="inlineStr">
        <is>
          <t>avverkningsanmälan</t>
        </is>
      </c>
      <c r="C239" t="inlineStr">
        <is>
          <t>Föryngringsavverkning</t>
        </is>
      </c>
      <c r="D239" s="1" t="n">
        <v>45287</v>
      </c>
      <c r="E239" s="1" t="n">
        <v>46216</v>
      </c>
      <c r="F239" t="inlineStr">
        <is>
          <t>DALARNAS LÄN</t>
        </is>
      </c>
      <c r="G239" t="inlineStr">
        <is>
          <t>HEDEMORA</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37573-2025</t>
        </is>
      </c>
      <c r="B240" t="inlineStr">
        <is>
          <t>avverkningsanmälan</t>
        </is>
      </c>
      <c r="C240" t="inlineStr">
        <is>
          <t>Föryngringsavverkning</t>
        </is>
      </c>
      <c r="D240" s="1" t="n">
        <v>45880</v>
      </c>
      <c r="E240" s="1" t="n">
        <v>46216</v>
      </c>
      <c r="F240" t="inlineStr">
        <is>
          <t>DALARNAS LÄN</t>
        </is>
      </c>
      <c r="G240" t="inlineStr">
        <is>
          <t>HEDEMORA</t>
        </is>
      </c>
      <c r="H240" t="inlineStr">
        <is>
          <t>Sveaskog</t>
        </is>
      </c>
      <c r="I240" t="n">
        <v>7</v>
      </c>
      <c r="J240" t="n">
        <v>0</v>
      </c>
      <c r="K240" t="n">
        <v>0</v>
      </c>
      <c r="L240" t="n">
        <v>0</v>
      </c>
      <c r="M240" t="n">
        <v>0</v>
      </c>
      <c r="N240" t="n">
        <v>0</v>
      </c>
      <c r="O240" t="n">
        <v>0</v>
      </c>
      <c r="P240" t="n">
        <v>0</v>
      </c>
      <c r="Q240" t="n">
        <v>0</v>
      </c>
      <c r="R240" t="n">
        <v>0</v>
      </c>
      <c r="S240" t="n">
        <v>0</v>
      </c>
      <c r="T240" t="n">
        <v>0</v>
      </c>
      <c r="U240" s="2" t="inlineStr"/>
    </row>
    <row r="241" ht="15" customHeight="1">
      <c r="A241" t="inlineStr">
        <is>
          <t>A 8613-2026</t>
        </is>
      </c>
      <c r="B241" t="inlineStr">
        <is>
          <t>avverkningsanmälan</t>
        </is>
      </c>
      <c r="C241" t="inlineStr">
        <is>
          <t>Föryngringsavverkning</t>
        </is>
      </c>
      <c r="D241" s="1" t="n">
        <v>46065</v>
      </c>
      <c r="E241" s="1" t="n">
        <v>46216</v>
      </c>
      <c r="F241" t="inlineStr">
        <is>
          <t>DALARNAS LÄN</t>
        </is>
      </c>
      <c r="G241" t="inlineStr">
        <is>
          <t>HEDEMORA</t>
        </is>
      </c>
      <c r="H241" t="inlineStr">
        <is>
          <t>Sveaskog</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8824-2026</t>
        </is>
      </c>
      <c r="B242" t="inlineStr">
        <is>
          <t>avverkningsanmälan</t>
        </is>
      </c>
      <c r="C242" t="inlineStr">
        <is>
          <t>Föryngringsavverkning</t>
        </is>
      </c>
      <c r="D242" s="1" t="n">
        <v>46066</v>
      </c>
      <c r="E242" s="1" t="n">
        <v>46216</v>
      </c>
      <c r="F242" t="inlineStr">
        <is>
          <t>DALARNAS LÄN</t>
        </is>
      </c>
      <c r="G242" t="inlineStr">
        <is>
          <t>HEDEMORA</t>
        </is>
      </c>
      <c r="H242" t="inlineStr">
        <is>
          <t>Sveaskog</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55832-2024</t>
        </is>
      </c>
      <c r="B243" t="inlineStr">
        <is>
          <t>avverkningsanmälan</t>
        </is>
      </c>
      <c r="C243" t="inlineStr">
        <is>
          <t>Föryngringsavverkning</t>
        </is>
      </c>
      <c r="D243" s="1" t="n">
        <v>45623</v>
      </c>
      <c r="E243" s="1" t="n">
        <v>46216</v>
      </c>
      <c r="F243" t="inlineStr">
        <is>
          <t>DALARNAS LÄN</t>
        </is>
      </c>
      <c r="G243" t="inlineStr">
        <is>
          <t>HEDEMORA</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60774-2022</t>
        </is>
      </c>
      <c r="B244" t="inlineStr">
        <is>
          <t>avverkningsanmälan</t>
        </is>
      </c>
      <c r="C244" t="inlineStr">
        <is>
          <t>Föryngringsavverkning</t>
        </is>
      </c>
      <c r="D244" s="1" t="n">
        <v>44914</v>
      </c>
      <c r="E244" s="1" t="n">
        <v>46216</v>
      </c>
      <c r="F244" t="inlineStr">
        <is>
          <t>DALARNAS LÄN</t>
        </is>
      </c>
      <c r="G244" t="inlineStr">
        <is>
          <t>HEDEMORA</t>
        </is>
      </c>
      <c r="I244" t="n">
        <v>11.5</v>
      </c>
      <c r="J244" t="n">
        <v>0</v>
      </c>
      <c r="K244" t="n">
        <v>0</v>
      </c>
      <c r="L244" t="n">
        <v>0</v>
      </c>
      <c r="M244" t="n">
        <v>0</v>
      </c>
      <c r="N244" t="n">
        <v>0</v>
      </c>
      <c r="O244" t="n">
        <v>0</v>
      </c>
      <c r="P244" t="n">
        <v>0</v>
      </c>
      <c r="Q244" t="n">
        <v>0</v>
      </c>
      <c r="R244" t="n">
        <v>0</v>
      </c>
      <c r="S244" t="n">
        <v>0</v>
      </c>
      <c r="T244" t="n">
        <v>0</v>
      </c>
      <c r="U244" s="2" t="inlineStr"/>
    </row>
    <row r="245" ht="15" customHeight="1">
      <c r="A245" t="inlineStr">
        <is>
          <t>A 9672-2026</t>
        </is>
      </c>
      <c r="B245" t="inlineStr">
        <is>
          <t>avverkningsanmälan</t>
        </is>
      </c>
      <c r="C245" t="inlineStr">
        <is>
          <t>Föryngringsavverkning</t>
        </is>
      </c>
      <c r="D245" s="1" t="n">
        <v>46072</v>
      </c>
      <c r="E245" s="1" t="n">
        <v>46216</v>
      </c>
      <c r="F245" t="inlineStr">
        <is>
          <t>DALARNAS LÄN</t>
        </is>
      </c>
      <c r="G245" t="inlineStr">
        <is>
          <t>HEDEMORA</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9680-2026</t>
        </is>
      </c>
      <c r="B246" t="inlineStr">
        <is>
          <t>avverkningsanmälan</t>
        </is>
      </c>
      <c r="C246" t="inlineStr">
        <is>
          <t>Föryngringsavverkning</t>
        </is>
      </c>
      <c r="D246" s="1" t="n">
        <v>46072</v>
      </c>
      <c r="E246" s="1" t="n">
        <v>46216</v>
      </c>
      <c r="F246" t="inlineStr">
        <is>
          <t>DALARNAS LÄN</t>
        </is>
      </c>
      <c r="G246" t="inlineStr">
        <is>
          <t>HEDEMORA</t>
        </is>
      </c>
      <c r="I246" t="n">
        <v>4.2</v>
      </c>
      <c r="J246" t="n">
        <v>0</v>
      </c>
      <c r="K246" t="n">
        <v>0</v>
      </c>
      <c r="L246" t="n">
        <v>0</v>
      </c>
      <c r="M246" t="n">
        <v>0</v>
      </c>
      <c r="N246" t="n">
        <v>0</v>
      </c>
      <c r="O246" t="n">
        <v>0</v>
      </c>
      <c r="P246" t="n">
        <v>0</v>
      </c>
      <c r="Q246" t="n">
        <v>0</v>
      </c>
      <c r="R246" t="n">
        <v>0</v>
      </c>
      <c r="S246" t="n">
        <v>0</v>
      </c>
      <c r="T246" t="n">
        <v>0</v>
      </c>
      <c r="U246" s="2" t="inlineStr"/>
    </row>
    <row r="247" ht="15" customHeight="1">
      <c r="A247" t="inlineStr">
        <is>
          <t>A 9674-2026</t>
        </is>
      </c>
      <c r="B247" t="inlineStr">
        <is>
          <t>avverkningsanmälan</t>
        </is>
      </c>
      <c r="C247" t="inlineStr">
        <is>
          <t>Föryngringsavverkning</t>
        </is>
      </c>
      <c r="D247" s="1" t="n">
        <v>46072</v>
      </c>
      <c r="E247" s="1" t="n">
        <v>46216</v>
      </c>
      <c r="F247" t="inlineStr">
        <is>
          <t>DALARNAS LÄN</t>
        </is>
      </c>
      <c r="G247" t="inlineStr">
        <is>
          <t>HEDEMORA</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59295-2025</t>
        </is>
      </c>
      <c r="B248" t="inlineStr">
        <is>
          <t>avverkningsanmälan</t>
        </is>
      </c>
      <c r="C248" t="inlineStr">
        <is>
          <t>Föryngringsavverkning</t>
        </is>
      </c>
      <c r="D248" s="1" t="n">
        <v>45988</v>
      </c>
      <c r="E248" s="1" t="n">
        <v>46216</v>
      </c>
      <c r="F248" t="inlineStr">
        <is>
          <t>DALARNAS LÄN</t>
        </is>
      </c>
      <c r="G248" t="inlineStr">
        <is>
          <t>HEDEMORA</t>
        </is>
      </c>
      <c r="H248" t="inlineStr">
        <is>
          <t>Sveaskog</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59350-2025</t>
        </is>
      </c>
      <c r="B249" t="inlineStr">
        <is>
          <t>avverkningsanmälan</t>
        </is>
      </c>
      <c r="C249" t="inlineStr">
        <is>
          <t>Avverkning för att bevara och utveckla /försöksver</t>
        </is>
      </c>
      <c r="D249" s="1" t="n">
        <v>45989</v>
      </c>
      <c r="E249" s="1" t="n">
        <v>46216</v>
      </c>
      <c r="F249" t="inlineStr">
        <is>
          <t>DALARNAS LÄN</t>
        </is>
      </c>
      <c r="G249" t="inlineStr">
        <is>
          <t>HEDEMORA</t>
        </is>
      </c>
      <c r="H249" t="inlineStr">
        <is>
          <t>Sveaskog</t>
        </is>
      </c>
      <c r="I249" t="n">
        <v>4.4</v>
      </c>
      <c r="J249" t="n">
        <v>0</v>
      </c>
      <c r="K249" t="n">
        <v>0</v>
      </c>
      <c r="L249" t="n">
        <v>0</v>
      </c>
      <c r="M249" t="n">
        <v>0</v>
      </c>
      <c r="N249" t="n">
        <v>0</v>
      </c>
      <c r="O249" t="n">
        <v>0</v>
      </c>
      <c r="P249" t="n">
        <v>0</v>
      </c>
      <c r="Q249" t="n">
        <v>0</v>
      </c>
      <c r="R249" t="n">
        <v>0</v>
      </c>
      <c r="S249" t="n">
        <v>0</v>
      </c>
      <c r="T249" t="n">
        <v>0</v>
      </c>
      <c r="U249" s="2" t="inlineStr"/>
    </row>
    <row r="250" ht="15" customHeight="1">
      <c r="A250" t="inlineStr">
        <is>
          <t>A 62407-2025</t>
        </is>
      </c>
      <c r="B250" t="inlineStr">
        <is>
          <t>avverkningsanmälan</t>
        </is>
      </c>
      <c r="C250" t="inlineStr">
        <is>
          <t>Föryngringsavverkning</t>
        </is>
      </c>
      <c r="D250" s="1" t="n">
        <v>46007</v>
      </c>
      <c r="E250" s="1" t="n">
        <v>46216</v>
      </c>
      <c r="F250" t="inlineStr">
        <is>
          <t>DALARNAS LÄN</t>
        </is>
      </c>
      <c r="G250" t="inlineStr">
        <is>
          <t>HEDEMORA</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45097-2025</t>
        </is>
      </c>
      <c r="B251" t="inlineStr">
        <is>
          <t>avverkningsanmälan</t>
        </is>
      </c>
      <c r="C251" t="inlineStr">
        <is>
          <t>Föryngringsavverkning</t>
        </is>
      </c>
      <c r="D251" s="1" t="n">
        <v>45919</v>
      </c>
      <c r="E251" s="1" t="n">
        <v>46216</v>
      </c>
      <c r="F251" t="inlineStr">
        <is>
          <t>DALARNAS LÄN</t>
        </is>
      </c>
      <c r="G251" t="inlineStr">
        <is>
          <t>HEDEMORA</t>
        </is>
      </c>
      <c r="H251" t="inlineStr">
        <is>
          <t>Sveaskog</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42510-2025</t>
        </is>
      </c>
      <c r="B252" t="inlineStr">
        <is>
          <t>avverkningsanmälan</t>
        </is>
      </c>
      <c r="C252" t="inlineStr">
        <is>
          <t>Föryngringsavverkning</t>
        </is>
      </c>
      <c r="D252" s="1" t="n">
        <v>45905</v>
      </c>
      <c r="E252" s="1" t="n">
        <v>46216</v>
      </c>
      <c r="F252" t="inlineStr">
        <is>
          <t>DALARNAS LÄN</t>
        </is>
      </c>
      <c r="G252" t="inlineStr">
        <is>
          <t>HEDEMORA</t>
        </is>
      </c>
      <c r="H252" t="inlineStr">
        <is>
          <t>Sveaskog</t>
        </is>
      </c>
      <c r="I252" t="n">
        <v>3.6</v>
      </c>
      <c r="J252" t="n">
        <v>0</v>
      </c>
      <c r="K252" t="n">
        <v>0</v>
      </c>
      <c r="L252" t="n">
        <v>0</v>
      </c>
      <c r="M252" t="n">
        <v>0</v>
      </c>
      <c r="N252" t="n">
        <v>0</v>
      </c>
      <c r="O252" t="n">
        <v>0</v>
      </c>
      <c r="P252" t="n">
        <v>0</v>
      </c>
      <c r="Q252" t="n">
        <v>0</v>
      </c>
      <c r="R252" t="n">
        <v>0</v>
      </c>
      <c r="S252" t="n">
        <v>0</v>
      </c>
      <c r="T252" t="n">
        <v>0</v>
      </c>
      <c r="U252" s="2" t="inlineStr"/>
    </row>
    <row r="253" ht="15" customHeight="1">
      <c r="A253" t="inlineStr">
        <is>
          <t>A 60445-2025</t>
        </is>
      </c>
      <c r="B253" t="inlineStr">
        <is>
          <t>avverkningsanmälan</t>
        </is>
      </c>
      <c r="C253" t="inlineStr">
        <is>
          <t>Avverkning för att bevara och utveckla /försöksver</t>
        </is>
      </c>
      <c r="D253" s="1" t="n">
        <v>45995</v>
      </c>
      <c r="E253" s="1" t="n">
        <v>46216</v>
      </c>
      <c r="F253" t="inlineStr">
        <is>
          <t>DALARNAS LÄN</t>
        </is>
      </c>
      <c r="G253" t="inlineStr">
        <is>
          <t>HEDEMORA</t>
        </is>
      </c>
      <c r="H253" t="inlineStr">
        <is>
          <t>Sveaskog</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42894-2024</t>
        </is>
      </c>
      <c r="B254" t="inlineStr">
        <is>
          <t>avverkningsanmälan</t>
        </is>
      </c>
      <c r="C254" t="inlineStr">
        <is>
          <t>Föryngringsavverkning</t>
        </is>
      </c>
      <c r="D254" s="1" t="n">
        <v>45566</v>
      </c>
      <c r="E254" s="1" t="n">
        <v>46216</v>
      </c>
      <c r="F254" t="inlineStr">
        <is>
          <t>DALARNAS LÄN</t>
        </is>
      </c>
      <c r="G254" t="inlineStr">
        <is>
          <t>HEDEMORA</t>
        </is>
      </c>
      <c r="H254" t="inlineStr">
        <is>
          <t>Sveaskog</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31365-2024</t>
        </is>
      </c>
      <c r="B255" t="inlineStr">
        <is>
          <t>avverkningsanmälan</t>
        </is>
      </c>
      <c r="C255" t="inlineStr">
        <is>
          <t>Föryngringsavverkning</t>
        </is>
      </c>
      <c r="D255" s="1" t="n">
        <v>45505</v>
      </c>
      <c r="E255" s="1" t="n">
        <v>46216</v>
      </c>
      <c r="F255" t="inlineStr">
        <is>
          <t>DALARNAS LÄN</t>
        </is>
      </c>
      <c r="G255" t="inlineStr">
        <is>
          <t>HEDEMORA</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36935-2024</t>
        </is>
      </c>
      <c r="B256" t="inlineStr">
        <is>
          <t>avverkningsanmälan</t>
        </is>
      </c>
      <c r="C256" t="inlineStr">
        <is>
          <t>Föryngringsavverkning</t>
        </is>
      </c>
      <c r="D256" s="1" t="n">
        <v>45538</v>
      </c>
      <c r="E256" s="1" t="n">
        <v>46216</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11732-2026</t>
        </is>
      </c>
      <c r="B257" t="inlineStr">
        <is>
          <t>avverkningsanmälan</t>
        </is>
      </c>
      <c r="C257" t="inlineStr">
        <is>
          <t>Föryngringsavverkning</t>
        </is>
      </c>
      <c r="D257" s="1" t="n">
        <v>46084</v>
      </c>
      <c r="E257" s="1" t="n">
        <v>46216</v>
      </c>
      <c r="F257" t="inlineStr">
        <is>
          <t>DALARNAS LÄN</t>
        </is>
      </c>
      <c r="G257" t="inlineStr">
        <is>
          <t>HEDEMORA</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12136-2025</t>
        </is>
      </c>
      <c r="B258" t="inlineStr">
        <is>
          <t>avverkningsanmälan</t>
        </is>
      </c>
      <c r="C258" t="inlineStr">
        <is>
          <t>Föryngringsavverkning</t>
        </is>
      </c>
      <c r="D258" s="1" t="n">
        <v>45729</v>
      </c>
      <c r="E258" s="1" t="n">
        <v>46216</v>
      </c>
      <c r="F258" t="inlineStr">
        <is>
          <t>DALARNAS LÄN</t>
        </is>
      </c>
      <c r="G258" t="inlineStr">
        <is>
          <t>HEDEMORA</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48381-2025</t>
        </is>
      </c>
      <c r="B259" t="inlineStr">
        <is>
          <t>avverkningsanmälan</t>
        </is>
      </c>
      <c r="C259" t="inlineStr">
        <is>
          <t>Föryngringsavverkning</t>
        </is>
      </c>
      <c r="D259" s="1" t="n">
        <v>45933</v>
      </c>
      <c r="E259" s="1" t="n">
        <v>46216</v>
      </c>
      <c r="F259" t="inlineStr">
        <is>
          <t>DALARNAS LÄN</t>
        </is>
      </c>
      <c r="G259" t="inlineStr">
        <is>
          <t>HEDEMORA</t>
        </is>
      </c>
      <c r="H259" t="inlineStr">
        <is>
          <t>Sveaskog</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45290-2025</t>
        </is>
      </c>
      <c r="B260" t="inlineStr">
        <is>
          <t>avverkningsanmälan</t>
        </is>
      </c>
      <c r="C260" t="inlineStr">
        <is>
          <t>Föryngringsavverkning</t>
        </is>
      </c>
      <c r="D260" s="1" t="n">
        <v>45920</v>
      </c>
      <c r="E260" s="1" t="n">
        <v>46216</v>
      </c>
      <c r="F260" t="inlineStr">
        <is>
          <t>DALARNAS LÄN</t>
        </is>
      </c>
      <c r="G260" t="inlineStr">
        <is>
          <t>HEDEMORA</t>
        </is>
      </c>
      <c r="H260" t="inlineStr">
        <is>
          <t>Sveaskog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63900-2025</t>
        </is>
      </c>
      <c r="B261" t="inlineStr">
        <is>
          <t>avverkningsanmälan</t>
        </is>
      </c>
      <c r="C261" t="inlineStr">
        <is>
          <t>Föryngringsavverkning</t>
        </is>
      </c>
      <c r="D261" s="1" t="n">
        <v>46020</v>
      </c>
      <c r="E261" s="1" t="n">
        <v>46216</v>
      </c>
      <c r="F261" t="inlineStr">
        <is>
          <t>DALARNAS LÄN</t>
        </is>
      </c>
      <c r="G261" t="inlineStr">
        <is>
          <t>HEDEMORA</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64045-2025</t>
        </is>
      </c>
      <c r="B262" t="inlineStr">
        <is>
          <t>avverkningsanmälan</t>
        </is>
      </c>
      <c r="C262" t="inlineStr">
        <is>
          <t>Föryngringsavverkning</t>
        </is>
      </c>
      <c r="D262" s="1" t="n">
        <v>46021</v>
      </c>
      <c r="E262" s="1" t="n">
        <v>46216</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63853-2025</t>
        </is>
      </c>
      <c r="B263" t="inlineStr">
        <is>
          <t>avverkningsanmälan</t>
        </is>
      </c>
      <c r="C263" t="inlineStr">
        <is>
          <t>Föryngringsavverkning</t>
        </is>
      </c>
      <c r="D263" s="1" t="n">
        <v>46020</v>
      </c>
      <c r="E263" s="1" t="n">
        <v>46216</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49772-2025</t>
        </is>
      </c>
      <c r="B264" t="inlineStr">
        <is>
          <t>avverkningsanmälan</t>
        </is>
      </c>
      <c r="C264" t="inlineStr">
        <is>
          <t>Föryngringsavverkning</t>
        </is>
      </c>
      <c r="D264" s="1" t="n">
        <v>45940</v>
      </c>
      <c r="E264" s="1" t="n">
        <v>46216</v>
      </c>
      <c r="F264" t="inlineStr">
        <is>
          <t>DALARNAS LÄN</t>
        </is>
      </c>
      <c r="G264" t="inlineStr">
        <is>
          <t>HEDEMORA</t>
        </is>
      </c>
      <c r="H264" t="inlineStr">
        <is>
          <t>Sveaskog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49771-2025</t>
        </is>
      </c>
      <c r="B265" t="inlineStr">
        <is>
          <t>avverkningsanmälan</t>
        </is>
      </c>
      <c r="C265" t="inlineStr">
        <is>
          <t>Föryngringsavverkning</t>
        </is>
      </c>
      <c r="D265" s="1" t="n">
        <v>45940</v>
      </c>
      <c r="E265" s="1" t="n">
        <v>46216</v>
      </c>
      <c r="F265" t="inlineStr">
        <is>
          <t>DALARNAS LÄN</t>
        </is>
      </c>
      <c r="G265" t="inlineStr">
        <is>
          <t>HEDEMORA</t>
        </is>
      </c>
      <c r="H265" t="inlineStr">
        <is>
          <t>Sveaskog</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12604-2026</t>
        </is>
      </c>
      <c r="B266" t="inlineStr">
        <is>
          <t>avverkningsanmälan</t>
        </is>
      </c>
      <c r="C266" t="inlineStr">
        <is>
          <t>Föryngringsavverkning</t>
        </is>
      </c>
      <c r="D266" s="1" t="n">
        <v>46090</v>
      </c>
      <c r="E266" s="1" t="n">
        <v>46216</v>
      </c>
      <c r="F266" t="inlineStr">
        <is>
          <t>DALARNAS LÄN</t>
        </is>
      </c>
      <c r="G266" t="inlineStr">
        <is>
          <t>HEDEMORA</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56668-2024</t>
        </is>
      </c>
      <c r="B267" t="inlineStr">
        <is>
          <t>avverkningsanmälan</t>
        </is>
      </c>
      <c r="C267" t="inlineStr">
        <is>
          <t>Föryngringsavverkning</t>
        </is>
      </c>
      <c r="D267" s="1" t="n">
        <v>45626</v>
      </c>
      <c r="E267" s="1" t="n">
        <v>46216</v>
      </c>
      <c r="F267" t="inlineStr">
        <is>
          <t>DALARNAS LÄN</t>
        </is>
      </c>
      <c r="G267" t="inlineStr">
        <is>
          <t>HEDEMORA</t>
        </is>
      </c>
      <c r="H267" t="inlineStr">
        <is>
          <t>Sveaskog</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14949-2025</t>
        </is>
      </c>
      <c r="B268" t="inlineStr">
        <is>
          <t>avverkningsanmälan</t>
        </is>
      </c>
      <c r="C268" t="inlineStr">
        <is>
          <t>Föryngringsavverkning</t>
        </is>
      </c>
      <c r="D268" s="1" t="n">
        <v>45743</v>
      </c>
      <c r="E268" s="1" t="n">
        <v>46216</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12133-2025</t>
        </is>
      </c>
      <c r="B269" t="inlineStr">
        <is>
          <t>avverkningsanmälan</t>
        </is>
      </c>
      <c r="C269" t="inlineStr">
        <is>
          <t>Föryngringsavverkning</t>
        </is>
      </c>
      <c r="D269" s="1" t="n">
        <v>45729</v>
      </c>
      <c r="E269" s="1" t="n">
        <v>46216</v>
      </c>
      <c r="F269" t="inlineStr">
        <is>
          <t>DALARNAS LÄN</t>
        </is>
      </c>
      <c r="G269" t="inlineStr">
        <is>
          <t>HEDEMORA</t>
        </is>
      </c>
      <c r="I269" t="n">
        <v>4.8</v>
      </c>
      <c r="J269" t="n">
        <v>0</v>
      </c>
      <c r="K269" t="n">
        <v>0</v>
      </c>
      <c r="L269" t="n">
        <v>0</v>
      </c>
      <c r="M269" t="n">
        <v>0</v>
      </c>
      <c r="N269" t="n">
        <v>0</v>
      </c>
      <c r="O269" t="n">
        <v>0</v>
      </c>
      <c r="P269" t="n">
        <v>0</v>
      </c>
      <c r="Q269" t="n">
        <v>0</v>
      </c>
      <c r="R269" t="n">
        <v>0</v>
      </c>
      <c r="S269" t="n">
        <v>0</v>
      </c>
      <c r="T269" t="n">
        <v>0</v>
      </c>
      <c r="U269" s="2" t="inlineStr"/>
    </row>
    <row r="270" ht="15" customHeight="1">
      <c r="A270" t="inlineStr">
        <is>
          <t>A 12687-2026</t>
        </is>
      </c>
      <c r="B270" t="inlineStr">
        <is>
          <t>avverkningsanmälan</t>
        </is>
      </c>
      <c r="C270" t="inlineStr">
        <is>
          <t>Föryngringsavverkning</t>
        </is>
      </c>
      <c r="D270" s="1" t="n">
        <v>46091</v>
      </c>
      <c r="E270" s="1" t="n">
        <v>46216</v>
      </c>
      <c r="F270" t="inlineStr">
        <is>
          <t>DALARNAS LÄN</t>
        </is>
      </c>
      <c r="G270" t="inlineStr">
        <is>
          <t>HEDEMORA</t>
        </is>
      </c>
      <c r="H270" t="inlineStr">
        <is>
          <t>Sveaskog</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46825-2024</t>
        </is>
      </c>
      <c r="B271" t="inlineStr">
        <is>
          <t>avverkningsanmälan</t>
        </is>
      </c>
      <c r="C271" t="inlineStr">
        <is>
          <t>Föryngringsavverkning</t>
        </is>
      </c>
      <c r="D271" s="1" t="n">
        <v>45583</v>
      </c>
      <c r="E271" s="1" t="n">
        <v>46216</v>
      </c>
      <c r="F271" t="inlineStr">
        <is>
          <t>DALARNAS LÄN</t>
        </is>
      </c>
      <c r="G271" t="inlineStr">
        <is>
          <t>HEDEMORA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45377-2024</t>
        </is>
      </c>
      <c r="B272" t="inlineStr">
        <is>
          <t>avverkningsanmälan</t>
        </is>
      </c>
      <c r="C272" t="inlineStr">
        <is>
          <t>Föryngringsavverkning</t>
        </is>
      </c>
      <c r="D272" s="1" t="n">
        <v>45576</v>
      </c>
      <c r="E272" s="1" t="n">
        <v>46216</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13336-2026</t>
        </is>
      </c>
      <c r="B273" t="inlineStr">
        <is>
          <t>avverkningsanmälan</t>
        </is>
      </c>
      <c r="C273" t="inlineStr">
        <is>
          <t>Föryngringsavverkning</t>
        </is>
      </c>
      <c r="D273" s="1" t="n">
        <v>46094</v>
      </c>
      <c r="E273" s="1" t="n">
        <v>46216</v>
      </c>
      <c r="F273" t="inlineStr">
        <is>
          <t>DALARNAS LÄN</t>
        </is>
      </c>
      <c r="G273" t="inlineStr">
        <is>
          <t>HEDEMORA</t>
        </is>
      </c>
      <c r="I273" t="n">
        <v>17.5</v>
      </c>
      <c r="J273" t="n">
        <v>0</v>
      </c>
      <c r="K273" t="n">
        <v>0</v>
      </c>
      <c r="L273" t="n">
        <v>0</v>
      </c>
      <c r="M273" t="n">
        <v>0</v>
      </c>
      <c r="N273" t="n">
        <v>0</v>
      </c>
      <c r="O273" t="n">
        <v>0</v>
      </c>
      <c r="P273" t="n">
        <v>0</v>
      </c>
      <c r="Q273" t="n">
        <v>0</v>
      </c>
      <c r="R273" t="n">
        <v>0</v>
      </c>
      <c r="S273" t="n">
        <v>0</v>
      </c>
      <c r="T273" t="n">
        <v>0</v>
      </c>
      <c r="U273" s="2" t="inlineStr"/>
    </row>
    <row r="274" ht="15" customHeight="1">
      <c r="A274" t="inlineStr">
        <is>
          <t>A 13937-2026</t>
        </is>
      </c>
      <c r="B274" t="inlineStr">
        <is>
          <t>avverkningsanmälan</t>
        </is>
      </c>
      <c r="C274" t="inlineStr">
        <is>
          <t>Föryngringsavverkning</t>
        </is>
      </c>
      <c r="D274" s="1" t="n">
        <v>46098</v>
      </c>
      <c r="E274" s="1" t="n">
        <v>46216</v>
      </c>
      <c r="F274" t="inlineStr">
        <is>
          <t>DALARNAS LÄN</t>
        </is>
      </c>
      <c r="G274" t="inlineStr">
        <is>
          <t>HEDEMORA</t>
        </is>
      </c>
      <c r="H274" t="inlineStr">
        <is>
          <t>Sveaskog</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13847-2026</t>
        </is>
      </c>
      <c r="B275" t="inlineStr">
        <is>
          <t>avverkningsanmälan</t>
        </is>
      </c>
      <c r="C275" t="inlineStr">
        <is>
          <t>Föryngringsavverkning</t>
        </is>
      </c>
      <c r="D275" s="1" t="n">
        <v>46098</v>
      </c>
      <c r="E275" s="1" t="n">
        <v>46216</v>
      </c>
      <c r="F275" t="inlineStr">
        <is>
          <t>DALARNAS LÄN</t>
        </is>
      </c>
      <c r="G275" t="inlineStr">
        <is>
          <t>HEDEMORA</t>
        </is>
      </c>
      <c r="H275" t="inlineStr">
        <is>
          <t>Sveaskog</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13840-2026</t>
        </is>
      </c>
      <c r="B276" t="inlineStr">
        <is>
          <t>avverkningsanmälan</t>
        </is>
      </c>
      <c r="C276" t="inlineStr">
        <is>
          <t>Föryngringsavverkning</t>
        </is>
      </c>
      <c r="D276" s="1" t="n">
        <v>46098</v>
      </c>
      <c r="E276" s="1" t="n">
        <v>46216</v>
      </c>
      <c r="F276" t="inlineStr">
        <is>
          <t>DALARNAS LÄN</t>
        </is>
      </c>
      <c r="G276" t="inlineStr">
        <is>
          <t>HEDEMORA</t>
        </is>
      </c>
      <c r="H276" t="inlineStr">
        <is>
          <t>Sveaskog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13913-2026</t>
        </is>
      </c>
      <c r="B277" t="inlineStr">
        <is>
          <t>avverkningsanmälan</t>
        </is>
      </c>
      <c r="C277" t="inlineStr">
        <is>
          <t>Föryngringsavverkning</t>
        </is>
      </c>
      <c r="D277" s="1" t="n">
        <v>46098</v>
      </c>
      <c r="E277" s="1" t="n">
        <v>46216</v>
      </c>
      <c r="F277" t="inlineStr">
        <is>
          <t>DALARNAS LÄN</t>
        </is>
      </c>
      <c r="G277" t="inlineStr">
        <is>
          <t>HEDEMORA</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13916-2026</t>
        </is>
      </c>
      <c r="B278" t="inlineStr">
        <is>
          <t>avverkningsanmälan</t>
        </is>
      </c>
      <c r="C278" t="inlineStr">
        <is>
          <t>Föryngringsavverkning</t>
        </is>
      </c>
      <c r="D278" s="1" t="n">
        <v>46098</v>
      </c>
      <c r="E278" s="1" t="n">
        <v>46216</v>
      </c>
      <c r="F278" t="inlineStr">
        <is>
          <t>DALARNAS LÄN</t>
        </is>
      </c>
      <c r="G278" t="inlineStr">
        <is>
          <t>HEDEMORA</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41523-2023</t>
        </is>
      </c>
      <c r="B279" t="inlineStr">
        <is>
          <t>avverkningsanmälan</t>
        </is>
      </c>
      <c r="C279" t="inlineStr">
        <is>
          <t>Föryngringsavverkning</t>
        </is>
      </c>
      <c r="D279" s="1" t="n">
        <v>45172</v>
      </c>
      <c r="E279" s="1" t="n">
        <v>46216</v>
      </c>
      <c r="F279" t="inlineStr">
        <is>
          <t>DALARNAS LÄN</t>
        </is>
      </c>
      <c r="G279" t="inlineStr">
        <is>
          <t>HEDEMORA</t>
        </is>
      </c>
      <c r="H279" t="inlineStr">
        <is>
          <t>Bergvik skog väst AB</t>
        </is>
      </c>
      <c r="I279" t="n">
        <v>3.7</v>
      </c>
      <c r="J279" t="n">
        <v>0</v>
      </c>
      <c r="K279" t="n">
        <v>0</v>
      </c>
      <c r="L279" t="n">
        <v>0</v>
      </c>
      <c r="M279" t="n">
        <v>0</v>
      </c>
      <c r="N279" t="n">
        <v>0</v>
      </c>
      <c r="O279" t="n">
        <v>0</v>
      </c>
      <c r="P279" t="n">
        <v>0</v>
      </c>
      <c r="Q279" t="n">
        <v>0</v>
      </c>
      <c r="R279" t="n">
        <v>0</v>
      </c>
      <c r="S279" t="n">
        <v>0</v>
      </c>
      <c r="T279" t="n">
        <v>0</v>
      </c>
      <c r="U279" s="2" t="inlineStr"/>
    </row>
    <row r="280" ht="15" customHeight="1">
      <c r="A280" t="inlineStr">
        <is>
          <t>A 14228-2026</t>
        </is>
      </c>
      <c r="B280" t="inlineStr">
        <is>
          <t>avverkningsanmälan</t>
        </is>
      </c>
      <c r="C280" t="inlineStr">
        <is>
          <t>Föryngringsavverkning</t>
        </is>
      </c>
      <c r="D280" s="1" t="n">
        <v>46099</v>
      </c>
      <c r="E280" s="1" t="n">
        <v>46216</v>
      </c>
      <c r="F280" t="inlineStr">
        <is>
          <t>DALARNAS LÄN</t>
        </is>
      </c>
      <c r="G280" t="inlineStr">
        <is>
          <t>HEDEMORA</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54310-2021</t>
        </is>
      </c>
      <c r="B281" t="inlineStr">
        <is>
          <t>avverkningsanmälan</t>
        </is>
      </c>
      <c r="C281" t="inlineStr">
        <is>
          <t>Föryngringsavverkning</t>
        </is>
      </c>
      <c r="D281" s="1" t="n">
        <v>44472</v>
      </c>
      <c r="E281" s="1" t="n">
        <v>46216</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14239-2026</t>
        </is>
      </c>
      <c r="B282" t="inlineStr">
        <is>
          <t>avverkningsanmälan</t>
        </is>
      </c>
      <c r="C282" t="inlineStr">
        <is>
          <t>Föryngringsavverkning</t>
        </is>
      </c>
      <c r="D282" s="1" t="n">
        <v>46099</v>
      </c>
      <c r="E282" s="1" t="n">
        <v>46216</v>
      </c>
      <c r="F282" t="inlineStr">
        <is>
          <t>DALARNAS LÄN</t>
        </is>
      </c>
      <c r="G282" t="inlineStr">
        <is>
          <t>HEDEMORA</t>
        </is>
      </c>
      <c r="I282" t="n">
        <v>4.4</v>
      </c>
      <c r="J282" t="n">
        <v>0</v>
      </c>
      <c r="K282" t="n">
        <v>0</v>
      </c>
      <c r="L282" t="n">
        <v>0</v>
      </c>
      <c r="M282" t="n">
        <v>0</v>
      </c>
      <c r="N282" t="n">
        <v>0</v>
      </c>
      <c r="O282" t="n">
        <v>0</v>
      </c>
      <c r="P282" t="n">
        <v>0</v>
      </c>
      <c r="Q282" t="n">
        <v>0</v>
      </c>
      <c r="R282" t="n">
        <v>0</v>
      </c>
      <c r="S282" t="n">
        <v>0</v>
      </c>
      <c r="T282" t="n">
        <v>0</v>
      </c>
      <c r="U282" s="2" t="inlineStr"/>
    </row>
    <row r="283" ht="15" customHeight="1">
      <c r="A283" t="inlineStr">
        <is>
          <t>A 14197-2026</t>
        </is>
      </c>
      <c r="B283" t="inlineStr">
        <is>
          <t>avverkningsanmälan</t>
        </is>
      </c>
      <c r="C283" t="inlineStr">
        <is>
          <t>Föryngringsavverkning</t>
        </is>
      </c>
      <c r="D283" s="1" t="n">
        <v>46099</v>
      </c>
      <c r="E283" s="1" t="n">
        <v>46216</v>
      </c>
      <c r="F283" t="inlineStr">
        <is>
          <t>DALARNAS LÄN</t>
        </is>
      </c>
      <c r="G283" t="inlineStr">
        <is>
          <t>HEDEMORA</t>
        </is>
      </c>
      <c r="H283" t="inlineStr">
        <is>
          <t>Sveaskog</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46217-2023</t>
        </is>
      </c>
      <c r="B284" t="inlineStr">
        <is>
          <t>avverkningsanmälan</t>
        </is>
      </c>
      <c r="C284" t="inlineStr">
        <is>
          <t>Föryngringsavverkning</t>
        </is>
      </c>
      <c r="D284" s="1" t="n">
        <v>45190</v>
      </c>
      <c r="E284" s="1" t="n">
        <v>46216</v>
      </c>
      <c r="F284" t="inlineStr">
        <is>
          <t>DALARNAS LÄN</t>
        </is>
      </c>
      <c r="G284" t="inlineStr">
        <is>
          <t>HEDEMORA</t>
        </is>
      </c>
      <c r="H284" t="inlineStr">
        <is>
          <t>Bergvik skog väst AB</t>
        </is>
      </c>
      <c r="I284" t="n">
        <v>8.800000000000001</v>
      </c>
      <c r="J284" t="n">
        <v>0</v>
      </c>
      <c r="K284" t="n">
        <v>0</v>
      </c>
      <c r="L284" t="n">
        <v>0</v>
      </c>
      <c r="M284" t="n">
        <v>0</v>
      </c>
      <c r="N284" t="n">
        <v>0</v>
      </c>
      <c r="O284" t="n">
        <v>0</v>
      </c>
      <c r="P284" t="n">
        <v>0</v>
      </c>
      <c r="Q284" t="n">
        <v>0</v>
      </c>
      <c r="R284" t="n">
        <v>0</v>
      </c>
      <c r="S284" t="n">
        <v>0</v>
      </c>
      <c r="T284" t="n">
        <v>0</v>
      </c>
      <c r="U284" s="2" t="inlineStr"/>
    </row>
    <row r="285" ht="15" customHeight="1">
      <c r="A285" t="inlineStr">
        <is>
          <t>A 15635-2022</t>
        </is>
      </c>
      <c r="B285" t="inlineStr">
        <is>
          <t>avverkningsanmälan</t>
        </is>
      </c>
      <c r="C285" t="inlineStr">
        <is>
          <t>Föryngringsavverkning</t>
        </is>
      </c>
      <c r="D285" s="1" t="n">
        <v>44662</v>
      </c>
      <c r="E285" s="1" t="n">
        <v>46216</v>
      </c>
      <c r="F285" t="inlineStr">
        <is>
          <t>DALARNAS LÄN</t>
        </is>
      </c>
      <c r="G285" t="inlineStr">
        <is>
          <t>HEDEMORA</t>
        </is>
      </c>
      <c r="H285" t="inlineStr">
        <is>
          <t>Bergvik skog väst AB</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21092-2023</t>
        </is>
      </c>
      <c r="B286" t="inlineStr">
        <is>
          <t>avverkningsanmälan</t>
        </is>
      </c>
      <c r="C286" t="inlineStr">
        <is>
          <t>Avverkning för annat ändamål</t>
        </is>
      </c>
      <c r="D286" s="1" t="n">
        <v>45061</v>
      </c>
      <c r="E286" s="1" t="n">
        <v>46216</v>
      </c>
      <c r="F286" t="inlineStr">
        <is>
          <t>DALARNAS LÄN</t>
        </is>
      </c>
      <c r="G286" t="inlineStr">
        <is>
          <t>HEDEMORA</t>
        </is>
      </c>
      <c r="H286" t="inlineStr">
        <is>
          <t>Sveaskog</t>
        </is>
      </c>
      <c r="I286" t="n">
        <v>0.1</v>
      </c>
      <c r="J286" t="n">
        <v>0</v>
      </c>
      <c r="K286" t="n">
        <v>0</v>
      </c>
      <c r="L286" t="n">
        <v>0</v>
      </c>
      <c r="M286" t="n">
        <v>0</v>
      </c>
      <c r="N286" t="n">
        <v>0</v>
      </c>
      <c r="O286" t="n">
        <v>0</v>
      </c>
      <c r="P286" t="n">
        <v>0</v>
      </c>
      <c r="Q286" t="n">
        <v>0</v>
      </c>
      <c r="R286" t="n">
        <v>0</v>
      </c>
      <c r="S286" t="n">
        <v>0</v>
      </c>
      <c r="T286" t="n">
        <v>0</v>
      </c>
      <c r="U286" s="2" t="inlineStr"/>
    </row>
    <row r="287" ht="15" customHeight="1">
      <c r="A287" t="inlineStr">
        <is>
          <t>A 15145-2026</t>
        </is>
      </c>
      <c r="B287" t="inlineStr">
        <is>
          <t>avverkningsanmälan</t>
        </is>
      </c>
      <c r="C287" t="inlineStr">
        <is>
          <t>Föryngringsavverkning</t>
        </is>
      </c>
      <c r="D287" s="1" t="n">
        <v>46105</v>
      </c>
      <c r="E287" s="1" t="n">
        <v>46216</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15146-2026</t>
        </is>
      </c>
      <c r="B288" t="inlineStr">
        <is>
          <t>avverkningsanmälan</t>
        </is>
      </c>
      <c r="C288" t="inlineStr">
        <is>
          <t>Föryngringsavverkning</t>
        </is>
      </c>
      <c r="D288" s="1" t="n">
        <v>46105</v>
      </c>
      <c r="E288" s="1" t="n">
        <v>46216</v>
      </c>
      <c r="F288" t="inlineStr">
        <is>
          <t>DALARNAS LÄN</t>
        </is>
      </c>
      <c r="G288" t="inlineStr">
        <is>
          <t>HEDEMORA</t>
        </is>
      </c>
      <c r="H288" t="inlineStr">
        <is>
          <t>Sveaskog</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15232-2026</t>
        </is>
      </c>
      <c r="B289" t="inlineStr">
        <is>
          <t>avverkningsanmälan</t>
        </is>
      </c>
      <c r="C289" t="inlineStr">
        <is>
          <t>Föryngringsavverkning</t>
        </is>
      </c>
      <c r="D289" s="1" t="n">
        <v>46105</v>
      </c>
      <c r="E289" s="1" t="n">
        <v>46216</v>
      </c>
      <c r="F289" t="inlineStr">
        <is>
          <t>DALARNAS LÄN</t>
        </is>
      </c>
      <c r="G289" t="inlineStr">
        <is>
          <t>HEDEMORA</t>
        </is>
      </c>
      <c r="H289" t="inlineStr">
        <is>
          <t>Sveaskog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16268-2026</t>
        </is>
      </c>
      <c r="B290" t="inlineStr">
        <is>
          <t>avverkningsanmälan</t>
        </is>
      </c>
      <c r="C290" t="inlineStr">
        <is>
          <t>Föryngringsavverkning</t>
        </is>
      </c>
      <c r="D290" s="1" t="n">
        <v>46108</v>
      </c>
      <c r="E290" s="1" t="n">
        <v>46216</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7172-2025</t>
        </is>
      </c>
      <c r="B291" t="inlineStr">
        <is>
          <t>avverkningsanmälan</t>
        </is>
      </c>
      <c r="C291" t="inlineStr">
        <is>
          <t>Föryngringsavverkning</t>
        </is>
      </c>
      <c r="D291" s="1" t="n">
        <v>45702</v>
      </c>
      <c r="E291" s="1" t="n">
        <v>46216</v>
      </c>
      <c r="F291" t="inlineStr">
        <is>
          <t>DALARNAS LÄN</t>
        </is>
      </c>
      <c r="G291" t="inlineStr">
        <is>
          <t>HEDEMORA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53568-2023</t>
        </is>
      </c>
      <c r="B292" t="inlineStr">
        <is>
          <t>avverkningsanmälan</t>
        </is>
      </c>
      <c r="C292" t="inlineStr">
        <is>
          <t>Föryngringsavverkning</t>
        </is>
      </c>
      <c r="D292" s="1" t="n">
        <v>45230</v>
      </c>
      <c r="E292" s="1" t="n">
        <v>46216</v>
      </c>
      <c r="F292" t="inlineStr">
        <is>
          <t>DALARNAS LÄN</t>
        </is>
      </c>
      <c r="G292" t="inlineStr">
        <is>
          <t>HEDEMORA</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16260-2026</t>
        </is>
      </c>
      <c r="B293" t="inlineStr">
        <is>
          <t>avverkningsanmälan</t>
        </is>
      </c>
      <c r="C293" t="inlineStr">
        <is>
          <t>Föryngringsavverkning</t>
        </is>
      </c>
      <c r="D293" s="1" t="n">
        <v>46108</v>
      </c>
      <c r="E293" s="1" t="n">
        <v>46216</v>
      </c>
      <c r="F293" t="inlineStr">
        <is>
          <t>DALARNAS LÄN</t>
        </is>
      </c>
      <c r="G293" t="inlineStr">
        <is>
          <t>HEDEMORA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52942-2024</t>
        </is>
      </c>
      <c r="B294" t="inlineStr">
        <is>
          <t>avverkningsanmälan</t>
        </is>
      </c>
      <c r="C294" t="inlineStr">
        <is>
          <t>Föryngringsavverkning</t>
        </is>
      </c>
      <c r="D294" s="1" t="n">
        <v>45610</v>
      </c>
      <c r="E294" s="1" t="n">
        <v>46216</v>
      </c>
      <c r="F294" t="inlineStr">
        <is>
          <t>DALARNAS LÄN</t>
        </is>
      </c>
      <c r="G294" t="inlineStr">
        <is>
          <t>HEDEMORA</t>
        </is>
      </c>
      <c r="H294" t="inlineStr">
        <is>
          <t>Sveaskog</t>
        </is>
      </c>
      <c r="I294" t="n">
        <v>14.5</v>
      </c>
      <c r="J294" t="n">
        <v>0</v>
      </c>
      <c r="K294" t="n">
        <v>0</v>
      </c>
      <c r="L294" t="n">
        <v>0</v>
      </c>
      <c r="M294" t="n">
        <v>0</v>
      </c>
      <c r="N294" t="n">
        <v>0</v>
      </c>
      <c r="O294" t="n">
        <v>0</v>
      </c>
      <c r="P294" t="n">
        <v>0</v>
      </c>
      <c r="Q294" t="n">
        <v>0</v>
      </c>
      <c r="R294" t="n">
        <v>0</v>
      </c>
      <c r="S294" t="n">
        <v>0</v>
      </c>
      <c r="T294" t="n">
        <v>0</v>
      </c>
      <c r="U294" s="2" t="inlineStr"/>
    </row>
    <row r="295" ht="15" customHeight="1">
      <c r="A295" t="inlineStr">
        <is>
          <t>A 16279-2026</t>
        </is>
      </c>
      <c r="B295" t="inlineStr">
        <is>
          <t>avverkningsanmälan</t>
        </is>
      </c>
      <c r="C295" t="inlineStr">
        <is>
          <t>Föryngringsavverkning</t>
        </is>
      </c>
      <c r="D295" s="1" t="n">
        <v>46111</v>
      </c>
      <c r="E295" s="1" t="n">
        <v>46216</v>
      </c>
      <c r="F295" t="inlineStr">
        <is>
          <t>DALARNAS LÄN</t>
        </is>
      </c>
      <c r="G295" t="inlineStr">
        <is>
          <t>HEDEMORA</t>
        </is>
      </c>
      <c r="I295" t="n">
        <v>7.6</v>
      </c>
      <c r="J295" t="n">
        <v>0</v>
      </c>
      <c r="K295" t="n">
        <v>0</v>
      </c>
      <c r="L295" t="n">
        <v>0</v>
      </c>
      <c r="M295" t="n">
        <v>0</v>
      </c>
      <c r="N295" t="n">
        <v>0</v>
      </c>
      <c r="O295" t="n">
        <v>0</v>
      </c>
      <c r="P295" t="n">
        <v>0</v>
      </c>
      <c r="Q295" t="n">
        <v>0</v>
      </c>
      <c r="R295" t="n">
        <v>0</v>
      </c>
      <c r="S295" t="n">
        <v>0</v>
      </c>
      <c r="T295" t="n">
        <v>0</v>
      </c>
      <c r="U295" s="2" t="inlineStr"/>
    </row>
    <row r="296" ht="15" customHeight="1">
      <c r="A296" t="inlineStr">
        <is>
          <t>A 16282-2026</t>
        </is>
      </c>
      <c r="B296" t="inlineStr">
        <is>
          <t>avverkningsanmälan</t>
        </is>
      </c>
      <c r="C296" t="inlineStr">
        <is>
          <t>Föryngringsavverkning</t>
        </is>
      </c>
      <c r="D296" s="1" t="n">
        <v>46111</v>
      </c>
      <c r="E296" s="1" t="n">
        <v>46216</v>
      </c>
      <c r="F296" t="inlineStr">
        <is>
          <t>DALARNAS LÄN</t>
        </is>
      </c>
      <c r="G296" t="inlineStr">
        <is>
          <t>HEDEMORA</t>
        </is>
      </c>
      <c r="I296" t="n">
        <v>6</v>
      </c>
      <c r="J296" t="n">
        <v>0</v>
      </c>
      <c r="K296" t="n">
        <v>0</v>
      </c>
      <c r="L296" t="n">
        <v>0</v>
      </c>
      <c r="M296" t="n">
        <v>0</v>
      </c>
      <c r="N296" t="n">
        <v>0</v>
      </c>
      <c r="O296" t="n">
        <v>0</v>
      </c>
      <c r="P296" t="n">
        <v>0</v>
      </c>
      <c r="Q296" t="n">
        <v>0</v>
      </c>
      <c r="R296" t="n">
        <v>0</v>
      </c>
      <c r="S296" t="n">
        <v>0</v>
      </c>
      <c r="T296" t="n">
        <v>0</v>
      </c>
      <c r="U296" s="2" t="inlineStr"/>
    </row>
    <row r="297" ht="15" customHeight="1">
      <c r="A297" t="inlineStr">
        <is>
          <t>A 17222-2025</t>
        </is>
      </c>
      <c r="B297" t="inlineStr">
        <is>
          <t>avverkningsanmälan</t>
        </is>
      </c>
      <c r="C297" t="inlineStr">
        <is>
          <t>Föryngringsavverkning</t>
        </is>
      </c>
      <c r="D297" s="1" t="n">
        <v>45756</v>
      </c>
      <c r="E297" s="1" t="n">
        <v>46216</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39497-2022</t>
        </is>
      </c>
      <c r="B298" t="inlineStr">
        <is>
          <t>avverkningsanmälan</t>
        </is>
      </c>
      <c r="C298" t="inlineStr">
        <is>
          <t>Föryngringsavverkning</t>
        </is>
      </c>
      <c r="D298" s="1" t="n">
        <v>44817</v>
      </c>
      <c r="E298" s="1" t="n">
        <v>46216</v>
      </c>
      <c r="F298" t="inlineStr">
        <is>
          <t>DALARNAS LÄN</t>
        </is>
      </c>
      <c r="G298" t="inlineStr">
        <is>
          <t>HEDEMORA</t>
        </is>
      </c>
      <c r="H298" t="inlineStr">
        <is>
          <t>Bergvik skog väst AB</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17206-2026</t>
        </is>
      </c>
      <c r="B299" t="inlineStr">
        <is>
          <t>avverkningsanmälan</t>
        </is>
      </c>
      <c r="C299" t="inlineStr">
        <is>
          <t>Föryngringsavverkning</t>
        </is>
      </c>
      <c r="D299" s="1" t="n">
        <v>46119</v>
      </c>
      <c r="E299" s="1" t="n">
        <v>46216</v>
      </c>
      <c r="F299" t="inlineStr">
        <is>
          <t>DALARNAS LÄN</t>
        </is>
      </c>
      <c r="G299" t="inlineStr">
        <is>
          <t>HEDEMORA</t>
        </is>
      </c>
      <c r="H299" t="inlineStr">
        <is>
          <t>Sveaskog</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63929-2023</t>
        </is>
      </c>
      <c r="B300" t="inlineStr">
        <is>
          <t>avverkningsanmälan</t>
        </is>
      </c>
      <c r="C300" t="inlineStr">
        <is>
          <t>Föryngringsavverkning</t>
        </is>
      </c>
      <c r="D300" s="1" t="n">
        <v>45278</v>
      </c>
      <c r="E300" s="1" t="n">
        <v>46216</v>
      </c>
      <c r="F300" t="inlineStr">
        <is>
          <t>DALARNAS LÄN</t>
        </is>
      </c>
      <c r="G300" t="inlineStr">
        <is>
          <t>HEDEMORA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54423-2023</t>
        </is>
      </c>
      <c r="B301" t="inlineStr">
        <is>
          <t>avverkningsanmälan</t>
        </is>
      </c>
      <c r="C301" t="inlineStr">
        <is>
          <t>Föryngringsavverkning</t>
        </is>
      </c>
      <c r="D301" s="1" t="n">
        <v>45233</v>
      </c>
      <c r="E301" s="1" t="n">
        <v>46216</v>
      </c>
      <c r="F301" t="inlineStr">
        <is>
          <t>DALARNAS LÄN</t>
        </is>
      </c>
      <c r="G301" t="inlineStr">
        <is>
          <t>HEDEMORA</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62386-2023</t>
        </is>
      </c>
      <c r="B302" t="inlineStr">
        <is>
          <t>avverkningsanmälan</t>
        </is>
      </c>
      <c r="C302" t="inlineStr">
        <is>
          <t>Föryngringsavverkning</t>
        </is>
      </c>
      <c r="D302" s="1" t="n">
        <v>45268</v>
      </c>
      <c r="E302" s="1" t="n">
        <v>46216</v>
      </c>
      <c r="F302" t="inlineStr">
        <is>
          <t>DALARNAS LÄN</t>
        </is>
      </c>
      <c r="G302" t="inlineStr">
        <is>
          <t>HEDEMORA</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62398-2023</t>
        </is>
      </c>
      <c r="B303" t="inlineStr">
        <is>
          <t>avverkningsanmälan</t>
        </is>
      </c>
      <c r="C303" t="inlineStr">
        <is>
          <t>Föryngringsavverkning</t>
        </is>
      </c>
      <c r="D303" s="1" t="n">
        <v>45268</v>
      </c>
      <c r="E303" s="1" t="n">
        <v>46216</v>
      </c>
      <c r="F303" t="inlineStr">
        <is>
          <t>DALARNAS LÄN</t>
        </is>
      </c>
      <c r="G303" t="inlineStr">
        <is>
          <t>HEDEMORA</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22273-2023</t>
        </is>
      </c>
      <c r="B304" t="inlineStr">
        <is>
          <t>avverkningsanmälan</t>
        </is>
      </c>
      <c r="C304" t="inlineStr">
        <is>
          <t>Föryngringsavverkning</t>
        </is>
      </c>
      <c r="D304" s="1" t="n">
        <v>45070</v>
      </c>
      <c r="E304" s="1" t="n">
        <v>46216</v>
      </c>
      <c r="F304" t="inlineStr">
        <is>
          <t>DALARNAS LÄN</t>
        </is>
      </c>
      <c r="G304" t="inlineStr">
        <is>
          <t>HEDEMORA</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17884-2026</t>
        </is>
      </c>
      <c r="B305" t="inlineStr">
        <is>
          <t>avverkningsanmälan</t>
        </is>
      </c>
      <c r="C305" t="inlineStr">
        <is>
          <t>Föryngringsavverkning</t>
        </is>
      </c>
      <c r="D305" s="1" t="n">
        <v>46122</v>
      </c>
      <c r="E305" s="1" t="n">
        <v>46216</v>
      </c>
      <c r="F305" t="inlineStr">
        <is>
          <t>DALARNAS LÄN</t>
        </is>
      </c>
      <c r="G305" t="inlineStr">
        <is>
          <t>HEDEMORA</t>
        </is>
      </c>
      <c r="H305" t="inlineStr">
        <is>
          <t>Sveaskog</t>
        </is>
      </c>
      <c r="I305" t="n">
        <v>3.6</v>
      </c>
      <c r="J305" t="n">
        <v>0</v>
      </c>
      <c r="K305" t="n">
        <v>0</v>
      </c>
      <c r="L305" t="n">
        <v>0</v>
      </c>
      <c r="M305" t="n">
        <v>0</v>
      </c>
      <c r="N305" t="n">
        <v>0</v>
      </c>
      <c r="O305" t="n">
        <v>0</v>
      </c>
      <c r="P305" t="n">
        <v>0</v>
      </c>
      <c r="Q305" t="n">
        <v>0</v>
      </c>
      <c r="R305" t="n">
        <v>0</v>
      </c>
      <c r="S305" t="n">
        <v>0</v>
      </c>
      <c r="T305" t="n">
        <v>0</v>
      </c>
      <c r="U305" s="2" t="inlineStr"/>
    </row>
    <row r="306" ht="15" customHeight="1">
      <c r="A306" t="inlineStr">
        <is>
          <t>A 49636-2021</t>
        </is>
      </c>
      <c r="B306" t="inlineStr">
        <is>
          <t>avverkningsanmälan</t>
        </is>
      </c>
      <c r="C306" t="inlineStr">
        <is>
          <t>Föryngringsavverkning</t>
        </is>
      </c>
      <c r="D306" s="1" t="n">
        <v>44455</v>
      </c>
      <c r="E306" s="1" t="n">
        <v>46216</v>
      </c>
      <c r="F306" t="inlineStr">
        <is>
          <t>DALARNAS LÄN</t>
        </is>
      </c>
      <c r="G306" t="inlineStr">
        <is>
          <t>HEDEMORA</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17978-2026</t>
        </is>
      </c>
      <c r="B307" t="inlineStr">
        <is>
          <t>avverkningsanmälan</t>
        </is>
      </c>
      <c r="C307" t="inlineStr">
        <is>
          <t>Föryngringsavverkning</t>
        </is>
      </c>
      <c r="D307" s="1" t="n">
        <v>46124</v>
      </c>
      <c r="E307" s="1" t="n">
        <v>46216</v>
      </c>
      <c r="F307" t="inlineStr">
        <is>
          <t>DALARNAS LÄN</t>
        </is>
      </c>
      <c r="G307" t="inlineStr">
        <is>
          <t>HEDEMORA</t>
        </is>
      </c>
      <c r="H307" t="inlineStr">
        <is>
          <t>Sveaskog</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18015-2026</t>
        </is>
      </c>
      <c r="B308" t="inlineStr">
        <is>
          <t>avverkningsanmälan</t>
        </is>
      </c>
      <c r="C308" t="inlineStr">
        <is>
          <t>Avverkning för annat ändamål</t>
        </is>
      </c>
      <c r="D308" s="1" t="n">
        <v>46125</v>
      </c>
      <c r="E308" s="1" t="n">
        <v>46216</v>
      </c>
      <c r="F308" t="inlineStr">
        <is>
          <t>DALARNAS LÄN</t>
        </is>
      </c>
      <c r="G308" t="inlineStr">
        <is>
          <t>HEDEMORA</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18017-2026</t>
        </is>
      </c>
      <c r="B309" t="inlineStr">
        <is>
          <t>avverkningsanmälan</t>
        </is>
      </c>
      <c r="C309" t="inlineStr">
        <is>
          <t>Avverkning för annat ändamål</t>
        </is>
      </c>
      <c r="D309" s="1" t="n">
        <v>46125</v>
      </c>
      <c r="E309" s="1" t="n">
        <v>46216</v>
      </c>
      <c r="F309" t="inlineStr">
        <is>
          <t>DALARNAS LÄN</t>
        </is>
      </c>
      <c r="G309" t="inlineStr">
        <is>
          <t>HEDEMORA</t>
        </is>
      </c>
      <c r="I309" t="n">
        <v>0.2</v>
      </c>
      <c r="J309" t="n">
        <v>0</v>
      </c>
      <c r="K309" t="n">
        <v>0</v>
      </c>
      <c r="L309" t="n">
        <v>0</v>
      </c>
      <c r="M309" t="n">
        <v>0</v>
      </c>
      <c r="N309" t="n">
        <v>0</v>
      </c>
      <c r="O309" t="n">
        <v>0</v>
      </c>
      <c r="P309" t="n">
        <v>0</v>
      </c>
      <c r="Q309" t="n">
        <v>0</v>
      </c>
      <c r="R309" t="n">
        <v>0</v>
      </c>
      <c r="S309" t="n">
        <v>0</v>
      </c>
      <c r="T309" t="n">
        <v>0</v>
      </c>
      <c r="U309" s="2" t="inlineStr"/>
    </row>
    <row r="310" ht="15" customHeight="1">
      <c r="A310" t="inlineStr">
        <is>
          <t>A 18665-2026</t>
        </is>
      </c>
      <c r="B310" t="inlineStr">
        <is>
          <t>avverkningsanmälan</t>
        </is>
      </c>
      <c r="C310" t="inlineStr">
        <is>
          <t>Avverkning för annat ändamål</t>
        </is>
      </c>
      <c r="D310" s="1" t="n">
        <v>46128</v>
      </c>
      <c r="E310" s="1" t="n">
        <v>46216</v>
      </c>
      <c r="F310" t="inlineStr">
        <is>
          <t>DALARNAS LÄN</t>
        </is>
      </c>
      <c r="G310" t="inlineStr">
        <is>
          <t>HEDEMORA</t>
        </is>
      </c>
      <c r="H310" t="inlineStr">
        <is>
          <t>Sveaskog</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18579-2025</t>
        </is>
      </c>
      <c r="B311" t="inlineStr">
        <is>
          <t>avverkningsanmälan</t>
        </is>
      </c>
      <c r="C311" t="inlineStr">
        <is>
          <t>Avverkning för annat ändamål</t>
        </is>
      </c>
      <c r="D311" s="1" t="n">
        <v>45763</v>
      </c>
      <c r="E311" s="1" t="n">
        <v>46216</v>
      </c>
      <c r="F311" t="inlineStr">
        <is>
          <t>DALARNAS LÄN</t>
        </is>
      </c>
      <c r="G311" t="inlineStr">
        <is>
          <t>HEDEMORA</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18920-2026</t>
        </is>
      </c>
      <c r="B312" t="inlineStr">
        <is>
          <t>avverkningsanmälan</t>
        </is>
      </c>
      <c r="C312" t="inlineStr">
        <is>
          <t>Föryngringsavverkning</t>
        </is>
      </c>
      <c r="D312" s="1" t="n">
        <v>46129</v>
      </c>
      <c r="E312" s="1" t="n">
        <v>46216</v>
      </c>
      <c r="F312" t="inlineStr">
        <is>
          <t>DALARNAS LÄN</t>
        </is>
      </c>
      <c r="G312" t="inlineStr">
        <is>
          <t>HEDEMORA</t>
        </is>
      </c>
      <c r="H312" t="inlineStr">
        <is>
          <t>Sveaskog</t>
        </is>
      </c>
      <c r="I312" t="n">
        <v>4.3</v>
      </c>
      <c r="J312" t="n">
        <v>0</v>
      </c>
      <c r="K312" t="n">
        <v>0</v>
      </c>
      <c r="L312" t="n">
        <v>0</v>
      </c>
      <c r="M312" t="n">
        <v>0</v>
      </c>
      <c r="N312" t="n">
        <v>0</v>
      </c>
      <c r="O312" t="n">
        <v>0</v>
      </c>
      <c r="P312" t="n">
        <v>0</v>
      </c>
      <c r="Q312" t="n">
        <v>0</v>
      </c>
      <c r="R312" t="n">
        <v>0</v>
      </c>
      <c r="S312" t="n">
        <v>0</v>
      </c>
      <c r="T312" t="n">
        <v>0</v>
      </c>
      <c r="U312" s="2" t="inlineStr"/>
    </row>
    <row r="313" ht="15" customHeight="1">
      <c r="A313" t="inlineStr">
        <is>
          <t>A 18654-2026</t>
        </is>
      </c>
      <c r="B313" t="inlineStr">
        <is>
          <t>avverkningsanmälan</t>
        </is>
      </c>
      <c r="C313" t="inlineStr">
        <is>
          <t>Avverkning för annat ändamål</t>
        </is>
      </c>
      <c r="D313" s="1" t="n">
        <v>46128</v>
      </c>
      <c r="E313" s="1" t="n">
        <v>46216</v>
      </c>
      <c r="F313" t="inlineStr">
        <is>
          <t>DALARNAS LÄN</t>
        </is>
      </c>
      <c r="G313" t="inlineStr">
        <is>
          <t>HEDEMORA</t>
        </is>
      </c>
      <c r="H313" t="inlineStr">
        <is>
          <t>Sveaskog</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18661-2026</t>
        </is>
      </c>
      <c r="B314" t="inlineStr">
        <is>
          <t>avverkningsanmälan</t>
        </is>
      </c>
      <c r="C314" t="inlineStr">
        <is>
          <t>Avverkning för annat ändamål</t>
        </is>
      </c>
      <c r="D314" s="1" t="n">
        <v>46128</v>
      </c>
      <c r="E314" s="1" t="n">
        <v>46216</v>
      </c>
      <c r="F314" t="inlineStr">
        <is>
          <t>DALARNAS LÄN</t>
        </is>
      </c>
      <c r="G314" t="inlineStr">
        <is>
          <t>HEDEMORA</t>
        </is>
      </c>
      <c r="H314" t="inlineStr">
        <is>
          <t>Sveaskog</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24949-2026</t>
        </is>
      </c>
      <c r="B315" t="inlineStr">
        <is>
          <t>avverkningsanmälan</t>
        </is>
      </c>
      <c r="C315" t="inlineStr">
        <is>
          <t>Föryngringsavverkning</t>
        </is>
      </c>
      <c r="D315" s="1" t="n">
        <v>46174</v>
      </c>
      <c r="E315" s="1" t="n">
        <v>46216</v>
      </c>
      <c r="F315" t="inlineStr">
        <is>
          <t>DALARNAS LÄN</t>
        </is>
      </c>
      <c r="G315" t="inlineStr">
        <is>
          <t>HEDEMORA</t>
        </is>
      </c>
      <c r="H315" t="inlineStr">
        <is>
          <t>Sveaskog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19002-2026</t>
        </is>
      </c>
      <c r="B316" t="inlineStr">
        <is>
          <t>avverkningsanmälan</t>
        </is>
      </c>
      <c r="C316" t="inlineStr">
        <is>
          <t>Föryngringsavverkning</t>
        </is>
      </c>
      <c r="D316" s="1" t="n">
        <v>46129</v>
      </c>
      <c r="E316" s="1" t="n">
        <v>46216</v>
      </c>
      <c r="F316" t="inlineStr">
        <is>
          <t>DALARNAS LÄN</t>
        </is>
      </c>
      <c r="G316" t="inlineStr">
        <is>
          <t>HEDEMORA</t>
        </is>
      </c>
      <c r="H316" t="inlineStr">
        <is>
          <t>Sveaskog</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53922-2024</t>
        </is>
      </c>
      <c r="B317" t="inlineStr">
        <is>
          <t>avverkningsanmälan</t>
        </is>
      </c>
      <c r="C317" t="inlineStr">
        <is>
          <t>Föryngringsavverkning</t>
        </is>
      </c>
      <c r="D317" s="1" t="n">
        <v>45615</v>
      </c>
      <c r="E317" s="1" t="n">
        <v>46216</v>
      </c>
      <c r="F317" t="inlineStr">
        <is>
          <t>DALARNAS LÄN</t>
        </is>
      </c>
      <c r="G317" t="inlineStr">
        <is>
          <t>HEDEMORA</t>
        </is>
      </c>
      <c r="H317" t="inlineStr">
        <is>
          <t>Sveaskog</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19262-2026</t>
        </is>
      </c>
      <c r="B318" t="inlineStr">
        <is>
          <t>avverkningsanmälan</t>
        </is>
      </c>
      <c r="C318" t="inlineStr">
        <is>
          <t>Avverkning för annat ändamål</t>
        </is>
      </c>
      <c r="D318" s="1" t="n">
        <v>46132</v>
      </c>
      <c r="E318" s="1" t="n">
        <v>46216</v>
      </c>
      <c r="F318" t="inlineStr">
        <is>
          <t>DALARNAS LÄN</t>
        </is>
      </c>
      <c r="G318" t="inlineStr">
        <is>
          <t>HEDEMORA</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24959-2026</t>
        </is>
      </c>
      <c r="B319" t="inlineStr">
        <is>
          <t>avverkningsanmälan</t>
        </is>
      </c>
      <c r="C319" t="inlineStr">
        <is>
          <t>Föryngringsavverkning</t>
        </is>
      </c>
      <c r="D319" s="1" t="n">
        <v>46174</v>
      </c>
      <c r="E319" s="1" t="n">
        <v>46216</v>
      </c>
      <c r="F319" t="inlineStr">
        <is>
          <t>DALARNAS LÄN</t>
        </is>
      </c>
      <c r="G319" t="inlineStr">
        <is>
          <t>HEDEMORA</t>
        </is>
      </c>
      <c r="H319" t="inlineStr">
        <is>
          <t>Sveaskog</t>
        </is>
      </c>
      <c r="I319" t="n">
        <v>6.7</v>
      </c>
      <c r="J319" t="n">
        <v>0</v>
      </c>
      <c r="K319" t="n">
        <v>0</v>
      </c>
      <c r="L319" t="n">
        <v>0</v>
      </c>
      <c r="M319" t="n">
        <v>0</v>
      </c>
      <c r="N319" t="n">
        <v>0</v>
      </c>
      <c r="O319" t="n">
        <v>0</v>
      </c>
      <c r="P319" t="n">
        <v>0</v>
      </c>
      <c r="Q319" t="n">
        <v>0</v>
      </c>
      <c r="R319" t="n">
        <v>0</v>
      </c>
      <c r="S319" t="n">
        <v>0</v>
      </c>
      <c r="T319" t="n">
        <v>0</v>
      </c>
      <c r="U319" s="2" t="inlineStr"/>
    </row>
    <row r="320" ht="15" customHeight="1">
      <c r="A320" t="inlineStr">
        <is>
          <t>A 24955-2026</t>
        </is>
      </c>
      <c r="B320" t="inlineStr">
        <is>
          <t>avverkningsanmälan</t>
        </is>
      </c>
      <c r="C320" t="inlineStr">
        <is>
          <t>Föryngringsavverkning</t>
        </is>
      </c>
      <c r="D320" s="1" t="n">
        <v>46174</v>
      </c>
      <c r="E320" s="1" t="n">
        <v>46216</v>
      </c>
      <c r="F320" t="inlineStr">
        <is>
          <t>DALARNAS LÄN</t>
        </is>
      </c>
      <c r="G320" t="inlineStr">
        <is>
          <t>HEDEMORA</t>
        </is>
      </c>
      <c r="H320" t="inlineStr">
        <is>
          <t>Sveaskog</t>
        </is>
      </c>
      <c r="I320" t="n">
        <v>2.7</v>
      </c>
      <c r="J320" t="n">
        <v>0</v>
      </c>
      <c r="K320" t="n">
        <v>0</v>
      </c>
      <c r="L320" t="n">
        <v>0</v>
      </c>
      <c r="M320" t="n">
        <v>0</v>
      </c>
      <c r="N320" t="n">
        <v>0</v>
      </c>
      <c r="O320" t="n">
        <v>0</v>
      </c>
      <c r="P320" t="n">
        <v>0</v>
      </c>
      <c r="Q320" t="n">
        <v>0</v>
      </c>
      <c r="R320" t="n">
        <v>0</v>
      </c>
      <c r="S320" t="n">
        <v>0</v>
      </c>
      <c r="T320" t="n">
        <v>0</v>
      </c>
      <c r="U320" s="2" t="inlineStr"/>
    </row>
    <row r="321" ht="15" customHeight="1">
      <c r="A321" t="inlineStr">
        <is>
          <t>A 25421-2026</t>
        </is>
      </c>
      <c r="B321" t="inlineStr">
        <is>
          <t>avverkningsanmälan</t>
        </is>
      </c>
      <c r="C321" t="inlineStr">
        <is>
          <t>Föryngringsavverkning</t>
        </is>
      </c>
      <c r="D321" s="1" t="n">
        <v>46177</v>
      </c>
      <c r="E321" s="1" t="n">
        <v>46216</v>
      </c>
      <c r="F321" t="inlineStr">
        <is>
          <t>DALARNAS LÄN</t>
        </is>
      </c>
      <c r="G321" t="inlineStr">
        <is>
          <t>HEDEMORA</t>
        </is>
      </c>
      <c r="H321" t="inlineStr">
        <is>
          <t>Sveaskog</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19564-2026</t>
        </is>
      </c>
      <c r="B322" t="inlineStr">
        <is>
          <t>avverkningsanmälan</t>
        </is>
      </c>
      <c r="C322" t="inlineStr">
        <is>
          <t>Föryngringsavverkning</t>
        </is>
      </c>
      <c r="D322" s="1" t="n">
        <v>46134</v>
      </c>
      <c r="E322" s="1" t="n">
        <v>46216</v>
      </c>
      <c r="F322" t="inlineStr">
        <is>
          <t>DALARNAS LÄN</t>
        </is>
      </c>
      <c r="G322" t="inlineStr">
        <is>
          <t>HEDEMORA</t>
        </is>
      </c>
      <c r="H322" t="inlineStr">
        <is>
          <t>Sveaskog</t>
        </is>
      </c>
      <c r="I322" t="n">
        <v>7.7</v>
      </c>
      <c r="J322" t="n">
        <v>0</v>
      </c>
      <c r="K322" t="n">
        <v>0</v>
      </c>
      <c r="L322" t="n">
        <v>0</v>
      </c>
      <c r="M322" t="n">
        <v>0</v>
      </c>
      <c r="N322" t="n">
        <v>0</v>
      </c>
      <c r="O322" t="n">
        <v>0</v>
      </c>
      <c r="P322" t="n">
        <v>0</v>
      </c>
      <c r="Q322" t="n">
        <v>0</v>
      </c>
      <c r="R322" t="n">
        <v>0</v>
      </c>
      <c r="S322" t="n">
        <v>0</v>
      </c>
      <c r="T322" t="n">
        <v>0</v>
      </c>
      <c r="U322" s="2" t="inlineStr"/>
    </row>
    <row r="323" ht="15" customHeight="1">
      <c r="A323" t="inlineStr">
        <is>
          <t>A 19670-2026</t>
        </is>
      </c>
      <c r="B323" t="inlineStr">
        <is>
          <t>avverkningsanmälan</t>
        </is>
      </c>
      <c r="C323" t="inlineStr">
        <is>
          <t>Föryngringsavverkning</t>
        </is>
      </c>
      <c r="D323" s="1" t="n">
        <v>46134</v>
      </c>
      <c r="E323" s="1" t="n">
        <v>46216</v>
      </c>
      <c r="F323" t="inlineStr">
        <is>
          <t>DALARNAS LÄN</t>
        </is>
      </c>
      <c r="G323" t="inlineStr">
        <is>
          <t>HEDEMORA</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27610-2024</t>
        </is>
      </c>
      <c r="B324" t="inlineStr">
        <is>
          <t>avverkningsanmälan</t>
        </is>
      </c>
      <c r="C324" t="inlineStr">
        <is>
          <t>Föryngringsavverkning</t>
        </is>
      </c>
      <c r="D324" s="1" t="n">
        <v>45474</v>
      </c>
      <c r="E324" s="1" t="n">
        <v>46216</v>
      </c>
      <c r="F324" t="inlineStr">
        <is>
          <t>DALARNAS LÄN</t>
        </is>
      </c>
      <c r="G324" t="inlineStr">
        <is>
          <t>HEDEMORA</t>
        </is>
      </c>
      <c r="H324" t="inlineStr">
        <is>
          <t>Sveaskog</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25419-2026</t>
        </is>
      </c>
      <c r="B325" t="inlineStr">
        <is>
          <t>avverkningsanmälan</t>
        </is>
      </c>
      <c r="C325" t="inlineStr">
        <is>
          <t>Föryngringsavverkning</t>
        </is>
      </c>
      <c r="D325" s="1" t="n">
        <v>46177</v>
      </c>
      <c r="E325" s="1" t="n">
        <v>46216</v>
      </c>
      <c r="F325" t="inlineStr">
        <is>
          <t>DALARNAS LÄN</t>
        </is>
      </c>
      <c r="G325" t="inlineStr">
        <is>
          <t>HEDEMORA</t>
        </is>
      </c>
      <c r="H325" t="inlineStr">
        <is>
          <t>Sveaskog</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27609-2024</t>
        </is>
      </c>
      <c r="B326" t="inlineStr">
        <is>
          <t>avverkningsanmälan</t>
        </is>
      </c>
      <c r="C326" t="inlineStr">
        <is>
          <t>Föryngringsavverkning</t>
        </is>
      </c>
      <c r="D326" s="1" t="n">
        <v>45474</v>
      </c>
      <c r="E326" s="1" t="n">
        <v>46216</v>
      </c>
      <c r="F326" t="inlineStr">
        <is>
          <t>DALARNAS LÄN</t>
        </is>
      </c>
      <c r="G326" t="inlineStr">
        <is>
          <t>HEDEMORA</t>
        </is>
      </c>
      <c r="H326" t="inlineStr">
        <is>
          <t>Sveaskog</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20385-2026</t>
        </is>
      </c>
      <c r="B327" t="inlineStr">
        <is>
          <t>avverkningsanmälan</t>
        </is>
      </c>
      <c r="C327" t="inlineStr">
        <is>
          <t>Föryngringsavverkning</t>
        </is>
      </c>
      <c r="D327" s="1" t="n">
        <v>46139</v>
      </c>
      <c r="E327" s="1" t="n">
        <v>46216</v>
      </c>
      <c r="F327" t="inlineStr">
        <is>
          <t>DALARNAS LÄN</t>
        </is>
      </c>
      <c r="G327" t="inlineStr">
        <is>
          <t>HEDEMORA</t>
        </is>
      </c>
      <c r="H327" t="inlineStr">
        <is>
          <t>Sveaskog</t>
        </is>
      </c>
      <c r="I327" t="n">
        <v>15.4</v>
      </c>
      <c r="J327" t="n">
        <v>0</v>
      </c>
      <c r="K327" t="n">
        <v>0</v>
      </c>
      <c r="L327" t="n">
        <v>0</v>
      </c>
      <c r="M327" t="n">
        <v>0</v>
      </c>
      <c r="N327" t="n">
        <v>0</v>
      </c>
      <c r="O327" t="n">
        <v>0</v>
      </c>
      <c r="P327" t="n">
        <v>0</v>
      </c>
      <c r="Q327" t="n">
        <v>0</v>
      </c>
      <c r="R327" t="n">
        <v>0</v>
      </c>
      <c r="S327" t="n">
        <v>0</v>
      </c>
      <c r="T327" t="n">
        <v>0</v>
      </c>
      <c r="U327" s="2" t="inlineStr"/>
    </row>
    <row r="328" ht="15" customHeight="1">
      <c r="A328" t="inlineStr">
        <is>
          <t>A 25155-2023</t>
        </is>
      </c>
      <c r="B328" t="inlineStr">
        <is>
          <t>avverkningsanmälan</t>
        </is>
      </c>
      <c r="C328" t="inlineStr">
        <is>
          <t>Föryngringsavverkning</t>
        </is>
      </c>
      <c r="D328" s="1" t="n">
        <v>45086</v>
      </c>
      <c r="E328" s="1" t="n">
        <v>46216</v>
      </c>
      <c r="F328" t="inlineStr">
        <is>
          <t>DALARNAS LÄN</t>
        </is>
      </c>
      <c r="G328" t="inlineStr">
        <is>
          <t>HEDEMORA</t>
        </is>
      </c>
      <c r="H328" t="inlineStr">
        <is>
          <t>Sveaskog</t>
        </is>
      </c>
      <c r="I328" t="n">
        <v>3.8</v>
      </c>
      <c r="J328" t="n">
        <v>0</v>
      </c>
      <c r="K328" t="n">
        <v>0</v>
      </c>
      <c r="L328" t="n">
        <v>0</v>
      </c>
      <c r="M328" t="n">
        <v>0</v>
      </c>
      <c r="N328" t="n">
        <v>0</v>
      </c>
      <c r="O328" t="n">
        <v>0</v>
      </c>
      <c r="P328" t="n">
        <v>0</v>
      </c>
      <c r="Q328" t="n">
        <v>0</v>
      </c>
      <c r="R328" t="n">
        <v>0</v>
      </c>
      <c r="S328" t="n">
        <v>0</v>
      </c>
      <c r="T328" t="n">
        <v>0</v>
      </c>
      <c r="U328" s="2" t="inlineStr"/>
    </row>
    <row r="329" ht="15" customHeight="1">
      <c r="A329" t="inlineStr">
        <is>
          <t>A 54312-2024</t>
        </is>
      </c>
      <c r="B329" t="inlineStr">
        <is>
          <t>avverkningsanmälan</t>
        </is>
      </c>
      <c r="C329" t="inlineStr">
        <is>
          <t>Föryngringsavverkning</t>
        </is>
      </c>
      <c r="D329" s="1" t="n">
        <v>45617</v>
      </c>
      <c r="E329" s="1" t="n">
        <v>46216</v>
      </c>
      <c r="F329" t="inlineStr">
        <is>
          <t>DALARNAS LÄN</t>
        </is>
      </c>
      <c r="G329" t="inlineStr">
        <is>
          <t>HEDEMORA</t>
        </is>
      </c>
      <c r="H329" t="inlineStr">
        <is>
          <t>Bergvik skog väst AB</t>
        </is>
      </c>
      <c r="I329" t="n">
        <v>13.9</v>
      </c>
      <c r="J329" t="n">
        <v>0</v>
      </c>
      <c r="K329" t="n">
        <v>0</v>
      </c>
      <c r="L329" t="n">
        <v>0</v>
      </c>
      <c r="M329" t="n">
        <v>0</v>
      </c>
      <c r="N329" t="n">
        <v>0</v>
      </c>
      <c r="O329" t="n">
        <v>0</v>
      </c>
      <c r="P329" t="n">
        <v>0</v>
      </c>
      <c r="Q329" t="n">
        <v>0</v>
      </c>
      <c r="R329" t="n">
        <v>0</v>
      </c>
      <c r="S329" t="n">
        <v>0</v>
      </c>
      <c r="T329" t="n">
        <v>0</v>
      </c>
      <c r="U329" s="2" t="inlineStr"/>
    </row>
    <row r="330" ht="15" customHeight="1">
      <c r="A330" t="inlineStr">
        <is>
          <t>A 52945-2024</t>
        </is>
      </c>
      <c r="B330" t="inlineStr">
        <is>
          <t>avverkningsanmälan</t>
        </is>
      </c>
      <c r="C330" t="inlineStr">
        <is>
          <t>Föryngringsavverkning</t>
        </is>
      </c>
      <c r="D330" s="1" t="n">
        <v>45610</v>
      </c>
      <c r="E330" s="1" t="n">
        <v>46216</v>
      </c>
      <c r="F330" t="inlineStr">
        <is>
          <t>DALARNAS LÄN</t>
        </is>
      </c>
      <c r="G330" t="inlineStr">
        <is>
          <t>HEDEMORA</t>
        </is>
      </c>
      <c r="H330" t="inlineStr">
        <is>
          <t>Sveaskog</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59632-2023</t>
        </is>
      </c>
      <c r="B331" t="inlineStr">
        <is>
          <t>avverkningsanmälan</t>
        </is>
      </c>
      <c r="C331" t="inlineStr">
        <is>
          <t>Föryngringsavverkning</t>
        </is>
      </c>
      <c r="D331" s="1" t="n">
        <v>45254</v>
      </c>
      <c r="E331" s="1" t="n">
        <v>46216</v>
      </c>
      <c r="F331" t="inlineStr">
        <is>
          <t>DALARNAS LÄN</t>
        </is>
      </c>
      <c r="G331" t="inlineStr">
        <is>
          <t>HEDEMORA</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19932-2026</t>
        </is>
      </c>
      <c r="B332" t="inlineStr">
        <is>
          <t>avverkningsanmälan</t>
        </is>
      </c>
      <c r="C332" t="inlineStr">
        <is>
          <t>Föryngringsavverkning</t>
        </is>
      </c>
      <c r="D332" s="1" t="n">
        <v>46136</v>
      </c>
      <c r="E332" s="1" t="n">
        <v>46216</v>
      </c>
      <c r="F332" t="inlineStr">
        <is>
          <t>DALARNAS LÄN</t>
        </is>
      </c>
      <c r="G332" t="inlineStr">
        <is>
          <t>HEDEMORA</t>
        </is>
      </c>
      <c r="H332" t="inlineStr">
        <is>
          <t>Sveaskog</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37759-2024</t>
        </is>
      </c>
      <c r="B333" t="inlineStr">
        <is>
          <t>avverkningsanmälan</t>
        </is>
      </c>
      <c r="C333" t="inlineStr">
        <is>
          <t>Föryngringsavverkning</t>
        </is>
      </c>
      <c r="D333" s="1" t="n">
        <v>45541</v>
      </c>
      <c r="E333" s="1" t="n">
        <v>46216</v>
      </c>
      <c r="F333" t="inlineStr">
        <is>
          <t>DALARNAS LÄN</t>
        </is>
      </c>
      <c r="G333" t="inlineStr">
        <is>
          <t>HEDEMORA</t>
        </is>
      </c>
      <c r="H333" t="inlineStr">
        <is>
          <t>Sveaskog</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29585-2024</t>
        </is>
      </c>
      <c r="B334" t="inlineStr">
        <is>
          <t>avverkningsanmälan</t>
        </is>
      </c>
      <c r="C334" t="inlineStr">
        <is>
          <t>Föryngringsavverkning</t>
        </is>
      </c>
      <c r="D334" s="1" t="n">
        <v>45484</v>
      </c>
      <c r="E334" s="1" t="n">
        <v>46216</v>
      </c>
      <c r="F334" t="inlineStr">
        <is>
          <t>DALARNAS LÄN</t>
        </is>
      </c>
      <c r="G334" t="inlineStr">
        <is>
          <t>HEDEMORA</t>
        </is>
      </c>
      <c r="H334" t="inlineStr">
        <is>
          <t>Bergvik skog väst AB</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48834-2023</t>
        </is>
      </c>
      <c r="B335" t="inlineStr">
        <is>
          <t>avverkningsanmälan</t>
        </is>
      </c>
      <c r="C335" t="inlineStr">
        <is>
          <t>Föryngringsavverkning</t>
        </is>
      </c>
      <c r="D335" s="1" t="n">
        <v>45209</v>
      </c>
      <c r="E335" s="1" t="n">
        <v>46216</v>
      </c>
      <c r="F335" t="inlineStr">
        <is>
          <t>DALARNAS LÄN</t>
        </is>
      </c>
      <c r="G335" t="inlineStr">
        <is>
          <t>HEDEMORA</t>
        </is>
      </c>
      <c r="I335" t="n">
        <v>1.9</v>
      </c>
      <c r="J335" t="n">
        <v>0</v>
      </c>
      <c r="K335" t="n">
        <v>0</v>
      </c>
      <c r="L335" t="n">
        <v>0</v>
      </c>
      <c r="M335" t="n">
        <v>0</v>
      </c>
      <c r="N335" t="n">
        <v>0</v>
      </c>
      <c r="O335" t="n">
        <v>0</v>
      </c>
      <c r="P335" t="n">
        <v>0</v>
      </c>
      <c r="Q335" t="n">
        <v>0</v>
      </c>
      <c r="R335" t="n">
        <v>0</v>
      </c>
      <c r="S335" t="n">
        <v>0</v>
      </c>
      <c r="T335" t="n">
        <v>0</v>
      </c>
      <c r="U335" s="2" t="inlineStr"/>
    </row>
    <row r="336" ht="15" customHeight="1">
      <c r="A336" t="inlineStr">
        <is>
          <t>A 7914-2024</t>
        </is>
      </c>
      <c r="B336" t="inlineStr">
        <is>
          <t>avverkningsanmälan</t>
        </is>
      </c>
      <c r="C336" t="inlineStr">
        <is>
          <t>Föryngringsavverkning</t>
        </is>
      </c>
      <c r="D336" s="1" t="n">
        <v>45350</v>
      </c>
      <c r="E336" s="1" t="n">
        <v>46216</v>
      </c>
      <c r="F336" t="inlineStr">
        <is>
          <t>DALARNAS LÄN</t>
        </is>
      </c>
      <c r="G336" t="inlineStr">
        <is>
          <t>HEDEMORA</t>
        </is>
      </c>
      <c r="I336" t="n">
        <v>4.1</v>
      </c>
      <c r="J336" t="n">
        <v>0</v>
      </c>
      <c r="K336" t="n">
        <v>0</v>
      </c>
      <c r="L336" t="n">
        <v>0</v>
      </c>
      <c r="M336" t="n">
        <v>0</v>
      </c>
      <c r="N336" t="n">
        <v>0</v>
      </c>
      <c r="O336" t="n">
        <v>0</v>
      </c>
      <c r="P336" t="n">
        <v>0</v>
      </c>
      <c r="Q336" t="n">
        <v>0</v>
      </c>
      <c r="R336" t="n">
        <v>0</v>
      </c>
      <c r="S336" t="n">
        <v>0</v>
      </c>
      <c r="T336" t="n">
        <v>0</v>
      </c>
      <c r="U336" s="2" t="inlineStr"/>
    </row>
    <row r="337" ht="15" customHeight="1">
      <c r="A337" t="inlineStr">
        <is>
          <t>A 6687-2026</t>
        </is>
      </c>
      <c r="B337" t="inlineStr">
        <is>
          <t>avverkningsanmälan</t>
        </is>
      </c>
      <c r="C337" t="inlineStr">
        <is>
          <t>Föryngringsavverkning</t>
        </is>
      </c>
      <c r="D337" s="1" t="n">
        <v>46056</v>
      </c>
      <c r="E337" s="1" t="n">
        <v>46216</v>
      </c>
      <c r="F337" t="inlineStr">
        <is>
          <t>DALARNAS LÄN</t>
        </is>
      </c>
      <c r="G337" t="inlineStr">
        <is>
          <t>HEDEMORA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73099-2021</t>
        </is>
      </c>
      <c r="B338" t="inlineStr">
        <is>
          <t>avverkningsanmälan</t>
        </is>
      </c>
      <c r="C338" t="inlineStr">
        <is>
          <t>Föryngringsavverkning</t>
        </is>
      </c>
      <c r="D338" s="1" t="n">
        <v>44546</v>
      </c>
      <c r="E338" s="1" t="n">
        <v>46216</v>
      </c>
      <c r="F338" t="inlineStr">
        <is>
          <t>DALARNAS LÄN</t>
        </is>
      </c>
      <c r="G338" t="inlineStr">
        <is>
          <t>HEDEMORA</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9106-2026</t>
        </is>
      </c>
      <c r="B339" t="inlineStr">
        <is>
          <t>avverkningsanmälan</t>
        </is>
      </c>
      <c r="C339" t="inlineStr">
        <is>
          <t>Föryngringsavverkning</t>
        </is>
      </c>
      <c r="D339" s="1" t="n">
        <v>46069</v>
      </c>
      <c r="E339" s="1" t="n">
        <v>46216</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63829-2025</t>
        </is>
      </c>
      <c r="B340" t="inlineStr">
        <is>
          <t>avverkningsanmälan</t>
        </is>
      </c>
      <c r="C340" t="inlineStr">
        <is>
          <t>Föryngringsavverkning</t>
        </is>
      </c>
      <c r="D340" s="1" t="n">
        <v>46020</v>
      </c>
      <c r="E340" s="1" t="n">
        <v>46216</v>
      </c>
      <c r="F340" t="inlineStr">
        <is>
          <t>DALARNAS LÄN</t>
        </is>
      </c>
      <c r="G340" t="inlineStr">
        <is>
          <t>HEDEMORA</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52199-2021</t>
        </is>
      </c>
      <c r="B341" t="inlineStr">
        <is>
          <t>avverkningsanmälan</t>
        </is>
      </c>
      <c r="C341" t="inlineStr">
        <is>
          <t>Föryngringsavverkning</t>
        </is>
      </c>
      <c r="D341" s="1" t="n">
        <v>44462</v>
      </c>
      <c r="E341" s="1" t="n">
        <v>46216</v>
      </c>
      <c r="F341" t="inlineStr">
        <is>
          <t>DALARNAS LÄN</t>
        </is>
      </c>
      <c r="G341" t="inlineStr">
        <is>
          <t>HEDEMORA</t>
        </is>
      </c>
      <c r="H341" t="inlineStr">
        <is>
          <t>Bergvik skog väst AB</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29283-2022</t>
        </is>
      </c>
      <c r="B342" t="inlineStr">
        <is>
          <t>avverkningsanmälan</t>
        </is>
      </c>
      <c r="C342" t="inlineStr">
        <is>
          <t>Föryngringsavverkning</t>
        </is>
      </c>
      <c r="D342" s="1" t="n">
        <v>44750</v>
      </c>
      <c r="E342" s="1" t="n">
        <v>46216</v>
      </c>
      <c r="F342" t="inlineStr">
        <is>
          <t>DALARNAS LÄN</t>
        </is>
      </c>
      <c r="G342" t="inlineStr">
        <is>
          <t>HEDEMORA</t>
        </is>
      </c>
      <c r="H342" t="inlineStr">
        <is>
          <t>Sveaskog</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40419-2025</t>
        </is>
      </c>
      <c r="B343" t="inlineStr">
        <is>
          <t>avverkningsanmälan</t>
        </is>
      </c>
      <c r="C343" t="inlineStr">
        <is>
          <t>Föryngringsavverkning</t>
        </is>
      </c>
      <c r="D343" s="1" t="n">
        <v>45895</v>
      </c>
      <c r="E343" s="1" t="n">
        <v>46216</v>
      </c>
      <c r="F343" t="inlineStr">
        <is>
          <t>DALARNAS LÄN</t>
        </is>
      </c>
      <c r="G343" t="inlineStr">
        <is>
          <t>HEDEMORA</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25925-2026</t>
        </is>
      </c>
      <c r="B344" t="inlineStr">
        <is>
          <t>avverkningsanmälan</t>
        </is>
      </c>
      <c r="C344" t="inlineStr">
        <is>
          <t>Föryngringsavverkning</t>
        </is>
      </c>
      <c r="D344" s="1" t="n">
        <v>46178</v>
      </c>
      <c r="E344" s="1" t="n">
        <v>46216</v>
      </c>
      <c r="F344" t="inlineStr">
        <is>
          <t>DALARNAS LÄN</t>
        </is>
      </c>
      <c r="G344" t="inlineStr">
        <is>
          <t>HEDEMORA</t>
        </is>
      </c>
      <c r="H344" t="inlineStr">
        <is>
          <t>Sveaskog</t>
        </is>
      </c>
      <c r="I344" t="n">
        <v>8</v>
      </c>
      <c r="J344" t="n">
        <v>0</v>
      </c>
      <c r="K344" t="n">
        <v>0</v>
      </c>
      <c r="L344" t="n">
        <v>0</v>
      </c>
      <c r="M344" t="n">
        <v>0</v>
      </c>
      <c r="N344" t="n">
        <v>0</v>
      </c>
      <c r="O344" t="n">
        <v>0</v>
      </c>
      <c r="P344" t="n">
        <v>0</v>
      </c>
      <c r="Q344" t="n">
        <v>0</v>
      </c>
      <c r="R344" t="n">
        <v>0</v>
      </c>
      <c r="S344" t="n">
        <v>0</v>
      </c>
      <c r="T344" t="n">
        <v>0</v>
      </c>
      <c r="U344" s="2" t="inlineStr"/>
    </row>
    <row r="345" ht="15" customHeight="1">
      <c r="A345" t="inlineStr">
        <is>
          <t>A 26705-2025</t>
        </is>
      </c>
      <c r="B345" t="inlineStr">
        <is>
          <t>avverkningsanmälan</t>
        </is>
      </c>
      <c r="C345" t="inlineStr">
        <is>
          <t>Föryngringsavverkning</t>
        </is>
      </c>
      <c r="D345" s="1" t="n">
        <v>45810</v>
      </c>
      <c r="E345" s="1" t="n">
        <v>46216</v>
      </c>
      <c r="F345" t="inlineStr">
        <is>
          <t>DALARNAS LÄN</t>
        </is>
      </c>
      <c r="G345" t="inlineStr">
        <is>
          <t>HEDEMORA</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25924-2026</t>
        </is>
      </c>
      <c r="B346" t="inlineStr">
        <is>
          <t>avverkningsanmälan</t>
        </is>
      </c>
      <c r="C346" t="inlineStr">
        <is>
          <t>Föryngringsavverkning</t>
        </is>
      </c>
      <c r="D346" s="1" t="n">
        <v>46178</v>
      </c>
      <c r="E346" s="1" t="n">
        <v>46216</v>
      </c>
      <c r="F346" t="inlineStr">
        <is>
          <t>DALARNAS LÄN</t>
        </is>
      </c>
      <c r="G346" t="inlineStr">
        <is>
          <t>HEDEMORA</t>
        </is>
      </c>
      <c r="H346" t="inlineStr">
        <is>
          <t>Sveaskog</t>
        </is>
      </c>
      <c r="I346" t="n">
        <v>18.3</v>
      </c>
      <c r="J346" t="n">
        <v>0</v>
      </c>
      <c r="K346" t="n">
        <v>0</v>
      </c>
      <c r="L346" t="n">
        <v>0</v>
      </c>
      <c r="M346" t="n">
        <v>0</v>
      </c>
      <c r="N346" t="n">
        <v>0</v>
      </c>
      <c r="O346" t="n">
        <v>0</v>
      </c>
      <c r="P346" t="n">
        <v>0</v>
      </c>
      <c r="Q346" t="n">
        <v>0</v>
      </c>
      <c r="R346" t="n">
        <v>0</v>
      </c>
      <c r="S346" t="n">
        <v>0</v>
      </c>
      <c r="T346" t="n">
        <v>0</v>
      </c>
      <c r="U346" s="2" t="inlineStr"/>
    </row>
    <row r="347" ht="15" customHeight="1">
      <c r="A347" t="inlineStr">
        <is>
          <t>A 29050-2023</t>
        </is>
      </c>
      <c r="B347" t="inlineStr">
        <is>
          <t>avverkningsanmälan</t>
        </is>
      </c>
      <c r="C347" t="inlineStr">
        <is>
          <t>Avverkning för annat ändamål</t>
        </is>
      </c>
      <c r="D347" s="1" t="n">
        <v>45104</v>
      </c>
      <c r="E347" s="1" t="n">
        <v>46216</v>
      </c>
      <c r="F347" t="inlineStr">
        <is>
          <t>DALARNAS LÄN</t>
        </is>
      </c>
      <c r="G347" t="inlineStr">
        <is>
          <t>HEDEMORA</t>
        </is>
      </c>
      <c r="H347" t="inlineStr">
        <is>
          <t>Sveaskog</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25150-2023</t>
        </is>
      </c>
      <c r="B348" t="inlineStr">
        <is>
          <t>avverkningsanmälan</t>
        </is>
      </c>
      <c r="C348" t="inlineStr">
        <is>
          <t>Föryngringsavverkning</t>
        </is>
      </c>
      <c r="D348" s="1" t="n">
        <v>45086</v>
      </c>
      <c r="E348" s="1" t="n">
        <v>46216</v>
      </c>
      <c r="F348" t="inlineStr">
        <is>
          <t>DALARNAS LÄN</t>
        </is>
      </c>
      <c r="G348" t="inlineStr">
        <is>
          <t>HEDEMORA</t>
        </is>
      </c>
      <c r="H348" t="inlineStr">
        <is>
          <t>Sveaskog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39552-2024</t>
        </is>
      </c>
      <c r="B349" t="inlineStr">
        <is>
          <t>avverkningsanmälan</t>
        </is>
      </c>
      <c r="C349" t="inlineStr">
        <is>
          <t>Föryngringsavverkning</t>
        </is>
      </c>
      <c r="D349" s="1" t="n">
        <v>45551</v>
      </c>
      <c r="E349" s="1" t="n">
        <v>46216</v>
      </c>
      <c r="F349" t="inlineStr">
        <is>
          <t>DALARNAS LÄN</t>
        </is>
      </c>
      <c r="G349" t="inlineStr">
        <is>
          <t>HEDEMORA</t>
        </is>
      </c>
      <c r="H349" t="inlineStr">
        <is>
          <t>Bergvik skog väst AB</t>
        </is>
      </c>
      <c r="I349" t="n">
        <v>24.1</v>
      </c>
      <c r="J349" t="n">
        <v>0</v>
      </c>
      <c r="K349" t="n">
        <v>0</v>
      </c>
      <c r="L349" t="n">
        <v>0</v>
      </c>
      <c r="M349" t="n">
        <v>0</v>
      </c>
      <c r="N349" t="n">
        <v>0</v>
      </c>
      <c r="O349" t="n">
        <v>0</v>
      </c>
      <c r="P349" t="n">
        <v>0</v>
      </c>
      <c r="Q349" t="n">
        <v>0</v>
      </c>
      <c r="R349" t="n">
        <v>0</v>
      </c>
      <c r="S349" t="n">
        <v>0</v>
      </c>
      <c r="T349" t="n">
        <v>0</v>
      </c>
      <c r="U349" s="2" t="inlineStr"/>
    </row>
    <row r="350" ht="15" customHeight="1">
      <c r="A350" t="inlineStr">
        <is>
          <t>A 25830-2026</t>
        </is>
      </c>
      <c r="B350" t="inlineStr">
        <is>
          <t>avverkningsanmälan</t>
        </is>
      </c>
      <c r="C350" t="inlineStr">
        <is>
          <t>Föryngringsavverkning</t>
        </is>
      </c>
      <c r="D350" s="1" t="n">
        <v>46178</v>
      </c>
      <c r="E350" s="1" t="n">
        <v>46216</v>
      </c>
      <c r="F350" t="inlineStr">
        <is>
          <t>DALARNAS LÄN</t>
        </is>
      </c>
      <c r="G350" t="inlineStr">
        <is>
          <t>HEDEMORA</t>
        </is>
      </c>
      <c r="H350" t="inlineStr">
        <is>
          <t>Sveaskog</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61886-2022</t>
        </is>
      </c>
      <c r="B351" t="inlineStr">
        <is>
          <t>avverkningsanmälan</t>
        </is>
      </c>
      <c r="C351" t="inlineStr">
        <is>
          <t>Föryngringsavverkning</t>
        </is>
      </c>
      <c r="D351" s="1" t="n">
        <v>44917</v>
      </c>
      <c r="E351" s="1" t="n">
        <v>46216</v>
      </c>
      <c r="F351" t="inlineStr">
        <is>
          <t>DALARNAS LÄN</t>
        </is>
      </c>
      <c r="G351" t="inlineStr">
        <is>
          <t>HEDEMORA</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11541-2026</t>
        </is>
      </c>
      <c r="B352" t="inlineStr">
        <is>
          <t>avverkningsanmälan</t>
        </is>
      </c>
      <c r="C352" t="inlineStr">
        <is>
          <t>Föryngringsavverkning</t>
        </is>
      </c>
      <c r="D352" s="1" t="n">
        <v>46083</v>
      </c>
      <c r="E352" s="1" t="n">
        <v>46216</v>
      </c>
      <c r="F352" t="inlineStr">
        <is>
          <t>DALARNAS LÄN</t>
        </is>
      </c>
      <c r="G352" t="inlineStr">
        <is>
          <t>HEDEMORA</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62188-2023</t>
        </is>
      </c>
      <c r="B353" t="inlineStr">
        <is>
          <t>avverkningsanmälan</t>
        </is>
      </c>
      <c r="C353" t="inlineStr">
        <is>
          <t>Föryngringsavverkning</t>
        </is>
      </c>
      <c r="D353" s="1" t="n">
        <v>45267</v>
      </c>
      <c r="E353" s="1" t="n">
        <v>46216</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s="2" t="inlineStr"/>
    </row>
    <row r="354" ht="15" customHeight="1">
      <c r="A354" t="inlineStr">
        <is>
          <t>A 1917-2022</t>
        </is>
      </c>
      <c r="B354" t="inlineStr">
        <is>
          <t>avverkningsanmälan</t>
        </is>
      </c>
      <c r="C354" t="inlineStr">
        <is>
          <t>Avverkning för annat ändamål</t>
        </is>
      </c>
      <c r="D354" s="1" t="n">
        <v>44574</v>
      </c>
      <c r="E354" s="1" t="n">
        <v>46216</v>
      </c>
      <c r="F354" t="inlineStr">
        <is>
          <t>DALARNAS LÄN</t>
        </is>
      </c>
      <c r="G354" t="inlineStr">
        <is>
          <t>HEDEMORA</t>
        </is>
      </c>
      <c r="H354" t="inlineStr">
        <is>
          <t>Övriga Aktiebolag</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31825-2024</t>
        </is>
      </c>
      <c r="B355" t="inlineStr">
        <is>
          <t>avverkningsanmälan</t>
        </is>
      </c>
      <c r="C355" t="inlineStr">
        <is>
          <t>Avverkning för annat ändamål</t>
        </is>
      </c>
      <c r="D355" s="1" t="n">
        <v>45509</v>
      </c>
      <c r="E355" s="1" t="n">
        <v>46216</v>
      </c>
      <c r="F355" t="inlineStr">
        <is>
          <t>DALARNAS LÄN</t>
        </is>
      </c>
      <c r="G355" t="inlineStr">
        <is>
          <t>HEDEMORA</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14951-2025</t>
        </is>
      </c>
      <c r="B356" t="inlineStr">
        <is>
          <t>avverkningsanmälan</t>
        </is>
      </c>
      <c r="C356" t="inlineStr">
        <is>
          <t>Föryngringsavverkning</t>
        </is>
      </c>
      <c r="D356" s="1" t="n">
        <v>45743</v>
      </c>
      <c r="E356" s="1" t="n">
        <v>46216</v>
      </c>
      <c r="F356" t="inlineStr">
        <is>
          <t>DALARNAS LÄN</t>
        </is>
      </c>
      <c r="G356" t="inlineStr">
        <is>
          <t>HEDEMORA</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385-2024</t>
        </is>
      </c>
      <c r="B357" t="inlineStr">
        <is>
          <t>avverkningsanmälan</t>
        </is>
      </c>
      <c r="C357" t="inlineStr">
        <is>
          <t>Föryngringsavverkning</t>
        </is>
      </c>
      <c r="D357" s="1" t="n">
        <v>45296</v>
      </c>
      <c r="E357" s="1" t="n">
        <v>46216</v>
      </c>
      <c r="F357" t="inlineStr">
        <is>
          <t>DALARNAS LÄN</t>
        </is>
      </c>
      <c r="G357" t="inlineStr">
        <is>
          <t>HEDEMORA</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38947-2023</t>
        </is>
      </c>
      <c r="B358" t="inlineStr">
        <is>
          <t>avverkningsanmälan</t>
        </is>
      </c>
      <c r="C358" t="inlineStr">
        <is>
          <t>Föryngringsavverkning</t>
        </is>
      </c>
      <c r="D358" s="1" t="n">
        <v>45163</v>
      </c>
      <c r="E358" s="1" t="n">
        <v>46216</v>
      </c>
      <c r="F358" t="inlineStr">
        <is>
          <t>DALARNAS LÄN</t>
        </is>
      </c>
      <c r="G358" t="inlineStr">
        <is>
          <t>HEDEMORA</t>
        </is>
      </c>
      <c r="H358" t="inlineStr">
        <is>
          <t>Sveaskog</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1721-2026</t>
        </is>
      </c>
      <c r="B359" t="inlineStr">
        <is>
          <t>avverkningsanmälan</t>
        </is>
      </c>
      <c r="C359" t="inlineStr">
        <is>
          <t>Föryngringsavverkning</t>
        </is>
      </c>
      <c r="D359" s="1" t="n">
        <v>46034</v>
      </c>
      <c r="E359" s="1" t="n">
        <v>46216</v>
      </c>
      <c r="F359" t="inlineStr">
        <is>
          <t>DALARNAS LÄN</t>
        </is>
      </c>
      <c r="G359" t="inlineStr">
        <is>
          <t>HEDEMORA</t>
        </is>
      </c>
      <c r="I359" t="n">
        <v>4.4</v>
      </c>
      <c r="J359" t="n">
        <v>0</v>
      </c>
      <c r="K359" t="n">
        <v>0</v>
      </c>
      <c r="L359" t="n">
        <v>0</v>
      </c>
      <c r="M359" t="n">
        <v>0</v>
      </c>
      <c r="N359" t="n">
        <v>0</v>
      </c>
      <c r="O359" t="n">
        <v>0</v>
      </c>
      <c r="P359" t="n">
        <v>0</v>
      </c>
      <c r="Q359" t="n">
        <v>0</v>
      </c>
      <c r="R359" t="n">
        <v>0</v>
      </c>
      <c r="S359" t="n">
        <v>0</v>
      </c>
      <c r="T359" t="n">
        <v>0</v>
      </c>
      <c r="U359" s="2" t="inlineStr"/>
    </row>
    <row r="360" ht="15" customHeight="1">
      <c r="A360" t="inlineStr">
        <is>
          <t>A 55881-2023</t>
        </is>
      </c>
      <c r="B360" t="inlineStr">
        <is>
          <t>avverkningsanmälan</t>
        </is>
      </c>
      <c r="C360" t="inlineStr">
        <is>
          <t>Föryngringsavverkning</t>
        </is>
      </c>
      <c r="D360" s="1" t="n">
        <v>45239</v>
      </c>
      <c r="E360" s="1" t="n">
        <v>46216</v>
      </c>
      <c r="F360" t="inlineStr">
        <is>
          <t>DALARNAS LÄN</t>
        </is>
      </c>
      <c r="G360" t="inlineStr">
        <is>
          <t>HEDEMORA</t>
        </is>
      </c>
      <c r="H360" t="inlineStr">
        <is>
          <t>Sveaskog</t>
        </is>
      </c>
      <c r="I360" t="n">
        <v>3.9</v>
      </c>
      <c r="J360" t="n">
        <v>0</v>
      </c>
      <c r="K360" t="n">
        <v>0</v>
      </c>
      <c r="L360" t="n">
        <v>0</v>
      </c>
      <c r="M360" t="n">
        <v>0</v>
      </c>
      <c r="N360" t="n">
        <v>0</v>
      </c>
      <c r="O360" t="n">
        <v>0</v>
      </c>
      <c r="P360" t="n">
        <v>0</v>
      </c>
      <c r="Q360" t="n">
        <v>0</v>
      </c>
      <c r="R360" t="n">
        <v>0</v>
      </c>
      <c r="S360" t="n">
        <v>0</v>
      </c>
      <c r="T360" t="n">
        <v>0</v>
      </c>
      <c r="U360" s="2" t="inlineStr"/>
    </row>
    <row r="361" ht="15" customHeight="1">
      <c r="A361" t="inlineStr">
        <is>
          <t>A 26906-2026</t>
        </is>
      </c>
      <c r="B361" t="inlineStr">
        <is>
          <t>avverkningsanmälan</t>
        </is>
      </c>
      <c r="C361" t="inlineStr">
        <is>
          <t>Föryngringsavverkning</t>
        </is>
      </c>
      <c r="D361" s="1" t="n">
        <v>46185</v>
      </c>
      <c r="E361" s="1" t="n">
        <v>46216</v>
      </c>
      <c r="F361" t="inlineStr">
        <is>
          <t>DALARNAS LÄN</t>
        </is>
      </c>
      <c r="G361" t="inlineStr">
        <is>
          <t>HEDEMORA</t>
        </is>
      </c>
      <c r="H361" t="inlineStr">
        <is>
          <t>Sveaskog</t>
        </is>
      </c>
      <c r="I361" t="n">
        <v>3.5</v>
      </c>
      <c r="J361" t="n">
        <v>0</v>
      </c>
      <c r="K361" t="n">
        <v>0</v>
      </c>
      <c r="L361" t="n">
        <v>0</v>
      </c>
      <c r="M361" t="n">
        <v>0</v>
      </c>
      <c r="N361" t="n">
        <v>0</v>
      </c>
      <c r="O361" t="n">
        <v>0</v>
      </c>
      <c r="P361" t="n">
        <v>0</v>
      </c>
      <c r="Q361" t="n">
        <v>0</v>
      </c>
      <c r="R361" t="n">
        <v>0</v>
      </c>
      <c r="S361" t="n">
        <v>0</v>
      </c>
      <c r="T361" t="n">
        <v>0</v>
      </c>
      <c r="U361" s="2" t="inlineStr"/>
    </row>
    <row r="362" ht="15" customHeight="1">
      <c r="A362" t="inlineStr">
        <is>
          <t>A 15833-2025</t>
        </is>
      </c>
      <c r="B362" t="inlineStr">
        <is>
          <t>avverkningsanmälan</t>
        </is>
      </c>
      <c r="C362" t="inlineStr">
        <is>
          <t>Föryngringsavverkning</t>
        </is>
      </c>
      <c r="D362" s="1" t="n">
        <v>45748</v>
      </c>
      <c r="E362" s="1" t="n">
        <v>46216</v>
      </c>
      <c r="F362" t="inlineStr">
        <is>
          <t>DALARNAS LÄN</t>
        </is>
      </c>
      <c r="G362" t="inlineStr">
        <is>
          <t>HEDEMORA</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29301-2023</t>
        </is>
      </c>
      <c r="B363" t="inlineStr">
        <is>
          <t>avverkningsanmälan</t>
        </is>
      </c>
      <c r="C363" t="inlineStr">
        <is>
          <t>Föryngringsavverkning</t>
        </is>
      </c>
      <c r="D363" s="1" t="n">
        <v>45105</v>
      </c>
      <c r="E363" s="1" t="n">
        <v>46216</v>
      </c>
      <c r="F363" t="inlineStr">
        <is>
          <t>DALARNAS LÄN</t>
        </is>
      </c>
      <c r="G363" t="inlineStr">
        <is>
          <t>HEDEMORA</t>
        </is>
      </c>
      <c r="H363" t="inlineStr">
        <is>
          <t>Sveaskog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53923-2024</t>
        </is>
      </c>
      <c r="B364" t="inlineStr">
        <is>
          <t>avverkningsanmälan</t>
        </is>
      </c>
      <c r="C364" t="inlineStr">
        <is>
          <t>Föryngringsavverkning</t>
        </is>
      </c>
      <c r="D364" s="1" t="n">
        <v>45615</v>
      </c>
      <c r="E364" s="1" t="n">
        <v>46216</v>
      </c>
      <c r="F364" t="inlineStr">
        <is>
          <t>DALARNAS LÄN</t>
        </is>
      </c>
      <c r="G364" t="inlineStr">
        <is>
          <t>HEDEMORA</t>
        </is>
      </c>
      <c r="H364" t="inlineStr">
        <is>
          <t>Sveaskog</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44384-2024</t>
        </is>
      </c>
      <c r="B365" t="inlineStr">
        <is>
          <t>avverkningsanmälan</t>
        </is>
      </c>
      <c r="C365" t="inlineStr">
        <is>
          <t>Föryngringsavverkning</t>
        </is>
      </c>
      <c r="D365" s="1" t="n">
        <v>45573</v>
      </c>
      <c r="E365" s="1" t="n">
        <v>46216</v>
      </c>
      <c r="F365" t="inlineStr">
        <is>
          <t>DALARNAS LÄN</t>
        </is>
      </c>
      <c r="G365" t="inlineStr">
        <is>
          <t>HEDEMORA</t>
        </is>
      </c>
      <c r="H365" t="inlineStr">
        <is>
          <t>Bergvik skog väst AB</t>
        </is>
      </c>
      <c r="I365" t="n">
        <v>9.800000000000001</v>
      </c>
      <c r="J365" t="n">
        <v>0</v>
      </c>
      <c r="K365" t="n">
        <v>0</v>
      </c>
      <c r="L365" t="n">
        <v>0</v>
      </c>
      <c r="M365" t="n">
        <v>0</v>
      </c>
      <c r="N365" t="n">
        <v>0</v>
      </c>
      <c r="O365" t="n">
        <v>0</v>
      </c>
      <c r="P365" t="n">
        <v>0</v>
      </c>
      <c r="Q365" t="n">
        <v>0</v>
      </c>
      <c r="R365" t="n">
        <v>0</v>
      </c>
      <c r="S365" t="n">
        <v>0</v>
      </c>
      <c r="T365" t="n">
        <v>0</v>
      </c>
      <c r="U365" s="2" t="inlineStr"/>
    </row>
    <row r="366" ht="15" customHeight="1">
      <c r="A366" t="inlineStr">
        <is>
          <t>A 44388-2024</t>
        </is>
      </c>
      <c r="B366" t="inlineStr">
        <is>
          <t>avverkningsanmälan</t>
        </is>
      </c>
      <c r="C366" t="inlineStr">
        <is>
          <t>Föryngringsavverkning</t>
        </is>
      </c>
      <c r="D366" s="1" t="n">
        <v>45573</v>
      </c>
      <c r="E366" s="1" t="n">
        <v>46216</v>
      </c>
      <c r="F366" t="inlineStr">
        <is>
          <t>DALARNAS LÄN</t>
        </is>
      </c>
      <c r="G366" t="inlineStr">
        <is>
          <t>HEDEMORA</t>
        </is>
      </c>
      <c r="H366" t="inlineStr">
        <is>
          <t>Bergvik skog väst AB</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39531-2024</t>
        </is>
      </c>
      <c r="B367" t="inlineStr">
        <is>
          <t>avverkningsanmälan</t>
        </is>
      </c>
      <c r="C367" t="inlineStr">
        <is>
          <t>Föryngringsavverkning</t>
        </is>
      </c>
      <c r="D367" s="1" t="n">
        <v>45551</v>
      </c>
      <c r="E367" s="1" t="n">
        <v>46216</v>
      </c>
      <c r="F367" t="inlineStr">
        <is>
          <t>DALARNAS LÄN</t>
        </is>
      </c>
      <c r="G367" t="inlineStr">
        <is>
          <t>HEDEMORA</t>
        </is>
      </c>
      <c r="H367" t="inlineStr">
        <is>
          <t>Bergvik skog väst AB</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1973-2022</t>
        </is>
      </c>
      <c r="B368" t="inlineStr">
        <is>
          <t>avverkningsanmälan</t>
        </is>
      </c>
      <c r="C368" t="inlineStr">
        <is>
          <t>Föryngringsavverkning</t>
        </is>
      </c>
      <c r="D368" s="1" t="n">
        <v>44575</v>
      </c>
      <c r="E368" s="1" t="n">
        <v>46216</v>
      </c>
      <c r="F368" t="inlineStr">
        <is>
          <t>DALARNAS LÄN</t>
        </is>
      </c>
      <c r="G368" t="inlineStr">
        <is>
          <t>HEDEMORA</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17600-2025</t>
        </is>
      </c>
      <c r="B369" t="inlineStr">
        <is>
          <t>avverkningsanmälan</t>
        </is>
      </c>
      <c r="C369" t="inlineStr">
        <is>
          <t>Föryngringsavverkning</t>
        </is>
      </c>
      <c r="D369" s="1" t="n">
        <v>45757</v>
      </c>
      <c r="E369" s="1" t="n">
        <v>46216</v>
      </c>
      <c r="F369" t="inlineStr">
        <is>
          <t>DALARNAS LÄN</t>
        </is>
      </c>
      <c r="G369" t="inlineStr">
        <is>
          <t>HEDEMORA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25691-2022</t>
        </is>
      </c>
      <c r="B370" t="inlineStr">
        <is>
          <t>avverkningsanmälan</t>
        </is>
      </c>
      <c r="C370" t="inlineStr">
        <is>
          <t>Föryngringsavverkning</t>
        </is>
      </c>
      <c r="D370" s="1" t="n">
        <v>44733</v>
      </c>
      <c r="E370" s="1" t="n">
        <v>46216</v>
      </c>
      <c r="F370" t="inlineStr">
        <is>
          <t>DALARNAS LÄN</t>
        </is>
      </c>
      <c r="G370" t="inlineStr">
        <is>
          <t>HEDEMORA</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60475-2022</t>
        </is>
      </c>
      <c r="B371" t="inlineStr">
        <is>
          <t>avverkningsanmälan</t>
        </is>
      </c>
      <c r="C371" t="inlineStr">
        <is>
          <t>Föryngringsavverkning</t>
        </is>
      </c>
      <c r="D371" s="1" t="n">
        <v>44911</v>
      </c>
      <c r="E371" s="1" t="n">
        <v>46216</v>
      </c>
      <c r="F371" t="inlineStr">
        <is>
          <t>DALARNAS LÄN</t>
        </is>
      </c>
      <c r="G371" t="inlineStr">
        <is>
          <t>HEDEMORA</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63925-2023</t>
        </is>
      </c>
      <c r="B372" t="inlineStr">
        <is>
          <t>avverkningsanmälan</t>
        </is>
      </c>
      <c r="C372" t="inlineStr">
        <is>
          <t>Föryngringsavverkning</t>
        </is>
      </c>
      <c r="D372" s="1" t="n">
        <v>45278</v>
      </c>
      <c r="E372" s="1" t="n">
        <v>46216</v>
      </c>
      <c r="F372" t="inlineStr">
        <is>
          <t>DALARNAS LÄN</t>
        </is>
      </c>
      <c r="G372" t="inlineStr">
        <is>
          <t>HEDEMORA</t>
        </is>
      </c>
      <c r="I372" t="n">
        <v>5.2</v>
      </c>
      <c r="J372" t="n">
        <v>0</v>
      </c>
      <c r="K372" t="n">
        <v>0</v>
      </c>
      <c r="L372" t="n">
        <v>0</v>
      </c>
      <c r="M372" t="n">
        <v>0</v>
      </c>
      <c r="N372" t="n">
        <v>0</v>
      </c>
      <c r="O372" t="n">
        <v>0</v>
      </c>
      <c r="P372" t="n">
        <v>0</v>
      </c>
      <c r="Q372" t="n">
        <v>0</v>
      </c>
      <c r="R372" t="n">
        <v>0</v>
      </c>
      <c r="S372" t="n">
        <v>0</v>
      </c>
      <c r="T372" t="n">
        <v>0</v>
      </c>
      <c r="U372" s="2" t="inlineStr"/>
    </row>
    <row r="373" ht="15" customHeight="1">
      <c r="A373" t="inlineStr">
        <is>
          <t>A 21581-2026</t>
        </is>
      </c>
      <c r="B373" t="inlineStr">
        <is>
          <t>avverkningsanmälan</t>
        </is>
      </c>
      <c r="C373" t="inlineStr">
        <is>
          <t>Föryngringsavverkning</t>
        </is>
      </c>
      <c r="D373" s="1" t="n">
        <v>46148</v>
      </c>
      <c r="E373" s="1" t="n">
        <v>46216</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26395-2026</t>
        </is>
      </c>
      <c r="B374" t="inlineStr">
        <is>
          <t>avverkningsanmälan</t>
        </is>
      </c>
      <c r="C374" t="inlineStr">
        <is>
          <t>Föryngringsavverkning</t>
        </is>
      </c>
      <c r="D374" s="1" t="n">
        <v>46183</v>
      </c>
      <c r="E374" s="1" t="n">
        <v>46216</v>
      </c>
      <c r="F374" t="inlineStr">
        <is>
          <t>DALARNAS LÄN</t>
        </is>
      </c>
      <c r="G374" t="inlineStr">
        <is>
          <t>HEDEMORA</t>
        </is>
      </c>
      <c r="H374" t="inlineStr">
        <is>
          <t>Bergvik skog väst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60408-2021</t>
        </is>
      </c>
      <c r="B375" t="inlineStr">
        <is>
          <t>avverkningsanmälan</t>
        </is>
      </c>
      <c r="C375" t="inlineStr">
        <is>
          <t>Föryngringsavverkning</t>
        </is>
      </c>
      <c r="D375" s="1" t="n">
        <v>44495</v>
      </c>
      <c r="E375" s="1" t="n">
        <v>46216</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62401-2023</t>
        </is>
      </c>
      <c r="B376" t="inlineStr">
        <is>
          <t>avverkningsanmälan</t>
        </is>
      </c>
      <c r="C376" t="inlineStr">
        <is>
          <t>Föryngringsavverkning</t>
        </is>
      </c>
      <c r="D376" s="1" t="n">
        <v>45268</v>
      </c>
      <c r="E376" s="1" t="n">
        <v>46216</v>
      </c>
      <c r="F376" t="inlineStr">
        <is>
          <t>DALARNAS LÄN</t>
        </is>
      </c>
      <c r="G376" t="inlineStr">
        <is>
          <t>HEDEMORA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26452-2024</t>
        </is>
      </c>
      <c r="B377" t="inlineStr">
        <is>
          <t>avverkningsanmälan</t>
        </is>
      </c>
      <c r="C377" t="inlineStr">
        <is>
          <t>Föryngringsavverkning</t>
        </is>
      </c>
      <c r="D377" s="1" t="n">
        <v>45469</v>
      </c>
      <c r="E377" s="1" t="n">
        <v>46216</v>
      </c>
      <c r="F377" t="inlineStr">
        <is>
          <t>DALARNAS LÄN</t>
        </is>
      </c>
      <c r="G377" t="inlineStr">
        <is>
          <t>HEDEMORA</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22396-2026</t>
        </is>
      </c>
      <c r="B378" t="inlineStr">
        <is>
          <t>avverkningsanmälan</t>
        </is>
      </c>
      <c r="C378" t="inlineStr">
        <is>
          <t>Avverkning för annat ändamål</t>
        </is>
      </c>
      <c r="D378" s="1" t="n">
        <v>46154</v>
      </c>
      <c r="E378" s="1" t="n">
        <v>46216</v>
      </c>
      <c r="F378" t="inlineStr">
        <is>
          <t>DALARNAS LÄN</t>
        </is>
      </c>
      <c r="G378" t="inlineStr">
        <is>
          <t>HEDEMORA</t>
        </is>
      </c>
      <c r="H378" t="inlineStr">
        <is>
          <t>Övriga Aktiebolag</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6372-2026</t>
        </is>
      </c>
      <c r="B379" t="inlineStr">
        <is>
          <t>avverkningsanmälan</t>
        </is>
      </c>
      <c r="C379" t="inlineStr">
        <is>
          <t>Föryngringsavverkning</t>
        </is>
      </c>
      <c r="D379" s="1" t="n">
        <v>46055</v>
      </c>
      <c r="E379" s="1" t="n">
        <v>46216</v>
      </c>
      <c r="F379" t="inlineStr">
        <is>
          <t>DALARNAS LÄN</t>
        </is>
      </c>
      <c r="G379" t="inlineStr">
        <is>
          <t>HEDEMORA</t>
        </is>
      </c>
      <c r="H379" t="inlineStr">
        <is>
          <t>Sveaskog</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63908-2021</t>
        </is>
      </c>
      <c r="B380" t="inlineStr">
        <is>
          <t>avverkningsanmälan</t>
        </is>
      </c>
      <c r="C380" t="inlineStr">
        <is>
          <t>Föryngringsavverkning</t>
        </is>
      </c>
      <c r="D380" s="1" t="n">
        <v>44509</v>
      </c>
      <c r="E380" s="1" t="n">
        <v>46216</v>
      </c>
      <c r="F380" t="inlineStr">
        <is>
          <t>DALARNAS LÄN</t>
        </is>
      </c>
      <c r="G380" t="inlineStr">
        <is>
          <t>HEDEMORA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22490-2026</t>
        </is>
      </c>
      <c r="B381" t="inlineStr">
        <is>
          <t>avverkningsanmälan</t>
        </is>
      </c>
      <c r="C381" t="inlineStr">
        <is>
          <t>Föryngringsavverkning</t>
        </is>
      </c>
      <c r="D381" s="1" t="n">
        <v>46154</v>
      </c>
      <c r="E381" s="1" t="n">
        <v>46216</v>
      </c>
      <c r="F381" t="inlineStr">
        <is>
          <t>DALARNAS LÄN</t>
        </is>
      </c>
      <c r="G381" t="inlineStr">
        <is>
          <t>HEDEMORA</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9314-2024</t>
        </is>
      </c>
      <c r="B382" t="inlineStr">
        <is>
          <t>avverkningsanmälan</t>
        </is>
      </c>
      <c r="C382" t="inlineStr">
        <is>
          <t>Föryngringsavverkning</t>
        </is>
      </c>
      <c r="D382" s="1" t="n">
        <v>45358</v>
      </c>
      <c r="E382" s="1" t="n">
        <v>46216</v>
      </c>
      <c r="F382" t="inlineStr">
        <is>
          <t>DALARNAS LÄN</t>
        </is>
      </c>
      <c r="G382" t="inlineStr">
        <is>
          <t>HEDEMORA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55882-2023</t>
        </is>
      </c>
      <c r="B383" t="inlineStr">
        <is>
          <t>avverkningsanmälan</t>
        </is>
      </c>
      <c r="C383" t="inlineStr">
        <is>
          <t>Föryngringsavverkning</t>
        </is>
      </c>
      <c r="D383" s="1" t="n">
        <v>45239</v>
      </c>
      <c r="E383" s="1" t="n">
        <v>46216</v>
      </c>
      <c r="F383" t="inlineStr">
        <is>
          <t>DALARNAS LÄN</t>
        </is>
      </c>
      <c r="G383" t="inlineStr">
        <is>
          <t>HEDEMORA</t>
        </is>
      </c>
      <c r="H383" t="inlineStr">
        <is>
          <t>Sveaskog</t>
        </is>
      </c>
      <c r="I383" t="n">
        <v>5.2</v>
      </c>
      <c r="J383" t="n">
        <v>0</v>
      </c>
      <c r="K383" t="n">
        <v>0</v>
      </c>
      <c r="L383" t="n">
        <v>0</v>
      </c>
      <c r="M383" t="n">
        <v>0</v>
      </c>
      <c r="N383" t="n">
        <v>0</v>
      </c>
      <c r="O383" t="n">
        <v>0</v>
      </c>
      <c r="P383" t="n">
        <v>0</v>
      </c>
      <c r="Q383" t="n">
        <v>0</v>
      </c>
      <c r="R383" t="n">
        <v>0</v>
      </c>
      <c r="S383" t="n">
        <v>0</v>
      </c>
      <c r="T383" t="n">
        <v>0</v>
      </c>
      <c r="U383" s="2" t="inlineStr"/>
    </row>
    <row r="384" ht="15" customHeight="1">
      <c r="A384" t="inlineStr">
        <is>
          <t>A 22882-2026</t>
        </is>
      </c>
      <c r="B384" t="inlineStr">
        <is>
          <t>avverkningsanmälan</t>
        </is>
      </c>
      <c r="C384" t="inlineStr">
        <is>
          <t>Föryngringsavverkning</t>
        </is>
      </c>
      <c r="D384" s="1" t="n">
        <v>46157</v>
      </c>
      <c r="E384" s="1" t="n">
        <v>46216</v>
      </c>
      <c r="F384" t="inlineStr">
        <is>
          <t>DALARNAS LÄN</t>
        </is>
      </c>
      <c r="G384" t="inlineStr">
        <is>
          <t>HEDEMORA</t>
        </is>
      </c>
      <c r="H384" t="inlineStr">
        <is>
          <t>Bergvik skog väst AB</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28870-2026</t>
        </is>
      </c>
      <c r="B385" t="inlineStr">
        <is>
          <t>avverkningsanmälan</t>
        </is>
      </c>
      <c r="C385" t="inlineStr">
        <is>
          <t>Föryngringsavverkning</t>
        </is>
      </c>
      <c r="D385" s="1" t="n">
        <v>46199</v>
      </c>
      <c r="E385" s="1" t="n">
        <v>46216</v>
      </c>
      <c r="F385" t="inlineStr">
        <is>
          <t>DALARNAS LÄN</t>
        </is>
      </c>
      <c r="G385" t="inlineStr">
        <is>
          <t>HEDEMORA</t>
        </is>
      </c>
      <c r="H385" t="inlineStr">
        <is>
          <t>Sveaskog</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28883-2026</t>
        </is>
      </c>
      <c r="B386" t="inlineStr">
        <is>
          <t>avverkningsanmälan</t>
        </is>
      </c>
      <c r="C386" t="inlineStr">
        <is>
          <t>Föryngringsavverkning</t>
        </is>
      </c>
      <c r="D386" s="1" t="n">
        <v>46199</v>
      </c>
      <c r="E386" s="1" t="n">
        <v>46216</v>
      </c>
      <c r="F386" t="inlineStr">
        <is>
          <t>DALARNAS LÄN</t>
        </is>
      </c>
      <c r="G386" t="inlineStr">
        <is>
          <t>HEDEMORA</t>
        </is>
      </c>
      <c r="H386" t="inlineStr">
        <is>
          <t>Sveaskog</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17147-2026</t>
        </is>
      </c>
      <c r="B387" t="inlineStr">
        <is>
          <t>avverkningsanmälan</t>
        </is>
      </c>
      <c r="C387" t="inlineStr">
        <is>
          <t>Föryngringsavverkning</t>
        </is>
      </c>
      <c r="D387" s="1" t="n">
        <v>46114</v>
      </c>
      <c r="E387" s="1" t="n">
        <v>46216</v>
      </c>
      <c r="F387" t="inlineStr">
        <is>
          <t>DALARNAS LÄN</t>
        </is>
      </c>
      <c r="G387" t="inlineStr">
        <is>
          <t>HEDEMORA</t>
        </is>
      </c>
      <c r="H387" t="inlineStr">
        <is>
          <t>Sveaskog</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17148-2026</t>
        </is>
      </c>
      <c r="B388" t="inlineStr">
        <is>
          <t>avverkningsanmälan</t>
        </is>
      </c>
      <c r="C388" t="inlineStr">
        <is>
          <t>Föryngringsavverkning</t>
        </is>
      </c>
      <c r="D388" s="1" t="n">
        <v>46114</v>
      </c>
      <c r="E388" s="1" t="n">
        <v>46216</v>
      </c>
      <c r="F388" t="inlineStr">
        <is>
          <t>DALARNAS LÄN</t>
        </is>
      </c>
      <c r="G388" t="inlineStr">
        <is>
          <t>HEDEMORA</t>
        </is>
      </c>
      <c r="H388" t="inlineStr">
        <is>
          <t>Sveaskog</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57745-2024</t>
        </is>
      </c>
      <c r="B389" t="inlineStr">
        <is>
          <t>avverkningsanmälan</t>
        </is>
      </c>
      <c r="C389" t="inlineStr">
        <is>
          <t>Föryngringsavverkning</t>
        </is>
      </c>
      <c r="D389" s="1" t="n">
        <v>45630</v>
      </c>
      <c r="E389" s="1" t="n">
        <v>46216</v>
      </c>
      <c r="F389" t="inlineStr">
        <is>
          <t>DALARNAS LÄN</t>
        </is>
      </c>
      <c r="G389" t="inlineStr">
        <is>
          <t>HEDEMORA</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17594-2025</t>
        </is>
      </c>
      <c r="B390" t="inlineStr">
        <is>
          <t>avverkningsanmälan</t>
        </is>
      </c>
      <c r="C390" t="inlineStr">
        <is>
          <t>Föryngringsavverkning</t>
        </is>
      </c>
      <c r="D390" s="1" t="n">
        <v>45757</v>
      </c>
      <c r="E390" s="1" t="n">
        <v>46216</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19938-2026</t>
        </is>
      </c>
      <c r="B391" t="inlineStr">
        <is>
          <t>avverkningsanmälan</t>
        </is>
      </c>
      <c r="C391" t="inlineStr">
        <is>
          <t>Föryngringsavverkning</t>
        </is>
      </c>
      <c r="D391" s="1" t="n">
        <v>46136</v>
      </c>
      <c r="E391" s="1" t="n">
        <v>46216</v>
      </c>
      <c r="F391" t="inlineStr">
        <is>
          <t>DALARNAS LÄN</t>
        </is>
      </c>
      <c r="G391" t="inlineStr">
        <is>
          <t>HEDEMORA</t>
        </is>
      </c>
      <c r="H391" t="inlineStr">
        <is>
          <t>Sveaskog</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19929-2026</t>
        </is>
      </c>
      <c r="B392" t="inlineStr">
        <is>
          <t>avverkningsanmälan</t>
        </is>
      </c>
      <c r="C392" t="inlineStr">
        <is>
          <t>Föryngringsavverkning</t>
        </is>
      </c>
      <c r="D392" s="1" t="n">
        <v>46136</v>
      </c>
      <c r="E392" s="1" t="n">
        <v>46216</v>
      </c>
      <c r="F392" t="inlineStr">
        <is>
          <t>DALARNAS LÄN</t>
        </is>
      </c>
      <c r="G392" t="inlineStr">
        <is>
          <t>HEDEMORA</t>
        </is>
      </c>
      <c r="H392" t="inlineStr">
        <is>
          <t>Sveaskog</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19942-2026</t>
        </is>
      </c>
      <c r="B393" t="inlineStr">
        <is>
          <t>avverkningsanmälan</t>
        </is>
      </c>
      <c r="C393" t="inlineStr">
        <is>
          <t>Föryngringsavverkning</t>
        </is>
      </c>
      <c r="D393" s="1" t="n">
        <v>46136</v>
      </c>
      <c r="E393" s="1" t="n">
        <v>46216</v>
      </c>
      <c r="F393" t="inlineStr">
        <is>
          <t>DALARNAS LÄN</t>
        </is>
      </c>
      <c r="G393" t="inlineStr">
        <is>
          <t>HEDEMORA</t>
        </is>
      </c>
      <c r="H393" t="inlineStr">
        <is>
          <t>Sveaskog</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29522-2026</t>
        </is>
      </c>
      <c r="B394" t="inlineStr">
        <is>
          <t>avverkningsanmälan</t>
        </is>
      </c>
      <c r="C394" t="inlineStr">
        <is>
          <t>Föryngringsavverkning</t>
        </is>
      </c>
      <c r="D394" s="1" t="n">
        <v>46198</v>
      </c>
      <c r="E394" s="1" t="n">
        <v>46216</v>
      </c>
      <c r="F394" t="inlineStr">
        <is>
          <t>DALARNAS LÄN</t>
        </is>
      </c>
      <c r="G394" t="inlineStr">
        <is>
          <t>HEDEMORA</t>
        </is>
      </c>
      <c r="H394" t="inlineStr">
        <is>
          <t>Kyrkan</t>
        </is>
      </c>
      <c r="I394" t="n">
        <v>8.9</v>
      </c>
      <c r="J394" t="n">
        <v>0</v>
      </c>
      <c r="K394" t="n">
        <v>0</v>
      </c>
      <c r="L394" t="n">
        <v>0</v>
      </c>
      <c r="M394" t="n">
        <v>0</v>
      </c>
      <c r="N394" t="n">
        <v>0</v>
      </c>
      <c r="O394" t="n">
        <v>0</v>
      </c>
      <c r="P394" t="n">
        <v>0</v>
      </c>
      <c r="Q394" t="n">
        <v>0</v>
      </c>
      <c r="R394" t="n">
        <v>0</v>
      </c>
      <c r="S394" t="n">
        <v>0</v>
      </c>
      <c r="T394" t="n">
        <v>0</v>
      </c>
      <c r="U394" s="2" t="inlineStr"/>
    </row>
    <row r="395" ht="15" customHeight="1">
      <c r="A395" t="inlineStr">
        <is>
          <t>A 37762-2024</t>
        </is>
      </c>
      <c r="B395" t="inlineStr">
        <is>
          <t>avverkningsanmälan</t>
        </is>
      </c>
      <c r="C395" t="inlineStr">
        <is>
          <t>Föryngringsavverkning</t>
        </is>
      </c>
      <c r="D395" s="1" t="n">
        <v>45541</v>
      </c>
      <c r="E395" s="1" t="n">
        <v>46216</v>
      </c>
      <c r="F395" t="inlineStr">
        <is>
          <t>DALARNAS LÄN</t>
        </is>
      </c>
      <c r="G395" t="inlineStr">
        <is>
          <t>HEDEMORA</t>
        </is>
      </c>
      <c r="H395" t="inlineStr">
        <is>
          <t>Sveaskog</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23194-2026</t>
        </is>
      </c>
      <c r="B396" t="inlineStr">
        <is>
          <t>avverkningsanmälan</t>
        </is>
      </c>
      <c r="C396" t="inlineStr">
        <is>
          <t>Föryngringsavverkning</t>
        </is>
      </c>
      <c r="D396" s="1" t="n">
        <v>46161</v>
      </c>
      <c r="E396" s="1" t="n">
        <v>46216</v>
      </c>
      <c r="F396" t="inlineStr">
        <is>
          <t>DALARNAS LÄN</t>
        </is>
      </c>
      <c r="G396" t="inlineStr">
        <is>
          <t>HEDEMORA</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23466-2026</t>
        </is>
      </c>
      <c r="B397" t="inlineStr">
        <is>
          <t>avverkningsanmälan</t>
        </is>
      </c>
      <c r="C397" t="inlineStr">
        <is>
          <t>Föryngringsavverkning</t>
        </is>
      </c>
      <c r="D397" s="1" t="n">
        <v>46163</v>
      </c>
      <c r="E397" s="1" t="n">
        <v>46216</v>
      </c>
      <c r="F397" t="inlineStr">
        <is>
          <t>DALARNAS LÄN</t>
        </is>
      </c>
      <c r="G397" t="inlineStr">
        <is>
          <t>HEDEMORA</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23843-2026</t>
        </is>
      </c>
      <c r="B398" t="inlineStr">
        <is>
          <t>avverkningsanmälan</t>
        </is>
      </c>
      <c r="C398" t="inlineStr">
        <is>
          <t>Föryngringsavverkning</t>
        </is>
      </c>
      <c r="D398" s="1" t="n">
        <v>46167</v>
      </c>
      <c r="E398" s="1" t="n">
        <v>46216</v>
      </c>
      <c r="F398" t="inlineStr">
        <is>
          <t>DALARNAS LÄN</t>
        </is>
      </c>
      <c r="G398" t="inlineStr">
        <is>
          <t>HEDEMORA</t>
        </is>
      </c>
      <c r="H398" t="inlineStr">
        <is>
          <t>Sveaskog</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23639-2026</t>
        </is>
      </c>
      <c r="B399" t="inlineStr">
        <is>
          <t>avverkningsanmälan</t>
        </is>
      </c>
      <c r="C399" t="inlineStr">
        <is>
          <t>Föryngringsavverkning</t>
        </is>
      </c>
      <c r="D399" s="1" t="n">
        <v>46164</v>
      </c>
      <c r="E399" s="1" t="n">
        <v>46216</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23998-2026</t>
        </is>
      </c>
      <c r="B400" t="inlineStr">
        <is>
          <t>avverkningsanmälan</t>
        </is>
      </c>
      <c r="C400" t="inlineStr">
        <is>
          <t>Föryngringsavverkning</t>
        </is>
      </c>
      <c r="D400" s="1" t="n">
        <v>46167</v>
      </c>
      <c r="E400" s="1" t="n">
        <v>46216</v>
      </c>
      <c r="F400" t="inlineStr">
        <is>
          <t>DALARNAS LÄN</t>
        </is>
      </c>
      <c r="G400" t="inlineStr">
        <is>
          <t>HEDEMORA</t>
        </is>
      </c>
      <c r="H400" t="inlineStr">
        <is>
          <t>Sveaskog</t>
        </is>
      </c>
      <c r="I400" t="n">
        <v>3.7</v>
      </c>
      <c r="J400" t="n">
        <v>0</v>
      </c>
      <c r="K400" t="n">
        <v>0</v>
      </c>
      <c r="L400" t="n">
        <v>0</v>
      </c>
      <c r="M400" t="n">
        <v>0</v>
      </c>
      <c r="N400" t="n">
        <v>0</v>
      </c>
      <c r="O400" t="n">
        <v>0</v>
      </c>
      <c r="P400" t="n">
        <v>0</v>
      </c>
      <c r="Q400" t="n">
        <v>0</v>
      </c>
      <c r="R400" t="n">
        <v>0</v>
      </c>
      <c r="S400" t="n">
        <v>0</v>
      </c>
      <c r="T400" t="n">
        <v>0</v>
      </c>
      <c r="U400" s="2" t="inlineStr"/>
    </row>
    <row r="401" ht="15" customHeight="1">
      <c r="A401" t="inlineStr">
        <is>
          <t>A 7052-2025</t>
        </is>
      </c>
      <c r="B401" t="inlineStr">
        <is>
          <t>avverkningsanmälan</t>
        </is>
      </c>
      <c r="C401" t="inlineStr">
        <is>
          <t>Föryngringsavverkning</t>
        </is>
      </c>
      <c r="D401" s="1" t="n">
        <v>45701</v>
      </c>
      <c r="E401" s="1" t="n">
        <v>46216</v>
      </c>
      <c r="F401" t="inlineStr">
        <is>
          <t>DALARNAS LÄN</t>
        </is>
      </c>
      <c r="G401" t="inlineStr">
        <is>
          <t>HEDEMORA</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24340-2026</t>
        </is>
      </c>
      <c r="B402" t="inlineStr">
        <is>
          <t>avverkningsanmälan</t>
        </is>
      </c>
      <c r="C402" t="inlineStr">
        <is>
          <t>Föryngringsavverkning</t>
        </is>
      </c>
      <c r="D402" s="1" t="n">
        <v>46169</v>
      </c>
      <c r="E402" s="1" t="n">
        <v>46216</v>
      </c>
      <c r="F402" t="inlineStr">
        <is>
          <t>DALARNAS LÄN</t>
        </is>
      </c>
      <c r="G402" t="inlineStr">
        <is>
          <t>HEDEMORA</t>
        </is>
      </c>
      <c r="H402" t="inlineStr">
        <is>
          <t>Sveaskog</t>
        </is>
      </c>
      <c r="I402" t="n">
        <v>8.5</v>
      </c>
      <c r="J402" t="n">
        <v>0</v>
      </c>
      <c r="K402" t="n">
        <v>0</v>
      </c>
      <c r="L402" t="n">
        <v>0</v>
      </c>
      <c r="M402" t="n">
        <v>0</v>
      </c>
      <c r="N402" t="n">
        <v>0</v>
      </c>
      <c r="O402" t="n">
        <v>0</v>
      </c>
      <c r="P402" t="n">
        <v>0</v>
      </c>
      <c r="Q402" t="n">
        <v>0</v>
      </c>
      <c r="R402" t="n">
        <v>0</v>
      </c>
      <c r="S402" t="n">
        <v>0</v>
      </c>
      <c r="T402" t="n">
        <v>0</v>
      </c>
      <c r="U402" s="2" t="inlineStr"/>
    </row>
    <row r="403" ht="15" customHeight="1">
      <c r="A403" t="inlineStr">
        <is>
          <t>A 60078-2022</t>
        </is>
      </c>
      <c r="B403" t="inlineStr">
        <is>
          <t>avverkningsanmälan</t>
        </is>
      </c>
      <c r="C403" t="inlineStr">
        <is>
          <t>Föryngringsavverkning</t>
        </is>
      </c>
      <c r="D403" s="1" t="n">
        <v>44909</v>
      </c>
      <c r="E403" s="1" t="n">
        <v>46216</v>
      </c>
      <c r="F403" t="inlineStr">
        <is>
          <t>DALARNAS LÄN</t>
        </is>
      </c>
      <c r="G403" t="inlineStr">
        <is>
          <t>HEDEMORA</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24339-2026</t>
        </is>
      </c>
      <c r="B404" t="inlineStr">
        <is>
          <t>avverkningsanmälan</t>
        </is>
      </c>
      <c r="C404" t="inlineStr">
        <is>
          <t>Föryngringsavverkning</t>
        </is>
      </c>
      <c r="D404" s="1" t="n">
        <v>46169</v>
      </c>
      <c r="E404" s="1" t="n">
        <v>46216</v>
      </c>
      <c r="F404" t="inlineStr">
        <is>
          <t>DALARNAS LÄN</t>
        </is>
      </c>
      <c r="G404" t="inlineStr">
        <is>
          <t>HEDEMORA</t>
        </is>
      </c>
      <c r="H404" t="inlineStr">
        <is>
          <t>Sveaskog</t>
        </is>
      </c>
      <c r="I404" t="n">
        <v>5.8</v>
      </c>
      <c r="J404" t="n">
        <v>0</v>
      </c>
      <c r="K404" t="n">
        <v>0</v>
      </c>
      <c r="L404" t="n">
        <v>0</v>
      </c>
      <c r="M404" t="n">
        <v>0</v>
      </c>
      <c r="N404" t="n">
        <v>0</v>
      </c>
      <c r="O404" t="n">
        <v>0</v>
      </c>
      <c r="P404" t="n">
        <v>0</v>
      </c>
      <c r="Q404" t="n">
        <v>0</v>
      </c>
      <c r="R404" t="n">
        <v>0</v>
      </c>
      <c r="S404" t="n">
        <v>0</v>
      </c>
      <c r="T404" t="n">
        <v>0</v>
      </c>
      <c r="U404" s="2" t="inlineStr"/>
    </row>
    <row r="405" ht="15" customHeight="1">
      <c r="A405" t="inlineStr">
        <is>
          <t>A 52853-2025</t>
        </is>
      </c>
      <c r="B405" t="inlineStr">
        <is>
          <t>avverkningsanmälan</t>
        </is>
      </c>
      <c r="C405" t="inlineStr">
        <is>
          <t>Föryngringsavverkning</t>
        </is>
      </c>
      <c r="D405" s="1" t="n">
        <v>45957</v>
      </c>
      <c r="E405" s="1" t="n">
        <v>46216</v>
      </c>
      <c r="F405" t="inlineStr">
        <is>
          <t>DALARNAS LÄN</t>
        </is>
      </c>
      <c r="G405" t="inlineStr">
        <is>
          <t>HEDEMORA</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30878-2026</t>
        </is>
      </c>
      <c r="B406" t="inlineStr">
        <is>
          <t>avverkningsanmälan</t>
        </is>
      </c>
      <c r="C406" t="inlineStr">
        <is>
          <t>Föryngringsavverkning</t>
        </is>
      </c>
      <c r="D406" s="1" t="n">
        <v>46212</v>
      </c>
      <c r="E406" s="1" t="n">
        <v>46216</v>
      </c>
      <c r="F406" t="inlineStr">
        <is>
          <t>DALARNAS LÄN</t>
        </is>
      </c>
      <c r="G406" t="inlineStr">
        <is>
          <t>HEDEMORA</t>
        </is>
      </c>
      <c r="H406" t="inlineStr">
        <is>
          <t>Sveaskog</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45589-2023</t>
        </is>
      </c>
      <c r="B407" t="inlineStr">
        <is>
          <t>avverkningsanmälan</t>
        </is>
      </c>
      <c r="C407" t="inlineStr">
        <is>
          <t>Föryngringsavverkning</t>
        </is>
      </c>
      <c r="D407" s="1" t="n">
        <v>45194</v>
      </c>
      <c r="E407" s="1" t="n">
        <v>46216</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30880-2026</t>
        </is>
      </c>
      <c r="B408" t="inlineStr">
        <is>
          <t>avverkningsanmälan</t>
        </is>
      </c>
      <c r="C408" t="inlineStr">
        <is>
          <t>Föryngringsavverkning</t>
        </is>
      </c>
      <c r="D408" s="1" t="n">
        <v>46212</v>
      </c>
      <c r="E408" s="1" t="n">
        <v>46216</v>
      </c>
      <c r="F408" t="inlineStr">
        <is>
          <t>DALARNAS LÄN</t>
        </is>
      </c>
      <c r="G408" t="inlineStr">
        <is>
          <t>HEDEMORA</t>
        </is>
      </c>
      <c r="H408" t="inlineStr">
        <is>
          <t>Sveaskog</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48323-2021</t>
        </is>
      </c>
      <c r="B409" t="inlineStr">
        <is>
          <t>avverkningsanmälan</t>
        </is>
      </c>
      <c r="C409" t="inlineStr">
        <is>
          <t>Föryngringsavverkning</t>
        </is>
      </c>
      <c r="D409" s="1" t="n">
        <v>44450</v>
      </c>
      <c r="E409" s="1" t="n">
        <v>46216</v>
      </c>
      <c r="F409" t="inlineStr">
        <is>
          <t>DALARNAS LÄN</t>
        </is>
      </c>
      <c r="G409" t="inlineStr">
        <is>
          <t>HEDEMORA</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40919-2023</t>
        </is>
      </c>
      <c r="B410" t="inlineStr">
        <is>
          <t>avverkningsanmälan</t>
        </is>
      </c>
      <c r="C410" t="inlineStr">
        <is>
          <t>Föryngringsavverkning</t>
        </is>
      </c>
      <c r="D410" s="1" t="n">
        <v>45173</v>
      </c>
      <c r="E410" s="1" t="n">
        <v>46216</v>
      </c>
      <c r="F410" t="inlineStr">
        <is>
          <t>DALARNAS LÄN</t>
        </is>
      </c>
      <c r="G410" t="inlineStr">
        <is>
          <t>HEDEMORA</t>
        </is>
      </c>
      <c r="H410" t="inlineStr">
        <is>
          <t>Bergvik skog väst AB</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20237-2023</t>
        </is>
      </c>
      <c r="B411" t="inlineStr">
        <is>
          <t>avverkningsanmälan</t>
        </is>
      </c>
      <c r="C411" t="inlineStr">
        <is>
          <t>Föryngringsavverkning</t>
        </is>
      </c>
      <c r="D411" s="1" t="n">
        <v>45055</v>
      </c>
      <c r="E411" s="1" t="n">
        <v>46216</v>
      </c>
      <c r="F411" t="inlineStr">
        <is>
          <t>DALARNAS LÄN</t>
        </is>
      </c>
      <c r="G411" t="inlineStr">
        <is>
          <t>HEDEMORA</t>
        </is>
      </c>
      <c r="H411" t="inlineStr">
        <is>
          <t>Bergvik skog väst AB</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68553-2021</t>
        </is>
      </c>
      <c r="B412" t="inlineStr">
        <is>
          <t>avverkningsanmälan</t>
        </is>
      </c>
      <c r="C412" t="inlineStr">
        <is>
          <t>Föryngringsavverkning</t>
        </is>
      </c>
      <c r="D412" s="1" t="n">
        <v>44529</v>
      </c>
      <c r="E412" s="1" t="n">
        <v>46216</v>
      </c>
      <c r="F412" t="inlineStr">
        <is>
          <t>DALARNAS LÄN</t>
        </is>
      </c>
      <c r="G412" t="inlineStr">
        <is>
          <t>HEDEMORA</t>
        </is>
      </c>
      <c r="I412" t="n">
        <v>3</v>
      </c>
      <c r="J412" t="n">
        <v>0</v>
      </c>
      <c r="K412" t="n">
        <v>0</v>
      </c>
      <c r="L412" t="n">
        <v>0</v>
      </c>
      <c r="M412" t="n">
        <v>0</v>
      </c>
      <c r="N412" t="n">
        <v>0</v>
      </c>
      <c r="O412" t="n">
        <v>0</v>
      </c>
      <c r="P412" t="n">
        <v>0</v>
      </c>
      <c r="Q412" t="n">
        <v>0</v>
      </c>
      <c r="R412" t="n">
        <v>0</v>
      </c>
      <c r="S412" t="n">
        <v>0</v>
      </c>
      <c r="T412" t="n">
        <v>0</v>
      </c>
      <c r="U412" s="2" t="inlineStr"/>
    </row>
    <row r="413" ht="15" customHeight="1">
      <c r="A413" t="inlineStr">
        <is>
          <t>A 30939-2023</t>
        </is>
      </c>
      <c r="B413" t="inlineStr">
        <is>
          <t>avverkningsanmälan</t>
        </is>
      </c>
      <c r="C413" t="inlineStr">
        <is>
          <t>Föryngringsavverkning</t>
        </is>
      </c>
      <c r="D413" s="1" t="n">
        <v>45113</v>
      </c>
      <c r="E413" s="1" t="n">
        <v>46216</v>
      </c>
      <c r="F413" t="inlineStr">
        <is>
          <t>DALARNAS LÄN</t>
        </is>
      </c>
      <c r="G413" t="inlineStr">
        <is>
          <t>HEDEMORA</t>
        </is>
      </c>
      <c r="H413" t="inlineStr">
        <is>
          <t>Sveaskog</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30430-2023</t>
        </is>
      </c>
      <c r="B414" t="inlineStr">
        <is>
          <t>avverkningsanmälan</t>
        </is>
      </c>
      <c r="C414" t="inlineStr">
        <is>
          <t>Föryngringsavverkning</t>
        </is>
      </c>
      <c r="D414" s="1" t="n">
        <v>45111</v>
      </c>
      <c r="E414" s="1" t="n">
        <v>46216</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63941-2023</t>
        </is>
      </c>
      <c r="B415" t="inlineStr">
        <is>
          <t>avverkningsanmälan</t>
        </is>
      </c>
      <c r="C415" t="inlineStr">
        <is>
          <t>Föryngringsavverkning</t>
        </is>
      </c>
      <c r="D415" s="1" t="n">
        <v>45278</v>
      </c>
      <c r="E415" s="1" t="n">
        <v>46216</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48380-2024</t>
        </is>
      </c>
      <c r="B416" t="inlineStr">
        <is>
          <t>avverkningsanmälan</t>
        </is>
      </c>
      <c r="C416" t="inlineStr">
        <is>
          <t>Föryngringsavverkning</t>
        </is>
      </c>
      <c r="D416" s="1" t="n">
        <v>45590</v>
      </c>
      <c r="E416" s="1" t="n">
        <v>46216</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43785-2023</t>
        </is>
      </c>
      <c r="B417" t="inlineStr">
        <is>
          <t>avverkningsanmälan</t>
        </is>
      </c>
      <c r="C417" t="inlineStr">
        <is>
          <t>Föryngringsavverkning</t>
        </is>
      </c>
      <c r="D417" s="1" t="n">
        <v>45187</v>
      </c>
      <c r="E417" s="1" t="n">
        <v>46216</v>
      </c>
      <c r="F417" t="inlineStr">
        <is>
          <t>DALARNAS LÄN</t>
        </is>
      </c>
      <c r="G417" t="inlineStr">
        <is>
          <t>HEDEMORA</t>
        </is>
      </c>
      <c r="H417" t="inlineStr">
        <is>
          <t>Sveaskog</t>
        </is>
      </c>
      <c r="I417" t="n">
        <v>5.7</v>
      </c>
      <c r="J417" t="n">
        <v>0</v>
      </c>
      <c r="K417" t="n">
        <v>0</v>
      </c>
      <c r="L417" t="n">
        <v>0</v>
      </c>
      <c r="M417" t="n">
        <v>0</v>
      </c>
      <c r="N417" t="n">
        <v>0</v>
      </c>
      <c r="O417" t="n">
        <v>0</v>
      </c>
      <c r="P417" t="n">
        <v>0</v>
      </c>
      <c r="Q417" t="n">
        <v>0</v>
      </c>
      <c r="R417" t="n">
        <v>0</v>
      </c>
      <c r="S417" t="n">
        <v>0</v>
      </c>
      <c r="T417" t="n">
        <v>0</v>
      </c>
      <c r="U417" s="2" t="inlineStr"/>
    </row>
    <row r="418" ht="15" customHeight="1">
      <c r="A418" t="inlineStr">
        <is>
          <t>A 6210-2024</t>
        </is>
      </c>
      <c r="B418" t="inlineStr">
        <is>
          <t>avverkningsanmälan</t>
        </is>
      </c>
      <c r="C418" t="inlineStr">
        <is>
          <t>Föryngringsavverkning</t>
        </is>
      </c>
      <c r="D418" s="1" t="n">
        <v>45337</v>
      </c>
      <c r="E418" s="1" t="n">
        <v>46216</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51256-2024</t>
        </is>
      </c>
      <c r="B419" t="inlineStr">
        <is>
          <t>avverkningsanmälan</t>
        </is>
      </c>
      <c r="C419" t="inlineStr">
        <is>
          <t>Föryngringsavverkning</t>
        </is>
      </c>
      <c r="D419" s="1" t="n">
        <v>45603</v>
      </c>
      <c r="E419" s="1" t="n">
        <v>46216</v>
      </c>
      <c r="F419" t="inlineStr">
        <is>
          <t>DALARNAS LÄN</t>
        </is>
      </c>
      <c r="G419" t="inlineStr">
        <is>
          <t>HEDEMORA</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25195-2024</t>
        </is>
      </c>
      <c r="B420" t="inlineStr">
        <is>
          <t>avverkningsanmälan</t>
        </is>
      </c>
      <c r="C420" t="inlineStr">
        <is>
          <t>Avverkning för annat ändamål</t>
        </is>
      </c>
      <c r="D420" s="1" t="n">
        <v>45462</v>
      </c>
      <c r="E420" s="1" t="n">
        <v>46216</v>
      </c>
      <c r="F420" t="inlineStr">
        <is>
          <t>DALARNAS LÄN</t>
        </is>
      </c>
      <c r="G420" t="inlineStr">
        <is>
          <t>HEDEMORA</t>
        </is>
      </c>
      <c r="H420" t="inlineStr">
        <is>
          <t>Övriga statliga verk och myndigheter</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S 2070-2020</t>
        </is>
      </c>
      <c r="B421" t="inlineStr">
        <is>
          <t>samrådsanmälan</t>
        </is>
      </c>
      <c r="C421" t="inlineStr">
        <is>
          <t>Askåterföring</t>
        </is>
      </c>
      <c r="D421" s="1" t="n">
        <v>44102</v>
      </c>
      <c r="E421" s="1" t="n">
        <v>46216</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s="2" t="inlineStr"/>
    </row>
    <row r="422" ht="15" customHeight="1">
      <c r="A422" t="inlineStr">
        <is>
          <t>S 435-2025</t>
        </is>
      </c>
      <c r="B422" t="inlineStr">
        <is>
          <t>samrådsanmälan</t>
        </is>
      </c>
      <c r="C422" t="inlineStr">
        <is>
          <t>Skogsgödsling</t>
        </is>
      </c>
      <c r="D422" s="1" t="n">
        <v>45700</v>
      </c>
      <c r="E422" s="1" t="n">
        <v>46216</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s="2" t="inlineStr"/>
    </row>
    <row r="423" ht="15" customHeight="1">
      <c r="A423" t="inlineStr">
        <is>
          <t>S 433-2025</t>
        </is>
      </c>
      <c r="B423" t="inlineStr">
        <is>
          <t>samrådsanmälan</t>
        </is>
      </c>
      <c r="C423" t="inlineStr">
        <is>
          <t>Skogsgödsling</t>
        </is>
      </c>
      <c r="D423" s="1" t="n">
        <v>45700</v>
      </c>
      <c r="E423" s="1" t="n">
        <v>46216</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404-2022</t>
        </is>
      </c>
      <c r="B424" t="inlineStr">
        <is>
          <t>samrådsanmälan</t>
        </is>
      </c>
      <c r="C424" t="inlineStr">
        <is>
          <t>Skogsgödsling</t>
        </is>
      </c>
      <c r="D424" s="1" t="n">
        <v>44585</v>
      </c>
      <c r="E424" s="1" t="n">
        <v>46216</v>
      </c>
      <c r="F424" t="inlineStr">
        <is>
          <t>DALARNAS LÄN</t>
        </is>
      </c>
      <c r="G424" t="inlineStr">
        <is>
          <t>HEDEMORA</t>
        </is>
      </c>
      <c r="H424" t="inlineStr">
        <is>
          <t>Bergvik skog väst AB</t>
        </is>
      </c>
      <c r="I424" t="n">
        <v>23.2</v>
      </c>
      <c r="J424" t="n">
        <v>0</v>
      </c>
      <c r="K424" t="n">
        <v>0</v>
      </c>
      <c r="L424" t="n">
        <v>0</v>
      </c>
      <c r="M424" t="n">
        <v>0</v>
      </c>
      <c r="N424" t="n">
        <v>0</v>
      </c>
      <c r="O424" t="n">
        <v>0</v>
      </c>
      <c r="P424" t="n">
        <v>0</v>
      </c>
      <c r="Q424" t="n">
        <v>0</v>
      </c>
      <c r="R424" t="n">
        <v>0</v>
      </c>
      <c r="S424" t="n">
        <v>0</v>
      </c>
      <c r="T424" t="n">
        <v>0</v>
      </c>
      <c r="U424" s="2" t="inlineStr"/>
    </row>
    <row r="425" ht="15" customHeight="1">
      <c r="A425" t="inlineStr">
        <is>
          <t>S 10365-2021</t>
        </is>
      </c>
      <c r="B425" t="inlineStr">
        <is>
          <t>samrådsanmälan</t>
        </is>
      </c>
      <c r="C425" t="inlineStr">
        <is>
          <t>Skogsgödsling</t>
        </is>
      </c>
      <c r="D425" s="1" t="n">
        <v>44550</v>
      </c>
      <c r="E425" s="1" t="n">
        <v>46216</v>
      </c>
      <c r="F425" t="inlineStr">
        <is>
          <t>DALARNAS LÄN</t>
        </is>
      </c>
      <c r="G425" t="inlineStr">
        <is>
          <t>HEDEMORA</t>
        </is>
      </c>
      <c r="H425" t="inlineStr">
        <is>
          <t>Sveaskog</t>
        </is>
      </c>
      <c r="I425" t="n">
        <v>121</v>
      </c>
      <c r="J425" t="n">
        <v>0</v>
      </c>
      <c r="K425" t="n">
        <v>0</v>
      </c>
      <c r="L425" t="n">
        <v>0</v>
      </c>
      <c r="M425" t="n">
        <v>0</v>
      </c>
      <c r="N425" t="n">
        <v>0</v>
      </c>
      <c r="O425" t="n">
        <v>0</v>
      </c>
      <c r="P425" t="n">
        <v>0</v>
      </c>
      <c r="Q425" t="n">
        <v>0</v>
      </c>
      <c r="R425" t="n">
        <v>0</v>
      </c>
      <c r="S425" t="n">
        <v>0</v>
      </c>
      <c r="T425" t="n">
        <v>0</v>
      </c>
      <c r="U425" s="2" t="inlineStr"/>
    </row>
    <row r="426" ht="15" customHeight="1">
      <c r="A426" t="inlineStr">
        <is>
          <t>S 229-2024</t>
        </is>
      </c>
      <c r="B426" t="inlineStr">
        <is>
          <t>samrådsanmälan</t>
        </is>
      </c>
      <c r="C426" t="inlineStr">
        <is>
          <t>Skogsgödsling</t>
        </is>
      </c>
      <c r="D426" s="1" t="n">
        <v>45317</v>
      </c>
      <c r="E426" s="1" t="n">
        <v>46216</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s="2" t="inlineStr"/>
    </row>
    <row r="427" ht="15" customHeight="1">
      <c r="A427" t="inlineStr">
        <is>
          <t>S 222-2024</t>
        </is>
      </c>
      <c r="B427" t="inlineStr">
        <is>
          <t>samrådsanmälan</t>
        </is>
      </c>
      <c r="C427" t="inlineStr">
        <is>
          <t>Skogsgödsling</t>
        </is>
      </c>
      <c r="D427" s="1" t="n">
        <v>45316</v>
      </c>
      <c r="E427" s="1" t="n">
        <v>46216</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s="2" t="inlineStr"/>
    </row>
    <row r="428" ht="15" customHeight="1">
      <c r="A428" t="inlineStr">
        <is>
          <t>S 2034-2022</t>
        </is>
      </c>
      <c r="B428" t="inlineStr">
        <is>
          <t>samrådsanmälan</t>
        </is>
      </c>
      <c r="C428" t="inlineStr">
        <is>
          <t>Skogsbilväg</t>
        </is>
      </c>
      <c r="D428" s="1" t="n">
        <v>44671</v>
      </c>
      <c r="E428" s="1" t="n">
        <v>46216</v>
      </c>
      <c r="F428" t="inlineStr">
        <is>
          <t>DALARNAS LÄN</t>
        </is>
      </c>
      <c r="G428" t="inlineStr">
        <is>
          <t>HEDEMORA</t>
        </is>
      </c>
      <c r="H428" t="inlineStr">
        <is>
          <t>Kommuner</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S 708-2025</t>
        </is>
      </c>
      <c r="B429" t="inlineStr">
        <is>
          <t>samrådsanmälan</t>
        </is>
      </c>
      <c r="C429" t="inlineStr">
        <is>
          <t>Skogsgödsling</t>
        </is>
      </c>
      <c r="D429" s="1" t="n">
        <v>45720</v>
      </c>
      <c r="E429" s="1" t="n">
        <v>46216</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S 503-2025</t>
        </is>
      </c>
      <c r="B430" t="inlineStr">
        <is>
          <t>samrådsanmälan</t>
        </is>
      </c>
      <c r="C430" t="inlineStr">
        <is>
          <t>Askåterföring</t>
        </is>
      </c>
      <c r="D430" s="1" t="n">
        <v>45706</v>
      </c>
      <c r="E430" s="1" t="n">
        <v>46216</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s="2" t="inlineStr"/>
    </row>
    <row r="431" ht="15" customHeight="1">
      <c r="A431" t="inlineStr">
        <is>
          <t>S 2513-2025</t>
        </is>
      </c>
      <c r="B431" t="inlineStr">
        <is>
          <t>samrådsanmälan</t>
        </is>
      </c>
      <c r="C431" t="inlineStr">
        <is>
          <t>Annan skogsbruksåtgärd</t>
        </is>
      </c>
      <c r="D431" s="1" t="n">
        <v>45906</v>
      </c>
      <c r="E431" s="1" t="n">
        <v>46216</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S 3319-2025</t>
        </is>
      </c>
      <c r="B432" t="inlineStr">
        <is>
          <t>samrådsanmälan</t>
        </is>
      </c>
      <c r="C432" t="inlineStr">
        <is>
          <t>Annan skogsbruksåtgärd</t>
        </is>
      </c>
      <c r="D432" s="1" t="n">
        <v>45989</v>
      </c>
      <c r="E432" s="1" t="n">
        <v>46216</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S 3401-2025</t>
        </is>
      </c>
      <c r="B433" t="inlineStr">
        <is>
          <t>samrådsanmälan</t>
        </is>
      </c>
      <c r="C433" t="inlineStr">
        <is>
          <t>Annan skogsbruksåtgärd</t>
        </is>
      </c>
      <c r="D433" s="1" t="n">
        <v>45995</v>
      </c>
      <c r="E433" s="1" t="n">
        <v>46216</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S 410-2026</t>
        </is>
      </c>
      <c r="B434" t="inlineStr">
        <is>
          <t>samrådsanmälan</t>
        </is>
      </c>
      <c r="C434" t="inlineStr">
        <is>
          <t>Skogsgödsling</t>
        </is>
      </c>
      <c r="D434" s="1" t="n">
        <v>46070</v>
      </c>
      <c r="E434" s="1" t="n">
        <v>46216</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s="2" t="inlineStr"/>
    </row>
    <row r="435" ht="15" customHeight="1">
      <c r="A435" t="inlineStr">
        <is>
          <t>S 432-2025</t>
        </is>
      </c>
      <c r="B435" t="inlineStr">
        <is>
          <t>samrådsanmälan</t>
        </is>
      </c>
      <c r="C435" t="inlineStr">
        <is>
          <t>Skogsgödsling</t>
        </is>
      </c>
      <c r="D435" s="1" t="n">
        <v>45700</v>
      </c>
      <c r="E435" s="1" t="n">
        <v>46216</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s="2" t="inlineStr"/>
    </row>
    <row r="436" ht="15" customHeight="1">
      <c r="A436" t="inlineStr">
        <is>
          <t>S 1271-2026</t>
        </is>
      </c>
      <c r="B436" t="inlineStr">
        <is>
          <t>samrådsanmälan</t>
        </is>
      </c>
      <c r="C436" t="inlineStr">
        <is>
          <t>Askåterföring</t>
        </is>
      </c>
      <c r="D436" s="1" t="n">
        <v>46142</v>
      </c>
      <c r="E436" s="1" t="n">
        <v>46216</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S 1039-2026</t>
        </is>
      </c>
      <c r="B437" t="inlineStr">
        <is>
          <t>samrådsanmälan</t>
        </is>
      </c>
      <c r="C437" t="inlineStr">
        <is>
          <t>Askåterföring</t>
        </is>
      </c>
      <c r="D437" s="1" t="n">
        <v>46125</v>
      </c>
      <c r="E437" s="1" t="n">
        <v>46216</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s="2" t="inlineStr"/>
    </row>
    <row r="438">
      <c r="A438" t="inlineStr">
        <is>
          <t>S 3125-2025</t>
        </is>
      </c>
      <c r="B438" t="inlineStr">
        <is>
          <t>samrådsanmälan</t>
        </is>
      </c>
      <c r="C438" t="inlineStr">
        <is>
          <t>Annan skogsbruksåtgärd</t>
        </is>
      </c>
      <c r="D438" s="1" t="n">
        <v>45971</v>
      </c>
      <c r="E438" s="1" t="n">
        <v>46216</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2026-07-13T14:53:11Z</dcterms:created>
  <dcterms:modified xmlns:dcterms="http://purl.org/dc/terms/" xmlns:xsi="http://www.w3.org/2001/XMLSchema-instance" xsi:type="dcterms:W3CDTF">2026-07-13T14:53:11Z</dcterms:modified>
</cp:coreProperties>
</file>