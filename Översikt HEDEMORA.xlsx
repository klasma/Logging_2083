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45886</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45886</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45886</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45886</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45886</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45886</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45886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45886</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45886</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45886</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45886</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45886</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45886</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45886</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57643-2022</t>
        </is>
      </c>
      <c r="B18" s="1" t="n">
        <v>44897</v>
      </c>
      <c r="C18" s="1" t="n">
        <v>45886</v>
      </c>
      <c r="D18" t="inlineStr">
        <is>
          <t>DALARNAS LÄN</t>
        </is>
      </c>
      <c r="E18" t="inlineStr">
        <is>
          <t>HEDEMORA</t>
        </is>
      </c>
      <c r="G18" t="n">
        <v>8</v>
      </c>
      <c r="H18" t="n">
        <v>3</v>
      </c>
      <c r="I18" t="n">
        <v>1</v>
      </c>
      <c r="J18" t="n">
        <v>1</v>
      </c>
      <c r="K18" t="n">
        <v>1</v>
      </c>
      <c r="L18" t="n">
        <v>0</v>
      </c>
      <c r="M18" t="n">
        <v>0</v>
      </c>
      <c r="N18" t="n">
        <v>0</v>
      </c>
      <c r="O18" t="n">
        <v>2</v>
      </c>
      <c r="P18" t="n">
        <v>1</v>
      </c>
      <c r="Q18" t="n">
        <v>4</v>
      </c>
      <c r="R18" s="2" t="inlineStr">
        <is>
          <t>Knärot
Spillkråka
Bronshjon
Fläcknycklar</t>
        </is>
      </c>
      <c r="S18">
        <f>HYPERLINK("https://klasma.github.io/Logging_2083/artfynd/A 57643-2022 artfynd.xlsx", "A 57643-2022")</f>
        <v/>
      </c>
      <c r="T18">
        <f>HYPERLINK("https://klasma.github.io/Logging_2083/kartor/A 57643-2022 karta.png", "A 57643-2022")</f>
        <v/>
      </c>
      <c r="U18">
        <f>HYPERLINK("https://klasma.github.io/Logging_2083/knärot/A 57643-2022 karta knärot.png", "A 57643-2022")</f>
        <v/>
      </c>
      <c r="V18">
        <f>HYPERLINK("https://klasma.github.io/Logging_2083/klagomål/A 57643-2022 FSC-klagomål.docx", "A 57643-2022")</f>
        <v/>
      </c>
      <c r="W18">
        <f>HYPERLINK("https://klasma.github.io/Logging_2083/klagomålsmail/A 57643-2022 FSC-klagomål mail.docx", "A 57643-2022")</f>
        <v/>
      </c>
      <c r="X18">
        <f>HYPERLINK("https://klasma.github.io/Logging_2083/tillsyn/A 57643-2022 tillsynsbegäran.docx", "A 57643-2022")</f>
        <v/>
      </c>
      <c r="Y18">
        <f>HYPERLINK("https://klasma.github.io/Logging_2083/tillsynsmail/A 57643-2022 tillsynsbegäran mail.docx", "A 57643-2022")</f>
        <v/>
      </c>
      <c r="Z18">
        <f>HYPERLINK("https://klasma.github.io/Logging_2083/fåglar/A 57643-2022 prioriterade fågelarter.docx", "A 57643-2022")</f>
        <v/>
      </c>
    </row>
    <row r="19" ht="15" customHeight="1">
      <c r="A19" t="inlineStr">
        <is>
          <t>A 59137-2024</t>
        </is>
      </c>
      <c r="B19" s="1" t="n">
        <v>45637.43146990741</v>
      </c>
      <c r="C19" s="1" t="n">
        <v>45886</v>
      </c>
      <c r="D19" t="inlineStr">
        <is>
          <t>DALARNAS LÄN</t>
        </is>
      </c>
      <c r="E19" t="inlineStr">
        <is>
          <t>HEDEMORA</t>
        </is>
      </c>
      <c r="G19" t="n">
        <v>8</v>
      </c>
      <c r="H19" t="n">
        <v>1</v>
      </c>
      <c r="I19" t="n">
        <v>0</v>
      </c>
      <c r="J19" t="n">
        <v>2</v>
      </c>
      <c r="K19" t="n">
        <v>1</v>
      </c>
      <c r="L19" t="n">
        <v>0</v>
      </c>
      <c r="M19" t="n">
        <v>0</v>
      </c>
      <c r="N19" t="n">
        <v>0</v>
      </c>
      <c r="O19" t="n">
        <v>3</v>
      </c>
      <c r="P19" t="n">
        <v>1</v>
      </c>
      <c r="Q19" t="n">
        <v>4</v>
      </c>
      <c r="R19" s="2" t="inlineStr">
        <is>
          <t>Ringlav
Garnlav
Ullticka
Tjäder</t>
        </is>
      </c>
      <c r="S19">
        <f>HYPERLINK("https://klasma.github.io/Logging_2083/artfynd/A 59137-2024 artfynd.xlsx", "A 59137-2024")</f>
        <v/>
      </c>
      <c r="T19">
        <f>HYPERLINK("https://klasma.github.io/Logging_2083/kartor/A 59137-2024 karta.png", "A 59137-2024")</f>
        <v/>
      </c>
      <c r="V19">
        <f>HYPERLINK("https://klasma.github.io/Logging_2083/klagomål/A 59137-2024 FSC-klagomål.docx", "A 59137-2024")</f>
        <v/>
      </c>
      <c r="W19">
        <f>HYPERLINK("https://klasma.github.io/Logging_2083/klagomålsmail/A 59137-2024 FSC-klagomål mail.docx", "A 59137-2024")</f>
        <v/>
      </c>
      <c r="X19">
        <f>HYPERLINK("https://klasma.github.io/Logging_2083/tillsyn/A 59137-2024 tillsynsbegäran.docx", "A 59137-2024")</f>
        <v/>
      </c>
      <c r="Y19">
        <f>HYPERLINK("https://klasma.github.io/Logging_2083/tillsynsmail/A 59137-2024 tillsynsbegäran mail.docx", "A 59137-2024")</f>
        <v/>
      </c>
      <c r="Z19">
        <f>HYPERLINK("https://klasma.github.io/Logging_2083/fåglar/A 59137-2024 prioriterade fågelarter.docx", "A 59137-2024")</f>
        <v/>
      </c>
    </row>
    <row r="20" ht="15" customHeight="1">
      <c r="A20" t="inlineStr">
        <is>
          <t>A 49872-2021</t>
        </is>
      </c>
      <c r="B20" s="1" t="n">
        <v>44455</v>
      </c>
      <c r="C20" s="1" t="n">
        <v>45886</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992-2024</t>
        </is>
      </c>
      <c r="B21" s="1" t="n">
        <v>45301</v>
      </c>
      <c r="C21" s="1" t="n">
        <v>45886</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45886</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45886</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45886</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45886</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45886</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4031-2022</t>
        </is>
      </c>
      <c r="B27" s="1" t="n">
        <v>44588</v>
      </c>
      <c r="C27" s="1" t="n">
        <v>45886</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56625-2024</t>
        </is>
      </c>
      <c r="B28" s="1" t="n">
        <v>45625</v>
      </c>
      <c r="C28" s="1" t="n">
        <v>45886</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54849-2022</t>
        </is>
      </c>
      <c r="B29" s="1" t="n">
        <v>44883</v>
      </c>
      <c r="C29" s="1" t="n">
        <v>45886</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45886</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45886</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451-2025</t>
        </is>
      </c>
      <c r="B32" s="1" t="n">
        <v>45664.39991898148</v>
      </c>
      <c r="C32" s="1" t="n">
        <v>45886</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45884-2021</t>
        </is>
      </c>
      <c r="B33" s="1" t="n">
        <v>44441</v>
      </c>
      <c r="C33" s="1" t="n">
        <v>45886</v>
      </c>
      <c r="D33" t="inlineStr">
        <is>
          <t>DALARNAS LÄN</t>
        </is>
      </c>
      <c r="E33" t="inlineStr">
        <is>
          <t>HEDEMORA</t>
        </is>
      </c>
      <c r="G33" t="n">
        <v>0.9</v>
      </c>
      <c r="H33" t="n">
        <v>1</v>
      </c>
      <c r="I33" t="n">
        <v>1</v>
      </c>
      <c r="J33" t="n">
        <v>0</v>
      </c>
      <c r="K33" t="n">
        <v>1</v>
      </c>
      <c r="L33" t="n">
        <v>0</v>
      </c>
      <c r="M33" t="n">
        <v>0</v>
      </c>
      <c r="N33" t="n">
        <v>0</v>
      </c>
      <c r="O33" t="n">
        <v>1</v>
      </c>
      <c r="P33" t="n">
        <v>1</v>
      </c>
      <c r="Q33" t="n">
        <v>2</v>
      </c>
      <c r="R33" s="2" t="inlineStr">
        <is>
          <t>Knärot
Bollvitmossa</t>
        </is>
      </c>
      <c r="S33">
        <f>HYPERLINK("https://klasma.github.io/Logging_2083/artfynd/A 45884-2021 artfynd.xlsx", "A 45884-2021")</f>
        <v/>
      </c>
      <c r="T33">
        <f>HYPERLINK("https://klasma.github.io/Logging_2083/kartor/A 45884-2021 karta.png", "A 45884-2021")</f>
        <v/>
      </c>
      <c r="U33">
        <f>HYPERLINK("https://klasma.github.io/Logging_2083/knärot/A 45884-2021 karta knärot.png", "A 45884-2021")</f>
        <v/>
      </c>
      <c r="V33">
        <f>HYPERLINK("https://klasma.github.io/Logging_2083/klagomål/A 45884-2021 FSC-klagomål.docx", "A 45884-2021")</f>
        <v/>
      </c>
      <c r="W33">
        <f>HYPERLINK("https://klasma.github.io/Logging_2083/klagomålsmail/A 45884-2021 FSC-klagomål mail.docx", "A 45884-2021")</f>
        <v/>
      </c>
      <c r="X33">
        <f>HYPERLINK("https://klasma.github.io/Logging_2083/tillsyn/A 45884-2021 tillsynsbegäran.docx", "A 45884-2021")</f>
        <v/>
      </c>
      <c r="Y33">
        <f>HYPERLINK("https://klasma.github.io/Logging_2083/tillsynsmail/A 45884-2021 tillsynsbegäran mail.docx", "A 45884-2021")</f>
        <v/>
      </c>
    </row>
    <row r="34" ht="15" customHeight="1">
      <c r="A34" t="inlineStr">
        <is>
          <t>A 1518-2025</t>
        </is>
      </c>
      <c r="B34" s="1" t="n">
        <v>45670</v>
      </c>
      <c r="C34" s="1" t="n">
        <v>45886</v>
      </c>
      <c r="D34" t="inlineStr">
        <is>
          <t>DALARNAS LÄN</t>
        </is>
      </c>
      <c r="E34" t="inlineStr">
        <is>
          <t>HEDEMORA</t>
        </is>
      </c>
      <c r="G34" t="n">
        <v>3.8</v>
      </c>
      <c r="H34" t="n">
        <v>1</v>
      </c>
      <c r="I34" t="n">
        <v>0</v>
      </c>
      <c r="J34" t="n">
        <v>1</v>
      </c>
      <c r="K34" t="n">
        <v>1</v>
      </c>
      <c r="L34" t="n">
        <v>0</v>
      </c>
      <c r="M34" t="n">
        <v>0</v>
      </c>
      <c r="N34" t="n">
        <v>0</v>
      </c>
      <c r="O34" t="n">
        <v>2</v>
      </c>
      <c r="P34" t="n">
        <v>1</v>
      </c>
      <c r="Q34" t="n">
        <v>2</v>
      </c>
      <c r="R34" s="2" t="inlineStr">
        <is>
          <t>Knärot
Ullticka</t>
        </is>
      </c>
      <c r="S34">
        <f>HYPERLINK("https://klasma.github.io/Logging_2083/artfynd/A 1518-2025 artfynd.xlsx", "A 1518-2025")</f>
        <v/>
      </c>
      <c r="T34">
        <f>HYPERLINK("https://klasma.github.io/Logging_2083/kartor/A 1518-2025 karta.png", "A 1518-2025")</f>
        <v/>
      </c>
      <c r="U34">
        <f>HYPERLINK("https://klasma.github.io/Logging_2083/knärot/A 1518-2025 karta knärot.png", "A 1518-2025")</f>
        <v/>
      </c>
      <c r="V34">
        <f>HYPERLINK("https://klasma.github.io/Logging_2083/klagomål/A 1518-2025 FSC-klagomål.docx", "A 1518-2025")</f>
        <v/>
      </c>
      <c r="W34">
        <f>HYPERLINK("https://klasma.github.io/Logging_2083/klagomålsmail/A 1518-2025 FSC-klagomål mail.docx", "A 1518-2025")</f>
        <v/>
      </c>
      <c r="X34">
        <f>HYPERLINK("https://klasma.github.io/Logging_2083/tillsyn/A 1518-2025 tillsynsbegäran.docx", "A 1518-2025")</f>
        <v/>
      </c>
      <c r="Y34">
        <f>HYPERLINK("https://klasma.github.io/Logging_2083/tillsynsmail/A 1518-2025 tillsynsbegäran mail.docx", "A 1518-2025")</f>
        <v/>
      </c>
    </row>
    <row r="35" ht="15" customHeight="1">
      <c r="A35" t="inlineStr">
        <is>
          <t>A 59035-2023</t>
        </is>
      </c>
      <c r="B35" s="1" t="n">
        <v>45252</v>
      </c>
      <c r="C35" s="1" t="n">
        <v>45886</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53915-2022</t>
        </is>
      </c>
      <c r="B36" s="1" t="n">
        <v>44880.87587962963</v>
      </c>
      <c r="C36" s="1" t="n">
        <v>45886</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45886</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45886</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45886</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23815-2023</t>
        </is>
      </c>
      <c r="B40" s="1" t="n">
        <v>45078</v>
      </c>
      <c r="C40" s="1" t="n">
        <v>45886</v>
      </c>
      <c r="D40" t="inlineStr">
        <is>
          <t>DALARNAS LÄN</t>
        </is>
      </c>
      <c r="E40" t="inlineStr">
        <is>
          <t>HEDEMORA</t>
        </is>
      </c>
      <c r="G40" t="n">
        <v>3.1</v>
      </c>
      <c r="H40" t="n">
        <v>1</v>
      </c>
      <c r="I40" t="n">
        <v>0</v>
      </c>
      <c r="J40" t="n">
        <v>0</v>
      </c>
      <c r="K40" t="n">
        <v>1</v>
      </c>
      <c r="L40" t="n">
        <v>0</v>
      </c>
      <c r="M40" t="n">
        <v>0</v>
      </c>
      <c r="N40" t="n">
        <v>0</v>
      </c>
      <c r="O40" t="n">
        <v>1</v>
      </c>
      <c r="P40" t="n">
        <v>1</v>
      </c>
      <c r="Q40" t="n">
        <v>1</v>
      </c>
      <c r="R40" s="2" t="inlineStr">
        <is>
          <t>Knärot</t>
        </is>
      </c>
      <c r="S40">
        <f>HYPERLINK("https://klasma.github.io/Logging_2083/artfynd/A 23815-2023 artfynd.xlsx", "A 23815-2023")</f>
        <v/>
      </c>
      <c r="T40">
        <f>HYPERLINK("https://klasma.github.io/Logging_2083/kartor/A 23815-2023 karta.png", "A 23815-2023")</f>
        <v/>
      </c>
      <c r="U40">
        <f>HYPERLINK("https://klasma.github.io/Logging_2083/knärot/A 23815-2023 karta knärot.png", "A 23815-2023")</f>
        <v/>
      </c>
      <c r="V40">
        <f>HYPERLINK("https://klasma.github.io/Logging_2083/klagomål/A 23815-2023 FSC-klagomål.docx", "A 23815-2023")</f>
        <v/>
      </c>
      <c r="W40">
        <f>HYPERLINK("https://klasma.github.io/Logging_2083/klagomålsmail/A 23815-2023 FSC-klagomål mail.docx", "A 23815-2023")</f>
        <v/>
      </c>
      <c r="X40">
        <f>HYPERLINK("https://klasma.github.io/Logging_2083/tillsyn/A 23815-2023 tillsynsbegäran.docx", "A 23815-2023")</f>
        <v/>
      </c>
      <c r="Y40">
        <f>HYPERLINK("https://klasma.github.io/Logging_2083/tillsynsmail/A 23815-2023 tillsynsbegäran mail.docx", "A 23815-2023")</f>
        <v/>
      </c>
    </row>
    <row r="41" ht="15" customHeight="1">
      <c r="A41" t="inlineStr">
        <is>
          <t>A 60017-2024</t>
        </is>
      </c>
      <c r="B41" s="1" t="n">
        <v>45642</v>
      </c>
      <c r="C41" s="1" t="n">
        <v>45886</v>
      </c>
      <c r="D41" t="inlineStr">
        <is>
          <t>DALARNAS LÄN</t>
        </is>
      </c>
      <c r="E41" t="inlineStr">
        <is>
          <t>HEDEMORA</t>
        </is>
      </c>
      <c r="F41" t="inlineStr">
        <is>
          <t>Sveaskog</t>
        </is>
      </c>
      <c r="G41" t="n">
        <v>0.5</v>
      </c>
      <c r="H41" t="n">
        <v>1</v>
      </c>
      <c r="I41" t="n">
        <v>0</v>
      </c>
      <c r="J41" t="n">
        <v>0</v>
      </c>
      <c r="K41" t="n">
        <v>1</v>
      </c>
      <c r="L41" t="n">
        <v>0</v>
      </c>
      <c r="M41" t="n">
        <v>0</v>
      </c>
      <c r="N41" t="n">
        <v>0</v>
      </c>
      <c r="O41" t="n">
        <v>1</v>
      </c>
      <c r="P41" t="n">
        <v>1</v>
      </c>
      <c r="Q41" t="n">
        <v>1</v>
      </c>
      <c r="R41" s="2" t="inlineStr">
        <is>
          <t>Knärot</t>
        </is>
      </c>
      <c r="S41">
        <f>HYPERLINK("https://klasma.github.io/Logging_2083/artfynd/A 60017-2024 artfynd.xlsx", "A 60017-2024")</f>
        <v/>
      </c>
      <c r="T41">
        <f>HYPERLINK("https://klasma.github.io/Logging_2083/kartor/A 60017-2024 karta.png", "A 60017-2024")</f>
        <v/>
      </c>
      <c r="U41">
        <f>HYPERLINK("https://klasma.github.io/Logging_2083/knärot/A 60017-2024 karta knärot.png", "A 60017-2024")</f>
        <v/>
      </c>
      <c r="V41">
        <f>HYPERLINK("https://klasma.github.io/Logging_2083/klagomål/A 60017-2024 FSC-klagomål.docx", "A 60017-2024")</f>
        <v/>
      </c>
      <c r="W41">
        <f>HYPERLINK("https://klasma.github.io/Logging_2083/klagomålsmail/A 60017-2024 FSC-klagomål mail.docx", "A 60017-2024")</f>
        <v/>
      </c>
      <c r="X41">
        <f>HYPERLINK("https://klasma.github.io/Logging_2083/tillsyn/A 60017-2024 tillsynsbegäran.docx", "A 60017-2024")</f>
        <v/>
      </c>
      <c r="Y41">
        <f>HYPERLINK("https://klasma.github.io/Logging_2083/tillsynsmail/A 60017-2024 tillsynsbegäran mail.docx", "A 60017-2024")</f>
        <v/>
      </c>
    </row>
    <row r="42" ht="15" customHeight="1">
      <c r="A42" t="inlineStr">
        <is>
          <t>A 12905-2025</t>
        </is>
      </c>
      <c r="B42" s="1" t="n">
        <v>45733</v>
      </c>
      <c r="C42" s="1" t="n">
        <v>45886</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12905-2025 artfynd.xlsx", "A 12905-2025")</f>
        <v/>
      </c>
      <c r="T42">
        <f>HYPERLINK("https://klasma.github.io/Logging_2083/kartor/A 12905-2025 karta.png", "A 12905-2025")</f>
        <v/>
      </c>
      <c r="U42">
        <f>HYPERLINK("https://klasma.github.io/Logging_2083/knärot/A 12905-2025 karta knärot.png", "A 12905-2025")</f>
        <v/>
      </c>
      <c r="V42">
        <f>HYPERLINK("https://klasma.github.io/Logging_2083/klagomål/A 12905-2025 FSC-klagomål.docx", "A 12905-2025")</f>
        <v/>
      </c>
      <c r="W42">
        <f>HYPERLINK("https://klasma.github.io/Logging_2083/klagomålsmail/A 12905-2025 FSC-klagomål mail.docx", "A 12905-2025")</f>
        <v/>
      </c>
      <c r="X42">
        <f>HYPERLINK("https://klasma.github.io/Logging_2083/tillsyn/A 12905-2025 tillsynsbegäran.docx", "A 12905-2025")</f>
        <v/>
      </c>
      <c r="Y42">
        <f>HYPERLINK("https://klasma.github.io/Logging_2083/tillsynsmail/A 12905-2025 tillsynsbegäran mail.docx", "A 12905-2025")</f>
        <v/>
      </c>
    </row>
    <row r="43" ht="15" customHeight="1">
      <c r="A43" t="inlineStr">
        <is>
          <t>A 63542-2023</t>
        </is>
      </c>
      <c r="B43" s="1" t="n">
        <v>45275.32708333333</v>
      </c>
      <c r="C43" s="1" t="n">
        <v>45886</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28181-2025</t>
        </is>
      </c>
      <c r="B44" s="1" t="n">
        <v>45818.39921296296</v>
      </c>
      <c r="C44" s="1" t="n">
        <v>45886</v>
      </c>
      <c r="D44" t="inlineStr">
        <is>
          <t>DALARNAS LÄN</t>
        </is>
      </c>
      <c r="E44" t="inlineStr">
        <is>
          <t>HEDEMORA</t>
        </is>
      </c>
      <c r="F44" t="inlineStr">
        <is>
          <t>Sveaskog</t>
        </is>
      </c>
      <c r="G44" t="n">
        <v>2.4</v>
      </c>
      <c r="H44" t="n">
        <v>1</v>
      </c>
      <c r="I44" t="n">
        <v>1</v>
      </c>
      <c r="J44" t="n">
        <v>0</v>
      </c>
      <c r="K44" t="n">
        <v>0</v>
      </c>
      <c r="L44" t="n">
        <v>0</v>
      </c>
      <c r="M44" t="n">
        <v>0</v>
      </c>
      <c r="N44" t="n">
        <v>0</v>
      </c>
      <c r="O44" t="n">
        <v>0</v>
      </c>
      <c r="P44" t="n">
        <v>0</v>
      </c>
      <c r="Q44" t="n">
        <v>1</v>
      </c>
      <c r="R44" s="2" t="inlineStr">
        <is>
          <t>Plattlummer</t>
        </is>
      </c>
      <c r="S44">
        <f>HYPERLINK("https://klasma.github.io/Logging_2083/artfynd/A 28181-2025 artfynd.xlsx", "A 28181-2025")</f>
        <v/>
      </c>
      <c r="T44">
        <f>HYPERLINK("https://klasma.github.io/Logging_2083/kartor/A 28181-2025 karta.png", "A 28181-2025")</f>
        <v/>
      </c>
      <c r="V44">
        <f>HYPERLINK("https://klasma.github.io/Logging_2083/klagomål/A 28181-2025 FSC-klagomål.docx", "A 28181-2025")</f>
        <v/>
      </c>
      <c r="W44">
        <f>HYPERLINK("https://klasma.github.io/Logging_2083/klagomålsmail/A 28181-2025 FSC-klagomål mail.docx", "A 28181-2025")</f>
        <v/>
      </c>
      <c r="X44">
        <f>HYPERLINK("https://klasma.github.io/Logging_2083/tillsyn/A 28181-2025 tillsynsbegäran.docx", "A 28181-2025")</f>
        <v/>
      </c>
      <c r="Y44">
        <f>HYPERLINK("https://klasma.github.io/Logging_2083/tillsynsmail/A 28181-2025 tillsynsbegäran mail.docx", "A 28181-2025")</f>
        <v/>
      </c>
    </row>
    <row r="45" ht="15" customHeight="1">
      <c r="A45" t="inlineStr">
        <is>
          <t>A 19094-2025</t>
        </is>
      </c>
      <c r="B45" s="1" t="n">
        <v>45767.54942129629</v>
      </c>
      <c r="C45" s="1" t="n">
        <v>45886</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15036-2025</t>
        </is>
      </c>
      <c r="B46" s="1" t="n">
        <v>45743.68125</v>
      </c>
      <c r="C46" s="1" t="n">
        <v>45886</v>
      </c>
      <c r="D46" t="inlineStr">
        <is>
          <t>DALARNAS LÄN</t>
        </is>
      </c>
      <c r="E46" t="inlineStr">
        <is>
          <t>HEDEMORA</t>
        </is>
      </c>
      <c r="F46" t="inlineStr">
        <is>
          <t>Sveaskog</t>
        </is>
      </c>
      <c r="G46" t="n">
        <v>20.4</v>
      </c>
      <c r="H46" t="n">
        <v>0</v>
      </c>
      <c r="I46" t="n">
        <v>0</v>
      </c>
      <c r="J46" t="n">
        <v>1</v>
      </c>
      <c r="K46" t="n">
        <v>0</v>
      </c>
      <c r="L46" t="n">
        <v>0</v>
      </c>
      <c r="M46" t="n">
        <v>0</v>
      </c>
      <c r="N46" t="n">
        <v>0</v>
      </c>
      <c r="O46" t="n">
        <v>1</v>
      </c>
      <c r="P46" t="n">
        <v>0</v>
      </c>
      <c r="Q46" t="n">
        <v>1</v>
      </c>
      <c r="R46" s="2" t="inlineStr">
        <is>
          <t>Kolflarnlav</t>
        </is>
      </c>
      <c r="S46">
        <f>HYPERLINK("https://klasma.github.io/Logging_2083/artfynd/A 15036-2025 artfynd.xlsx", "A 15036-2025")</f>
        <v/>
      </c>
      <c r="T46">
        <f>HYPERLINK("https://klasma.github.io/Logging_2083/kartor/A 15036-2025 karta.png", "A 15036-2025")</f>
        <v/>
      </c>
      <c r="V46">
        <f>HYPERLINK("https://klasma.github.io/Logging_2083/klagomål/A 15036-2025 FSC-klagomål.docx", "A 15036-2025")</f>
        <v/>
      </c>
      <c r="W46">
        <f>HYPERLINK("https://klasma.github.io/Logging_2083/klagomålsmail/A 15036-2025 FSC-klagomål mail.docx", "A 15036-2025")</f>
        <v/>
      </c>
      <c r="X46">
        <f>HYPERLINK("https://klasma.github.io/Logging_2083/tillsyn/A 15036-2025 tillsynsbegäran.docx", "A 15036-2025")</f>
        <v/>
      </c>
      <c r="Y46">
        <f>HYPERLINK("https://klasma.github.io/Logging_2083/tillsynsmail/A 15036-2025 tillsynsbegäran mail.docx", "A 15036-2025")</f>
        <v/>
      </c>
    </row>
    <row r="47" ht="15" customHeight="1">
      <c r="A47" t="inlineStr">
        <is>
          <t>A 53924-2024</t>
        </is>
      </c>
      <c r="B47" s="1" t="n">
        <v>45615</v>
      </c>
      <c r="C47" s="1" t="n">
        <v>45886</v>
      </c>
      <c r="D47" t="inlineStr">
        <is>
          <t>DALARNAS LÄN</t>
        </is>
      </c>
      <c r="E47" t="inlineStr">
        <is>
          <t>HEDEMORA</t>
        </is>
      </c>
      <c r="F47" t="inlineStr">
        <is>
          <t>Sveaskog</t>
        </is>
      </c>
      <c r="G47" t="n">
        <v>3.8</v>
      </c>
      <c r="H47" t="n">
        <v>1</v>
      </c>
      <c r="I47" t="n">
        <v>1</v>
      </c>
      <c r="J47" t="n">
        <v>0</v>
      </c>
      <c r="K47" t="n">
        <v>0</v>
      </c>
      <c r="L47" t="n">
        <v>0</v>
      </c>
      <c r="M47" t="n">
        <v>0</v>
      </c>
      <c r="N47" t="n">
        <v>0</v>
      </c>
      <c r="O47" t="n">
        <v>0</v>
      </c>
      <c r="P47" t="n">
        <v>0</v>
      </c>
      <c r="Q47" t="n">
        <v>1</v>
      </c>
      <c r="R47" s="2" t="inlineStr">
        <is>
          <t>Plattlummer</t>
        </is>
      </c>
      <c r="S47">
        <f>HYPERLINK("https://klasma.github.io/Logging_2083/artfynd/A 53924-2024 artfynd.xlsx", "A 53924-2024")</f>
        <v/>
      </c>
      <c r="T47">
        <f>HYPERLINK("https://klasma.github.io/Logging_2083/kartor/A 53924-2024 karta.png", "A 53924-2024")</f>
        <v/>
      </c>
      <c r="V47">
        <f>HYPERLINK("https://klasma.github.io/Logging_2083/klagomål/A 53924-2024 FSC-klagomål.docx", "A 53924-2024")</f>
        <v/>
      </c>
      <c r="W47">
        <f>HYPERLINK("https://klasma.github.io/Logging_2083/klagomålsmail/A 53924-2024 FSC-klagomål mail.docx", "A 53924-2024")</f>
        <v/>
      </c>
      <c r="X47">
        <f>HYPERLINK("https://klasma.github.io/Logging_2083/tillsyn/A 53924-2024 tillsynsbegäran.docx", "A 53924-2024")</f>
        <v/>
      </c>
      <c r="Y47">
        <f>HYPERLINK("https://klasma.github.io/Logging_2083/tillsynsmail/A 53924-2024 tillsynsbegäran mail.docx", "A 53924-2024")</f>
        <v/>
      </c>
    </row>
    <row r="48" ht="15" customHeight="1">
      <c r="A48" t="inlineStr">
        <is>
          <t>A 33968-2025</t>
        </is>
      </c>
      <c r="B48" s="1" t="n">
        <v>45842</v>
      </c>
      <c r="C48" s="1" t="n">
        <v>45886</v>
      </c>
      <c r="D48" t="inlineStr">
        <is>
          <t>DALARNAS LÄN</t>
        </is>
      </c>
      <c r="E48" t="inlineStr">
        <is>
          <t>HEDEMORA</t>
        </is>
      </c>
      <c r="F48" t="inlineStr">
        <is>
          <t>Sveaskog</t>
        </is>
      </c>
      <c r="G48" t="n">
        <v>1.6</v>
      </c>
      <c r="H48" t="n">
        <v>1</v>
      </c>
      <c r="I48" t="n">
        <v>1</v>
      </c>
      <c r="J48" t="n">
        <v>0</v>
      </c>
      <c r="K48" t="n">
        <v>0</v>
      </c>
      <c r="L48" t="n">
        <v>0</v>
      </c>
      <c r="M48" t="n">
        <v>0</v>
      </c>
      <c r="N48" t="n">
        <v>0</v>
      </c>
      <c r="O48" t="n">
        <v>0</v>
      </c>
      <c r="P48" t="n">
        <v>0</v>
      </c>
      <c r="Q48" t="n">
        <v>1</v>
      </c>
      <c r="R48" s="2" t="inlineStr">
        <is>
          <t>Plattlummer</t>
        </is>
      </c>
      <c r="S48">
        <f>HYPERLINK("https://klasma.github.io/Logging_2083/artfynd/A 33968-2025 artfynd.xlsx", "A 33968-2025")</f>
        <v/>
      </c>
      <c r="T48">
        <f>HYPERLINK("https://klasma.github.io/Logging_2083/kartor/A 33968-2025 karta.png", "A 33968-2025")</f>
        <v/>
      </c>
      <c r="V48">
        <f>HYPERLINK("https://klasma.github.io/Logging_2083/klagomål/A 33968-2025 FSC-klagomål.docx", "A 33968-2025")</f>
        <v/>
      </c>
      <c r="W48">
        <f>HYPERLINK("https://klasma.github.io/Logging_2083/klagomålsmail/A 33968-2025 FSC-klagomål mail.docx", "A 33968-2025")</f>
        <v/>
      </c>
      <c r="X48">
        <f>HYPERLINK("https://klasma.github.io/Logging_2083/tillsyn/A 33968-2025 tillsynsbegäran.docx", "A 33968-2025")</f>
        <v/>
      </c>
      <c r="Y48">
        <f>HYPERLINK("https://klasma.github.io/Logging_2083/tillsynsmail/A 33968-2025 tillsynsbegäran mail.docx", "A 33968-2025")</f>
        <v/>
      </c>
    </row>
    <row r="49" ht="15" customHeight="1">
      <c r="A49" t="inlineStr">
        <is>
          <t>A 53031-2023</t>
        </is>
      </c>
      <c r="B49" s="1" t="n">
        <v>45226</v>
      </c>
      <c r="C49" s="1" t="n">
        <v>45886</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41477-2023</t>
        </is>
      </c>
      <c r="B50" s="1" t="n">
        <v>45171</v>
      </c>
      <c r="C50" s="1" t="n">
        <v>45886</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52941-2024</t>
        </is>
      </c>
      <c r="B51" s="1" t="n">
        <v>45610.80650462963</v>
      </c>
      <c r="C51" s="1" t="n">
        <v>45886</v>
      </c>
      <c r="D51" t="inlineStr">
        <is>
          <t>DALARNAS LÄN</t>
        </is>
      </c>
      <c r="E51" t="inlineStr">
        <is>
          <t>HEDEMORA</t>
        </is>
      </c>
      <c r="F51" t="inlineStr">
        <is>
          <t>Sveaskog</t>
        </is>
      </c>
      <c r="G51" t="n">
        <v>18.3</v>
      </c>
      <c r="H51" t="n">
        <v>1</v>
      </c>
      <c r="I51" t="n">
        <v>0</v>
      </c>
      <c r="J51" t="n">
        <v>0</v>
      </c>
      <c r="K51" t="n">
        <v>1</v>
      </c>
      <c r="L51" t="n">
        <v>0</v>
      </c>
      <c r="M51" t="n">
        <v>0</v>
      </c>
      <c r="N51" t="n">
        <v>0</v>
      </c>
      <c r="O51" t="n">
        <v>1</v>
      </c>
      <c r="P51" t="n">
        <v>1</v>
      </c>
      <c r="Q51" t="n">
        <v>1</v>
      </c>
      <c r="R51" s="2" t="inlineStr">
        <is>
          <t>Knärot</t>
        </is>
      </c>
      <c r="S51">
        <f>HYPERLINK("https://klasma.github.io/Logging_2083/artfynd/A 52941-2024 artfynd.xlsx", "A 52941-2024")</f>
        <v/>
      </c>
      <c r="T51">
        <f>HYPERLINK("https://klasma.github.io/Logging_2083/kartor/A 52941-2024 karta.png", "A 52941-2024")</f>
        <v/>
      </c>
      <c r="U51">
        <f>HYPERLINK("https://klasma.github.io/Logging_2083/knärot/A 52941-2024 karta knärot.png", "A 52941-2024")</f>
        <v/>
      </c>
      <c r="V51">
        <f>HYPERLINK("https://klasma.github.io/Logging_2083/klagomål/A 52941-2024 FSC-klagomål.docx", "A 52941-2024")</f>
        <v/>
      </c>
      <c r="W51">
        <f>HYPERLINK("https://klasma.github.io/Logging_2083/klagomålsmail/A 52941-2024 FSC-klagomål mail.docx", "A 52941-2024")</f>
        <v/>
      </c>
      <c r="X51">
        <f>HYPERLINK("https://klasma.github.io/Logging_2083/tillsyn/A 52941-2024 tillsynsbegäran.docx", "A 52941-2024")</f>
        <v/>
      </c>
      <c r="Y51">
        <f>HYPERLINK("https://klasma.github.io/Logging_2083/tillsynsmail/A 52941-2024 tillsynsbegäran mail.docx", "A 52941-2024")</f>
        <v/>
      </c>
    </row>
    <row r="52" ht="15" customHeight="1">
      <c r="A52" t="inlineStr">
        <is>
          <t>A 15058-2025</t>
        </is>
      </c>
      <c r="B52" s="1" t="n">
        <v>45743.70716435185</v>
      </c>
      <c r="C52" s="1" t="n">
        <v>45886</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13986-2023</t>
        </is>
      </c>
      <c r="B53" s="1" t="n">
        <v>45008</v>
      </c>
      <c r="C53" s="1" t="n">
        <v>45886</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42614-2024</t>
        </is>
      </c>
      <c r="B54" s="1" t="n">
        <v>45565</v>
      </c>
      <c r="C54" s="1" t="n">
        <v>45886</v>
      </c>
      <c r="D54" t="inlineStr">
        <is>
          <t>DALARNAS LÄN</t>
        </is>
      </c>
      <c r="E54" t="inlineStr">
        <is>
          <t>HEDEMORA</t>
        </is>
      </c>
      <c r="F54" t="inlineStr">
        <is>
          <t>Sveaskog</t>
        </is>
      </c>
      <c r="G54" t="n">
        <v>3</v>
      </c>
      <c r="H54" t="n">
        <v>1</v>
      </c>
      <c r="I54" t="n">
        <v>0</v>
      </c>
      <c r="J54" t="n">
        <v>1</v>
      </c>
      <c r="K54" t="n">
        <v>0</v>
      </c>
      <c r="L54" t="n">
        <v>0</v>
      </c>
      <c r="M54" t="n">
        <v>0</v>
      </c>
      <c r="N54" t="n">
        <v>0</v>
      </c>
      <c r="O54" t="n">
        <v>1</v>
      </c>
      <c r="P54" t="n">
        <v>0</v>
      </c>
      <c r="Q54" t="n">
        <v>1</v>
      </c>
      <c r="R54" s="2" t="inlineStr">
        <is>
          <t>Talltita</t>
        </is>
      </c>
      <c r="S54">
        <f>HYPERLINK("https://klasma.github.io/Logging_2083/artfynd/A 42614-2024 artfynd.xlsx", "A 42614-2024")</f>
        <v/>
      </c>
      <c r="T54">
        <f>HYPERLINK("https://klasma.github.io/Logging_2083/kartor/A 42614-2024 karta.png", "A 42614-2024")</f>
        <v/>
      </c>
      <c r="V54">
        <f>HYPERLINK("https://klasma.github.io/Logging_2083/klagomål/A 42614-2024 FSC-klagomål.docx", "A 42614-2024")</f>
        <v/>
      </c>
      <c r="W54">
        <f>HYPERLINK("https://klasma.github.io/Logging_2083/klagomålsmail/A 42614-2024 FSC-klagomål mail.docx", "A 42614-2024")</f>
        <v/>
      </c>
      <c r="X54">
        <f>HYPERLINK("https://klasma.github.io/Logging_2083/tillsyn/A 42614-2024 tillsynsbegäran.docx", "A 42614-2024")</f>
        <v/>
      </c>
      <c r="Y54">
        <f>HYPERLINK("https://klasma.github.io/Logging_2083/tillsynsmail/A 42614-2024 tillsynsbegäran mail.docx", "A 42614-2024")</f>
        <v/>
      </c>
      <c r="Z54">
        <f>HYPERLINK("https://klasma.github.io/Logging_2083/fåglar/A 42614-2024 prioriterade fågelarter.docx", "A 42614-2024")</f>
        <v/>
      </c>
    </row>
    <row r="55" ht="15" customHeight="1">
      <c r="A55" t="inlineStr">
        <is>
          <t>A 17590-2025</t>
        </is>
      </c>
      <c r="B55" s="1" t="n">
        <v>45757.69396990741</v>
      </c>
      <c r="C55" s="1" t="n">
        <v>45886</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45886</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51106-2021</t>
        </is>
      </c>
      <c r="B57" s="1" t="n">
        <v>44461.40520833333</v>
      </c>
      <c r="C57" s="1" t="n">
        <v>45886</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45886</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45886</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45886</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45886</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45886</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45886</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45886</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45886</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45886</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45886</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45886</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45886</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45886</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52425-2021</t>
        </is>
      </c>
      <c r="B71" s="1" t="n">
        <v>44466.33798611111</v>
      </c>
      <c r="C71" s="1" t="n">
        <v>45886</v>
      </c>
      <c r="D71" t="inlineStr">
        <is>
          <t>DALARNAS LÄN</t>
        </is>
      </c>
      <c r="E71" t="inlineStr">
        <is>
          <t>HEDEMORA</t>
        </is>
      </c>
      <c r="G71" t="n">
        <v>2.3</v>
      </c>
      <c r="H71" t="n">
        <v>0</v>
      </c>
      <c r="I71" t="n">
        <v>0</v>
      </c>
      <c r="J71" t="n">
        <v>0</v>
      </c>
      <c r="K71" t="n">
        <v>0</v>
      </c>
      <c r="L71" t="n">
        <v>0</v>
      </c>
      <c r="M71" t="n">
        <v>0</v>
      </c>
      <c r="N71" t="n">
        <v>0</v>
      </c>
      <c r="O71" t="n">
        <v>0</v>
      </c>
      <c r="P71" t="n">
        <v>0</v>
      </c>
      <c r="Q71" t="n">
        <v>0</v>
      </c>
      <c r="R71" s="2" t="inlineStr"/>
    </row>
    <row r="72" ht="15" customHeight="1">
      <c r="A72" t="inlineStr">
        <is>
          <t>A 15290-2021</t>
        </is>
      </c>
      <c r="B72" s="1" t="n">
        <v>44284.59565972222</v>
      </c>
      <c r="C72" s="1" t="n">
        <v>45886</v>
      </c>
      <c r="D72" t="inlineStr">
        <is>
          <t>DALARNAS LÄN</t>
        </is>
      </c>
      <c r="E72" t="inlineStr">
        <is>
          <t>HEDEMORA</t>
        </is>
      </c>
      <c r="G72" t="n">
        <v>0.7</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45886</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45886</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45886</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45886</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45886</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45886</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45886</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45886</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45886</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45886</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45886</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45886</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45886</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45886</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1666-2022</t>
        </is>
      </c>
      <c r="B87" s="1" t="n">
        <v>44574</v>
      </c>
      <c r="C87" s="1" t="n">
        <v>45886</v>
      </c>
      <c r="D87" t="inlineStr">
        <is>
          <t>DALARNAS LÄN</t>
        </is>
      </c>
      <c r="E87" t="inlineStr">
        <is>
          <t>HEDEMORA</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17464-2021</t>
        </is>
      </c>
      <c r="B88" s="1" t="n">
        <v>44299</v>
      </c>
      <c r="C88" s="1" t="n">
        <v>45886</v>
      </c>
      <c r="D88" t="inlineStr">
        <is>
          <t>DALARNAS LÄN</t>
        </is>
      </c>
      <c r="E88" t="inlineStr">
        <is>
          <t>HEDEMORA</t>
        </is>
      </c>
      <c r="G88" t="n">
        <v>0.8</v>
      </c>
      <c r="H88" t="n">
        <v>0</v>
      </c>
      <c r="I88" t="n">
        <v>0</v>
      </c>
      <c r="J88" t="n">
        <v>0</v>
      </c>
      <c r="K88" t="n">
        <v>0</v>
      </c>
      <c r="L88" t="n">
        <v>0</v>
      </c>
      <c r="M88" t="n">
        <v>0</v>
      </c>
      <c r="N88" t="n">
        <v>0</v>
      </c>
      <c r="O88" t="n">
        <v>0</v>
      </c>
      <c r="P88" t="n">
        <v>0</v>
      </c>
      <c r="Q88" t="n">
        <v>0</v>
      </c>
      <c r="R88" s="2" t="inlineStr"/>
    </row>
    <row r="89" ht="15" customHeight="1">
      <c r="A89" t="inlineStr">
        <is>
          <t>A 36943-2021</t>
        </is>
      </c>
      <c r="B89" s="1" t="n">
        <v>44393.52391203704</v>
      </c>
      <c r="C89" s="1" t="n">
        <v>45886</v>
      </c>
      <c r="D89" t="inlineStr">
        <is>
          <t>DALARNAS LÄN</t>
        </is>
      </c>
      <c r="E89" t="inlineStr">
        <is>
          <t>HEDEMORA</t>
        </is>
      </c>
      <c r="F89" t="inlineStr">
        <is>
          <t>Sveaskog</t>
        </is>
      </c>
      <c r="G89" t="n">
        <v>0.5</v>
      </c>
      <c r="H89" t="n">
        <v>0</v>
      </c>
      <c r="I89" t="n">
        <v>0</v>
      </c>
      <c r="J89" t="n">
        <v>0</v>
      </c>
      <c r="K89" t="n">
        <v>0</v>
      </c>
      <c r="L89" t="n">
        <v>0</v>
      </c>
      <c r="M89" t="n">
        <v>0</v>
      </c>
      <c r="N89" t="n">
        <v>0</v>
      </c>
      <c r="O89" t="n">
        <v>0</v>
      </c>
      <c r="P89" t="n">
        <v>0</v>
      </c>
      <c r="Q89" t="n">
        <v>0</v>
      </c>
      <c r="R89" s="2" t="inlineStr"/>
    </row>
    <row r="90" ht="15" customHeight="1">
      <c r="A90" t="inlineStr">
        <is>
          <t>A 44065-2021</t>
        </is>
      </c>
      <c r="B90" s="1" t="n">
        <v>44434</v>
      </c>
      <c r="C90" s="1" t="n">
        <v>45886</v>
      </c>
      <c r="D90" t="inlineStr">
        <is>
          <t>DALARNAS LÄN</t>
        </is>
      </c>
      <c r="E90" t="inlineStr">
        <is>
          <t>HEDEMORA</t>
        </is>
      </c>
      <c r="F90" t="inlineStr">
        <is>
          <t>Bergvik skog väst AB</t>
        </is>
      </c>
      <c r="G90" t="n">
        <v>9.1</v>
      </c>
      <c r="H90" t="n">
        <v>0</v>
      </c>
      <c r="I90" t="n">
        <v>0</v>
      </c>
      <c r="J90" t="n">
        <v>0</v>
      </c>
      <c r="K90" t="n">
        <v>0</v>
      </c>
      <c r="L90" t="n">
        <v>0</v>
      </c>
      <c r="M90" t="n">
        <v>0</v>
      </c>
      <c r="N90" t="n">
        <v>0</v>
      </c>
      <c r="O90" t="n">
        <v>0</v>
      </c>
      <c r="P90" t="n">
        <v>0</v>
      </c>
      <c r="Q90" t="n">
        <v>0</v>
      </c>
      <c r="R90" s="2" t="inlineStr"/>
    </row>
    <row r="91" ht="15" customHeight="1">
      <c r="A91" t="inlineStr">
        <is>
          <t>A 3527-2021</t>
        </is>
      </c>
      <c r="B91" s="1" t="n">
        <v>44218</v>
      </c>
      <c r="C91" s="1" t="n">
        <v>45886</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67282-2021</t>
        </is>
      </c>
      <c r="B92" s="1" t="n">
        <v>44523.6131712963</v>
      </c>
      <c r="C92" s="1" t="n">
        <v>45886</v>
      </c>
      <c r="D92" t="inlineStr">
        <is>
          <t>DALARNAS LÄN</t>
        </is>
      </c>
      <c r="E92" t="inlineStr">
        <is>
          <t>HEDEMORA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48639-2022</t>
        </is>
      </c>
      <c r="B93" s="1" t="n">
        <v>44859</v>
      </c>
      <c r="C93" s="1" t="n">
        <v>45886</v>
      </c>
      <c r="D93" t="inlineStr">
        <is>
          <t>DALARNAS LÄN</t>
        </is>
      </c>
      <c r="E93" t="inlineStr">
        <is>
          <t>HEDEMORA</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66064-2020</t>
        </is>
      </c>
      <c r="B94" s="1" t="n">
        <v>44175</v>
      </c>
      <c r="C94" s="1" t="n">
        <v>45886</v>
      </c>
      <c r="D94" t="inlineStr">
        <is>
          <t>DALARNAS LÄN</t>
        </is>
      </c>
      <c r="E94" t="inlineStr">
        <is>
          <t>HEDEMORA</t>
        </is>
      </c>
      <c r="G94" t="n">
        <v>1.7</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45886</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45886</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45392-2020</t>
        </is>
      </c>
      <c r="B97" s="1" t="n">
        <v>44085</v>
      </c>
      <c r="C97" s="1" t="n">
        <v>45886</v>
      </c>
      <c r="D97" t="inlineStr">
        <is>
          <t>DALARNAS LÄN</t>
        </is>
      </c>
      <c r="E97" t="inlineStr">
        <is>
          <t>HEDEMORA</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45616-2020</t>
        </is>
      </c>
      <c r="B98" s="1" t="n">
        <v>44084</v>
      </c>
      <c r="C98" s="1" t="n">
        <v>45886</v>
      </c>
      <c r="D98" t="inlineStr">
        <is>
          <t>DALARNAS LÄN</t>
        </is>
      </c>
      <c r="E98" t="inlineStr">
        <is>
          <t>HEDEMORA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57071-2020</t>
        </is>
      </c>
      <c r="B99" s="1" t="n">
        <v>44138</v>
      </c>
      <c r="C99" s="1" t="n">
        <v>45886</v>
      </c>
      <c r="D99" t="inlineStr">
        <is>
          <t>DALARNAS LÄN</t>
        </is>
      </c>
      <c r="E99" t="inlineStr">
        <is>
          <t>HEDEMORA</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57779-2020</t>
        </is>
      </c>
      <c r="B100" s="1" t="n">
        <v>44141</v>
      </c>
      <c r="C100" s="1" t="n">
        <v>45886</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40938-2021</t>
        </is>
      </c>
      <c r="B101" s="1" t="n">
        <v>44421.53498842593</v>
      </c>
      <c r="C101" s="1" t="n">
        <v>45886</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45886</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42924-2020</t>
        </is>
      </c>
      <c r="B103" s="1" t="n">
        <v>44078</v>
      </c>
      <c r="C103" s="1" t="n">
        <v>45886</v>
      </c>
      <c r="D103" t="inlineStr">
        <is>
          <t>DALARNAS LÄN</t>
        </is>
      </c>
      <c r="E103" t="inlineStr">
        <is>
          <t>HEDEMORA</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45886</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45886</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45886</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1976-2022</t>
        </is>
      </c>
      <c r="B107" s="1" t="n">
        <v>44575.54618055555</v>
      </c>
      <c r="C107" s="1" t="n">
        <v>45886</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28105-2022</t>
        </is>
      </c>
      <c r="B108" s="1" t="n">
        <v>44746</v>
      </c>
      <c r="C108" s="1" t="n">
        <v>45886</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45886</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45886</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45886</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42894-2024</t>
        </is>
      </c>
      <c r="B112" s="1" t="n">
        <v>45566.82304398148</v>
      </c>
      <c r="C112" s="1" t="n">
        <v>45886</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42895-2024</t>
        </is>
      </c>
      <c r="B113" s="1" t="n">
        <v>45566.82385416667</v>
      </c>
      <c r="C113" s="1" t="n">
        <v>45886</v>
      </c>
      <c r="D113" t="inlineStr">
        <is>
          <t>DALARNAS LÄN</t>
        </is>
      </c>
      <c r="E113" t="inlineStr">
        <is>
          <t>HEDEMORA</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45886</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45886</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7914-2024</t>
        </is>
      </c>
      <c r="B116" s="1" t="n">
        <v>45350.46003472222</v>
      </c>
      <c r="C116" s="1" t="n">
        <v>45886</v>
      </c>
      <c r="D116" t="inlineStr">
        <is>
          <t>DALARNAS LÄN</t>
        </is>
      </c>
      <c r="E116" t="inlineStr">
        <is>
          <t>HEDEMORA</t>
        </is>
      </c>
      <c r="G116" t="n">
        <v>4.1</v>
      </c>
      <c r="H116" t="n">
        <v>0</v>
      </c>
      <c r="I116" t="n">
        <v>0</v>
      </c>
      <c r="J116" t="n">
        <v>0</v>
      </c>
      <c r="K116" t="n">
        <v>0</v>
      </c>
      <c r="L116" t="n">
        <v>0</v>
      </c>
      <c r="M116" t="n">
        <v>0</v>
      </c>
      <c r="N116" t="n">
        <v>0</v>
      </c>
      <c r="O116" t="n">
        <v>0</v>
      </c>
      <c r="P116" t="n">
        <v>0</v>
      </c>
      <c r="Q116" t="n">
        <v>0</v>
      </c>
      <c r="R116" s="2" t="inlineStr"/>
    </row>
    <row r="117" ht="15" customHeight="1">
      <c r="A117" t="inlineStr">
        <is>
          <t>A 61533-2021</t>
        </is>
      </c>
      <c r="B117" s="1" t="n">
        <v>44501</v>
      </c>
      <c r="C117" s="1" t="n">
        <v>45886</v>
      </c>
      <c r="D117" t="inlineStr">
        <is>
          <t>DALARNAS LÄN</t>
        </is>
      </c>
      <c r="E117" t="inlineStr">
        <is>
          <t>HEDEMORA</t>
        </is>
      </c>
      <c r="G117" t="n">
        <v>1.6</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45886</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45886</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30908-2024</t>
        </is>
      </c>
      <c r="B120" s="1" t="n">
        <v>45498.56491898148</v>
      </c>
      <c r="C120" s="1" t="n">
        <v>45886</v>
      </c>
      <c r="D120" t="inlineStr">
        <is>
          <t>DALARNAS LÄN</t>
        </is>
      </c>
      <c r="E120" t="inlineStr">
        <is>
          <t>HEDEMORA</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18522-2021</t>
        </is>
      </c>
      <c r="B121" s="1" t="n">
        <v>44306.4405787037</v>
      </c>
      <c r="C121" s="1" t="n">
        <v>45886</v>
      </c>
      <c r="D121" t="inlineStr">
        <is>
          <t>DALARNAS LÄN</t>
        </is>
      </c>
      <c r="E121" t="inlineStr">
        <is>
          <t>HEDEMORA</t>
        </is>
      </c>
      <c r="G121" t="n">
        <v>7</v>
      </c>
      <c r="H121" t="n">
        <v>0</v>
      </c>
      <c r="I121" t="n">
        <v>0</v>
      </c>
      <c r="J121" t="n">
        <v>0</v>
      </c>
      <c r="K121" t="n">
        <v>0</v>
      </c>
      <c r="L121" t="n">
        <v>0</v>
      </c>
      <c r="M121" t="n">
        <v>0</v>
      </c>
      <c r="N121" t="n">
        <v>0</v>
      </c>
      <c r="O121" t="n">
        <v>0</v>
      </c>
      <c r="P121" t="n">
        <v>0</v>
      </c>
      <c r="Q121" t="n">
        <v>0</v>
      </c>
      <c r="R121" s="2" t="inlineStr"/>
    </row>
    <row r="122" ht="15" customHeight="1">
      <c r="A122" t="inlineStr">
        <is>
          <t>A 37759-2024</t>
        </is>
      </c>
      <c r="B122" s="1" t="n">
        <v>45541</v>
      </c>
      <c r="C122" s="1" t="n">
        <v>45886</v>
      </c>
      <c r="D122" t="inlineStr">
        <is>
          <t>DALARNAS LÄN</t>
        </is>
      </c>
      <c r="E122" t="inlineStr">
        <is>
          <t>HEDEMORA</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9314-2024</t>
        </is>
      </c>
      <c r="B123" s="1" t="n">
        <v>45358</v>
      </c>
      <c r="C123" s="1" t="n">
        <v>45886</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45886</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45886</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45886</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45886</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21514-2024</t>
        </is>
      </c>
      <c r="B128" s="1" t="n">
        <v>45441.57538194444</v>
      </c>
      <c r="C128" s="1" t="n">
        <v>45886</v>
      </c>
      <c r="D128" t="inlineStr">
        <is>
          <t>DALARNAS LÄN</t>
        </is>
      </c>
      <c r="E128" t="inlineStr">
        <is>
          <t>HEDEMORA</t>
        </is>
      </c>
      <c r="G128" t="n">
        <v>1.5</v>
      </c>
      <c r="H128" t="n">
        <v>0</v>
      </c>
      <c r="I128" t="n">
        <v>0</v>
      </c>
      <c r="J128" t="n">
        <v>0</v>
      </c>
      <c r="K128" t="n">
        <v>0</v>
      </c>
      <c r="L128" t="n">
        <v>0</v>
      </c>
      <c r="M128" t="n">
        <v>0</v>
      </c>
      <c r="N128" t="n">
        <v>0</v>
      </c>
      <c r="O128" t="n">
        <v>0</v>
      </c>
      <c r="P128" t="n">
        <v>0</v>
      </c>
      <c r="Q128" t="n">
        <v>0</v>
      </c>
      <c r="R128" s="2" t="inlineStr"/>
    </row>
    <row r="129" ht="15" customHeight="1">
      <c r="A129" t="inlineStr">
        <is>
          <t>A 14968-2025</t>
        </is>
      </c>
      <c r="B129" s="1" t="n">
        <v>45743.59052083334</v>
      </c>
      <c r="C129" s="1" t="n">
        <v>45886</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45886</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34930-2024</t>
        </is>
      </c>
      <c r="B131" s="1" t="n">
        <v>45527.45107638889</v>
      </c>
      <c r="C131" s="1" t="n">
        <v>45886</v>
      </c>
      <c r="D131" t="inlineStr">
        <is>
          <t>DALARNAS LÄN</t>
        </is>
      </c>
      <c r="E131" t="inlineStr">
        <is>
          <t>HEDEMORA</t>
        </is>
      </c>
      <c r="F131" t="inlineStr">
        <is>
          <t>Sveaskog</t>
        </is>
      </c>
      <c r="G131" t="n">
        <v>6.1</v>
      </c>
      <c r="H131" t="n">
        <v>0</v>
      </c>
      <c r="I131" t="n">
        <v>0</v>
      </c>
      <c r="J131" t="n">
        <v>0</v>
      </c>
      <c r="K131" t="n">
        <v>0</v>
      </c>
      <c r="L131" t="n">
        <v>0</v>
      </c>
      <c r="M131" t="n">
        <v>0</v>
      </c>
      <c r="N131" t="n">
        <v>0</v>
      </c>
      <c r="O131" t="n">
        <v>0</v>
      </c>
      <c r="P131" t="n">
        <v>0</v>
      </c>
      <c r="Q131" t="n">
        <v>0</v>
      </c>
      <c r="R131" s="2" t="inlineStr"/>
    </row>
    <row r="132" ht="15" customHeight="1">
      <c r="A132" t="inlineStr">
        <is>
          <t>A 34932-2024</t>
        </is>
      </c>
      <c r="B132" s="1" t="n">
        <v>45527.45431712963</v>
      </c>
      <c r="C132" s="1" t="n">
        <v>45886</v>
      </c>
      <c r="D132" t="inlineStr">
        <is>
          <t>DALARNAS LÄN</t>
        </is>
      </c>
      <c r="E132" t="inlineStr">
        <is>
          <t>HEDEMORA</t>
        </is>
      </c>
      <c r="F132" t="inlineStr">
        <is>
          <t>Sveaskog</t>
        </is>
      </c>
      <c r="G132" t="n">
        <v>2.4</v>
      </c>
      <c r="H132" t="n">
        <v>0</v>
      </c>
      <c r="I132" t="n">
        <v>0</v>
      </c>
      <c r="J132" t="n">
        <v>0</v>
      </c>
      <c r="K132" t="n">
        <v>0</v>
      </c>
      <c r="L132" t="n">
        <v>0</v>
      </c>
      <c r="M132" t="n">
        <v>0</v>
      </c>
      <c r="N132" t="n">
        <v>0</v>
      </c>
      <c r="O132" t="n">
        <v>0</v>
      </c>
      <c r="P132" t="n">
        <v>0</v>
      </c>
      <c r="Q132" t="n">
        <v>0</v>
      </c>
      <c r="R132" s="2" t="inlineStr"/>
    </row>
    <row r="133" ht="15" customHeight="1">
      <c r="A133" t="inlineStr">
        <is>
          <t>A 14949-2025</t>
        </is>
      </c>
      <c r="B133" s="1" t="n">
        <v>45743.5745949074</v>
      </c>
      <c r="C133" s="1" t="n">
        <v>45886</v>
      </c>
      <c r="D133" t="inlineStr">
        <is>
          <t>DALARNAS LÄN</t>
        </is>
      </c>
      <c r="E133" t="inlineStr">
        <is>
          <t>HEDEMORA</t>
        </is>
      </c>
      <c r="G133" t="n">
        <v>2.5</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45886</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45886</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55882-2023</t>
        </is>
      </c>
      <c r="B136" s="1" t="n">
        <v>45239</v>
      </c>
      <c r="C136" s="1" t="n">
        <v>45886</v>
      </c>
      <c r="D136" t="inlineStr">
        <is>
          <t>DALARNAS LÄN</t>
        </is>
      </c>
      <c r="E136" t="inlineStr">
        <is>
          <t>HEDEMORA</t>
        </is>
      </c>
      <c r="F136" t="inlineStr">
        <is>
          <t>Sveaskog</t>
        </is>
      </c>
      <c r="G136" t="n">
        <v>5.2</v>
      </c>
      <c r="H136" t="n">
        <v>0</v>
      </c>
      <c r="I136" t="n">
        <v>0</v>
      </c>
      <c r="J136" t="n">
        <v>0</v>
      </c>
      <c r="K136" t="n">
        <v>0</v>
      </c>
      <c r="L136" t="n">
        <v>0</v>
      </c>
      <c r="M136" t="n">
        <v>0</v>
      </c>
      <c r="N136" t="n">
        <v>0</v>
      </c>
      <c r="O136" t="n">
        <v>0</v>
      </c>
      <c r="P136" t="n">
        <v>0</v>
      </c>
      <c r="Q136" t="n">
        <v>0</v>
      </c>
      <c r="R136" s="2" t="inlineStr"/>
    </row>
    <row r="137" ht="15" customHeight="1">
      <c r="A137" t="inlineStr">
        <is>
          <t>A 50885-2023</t>
        </is>
      </c>
      <c r="B137" s="1" t="n">
        <v>45218.38459490741</v>
      </c>
      <c r="C137" s="1" t="n">
        <v>45886</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65057-2023</t>
        </is>
      </c>
      <c r="B138" s="1" t="n">
        <v>45287</v>
      </c>
      <c r="C138" s="1" t="n">
        <v>45886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11046-2022</t>
        </is>
      </c>
      <c r="B139" s="1" t="n">
        <v>44628</v>
      </c>
      <c r="C139" s="1" t="n">
        <v>45886</v>
      </c>
      <c r="D139" t="inlineStr">
        <is>
          <t>DALARNAS LÄN</t>
        </is>
      </c>
      <c r="E139" t="inlineStr">
        <is>
          <t>HEDEMORA</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20965-2025</t>
        </is>
      </c>
      <c r="B140" s="1" t="n">
        <v>45777.45135416667</v>
      </c>
      <c r="C140" s="1" t="n">
        <v>45886</v>
      </c>
      <c r="D140" t="inlineStr">
        <is>
          <t>DALARNAS LÄN</t>
        </is>
      </c>
      <c r="E140" t="inlineStr">
        <is>
          <t>HEDEMORA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38947-2023</t>
        </is>
      </c>
      <c r="B141" s="1" t="n">
        <v>45163.61209490741</v>
      </c>
      <c r="C141" s="1" t="n">
        <v>45886</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38951-2023</t>
        </is>
      </c>
      <c r="B142" s="1" t="n">
        <v>45163.61413194444</v>
      </c>
      <c r="C142" s="1" t="n">
        <v>45886</v>
      </c>
      <c r="D142" t="inlineStr">
        <is>
          <t>DALARNAS LÄN</t>
        </is>
      </c>
      <c r="E142" t="inlineStr">
        <is>
          <t>HEDEMORA</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63941-2023</t>
        </is>
      </c>
      <c r="B143" s="1" t="n">
        <v>45278.61277777778</v>
      </c>
      <c r="C143" s="1" t="n">
        <v>45886</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43785-2023</t>
        </is>
      </c>
      <c r="B144" s="1" t="n">
        <v>45187</v>
      </c>
      <c r="C144" s="1" t="n">
        <v>45886</v>
      </c>
      <c r="D144" t="inlineStr">
        <is>
          <t>DALARNAS LÄN</t>
        </is>
      </c>
      <c r="E144" t="inlineStr">
        <is>
          <t>HEDEMORA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6210-2024</t>
        </is>
      </c>
      <c r="B145" s="1" t="n">
        <v>45337</v>
      </c>
      <c r="C145" s="1" t="n">
        <v>45886</v>
      </c>
      <c r="D145" t="inlineStr">
        <is>
          <t>DALARNAS LÄN</t>
        </is>
      </c>
      <c r="E145" t="inlineStr">
        <is>
          <t>HEDEMORA</t>
        </is>
      </c>
      <c r="G145" t="n">
        <v>2.6</v>
      </c>
      <c r="H145" t="n">
        <v>0</v>
      </c>
      <c r="I145" t="n">
        <v>0</v>
      </c>
      <c r="J145" t="n">
        <v>0</v>
      </c>
      <c r="K145" t="n">
        <v>0</v>
      </c>
      <c r="L145" t="n">
        <v>0</v>
      </c>
      <c r="M145" t="n">
        <v>0</v>
      </c>
      <c r="N145" t="n">
        <v>0</v>
      </c>
      <c r="O145" t="n">
        <v>0</v>
      </c>
      <c r="P145" t="n">
        <v>0</v>
      </c>
      <c r="Q145" t="n">
        <v>0</v>
      </c>
      <c r="R145" s="2" t="inlineStr"/>
    </row>
    <row r="146" ht="15" customHeight="1">
      <c r="A146" t="inlineStr">
        <is>
          <t>A 58111-2020</t>
        </is>
      </c>
      <c r="B146" s="1" t="n">
        <v>44144</v>
      </c>
      <c r="C146" s="1" t="n">
        <v>45886</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21869-2025</t>
        </is>
      </c>
      <c r="B147" s="1" t="n">
        <v>45784.37449074074</v>
      </c>
      <c r="C147" s="1" t="n">
        <v>45886</v>
      </c>
      <c r="D147" t="inlineStr">
        <is>
          <t>DALARNAS LÄN</t>
        </is>
      </c>
      <c r="E147" t="inlineStr">
        <is>
          <t>HEDEMORA</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30430-2023</t>
        </is>
      </c>
      <c r="B148" s="1" t="n">
        <v>45111.54344907407</v>
      </c>
      <c r="C148" s="1" t="n">
        <v>45886</v>
      </c>
      <c r="D148" t="inlineStr">
        <is>
          <t>DALARNAS LÄN</t>
        </is>
      </c>
      <c r="E148" t="inlineStr">
        <is>
          <t>HEDEMORA</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21864-2025</t>
        </is>
      </c>
      <c r="B149" s="1" t="n">
        <v>45784</v>
      </c>
      <c r="C149" s="1" t="n">
        <v>45886</v>
      </c>
      <c r="D149" t="inlineStr">
        <is>
          <t>DALARNAS LÄN</t>
        </is>
      </c>
      <c r="E149" t="inlineStr">
        <is>
          <t>HEDEMORA</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21868-2025</t>
        </is>
      </c>
      <c r="B150" s="1" t="n">
        <v>45784.3721412037</v>
      </c>
      <c r="C150" s="1" t="n">
        <v>45886</v>
      </c>
      <c r="D150" t="inlineStr">
        <is>
          <t>DALARNAS LÄN</t>
        </is>
      </c>
      <c r="E150" t="inlineStr">
        <is>
          <t>HEDEMORA</t>
        </is>
      </c>
      <c r="F150" t="inlineStr">
        <is>
          <t>Sveaskog</t>
        </is>
      </c>
      <c r="G150" t="n">
        <v>10.1</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45886</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48380-2024</t>
        </is>
      </c>
      <c r="B152" s="1" t="n">
        <v>45590</v>
      </c>
      <c r="C152" s="1" t="n">
        <v>45886</v>
      </c>
      <c r="D152" t="inlineStr">
        <is>
          <t>DALARNAS LÄN</t>
        </is>
      </c>
      <c r="E152" t="inlineStr">
        <is>
          <t>HEDEMORA</t>
        </is>
      </c>
      <c r="G152" t="n">
        <v>1.5</v>
      </c>
      <c r="H152" t="n">
        <v>0</v>
      </c>
      <c r="I152" t="n">
        <v>0</v>
      </c>
      <c r="J152" t="n">
        <v>0</v>
      </c>
      <c r="K152" t="n">
        <v>0</v>
      </c>
      <c r="L152" t="n">
        <v>0</v>
      </c>
      <c r="M152" t="n">
        <v>0</v>
      </c>
      <c r="N152" t="n">
        <v>0</v>
      </c>
      <c r="O152" t="n">
        <v>0</v>
      </c>
      <c r="P152" t="n">
        <v>0</v>
      </c>
      <c r="Q152" t="n">
        <v>0</v>
      </c>
      <c r="R152" s="2" t="inlineStr"/>
    </row>
    <row r="153" ht="15" customHeight="1">
      <c r="A153" t="inlineStr">
        <is>
          <t>A 16413-2024</t>
        </is>
      </c>
      <c r="B153" s="1" t="n">
        <v>45407.64223379629</v>
      </c>
      <c r="C153" s="1" t="n">
        <v>45886</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51256-2024</t>
        </is>
      </c>
      <c r="B154" s="1" t="n">
        <v>45603.68902777778</v>
      </c>
      <c r="C154" s="1" t="n">
        <v>45886</v>
      </c>
      <c r="D154" t="inlineStr">
        <is>
          <t>DALARNAS LÄN</t>
        </is>
      </c>
      <c r="E154" t="inlineStr">
        <is>
          <t>HEDEMORA</t>
        </is>
      </c>
      <c r="G154" t="n">
        <v>1.3</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45886</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45886</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45886</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45886</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19920-2025</t>
        </is>
      </c>
      <c r="B159" s="1" t="n">
        <v>45771</v>
      </c>
      <c r="C159" s="1" t="n">
        <v>45886</v>
      </c>
      <c r="D159" t="inlineStr">
        <is>
          <t>DALARNAS LÄN</t>
        </is>
      </c>
      <c r="E159" t="inlineStr">
        <is>
          <t>HEDEMORA</t>
        </is>
      </c>
      <c r="G159" t="n">
        <v>2.8</v>
      </c>
      <c r="H159" t="n">
        <v>0</v>
      </c>
      <c r="I159" t="n">
        <v>0</v>
      </c>
      <c r="J159" t="n">
        <v>0</v>
      </c>
      <c r="K159" t="n">
        <v>0</v>
      </c>
      <c r="L159" t="n">
        <v>0</v>
      </c>
      <c r="M159" t="n">
        <v>0</v>
      </c>
      <c r="N159" t="n">
        <v>0</v>
      </c>
      <c r="O159" t="n">
        <v>0</v>
      </c>
      <c r="P159" t="n">
        <v>0</v>
      </c>
      <c r="Q159" t="n">
        <v>0</v>
      </c>
      <c r="R159" s="2" t="inlineStr"/>
    </row>
    <row r="160" ht="15" customHeight="1">
      <c r="A160" t="inlineStr">
        <is>
          <t>A 69624-2021</t>
        </is>
      </c>
      <c r="B160" s="1" t="n">
        <v>44532.41442129629</v>
      </c>
      <c r="C160" s="1" t="n">
        <v>45886</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63925-2023</t>
        </is>
      </c>
      <c r="B161" s="1" t="n">
        <v>45278</v>
      </c>
      <c r="C161" s="1" t="n">
        <v>45886</v>
      </c>
      <c r="D161" t="inlineStr">
        <is>
          <t>DALARNAS LÄN</t>
        </is>
      </c>
      <c r="E161" t="inlineStr">
        <is>
          <t>HEDEMORA</t>
        </is>
      </c>
      <c r="G161" t="n">
        <v>5.2</v>
      </c>
      <c r="H161" t="n">
        <v>0</v>
      </c>
      <c r="I161" t="n">
        <v>0</v>
      </c>
      <c r="J161" t="n">
        <v>0</v>
      </c>
      <c r="K161" t="n">
        <v>0</v>
      </c>
      <c r="L161" t="n">
        <v>0</v>
      </c>
      <c r="M161" t="n">
        <v>0</v>
      </c>
      <c r="N161" t="n">
        <v>0</v>
      </c>
      <c r="O161" t="n">
        <v>0</v>
      </c>
      <c r="P161" t="n">
        <v>0</v>
      </c>
      <c r="Q161" t="n">
        <v>0</v>
      </c>
      <c r="R161" s="2" t="inlineStr"/>
    </row>
    <row r="162" ht="15" customHeight="1">
      <c r="A162" t="inlineStr">
        <is>
          <t>A 6881-2024</t>
        </is>
      </c>
      <c r="B162" s="1" t="n">
        <v>45342.8779050926</v>
      </c>
      <c r="C162" s="1" t="n">
        <v>45886</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28813-2024</t>
        </is>
      </c>
      <c r="B163" s="1" t="n">
        <v>45478.641875</v>
      </c>
      <c r="C163" s="1" t="n">
        <v>45886</v>
      </c>
      <c r="D163" t="inlineStr">
        <is>
          <t>DALARNAS LÄN</t>
        </is>
      </c>
      <c r="E163" t="inlineStr">
        <is>
          <t>HEDEMORA</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23435-2025</t>
        </is>
      </c>
      <c r="B164" s="1" t="n">
        <v>45792.37162037037</v>
      </c>
      <c r="C164" s="1" t="n">
        <v>45886</v>
      </c>
      <c r="D164" t="inlineStr">
        <is>
          <t>DALARNAS LÄN</t>
        </is>
      </c>
      <c r="E164" t="inlineStr">
        <is>
          <t>HEDEMORA</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19353-2024</t>
        </is>
      </c>
      <c r="B165" s="1" t="n">
        <v>45429.29666666667</v>
      </c>
      <c r="C165" s="1" t="n">
        <v>45886</v>
      </c>
      <c r="D165" t="inlineStr">
        <is>
          <t>DALARNAS LÄN</t>
        </is>
      </c>
      <c r="E165" t="inlineStr">
        <is>
          <t>HEDEMORA</t>
        </is>
      </c>
      <c r="F165" t="inlineStr">
        <is>
          <t>Sveaskog</t>
        </is>
      </c>
      <c r="G165" t="n">
        <v>16.3</v>
      </c>
      <c r="H165" t="n">
        <v>0</v>
      </c>
      <c r="I165" t="n">
        <v>0</v>
      </c>
      <c r="J165" t="n">
        <v>0</v>
      </c>
      <c r="K165" t="n">
        <v>0</v>
      </c>
      <c r="L165" t="n">
        <v>0</v>
      </c>
      <c r="M165" t="n">
        <v>0</v>
      </c>
      <c r="N165" t="n">
        <v>0</v>
      </c>
      <c r="O165" t="n">
        <v>0</v>
      </c>
      <c r="P165" t="n">
        <v>0</v>
      </c>
      <c r="Q165" t="n">
        <v>0</v>
      </c>
      <c r="R165" s="2" t="inlineStr"/>
    </row>
    <row r="166" ht="15" customHeight="1">
      <c r="A166" t="inlineStr">
        <is>
          <t>A 34929-2024</t>
        </is>
      </c>
      <c r="B166" s="1" t="n">
        <v>45527.44895833333</v>
      </c>
      <c r="C166" s="1" t="n">
        <v>45886</v>
      </c>
      <c r="D166" t="inlineStr">
        <is>
          <t>DALARNAS LÄN</t>
        </is>
      </c>
      <c r="E166" t="inlineStr">
        <is>
          <t>HEDEMORA</t>
        </is>
      </c>
      <c r="F166" t="inlineStr">
        <is>
          <t>Sveaskog</t>
        </is>
      </c>
      <c r="G166" t="n">
        <v>5.1</v>
      </c>
      <c r="H166" t="n">
        <v>0</v>
      </c>
      <c r="I166" t="n">
        <v>0</v>
      </c>
      <c r="J166" t="n">
        <v>0</v>
      </c>
      <c r="K166" t="n">
        <v>0</v>
      </c>
      <c r="L166" t="n">
        <v>0</v>
      </c>
      <c r="M166" t="n">
        <v>0</v>
      </c>
      <c r="N166" t="n">
        <v>0</v>
      </c>
      <c r="O166" t="n">
        <v>0</v>
      </c>
      <c r="P166" t="n">
        <v>0</v>
      </c>
      <c r="Q166" t="n">
        <v>0</v>
      </c>
      <c r="R166" s="2" t="inlineStr"/>
    </row>
    <row r="167" ht="15" customHeight="1">
      <c r="A167" t="inlineStr">
        <is>
          <t>A 34931-2024</t>
        </is>
      </c>
      <c r="B167" s="1" t="n">
        <v>45527.45292824074</v>
      </c>
      <c r="C167" s="1" t="n">
        <v>45886</v>
      </c>
      <c r="D167" t="inlineStr">
        <is>
          <t>DALARNAS LÄN</t>
        </is>
      </c>
      <c r="E167" t="inlineStr">
        <is>
          <t>HEDEMORA</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19988-2025</t>
        </is>
      </c>
      <c r="B168" s="1" t="n">
        <v>45771.72665509259</v>
      </c>
      <c r="C168" s="1" t="n">
        <v>45886</v>
      </c>
      <c r="D168" t="inlineStr">
        <is>
          <t>DALARNAS LÄN</t>
        </is>
      </c>
      <c r="E168" t="inlineStr">
        <is>
          <t>HEDEMORA</t>
        </is>
      </c>
      <c r="G168" t="n">
        <v>0.7</v>
      </c>
      <c r="H168" t="n">
        <v>0</v>
      </c>
      <c r="I168" t="n">
        <v>0</v>
      </c>
      <c r="J168" t="n">
        <v>0</v>
      </c>
      <c r="K168" t="n">
        <v>0</v>
      </c>
      <c r="L168" t="n">
        <v>0</v>
      </c>
      <c r="M168" t="n">
        <v>0</v>
      </c>
      <c r="N168" t="n">
        <v>0</v>
      </c>
      <c r="O168" t="n">
        <v>0</v>
      </c>
      <c r="P168" t="n">
        <v>0</v>
      </c>
      <c r="Q168" t="n">
        <v>0</v>
      </c>
      <c r="R168" s="2" t="inlineStr"/>
    </row>
    <row r="169" ht="15" customHeight="1">
      <c r="A169" t="inlineStr">
        <is>
          <t>A 52199-2021</t>
        </is>
      </c>
      <c r="B169" s="1" t="n">
        <v>44462</v>
      </c>
      <c r="C169" s="1" t="n">
        <v>45886</v>
      </c>
      <c r="D169" t="inlineStr">
        <is>
          <t>DALARNAS LÄN</t>
        </is>
      </c>
      <c r="E169" t="inlineStr">
        <is>
          <t>HEDEMORA</t>
        </is>
      </c>
      <c r="F169" t="inlineStr">
        <is>
          <t>Bergvik skog väst AB</t>
        </is>
      </c>
      <c r="G169" t="n">
        <v>4.4</v>
      </c>
      <c r="H169" t="n">
        <v>0</v>
      </c>
      <c r="I169" t="n">
        <v>0</v>
      </c>
      <c r="J169" t="n">
        <v>0</v>
      </c>
      <c r="K169" t="n">
        <v>0</v>
      </c>
      <c r="L169" t="n">
        <v>0</v>
      </c>
      <c r="M169" t="n">
        <v>0</v>
      </c>
      <c r="N169" t="n">
        <v>0</v>
      </c>
      <c r="O169" t="n">
        <v>0</v>
      </c>
      <c r="P169" t="n">
        <v>0</v>
      </c>
      <c r="Q169" t="n">
        <v>0</v>
      </c>
      <c r="R169" s="2" t="inlineStr"/>
    </row>
    <row r="170" ht="15" customHeight="1">
      <c r="A170" t="inlineStr">
        <is>
          <t>A 29640-2024</t>
        </is>
      </c>
      <c r="B170" s="1" t="n">
        <v>45484.69837962963</v>
      </c>
      <c r="C170" s="1" t="n">
        <v>45886</v>
      </c>
      <c r="D170" t="inlineStr">
        <is>
          <t>DALARNAS LÄN</t>
        </is>
      </c>
      <c r="E170" t="inlineStr">
        <is>
          <t>HEDEMORA</t>
        </is>
      </c>
      <c r="F170" t="inlineStr">
        <is>
          <t>Bergvik skog väst AB</t>
        </is>
      </c>
      <c r="G170" t="n">
        <v>8.6</v>
      </c>
      <c r="H170" t="n">
        <v>0</v>
      </c>
      <c r="I170" t="n">
        <v>0</v>
      </c>
      <c r="J170" t="n">
        <v>0</v>
      </c>
      <c r="K170" t="n">
        <v>0</v>
      </c>
      <c r="L170" t="n">
        <v>0</v>
      </c>
      <c r="M170" t="n">
        <v>0</v>
      </c>
      <c r="N170" t="n">
        <v>0</v>
      </c>
      <c r="O170" t="n">
        <v>0</v>
      </c>
      <c r="P170" t="n">
        <v>0</v>
      </c>
      <c r="Q170" t="n">
        <v>0</v>
      </c>
      <c r="R170" s="2" t="inlineStr"/>
    </row>
    <row r="171" ht="15" customHeight="1">
      <c r="A171" t="inlineStr">
        <is>
          <t>A 23675-2025</t>
        </is>
      </c>
      <c r="B171" s="1" t="n">
        <v>45793.31391203704</v>
      </c>
      <c r="C171" s="1" t="n">
        <v>45886</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25195-2024</t>
        </is>
      </c>
      <c r="B172" s="1" t="n">
        <v>45462</v>
      </c>
      <c r="C172" s="1" t="n">
        <v>45886</v>
      </c>
      <c r="D172" t="inlineStr">
        <is>
          <t>DALARNAS LÄN</t>
        </is>
      </c>
      <c r="E172" t="inlineStr">
        <is>
          <t>HEDEMORA</t>
        </is>
      </c>
      <c r="F172" t="inlineStr">
        <is>
          <t>Övriga statliga verk och myndigheter</t>
        </is>
      </c>
      <c r="G172" t="n">
        <v>3.3</v>
      </c>
      <c r="H172" t="n">
        <v>0</v>
      </c>
      <c r="I172" t="n">
        <v>0</v>
      </c>
      <c r="J172" t="n">
        <v>0</v>
      </c>
      <c r="K172" t="n">
        <v>0</v>
      </c>
      <c r="L172" t="n">
        <v>0</v>
      </c>
      <c r="M172" t="n">
        <v>0</v>
      </c>
      <c r="N172" t="n">
        <v>0</v>
      </c>
      <c r="O172" t="n">
        <v>0</v>
      </c>
      <c r="P172" t="n">
        <v>0</v>
      </c>
      <c r="Q172" t="n">
        <v>0</v>
      </c>
      <c r="R172" s="2" t="inlineStr"/>
    </row>
    <row r="173" ht="15" customHeight="1">
      <c r="A173" t="inlineStr">
        <is>
          <t>A 39530-2024</t>
        </is>
      </c>
      <c r="B173" s="1" t="n">
        <v>45551</v>
      </c>
      <c r="C173" s="1" t="n">
        <v>45886</v>
      </c>
      <c r="D173" t="inlineStr">
        <is>
          <t>DALARNAS LÄN</t>
        </is>
      </c>
      <c r="E173" t="inlineStr">
        <is>
          <t>HEDEMORA</t>
        </is>
      </c>
      <c r="F173" t="inlineStr">
        <is>
          <t>Bergvik skog väst AB</t>
        </is>
      </c>
      <c r="G173" t="n">
        <v>13.8</v>
      </c>
      <c r="H173" t="n">
        <v>0</v>
      </c>
      <c r="I173" t="n">
        <v>0</v>
      </c>
      <c r="J173" t="n">
        <v>0</v>
      </c>
      <c r="K173" t="n">
        <v>0</v>
      </c>
      <c r="L173" t="n">
        <v>0</v>
      </c>
      <c r="M173" t="n">
        <v>0</v>
      </c>
      <c r="N173" t="n">
        <v>0</v>
      </c>
      <c r="O173" t="n">
        <v>0</v>
      </c>
      <c r="P173" t="n">
        <v>0</v>
      </c>
      <c r="Q173" t="n">
        <v>0</v>
      </c>
      <c r="R173" s="2" t="inlineStr"/>
    </row>
    <row r="174" ht="15" customHeight="1">
      <c r="A174" t="inlineStr">
        <is>
          <t>A 39531-2024</t>
        </is>
      </c>
      <c r="B174" s="1" t="n">
        <v>45551</v>
      </c>
      <c r="C174" s="1" t="n">
        <v>45886</v>
      </c>
      <c r="D174" t="inlineStr">
        <is>
          <t>DALARNAS LÄN</t>
        </is>
      </c>
      <c r="E174" t="inlineStr">
        <is>
          <t>HEDEMORA</t>
        </is>
      </c>
      <c r="F174" t="inlineStr">
        <is>
          <t>Bergvik skog väst AB</t>
        </is>
      </c>
      <c r="G174" t="n">
        <v>1.9</v>
      </c>
      <c r="H174" t="n">
        <v>0</v>
      </c>
      <c r="I174" t="n">
        <v>0</v>
      </c>
      <c r="J174" t="n">
        <v>0</v>
      </c>
      <c r="K174" t="n">
        <v>0</v>
      </c>
      <c r="L174" t="n">
        <v>0</v>
      </c>
      <c r="M174" t="n">
        <v>0</v>
      </c>
      <c r="N174" t="n">
        <v>0</v>
      </c>
      <c r="O174" t="n">
        <v>0</v>
      </c>
      <c r="P174" t="n">
        <v>0</v>
      </c>
      <c r="Q174" t="n">
        <v>0</v>
      </c>
      <c r="R174" s="2" t="inlineStr"/>
    </row>
    <row r="175" ht="15" customHeight="1">
      <c r="A175" t="inlineStr">
        <is>
          <t>A 39552-2024</t>
        </is>
      </c>
      <c r="B175" s="1" t="n">
        <v>45551</v>
      </c>
      <c r="C175" s="1" t="n">
        <v>45886</v>
      </c>
      <c r="D175" t="inlineStr">
        <is>
          <t>DALARNAS LÄN</t>
        </is>
      </c>
      <c r="E175" t="inlineStr">
        <is>
          <t>HEDEMORA</t>
        </is>
      </c>
      <c r="F175" t="inlineStr">
        <is>
          <t>Bergvik skog väst AB</t>
        </is>
      </c>
      <c r="G175" t="n">
        <v>24.1</v>
      </c>
      <c r="H175" t="n">
        <v>0</v>
      </c>
      <c r="I175" t="n">
        <v>0</v>
      </c>
      <c r="J175" t="n">
        <v>0</v>
      </c>
      <c r="K175" t="n">
        <v>0</v>
      </c>
      <c r="L175" t="n">
        <v>0</v>
      </c>
      <c r="M175" t="n">
        <v>0</v>
      </c>
      <c r="N175" t="n">
        <v>0</v>
      </c>
      <c r="O175" t="n">
        <v>0</v>
      </c>
      <c r="P175" t="n">
        <v>0</v>
      </c>
      <c r="Q175" t="n">
        <v>0</v>
      </c>
      <c r="R175" s="2" t="inlineStr"/>
    </row>
    <row r="176" ht="15" customHeight="1">
      <c r="A176" t="inlineStr">
        <is>
          <t>A 48321-2024</t>
        </is>
      </c>
      <c r="B176" s="1" t="n">
        <v>45590.50111111111</v>
      </c>
      <c r="C176" s="1" t="n">
        <v>45886</v>
      </c>
      <c r="D176" t="inlineStr">
        <is>
          <t>DALARNAS LÄN</t>
        </is>
      </c>
      <c r="E176" t="inlineStr">
        <is>
          <t>HEDEMORA</t>
        </is>
      </c>
      <c r="F176" t="inlineStr">
        <is>
          <t>Sveaskog</t>
        </is>
      </c>
      <c r="G176" t="n">
        <v>5.2</v>
      </c>
      <c r="H176" t="n">
        <v>0</v>
      </c>
      <c r="I176" t="n">
        <v>0</v>
      </c>
      <c r="J176" t="n">
        <v>0</v>
      </c>
      <c r="K176" t="n">
        <v>0</v>
      </c>
      <c r="L176" t="n">
        <v>0</v>
      </c>
      <c r="M176" t="n">
        <v>0</v>
      </c>
      <c r="N176" t="n">
        <v>0</v>
      </c>
      <c r="O176" t="n">
        <v>0</v>
      </c>
      <c r="P176" t="n">
        <v>0</v>
      </c>
      <c r="Q176" t="n">
        <v>0</v>
      </c>
      <c r="R176" s="2" t="inlineStr"/>
    </row>
    <row r="177" ht="15" customHeight="1">
      <c r="A177" t="inlineStr">
        <is>
          <t>A 25021-2025</t>
        </is>
      </c>
      <c r="B177" s="1" t="n">
        <v>45799.64574074074</v>
      </c>
      <c r="C177" s="1" t="n">
        <v>45886</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15635-2022</t>
        </is>
      </c>
      <c r="B178" s="1" t="n">
        <v>44662.84958333334</v>
      </c>
      <c r="C178" s="1" t="n">
        <v>45886</v>
      </c>
      <c r="D178" t="inlineStr">
        <is>
          <t>DALARNAS LÄN</t>
        </is>
      </c>
      <c r="E178" t="inlineStr">
        <is>
          <t>HEDEMORA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19397-2024</t>
        </is>
      </c>
      <c r="B179" s="1" t="n">
        <v>45429.38474537037</v>
      </c>
      <c r="C179" s="1" t="n">
        <v>45886</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7916-2024</t>
        </is>
      </c>
      <c r="B180" s="1" t="n">
        <v>45350.46259259259</v>
      </c>
      <c r="C180" s="1" t="n">
        <v>45886</v>
      </c>
      <c r="D180" t="inlineStr">
        <is>
          <t>DALARNAS LÄN</t>
        </is>
      </c>
      <c r="E180" t="inlineStr">
        <is>
          <t>HEDEMORA</t>
        </is>
      </c>
      <c r="G180" t="n">
        <v>5.8</v>
      </c>
      <c r="H180" t="n">
        <v>0</v>
      </c>
      <c r="I180" t="n">
        <v>0</v>
      </c>
      <c r="J180" t="n">
        <v>0</v>
      </c>
      <c r="K180" t="n">
        <v>0</v>
      </c>
      <c r="L180" t="n">
        <v>0</v>
      </c>
      <c r="M180" t="n">
        <v>0</v>
      </c>
      <c r="N180" t="n">
        <v>0</v>
      </c>
      <c r="O180" t="n">
        <v>0</v>
      </c>
      <c r="P180" t="n">
        <v>0</v>
      </c>
      <c r="Q180" t="n">
        <v>0</v>
      </c>
      <c r="R180" s="2" t="inlineStr"/>
    </row>
    <row r="181" ht="15" customHeight="1">
      <c r="A181" t="inlineStr">
        <is>
          <t>A 52944-2024</t>
        </is>
      </c>
      <c r="B181" s="1" t="n">
        <v>45610.82546296297</v>
      </c>
      <c r="C181" s="1" t="n">
        <v>45886</v>
      </c>
      <c r="D181" t="inlineStr">
        <is>
          <t>DALARNAS LÄN</t>
        </is>
      </c>
      <c r="E181" t="inlineStr">
        <is>
          <t>HEDEMORA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45886</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14456-2021</t>
        </is>
      </c>
      <c r="B183" s="1" t="n">
        <v>44279.50208333333</v>
      </c>
      <c r="C183" s="1" t="n">
        <v>45886</v>
      </c>
      <c r="D183" t="inlineStr">
        <is>
          <t>DALARNAS LÄN</t>
        </is>
      </c>
      <c r="E183" t="inlineStr">
        <is>
          <t>HEDEMORA</t>
        </is>
      </c>
      <c r="G183" t="n">
        <v>1.2</v>
      </c>
      <c r="H183" t="n">
        <v>0</v>
      </c>
      <c r="I183" t="n">
        <v>0</v>
      </c>
      <c r="J183" t="n">
        <v>0</v>
      </c>
      <c r="K183" t="n">
        <v>0</v>
      </c>
      <c r="L183" t="n">
        <v>0</v>
      </c>
      <c r="M183" t="n">
        <v>0</v>
      </c>
      <c r="N183" t="n">
        <v>0</v>
      </c>
      <c r="O183" t="n">
        <v>0</v>
      </c>
      <c r="P183" t="n">
        <v>0</v>
      </c>
      <c r="Q183" t="n">
        <v>0</v>
      </c>
      <c r="R183" s="2" t="inlineStr"/>
    </row>
    <row r="184" ht="15" customHeight="1">
      <c r="A184" t="inlineStr">
        <is>
          <t>A 12133-2025</t>
        </is>
      </c>
      <c r="B184" s="1" t="n">
        <v>45729.38878472222</v>
      </c>
      <c r="C184" s="1" t="n">
        <v>45886</v>
      </c>
      <c r="D184" t="inlineStr">
        <is>
          <t>DALARNAS LÄN</t>
        </is>
      </c>
      <c r="E184" t="inlineStr">
        <is>
          <t>HEDEMORA</t>
        </is>
      </c>
      <c r="G184" t="n">
        <v>4.8</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45886</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25645-2024</t>
        </is>
      </c>
      <c r="B186" s="1" t="n">
        <v>45463.66520833333</v>
      </c>
      <c r="C186" s="1" t="n">
        <v>45886</v>
      </c>
      <c r="D186" t="inlineStr">
        <is>
          <t>DALARNAS LÄN</t>
        </is>
      </c>
      <c r="E186" t="inlineStr">
        <is>
          <t>HEDEMORA</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6972-2025</t>
        </is>
      </c>
      <c r="B187" s="1" t="n">
        <v>45701.53790509259</v>
      </c>
      <c r="C187" s="1" t="n">
        <v>45886</v>
      </c>
      <c r="D187" t="inlineStr">
        <is>
          <t>DALARNAS LÄN</t>
        </is>
      </c>
      <c r="E187" t="inlineStr">
        <is>
          <t>HEDEMORA</t>
        </is>
      </c>
      <c r="G187" t="n">
        <v>4.9</v>
      </c>
      <c r="H187" t="n">
        <v>0</v>
      </c>
      <c r="I187" t="n">
        <v>0</v>
      </c>
      <c r="J187" t="n">
        <v>0</v>
      </c>
      <c r="K187" t="n">
        <v>0</v>
      </c>
      <c r="L187" t="n">
        <v>0</v>
      </c>
      <c r="M187" t="n">
        <v>0</v>
      </c>
      <c r="N187" t="n">
        <v>0</v>
      </c>
      <c r="O187" t="n">
        <v>0</v>
      </c>
      <c r="P187" t="n">
        <v>0</v>
      </c>
      <c r="Q187" t="n">
        <v>0</v>
      </c>
      <c r="R187" s="2" t="inlineStr"/>
    </row>
    <row r="188" ht="15" customHeight="1">
      <c r="A188" t="inlineStr">
        <is>
          <t>A 22222-2023</t>
        </is>
      </c>
      <c r="B188" s="1" t="n">
        <v>45069.93758101852</v>
      </c>
      <c r="C188" s="1" t="n">
        <v>45886</v>
      </c>
      <c r="D188" t="inlineStr">
        <is>
          <t>DALARNAS LÄN</t>
        </is>
      </c>
      <c r="E188" t="inlineStr">
        <is>
          <t>HEDEMORA</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19690-2025</t>
        </is>
      </c>
      <c r="B189" s="1" t="n">
        <v>45770.88761574074</v>
      </c>
      <c r="C189" s="1" t="n">
        <v>45886</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45886</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31365-2024</t>
        </is>
      </c>
      <c r="B191" s="1" t="n">
        <v>45505.37086805556</v>
      </c>
      <c r="C191" s="1" t="n">
        <v>45886</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24486-2024</t>
        </is>
      </c>
      <c r="B192" s="1" t="n">
        <v>45459.62336805555</v>
      </c>
      <c r="C192" s="1" t="n">
        <v>45886</v>
      </c>
      <c r="D192" t="inlineStr">
        <is>
          <t>DALARNAS LÄN</t>
        </is>
      </c>
      <c r="E192" t="inlineStr">
        <is>
          <t>HEDEMORA</t>
        </is>
      </c>
      <c r="G192" t="n">
        <v>0.3</v>
      </c>
      <c r="H192" t="n">
        <v>0</v>
      </c>
      <c r="I192" t="n">
        <v>0</v>
      </c>
      <c r="J192" t="n">
        <v>0</v>
      </c>
      <c r="K192" t="n">
        <v>0</v>
      </c>
      <c r="L192" t="n">
        <v>0</v>
      </c>
      <c r="M192" t="n">
        <v>0</v>
      </c>
      <c r="N192" t="n">
        <v>0</v>
      </c>
      <c r="O192" t="n">
        <v>0</v>
      </c>
      <c r="P192" t="n">
        <v>0</v>
      </c>
      <c r="Q192" t="n">
        <v>0</v>
      </c>
      <c r="R192" s="2" t="inlineStr"/>
    </row>
    <row r="193" ht="15" customHeight="1">
      <c r="A193" t="inlineStr">
        <is>
          <t>A 31825-2024</t>
        </is>
      </c>
      <c r="B193" s="1" t="n">
        <v>45509.60949074074</v>
      </c>
      <c r="C193" s="1" t="n">
        <v>45886</v>
      </c>
      <c r="D193" t="inlineStr">
        <is>
          <t>DALARNAS LÄN</t>
        </is>
      </c>
      <c r="E193" t="inlineStr">
        <is>
          <t>HEDEMORA</t>
        </is>
      </c>
      <c r="G193" t="n">
        <v>0.1</v>
      </c>
      <c r="H193" t="n">
        <v>0</v>
      </c>
      <c r="I193" t="n">
        <v>0</v>
      </c>
      <c r="J193" t="n">
        <v>0</v>
      </c>
      <c r="K193" t="n">
        <v>0</v>
      </c>
      <c r="L193" t="n">
        <v>0</v>
      </c>
      <c r="M193" t="n">
        <v>0</v>
      </c>
      <c r="N193" t="n">
        <v>0</v>
      </c>
      <c r="O193" t="n">
        <v>0</v>
      </c>
      <c r="P193" t="n">
        <v>0</v>
      </c>
      <c r="Q193" t="n">
        <v>0</v>
      </c>
      <c r="R193" s="2" t="inlineStr"/>
    </row>
    <row r="194" ht="15" customHeight="1">
      <c r="A194" t="inlineStr">
        <is>
          <t>A 26705-2025</t>
        </is>
      </c>
      <c r="B194" s="1" t="n">
        <v>45810.45325231482</v>
      </c>
      <c r="C194" s="1" t="n">
        <v>45886</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29587-2024</t>
        </is>
      </c>
      <c r="B195" s="1" t="n">
        <v>45484.5799537037</v>
      </c>
      <c r="C195" s="1" t="n">
        <v>45886</v>
      </c>
      <c r="D195" t="inlineStr">
        <is>
          <t>DALARNAS LÄN</t>
        </is>
      </c>
      <c r="E195" t="inlineStr">
        <is>
          <t>HEDEMORA</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36304-2024</t>
        </is>
      </c>
      <c r="B196" s="1" t="n">
        <v>45534.61217592593</v>
      </c>
      <c r="C196" s="1" t="n">
        <v>45886</v>
      </c>
      <c r="D196" t="inlineStr">
        <is>
          <t>DALARNAS LÄN</t>
        </is>
      </c>
      <c r="E196" t="inlineStr">
        <is>
          <t>HEDEMORA</t>
        </is>
      </c>
      <c r="F196" t="inlineStr">
        <is>
          <t>Sveaskog</t>
        </is>
      </c>
      <c r="G196" t="n">
        <v>6.1</v>
      </c>
      <c r="H196" t="n">
        <v>0</v>
      </c>
      <c r="I196" t="n">
        <v>0</v>
      </c>
      <c r="J196" t="n">
        <v>0</v>
      </c>
      <c r="K196" t="n">
        <v>0</v>
      </c>
      <c r="L196" t="n">
        <v>0</v>
      </c>
      <c r="M196" t="n">
        <v>0</v>
      </c>
      <c r="N196" t="n">
        <v>0</v>
      </c>
      <c r="O196" t="n">
        <v>0</v>
      </c>
      <c r="P196" t="n">
        <v>0</v>
      </c>
      <c r="Q196" t="n">
        <v>0</v>
      </c>
      <c r="R196" s="2" t="inlineStr"/>
    </row>
    <row r="197" ht="15" customHeight="1">
      <c r="A197" t="inlineStr">
        <is>
          <t>A 40707-2023</t>
        </is>
      </c>
      <c r="B197" s="1" t="n">
        <v>45170.62489583333</v>
      </c>
      <c r="C197" s="1" t="n">
        <v>45886</v>
      </c>
      <c r="D197" t="inlineStr">
        <is>
          <t>DALARNAS LÄN</t>
        </is>
      </c>
      <c r="E197" t="inlineStr">
        <is>
          <t>HEDEMORA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20271-2025</t>
        </is>
      </c>
      <c r="B198" s="1" t="n">
        <v>45773.71568287037</v>
      </c>
      <c r="C198" s="1" t="n">
        <v>45886</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35103-2025</t>
        </is>
      </c>
      <c r="B199" s="1" t="n">
        <v>45852.56914351852</v>
      </c>
      <c r="C199" s="1" t="n">
        <v>45886</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7052-2025</t>
        </is>
      </c>
      <c r="B200" s="1" t="n">
        <v>45701.64659722222</v>
      </c>
      <c r="C200" s="1" t="n">
        <v>45886</v>
      </c>
      <c r="D200" t="inlineStr">
        <is>
          <t>DALARNAS LÄN</t>
        </is>
      </c>
      <c r="E200" t="inlineStr">
        <is>
          <t>HEDEMORA</t>
        </is>
      </c>
      <c r="G200" t="n">
        <v>0.9</v>
      </c>
      <c r="H200" t="n">
        <v>0</v>
      </c>
      <c r="I200" t="n">
        <v>0</v>
      </c>
      <c r="J200" t="n">
        <v>0</v>
      </c>
      <c r="K200" t="n">
        <v>0</v>
      </c>
      <c r="L200" t="n">
        <v>0</v>
      </c>
      <c r="M200" t="n">
        <v>0</v>
      </c>
      <c r="N200" t="n">
        <v>0</v>
      </c>
      <c r="O200" t="n">
        <v>0</v>
      </c>
      <c r="P200" t="n">
        <v>0</v>
      </c>
      <c r="Q200" t="n">
        <v>0</v>
      </c>
      <c r="R200" s="2" t="inlineStr"/>
    </row>
    <row r="201" ht="15" customHeight="1">
      <c r="A201" t="inlineStr">
        <is>
          <t>A 41642-2023</t>
        </is>
      </c>
      <c r="B201" s="1" t="n">
        <v>45175</v>
      </c>
      <c r="C201" s="1" t="n">
        <v>45886</v>
      </c>
      <c r="D201" t="inlineStr">
        <is>
          <t>DALARNAS LÄN</t>
        </is>
      </c>
      <c r="E201" t="inlineStr">
        <is>
          <t>HEDEMORA</t>
        </is>
      </c>
      <c r="G201" t="n">
        <v>2.8</v>
      </c>
      <c r="H201" t="n">
        <v>0</v>
      </c>
      <c r="I201" t="n">
        <v>0</v>
      </c>
      <c r="J201" t="n">
        <v>0</v>
      </c>
      <c r="K201" t="n">
        <v>0</v>
      </c>
      <c r="L201" t="n">
        <v>0</v>
      </c>
      <c r="M201" t="n">
        <v>0</v>
      </c>
      <c r="N201" t="n">
        <v>0</v>
      </c>
      <c r="O201" t="n">
        <v>0</v>
      </c>
      <c r="P201" t="n">
        <v>0</v>
      </c>
      <c r="Q201" t="n">
        <v>0</v>
      </c>
      <c r="R201" s="2" t="inlineStr"/>
    </row>
    <row r="202" ht="15" customHeight="1">
      <c r="A202" t="inlineStr">
        <is>
          <t>A 60774-2022</t>
        </is>
      </c>
      <c r="B202" s="1" t="n">
        <v>44914.37917824074</v>
      </c>
      <c r="C202" s="1" t="n">
        <v>45886</v>
      </c>
      <c r="D202" t="inlineStr">
        <is>
          <t>DALARNAS LÄN</t>
        </is>
      </c>
      <c r="E202" t="inlineStr">
        <is>
          <t>HEDEMORA</t>
        </is>
      </c>
      <c r="G202" t="n">
        <v>11.5</v>
      </c>
      <c r="H202" t="n">
        <v>0</v>
      </c>
      <c r="I202" t="n">
        <v>0</v>
      </c>
      <c r="J202" t="n">
        <v>0</v>
      </c>
      <c r="K202" t="n">
        <v>0</v>
      </c>
      <c r="L202" t="n">
        <v>0</v>
      </c>
      <c r="M202" t="n">
        <v>0</v>
      </c>
      <c r="N202" t="n">
        <v>0</v>
      </c>
      <c r="O202" t="n">
        <v>0</v>
      </c>
      <c r="P202" t="n">
        <v>0</v>
      </c>
      <c r="Q202" t="n">
        <v>0</v>
      </c>
      <c r="R202" s="2" t="inlineStr"/>
    </row>
    <row r="203" ht="15" customHeight="1">
      <c r="A203" t="inlineStr">
        <is>
          <t>A 2996-2023</t>
        </is>
      </c>
      <c r="B203" s="1" t="n">
        <v>44945</v>
      </c>
      <c r="C203" s="1" t="n">
        <v>45886</v>
      </c>
      <c r="D203" t="inlineStr">
        <is>
          <t>DALARNAS LÄN</t>
        </is>
      </c>
      <c r="E203" t="inlineStr">
        <is>
          <t>HEDEMORA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17645-2022</t>
        </is>
      </c>
      <c r="B204" s="1" t="n">
        <v>44680.47903935185</v>
      </c>
      <c r="C204" s="1" t="n">
        <v>45886</v>
      </c>
      <c r="D204" t="inlineStr">
        <is>
          <t>DALARNAS LÄN</t>
        </is>
      </c>
      <c r="E204" t="inlineStr">
        <is>
          <t>HEDEMORA</t>
        </is>
      </c>
      <c r="G204" t="n">
        <v>1.3</v>
      </c>
      <c r="H204" t="n">
        <v>0</v>
      </c>
      <c r="I204" t="n">
        <v>0</v>
      </c>
      <c r="J204" t="n">
        <v>0</v>
      </c>
      <c r="K204" t="n">
        <v>0</v>
      </c>
      <c r="L204" t="n">
        <v>0</v>
      </c>
      <c r="M204" t="n">
        <v>0</v>
      </c>
      <c r="N204" t="n">
        <v>0</v>
      </c>
      <c r="O204" t="n">
        <v>0</v>
      </c>
      <c r="P204" t="n">
        <v>0</v>
      </c>
      <c r="Q204" t="n">
        <v>0</v>
      </c>
      <c r="R204" s="2" t="inlineStr"/>
    </row>
    <row r="205" ht="15" customHeight="1">
      <c r="A205" t="inlineStr">
        <is>
          <t>A 17222-2025</t>
        </is>
      </c>
      <c r="B205" s="1" t="n">
        <v>45756.45504629629</v>
      </c>
      <c r="C205" s="1" t="n">
        <v>45886</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59232-2023</t>
        </is>
      </c>
      <c r="B206" s="1" t="n">
        <v>45253.5053587963</v>
      </c>
      <c r="C206" s="1" t="n">
        <v>45886</v>
      </c>
      <c r="D206" t="inlineStr">
        <is>
          <t>DALARNAS LÄN</t>
        </is>
      </c>
      <c r="E206" t="inlineStr">
        <is>
          <t>HEDEMORA</t>
        </is>
      </c>
      <c r="G206" t="n">
        <v>3.7</v>
      </c>
      <c r="H206" t="n">
        <v>0</v>
      </c>
      <c r="I206" t="n">
        <v>0</v>
      </c>
      <c r="J206" t="n">
        <v>0</v>
      </c>
      <c r="K206" t="n">
        <v>0</v>
      </c>
      <c r="L206" t="n">
        <v>0</v>
      </c>
      <c r="M206" t="n">
        <v>0</v>
      </c>
      <c r="N206" t="n">
        <v>0</v>
      </c>
      <c r="O206" t="n">
        <v>0</v>
      </c>
      <c r="P206" t="n">
        <v>0</v>
      </c>
      <c r="Q206" t="n">
        <v>0</v>
      </c>
      <c r="R206" s="2" t="inlineStr"/>
    </row>
    <row r="207" ht="15" customHeight="1">
      <c r="A207" t="inlineStr">
        <is>
          <t>A 60780-2024</t>
        </is>
      </c>
      <c r="B207" s="1" t="n">
        <v>45644.59017361111</v>
      </c>
      <c r="C207" s="1" t="n">
        <v>45886</v>
      </c>
      <c r="D207" t="inlineStr">
        <is>
          <t>DALARNAS LÄN</t>
        </is>
      </c>
      <c r="E207" t="inlineStr">
        <is>
          <t>HEDEMORA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62046-2022</t>
        </is>
      </c>
      <c r="B208" s="1" t="n">
        <v>44918.5633912037</v>
      </c>
      <c r="C208" s="1" t="n">
        <v>45886</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28180-2025</t>
        </is>
      </c>
      <c r="B209" s="1" t="n">
        <v>45818.39755787037</v>
      </c>
      <c r="C209" s="1" t="n">
        <v>45886</v>
      </c>
      <c r="D209" t="inlineStr">
        <is>
          <t>DALARNAS LÄN</t>
        </is>
      </c>
      <c r="E209" t="inlineStr">
        <is>
          <t>HEDEMORA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28182-2025</t>
        </is>
      </c>
      <c r="B210" s="1" t="n">
        <v>45818.40069444444</v>
      </c>
      <c r="C210" s="1" t="n">
        <v>45886</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19604-2024</t>
        </is>
      </c>
      <c r="B211" s="1" t="n">
        <v>45431.90135416666</v>
      </c>
      <c r="C211" s="1" t="n">
        <v>45886</v>
      </c>
      <c r="D211" t="inlineStr">
        <is>
          <t>DALARNAS LÄN</t>
        </is>
      </c>
      <c r="E211" t="inlineStr">
        <is>
          <t>HEDEMORA</t>
        </is>
      </c>
      <c r="F211" t="inlineStr">
        <is>
          <t>Bergvik skog väst AB</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61886-2022</t>
        </is>
      </c>
      <c r="B212" s="1" t="n">
        <v>44917.67582175926</v>
      </c>
      <c r="C212" s="1" t="n">
        <v>45886</v>
      </c>
      <c r="D212" t="inlineStr">
        <is>
          <t>DALARNAS LÄN</t>
        </is>
      </c>
      <c r="E212" t="inlineStr">
        <is>
          <t>HEDEMORA</t>
        </is>
      </c>
      <c r="G212" t="n">
        <v>1.9</v>
      </c>
      <c r="H212" t="n">
        <v>0</v>
      </c>
      <c r="I212" t="n">
        <v>0</v>
      </c>
      <c r="J212" t="n">
        <v>0</v>
      </c>
      <c r="K212" t="n">
        <v>0</v>
      </c>
      <c r="L212" t="n">
        <v>0</v>
      </c>
      <c r="M212" t="n">
        <v>0</v>
      </c>
      <c r="N212" t="n">
        <v>0</v>
      </c>
      <c r="O212" t="n">
        <v>0</v>
      </c>
      <c r="P212" t="n">
        <v>0</v>
      </c>
      <c r="Q212" t="n">
        <v>0</v>
      </c>
      <c r="R212" s="2" t="inlineStr"/>
    </row>
    <row r="213" ht="15" customHeight="1">
      <c r="A213" t="inlineStr">
        <is>
          <t>A 28183-2025</t>
        </is>
      </c>
      <c r="B213" s="1" t="n">
        <v>45818.4021875</v>
      </c>
      <c r="C213" s="1" t="n">
        <v>45886</v>
      </c>
      <c r="D213" t="inlineStr">
        <is>
          <t>DALARNAS LÄN</t>
        </is>
      </c>
      <c r="E213" t="inlineStr">
        <is>
          <t>HEDEMORA</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45589-2023</t>
        </is>
      </c>
      <c r="B214" s="1" t="n">
        <v>45194.63086805555</v>
      </c>
      <c r="C214" s="1" t="n">
        <v>45886</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36935-2024</t>
        </is>
      </c>
      <c r="B215" s="1" t="n">
        <v>45538.56925925926</v>
      </c>
      <c r="C215" s="1" t="n">
        <v>45886</v>
      </c>
      <c r="D215" t="inlineStr">
        <is>
          <t>DALARNAS LÄN</t>
        </is>
      </c>
      <c r="E215" t="inlineStr">
        <is>
          <t>HEDEMORA</t>
        </is>
      </c>
      <c r="G215" t="n">
        <v>1.4</v>
      </c>
      <c r="H215" t="n">
        <v>0</v>
      </c>
      <c r="I215" t="n">
        <v>0</v>
      </c>
      <c r="J215" t="n">
        <v>0</v>
      </c>
      <c r="K215" t="n">
        <v>0</v>
      </c>
      <c r="L215" t="n">
        <v>0</v>
      </c>
      <c r="M215" t="n">
        <v>0</v>
      </c>
      <c r="N215" t="n">
        <v>0</v>
      </c>
      <c r="O215" t="n">
        <v>0</v>
      </c>
      <c r="P215" t="n">
        <v>0</v>
      </c>
      <c r="Q215" t="n">
        <v>0</v>
      </c>
      <c r="R215" s="2" t="inlineStr"/>
    </row>
    <row r="216" ht="15" customHeight="1">
      <c r="A216" t="inlineStr">
        <is>
          <t>A 34409-2022</t>
        </is>
      </c>
      <c r="B216" s="1" t="n">
        <v>44792</v>
      </c>
      <c r="C216" s="1" t="n">
        <v>45886</v>
      </c>
      <c r="D216" t="inlineStr">
        <is>
          <t>DALARNAS LÄN</t>
        </is>
      </c>
      <c r="E216" t="inlineStr">
        <is>
          <t>HEDEMORA</t>
        </is>
      </c>
      <c r="G216" t="n">
        <v>13.7</v>
      </c>
      <c r="H216" t="n">
        <v>0</v>
      </c>
      <c r="I216" t="n">
        <v>0</v>
      </c>
      <c r="J216" t="n">
        <v>0</v>
      </c>
      <c r="K216" t="n">
        <v>0</v>
      </c>
      <c r="L216" t="n">
        <v>0</v>
      </c>
      <c r="M216" t="n">
        <v>0</v>
      </c>
      <c r="N216" t="n">
        <v>0</v>
      </c>
      <c r="O216" t="n">
        <v>0</v>
      </c>
      <c r="P216" t="n">
        <v>0</v>
      </c>
      <c r="Q216" t="n">
        <v>0</v>
      </c>
      <c r="R216" s="2" t="inlineStr"/>
    </row>
    <row r="217" ht="15" customHeight="1">
      <c r="A217" t="inlineStr">
        <is>
          <t>A 37761-2024</t>
        </is>
      </c>
      <c r="B217" s="1" t="n">
        <v>45541.78678240741</v>
      </c>
      <c r="C217" s="1" t="n">
        <v>45886</v>
      </c>
      <c r="D217" t="inlineStr">
        <is>
          <t>DALARNAS LÄN</t>
        </is>
      </c>
      <c r="E217" t="inlineStr">
        <is>
          <t>HEDEMORA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36075-2025</t>
        </is>
      </c>
      <c r="B218" s="1" t="n">
        <v>45866.43974537037</v>
      </c>
      <c r="C218" s="1" t="n">
        <v>45886</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36103-2025</t>
        </is>
      </c>
      <c r="B219" s="1" t="n">
        <v>45866.55335648148</v>
      </c>
      <c r="C219" s="1" t="n">
        <v>45886</v>
      </c>
      <c r="D219" t="inlineStr">
        <is>
          <t>DALARNAS LÄN</t>
        </is>
      </c>
      <c r="E219" t="inlineStr">
        <is>
          <t>HEDEMORA</t>
        </is>
      </c>
      <c r="G219" t="n">
        <v>2.3</v>
      </c>
      <c r="H219" t="n">
        <v>0</v>
      </c>
      <c r="I219" t="n">
        <v>0</v>
      </c>
      <c r="J219" t="n">
        <v>0</v>
      </c>
      <c r="K219" t="n">
        <v>0</v>
      </c>
      <c r="L219" t="n">
        <v>0</v>
      </c>
      <c r="M219" t="n">
        <v>0</v>
      </c>
      <c r="N219" t="n">
        <v>0</v>
      </c>
      <c r="O219" t="n">
        <v>0</v>
      </c>
      <c r="P219" t="n">
        <v>0</v>
      </c>
      <c r="Q219" t="n">
        <v>0</v>
      </c>
      <c r="R219" s="2" t="inlineStr"/>
    </row>
    <row r="220" ht="15" customHeight="1">
      <c r="A220" t="inlineStr">
        <is>
          <t>A 3089-2024</t>
        </is>
      </c>
      <c r="B220" s="1" t="n">
        <v>45316</v>
      </c>
      <c r="C220" s="1" t="n">
        <v>45886</v>
      </c>
      <c r="D220" t="inlineStr">
        <is>
          <t>DALARNAS LÄN</t>
        </is>
      </c>
      <c r="E220" t="inlineStr">
        <is>
          <t>HEDEMORA</t>
        </is>
      </c>
      <c r="G220" t="n">
        <v>5.5</v>
      </c>
      <c r="H220" t="n">
        <v>0</v>
      </c>
      <c r="I220" t="n">
        <v>0</v>
      </c>
      <c r="J220" t="n">
        <v>0</v>
      </c>
      <c r="K220" t="n">
        <v>0</v>
      </c>
      <c r="L220" t="n">
        <v>0</v>
      </c>
      <c r="M220" t="n">
        <v>0</v>
      </c>
      <c r="N220" t="n">
        <v>0</v>
      </c>
      <c r="O220" t="n">
        <v>0</v>
      </c>
      <c r="P220" t="n">
        <v>0</v>
      </c>
      <c r="Q220" t="n">
        <v>0</v>
      </c>
      <c r="R220" s="2" t="inlineStr"/>
    </row>
    <row r="221" ht="15" customHeight="1">
      <c r="A221" t="inlineStr">
        <is>
          <t>A 36117-2025</t>
        </is>
      </c>
      <c r="B221" s="1" t="n">
        <v>45866.58664351852</v>
      </c>
      <c r="C221" s="1" t="n">
        <v>45886</v>
      </c>
      <c r="D221" t="inlineStr">
        <is>
          <t>DALARNAS LÄN</t>
        </is>
      </c>
      <c r="E221" t="inlineStr">
        <is>
          <t>HEDEMORA</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36206-2025</t>
        </is>
      </c>
      <c r="B222" s="1" t="n">
        <v>45867.45057870371</v>
      </c>
      <c r="C222" s="1" t="n">
        <v>45886</v>
      </c>
      <c r="D222" t="inlineStr">
        <is>
          <t>DALARNAS LÄN</t>
        </is>
      </c>
      <c r="E222" t="inlineStr">
        <is>
          <t>HEDEMORA</t>
        </is>
      </c>
      <c r="G222" t="n">
        <v>0.1</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45886</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29690-2025</t>
        </is>
      </c>
      <c r="B224" s="1" t="n">
        <v>45825.53508101852</v>
      </c>
      <c r="C224" s="1" t="n">
        <v>45886</v>
      </c>
      <c r="D224" t="inlineStr">
        <is>
          <t>DALARNAS LÄN</t>
        </is>
      </c>
      <c r="E224" t="inlineStr">
        <is>
          <t>HEDEMORA</t>
        </is>
      </c>
      <c r="G224" t="n">
        <v>4.1</v>
      </c>
      <c r="H224" t="n">
        <v>0</v>
      </c>
      <c r="I224" t="n">
        <v>0</v>
      </c>
      <c r="J224" t="n">
        <v>0</v>
      </c>
      <c r="K224" t="n">
        <v>0</v>
      </c>
      <c r="L224" t="n">
        <v>0</v>
      </c>
      <c r="M224" t="n">
        <v>0</v>
      </c>
      <c r="N224" t="n">
        <v>0</v>
      </c>
      <c r="O224" t="n">
        <v>0</v>
      </c>
      <c r="P224" t="n">
        <v>0</v>
      </c>
      <c r="Q224" t="n">
        <v>0</v>
      </c>
      <c r="R224" s="2" t="inlineStr"/>
    </row>
    <row r="225" ht="15" customHeight="1">
      <c r="A225" t="inlineStr">
        <is>
          <t>A 30471-2025</t>
        </is>
      </c>
      <c r="B225" s="1" t="n">
        <v>45827.94552083333</v>
      </c>
      <c r="C225" s="1" t="n">
        <v>45886</v>
      </c>
      <c r="D225" t="inlineStr">
        <is>
          <t>DALARNAS LÄN</t>
        </is>
      </c>
      <c r="E225" t="inlineStr">
        <is>
          <t>HEDEMORA</t>
        </is>
      </c>
      <c r="G225" t="n">
        <v>0.3</v>
      </c>
      <c r="H225" t="n">
        <v>0</v>
      </c>
      <c r="I225" t="n">
        <v>0</v>
      </c>
      <c r="J225" t="n">
        <v>0</v>
      </c>
      <c r="K225" t="n">
        <v>0</v>
      </c>
      <c r="L225" t="n">
        <v>0</v>
      </c>
      <c r="M225" t="n">
        <v>0</v>
      </c>
      <c r="N225" t="n">
        <v>0</v>
      </c>
      <c r="O225" t="n">
        <v>0</v>
      </c>
      <c r="P225" t="n">
        <v>0</v>
      </c>
      <c r="Q225" t="n">
        <v>0</v>
      </c>
      <c r="R225" s="2" t="inlineStr"/>
    </row>
    <row r="226" ht="15" customHeight="1">
      <c r="A226" t="inlineStr">
        <is>
          <t>A 60786-2023</t>
        </is>
      </c>
      <c r="B226" s="1" t="n">
        <v>45260.64891203704</v>
      </c>
      <c r="C226" s="1" t="n">
        <v>45886</v>
      </c>
      <c r="D226" t="inlineStr">
        <is>
          <t>DALARNAS LÄN</t>
        </is>
      </c>
      <c r="E226" t="inlineStr">
        <is>
          <t>HEDEMORA</t>
        </is>
      </c>
      <c r="G226" t="n">
        <v>7.1</v>
      </c>
      <c r="H226" t="n">
        <v>0</v>
      </c>
      <c r="I226" t="n">
        <v>0</v>
      </c>
      <c r="J226" t="n">
        <v>0</v>
      </c>
      <c r="K226" t="n">
        <v>0</v>
      </c>
      <c r="L226" t="n">
        <v>0</v>
      </c>
      <c r="M226" t="n">
        <v>0</v>
      </c>
      <c r="N226" t="n">
        <v>0</v>
      </c>
      <c r="O226" t="n">
        <v>0</v>
      </c>
      <c r="P226" t="n">
        <v>0</v>
      </c>
      <c r="Q226" t="n">
        <v>0</v>
      </c>
      <c r="R226" s="2" t="inlineStr"/>
    </row>
    <row r="227" ht="15" customHeight="1">
      <c r="A227" t="inlineStr">
        <is>
          <t>A 30472-2025</t>
        </is>
      </c>
      <c r="B227" s="1" t="n">
        <v>45827.94671296296</v>
      </c>
      <c r="C227" s="1" t="n">
        <v>45886</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29128-2025</t>
        </is>
      </c>
      <c r="B228" s="1" t="n">
        <v>45821.60116898148</v>
      </c>
      <c r="C228" s="1" t="n">
        <v>45886</v>
      </c>
      <c r="D228" t="inlineStr">
        <is>
          <t>DALARNAS LÄN</t>
        </is>
      </c>
      <c r="E228" t="inlineStr">
        <is>
          <t>HEDEMORA</t>
        </is>
      </c>
      <c r="F228" t="inlineStr">
        <is>
          <t>Sveaskog</t>
        </is>
      </c>
      <c r="G228" t="n">
        <v>15.5</v>
      </c>
      <c r="H228" t="n">
        <v>0</v>
      </c>
      <c r="I228" t="n">
        <v>0</v>
      </c>
      <c r="J228" t="n">
        <v>0</v>
      </c>
      <c r="K228" t="n">
        <v>0</v>
      </c>
      <c r="L228" t="n">
        <v>0</v>
      </c>
      <c r="M228" t="n">
        <v>0</v>
      </c>
      <c r="N228" t="n">
        <v>0</v>
      </c>
      <c r="O228" t="n">
        <v>0</v>
      </c>
      <c r="P228" t="n">
        <v>0</v>
      </c>
      <c r="Q228" t="n">
        <v>0</v>
      </c>
      <c r="R228" s="2" t="inlineStr"/>
    </row>
    <row r="229" ht="15" customHeight="1">
      <c r="A229" t="inlineStr">
        <is>
          <t>A 29792-2025</t>
        </is>
      </c>
      <c r="B229" s="1" t="n">
        <v>45825.66416666667</v>
      </c>
      <c r="C229" s="1" t="n">
        <v>45886</v>
      </c>
      <c r="D229" t="inlineStr">
        <is>
          <t>DALARNAS LÄN</t>
        </is>
      </c>
      <c r="E229" t="inlineStr">
        <is>
          <t>HEDEMORA</t>
        </is>
      </c>
      <c r="F229" t="inlineStr">
        <is>
          <t>Sveaskog</t>
        </is>
      </c>
      <c r="G229" t="n">
        <v>26.3</v>
      </c>
      <c r="H229" t="n">
        <v>0</v>
      </c>
      <c r="I229" t="n">
        <v>0</v>
      </c>
      <c r="J229" t="n">
        <v>0</v>
      </c>
      <c r="K229" t="n">
        <v>0</v>
      </c>
      <c r="L229" t="n">
        <v>0</v>
      </c>
      <c r="M229" t="n">
        <v>0</v>
      </c>
      <c r="N229" t="n">
        <v>0</v>
      </c>
      <c r="O229" t="n">
        <v>0</v>
      </c>
      <c r="P229" t="n">
        <v>0</v>
      </c>
      <c r="Q229" t="n">
        <v>0</v>
      </c>
      <c r="R229" s="2" t="inlineStr"/>
    </row>
    <row r="230" ht="15" customHeight="1">
      <c r="A230" t="inlineStr">
        <is>
          <t>A 61671-2023</t>
        </is>
      </c>
      <c r="B230" s="1" t="n">
        <v>45265</v>
      </c>
      <c r="C230" s="1" t="n">
        <v>45886</v>
      </c>
      <c r="D230" t="inlineStr">
        <is>
          <t>DALARNAS LÄN</t>
        </is>
      </c>
      <c r="E230" t="inlineStr">
        <is>
          <t>HEDEMORA</t>
        </is>
      </c>
      <c r="F230" t="inlineStr">
        <is>
          <t>Bergvik skog väst AB</t>
        </is>
      </c>
      <c r="G230" t="n">
        <v>6.5</v>
      </c>
      <c r="H230" t="n">
        <v>0</v>
      </c>
      <c r="I230" t="n">
        <v>0</v>
      </c>
      <c r="J230" t="n">
        <v>0</v>
      </c>
      <c r="K230" t="n">
        <v>0</v>
      </c>
      <c r="L230" t="n">
        <v>0</v>
      </c>
      <c r="M230" t="n">
        <v>0</v>
      </c>
      <c r="N230" t="n">
        <v>0</v>
      </c>
      <c r="O230" t="n">
        <v>0</v>
      </c>
      <c r="P230" t="n">
        <v>0</v>
      </c>
      <c r="Q230" t="n">
        <v>0</v>
      </c>
      <c r="R230" s="2" t="inlineStr"/>
    </row>
    <row r="231" ht="15" customHeight="1">
      <c r="A231" t="inlineStr">
        <is>
          <t>A 17594-2025</t>
        </is>
      </c>
      <c r="B231" s="1" t="n">
        <v>45757</v>
      </c>
      <c r="C231" s="1" t="n">
        <v>45886</v>
      </c>
      <c r="D231" t="inlineStr">
        <is>
          <t>DALARNAS LÄN</t>
        </is>
      </c>
      <c r="E231" t="inlineStr">
        <is>
          <t>HEDEMORA</t>
        </is>
      </c>
      <c r="G231" t="n">
        <v>0.6</v>
      </c>
      <c r="H231" t="n">
        <v>0</v>
      </c>
      <c r="I231" t="n">
        <v>0</v>
      </c>
      <c r="J231" t="n">
        <v>0</v>
      </c>
      <c r="K231" t="n">
        <v>0</v>
      </c>
      <c r="L231" t="n">
        <v>0</v>
      </c>
      <c r="M231" t="n">
        <v>0</v>
      </c>
      <c r="N231" t="n">
        <v>0</v>
      </c>
      <c r="O231" t="n">
        <v>0</v>
      </c>
      <c r="P231" t="n">
        <v>0</v>
      </c>
      <c r="Q231" t="n">
        <v>0</v>
      </c>
      <c r="R231" s="2" t="inlineStr"/>
    </row>
    <row r="232" ht="15" customHeight="1">
      <c r="A232" t="inlineStr">
        <is>
          <t>A 36656-2025</t>
        </is>
      </c>
      <c r="B232" s="1" t="n">
        <v>45873.34642361111</v>
      </c>
      <c r="C232" s="1" t="n">
        <v>45886</v>
      </c>
      <c r="D232" t="inlineStr">
        <is>
          <t>DALARNAS LÄN</t>
        </is>
      </c>
      <c r="E232" t="inlineStr">
        <is>
          <t>HEDEMORA</t>
        </is>
      </c>
      <c r="G232" t="n">
        <v>1.7</v>
      </c>
      <c r="H232" t="n">
        <v>0</v>
      </c>
      <c r="I232" t="n">
        <v>0</v>
      </c>
      <c r="J232" t="n">
        <v>0</v>
      </c>
      <c r="K232" t="n">
        <v>0</v>
      </c>
      <c r="L232" t="n">
        <v>0</v>
      </c>
      <c r="M232" t="n">
        <v>0</v>
      </c>
      <c r="N232" t="n">
        <v>0</v>
      </c>
      <c r="O232" t="n">
        <v>0</v>
      </c>
      <c r="P232" t="n">
        <v>0</v>
      </c>
      <c r="Q232" t="n">
        <v>0</v>
      </c>
      <c r="R232" s="2" t="inlineStr"/>
    </row>
    <row r="233" ht="15" customHeight="1">
      <c r="A233" t="inlineStr">
        <is>
          <t>A 20237-2023</t>
        </is>
      </c>
      <c r="B233" s="1" t="n">
        <v>45055</v>
      </c>
      <c r="C233" s="1" t="n">
        <v>45886</v>
      </c>
      <c r="D233" t="inlineStr">
        <is>
          <t>DALARNAS LÄN</t>
        </is>
      </c>
      <c r="E233" t="inlineStr">
        <is>
          <t>HEDEMORA</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15863-2023</t>
        </is>
      </c>
      <c r="B234" s="1" t="n">
        <v>45022</v>
      </c>
      <c r="C234" s="1" t="n">
        <v>45886</v>
      </c>
      <c r="D234" t="inlineStr">
        <is>
          <t>DALARNAS LÄN</t>
        </is>
      </c>
      <c r="E234" t="inlineStr">
        <is>
          <t>HEDEMORA</t>
        </is>
      </c>
      <c r="F234" t="inlineStr">
        <is>
          <t>Bergvik skog väst AB</t>
        </is>
      </c>
      <c r="G234" t="n">
        <v>4.7</v>
      </c>
      <c r="H234" t="n">
        <v>0</v>
      </c>
      <c r="I234" t="n">
        <v>0</v>
      </c>
      <c r="J234" t="n">
        <v>0</v>
      </c>
      <c r="K234" t="n">
        <v>0</v>
      </c>
      <c r="L234" t="n">
        <v>0</v>
      </c>
      <c r="M234" t="n">
        <v>0</v>
      </c>
      <c r="N234" t="n">
        <v>0</v>
      </c>
      <c r="O234" t="n">
        <v>0</v>
      </c>
      <c r="P234" t="n">
        <v>0</v>
      </c>
      <c r="Q234" t="n">
        <v>0</v>
      </c>
      <c r="R234" s="2" t="inlineStr"/>
    </row>
    <row r="235" ht="15" customHeight="1">
      <c r="A235" t="inlineStr">
        <is>
          <t>A 37762-2024</t>
        </is>
      </c>
      <c r="B235" s="1" t="n">
        <v>45541.79369212963</v>
      </c>
      <c r="C235" s="1" t="n">
        <v>45886</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5010-2023</t>
        </is>
      </c>
      <c r="B236" s="1" t="n">
        <v>44956</v>
      </c>
      <c r="C236" s="1" t="n">
        <v>45886</v>
      </c>
      <c r="D236" t="inlineStr">
        <is>
          <t>DALARNAS LÄN</t>
        </is>
      </c>
      <c r="E236" t="inlineStr">
        <is>
          <t>HEDEMORA</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30582-2025</t>
        </is>
      </c>
      <c r="B237" s="1" t="n">
        <v>45831.42349537037</v>
      </c>
      <c r="C237" s="1" t="n">
        <v>45886</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62188-2023</t>
        </is>
      </c>
      <c r="B238" s="1" t="n">
        <v>45267</v>
      </c>
      <c r="C238" s="1" t="n">
        <v>45886</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60408-2021</t>
        </is>
      </c>
      <c r="B239" s="1" t="n">
        <v>44495</v>
      </c>
      <c r="C239" s="1" t="n">
        <v>45886</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62401-2023</t>
        </is>
      </c>
      <c r="B240" s="1" t="n">
        <v>45268</v>
      </c>
      <c r="C240" s="1" t="n">
        <v>45886</v>
      </c>
      <c r="D240" t="inlineStr">
        <is>
          <t>DALARNAS LÄN</t>
        </is>
      </c>
      <c r="E240" t="inlineStr">
        <is>
          <t>HEDEMORA</t>
        </is>
      </c>
      <c r="G240" t="n">
        <v>1.6</v>
      </c>
      <c r="H240" t="n">
        <v>0</v>
      </c>
      <c r="I240" t="n">
        <v>0</v>
      </c>
      <c r="J240" t="n">
        <v>0</v>
      </c>
      <c r="K240" t="n">
        <v>0</v>
      </c>
      <c r="L240" t="n">
        <v>0</v>
      </c>
      <c r="M240" t="n">
        <v>0</v>
      </c>
      <c r="N240" t="n">
        <v>0</v>
      </c>
      <c r="O240" t="n">
        <v>0</v>
      </c>
      <c r="P240" t="n">
        <v>0</v>
      </c>
      <c r="Q240" t="n">
        <v>0</v>
      </c>
      <c r="R240" s="2" t="inlineStr"/>
    </row>
    <row r="241" ht="15" customHeight="1">
      <c r="A241" t="inlineStr">
        <is>
          <t>A 1978-2021</t>
        </is>
      </c>
      <c r="B241" s="1" t="n">
        <v>44210.67606481481</v>
      </c>
      <c r="C241" s="1" t="n">
        <v>45886</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44384-2024</t>
        </is>
      </c>
      <c r="B242" s="1" t="n">
        <v>45573.67782407408</v>
      </c>
      <c r="C242" s="1" t="n">
        <v>45886</v>
      </c>
      <c r="D242" t="inlineStr">
        <is>
          <t>DALARNAS LÄN</t>
        </is>
      </c>
      <c r="E242" t="inlineStr">
        <is>
          <t>HEDEMORA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44388-2024</t>
        </is>
      </c>
      <c r="B243" s="1" t="n">
        <v>45573.68875</v>
      </c>
      <c r="C243" s="1" t="n">
        <v>45886</v>
      </c>
      <c r="D243" t="inlineStr">
        <is>
          <t>DALARNAS LÄN</t>
        </is>
      </c>
      <c r="E243" t="inlineStr">
        <is>
          <t>HEDEMORA</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18572-2025</t>
        </is>
      </c>
      <c r="B244" s="1" t="n">
        <v>45763</v>
      </c>
      <c r="C244" s="1" t="n">
        <v>45886</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15048-2025</t>
        </is>
      </c>
      <c r="B245" s="1" t="n">
        <v>45743.69820601852</v>
      </c>
      <c r="C245" s="1" t="n">
        <v>45886</v>
      </c>
      <c r="D245" t="inlineStr">
        <is>
          <t>DALARNAS LÄN</t>
        </is>
      </c>
      <c r="E245" t="inlineStr">
        <is>
          <t>HEDEMORA</t>
        </is>
      </c>
      <c r="F245" t="inlineStr">
        <is>
          <t>Sveaskog</t>
        </is>
      </c>
      <c r="G245" t="n">
        <v>9.1</v>
      </c>
      <c r="H245" t="n">
        <v>0</v>
      </c>
      <c r="I245" t="n">
        <v>0</v>
      </c>
      <c r="J245" t="n">
        <v>0</v>
      </c>
      <c r="K245" t="n">
        <v>0</v>
      </c>
      <c r="L245" t="n">
        <v>0</v>
      </c>
      <c r="M245" t="n">
        <v>0</v>
      </c>
      <c r="N245" t="n">
        <v>0</v>
      </c>
      <c r="O245" t="n">
        <v>0</v>
      </c>
      <c r="P245" t="n">
        <v>0</v>
      </c>
      <c r="Q245" t="n">
        <v>0</v>
      </c>
      <c r="R245" s="2" t="inlineStr"/>
    </row>
    <row r="246" ht="15" customHeight="1">
      <c r="A246" t="inlineStr">
        <is>
          <t>A 37573-2025</t>
        </is>
      </c>
      <c r="B246" s="1" t="n">
        <v>45880.37711805556</v>
      </c>
      <c r="C246" s="1" t="n">
        <v>45886</v>
      </c>
      <c r="D246" t="inlineStr">
        <is>
          <t>DALARNAS LÄN</t>
        </is>
      </c>
      <c r="E246" t="inlineStr">
        <is>
          <t>HEDEMORA</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53923-2024</t>
        </is>
      </c>
      <c r="B247" s="1" t="n">
        <v>45615.79806712963</v>
      </c>
      <c r="C247" s="1" t="n">
        <v>45886</v>
      </c>
      <c r="D247" t="inlineStr">
        <is>
          <t>DALARNAS LÄN</t>
        </is>
      </c>
      <c r="E247" t="inlineStr">
        <is>
          <t>HEDEMORA</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37574-2025</t>
        </is>
      </c>
      <c r="B248" s="1" t="n">
        <v>45880.37949074074</v>
      </c>
      <c r="C248" s="1" t="n">
        <v>45886</v>
      </c>
      <c r="D248" t="inlineStr">
        <is>
          <t>DALARNAS LÄN</t>
        </is>
      </c>
      <c r="E248" t="inlineStr">
        <is>
          <t>HEDEMORA</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385-2024</t>
        </is>
      </c>
      <c r="B249" s="1" t="n">
        <v>45296</v>
      </c>
      <c r="C249" s="1" t="n">
        <v>45886</v>
      </c>
      <c r="D249" t="inlineStr">
        <is>
          <t>DALARNAS LÄN</t>
        </is>
      </c>
      <c r="E249" t="inlineStr">
        <is>
          <t>HEDEMORA</t>
        </is>
      </c>
      <c r="G249" t="n">
        <v>1.7</v>
      </c>
      <c r="H249" t="n">
        <v>0</v>
      </c>
      <c r="I249" t="n">
        <v>0</v>
      </c>
      <c r="J249" t="n">
        <v>0</v>
      </c>
      <c r="K249" t="n">
        <v>0</v>
      </c>
      <c r="L249" t="n">
        <v>0</v>
      </c>
      <c r="M249" t="n">
        <v>0</v>
      </c>
      <c r="N249" t="n">
        <v>0</v>
      </c>
      <c r="O249" t="n">
        <v>0</v>
      </c>
      <c r="P249" t="n">
        <v>0</v>
      </c>
      <c r="Q249" t="n">
        <v>0</v>
      </c>
      <c r="R249" s="2" t="inlineStr"/>
    </row>
    <row r="250" ht="15" customHeight="1">
      <c r="A250" t="inlineStr">
        <is>
          <t>A 26452-2024</t>
        </is>
      </c>
      <c r="B250" s="1" t="n">
        <v>45469.51145833333</v>
      </c>
      <c r="C250" s="1" t="n">
        <v>45886</v>
      </c>
      <c r="D250" t="inlineStr">
        <is>
          <t>DALARNAS LÄN</t>
        </is>
      </c>
      <c r="E250" t="inlineStr">
        <is>
          <t>HEDEMORA</t>
        </is>
      </c>
      <c r="G250" t="n">
        <v>2.3</v>
      </c>
      <c r="H250" t="n">
        <v>0</v>
      </c>
      <c r="I250" t="n">
        <v>0</v>
      </c>
      <c r="J250" t="n">
        <v>0</v>
      </c>
      <c r="K250" t="n">
        <v>0</v>
      </c>
      <c r="L250" t="n">
        <v>0</v>
      </c>
      <c r="M250" t="n">
        <v>0</v>
      </c>
      <c r="N250" t="n">
        <v>0</v>
      </c>
      <c r="O250" t="n">
        <v>0</v>
      </c>
      <c r="P250" t="n">
        <v>0</v>
      </c>
      <c r="Q250" t="n">
        <v>0</v>
      </c>
      <c r="R250" s="2" t="inlineStr"/>
    </row>
    <row r="251" ht="15" customHeight="1">
      <c r="A251" t="inlineStr">
        <is>
          <t>A 58841-2023</t>
        </is>
      </c>
      <c r="B251" s="1" t="n">
        <v>45252.42115740741</v>
      </c>
      <c r="C251" s="1" t="n">
        <v>45886</v>
      </c>
      <c r="D251" t="inlineStr">
        <is>
          <t>DALARNAS LÄN</t>
        </is>
      </c>
      <c r="E251" t="inlineStr">
        <is>
          <t>HEDEMORA</t>
        </is>
      </c>
      <c r="G251" t="n">
        <v>14.8</v>
      </c>
      <c r="H251" t="n">
        <v>0</v>
      </c>
      <c r="I251" t="n">
        <v>0</v>
      </c>
      <c r="J251" t="n">
        <v>0</v>
      </c>
      <c r="K251" t="n">
        <v>0</v>
      </c>
      <c r="L251" t="n">
        <v>0</v>
      </c>
      <c r="M251" t="n">
        <v>0</v>
      </c>
      <c r="N251" t="n">
        <v>0</v>
      </c>
      <c r="O251" t="n">
        <v>0</v>
      </c>
      <c r="P251" t="n">
        <v>0</v>
      </c>
      <c r="Q251" t="n">
        <v>0</v>
      </c>
      <c r="R251" s="2" t="inlineStr"/>
    </row>
    <row r="252" ht="15" customHeight="1">
      <c r="A252" t="inlineStr">
        <is>
          <t>A 32865-2025</t>
        </is>
      </c>
      <c r="B252" s="1" t="n">
        <v>45839.58767361111</v>
      </c>
      <c r="C252" s="1" t="n">
        <v>45886</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34928-2024</t>
        </is>
      </c>
      <c r="B253" s="1" t="n">
        <v>45527.44613425926</v>
      </c>
      <c r="C253" s="1" t="n">
        <v>45886</v>
      </c>
      <c r="D253" t="inlineStr">
        <is>
          <t>DALARNAS LÄN</t>
        </is>
      </c>
      <c r="E253" t="inlineStr">
        <is>
          <t>HEDEMORA</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33288-2025</t>
        </is>
      </c>
      <c r="B254" s="1" t="n">
        <v>45840</v>
      </c>
      <c r="C254" s="1" t="n">
        <v>45886</v>
      </c>
      <c r="D254" t="inlineStr">
        <is>
          <t>DALARNAS LÄN</t>
        </is>
      </c>
      <c r="E254" t="inlineStr">
        <is>
          <t>HEDEMORA</t>
        </is>
      </c>
      <c r="F254" t="inlineStr">
        <is>
          <t>Sveaskog</t>
        </is>
      </c>
      <c r="G254" t="n">
        <v>3.5</v>
      </c>
      <c r="H254" t="n">
        <v>0</v>
      </c>
      <c r="I254" t="n">
        <v>0</v>
      </c>
      <c r="J254" t="n">
        <v>0</v>
      </c>
      <c r="K254" t="n">
        <v>0</v>
      </c>
      <c r="L254" t="n">
        <v>0</v>
      </c>
      <c r="M254" t="n">
        <v>0</v>
      </c>
      <c r="N254" t="n">
        <v>0</v>
      </c>
      <c r="O254" t="n">
        <v>0</v>
      </c>
      <c r="P254" t="n">
        <v>0</v>
      </c>
      <c r="Q254" t="n">
        <v>0</v>
      </c>
      <c r="R254" s="2" t="inlineStr"/>
    </row>
    <row r="255" ht="15" customHeight="1">
      <c r="A255" t="inlineStr">
        <is>
          <t>A 32869-2025</t>
        </is>
      </c>
      <c r="B255" s="1" t="n">
        <v>45839.58927083333</v>
      </c>
      <c r="C255" s="1" t="n">
        <v>45886</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40919-2023</t>
        </is>
      </c>
      <c r="B256" s="1" t="n">
        <v>45173.42707175926</v>
      </c>
      <c r="C256" s="1" t="n">
        <v>45886</v>
      </c>
      <c r="D256" t="inlineStr">
        <is>
          <t>DALARNAS LÄN</t>
        </is>
      </c>
      <c r="E256" t="inlineStr">
        <is>
          <t>HEDEMORA</t>
        </is>
      </c>
      <c r="F256" t="inlineStr">
        <is>
          <t>Bergvik skog väst AB</t>
        </is>
      </c>
      <c r="G256" t="n">
        <v>2.6</v>
      </c>
      <c r="H256" t="n">
        <v>0</v>
      </c>
      <c r="I256" t="n">
        <v>0</v>
      </c>
      <c r="J256" t="n">
        <v>0</v>
      </c>
      <c r="K256" t="n">
        <v>0</v>
      </c>
      <c r="L256" t="n">
        <v>0</v>
      </c>
      <c r="M256" t="n">
        <v>0</v>
      </c>
      <c r="N256" t="n">
        <v>0</v>
      </c>
      <c r="O256" t="n">
        <v>0</v>
      </c>
      <c r="P256" t="n">
        <v>0</v>
      </c>
      <c r="Q256" t="n">
        <v>0</v>
      </c>
      <c r="R256" s="2" t="inlineStr"/>
    </row>
    <row r="257" ht="15" customHeight="1">
      <c r="A257" t="inlineStr">
        <is>
          <t>A 33009-2025</t>
        </is>
      </c>
      <c r="B257" s="1" t="n">
        <v>45840</v>
      </c>
      <c r="C257" s="1" t="n">
        <v>45886</v>
      </c>
      <c r="D257" t="inlineStr">
        <is>
          <t>DALARNAS LÄN</t>
        </is>
      </c>
      <c r="E257" t="inlineStr">
        <is>
          <t>HEDEMORA</t>
        </is>
      </c>
      <c r="F257" t="inlineStr">
        <is>
          <t>Kyrkan</t>
        </is>
      </c>
      <c r="G257" t="n">
        <v>7.6</v>
      </c>
      <c r="H257" t="n">
        <v>0</v>
      </c>
      <c r="I257" t="n">
        <v>0</v>
      </c>
      <c r="J257" t="n">
        <v>0</v>
      </c>
      <c r="K257" t="n">
        <v>0</v>
      </c>
      <c r="L257" t="n">
        <v>0</v>
      </c>
      <c r="M257" t="n">
        <v>0</v>
      </c>
      <c r="N257" t="n">
        <v>0</v>
      </c>
      <c r="O257" t="n">
        <v>0</v>
      </c>
      <c r="P257" t="n">
        <v>0</v>
      </c>
      <c r="Q257" t="n">
        <v>0</v>
      </c>
      <c r="R257" s="2" t="inlineStr"/>
    </row>
    <row r="258" ht="15" customHeight="1">
      <c r="A258" t="inlineStr">
        <is>
          <t>A 53586-2023</t>
        </is>
      </c>
      <c r="B258" s="1" t="n">
        <v>45230.52603009259</v>
      </c>
      <c r="C258" s="1" t="n">
        <v>45886</v>
      </c>
      <c r="D258" t="inlineStr">
        <is>
          <t>DALARNAS LÄN</t>
        </is>
      </c>
      <c r="E258" t="inlineStr">
        <is>
          <t>HEDEMORA</t>
        </is>
      </c>
      <c r="G258" t="n">
        <v>2.4</v>
      </c>
      <c r="H258" t="n">
        <v>0</v>
      </c>
      <c r="I258" t="n">
        <v>0</v>
      </c>
      <c r="J258" t="n">
        <v>0</v>
      </c>
      <c r="K258" t="n">
        <v>0</v>
      </c>
      <c r="L258" t="n">
        <v>0</v>
      </c>
      <c r="M258" t="n">
        <v>0</v>
      </c>
      <c r="N258" t="n">
        <v>0</v>
      </c>
      <c r="O258" t="n">
        <v>0</v>
      </c>
      <c r="P258" t="n">
        <v>0</v>
      </c>
      <c r="Q258" t="n">
        <v>0</v>
      </c>
      <c r="R258" s="2" t="inlineStr"/>
    </row>
    <row r="259" ht="15" customHeight="1">
      <c r="A259" t="inlineStr">
        <is>
          <t>A 25643-2024</t>
        </is>
      </c>
      <c r="B259" s="1" t="n">
        <v>45463.66436342592</v>
      </c>
      <c r="C259" s="1" t="n">
        <v>45886</v>
      </c>
      <c r="D259" t="inlineStr">
        <is>
          <t>DALARNAS LÄN</t>
        </is>
      </c>
      <c r="E259" t="inlineStr">
        <is>
          <t>HEDEMORA</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20666-2024</t>
        </is>
      </c>
      <c r="B260" s="1" t="n">
        <v>45436</v>
      </c>
      <c r="C260" s="1" t="n">
        <v>45886</v>
      </c>
      <c r="D260" t="inlineStr">
        <is>
          <t>DALARNAS LÄN</t>
        </is>
      </c>
      <c r="E260" t="inlineStr">
        <is>
          <t>HEDEMORA</t>
        </is>
      </c>
      <c r="G260" t="n">
        <v>5.1</v>
      </c>
      <c r="H260" t="n">
        <v>0</v>
      </c>
      <c r="I260" t="n">
        <v>0</v>
      </c>
      <c r="J260" t="n">
        <v>0</v>
      </c>
      <c r="K260" t="n">
        <v>0</v>
      </c>
      <c r="L260" t="n">
        <v>0</v>
      </c>
      <c r="M260" t="n">
        <v>0</v>
      </c>
      <c r="N260" t="n">
        <v>0</v>
      </c>
      <c r="O260" t="n">
        <v>0</v>
      </c>
      <c r="P260" t="n">
        <v>0</v>
      </c>
      <c r="Q260" t="n">
        <v>0</v>
      </c>
      <c r="R260" s="2" t="inlineStr"/>
    </row>
    <row r="261" ht="15" customHeight="1">
      <c r="A261" t="inlineStr">
        <is>
          <t>A 33286-2025</t>
        </is>
      </c>
      <c r="B261" s="1" t="n">
        <v>45840.81065972222</v>
      </c>
      <c r="C261" s="1" t="n">
        <v>45886</v>
      </c>
      <c r="D261" t="inlineStr">
        <is>
          <t>DALARNAS LÄN</t>
        </is>
      </c>
      <c r="E261" t="inlineStr">
        <is>
          <t>HEDEMORA</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45886</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44438.71809027778</v>
      </c>
      <c r="C263" s="1" t="n">
        <v>45886</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45377-2024</t>
        </is>
      </c>
      <c r="B264" s="1" t="n">
        <v>45576.51962962963</v>
      </c>
      <c r="C264" s="1" t="n">
        <v>45886</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45886</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6556-2023</t>
        </is>
      </c>
      <c r="B266" s="1" t="n">
        <v>44961</v>
      </c>
      <c r="C266" s="1" t="n">
        <v>45886</v>
      </c>
      <c r="D266" t="inlineStr">
        <is>
          <t>DALARNAS LÄN</t>
        </is>
      </c>
      <c r="E266" t="inlineStr">
        <is>
          <t>HEDEMORA</t>
        </is>
      </c>
      <c r="G266" t="n">
        <v>3.7</v>
      </c>
      <c r="H266" t="n">
        <v>0</v>
      </c>
      <c r="I266" t="n">
        <v>0</v>
      </c>
      <c r="J266" t="n">
        <v>0</v>
      </c>
      <c r="K266" t="n">
        <v>0</v>
      </c>
      <c r="L266" t="n">
        <v>0</v>
      </c>
      <c r="M266" t="n">
        <v>0</v>
      </c>
      <c r="N266" t="n">
        <v>0</v>
      </c>
      <c r="O266" t="n">
        <v>0</v>
      </c>
      <c r="P266" t="n">
        <v>0</v>
      </c>
      <c r="Q266" t="n">
        <v>0</v>
      </c>
      <c r="R266" s="2" t="inlineStr"/>
    </row>
    <row r="267" ht="15" customHeight="1">
      <c r="A267" t="inlineStr">
        <is>
          <t>A 14953-2025</t>
        </is>
      </c>
      <c r="B267" s="1" t="n">
        <v>45743.5819675926</v>
      </c>
      <c r="C267" s="1" t="n">
        <v>45886</v>
      </c>
      <c r="D267" t="inlineStr">
        <is>
          <t>DALARNAS LÄN</t>
        </is>
      </c>
      <c r="E267" t="inlineStr">
        <is>
          <t>HEDEMORA</t>
        </is>
      </c>
      <c r="G267" t="n">
        <v>6.6</v>
      </c>
      <c r="H267" t="n">
        <v>0</v>
      </c>
      <c r="I267" t="n">
        <v>0</v>
      </c>
      <c r="J267" t="n">
        <v>0</v>
      </c>
      <c r="K267" t="n">
        <v>0</v>
      </c>
      <c r="L267" t="n">
        <v>0</v>
      </c>
      <c r="M267" t="n">
        <v>0</v>
      </c>
      <c r="N267" t="n">
        <v>0</v>
      </c>
      <c r="O267" t="n">
        <v>0</v>
      </c>
      <c r="P267" t="n">
        <v>0</v>
      </c>
      <c r="Q267" t="n">
        <v>0</v>
      </c>
      <c r="R267" s="2" t="inlineStr"/>
    </row>
    <row r="268" ht="15" customHeight="1">
      <c r="A268" t="inlineStr">
        <is>
          <t>A 1973-2022</t>
        </is>
      </c>
      <c r="B268" s="1" t="n">
        <v>44575</v>
      </c>
      <c r="C268" s="1" t="n">
        <v>45886</v>
      </c>
      <c r="D268" t="inlineStr">
        <is>
          <t>DALARNAS LÄN</t>
        </is>
      </c>
      <c r="E268" t="inlineStr">
        <is>
          <t>HEDEMORA</t>
        </is>
      </c>
      <c r="G268" t="n">
        <v>1.2</v>
      </c>
      <c r="H268" t="n">
        <v>0</v>
      </c>
      <c r="I268" t="n">
        <v>0</v>
      </c>
      <c r="J268" t="n">
        <v>0</v>
      </c>
      <c r="K268" t="n">
        <v>0</v>
      </c>
      <c r="L268" t="n">
        <v>0</v>
      </c>
      <c r="M268" t="n">
        <v>0</v>
      </c>
      <c r="N268" t="n">
        <v>0</v>
      </c>
      <c r="O268" t="n">
        <v>0</v>
      </c>
      <c r="P268" t="n">
        <v>0</v>
      </c>
      <c r="Q268" t="n">
        <v>0</v>
      </c>
      <c r="R268" s="2" t="inlineStr"/>
    </row>
    <row r="269" ht="15" customHeight="1">
      <c r="A269" t="inlineStr">
        <is>
          <t>A 49636-2021</t>
        </is>
      </c>
      <c r="B269" s="1" t="n">
        <v>44455</v>
      </c>
      <c r="C269" s="1" t="n">
        <v>45886</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6441-2021</t>
        </is>
      </c>
      <c r="B270" s="1" t="n">
        <v>44235</v>
      </c>
      <c r="C270" s="1" t="n">
        <v>45886</v>
      </c>
      <c r="D270" t="inlineStr">
        <is>
          <t>DALARNAS LÄN</t>
        </is>
      </c>
      <c r="E270" t="inlineStr">
        <is>
          <t>HEDEMORA</t>
        </is>
      </c>
      <c r="G270" t="n">
        <v>0.7</v>
      </c>
      <c r="H270" t="n">
        <v>0</v>
      </c>
      <c r="I270" t="n">
        <v>0</v>
      </c>
      <c r="J270" t="n">
        <v>0</v>
      </c>
      <c r="K270" t="n">
        <v>0</v>
      </c>
      <c r="L270" t="n">
        <v>0</v>
      </c>
      <c r="M270" t="n">
        <v>0</v>
      </c>
      <c r="N270" t="n">
        <v>0</v>
      </c>
      <c r="O270" t="n">
        <v>0</v>
      </c>
      <c r="P270" t="n">
        <v>0</v>
      </c>
      <c r="Q270" t="n">
        <v>0</v>
      </c>
      <c r="R270" s="2" t="inlineStr"/>
    </row>
    <row r="271" ht="15" customHeight="1">
      <c r="A271" t="inlineStr">
        <is>
          <t>A 60475-2022</t>
        </is>
      </c>
      <c r="B271" s="1" t="n">
        <v>44911.41222222222</v>
      </c>
      <c r="C271" s="1" t="n">
        <v>45886</v>
      </c>
      <c r="D271" t="inlineStr">
        <is>
          <t>DALARNAS LÄN</t>
        </is>
      </c>
      <c r="E271" t="inlineStr">
        <is>
          <t>HEDEMORA</t>
        </is>
      </c>
      <c r="G271" t="n">
        <v>1</v>
      </c>
      <c r="H271" t="n">
        <v>0</v>
      </c>
      <c r="I271" t="n">
        <v>0</v>
      </c>
      <c r="J271" t="n">
        <v>0</v>
      </c>
      <c r="K271" t="n">
        <v>0</v>
      </c>
      <c r="L271" t="n">
        <v>0</v>
      </c>
      <c r="M271" t="n">
        <v>0</v>
      </c>
      <c r="N271" t="n">
        <v>0</v>
      </c>
      <c r="O271" t="n">
        <v>0</v>
      </c>
      <c r="P271" t="n">
        <v>0</v>
      </c>
      <c r="Q271" t="n">
        <v>0</v>
      </c>
      <c r="R271" s="2" t="inlineStr"/>
    </row>
    <row r="272" ht="15" customHeight="1">
      <c r="A272" t="inlineStr">
        <is>
          <t>A 30205-2022</t>
        </is>
      </c>
      <c r="B272" s="1" t="n">
        <v>44757.74415509259</v>
      </c>
      <c r="C272" s="1" t="n">
        <v>45886</v>
      </c>
      <c r="D272" t="inlineStr">
        <is>
          <t>DALARNAS LÄN</t>
        </is>
      </c>
      <c r="E272" t="inlineStr">
        <is>
          <t>HEDEMORA</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54310-2021</t>
        </is>
      </c>
      <c r="B273" s="1" t="n">
        <v>44472.54035879629</v>
      </c>
      <c r="C273" s="1" t="n">
        <v>45886</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59632-2023</t>
        </is>
      </c>
      <c r="B274" s="1" t="n">
        <v>45254</v>
      </c>
      <c r="C274" s="1" t="n">
        <v>45886</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26449-2024</t>
        </is>
      </c>
      <c r="B275" s="1" t="n">
        <v>45469.50783564815</v>
      </c>
      <c r="C275" s="1" t="n">
        <v>45886</v>
      </c>
      <c r="D275" t="inlineStr">
        <is>
          <t>DALARNAS LÄN</t>
        </is>
      </c>
      <c r="E275" t="inlineStr">
        <is>
          <t>HEDEMORA</t>
        </is>
      </c>
      <c r="G275" t="n">
        <v>4.5</v>
      </c>
      <c r="H275" t="n">
        <v>0</v>
      </c>
      <c r="I275" t="n">
        <v>0</v>
      </c>
      <c r="J275" t="n">
        <v>0</v>
      </c>
      <c r="K275" t="n">
        <v>0</v>
      </c>
      <c r="L275" t="n">
        <v>0</v>
      </c>
      <c r="M275" t="n">
        <v>0</v>
      </c>
      <c r="N275" t="n">
        <v>0</v>
      </c>
      <c r="O275" t="n">
        <v>0</v>
      </c>
      <c r="P275" t="n">
        <v>0</v>
      </c>
      <c r="Q275" t="n">
        <v>0</v>
      </c>
      <c r="R275" s="2" t="inlineStr"/>
    </row>
    <row r="276" ht="15" customHeight="1">
      <c r="A276" t="inlineStr">
        <is>
          <t>A 32738-2022</t>
        </is>
      </c>
      <c r="B276" s="1" t="n">
        <v>44783.68931712963</v>
      </c>
      <c r="C276" s="1" t="n">
        <v>45886</v>
      </c>
      <c r="D276" t="inlineStr">
        <is>
          <t>DALARNAS LÄN</t>
        </is>
      </c>
      <c r="E276" t="inlineStr">
        <is>
          <t>HEDEMORA</t>
        </is>
      </c>
      <c r="G276" t="n">
        <v>2.6</v>
      </c>
      <c r="H276" t="n">
        <v>0</v>
      </c>
      <c r="I276" t="n">
        <v>0</v>
      </c>
      <c r="J276" t="n">
        <v>0</v>
      </c>
      <c r="K276" t="n">
        <v>0</v>
      </c>
      <c r="L276" t="n">
        <v>0</v>
      </c>
      <c r="M276" t="n">
        <v>0</v>
      </c>
      <c r="N276" t="n">
        <v>0</v>
      </c>
      <c r="O276" t="n">
        <v>0</v>
      </c>
      <c r="P276" t="n">
        <v>0</v>
      </c>
      <c r="Q276" t="n">
        <v>0</v>
      </c>
      <c r="R276" s="2" t="inlineStr"/>
    </row>
    <row r="277" ht="15" customHeight="1">
      <c r="A277" t="inlineStr">
        <is>
          <t>A 25155-2023</t>
        </is>
      </c>
      <c r="B277" s="1" t="n">
        <v>45086</v>
      </c>
      <c r="C277" s="1" t="n">
        <v>45886</v>
      </c>
      <c r="D277" t="inlineStr">
        <is>
          <t>DALARNAS LÄN</t>
        </is>
      </c>
      <c r="E277" t="inlineStr">
        <is>
          <t>HEDEMORA</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25150-2023</t>
        </is>
      </c>
      <c r="B278" s="1" t="n">
        <v>45086</v>
      </c>
      <c r="C278" s="1" t="n">
        <v>45886</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41523-2023</t>
        </is>
      </c>
      <c r="B279" s="1" t="n">
        <v>45172</v>
      </c>
      <c r="C279" s="1" t="n">
        <v>45886</v>
      </c>
      <c r="D279" t="inlineStr">
        <is>
          <t>DALARNAS LÄN</t>
        </is>
      </c>
      <c r="E279" t="inlineStr">
        <is>
          <t>HEDEMORA</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44509.6580787037</v>
      </c>
      <c r="C280" s="1" t="n">
        <v>45886</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54423-2023</t>
        </is>
      </c>
      <c r="B281" s="1" t="n">
        <v>45233.41666666666</v>
      </c>
      <c r="C281" s="1" t="n">
        <v>45886</v>
      </c>
      <c r="D281" t="inlineStr">
        <is>
          <t>DALARNAS LÄN</t>
        </is>
      </c>
      <c r="E281" t="inlineStr">
        <is>
          <t>HEDEMORA</t>
        </is>
      </c>
      <c r="G281" t="n">
        <v>3.4</v>
      </c>
      <c r="H281" t="n">
        <v>0</v>
      </c>
      <c r="I281" t="n">
        <v>0</v>
      </c>
      <c r="J281" t="n">
        <v>0</v>
      </c>
      <c r="K281" t="n">
        <v>0</v>
      </c>
      <c r="L281" t="n">
        <v>0</v>
      </c>
      <c r="M281" t="n">
        <v>0</v>
      </c>
      <c r="N281" t="n">
        <v>0</v>
      </c>
      <c r="O281" t="n">
        <v>0</v>
      </c>
      <c r="P281" t="n">
        <v>0</v>
      </c>
      <c r="Q281" t="n">
        <v>0</v>
      </c>
      <c r="R281" s="2" t="inlineStr"/>
    </row>
    <row r="282" ht="15" customHeight="1">
      <c r="A282" t="inlineStr">
        <is>
          <t>A 19689-2025</t>
        </is>
      </c>
      <c r="B282" s="1" t="n">
        <v>45770.88462962963</v>
      </c>
      <c r="C282" s="1" t="n">
        <v>45886</v>
      </c>
      <c r="D282" t="inlineStr">
        <is>
          <t>DALARNAS LÄN</t>
        </is>
      </c>
      <c r="E282" t="inlineStr">
        <is>
          <t>HEDEMORA</t>
        </is>
      </c>
      <c r="G282" t="n">
        <v>1.1</v>
      </c>
      <c r="H282" t="n">
        <v>0</v>
      </c>
      <c r="I282" t="n">
        <v>0</v>
      </c>
      <c r="J282" t="n">
        <v>0</v>
      </c>
      <c r="K282" t="n">
        <v>0</v>
      </c>
      <c r="L282" t="n">
        <v>0</v>
      </c>
      <c r="M282" t="n">
        <v>0</v>
      </c>
      <c r="N282" t="n">
        <v>0</v>
      </c>
      <c r="O282" t="n">
        <v>0</v>
      </c>
      <c r="P282" t="n">
        <v>0</v>
      </c>
      <c r="Q282" t="n">
        <v>0</v>
      </c>
      <c r="R282" s="2" t="inlineStr"/>
    </row>
    <row r="283" ht="15" customHeight="1">
      <c r="A283" t="inlineStr">
        <is>
          <t>A 30939-2023</t>
        </is>
      </c>
      <c r="B283" s="1" t="n">
        <v>45113.45597222223</v>
      </c>
      <c r="C283" s="1" t="n">
        <v>45886</v>
      </c>
      <c r="D283" t="inlineStr">
        <is>
          <t>DALARNAS LÄN</t>
        </is>
      </c>
      <c r="E283" t="inlineStr">
        <is>
          <t>HEDEMORA</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60078-2022</t>
        </is>
      </c>
      <c r="B284" s="1" t="n">
        <v>44909.58811342593</v>
      </c>
      <c r="C284" s="1" t="n">
        <v>45886</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30572-2021</t>
        </is>
      </c>
      <c r="B285" s="1" t="n">
        <v>44364.83369212963</v>
      </c>
      <c r="C285" s="1" t="n">
        <v>45886</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53568-2023</t>
        </is>
      </c>
      <c r="B286" s="1" t="n">
        <v>45230.49392361111</v>
      </c>
      <c r="C286" s="1" t="n">
        <v>45886</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29303-2023</t>
        </is>
      </c>
      <c r="B287" s="1" t="n">
        <v>45105</v>
      </c>
      <c r="C287" s="1" t="n">
        <v>45886</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54120-2024</t>
        </is>
      </c>
      <c r="B288" s="1" t="n">
        <v>45616.57304398148</v>
      </c>
      <c r="C288" s="1" t="n">
        <v>45886</v>
      </c>
      <c r="D288" t="inlineStr">
        <is>
          <t>DALARNAS LÄN</t>
        </is>
      </c>
      <c r="E288" t="inlineStr">
        <is>
          <t>HEDEMORA</t>
        </is>
      </c>
      <c r="G288" t="n">
        <v>7.7</v>
      </c>
      <c r="H288" t="n">
        <v>0</v>
      </c>
      <c r="I288" t="n">
        <v>0</v>
      </c>
      <c r="J288" t="n">
        <v>0</v>
      </c>
      <c r="K288" t="n">
        <v>0</v>
      </c>
      <c r="L288" t="n">
        <v>0</v>
      </c>
      <c r="M288" t="n">
        <v>0</v>
      </c>
      <c r="N288" t="n">
        <v>0</v>
      </c>
      <c r="O288" t="n">
        <v>0</v>
      </c>
      <c r="P288" t="n">
        <v>0</v>
      </c>
      <c r="Q288" t="n">
        <v>0</v>
      </c>
      <c r="R288" s="2" t="inlineStr"/>
    </row>
    <row r="289" ht="15" customHeight="1">
      <c r="A289" t="inlineStr">
        <is>
          <t>A 49904-2021</t>
        </is>
      </c>
      <c r="B289" s="1" t="n">
        <v>44455.77041666667</v>
      </c>
      <c r="C289" s="1" t="n">
        <v>45886</v>
      </c>
      <c r="D289" t="inlineStr">
        <is>
          <t>DALARNAS LÄN</t>
        </is>
      </c>
      <c r="E289" t="inlineStr">
        <is>
          <t>HEDEMORA</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21092-2023</t>
        </is>
      </c>
      <c r="B290" s="1" t="n">
        <v>45061</v>
      </c>
      <c r="C290" s="1" t="n">
        <v>45886</v>
      </c>
      <c r="D290" t="inlineStr">
        <is>
          <t>DALARNAS LÄN</t>
        </is>
      </c>
      <c r="E290" t="inlineStr">
        <is>
          <t>HEDEMORA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62398-2023</t>
        </is>
      </c>
      <c r="B291" s="1" t="n">
        <v>45268</v>
      </c>
      <c r="C291" s="1" t="n">
        <v>45886</v>
      </c>
      <c r="D291" t="inlineStr">
        <is>
          <t>DALARNAS LÄN</t>
        </is>
      </c>
      <c r="E291" t="inlineStr">
        <is>
          <t>HEDEMORA</t>
        </is>
      </c>
      <c r="G291" t="n">
        <v>2.1</v>
      </c>
      <c r="H291" t="n">
        <v>0</v>
      </c>
      <c r="I291" t="n">
        <v>0</v>
      </c>
      <c r="J291" t="n">
        <v>0</v>
      </c>
      <c r="K291" t="n">
        <v>0</v>
      </c>
      <c r="L291" t="n">
        <v>0</v>
      </c>
      <c r="M291" t="n">
        <v>0</v>
      </c>
      <c r="N291" t="n">
        <v>0</v>
      </c>
      <c r="O291" t="n">
        <v>0</v>
      </c>
      <c r="P291" t="n">
        <v>0</v>
      </c>
      <c r="Q291" t="n">
        <v>0</v>
      </c>
      <c r="R291" s="2" t="inlineStr"/>
    </row>
    <row r="292" ht="15" customHeight="1">
      <c r="A292" t="inlineStr">
        <is>
          <t>A 57745-2024</t>
        </is>
      </c>
      <c r="B292" s="1" t="n">
        <v>45630.77605324074</v>
      </c>
      <c r="C292" s="1" t="n">
        <v>45886</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48320-2024</t>
        </is>
      </c>
      <c r="B293" s="1" t="n">
        <v>45590.4999537037</v>
      </c>
      <c r="C293" s="1" t="n">
        <v>45886</v>
      </c>
      <c r="D293" t="inlineStr">
        <is>
          <t>DALARNAS LÄN</t>
        </is>
      </c>
      <c r="E293" t="inlineStr">
        <is>
          <t>HEDEMORA</t>
        </is>
      </c>
      <c r="F293" t="inlineStr">
        <is>
          <t>Sveaskog</t>
        </is>
      </c>
      <c r="G293" t="n">
        <v>4.9</v>
      </c>
      <c r="H293" t="n">
        <v>0</v>
      </c>
      <c r="I293" t="n">
        <v>0</v>
      </c>
      <c r="J293" t="n">
        <v>0</v>
      </c>
      <c r="K293" t="n">
        <v>0</v>
      </c>
      <c r="L293" t="n">
        <v>0</v>
      </c>
      <c r="M293" t="n">
        <v>0</v>
      </c>
      <c r="N293" t="n">
        <v>0</v>
      </c>
      <c r="O293" t="n">
        <v>0</v>
      </c>
      <c r="P293" t="n">
        <v>0</v>
      </c>
      <c r="Q293" t="n">
        <v>0</v>
      </c>
      <c r="R293" s="2" t="inlineStr"/>
    </row>
    <row r="294" ht="15" customHeight="1">
      <c r="A294" t="inlineStr">
        <is>
          <t>A 46217-2023</t>
        </is>
      </c>
      <c r="B294" s="1" t="n">
        <v>45190</v>
      </c>
      <c r="C294" s="1" t="n">
        <v>45886</v>
      </c>
      <c r="D294" t="inlineStr">
        <is>
          <t>DALARNAS LÄN</t>
        </is>
      </c>
      <c r="E294" t="inlineStr">
        <is>
          <t>HEDEMORA</t>
        </is>
      </c>
      <c r="F294" t="inlineStr">
        <is>
          <t>Bergvik skog väst AB</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36900-2022</t>
        </is>
      </c>
      <c r="B295" s="1" t="n">
        <v>44805.71435185185</v>
      </c>
      <c r="C295" s="1" t="n">
        <v>45886</v>
      </c>
      <c r="D295" t="inlineStr">
        <is>
          <t>DALARNAS LÄN</t>
        </is>
      </c>
      <c r="E295" t="inlineStr">
        <is>
          <t>HEDEMORA</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5766-2025</t>
        </is>
      </c>
      <c r="B296" s="1" t="n">
        <v>45694.57893518519</v>
      </c>
      <c r="C296" s="1" t="n">
        <v>45886</v>
      </c>
      <c r="D296" t="inlineStr">
        <is>
          <t>DALARNAS LÄN</t>
        </is>
      </c>
      <c r="E296" t="inlineStr">
        <is>
          <t>HEDEMORA</t>
        </is>
      </c>
      <c r="G296" t="n">
        <v>4.9</v>
      </c>
      <c r="H296" t="n">
        <v>0</v>
      </c>
      <c r="I296" t="n">
        <v>0</v>
      </c>
      <c r="J296" t="n">
        <v>0</v>
      </c>
      <c r="K296" t="n">
        <v>0</v>
      </c>
      <c r="L296" t="n">
        <v>0</v>
      </c>
      <c r="M296" t="n">
        <v>0</v>
      </c>
      <c r="N296" t="n">
        <v>0</v>
      </c>
      <c r="O296" t="n">
        <v>0</v>
      </c>
      <c r="P296" t="n">
        <v>0</v>
      </c>
      <c r="Q296" t="n">
        <v>0</v>
      </c>
      <c r="R296" s="2" t="inlineStr"/>
    </row>
    <row r="297" ht="15" customHeight="1">
      <c r="A297" t="inlineStr">
        <is>
          <t>A 26431-2024</t>
        </is>
      </c>
      <c r="B297" s="1" t="n">
        <v>45469.48282407408</v>
      </c>
      <c r="C297" s="1" t="n">
        <v>45886</v>
      </c>
      <c r="D297" t="inlineStr">
        <is>
          <t>DALARNAS LÄN</t>
        </is>
      </c>
      <c r="E297" t="inlineStr">
        <is>
          <t>HEDEMORA</t>
        </is>
      </c>
      <c r="G297" t="n">
        <v>1.6</v>
      </c>
      <c r="H297" t="n">
        <v>0</v>
      </c>
      <c r="I297" t="n">
        <v>0</v>
      </c>
      <c r="J297" t="n">
        <v>0</v>
      </c>
      <c r="K297" t="n">
        <v>0</v>
      </c>
      <c r="L297" t="n">
        <v>0</v>
      </c>
      <c r="M297" t="n">
        <v>0</v>
      </c>
      <c r="N297" t="n">
        <v>0</v>
      </c>
      <c r="O297" t="n">
        <v>0</v>
      </c>
      <c r="P297" t="n">
        <v>0</v>
      </c>
      <c r="Q297" t="n">
        <v>0</v>
      </c>
      <c r="R297" s="2" t="inlineStr"/>
      <c r="U297">
        <f>HYPERLINK("https://klasma.github.io/Logging_2083/knärot/A 26431-2024 karta knärot.png", "A 26431-2024")</f>
        <v/>
      </c>
      <c r="V297">
        <f>HYPERLINK("https://klasma.github.io/Logging_2083/klagomål/A 26431-2024 FSC-klagomål.docx", "A 26431-2024")</f>
        <v/>
      </c>
      <c r="W297">
        <f>HYPERLINK("https://klasma.github.io/Logging_2083/klagomålsmail/A 26431-2024 FSC-klagomål mail.docx", "A 26431-2024")</f>
        <v/>
      </c>
      <c r="X297">
        <f>HYPERLINK("https://klasma.github.io/Logging_2083/tillsyn/A 26431-2024 tillsynsbegäran.docx", "A 26431-2024")</f>
        <v/>
      </c>
      <c r="Y297">
        <f>HYPERLINK("https://klasma.github.io/Logging_2083/tillsynsmail/A 26431-2024 tillsynsbegäran mail.docx", "A 26431-2024")</f>
        <v/>
      </c>
    </row>
    <row r="298" ht="15" customHeight="1">
      <c r="A298" t="inlineStr">
        <is>
          <t>A 25691-2022</t>
        </is>
      </c>
      <c r="B298" s="1" t="n">
        <v>44733</v>
      </c>
      <c r="C298" s="1" t="n">
        <v>45886</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23501-2023</t>
        </is>
      </c>
      <c r="B299" s="1" t="n">
        <v>45076.73979166667</v>
      </c>
      <c r="C299" s="1" t="n">
        <v>45886</v>
      </c>
      <c r="D299" t="inlineStr">
        <is>
          <t>DALARNAS LÄN</t>
        </is>
      </c>
      <c r="E299" t="inlineStr">
        <is>
          <t>HEDEMORA</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15054-2025</t>
        </is>
      </c>
      <c r="B300" s="1" t="n">
        <v>45743.70199074074</v>
      </c>
      <c r="C300" s="1" t="n">
        <v>45886</v>
      </c>
      <c r="D300" t="inlineStr">
        <is>
          <t>DALARNAS LÄN</t>
        </is>
      </c>
      <c r="E300" t="inlineStr">
        <is>
          <t>HEDEMORA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48254-2023</t>
        </is>
      </c>
      <c r="B301" s="1" t="n">
        <v>45205.53241898148</v>
      </c>
      <c r="C301" s="1" t="n">
        <v>45886</v>
      </c>
      <c r="D301" t="inlineStr">
        <is>
          <t>DALARNAS LÄN</t>
        </is>
      </c>
      <c r="E301" t="inlineStr">
        <is>
          <t>HEDEMORA</t>
        </is>
      </c>
      <c r="F301" t="inlineStr">
        <is>
          <t>Sveaskog</t>
        </is>
      </c>
      <c r="G301" t="n">
        <v>1.5</v>
      </c>
      <c r="H301" t="n">
        <v>0</v>
      </c>
      <c r="I301" t="n">
        <v>0</v>
      </c>
      <c r="J301" t="n">
        <v>0</v>
      </c>
      <c r="K301" t="n">
        <v>0</v>
      </c>
      <c r="L301" t="n">
        <v>0</v>
      </c>
      <c r="M301" t="n">
        <v>0</v>
      </c>
      <c r="N301" t="n">
        <v>0</v>
      </c>
      <c r="O301" t="n">
        <v>0</v>
      </c>
      <c r="P301" t="n">
        <v>0</v>
      </c>
      <c r="Q301" t="n">
        <v>0</v>
      </c>
      <c r="R301" s="2" t="inlineStr"/>
      <c r="U301">
        <f>HYPERLINK("https://klasma.github.io/Logging_2083/knärot/A 48254-2023 karta knärot.png", "A 48254-2023")</f>
        <v/>
      </c>
      <c r="V301">
        <f>HYPERLINK("https://klasma.github.io/Logging_2083/klagomål/A 48254-2023 FSC-klagomål.docx", "A 48254-2023")</f>
        <v/>
      </c>
      <c r="W301">
        <f>HYPERLINK("https://klasma.github.io/Logging_2083/klagomålsmail/A 48254-2023 FSC-klagomål mail.docx", "A 48254-2023")</f>
        <v/>
      </c>
      <c r="X301">
        <f>HYPERLINK("https://klasma.github.io/Logging_2083/tillsyn/A 48254-2023 tillsynsbegäran.docx", "A 48254-2023")</f>
        <v/>
      </c>
      <c r="Y301">
        <f>HYPERLINK("https://klasma.github.io/Logging_2083/tillsynsmail/A 48254-2023 tillsynsbegäran mail.docx", "A 48254-2023")</f>
        <v/>
      </c>
    </row>
    <row r="302" ht="15" customHeight="1">
      <c r="A302" t="inlineStr">
        <is>
          <t>A 61849-2022</t>
        </is>
      </c>
      <c r="B302" s="1" t="n">
        <v>44917</v>
      </c>
      <c r="C302" s="1" t="n">
        <v>45886</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53584-2023</t>
        </is>
      </c>
      <c r="B303" s="1" t="n">
        <v>45230</v>
      </c>
      <c r="C303" s="1" t="n">
        <v>45886</v>
      </c>
      <c r="D303" t="inlineStr">
        <is>
          <t>DALARNAS LÄN</t>
        </is>
      </c>
      <c r="E303" t="inlineStr">
        <is>
          <t>HEDEMORA</t>
        </is>
      </c>
      <c r="G303" t="n">
        <v>6.6</v>
      </c>
      <c r="H303" t="n">
        <v>0</v>
      </c>
      <c r="I303" t="n">
        <v>0</v>
      </c>
      <c r="J303" t="n">
        <v>0</v>
      </c>
      <c r="K303" t="n">
        <v>0</v>
      </c>
      <c r="L303" t="n">
        <v>0</v>
      </c>
      <c r="M303" t="n">
        <v>0</v>
      </c>
      <c r="N303" t="n">
        <v>0</v>
      </c>
      <c r="O303" t="n">
        <v>0</v>
      </c>
      <c r="P303" t="n">
        <v>0</v>
      </c>
      <c r="Q303" t="n">
        <v>0</v>
      </c>
      <c r="R303" s="2" t="inlineStr"/>
    </row>
    <row r="304" ht="15" customHeight="1">
      <c r="A304" t="inlineStr">
        <is>
          <t>A 32071-2021</t>
        </is>
      </c>
      <c r="B304" s="1" t="n">
        <v>44370.90546296296</v>
      </c>
      <c r="C304" s="1" t="n">
        <v>45886</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21763-2024</t>
        </is>
      </c>
      <c r="B305" s="1" t="n">
        <v>45442.60204861111</v>
      </c>
      <c r="C305" s="1" t="n">
        <v>45886</v>
      </c>
      <c r="D305" t="inlineStr">
        <is>
          <t>DALARNAS LÄN</t>
        </is>
      </c>
      <c r="E305" t="inlineStr">
        <is>
          <t>HEDEMORA</t>
        </is>
      </c>
      <c r="G305" t="n">
        <v>1.6</v>
      </c>
      <c r="H305" t="n">
        <v>0</v>
      </c>
      <c r="I305" t="n">
        <v>0</v>
      </c>
      <c r="J305" t="n">
        <v>0</v>
      </c>
      <c r="K305" t="n">
        <v>0</v>
      </c>
      <c r="L305" t="n">
        <v>0</v>
      </c>
      <c r="M305" t="n">
        <v>0</v>
      </c>
      <c r="N305" t="n">
        <v>0</v>
      </c>
      <c r="O305" t="n">
        <v>0</v>
      </c>
      <c r="P305" t="n">
        <v>0</v>
      </c>
      <c r="Q305" t="n">
        <v>0</v>
      </c>
      <c r="R305" s="2" t="inlineStr"/>
    </row>
    <row r="306" ht="15" customHeight="1">
      <c r="A306" t="inlineStr">
        <is>
          <t>A 8342-2025</t>
        </is>
      </c>
      <c r="B306" s="1" t="n">
        <v>45708.67251157408</v>
      </c>
      <c r="C306" s="1" t="n">
        <v>45886</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36299-2024</t>
        </is>
      </c>
      <c r="B307" s="1" t="n">
        <v>45534.6090625</v>
      </c>
      <c r="C307" s="1" t="n">
        <v>45886</v>
      </c>
      <c r="D307" t="inlineStr">
        <is>
          <t>DALARNAS LÄN</t>
        </is>
      </c>
      <c r="E307" t="inlineStr">
        <is>
          <t>HEDEMORA</t>
        </is>
      </c>
      <c r="F307" t="inlineStr">
        <is>
          <t>Sveaskog</t>
        </is>
      </c>
      <c r="G307" t="n">
        <v>5.3</v>
      </c>
      <c r="H307" t="n">
        <v>0</v>
      </c>
      <c r="I307" t="n">
        <v>0</v>
      </c>
      <c r="J307" t="n">
        <v>0</v>
      </c>
      <c r="K307" t="n">
        <v>0</v>
      </c>
      <c r="L307" t="n">
        <v>0</v>
      </c>
      <c r="M307" t="n">
        <v>0</v>
      </c>
      <c r="N307" t="n">
        <v>0</v>
      </c>
      <c r="O307" t="n">
        <v>0</v>
      </c>
      <c r="P307" t="n">
        <v>0</v>
      </c>
      <c r="Q307" t="n">
        <v>0</v>
      </c>
      <c r="R307" s="2" t="inlineStr"/>
    </row>
    <row r="308" ht="15" customHeight="1">
      <c r="A308" t="inlineStr">
        <is>
          <t>A 15833-2025</t>
        </is>
      </c>
      <c r="B308" s="1" t="n">
        <v>45748.85107638889</v>
      </c>
      <c r="C308" s="1" t="n">
        <v>45886</v>
      </c>
      <c r="D308" t="inlineStr">
        <is>
          <t>DALARNAS LÄN</t>
        </is>
      </c>
      <c r="E308" t="inlineStr">
        <is>
          <t>HEDEMORA</t>
        </is>
      </c>
      <c r="G308" t="n">
        <v>0.4</v>
      </c>
      <c r="H308" t="n">
        <v>0</v>
      </c>
      <c r="I308" t="n">
        <v>0</v>
      </c>
      <c r="J308" t="n">
        <v>0</v>
      </c>
      <c r="K308" t="n">
        <v>0</v>
      </c>
      <c r="L308" t="n">
        <v>0</v>
      </c>
      <c r="M308" t="n">
        <v>0</v>
      </c>
      <c r="N308" t="n">
        <v>0</v>
      </c>
      <c r="O308" t="n">
        <v>0</v>
      </c>
      <c r="P308" t="n">
        <v>0</v>
      </c>
      <c r="Q308" t="n">
        <v>0</v>
      </c>
      <c r="R308" s="2" t="inlineStr"/>
    </row>
    <row r="309" ht="15" customHeight="1">
      <c r="A309" t="inlineStr">
        <is>
          <t>A 12136-2025</t>
        </is>
      </c>
      <c r="B309" s="1" t="n">
        <v>45729.39300925926</v>
      </c>
      <c r="C309" s="1" t="n">
        <v>45886</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20272-2025</t>
        </is>
      </c>
      <c r="B310" s="1" t="n">
        <v>45773.71663194444</v>
      </c>
      <c r="C310" s="1" t="n">
        <v>45886</v>
      </c>
      <c r="D310" t="inlineStr">
        <is>
          <t>DALARNAS LÄN</t>
        </is>
      </c>
      <c r="E310" t="inlineStr">
        <is>
          <t>HEDEMORA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19688-2025</t>
        </is>
      </c>
      <c r="B311" s="1" t="n">
        <v>45770.88217592592</v>
      </c>
      <c r="C311" s="1" t="n">
        <v>45886</v>
      </c>
      <c r="D311" t="inlineStr">
        <is>
          <t>DALARNAS LÄN</t>
        </is>
      </c>
      <c r="E311" t="inlineStr">
        <is>
          <t>HEDEMORA</t>
        </is>
      </c>
      <c r="G311" t="n">
        <v>1.9</v>
      </c>
      <c r="H311" t="n">
        <v>0</v>
      </c>
      <c r="I311" t="n">
        <v>0</v>
      </c>
      <c r="J311" t="n">
        <v>0</v>
      </c>
      <c r="K311" t="n">
        <v>0</v>
      </c>
      <c r="L311" t="n">
        <v>0</v>
      </c>
      <c r="M311" t="n">
        <v>0</v>
      </c>
      <c r="N311" t="n">
        <v>0</v>
      </c>
      <c r="O311" t="n">
        <v>0</v>
      </c>
      <c r="P311" t="n">
        <v>0</v>
      </c>
      <c r="Q311" t="n">
        <v>0</v>
      </c>
      <c r="R311" s="2" t="inlineStr"/>
    </row>
    <row r="312" ht="15" customHeight="1">
      <c r="A312" t="inlineStr">
        <is>
          <t>A 18579-2025</t>
        </is>
      </c>
      <c r="B312" s="1" t="n">
        <v>45763</v>
      </c>
      <c r="C312" s="1" t="n">
        <v>45886</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46825-2024</t>
        </is>
      </c>
      <c r="B313" s="1" t="n">
        <v>45583.58040509259</v>
      </c>
      <c r="C313" s="1" t="n">
        <v>45886</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50333-2023</t>
        </is>
      </c>
      <c r="B314" s="1" t="n">
        <v>45216</v>
      </c>
      <c r="C314" s="1" t="n">
        <v>45886</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52942-2024</t>
        </is>
      </c>
      <c r="B315" s="1" t="n">
        <v>45610.8215625</v>
      </c>
      <c r="C315" s="1" t="n">
        <v>45886</v>
      </c>
      <c r="D315" t="inlineStr">
        <is>
          <t>DALARNAS LÄN</t>
        </is>
      </c>
      <c r="E315" t="inlineStr">
        <is>
          <t>HEDEMORA</t>
        </is>
      </c>
      <c r="F315" t="inlineStr">
        <is>
          <t>Sveaskog</t>
        </is>
      </c>
      <c r="G315" t="n">
        <v>14.5</v>
      </c>
      <c r="H315" t="n">
        <v>0</v>
      </c>
      <c r="I315" t="n">
        <v>0</v>
      </c>
      <c r="J315" t="n">
        <v>0</v>
      </c>
      <c r="K315" t="n">
        <v>0</v>
      </c>
      <c r="L315" t="n">
        <v>0</v>
      </c>
      <c r="M315" t="n">
        <v>0</v>
      </c>
      <c r="N315" t="n">
        <v>0</v>
      </c>
      <c r="O315" t="n">
        <v>0</v>
      </c>
      <c r="P315" t="n">
        <v>0</v>
      </c>
      <c r="Q315" t="n">
        <v>0</v>
      </c>
      <c r="R315" s="2" t="inlineStr"/>
    </row>
    <row r="316" ht="15" customHeight="1">
      <c r="A316" t="inlineStr">
        <is>
          <t>A 26612-2021</t>
        </is>
      </c>
      <c r="B316" s="1" t="n">
        <v>44348.64942129629</v>
      </c>
      <c r="C316" s="1" t="n">
        <v>45886</v>
      </c>
      <c r="D316" t="inlineStr">
        <is>
          <t>DALARNAS LÄN</t>
        </is>
      </c>
      <c r="E316" t="inlineStr">
        <is>
          <t>HEDEMORA</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22270-2023</t>
        </is>
      </c>
      <c r="B317" s="1" t="n">
        <v>45070.39284722223</v>
      </c>
      <c r="C317" s="1" t="n">
        <v>45886</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53576-2023</t>
        </is>
      </c>
      <c r="B318" s="1" t="n">
        <v>45230.50288194444</v>
      </c>
      <c r="C318" s="1" t="n">
        <v>45886</v>
      </c>
      <c r="D318" t="inlineStr">
        <is>
          <t>DALARNAS LÄN</t>
        </is>
      </c>
      <c r="E318" t="inlineStr">
        <is>
          <t>HEDEMORA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19990-2025</t>
        </is>
      </c>
      <c r="B319" s="1" t="n">
        <v>45771.73082175926</v>
      </c>
      <c r="C319" s="1" t="n">
        <v>45886</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22273-2023</t>
        </is>
      </c>
      <c r="B320" s="1" t="n">
        <v>45070</v>
      </c>
      <c r="C320" s="1" t="n">
        <v>45886</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27610-2024</t>
        </is>
      </c>
      <c r="B321" s="1" t="n">
        <v>45474.73221064815</v>
      </c>
      <c r="C321" s="1" t="n">
        <v>45886</v>
      </c>
      <c r="D321" t="inlineStr">
        <is>
          <t>DALARNAS LÄN</t>
        </is>
      </c>
      <c r="E321" t="inlineStr">
        <is>
          <t>HEDEMORA</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48323-2021</t>
        </is>
      </c>
      <c r="B322" s="1" t="n">
        <v>44450.84762731481</v>
      </c>
      <c r="C322" s="1" t="n">
        <v>45886</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68553-2021</t>
        </is>
      </c>
      <c r="B323" s="1" t="n">
        <v>44529</v>
      </c>
      <c r="C323" s="1" t="n">
        <v>45886</v>
      </c>
      <c r="D323" t="inlineStr">
        <is>
          <t>DALARNAS LÄN</t>
        </is>
      </c>
      <c r="E323" t="inlineStr">
        <is>
          <t>HEDEMORA</t>
        </is>
      </c>
      <c r="G323" t="n">
        <v>3</v>
      </c>
      <c r="H323" t="n">
        <v>0</v>
      </c>
      <c r="I323" t="n">
        <v>0</v>
      </c>
      <c r="J323" t="n">
        <v>0</v>
      </c>
      <c r="K323" t="n">
        <v>0</v>
      </c>
      <c r="L323" t="n">
        <v>0</v>
      </c>
      <c r="M323" t="n">
        <v>0</v>
      </c>
      <c r="N323" t="n">
        <v>0</v>
      </c>
      <c r="O323" t="n">
        <v>0</v>
      </c>
      <c r="P323" t="n">
        <v>0</v>
      </c>
      <c r="Q323" t="n">
        <v>0</v>
      </c>
      <c r="R323" s="2" t="inlineStr"/>
    </row>
    <row r="324" ht="15" customHeight="1">
      <c r="A324" t="inlineStr">
        <is>
          <t>A 17600-2025</t>
        </is>
      </c>
      <c r="B324" s="1" t="n">
        <v>45757.71063657408</v>
      </c>
      <c r="C324" s="1" t="n">
        <v>45886</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29123-2021</t>
        </is>
      </c>
      <c r="B325" s="1" t="n">
        <v>44358</v>
      </c>
      <c r="C325" s="1" t="n">
        <v>45886</v>
      </c>
      <c r="D325" t="inlineStr">
        <is>
          <t>DALARNAS LÄN</t>
        </is>
      </c>
      <c r="E325" t="inlineStr">
        <is>
          <t>HEDEMORA</t>
        </is>
      </c>
      <c r="G325" t="n">
        <v>5.6</v>
      </c>
      <c r="H325" t="n">
        <v>0</v>
      </c>
      <c r="I325" t="n">
        <v>0</v>
      </c>
      <c r="J325" t="n">
        <v>0</v>
      </c>
      <c r="K325" t="n">
        <v>0</v>
      </c>
      <c r="L325" t="n">
        <v>0</v>
      </c>
      <c r="M325" t="n">
        <v>0</v>
      </c>
      <c r="N325" t="n">
        <v>0</v>
      </c>
      <c r="O325" t="n">
        <v>0</v>
      </c>
      <c r="P325" t="n">
        <v>0</v>
      </c>
      <c r="Q325" t="n">
        <v>0</v>
      </c>
      <c r="R325" s="2" t="inlineStr"/>
    </row>
    <row r="326" ht="15" customHeight="1">
      <c r="A326" t="inlineStr">
        <is>
          <t>A 24427-2022</t>
        </is>
      </c>
      <c r="B326" s="1" t="n">
        <v>44726</v>
      </c>
      <c r="C326" s="1" t="n">
        <v>45886</v>
      </c>
      <c r="D326" t="inlineStr">
        <is>
          <t>DALARNAS LÄN</t>
        </is>
      </c>
      <c r="E326" t="inlineStr">
        <is>
          <t>HEDEMORA</t>
        </is>
      </c>
      <c r="G326" t="n">
        <v>1.7</v>
      </c>
      <c r="H326" t="n">
        <v>0</v>
      </c>
      <c r="I326" t="n">
        <v>0</v>
      </c>
      <c r="J326" t="n">
        <v>0</v>
      </c>
      <c r="K326" t="n">
        <v>0</v>
      </c>
      <c r="L326" t="n">
        <v>0</v>
      </c>
      <c r="M326" t="n">
        <v>0</v>
      </c>
      <c r="N326" t="n">
        <v>0</v>
      </c>
      <c r="O326" t="n">
        <v>0</v>
      </c>
      <c r="P326" t="n">
        <v>0</v>
      </c>
      <c r="Q326" t="n">
        <v>0</v>
      </c>
      <c r="R326" s="2" t="inlineStr"/>
    </row>
    <row r="327" ht="15" customHeight="1">
      <c r="A327" t="inlineStr">
        <is>
          <t>A 40801-2024</t>
        </is>
      </c>
      <c r="B327" s="1" t="n">
        <v>45558.52905092593</v>
      </c>
      <c r="C327" s="1" t="n">
        <v>45886</v>
      </c>
      <c r="D327" t="inlineStr">
        <is>
          <t>DALARNAS LÄN</t>
        </is>
      </c>
      <c r="E327" t="inlineStr">
        <is>
          <t>HEDEMORA</t>
        </is>
      </c>
      <c r="G327" t="n">
        <v>2.2</v>
      </c>
      <c r="H327" t="n">
        <v>0</v>
      </c>
      <c r="I327" t="n">
        <v>0</v>
      </c>
      <c r="J327" t="n">
        <v>0</v>
      </c>
      <c r="K327" t="n">
        <v>0</v>
      </c>
      <c r="L327" t="n">
        <v>0</v>
      </c>
      <c r="M327" t="n">
        <v>0</v>
      </c>
      <c r="N327" t="n">
        <v>0</v>
      </c>
      <c r="O327" t="n">
        <v>0</v>
      </c>
      <c r="P327" t="n">
        <v>0</v>
      </c>
      <c r="Q327" t="n">
        <v>0</v>
      </c>
      <c r="R327" s="2" t="inlineStr"/>
    </row>
    <row r="328" ht="15" customHeight="1">
      <c r="A328" t="inlineStr">
        <is>
          <t>A 28029-2023</t>
        </is>
      </c>
      <c r="B328" s="1" t="n">
        <v>45099</v>
      </c>
      <c r="C328" s="1" t="n">
        <v>45886</v>
      </c>
      <c r="D328" t="inlineStr">
        <is>
          <t>DALARNAS LÄN</t>
        </is>
      </c>
      <c r="E328" t="inlineStr">
        <is>
          <t>HEDEMORA</t>
        </is>
      </c>
      <c r="G328" t="n">
        <v>0.6</v>
      </c>
      <c r="H328" t="n">
        <v>0</v>
      </c>
      <c r="I328" t="n">
        <v>0</v>
      </c>
      <c r="J328" t="n">
        <v>0</v>
      </c>
      <c r="K328" t="n">
        <v>0</v>
      </c>
      <c r="L328" t="n">
        <v>0</v>
      </c>
      <c r="M328" t="n">
        <v>0</v>
      </c>
      <c r="N328" t="n">
        <v>0</v>
      </c>
      <c r="O328" t="n">
        <v>0</v>
      </c>
      <c r="P328" t="n">
        <v>0</v>
      </c>
      <c r="Q328" t="n">
        <v>0</v>
      </c>
      <c r="R328" s="2" t="inlineStr"/>
    </row>
    <row r="329" ht="15" customHeight="1">
      <c r="A329" t="inlineStr">
        <is>
          <t>A 36306-2024</t>
        </is>
      </c>
      <c r="B329" s="1" t="n">
        <v>45534.61327546297</v>
      </c>
      <c r="C329" s="1" t="n">
        <v>45886</v>
      </c>
      <c r="D329" t="inlineStr">
        <is>
          <t>DALARNAS LÄN</t>
        </is>
      </c>
      <c r="E329" t="inlineStr">
        <is>
          <t>HEDEMORA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44960-2021</t>
        </is>
      </c>
      <c r="B330" s="1" t="n">
        <v>44438.72253472222</v>
      </c>
      <c r="C330" s="1" t="n">
        <v>45886</v>
      </c>
      <c r="D330" t="inlineStr">
        <is>
          <t>DALARNAS LÄN</t>
        </is>
      </c>
      <c r="E330" t="inlineStr">
        <is>
          <t>HEDEMORA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59471-2020</t>
        </is>
      </c>
      <c r="B331" s="1" t="n">
        <v>44148</v>
      </c>
      <c r="C331" s="1" t="n">
        <v>45886</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58018-2022</t>
        </is>
      </c>
      <c r="B332" s="1" t="n">
        <v>44900.53383101852</v>
      </c>
      <c r="C332" s="1" t="n">
        <v>45886</v>
      </c>
      <c r="D332" t="inlineStr">
        <is>
          <t>DALARNAS LÄN</t>
        </is>
      </c>
      <c r="E332" t="inlineStr">
        <is>
          <t>HEDEMORA</t>
        </is>
      </c>
      <c r="G332" t="n">
        <v>3.6</v>
      </c>
      <c r="H332" t="n">
        <v>0</v>
      </c>
      <c r="I332" t="n">
        <v>0</v>
      </c>
      <c r="J332" t="n">
        <v>0</v>
      </c>
      <c r="K332" t="n">
        <v>0</v>
      </c>
      <c r="L332" t="n">
        <v>0</v>
      </c>
      <c r="M332" t="n">
        <v>0</v>
      </c>
      <c r="N332" t="n">
        <v>0</v>
      </c>
      <c r="O332" t="n">
        <v>0</v>
      </c>
      <c r="P332" t="n">
        <v>0</v>
      </c>
      <c r="Q332" t="n">
        <v>0</v>
      </c>
      <c r="R332" s="2" t="inlineStr"/>
    </row>
    <row r="333" ht="15" customHeight="1">
      <c r="A333" t="inlineStr">
        <is>
          <t>A 29591-2024</t>
        </is>
      </c>
      <c r="B333" s="1" t="n">
        <v>45484.58222222222</v>
      </c>
      <c r="C333" s="1" t="n">
        <v>45886</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29050-2023</t>
        </is>
      </c>
      <c r="B334" s="1" t="n">
        <v>45104</v>
      </c>
      <c r="C334" s="1" t="n">
        <v>45886</v>
      </c>
      <c r="D334" t="inlineStr">
        <is>
          <t>DALARNAS LÄN</t>
        </is>
      </c>
      <c r="E334" t="inlineStr">
        <is>
          <t>HEDEMORA</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63929-2023</t>
        </is>
      </c>
      <c r="B335" s="1" t="n">
        <v>45278.60274305556</v>
      </c>
      <c r="C335" s="1" t="n">
        <v>45886</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53588-2023</t>
        </is>
      </c>
      <c r="B336" s="1" t="n">
        <v>45230.53109953704</v>
      </c>
      <c r="C336" s="1" t="n">
        <v>45886</v>
      </c>
      <c r="D336" t="inlineStr">
        <is>
          <t>DALARNAS LÄN</t>
        </is>
      </c>
      <c r="E336" t="inlineStr">
        <is>
          <t>HEDEMORA</t>
        </is>
      </c>
      <c r="G336" t="n">
        <v>0.6</v>
      </c>
      <c r="H336" t="n">
        <v>0</v>
      </c>
      <c r="I336" t="n">
        <v>0</v>
      </c>
      <c r="J336" t="n">
        <v>0</v>
      </c>
      <c r="K336" t="n">
        <v>0</v>
      </c>
      <c r="L336" t="n">
        <v>0</v>
      </c>
      <c r="M336" t="n">
        <v>0</v>
      </c>
      <c r="N336" t="n">
        <v>0</v>
      </c>
      <c r="O336" t="n">
        <v>0</v>
      </c>
      <c r="P336" t="n">
        <v>0</v>
      </c>
      <c r="Q336" t="n">
        <v>0</v>
      </c>
      <c r="R336" s="2" t="inlineStr"/>
    </row>
    <row r="337" ht="15" customHeight="1">
      <c r="A337" t="inlineStr">
        <is>
          <t>A 61883-2022</t>
        </is>
      </c>
      <c r="B337" s="1" t="n">
        <v>44917.67262731482</v>
      </c>
      <c r="C337" s="1" t="n">
        <v>45886</v>
      </c>
      <c r="D337" t="inlineStr">
        <is>
          <t>DALARNAS LÄN</t>
        </is>
      </c>
      <c r="E337" t="inlineStr">
        <is>
          <t>HEDEMORA</t>
        </is>
      </c>
      <c r="G337" t="n">
        <v>2.3</v>
      </c>
      <c r="H337" t="n">
        <v>0</v>
      </c>
      <c r="I337" t="n">
        <v>0</v>
      </c>
      <c r="J337" t="n">
        <v>0</v>
      </c>
      <c r="K337" t="n">
        <v>0</v>
      </c>
      <c r="L337" t="n">
        <v>0</v>
      </c>
      <c r="M337" t="n">
        <v>0</v>
      </c>
      <c r="N337" t="n">
        <v>0</v>
      </c>
      <c r="O337" t="n">
        <v>0</v>
      </c>
      <c r="P337" t="n">
        <v>0</v>
      </c>
      <c r="Q337" t="n">
        <v>0</v>
      </c>
      <c r="R337" s="2" t="inlineStr"/>
    </row>
    <row r="338" ht="15" customHeight="1">
      <c r="A338" t="inlineStr">
        <is>
          <t>A 37449-2024</t>
        </is>
      </c>
      <c r="B338" s="1" t="n">
        <v>45540</v>
      </c>
      <c r="C338" s="1" t="n">
        <v>45886</v>
      </c>
      <c r="D338" t="inlineStr">
        <is>
          <t>DALARNAS LÄN</t>
        </is>
      </c>
      <c r="E338" t="inlineStr">
        <is>
          <t>HEDEMORA</t>
        </is>
      </c>
      <c r="F338" t="inlineStr">
        <is>
          <t>Bergvik skog väst AB</t>
        </is>
      </c>
      <c r="G338" t="n">
        <v>10.1</v>
      </c>
      <c r="H338" t="n">
        <v>0</v>
      </c>
      <c r="I338" t="n">
        <v>0</v>
      </c>
      <c r="J338" t="n">
        <v>0</v>
      </c>
      <c r="K338" t="n">
        <v>0</v>
      </c>
      <c r="L338" t="n">
        <v>0</v>
      </c>
      <c r="M338" t="n">
        <v>0</v>
      </c>
      <c r="N338" t="n">
        <v>0</v>
      </c>
      <c r="O338" t="n">
        <v>0</v>
      </c>
      <c r="P338" t="n">
        <v>0</v>
      </c>
      <c r="Q338" t="n">
        <v>0</v>
      </c>
      <c r="R338" s="2" t="inlineStr"/>
    </row>
    <row r="339" ht="15" customHeight="1">
      <c r="A339" t="inlineStr">
        <is>
          <t>A 29301-2023</t>
        </is>
      </c>
      <c r="B339" s="1" t="n">
        <v>45105</v>
      </c>
      <c r="C339" s="1" t="n">
        <v>45886</v>
      </c>
      <c r="D339" t="inlineStr">
        <is>
          <t>DALARNAS LÄN</t>
        </is>
      </c>
      <c r="E339" t="inlineStr">
        <is>
          <t>HEDEMORA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60808-2024</t>
        </is>
      </c>
      <c r="B340" s="1" t="n">
        <v>45644.61251157407</v>
      </c>
      <c r="C340" s="1" t="n">
        <v>45886</v>
      </c>
      <c r="D340" t="inlineStr">
        <is>
          <t>DALARNAS LÄN</t>
        </is>
      </c>
      <c r="E340" t="inlineStr">
        <is>
          <t>HEDEMORA</t>
        </is>
      </c>
      <c r="G340" t="n">
        <v>6</v>
      </c>
      <c r="H340" t="n">
        <v>0</v>
      </c>
      <c r="I340" t="n">
        <v>0</v>
      </c>
      <c r="J340" t="n">
        <v>0</v>
      </c>
      <c r="K340" t="n">
        <v>0</v>
      </c>
      <c r="L340" t="n">
        <v>0</v>
      </c>
      <c r="M340" t="n">
        <v>0</v>
      </c>
      <c r="N340" t="n">
        <v>0</v>
      </c>
      <c r="O340" t="n">
        <v>0</v>
      </c>
      <c r="P340" t="n">
        <v>0</v>
      </c>
      <c r="Q340" t="n">
        <v>0</v>
      </c>
      <c r="R340" s="2" t="inlineStr"/>
    </row>
    <row r="341" ht="15" customHeight="1">
      <c r="A341" t="inlineStr">
        <is>
          <t>A 7172-2025</t>
        </is>
      </c>
      <c r="B341" s="1" t="n">
        <v>45702.41383101852</v>
      </c>
      <c r="C341" s="1" t="n">
        <v>45886</v>
      </c>
      <c r="D341" t="inlineStr">
        <is>
          <t>DALARNAS LÄN</t>
        </is>
      </c>
      <c r="E341" t="inlineStr">
        <is>
          <t>HEDEMORA</t>
        </is>
      </c>
      <c r="G341" t="n">
        <v>0.8</v>
      </c>
      <c r="H341" t="n">
        <v>0</v>
      </c>
      <c r="I341" t="n">
        <v>0</v>
      </c>
      <c r="J341" t="n">
        <v>0</v>
      </c>
      <c r="K341" t="n">
        <v>0</v>
      </c>
      <c r="L341" t="n">
        <v>0</v>
      </c>
      <c r="M341" t="n">
        <v>0</v>
      </c>
      <c r="N341" t="n">
        <v>0</v>
      </c>
      <c r="O341" t="n">
        <v>0</v>
      </c>
      <c r="P341" t="n">
        <v>0</v>
      </c>
      <c r="Q341" t="n">
        <v>0</v>
      </c>
      <c r="R341" s="2" t="inlineStr"/>
    </row>
    <row r="342">
      <c r="A342" t="inlineStr">
        <is>
          <t>A 55832-2024</t>
        </is>
      </c>
      <c r="B342" s="1" t="n">
        <v>45623.48604166666</v>
      </c>
      <c r="C342" s="1" t="n">
        <v>45886</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2025-08-17T08:31:17Z</dcterms:created>
  <dcterms:modified xmlns:dcterms="http://purl.org/dc/terms/" xmlns:xsi="http://www.w3.org/2001/XMLSchema-instance" xsi:type="dcterms:W3CDTF">2025-08-17T08:31:17Z</dcterms:modified>
</cp:coreProperties>
</file>