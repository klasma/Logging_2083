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2325-2023</t>
        </is>
      </c>
      <c r="B2" t="inlineStr">
        <is>
          <t>samrådsanmälan</t>
        </is>
      </c>
      <c r="C2" t="inlineStr">
        <is>
          <t>Annan skogsbruksåtgärd</t>
        </is>
      </c>
      <c r="D2" s="1" t="n">
        <v>45105</v>
      </c>
      <c r="E2" s="1" t="n">
        <v>46217</v>
      </c>
      <c r="F2" t="inlineStr">
        <is>
          <t>DALARNAS LÄN</t>
        </is>
      </c>
      <c r="G2" t="inlineStr">
        <is>
          <t>HEDEMORA</t>
        </is>
      </c>
      <c r="I2" t="n">
        <v>23.4</v>
      </c>
      <c r="J2" t="n">
        <v>6</v>
      </c>
      <c r="K2" t="n">
        <v>12</v>
      </c>
      <c r="L2" t="n">
        <v>16</v>
      </c>
      <c r="M2" t="n">
        <v>11</v>
      </c>
      <c r="N2" t="n">
        <v>1</v>
      </c>
      <c r="O2" t="n">
        <v>0</v>
      </c>
      <c r="P2" t="n">
        <v>0</v>
      </c>
      <c r="Q2" t="n">
        <v>28</v>
      </c>
      <c r="R2" t="n">
        <v>12</v>
      </c>
      <c r="S2" t="n">
        <v>43</v>
      </c>
      <c r="T2" t="n">
        <v>857</v>
      </c>
      <c r="U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2">
        <f>HYPERLINK("https://klasma.github.io/Logging_2083/artfynd/S 2325-2023 artfynd.xlsx", "S 2325-2023")</f>
        <v/>
      </c>
      <c r="W2">
        <f>HYPERLINK("https://klasma.github.io/Logging_2083/kartor/S 2325-2023 karta.png", "S 2325-2023")</f>
        <v/>
      </c>
      <c r="X2">
        <f>HYPERLINK("https://klasma.github.io/Logging_2083/knärot/S 2325-2023 karta knärot.png", "S 2325-2023")</f>
        <v/>
      </c>
      <c r="Y2">
        <f>HYPERLINK("https://klasma.github.io/Logging_2083/klagomål/S 2325-2023 FSC-klagomål.docx", "S 2325-2023")</f>
        <v/>
      </c>
      <c r="Z2">
        <f>HYPERLINK("https://klasma.github.io/Logging_2083/klagomålsmail/S 2325-2023 FSC-klagomål mail.docx", "S 2325-2023")</f>
        <v/>
      </c>
      <c r="AA2">
        <f>HYPERLINK("https://klasma.github.io/Logging_2083/tillsyn/S 2325-2023 tillsynsbegäran.docx", "S 2325-2023")</f>
        <v/>
      </c>
      <c r="AB2">
        <f>HYPERLINK("https://klasma.github.io/Logging_2083/tillsynsmail/S 2325-2023 tillsynsbegäran mail.docx", "S 2325-2023")</f>
        <v/>
      </c>
      <c r="AC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46217</v>
      </c>
      <c r="F3" t="inlineStr">
        <is>
          <t>DALARNAS LÄN</t>
        </is>
      </c>
      <c r="G3" t="inlineStr">
        <is>
          <t>HEDEMORA</t>
        </is>
      </c>
      <c r="I3" t="n">
        <v>12.9</v>
      </c>
      <c r="J3" t="n">
        <v>11</v>
      </c>
      <c r="K3" t="n">
        <v>4</v>
      </c>
      <c r="L3" t="n">
        <v>11</v>
      </c>
      <c r="M3" t="n">
        <v>3</v>
      </c>
      <c r="N3" t="n">
        <v>0</v>
      </c>
      <c r="O3" t="n">
        <v>0</v>
      </c>
      <c r="P3" t="n">
        <v>0</v>
      </c>
      <c r="Q3" t="n">
        <v>15</v>
      </c>
      <c r="R3" t="n">
        <v>3</v>
      </c>
      <c r="S3" t="n">
        <v>26</v>
      </c>
      <c r="T3" t="n">
        <v>114</v>
      </c>
      <c r="U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
        <f>HYPERLINK("https://klasma.github.io/Logging_2083/artfynd/A 60987-2025 artfynd.xlsx", "A 60987-2025")</f>
        <v/>
      </c>
      <c r="W3">
        <f>HYPERLINK("https://klasma.github.io/Logging_2083/kartor/A 60987-2025 karta.png", "A 60987-2025")</f>
        <v/>
      </c>
      <c r="X3">
        <f>HYPERLINK("https://klasma.github.io/Logging_2083/knärot/A 60987-2025 karta knärot.png", "A 60987-2025")</f>
        <v/>
      </c>
      <c r="Y3">
        <f>HYPERLINK("https://klasma.github.io/Logging_2083/klagomål/A 60987-2025 FSC-klagomål.docx", "A 60987-2025")</f>
        <v/>
      </c>
      <c r="Z3">
        <f>HYPERLINK("https://klasma.github.io/Logging_2083/klagomålsmail/A 60987-2025 FSC-klagomål mail.docx", "A 60987-2025")</f>
        <v/>
      </c>
      <c r="AA3">
        <f>HYPERLINK("https://klasma.github.io/Logging_2083/tillsyn/A 60987-2025 tillsynsbegäran.docx", "A 60987-2025")</f>
        <v/>
      </c>
      <c r="AB3">
        <f>HYPERLINK("https://klasma.github.io/Logging_2083/tillsynsmail/A 60987-2025 tillsynsbegäran mail.docx", "A 60987-2025")</f>
        <v/>
      </c>
      <c r="AC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46217</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4">
        <f>HYPERLINK("https://klasma.github.io/Logging_2083/artfynd/S 1798-2022 artfynd.xlsx", "S 1798-2022")</f>
        <v/>
      </c>
      <c r="W4">
        <f>HYPERLINK("https://klasma.github.io/Logging_2083/kartor/S 1798-2022 karta.png", "S 1798-2022")</f>
        <v/>
      </c>
      <c r="X4">
        <f>HYPERLINK("https://klasma.github.io/Logging_2083/knärot/S 1798-2022 karta knärot.png", "S 1798-2022")</f>
        <v/>
      </c>
      <c r="Y4">
        <f>HYPERLINK("https://klasma.github.io/Logging_2083/klagomål/S 1798-2022 FSC-klagomål.docx", "S 1798-2022")</f>
        <v/>
      </c>
      <c r="Z4">
        <f>HYPERLINK("https://klasma.github.io/Logging_2083/klagomålsmail/S 1798-2022 FSC-klagomål mail.docx", "S 1798-2022")</f>
        <v/>
      </c>
      <c r="AA4">
        <f>HYPERLINK("https://klasma.github.io/Logging_2083/tillsyn/S 1798-2022 tillsynsbegäran.docx", "S 1798-2022")</f>
        <v/>
      </c>
      <c r="AB4">
        <f>HYPERLINK("https://klasma.github.io/Logging_2083/tillsynsmail/S 1798-2022 tillsynsbegäran mail.docx", "S 1798-2022")</f>
        <v/>
      </c>
      <c r="AC4">
        <f>HYPERLINK("https://klasma.github.io/Logging_2083/fåglar/S 1798-2022 prioriterade fågelarter.docx", "S 1798-2022")</f>
        <v/>
      </c>
    </row>
    <row r="5" ht="15" customHeight="1">
      <c r="A5" t="inlineStr">
        <is>
          <t>A 42345-2023</t>
        </is>
      </c>
      <c r="B5" t="inlineStr">
        <is>
          <t>avverkningsanmälan</t>
        </is>
      </c>
      <c r="C5" t="inlineStr">
        <is>
          <t>Föryngringsavverkning</t>
        </is>
      </c>
      <c r="D5" s="1" t="n">
        <v>45180</v>
      </c>
      <c r="E5" s="1" t="n">
        <v>46217</v>
      </c>
      <c r="F5" t="inlineStr">
        <is>
          <t>DALARNAS LÄN</t>
        </is>
      </c>
      <c r="G5" t="inlineStr">
        <is>
          <t>HEDEMORA</t>
        </is>
      </c>
      <c r="I5" t="n">
        <v>2.3</v>
      </c>
      <c r="J5" t="n">
        <v>4</v>
      </c>
      <c r="K5" t="n">
        <v>4</v>
      </c>
      <c r="L5" t="n">
        <v>8</v>
      </c>
      <c r="M5" t="n">
        <v>5</v>
      </c>
      <c r="N5" t="n">
        <v>0</v>
      </c>
      <c r="O5" t="n">
        <v>0</v>
      </c>
      <c r="P5" t="n">
        <v>0</v>
      </c>
      <c r="Q5" t="n">
        <v>13</v>
      </c>
      <c r="R5" t="n">
        <v>5</v>
      </c>
      <c r="S5" t="n">
        <v>19</v>
      </c>
      <c r="T5" t="n">
        <v>68</v>
      </c>
      <c r="U5" s="2" t="inlineStr">
        <is>
          <t>Bullspindling
Garnlav
Grangråticka
Knärot
Rostskinn
Fjällig taggsvamp s.str.
Motaggsvamp
Rosenticka
Rynkskinn
Skarp dropptaggsvamp
Talltita
Ullticka
Vågticka
Bronshjon
Gullgröppa
Trådticka
Vedticka
Mattlummer
Spillkråka</t>
        </is>
      </c>
      <c r="V5">
        <f>HYPERLINK("https://klasma.github.io/Logging_2083/artfynd/A 42345-2023 artfynd.xlsx", "A 42345-2023")</f>
        <v/>
      </c>
      <c r="W5">
        <f>HYPERLINK("https://klasma.github.io/Logging_2083/kartor/A 42345-2023 karta.png", "A 42345-2023")</f>
        <v/>
      </c>
      <c r="X5">
        <f>HYPERLINK("https://klasma.github.io/Logging_2083/knärot/A 42345-2023 karta knärot.png", "A 42345-2023")</f>
        <v/>
      </c>
      <c r="Y5">
        <f>HYPERLINK("https://klasma.github.io/Logging_2083/klagomål/A 42345-2023 FSC-klagomål.docx", "A 42345-2023")</f>
        <v/>
      </c>
      <c r="Z5">
        <f>HYPERLINK("https://klasma.github.io/Logging_2083/klagomålsmail/A 42345-2023 FSC-klagomål mail.docx", "A 42345-2023")</f>
        <v/>
      </c>
      <c r="AA5">
        <f>HYPERLINK("https://klasma.github.io/Logging_2083/tillsyn/A 42345-2023 tillsynsbegäran.docx", "A 42345-2023")</f>
        <v/>
      </c>
      <c r="AB5">
        <f>HYPERLINK("https://klasma.github.io/Logging_2083/tillsynsmail/A 42345-2023 tillsynsbegäran mail.docx", "A 42345-2023")</f>
        <v/>
      </c>
      <c r="AC5">
        <f>HYPERLINK("https://klasma.github.io/Logging_2083/fåglar/A 42345-2023 prioriterade fågelarter.docx", "A 42345-2023")</f>
        <v/>
      </c>
    </row>
    <row r="6" ht="15" customHeight="1">
      <c r="A6" t="inlineStr">
        <is>
          <t>A 1453-2026</t>
        </is>
      </c>
      <c r="B6" t="inlineStr">
        <is>
          <t>avverkningsanmälan</t>
        </is>
      </c>
      <c r="C6" t="inlineStr">
        <is>
          <t>Föryngringsavverkning</t>
        </is>
      </c>
      <c r="D6" s="1" t="n">
        <v>46033</v>
      </c>
      <c r="E6" s="1" t="n">
        <v>46217</v>
      </c>
      <c r="F6" t="inlineStr">
        <is>
          <t>DALARNAS LÄN</t>
        </is>
      </c>
      <c r="G6" t="inlineStr">
        <is>
          <t>HEDEMORA</t>
        </is>
      </c>
      <c r="I6" t="n">
        <v>1.3</v>
      </c>
      <c r="J6" t="n">
        <v>4</v>
      </c>
      <c r="K6" t="n">
        <v>4</v>
      </c>
      <c r="L6" t="n">
        <v>7</v>
      </c>
      <c r="M6" t="n">
        <v>5</v>
      </c>
      <c r="N6" t="n">
        <v>0</v>
      </c>
      <c r="O6" t="n">
        <v>0</v>
      </c>
      <c r="P6" t="n">
        <v>0</v>
      </c>
      <c r="Q6" t="n">
        <v>12</v>
      </c>
      <c r="R6" t="n">
        <v>5</v>
      </c>
      <c r="S6" t="n">
        <v>18</v>
      </c>
      <c r="T6" t="n">
        <v>51</v>
      </c>
      <c r="U6" s="2" t="inlineStr">
        <is>
          <t>Bullspindling
Garnlav
Grangråticka
Knärot
Rostskinn
Fjällig taggsvamp s.str.
Rosenticka
Rynkskinn
Skarp dropptaggsvamp
Talltita
Ullticka
Vågticka
Bronshjon
Gullgröppa
Trådticka
Vedticka
Mattlummer
Spillkråka</t>
        </is>
      </c>
      <c r="V6">
        <f>HYPERLINK("https://klasma.github.io/Logging_2083/artfynd/A 1453-2026 artfynd.xlsx", "A 1453-2026")</f>
        <v/>
      </c>
      <c r="W6">
        <f>HYPERLINK("https://klasma.github.io/Logging_2083/kartor/A 1453-2026 karta.png", "A 1453-2026")</f>
        <v/>
      </c>
      <c r="X6">
        <f>HYPERLINK("https://klasma.github.io/Logging_2083/knärot/A 1453-2026 karta knärot.png", "A 1453-2026")</f>
        <v/>
      </c>
      <c r="Y6">
        <f>HYPERLINK("https://klasma.github.io/Logging_2083/klagomål/A 1453-2026 FSC-klagomål.docx", "A 1453-2026")</f>
        <v/>
      </c>
      <c r="Z6">
        <f>HYPERLINK("https://klasma.github.io/Logging_2083/klagomålsmail/A 1453-2026 FSC-klagomål mail.docx", "A 1453-2026")</f>
        <v/>
      </c>
      <c r="AA6">
        <f>HYPERLINK("https://klasma.github.io/Logging_2083/tillsyn/A 1453-2026 tillsynsbegäran.docx", "A 1453-2026")</f>
        <v/>
      </c>
      <c r="AB6">
        <f>HYPERLINK("https://klasma.github.io/Logging_2083/tillsynsmail/A 1453-2026 tillsynsbegäran mail.docx", "A 1453-2026")</f>
        <v/>
      </c>
      <c r="AC6">
        <f>HYPERLINK("https://klasma.github.io/Logging_2083/fåglar/A 1453-2026 prioriterade fågelarter.docx", "A 1453-2026")</f>
        <v/>
      </c>
    </row>
    <row r="7" ht="15" customHeight="1">
      <c r="A7" t="inlineStr">
        <is>
          <t>A 55899-2023</t>
        </is>
      </c>
      <c r="B7" t="inlineStr">
        <is>
          <t>avverkningsanmälan</t>
        </is>
      </c>
      <c r="C7" t="inlineStr">
        <is>
          <t>Föryngringsavverkning</t>
        </is>
      </c>
      <c r="D7" s="1" t="n">
        <v>45239</v>
      </c>
      <c r="E7" s="1" t="n">
        <v>46217</v>
      </c>
      <c r="F7" t="inlineStr">
        <is>
          <t>DALARNAS LÄN</t>
        </is>
      </c>
      <c r="G7" t="inlineStr">
        <is>
          <t>HEDEMORA</t>
        </is>
      </c>
      <c r="I7" t="n">
        <v>6.9</v>
      </c>
      <c r="J7" t="n">
        <v>5</v>
      </c>
      <c r="K7" t="n">
        <v>4</v>
      </c>
      <c r="L7" t="n">
        <v>7</v>
      </c>
      <c r="M7" t="n">
        <v>2</v>
      </c>
      <c r="N7" t="n">
        <v>0</v>
      </c>
      <c r="O7" t="n">
        <v>0</v>
      </c>
      <c r="P7" t="n">
        <v>0</v>
      </c>
      <c r="Q7" t="n">
        <v>9</v>
      </c>
      <c r="R7" t="n">
        <v>2</v>
      </c>
      <c r="S7" t="n">
        <v>16</v>
      </c>
      <c r="T7" t="n">
        <v>71</v>
      </c>
      <c r="U7" s="2" t="inlineStr">
        <is>
          <t>Garnlav
Knärot
Dropptaggsvamp
Kattfotslav
Stjärntagging
Tallticka
Tretåig hackspett
Ullticka
Vedtrappmossa
Bollvitmossa
Bronshjon
Vedticka
Vågbandad barkbock
Spillkråka
Tjäder
Revlummer</t>
        </is>
      </c>
      <c r="V7">
        <f>HYPERLINK("https://klasma.github.io/Logging_2083/artfynd/A 55899-2023 artfynd.xlsx", "A 55899-2023")</f>
        <v/>
      </c>
      <c r="W7">
        <f>HYPERLINK("https://klasma.github.io/Logging_2083/kartor/A 55899-2023 karta.png", "A 55899-2023")</f>
        <v/>
      </c>
      <c r="X7">
        <f>HYPERLINK("https://klasma.github.io/Logging_2083/knärot/A 55899-2023 karta knärot.png", "A 55899-2023")</f>
        <v/>
      </c>
      <c r="Y7">
        <f>HYPERLINK("https://klasma.github.io/Logging_2083/klagomål/A 55899-2023 FSC-klagomål.docx", "A 55899-2023")</f>
        <v/>
      </c>
      <c r="Z7">
        <f>HYPERLINK("https://klasma.github.io/Logging_2083/klagomålsmail/A 55899-2023 FSC-klagomål mail.docx", "A 55899-2023")</f>
        <v/>
      </c>
      <c r="AA7">
        <f>HYPERLINK("https://klasma.github.io/Logging_2083/tillsyn/A 55899-2023 tillsynsbegäran.docx", "A 55899-2023")</f>
        <v/>
      </c>
      <c r="AB7">
        <f>HYPERLINK("https://klasma.github.io/Logging_2083/tillsynsmail/A 55899-2023 tillsynsbegäran mail.docx", "A 55899-2023")</f>
        <v/>
      </c>
      <c r="AC7">
        <f>HYPERLINK("https://klasma.github.io/Logging_2083/fåglar/A 55899-2023 prioriterade fågelarter.docx", "A 55899-2023")</f>
        <v/>
      </c>
    </row>
    <row r="8" ht="15" customHeight="1">
      <c r="A8" t="inlineStr">
        <is>
          <t>A 56932-2024</t>
        </is>
      </c>
      <c r="B8" t="inlineStr">
        <is>
          <t>avverkningsanmälan</t>
        </is>
      </c>
      <c r="C8" t="inlineStr">
        <is>
          <t>Avverkning för att bevara och utveckla /försöksver</t>
        </is>
      </c>
      <c r="D8" s="1" t="n">
        <v>45628</v>
      </c>
      <c r="E8" s="1" t="n">
        <v>46217</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s="2" t="inlineStr">
        <is>
          <t>Ask
Bitter taggsvamp
Knärot
Ostticka
Hängticka
Kandelabersvamp
Kötticka
Rosenticka
Rynkskinn
Ullticka
Bronshjon
Svavelriska
Tibast
Vedticka
Blåsippa
Spillkråka</t>
        </is>
      </c>
      <c r="V8">
        <f>HYPERLINK("https://klasma.github.io/Logging_2083/artfynd/A 56932-2024 artfynd.xlsx", "A 56932-2024")</f>
        <v/>
      </c>
      <c r="W8">
        <f>HYPERLINK("https://klasma.github.io/Logging_2083/kartor/A 56932-2024 karta.png", "A 56932-2024")</f>
        <v/>
      </c>
      <c r="X8">
        <f>HYPERLINK("https://klasma.github.io/Logging_2083/knärot/A 56932-2024 karta knärot.png", "A 56932-2024")</f>
        <v/>
      </c>
      <c r="Y8">
        <f>HYPERLINK("https://klasma.github.io/Logging_2083/klagomål/A 56932-2024 FSC-klagomål.docx", "A 56932-2024")</f>
        <v/>
      </c>
      <c r="Z8">
        <f>HYPERLINK("https://klasma.github.io/Logging_2083/klagomålsmail/A 56932-2024 FSC-klagomål mail.docx", "A 56932-2024")</f>
        <v/>
      </c>
      <c r="AA8">
        <f>HYPERLINK("https://klasma.github.io/Logging_2083/tillsyn/A 56932-2024 tillsynsbegäran.docx", "A 56932-2024")</f>
        <v/>
      </c>
      <c r="AB8">
        <f>HYPERLINK("https://klasma.github.io/Logging_2083/tillsynsmail/A 56932-2024 tillsynsbegäran mail.docx", "A 56932-2024")</f>
        <v/>
      </c>
      <c r="AC8">
        <f>HYPERLINK("https://klasma.github.io/Logging_2083/fåglar/A 56932-2024 prioriterade fågelarter.docx", "A 56932-2024")</f>
        <v/>
      </c>
    </row>
    <row r="9" ht="15" customHeight="1">
      <c r="A9" t="inlineStr">
        <is>
          <t>A 34930-2024</t>
        </is>
      </c>
      <c r="B9" t="inlineStr">
        <is>
          <t>avverkningsanmälan</t>
        </is>
      </c>
      <c r="C9" t="inlineStr">
        <is>
          <t>Föryngringsavverkning</t>
        </is>
      </c>
      <c r="D9" s="1" t="n">
        <v>45527</v>
      </c>
      <c r="E9" s="1" t="n">
        <v>46217</v>
      </c>
      <c r="F9" t="inlineStr">
        <is>
          <t>DALARNAS LÄN</t>
        </is>
      </c>
      <c r="G9" t="inlineStr">
        <is>
          <t>HEDEMORA</t>
        </is>
      </c>
      <c r="H9" t="inlineStr">
        <is>
          <t>Sveaskog</t>
        </is>
      </c>
      <c r="I9" t="n">
        <v>6.1</v>
      </c>
      <c r="J9" t="n">
        <v>3</v>
      </c>
      <c r="K9" t="n">
        <v>3</v>
      </c>
      <c r="L9" t="n">
        <v>6</v>
      </c>
      <c r="M9" t="n">
        <v>3</v>
      </c>
      <c r="N9" t="n">
        <v>0</v>
      </c>
      <c r="O9" t="n">
        <v>0</v>
      </c>
      <c r="P9" t="n">
        <v>0</v>
      </c>
      <c r="Q9" t="n">
        <v>9</v>
      </c>
      <c r="R9" t="n">
        <v>3</v>
      </c>
      <c r="S9" t="n">
        <v>14</v>
      </c>
      <c r="T9" t="n">
        <v>90</v>
      </c>
      <c r="U9" s="2" t="inlineStr">
        <is>
          <t>Gul taggsvamp
Läderdoftande fingersvamp
Taggfingersvamp
Dofttaggsvamp
Fjällig taggsvamp s.str.
Odörspindling
Skarp dropptaggsvamp
Talltita
Ullticka
Anisspindling
Olivspindling
Svavelriska
Blåsippa
Revlummer</t>
        </is>
      </c>
      <c r="V9">
        <f>HYPERLINK("https://klasma.github.io/Logging_2083/artfynd/A 34930-2024 artfynd.xlsx", "A 34930-2024")</f>
        <v/>
      </c>
      <c r="W9">
        <f>HYPERLINK("https://klasma.github.io/Logging_2083/kartor/A 34930-2024 karta.png", "A 34930-2024")</f>
        <v/>
      </c>
      <c r="Y9">
        <f>HYPERLINK("https://klasma.github.io/Logging_2083/klagomål/A 34930-2024 FSC-klagomål.docx", "A 34930-2024")</f>
        <v/>
      </c>
      <c r="Z9">
        <f>HYPERLINK("https://klasma.github.io/Logging_2083/klagomålsmail/A 34930-2024 FSC-klagomål mail.docx", "A 34930-2024")</f>
        <v/>
      </c>
      <c r="AA9">
        <f>HYPERLINK("https://klasma.github.io/Logging_2083/tillsyn/A 34930-2024 tillsynsbegäran.docx", "A 34930-2024")</f>
        <v/>
      </c>
      <c r="AB9">
        <f>HYPERLINK("https://klasma.github.io/Logging_2083/tillsynsmail/A 34930-2024 tillsynsbegäran mail.docx", "A 34930-2024")</f>
        <v/>
      </c>
      <c r="AC9">
        <f>HYPERLINK("https://klasma.github.io/Logging_2083/fåglar/A 34930-2024 prioriterade fågelarter.docx", "A 34930-2024")</f>
        <v/>
      </c>
    </row>
    <row r="10" ht="15" customHeight="1">
      <c r="A10" t="inlineStr">
        <is>
          <t>A 1455-2026</t>
        </is>
      </c>
      <c r="B10" t="inlineStr">
        <is>
          <t>avverkningsanmälan</t>
        </is>
      </c>
      <c r="C10" t="inlineStr">
        <is>
          <t>Föryngringsavverkning</t>
        </is>
      </c>
      <c r="D10" s="1" t="n">
        <v>46033</v>
      </c>
      <c r="E10" s="1" t="n">
        <v>46217</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s="2" t="inlineStr">
        <is>
          <t>Knärot
Laxporing
Blågrå svartspik
Gropticka
Kortskaftad ärgspik
Talltita
Tretåig hackspett
Ullticka
Vaddporing
Bronshjon
Vedticka
Vågbandad barkbock
Tjäder
Grönsiska</t>
        </is>
      </c>
      <c r="V10">
        <f>HYPERLINK("https://klasma.github.io/Logging_2083/artfynd/A 1455-2026 artfynd.xlsx", "A 1455-2026")</f>
        <v/>
      </c>
      <c r="W10">
        <f>HYPERLINK("https://klasma.github.io/Logging_2083/kartor/A 1455-2026 karta.png", "A 1455-2026")</f>
        <v/>
      </c>
      <c r="X10">
        <f>HYPERLINK("https://klasma.github.io/Logging_2083/knärot/A 1455-2026 karta knärot.png", "A 1455-2026")</f>
        <v/>
      </c>
      <c r="Y10">
        <f>HYPERLINK("https://klasma.github.io/Logging_2083/klagomål/A 1455-2026 FSC-klagomål.docx", "A 1455-2026")</f>
        <v/>
      </c>
      <c r="Z10">
        <f>HYPERLINK("https://klasma.github.io/Logging_2083/klagomålsmail/A 1455-2026 FSC-klagomål mail.docx", "A 1455-2026")</f>
        <v/>
      </c>
      <c r="AA10">
        <f>HYPERLINK("https://klasma.github.io/Logging_2083/tillsyn/A 1455-2026 tillsynsbegäran.docx", "A 1455-2026")</f>
        <v/>
      </c>
      <c r="AB10">
        <f>HYPERLINK("https://klasma.github.io/Logging_2083/tillsynsmail/A 1455-2026 tillsynsbegäran mail.docx", "A 1455-2026")</f>
        <v/>
      </c>
      <c r="AC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46217</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s="2" t="inlineStr">
        <is>
          <t>Knärot
Laxporing
Blågrå svartspik
Gropticka
Kortskaftad ärgspik
Talltita
Tretåig hackspett
Ullticka
Vaddporing
Bronshjon
Vedticka
Vågbandad barkbock
Tjäder
Grönsiska</t>
        </is>
      </c>
      <c r="V11">
        <f>HYPERLINK("https://klasma.github.io/Logging_2083/artfynd/A 62040-2021 artfynd.xlsx", "A 62040-2021")</f>
        <v/>
      </c>
      <c r="W11">
        <f>HYPERLINK("https://klasma.github.io/Logging_2083/kartor/A 62040-2021 karta.png", "A 62040-2021")</f>
        <v/>
      </c>
      <c r="X11">
        <f>HYPERLINK("https://klasma.github.io/Logging_2083/knärot/A 62040-2021 karta knärot.png", "A 62040-2021")</f>
        <v/>
      </c>
      <c r="Y11">
        <f>HYPERLINK("https://klasma.github.io/Logging_2083/klagomål/A 62040-2021 FSC-klagomål.docx", "A 62040-2021")</f>
        <v/>
      </c>
      <c r="Z11">
        <f>HYPERLINK("https://klasma.github.io/Logging_2083/klagomålsmail/A 62040-2021 FSC-klagomål mail.docx", "A 62040-2021")</f>
        <v/>
      </c>
      <c r="AA11">
        <f>HYPERLINK("https://klasma.github.io/Logging_2083/tillsyn/A 62040-2021 tillsynsbegäran.docx", "A 62040-2021")</f>
        <v/>
      </c>
      <c r="AB11">
        <f>HYPERLINK("https://klasma.github.io/Logging_2083/tillsynsmail/A 62040-2021 tillsynsbegäran mail.docx", "A 62040-2021")</f>
        <v/>
      </c>
      <c r="AC11">
        <f>HYPERLINK("https://klasma.github.io/Logging_2083/fåglar/A 62040-2021 prioriterade fågelarter.docx", "A 62040-2021")</f>
        <v/>
      </c>
    </row>
    <row r="12" ht="15" customHeight="1">
      <c r="A12" t="inlineStr">
        <is>
          <t>S 2840-2025</t>
        </is>
      </c>
      <c r="B12" t="inlineStr">
        <is>
          <t>samrådsanmälan</t>
        </is>
      </c>
      <c r="C12" t="inlineStr">
        <is>
          <t>Annan skogsbruksåtgärd</t>
        </is>
      </c>
      <c r="D12" s="1" t="n">
        <v>45940</v>
      </c>
      <c r="E12" s="1" t="n">
        <v>46217</v>
      </c>
      <c r="F12" t="inlineStr">
        <is>
          <t>DALARNAS LÄN</t>
        </is>
      </c>
      <c r="G12" t="inlineStr">
        <is>
          <t>HEDEMORA</t>
        </is>
      </c>
      <c r="H12" t="inlineStr">
        <is>
          <t>Bergvik skog väst AB</t>
        </is>
      </c>
      <c r="I12" t="n">
        <v>6.7</v>
      </c>
      <c r="J12" t="n">
        <v>6</v>
      </c>
      <c r="K12" t="n">
        <v>2</v>
      </c>
      <c r="L12" t="n">
        <v>7</v>
      </c>
      <c r="M12" t="n">
        <v>2</v>
      </c>
      <c r="N12" t="n">
        <v>0</v>
      </c>
      <c r="O12" t="n">
        <v>0</v>
      </c>
      <c r="P12" t="n">
        <v>0</v>
      </c>
      <c r="Q12" t="n">
        <v>9</v>
      </c>
      <c r="R12" t="n">
        <v>2</v>
      </c>
      <c r="S12" t="n">
        <v>14</v>
      </c>
      <c r="T12" t="n">
        <v>55</v>
      </c>
      <c r="U12" s="2" t="inlineStr">
        <is>
          <t>Berguv
Lakritsmusseron
Dropptaggsvamp
Motaggsvamp
Sotvaxskivling
Tallfingersvamp
Tallticka
Talltita
Tretåig hackspett
Blomkålssvamp
Mindre märgborre
Nattskärra
Spillkråka
Kråka</t>
        </is>
      </c>
      <c r="V12">
        <f>HYPERLINK("https://klasma.github.io/Logging_2083/artfynd/S 2840-2025 artfynd.xlsx", "S 2840-2025")</f>
        <v/>
      </c>
      <c r="W12">
        <f>HYPERLINK("https://klasma.github.io/Logging_2083/kartor/S 2840-2025 karta.png", "S 2840-2025")</f>
        <v/>
      </c>
      <c r="Y12">
        <f>HYPERLINK("https://klasma.github.io/Logging_2083/klagomål/S 2840-2025 FSC-klagomål.docx", "S 2840-2025")</f>
        <v/>
      </c>
      <c r="Z12">
        <f>HYPERLINK("https://klasma.github.io/Logging_2083/klagomålsmail/S 2840-2025 FSC-klagomål mail.docx", "S 2840-2025")</f>
        <v/>
      </c>
      <c r="AA12">
        <f>HYPERLINK("https://klasma.github.io/Logging_2083/tillsyn/S 2840-2025 tillsynsbegäran.docx", "S 2840-2025")</f>
        <v/>
      </c>
      <c r="AB12">
        <f>HYPERLINK("https://klasma.github.io/Logging_2083/tillsynsmail/S 2840-2025 tillsynsbegäran mail.docx", "S 2840-2025")</f>
        <v/>
      </c>
      <c r="AC12">
        <f>HYPERLINK("https://klasma.github.io/Logging_2083/fåglar/S 2840-2025 prioriterade fågelarter.docx", "S 2840-2025")</f>
        <v/>
      </c>
    </row>
    <row r="13" ht="15" customHeight="1">
      <c r="A13" t="inlineStr">
        <is>
          <t>A 34929-2024</t>
        </is>
      </c>
      <c r="B13" t="inlineStr">
        <is>
          <t>avverkningsanmälan</t>
        </is>
      </c>
      <c r="C13" t="inlineStr">
        <is>
          <t>Föryngringsavverkning</t>
        </is>
      </c>
      <c r="D13" s="1" t="n">
        <v>45527</v>
      </c>
      <c r="E13" s="1" t="n">
        <v>46217</v>
      </c>
      <c r="F13" t="inlineStr">
        <is>
          <t>DALARNAS LÄN</t>
        </is>
      </c>
      <c r="G13" t="inlineStr">
        <is>
          <t>HEDEMORA</t>
        </is>
      </c>
      <c r="H13" t="inlineStr">
        <is>
          <t>Sveaskog</t>
        </is>
      </c>
      <c r="I13" t="n">
        <v>5.1</v>
      </c>
      <c r="J13" t="n">
        <v>2</v>
      </c>
      <c r="K13" t="n">
        <v>5</v>
      </c>
      <c r="L13" t="n">
        <v>2</v>
      </c>
      <c r="M13" t="n">
        <v>1</v>
      </c>
      <c r="N13" t="n">
        <v>2</v>
      </c>
      <c r="O13" t="n">
        <v>0</v>
      </c>
      <c r="P13" t="n">
        <v>0</v>
      </c>
      <c r="Q13" t="n">
        <v>5</v>
      </c>
      <c r="R13" t="n">
        <v>3</v>
      </c>
      <c r="S13" t="n">
        <v>12</v>
      </c>
      <c r="T13" t="n">
        <v>31</v>
      </c>
      <c r="U13" s="2" t="inlineStr">
        <is>
          <t>Sammetstaggsvamp
Violgubbe
Gul taggsvamp
Dofttaggsvamp
Gultoppig fingersvamp
Olivspindling
Rödgul trumpetsvamp
Skogsknipprot
Svart trolldruva
Svavelriska
Blåsippa
Svarta vinbär</t>
        </is>
      </c>
      <c r="V13">
        <f>HYPERLINK("https://klasma.github.io/Logging_2083/artfynd/A 34929-2024 artfynd.xlsx", "A 34929-2024")</f>
        <v/>
      </c>
      <c r="W13">
        <f>HYPERLINK("https://klasma.github.io/Logging_2083/kartor/A 34929-2024 karta.png", "A 34929-2024")</f>
        <v/>
      </c>
      <c r="Y13">
        <f>HYPERLINK("https://klasma.github.io/Logging_2083/klagomål/A 34929-2024 FSC-klagomål.docx", "A 34929-2024")</f>
        <v/>
      </c>
      <c r="Z13">
        <f>HYPERLINK("https://klasma.github.io/Logging_2083/klagomålsmail/A 34929-2024 FSC-klagomål mail.docx", "A 34929-2024")</f>
        <v/>
      </c>
      <c r="AA13">
        <f>HYPERLINK("https://klasma.github.io/Logging_2083/tillsyn/A 34929-2024 tillsynsbegäran.docx", "A 34929-2024")</f>
        <v/>
      </c>
      <c r="AB13">
        <f>HYPERLINK("https://klasma.github.io/Logging_2083/tillsynsmail/A 34929-2024 tillsynsbegäran mail.docx", "A 34929-2024")</f>
        <v/>
      </c>
    </row>
    <row r="14" ht="15" customHeight="1">
      <c r="A14" t="inlineStr">
        <is>
          <t>A 45277-2025</t>
        </is>
      </c>
      <c r="B14" t="inlineStr">
        <is>
          <t>avverkningsanmälan</t>
        </is>
      </c>
      <c r="C14" t="inlineStr">
        <is>
          <t>Föryngringsavverkning</t>
        </is>
      </c>
      <c r="D14" s="1" t="n">
        <v>45919</v>
      </c>
      <c r="E14" s="1" t="n">
        <v>46217</v>
      </c>
      <c r="F14" t="inlineStr">
        <is>
          <t>DALARNAS LÄN</t>
        </is>
      </c>
      <c r="G14" t="inlineStr">
        <is>
          <t>HEDEMORA</t>
        </is>
      </c>
      <c r="I14" t="n">
        <v>6.9</v>
      </c>
      <c r="J14" t="n">
        <v>5</v>
      </c>
      <c r="K14" t="n">
        <v>1</v>
      </c>
      <c r="L14" t="n">
        <v>4</v>
      </c>
      <c r="M14" t="n">
        <v>3</v>
      </c>
      <c r="N14" t="n">
        <v>0</v>
      </c>
      <c r="O14" t="n">
        <v>0</v>
      </c>
      <c r="P14" t="n">
        <v>0</v>
      </c>
      <c r="Q14" t="n">
        <v>7</v>
      </c>
      <c r="R14" t="n">
        <v>3</v>
      </c>
      <c r="S14" t="n">
        <v>11</v>
      </c>
      <c r="T14" t="n">
        <v>37</v>
      </c>
      <c r="U14" s="2" t="inlineStr">
        <is>
          <t>Knärot
Kopparspindling
Rostskinn
Fjällig taggsvamp s.str.
Rödfläckig zontaggsvamp
Talltita
Ullticka
Bronshjon
Blåsippa
Mattlummer
Spillkråka</t>
        </is>
      </c>
      <c r="V14">
        <f>HYPERLINK("https://klasma.github.io/Logging_2083/artfynd/A 45277-2025 artfynd.xlsx", "A 45277-2025")</f>
        <v/>
      </c>
      <c r="W14">
        <f>HYPERLINK("https://klasma.github.io/Logging_2083/kartor/A 45277-2025 karta.png", "A 45277-2025")</f>
        <v/>
      </c>
      <c r="X14">
        <f>HYPERLINK("https://klasma.github.io/Logging_2083/knärot/A 45277-2025 karta knärot.png", "A 45277-2025")</f>
        <v/>
      </c>
      <c r="Y14">
        <f>HYPERLINK("https://klasma.github.io/Logging_2083/klagomål/A 45277-2025 FSC-klagomål.docx", "A 45277-2025")</f>
        <v/>
      </c>
      <c r="Z14">
        <f>HYPERLINK("https://klasma.github.io/Logging_2083/klagomålsmail/A 45277-2025 FSC-klagomål mail.docx", "A 45277-2025")</f>
        <v/>
      </c>
      <c r="AA14">
        <f>HYPERLINK("https://klasma.github.io/Logging_2083/tillsyn/A 45277-2025 tillsynsbegäran.docx", "A 45277-2025")</f>
        <v/>
      </c>
      <c r="AB14">
        <f>HYPERLINK("https://klasma.github.io/Logging_2083/tillsynsmail/A 45277-2025 tillsynsbegäran mail.docx", "A 45277-2025")</f>
        <v/>
      </c>
      <c r="AC14">
        <f>HYPERLINK("https://klasma.github.io/Logging_2083/fåglar/A 45277-2025 prioriterade fågelarter.docx", "A 45277-2025")</f>
        <v/>
      </c>
    </row>
    <row r="15" ht="15" customHeight="1">
      <c r="A15" t="inlineStr">
        <is>
          <t>A 54120-2024</t>
        </is>
      </c>
      <c r="B15" t="inlineStr">
        <is>
          <t>avverkningsanmälan</t>
        </is>
      </c>
      <c r="C15" t="inlineStr">
        <is>
          <t>Föryngringsavverkning</t>
        </is>
      </c>
      <c r="D15" s="1" t="n">
        <v>45616</v>
      </c>
      <c r="E15" s="1" t="n">
        <v>46217</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s="2" t="inlineStr">
        <is>
          <t>Grangråticka
Gul taggsvamp
Knärot
Dofttaggsvamp
Fjällig taggsvamp s.str.
Rosenticka
Rynkskinn
Ullticka
Diskvaxskivling
Svavelriska
Trådticka</t>
        </is>
      </c>
      <c r="V15">
        <f>HYPERLINK("https://klasma.github.io/Logging_2083/artfynd/A 54120-2024 artfynd.xlsx", "A 54120-2024")</f>
        <v/>
      </c>
      <c r="W15">
        <f>HYPERLINK("https://klasma.github.io/Logging_2083/kartor/A 54120-2024 karta.png", "A 54120-2024")</f>
        <v/>
      </c>
      <c r="X15">
        <f>HYPERLINK("https://klasma.github.io/Logging_2083/knärot/A 54120-2024 karta knärot.png", "A 54120-2024")</f>
        <v/>
      </c>
      <c r="Y15">
        <f>HYPERLINK("https://klasma.github.io/Logging_2083/klagomål/A 54120-2024 FSC-klagomål.docx", "A 54120-2024")</f>
        <v/>
      </c>
      <c r="Z15">
        <f>HYPERLINK("https://klasma.github.io/Logging_2083/klagomålsmail/A 54120-2024 FSC-klagomål mail.docx", "A 54120-2024")</f>
        <v/>
      </c>
      <c r="AA15">
        <f>HYPERLINK("https://klasma.github.io/Logging_2083/tillsyn/A 54120-2024 tillsynsbegäran.docx", "A 54120-2024")</f>
        <v/>
      </c>
      <c r="AB15">
        <f>HYPERLINK("https://klasma.github.io/Logging_2083/tillsynsmail/A 54120-2024 tillsynsbegäran mail.docx", "A 54120-2024")</f>
        <v/>
      </c>
    </row>
    <row r="16" ht="15" customHeight="1">
      <c r="A16" t="inlineStr">
        <is>
          <t>S 1363-2026</t>
        </is>
      </c>
      <c r="B16" t="inlineStr">
        <is>
          <t>samrådsanmälan</t>
        </is>
      </c>
      <c r="C16" t="inlineStr">
        <is>
          <t>Annan skogsbruksåtgärd</t>
        </is>
      </c>
      <c r="D16" s="1" t="n">
        <v>46150</v>
      </c>
      <c r="E16" s="1" t="n">
        <v>46217</v>
      </c>
      <c r="F16" t="inlineStr">
        <is>
          <t>DALARNAS LÄN</t>
        </is>
      </c>
      <c r="G16" t="inlineStr">
        <is>
          <t>HEDEMORA</t>
        </is>
      </c>
      <c r="I16" t="n">
        <v>6.9</v>
      </c>
      <c r="J16" t="n">
        <v>1</v>
      </c>
      <c r="K16" t="n">
        <v>3</v>
      </c>
      <c r="L16" t="n">
        <v>5</v>
      </c>
      <c r="M16" t="n">
        <v>3</v>
      </c>
      <c r="N16" t="n">
        <v>0</v>
      </c>
      <c r="O16" t="n">
        <v>0</v>
      </c>
      <c r="P16" t="n">
        <v>0</v>
      </c>
      <c r="Q16" t="n">
        <v>8</v>
      </c>
      <c r="R16" t="n">
        <v>3</v>
      </c>
      <c r="S16" t="n">
        <v>11</v>
      </c>
      <c r="T16" t="n">
        <v>22</v>
      </c>
      <c r="U16" s="2" t="inlineStr">
        <is>
          <t>Grangråticka
Gul taggsvamp
Knärot
Dofttaggsvamp
Fjällig taggsvamp s.str.
Rosenticka
Rynkskinn
Ullticka
Diskvaxskivling
Svavelriska
Trådticka</t>
        </is>
      </c>
      <c r="V16">
        <f>HYPERLINK("https://klasma.github.io/Logging_2083/artfynd/S 1363-2026 artfynd.xlsx", "S 1363-2026")</f>
        <v/>
      </c>
      <c r="W16">
        <f>HYPERLINK("https://klasma.github.io/Logging_2083/kartor/S 1363-2026 karta.png", "S 1363-2026")</f>
        <v/>
      </c>
      <c r="X16">
        <f>HYPERLINK("https://klasma.github.io/Logging_2083/knärot/S 1363-2026 karta knärot.png", "S 1363-2026")</f>
        <v/>
      </c>
      <c r="Y16">
        <f>HYPERLINK("https://klasma.github.io/Logging_2083/klagomål/S 1363-2026 FSC-klagomål.docx", "S 1363-2026")</f>
        <v/>
      </c>
      <c r="Z16">
        <f>HYPERLINK("https://klasma.github.io/Logging_2083/klagomålsmail/S 1363-2026 FSC-klagomål mail.docx", "S 1363-2026")</f>
        <v/>
      </c>
      <c r="AA16">
        <f>HYPERLINK("https://klasma.github.io/Logging_2083/tillsyn/S 1363-2026 tillsynsbegäran.docx", "S 1363-2026")</f>
        <v/>
      </c>
      <c r="AB16">
        <f>HYPERLINK("https://klasma.github.io/Logging_2083/tillsynsmail/S 1363-2026 tillsynsbegäran mail.docx", "S 1363-2026")</f>
        <v/>
      </c>
    </row>
    <row r="17" ht="15" customHeight="1">
      <c r="A17" t="inlineStr">
        <is>
          <t>A 34928-2024</t>
        </is>
      </c>
      <c r="B17" t="inlineStr">
        <is>
          <t>avverkningsanmälan</t>
        </is>
      </c>
      <c r="C17" t="inlineStr">
        <is>
          <t>Föryngringsavverkning</t>
        </is>
      </c>
      <c r="D17" s="1" t="n">
        <v>45527</v>
      </c>
      <c r="E17" s="1" t="n">
        <v>46217</v>
      </c>
      <c r="F17" t="inlineStr">
        <is>
          <t>DALARNAS LÄN</t>
        </is>
      </c>
      <c r="G17" t="inlineStr">
        <is>
          <t>HEDEMORA</t>
        </is>
      </c>
      <c r="H17" t="inlineStr">
        <is>
          <t>Sveaskog</t>
        </is>
      </c>
      <c r="I17" t="n">
        <v>2.8</v>
      </c>
      <c r="J17" t="n">
        <v>2</v>
      </c>
      <c r="K17" t="n">
        <v>2</v>
      </c>
      <c r="L17" t="n">
        <v>3</v>
      </c>
      <c r="M17" t="n">
        <v>1</v>
      </c>
      <c r="N17" t="n">
        <v>2</v>
      </c>
      <c r="O17" t="n">
        <v>0</v>
      </c>
      <c r="P17" t="n">
        <v>0</v>
      </c>
      <c r="Q17" t="n">
        <v>6</v>
      </c>
      <c r="R17" t="n">
        <v>3</v>
      </c>
      <c r="S17" t="n">
        <v>10</v>
      </c>
      <c r="T17" t="n">
        <v>29</v>
      </c>
      <c r="U17" s="2" t="inlineStr">
        <is>
          <t>Sammetstaggsvamp
Violgubbe
Gul taggsvamp
Dofttaggsvamp
Gultoppig fingersvamp
Puderspindling
Olivspindling
Svavelriska
Blåsippa
Spillkråka</t>
        </is>
      </c>
      <c r="V17">
        <f>HYPERLINK("https://klasma.github.io/Logging_2083/artfynd/A 34928-2024 artfynd.xlsx", "A 34928-2024")</f>
        <v/>
      </c>
      <c r="W17">
        <f>HYPERLINK("https://klasma.github.io/Logging_2083/kartor/A 34928-2024 karta.png", "A 34928-2024")</f>
        <v/>
      </c>
      <c r="Y17">
        <f>HYPERLINK("https://klasma.github.io/Logging_2083/klagomål/A 34928-2024 FSC-klagomål.docx", "A 34928-2024")</f>
        <v/>
      </c>
      <c r="Z17">
        <f>HYPERLINK("https://klasma.github.io/Logging_2083/klagomålsmail/A 34928-2024 FSC-klagomål mail.docx", "A 34928-2024")</f>
        <v/>
      </c>
      <c r="AA17">
        <f>HYPERLINK("https://klasma.github.io/Logging_2083/tillsyn/A 34928-2024 tillsynsbegäran.docx", "A 34928-2024")</f>
        <v/>
      </c>
      <c r="AB17">
        <f>HYPERLINK("https://klasma.github.io/Logging_2083/tillsynsmail/A 34928-2024 tillsynsbegäran mail.docx", "A 34928-2024")</f>
        <v/>
      </c>
      <c r="AC17">
        <f>HYPERLINK("https://klasma.github.io/Logging_2083/fåglar/A 34928-2024 prioriterade fågelarter.docx", "A 34928-2024")</f>
        <v/>
      </c>
    </row>
    <row r="18" ht="15" customHeight="1">
      <c r="A18" t="inlineStr">
        <is>
          <t>A 38724-2025</t>
        </is>
      </c>
      <c r="B18" t="inlineStr">
        <is>
          <t>avverkningsanmälan</t>
        </is>
      </c>
      <c r="C18" t="inlineStr">
        <is>
          <t>Föryngringsavverkning</t>
        </is>
      </c>
      <c r="D18" s="1" t="n">
        <v>45887</v>
      </c>
      <c r="E18" s="1" t="n">
        <v>46217</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s="2" t="inlineStr">
        <is>
          <t>Gul taggsvamp
Läderdoftande fingersvamp
Fjällig taggsvamp s.str.
Odörspindling
Skarp dropptaggsvamp
Sotvaxskivling
Diskvaxskivling
Olivspindling
Strimspindling
Svavelriska</t>
        </is>
      </c>
      <c r="V18">
        <f>HYPERLINK("https://klasma.github.io/Logging_2083/artfynd/A 38724-2025 artfynd.xlsx", "A 38724-2025")</f>
        <v/>
      </c>
      <c r="W18">
        <f>HYPERLINK("https://klasma.github.io/Logging_2083/kartor/A 38724-2025 karta.png", "A 38724-2025")</f>
        <v/>
      </c>
      <c r="Y18">
        <f>HYPERLINK("https://klasma.github.io/Logging_2083/klagomål/A 38724-2025 FSC-klagomål.docx", "A 38724-2025")</f>
        <v/>
      </c>
      <c r="Z18">
        <f>HYPERLINK("https://klasma.github.io/Logging_2083/klagomålsmail/A 38724-2025 FSC-klagomål mail.docx", "A 38724-2025")</f>
        <v/>
      </c>
      <c r="AA18">
        <f>HYPERLINK("https://klasma.github.io/Logging_2083/tillsyn/A 38724-2025 tillsynsbegäran.docx", "A 38724-2025")</f>
        <v/>
      </c>
      <c r="AB18">
        <f>HYPERLINK("https://klasma.github.io/Logging_2083/tillsynsmail/A 38724-2025 tillsynsbegäran mail.docx", "A 38724-2025")</f>
        <v/>
      </c>
    </row>
    <row r="19" ht="15" customHeight="1">
      <c r="A19" t="inlineStr">
        <is>
          <t>A 10669-2026</t>
        </is>
      </c>
      <c r="B19" t="inlineStr">
        <is>
          <t>avverkningsanmälan</t>
        </is>
      </c>
      <c r="C19" t="inlineStr">
        <is>
          <t>Föryngringsavverkning</t>
        </is>
      </c>
      <c r="D19" s="1" t="n">
        <v>46078</v>
      </c>
      <c r="E19" s="1" t="n">
        <v>46217</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s="2" t="inlineStr">
        <is>
          <t>Knärot
Ulltickeporing
Talltita
Ullticka
Björksplintborre
Bronshjon
Thomsons trägnagare
Vedticka
Spillkråka
Revlummer</t>
        </is>
      </c>
      <c r="V19">
        <f>HYPERLINK("https://klasma.github.io/Logging_2083/artfynd/A 10669-2026 artfynd.xlsx", "A 10669-2026")</f>
        <v/>
      </c>
      <c r="W19">
        <f>HYPERLINK("https://klasma.github.io/Logging_2083/kartor/A 10669-2026 karta.png", "A 10669-2026")</f>
        <v/>
      </c>
      <c r="X19">
        <f>HYPERLINK("https://klasma.github.io/Logging_2083/knärot/A 10669-2026 karta knärot.png", "A 10669-2026")</f>
        <v/>
      </c>
      <c r="Y19">
        <f>HYPERLINK("https://klasma.github.io/Logging_2083/klagomål/A 10669-2026 FSC-klagomål.docx", "A 10669-2026")</f>
        <v/>
      </c>
      <c r="Z19">
        <f>HYPERLINK("https://klasma.github.io/Logging_2083/klagomålsmail/A 10669-2026 FSC-klagomål mail.docx", "A 10669-2026")</f>
        <v/>
      </c>
      <c r="AA19">
        <f>HYPERLINK("https://klasma.github.io/Logging_2083/tillsyn/A 10669-2026 tillsynsbegäran.docx", "A 10669-2026")</f>
        <v/>
      </c>
      <c r="AB19">
        <f>HYPERLINK("https://klasma.github.io/Logging_2083/tillsynsmail/A 10669-2026 tillsynsbegäran mail.docx", "A 10669-2026")</f>
        <v/>
      </c>
      <c r="AC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46217</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s="2" t="inlineStr">
        <is>
          <t>Knärot
Laxporing
Blågrå svartspik
Kortskaftad ärgspik
Blomkålssvamp
Bronshjon
Vedticka
Tjäder
Grönsiska</t>
        </is>
      </c>
      <c r="V20">
        <f>HYPERLINK("https://klasma.github.io/Logging_2083/artfynd/A 63851-2025 artfynd.xlsx", "A 63851-2025")</f>
        <v/>
      </c>
      <c r="W20">
        <f>HYPERLINK("https://klasma.github.io/Logging_2083/kartor/A 63851-2025 karta.png", "A 63851-2025")</f>
        <v/>
      </c>
      <c r="X20">
        <f>HYPERLINK("https://klasma.github.io/Logging_2083/knärot/A 63851-2025 karta knärot.png", "A 63851-2025")</f>
        <v/>
      </c>
      <c r="Y20">
        <f>HYPERLINK("https://klasma.github.io/Logging_2083/klagomål/A 63851-2025 FSC-klagomål.docx", "A 63851-2025")</f>
        <v/>
      </c>
      <c r="Z20">
        <f>HYPERLINK("https://klasma.github.io/Logging_2083/klagomålsmail/A 63851-2025 FSC-klagomål mail.docx", "A 63851-2025")</f>
        <v/>
      </c>
      <c r="AA20">
        <f>HYPERLINK("https://klasma.github.io/Logging_2083/tillsyn/A 63851-2025 tillsynsbegäran.docx", "A 63851-2025")</f>
        <v/>
      </c>
      <c r="AB20">
        <f>HYPERLINK("https://klasma.github.io/Logging_2083/tillsynsmail/A 63851-2025 tillsynsbegäran mail.docx", "A 63851-2025")</f>
        <v/>
      </c>
      <c r="AC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46217</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s="2" t="inlineStr">
        <is>
          <t>Knärot
Ullticka
Vedtrappmossa
Björksplintborre
Bollvitmossa
Bronshjon
Rävticka
Svavelriska
Vedticka</t>
        </is>
      </c>
      <c r="V21">
        <f>HYPERLINK("https://klasma.github.io/Logging_2083/artfynd/A 25923-2026 artfynd.xlsx", "A 25923-2026")</f>
        <v/>
      </c>
      <c r="W21">
        <f>HYPERLINK("https://klasma.github.io/Logging_2083/kartor/A 25923-2026 karta.png", "A 25923-2026")</f>
        <v/>
      </c>
      <c r="X21">
        <f>HYPERLINK("https://klasma.github.io/Logging_2083/knärot/A 25923-2026 karta knärot.png", "A 25923-2026")</f>
        <v/>
      </c>
      <c r="Y21">
        <f>HYPERLINK("https://klasma.github.io/Logging_2083/klagomål/A 25923-2026 FSC-klagomål.docx", "A 25923-2026")</f>
        <v/>
      </c>
      <c r="Z21">
        <f>HYPERLINK("https://klasma.github.io/Logging_2083/klagomålsmail/A 25923-2026 FSC-klagomål mail.docx", "A 25923-2026")</f>
        <v/>
      </c>
      <c r="AA21">
        <f>HYPERLINK("https://klasma.github.io/Logging_2083/tillsyn/A 25923-2026 tillsynsbegäran.docx", "A 25923-2026")</f>
        <v/>
      </c>
      <c r="AB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46217</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s="2" t="inlineStr">
        <is>
          <t>Knärot
Ullticka
Skogshakmossa
Svavelriska
Thomsons trägnagare
Vågbandad barkbock
Spillkråka
Kungsfågel
Revlummer</t>
        </is>
      </c>
      <c r="V22">
        <f>HYPERLINK("https://klasma.github.io/Logging_2083/artfynd/A 53820-2025 artfynd.xlsx", "A 53820-2025")</f>
        <v/>
      </c>
      <c r="W22">
        <f>HYPERLINK("https://klasma.github.io/Logging_2083/kartor/A 53820-2025 karta.png", "A 53820-2025")</f>
        <v/>
      </c>
      <c r="X22">
        <f>HYPERLINK("https://klasma.github.io/Logging_2083/knärot/A 53820-2025 karta knärot.png", "A 53820-2025")</f>
        <v/>
      </c>
      <c r="Y22">
        <f>HYPERLINK("https://klasma.github.io/Logging_2083/klagomål/A 53820-2025 FSC-klagomål.docx", "A 53820-2025")</f>
        <v/>
      </c>
      <c r="Z22">
        <f>HYPERLINK("https://klasma.github.io/Logging_2083/klagomålsmail/A 53820-2025 FSC-klagomål mail.docx", "A 53820-2025")</f>
        <v/>
      </c>
      <c r="AA22">
        <f>HYPERLINK("https://klasma.github.io/Logging_2083/tillsyn/A 53820-2025 tillsynsbegäran.docx", "A 53820-2025")</f>
        <v/>
      </c>
      <c r="AB22">
        <f>HYPERLINK("https://klasma.github.io/Logging_2083/tillsynsmail/A 53820-2025 tillsynsbegäran mail.docx", "A 53820-2025")</f>
        <v/>
      </c>
      <c r="AC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46217</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s="2" t="inlineStr">
        <is>
          <t>Knärot
Ullticka
Älg
Bronshjon
Grönpyrola
Plattlummer
Mattlummer
Fläcknycklar
Revlummer</t>
        </is>
      </c>
      <c r="V23">
        <f>HYPERLINK("https://klasma.github.io/Logging_2083/artfynd/S 479-2025 artfynd.xlsx", "S 479-2025")</f>
        <v/>
      </c>
      <c r="W23">
        <f>HYPERLINK("https://klasma.github.io/Logging_2083/kartor/S 479-2025 karta.png", "S 479-2025")</f>
        <v/>
      </c>
      <c r="X23">
        <f>HYPERLINK("https://klasma.github.io/Logging_2083/knärot/S 479-2025 karta knärot.png", "S 479-2025")</f>
        <v/>
      </c>
      <c r="Y23">
        <f>HYPERLINK("https://klasma.github.io/Logging_2083/klagomål/S 479-2025 FSC-klagomål.docx", "S 479-2025")</f>
        <v/>
      </c>
      <c r="Z23">
        <f>HYPERLINK("https://klasma.github.io/Logging_2083/klagomålsmail/S 479-2025 FSC-klagomål mail.docx", "S 479-2025")</f>
        <v/>
      </c>
      <c r="AA23">
        <f>HYPERLINK("https://klasma.github.io/Logging_2083/tillsyn/S 479-2025 tillsynsbegäran.docx", "S 479-2025")</f>
        <v/>
      </c>
      <c r="AB23">
        <f>HYPERLINK("https://klasma.github.io/Logging_2083/tillsynsmail/S 479-2025 tillsynsbegäran mail.docx", "S 479-2025")</f>
        <v/>
      </c>
    </row>
    <row r="24" ht="15" customHeight="1">
      <c r="A24" t="inlineStr">
        <is>
          <t>A 45872-2021</t>
        </is>
      </c>
      <c r="B24" t="inlineStr">
        <is>
          <t>avverkningsanmälan</t>
        </is>
      </c>
      <c r="C24" t="inlineStr">
        <is>
          <t>Föryngringsavverkning</t>
        </is>
      </c>
      <c r="D24" s="1" t="n">
        <v>44441</v>
      </c>
      <c r="E24" s="1" t="n">
        <v>46217</v>
      </c>
      <c r="F24" t="inlineStr">
        <is>
          <t>DALARNAS LÄN</t>
        </is>
      </c>
      <c r="G24" t="inlineStr">
        <is>
          <t>HEDEMORA</t>
        </is>
      </c>
      <c r="I24" t="n">
        <v>4.3</v>
      </c>
      <c r="J24" t="n">
        <v>2</v>
      </c>
      <c r="K24" t="n">
        <v>4</v>
      </c>
      <c r="L24" t="n">
        <v>2</v>
      </c>
      <c r="M24" t="n">
        <v>1</v>
      </c>
      <c r="N24" t="n">
        <v>0</v>
      </c>
      <c r="O24" t="n">
        <v>0</v>
      </c>
      <c r="P24" t="n">
        <v>0</v>
      </c>
      <c r="Q24" t="n">
        <v>3</v>
      </c>
      <c r="R24" t="n">
        <v>1</v>
      </c>
      <c r="S24" t="n">
        <v>8</v>
      </c>
      <c r="T24" t="n">
        <v>37</v>
      </c>
      <c r="U24" s="2" t="inlineStr">
        <is>
          <t>Gyllenspindling
Kattfotslav
Talltita
Bollvitmossa
Gulnål
Rödgul trumpetsvamp
Svavelriska
Spillkråka</t>
        </is>
      </c>
      <c r="V24">
        <f>HYPERLINK("https://klasma.github.io/Logging_2083/artfynd/A 45872-2021 artfynd.xlsx", "A 45872-2021")</f>
        <v/>
      </c>
      <c r="W24">
        <f>HYPERLINK("https://klasma.github.io/Logging_2083/kartor/A 45872-2021 karta.png", "A 45872-2021")</f>
        <v/>
      </c>
      <c r="Y24">
        <f>HYPERLINK("https://klasma.github.io/Logging_2083/klagomål/A 45872-2021 FSC-klagomål.docx", "A 45872-2021")</f>
        <v/>
      </c>
      <c r="Z24">
        <f>HYPERLINK("https://klasma.github.io/Logging_2083/klagomålsmail/A 45872-2021 FSC-klagomål mail.docx", "A 45872-2021")</f>
        <v/>
      </c>
      <c r="AA24">
        <f>HYPERLINK("https://klasma.github.io/Logging_2083/tillsyn/A 45872-2021 tillsynsbegäran.docx", "A 45872-2021")</f>
        <v/>
      </c>
      <c r="AB24">
        <f>HYPERLINK("https://klasma.github.io/Logging_2083/tillsynsmail/A 45872-2021 tillsynsbegäran mail.docx", "A 45872-2021")</f>
        <v/>
      </c>
      <c r="AC24">
        <f>HYPERLINK("https://klasma.github.io/Logging_2083/fåglar/A 45872-2021 prioriterade fågelarter.docx", "A 45872-2021")</f>
        <v/>
      </c>
    </row>
    <row r="25" ht="15" customHeight="1">
      <c r="A25" t="inlineStr">
        <is>
          <t>A 34931-2024</t>
        </is>
      </c>
      <c r="B25" t="inlineStr">
        <is>
          <t>avverkningsanmälan</t>
        </is>
      </c>
      <c r="C25" t="inlineStr">
        <is>
          <t>Föryngringsavverkning</t>
        </is>
      </c>
      <c r="D25" s="1" t="n">
        <v>45527</v>
      </c>
      <c r="E25" s="1" t="n">
        <v>46217</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s="2" t="inlineStr">
        <is>
          <t>Gul taggsvamp
Läderdoftande fingersvamp
Dofttaggsvamp
Fjällig taggsvamp s.str.
Talltita
Olivspindling
Svavelriska
Tibast</t>
        </is>
      </c>
      <c r="V25">
        <f>HYPERLINK("https://klasma.github.io/Logging_2083/artfynd/A 34931-2024 artfynd.xlsx", "A 34931-2024")</f>
        <v/>
      </c>
      <c r="W25">
        <f>HYPERLINK("https://klasma.github.io/Logging_2083/kartor/A 34931-2024 karta.png", "A 34931-2024")</f>
        <v/>
      </c>
      <c r="Y25">
        <f>HYPERLINK("https://klasma.github.io/Logging_2083/klagomål/A 34931-2024 FSC-klagomål.docx", "A 34931-2024")</f>
        <v/>
      </c>
      <c r="Z25">
        <f>HYPERLINK("https://klasma.github.io/Logging_2083/klagomålsmail/A 34931-2024 FSC-klagomål mail.docx", "A 34931-2024")</f>
        <v/>
      </c>
      <c r="AA25">
        <f>HYPERLINK("https://klasma.github.io/Logging_2083/tillsyn/A 34931-2024 tillsynsbegäran.docx", "A 34931-2024")</f>
        <v/>
      </c>
      <c r="AB25">
        <f>HYPERLINK("https://klasma.github.io/Logging_2083/tillsynsmail/A 34931-2024 tillsynsbegäran mail.docx", "A 34931-2024")</f>
        <v/>
      </c>
      <c r="AC25">
        <f>HYPERLINK("https://klasma.github.io/Logging_2083/fåglar/A 34931-2024 prioriterade fågelarter.docx", "A 34931-2024")</f>
        <v/>
      </c>
    </row>
    <row r="26" ht="15" customHeight="1">
      <c r="A26" t="inlineStr">
        <is>
          <t>A 992-2024</t>
        </is>
      </c>
      <c r="B26" t="inlineStr">
        <is>
          <t>avverkningsanmälan</t>
        </is>
      </c>
      <c r="C26" t="inlineStr">
        <is>
          <t>Föryngringsavverkning</t>
        </is>
      </c>
      <c r="D26" s="1" t="n">
        <v>45301</v>
      </c>
      <c r="E26" s="1" t="n">
        <v>46217</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s="2" t="inlineStr">
        <is>
          <t>Aspskinn
Sotvaxskivling
Talltita
Tretåig hackspett
Ullticka
Vårärt
Spillkråka
Tjäder</t>
        </is>
      </c>
      <c r="V26">
        <f>HYPERLINK("https://klasma.github.io/Logging_2083/artfynd/A 992-2024 artfynd.xlsx", "A 992-2024")</f>
        <v/>
      </c>
      <c r="W26">
        <f>HYPERLINK("https://klasma.github.io/Logging_2083/kartor/A 992-2024 karta.png", "A 992-2024")</f>
        <v/>
      </c>
      <c r="Y26">
        <f>HYPERLINK("https://klasma.github.io/Logging_2083/klagomål/A 992-2024 FSC-klagomål.docx", "A 992-2024")</f>
        <v/>
      </c>
      <c r="Z26">
        <f>HYPERLINK("https://klasma.github.io/Logging_2083/klagomålsmail/A 992-2024 FSC-klagomål mail.docx", "A 992-2024")</f>
        <v/>
      </c>
      <c r="AA26">
        <f>HYPERLINK("https://klasma.github.io/Logging_2083/tillsyn/A 992-2024 tillsynsbegäran.docx", "A 992-2024")</f>
        <v/>
      </c>
      <c r="AB26">
        <f>HYPERLINK("https://klasma.github.io/Logging_2083/tillsynsmail/A 992-2024 tillsynsbegäran mail.docx", "A 992-2024")</f>
        <v/>
      </c>
      <c r="AC26">
        <f>HYPERLINK("https://klasma.github.io/Logging_2083/fåglar/A 992-2024 prioriterade fågelarter.docx", "A 992-2024")</f>
        <v/>
      </c>
    </row>
    <row r="27" ht="15" customHeight="1">
      <c r="A27" t="inlineStr">
        <is>
          <t>A 38725-2025</t>
        </is>
      </c>
      <c r="B27" t="inlineStr">
        <is>
          <t>avverkningsanmälan</t>
        </is>
      </c>
      <c r="C27" t="inlineStr">
        <is>
          <t>Föryngringsavverkning</t>
        </is>
      </c>
      <c r="D27" s="1" t="n">
        <v>45887</v>
      </c>
      <c r="E27" s="1" t="n">
        <v>46217</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s="2" t="inlineStr">
        <is>
          <t>Grangråticka
Fjällig taggsvamp s.str.
Odörspindling
Persiljespindling
Puderspindling
Olivspindling
Svavelriska</t>
        </is>
      </c>
      <c r="V27">
        <f>HYPERLINK("https://klasma.github.io/Logging_2083/artfynd/A 38725-2025 artfynd.xlsx", "A 38725-2025")</f>
        <v/>
      </c>
      <c r="W27">
        <f>HYPERLINK("https://klasma.github.io/Logging_2083/kartor/A 38725-2025 karta.png", "A 38725-2025")</f>
        <v/>
      </c>
      <c r="Y27">
        <f>HYPERLINK("https://klasma.github.io/Logging_2083/klagomål/A 38725-2025 FSC-klagomål.docx", "A 38725-2025")</f>
        <v/>
      </c>
      <c r="Z27">
        <f>HYPERLINK("https://klasma.github.io/Logging_2083/klagomålsmail/A 38725-2025 FSC-klagomål mail.docx", "A 38725-2025")</f>
        <v/>
      </c>
      <c r="AA27">
        <f>HYPERLINK("https://klasma.github.io/Logging_2083/tillsyn/A 38725-2025 tillsynsbegäran.docx", "A 38725-2025")</f>
        <v/>
      </c>
      <c r="AB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46217</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s="2" t="inlineStr">
        <is>
          <t>Knärot
Fjällig taggsvamp s.str.
Rynkskinn
Ullticka
Rödgul trumpetsvamp
Svavelriska
Blåsippa</t>
        </is>
      </c>
      <c r="V28">
        <f>HYPERLINK("https://klasma.github.io/Logging_2083/artfynd/A 26431-2024 artfynd.xlsx", "A 26431-2024")</f>
        <v/>
      </c>
      <c r="W28">
        <f>HYPERLINK("https://klasma.github.io/Logging_2083/kartor/A 26431-2024 karta.png", "A 26431-2024")</f>
        <v/>
      </c>
      <c r="X28">
        <f>HYPERLINK("https://klasma.github.io/Logging_2083/knärot/A 26431-2024 karta knärot.png", "A 26431-2024")</f>
        <v/>
      </c>
      <c r="Y28">
        <f>HYPERLINK("https://klasma.github.io/Logging_2083/klagomål/A 26431-2024 FSC-klagomål.docx", "A 26431-2024")</f>
        <v/>
      </c>
      <c r="Z28">
        <f>HYPERLINK("https://klasma.github.io/Logging_2083/klagomålsmail/A 26431-2024 FSC-klagomål mail.docx", "A 26431-2024")</f>
        <v/>
      </c>
      <c r="AA28">
        <f>HYPERLINK("https://klasma.github.io/Logging_2083/tillsyn/A 26431-2024 tillsynsbegäran.docx", "A 26431-2024")</f>
        <v/>
      </c>
      <c r="AB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46217</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s="2" t="inlineStr">
        <is>
          <t>Garnlav
Knärot
Talltita
Vedtrappmossa
Bronshjon
Fläcknycklar
Revlummer</t>
        </is>
      </c>
      <c r="V29">
        <f>HYPERLINK("https://klasma.github.io/Logging_2083/artfynd/A 40765-2025 artfynd.xlsx", "A 40765-2025")</f>
        <v/>
      </c>
      <c r="W29">
        <f>HYPERLINK("https://klasma.github.io/Logging_2083/kartor/A 40765-2025 karta.png", "A 40765-2025")</f>
        <v/>
      </c>
      <c r="X29">
        <f>HYPERLINK("https://klasma.github.io/Logging_2083/knärot/A 40765-2025 karta knärot.png", "A 40765-2025")</f>
        <v/>
      </c>
      <c r="Y29">
        <f>HYPERLINK("https://klasma.github.io/Logging_2083/klagomål/A 40765-2025 FSC-klagomål.docx", "A 40765-2025")</f>
        <v/>
      </c>
      <c r="Z29">
        <f>HYPERLINK("https://klasma.github.io/Logging_2083/klagomålsmail/A 40765-2025 FSC-klagomål mail.docx", "A 40765-2025")</f>
        <v/>
      </c>
      <c r="AA29">
        <f>HYPERLINK("https://klasma.github.io/Logging_2083/tillsyn/A 40765-2025 tillsynsbegäran.docx", "A 40765-2025")</f>
        <v/>
      </c>
      <c r="AB29">
        <f>HYPERLINK("https://klasma.github.io/Logging_2083/tillsynsmail/A 40765-2025 tillsynsbegäran mail.docx", "A 40765-2025")</f>
        <v/>
      </c>
      <c r="AC29">
        <f>HYPERLINK("https://klasma.github.io/Logging_2083/fåglar/A 40765-2025 prioriterade fågelarter.docx", "A 40765-2025")</f>
        <v/>
      </c>
    </row>
    <row r="30" ht="15" customHeight="1">
      <c r="A30" t="inlineStr">
        <is>
          <t>A 25878-2026</t>
        </is>
      </c>
      <c r="B30" t="inlineStr">
        <is>
          <t>avverkningsanmälan</t>
        </is>
      </c>
      <c r="C30" t="inlineStr">
        <is>
          <t>Föryngringsavverkning</t>
        </is>
      </c>
      <c r="D30" s="1" t="n">
        <v>46178</v>
      </c>
      <c r="E30" s="1" t="n">
        <v>46217</v>
      </c>
      <c r="F30" t="inlineStr">
        <is>
          <t>DALARNAS LÄN</t>
        </is>
      </c>
      <c r="G30" t="inlineStr">
        <is>
          <t>HEDEMORA</t>
        </is>
      </c>
      <c r="H30" t="inlineStr">
        <is>
          <t>Sveaskog</t>
        </is>
      </c>
      <c r="I30" t="n">
        <v>5.5</v>
      </c>
      <c r="J30" t="n">
        <v>0</v>
      </c>
      <c r="K30" t="n">
        <v>2</v>
      </c>
      <c r="L30" t="n">
        <v>1</v>
      </c>
      <c r="M30" t="n">
        <v>3</v>
      </c>
      <c r="N30" t="n">
        <v>0</v>
      </c>
      <c r="O30" t="n">
        <v>0</v>
      </c>
      <c r="P30" t="n">
        <v>0</v>
      </c>
      <c r="Q30" t="n">
        <v>4</v>
      </c>
      <c r="R30" t="n">
        <v>3</v>
      </c>
      <c r="S30" t="n">
        <v>6</v>
      </c>
      <c r="T30" t="n">
        <v>7</v>
      </c>
      <c r="U30" s="2" t="inlineStr">
        <is>
          <t>Garnlav
Gränsticka
Sprickporing
Ullticka
Bollvitmossa
Vedticka</t>
        </is>
      </c>
      <c r="V30">
        <f>HYPERLINK("https://klasma.github.io/Logging_2083/artfynd/A 25878-2026 artfynd.xlsx", "A 25878-2026")</f>
        <v/>
      </c>
      <c r="W30">
        <f>HYPERLINK("https://klasma.github.io/Logging_2083/kartor/A 25878-2026 karta.png", "A 25878-2026")</f>
        <v/>
      </c>
      <c r="Y30">
        <f>HYPERLINK("https://klasma.github.io/Logging_2083/klagomål/A 25878-2026 FSC-klagomål.docx", "A 25878-2026")</f>
        <v/>
      </c>
      <c r="Z30">
        <f>HYPERLINK("https://klasma.github.io/Logging_2083/klagomålsmail/A 25878-2026 FSC-klagomål mail.docx", "A 25878-2026")</f>
        <v/>
      </c>
      <c r="AA30">
        <f>HYPERLINK("https://klasma.github.io/Logging_2083/tillsyn/A 25878-2026 tillsynsbegäran.docx", "A 25878-2026")</f>
        <v/>
      </c>
      <c r="AB30">
        <f>HYPERLINK("https://klasma.github.io/Logging_2083/tillsynsmail/A 25878-2026 tillsynsbegäran mail.docx", "A 25878-2026")</f>
        <v/>
      </c>
    </row>
    <row r="31" ht="15" customHeight="1">
      <c r="A31" t="inlineStr">
        <is>
          <t>A 6339-2026</t>
        </is>
      </c>
      <c r="B31" t="inlineStr">
        <is>
          <t>avverkningsanmälan</t>
        </is>
      </c>
      <c r="C31" t="inlineStr">
        <is>
          <t>Föryngringsavverkning</t>
        </is>
      </c>
      <c r="D31" s="1" t="n">
        <v>46055</v>
      </c>
      <c r="E31" s="1" t="n">
        <v>46217</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s="2" t="inlineStr">
        <is>
          <t>Knärot
Gropticka
Ullticka
Bronshjon
Vedticka
Vågbandad barkbock</t>
        </is>
      </c>
      <c r="V31">
        <f>HYPERLINK("https://klasma.github.io/Logging_2083/artfynd/A 6339-2026 artfynd.xlsx", "A 6339-2026")</f>
        <v/>
      </c>
      <c r="W31">
        <f>HYPERLINK("https://klasma.github.io/Logging_2083/kartor/A 6339-2026 karta.png", "A 6339-2026")</f>
        <v/>
      </c>
      <c r="X31">
        <f>HYPERLINK("https://klasma.github.io/Logging_2083/knärot/A 6339-2026 karta knärot.png", "A 6339-2026")</f>
        <v/>
      </c>
      <c r="Y31">
        <f>HYPERLINK("https://klasma.github.io/Logging_2083/klagomål/A 6339-2026 FSC-klagomål.docx", "A 6339-2026")</f>
        <v/>
      </c>
      <c r="Z31">
        <f>HYPERLINK("https://klasma.github.io/Logging_2083/klagomålsmail/A 6339-2026 FSC-klagomål mail.docx", "A 6339-2026")</f>
        <v/>
      </c>
      <c r="AA31">
        <f>HYPERLINK("https://klasma.github.io/Logging_2083/tillsyn/A 6339-2026 tillsynsbegäran.docx", "A 6339-2026")</f>
        <v/>
      </c>
      <c r="AB31">
        <f>HYPERLINK("https://klasma.github.io/Logging_2083/tillsynsmail/A 6339-2026 tillsynsbegäran mail.docx", "A 6339-2026")</f>
        <v/>
      </c>
    </row>
    <row r="32" ht="15" customHeight="1">
      <c r="A32" t="inlineStr">
        <is>
          <t>A 58719-2021</t>
        </is>
      </c>
      <c r="B32" t="inlineStr">
        <is>
          <t>avverkningsanmälan</t>
        </is>
      </c>
      <c r="C32" t="inlineStr">
        <is>
          <t>Föryngringsavverkning</t>
        </is>
      </c>
      <c r="D32" s="1" t="n">
        <v>44489</v>
      </c>
      <c r="E32" s="1" t="n">
        <v>46217</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s="2" t="inlineStr">
        <is>
          <t>Knärot
Dropptaggsvamp
Sotvaxskivling
Blomkålssvamp
Bronshjon
Tjäder</t>
        </is>
      </c>
      <c r="V32">
        <f>HYPERLINK("https://klasma.github.io/Logging_2083/artfynd/A 58719-2021 artfynd.xlsx", "A 58719-2021")</f>
        <v/>
      </c>
      <c r="W32">
        <f>HYPERLINK("https://klasma.github.io/Logging_2083/kartor/A 58719-2021 karta.png", "A 58719-2021")</f>
        <v/>
      </c>
      <c r="X32">
        <f>HYPERLINK("https://klasma.github.io/Logging_2083/knärot/A 58719-2021 karta knärot.png", "A 58719-2021")</f>
        <v/>
      </c>
      <c r="Y32">
        <f>HYPERLINK("https://klasma.github.io/Logging_2083/klagomål/A 58719-2021 FSC-klagomål.docx", "A 58719-2021")</f>
        <v/>
      </c>
      <c r="Z32">
        <f>HYPERLINK("https://klasma.github.io/Logging_2083/klagomålsmail/A 58719-2021 FSC-klagomål mail.docx", "A 58719-2021")</f>
        <v/>
      </c>
      <c r="AA32">
        <f>HYPERLINK("https://klasma.github.io/Logging_2083/tillsyn/A 58719-2021 tillsynsbegäran.docx", "A 58719-2021")</f>
        <v/>
      </c>
      <c r="AB32">
        <f>HYPERLINK("https://klasma.github.io/Logging_2083/tillsynsmail/A 58719-2021 tillsynsbegäran mail.docx", "A 58719-2021")</f>
        <v/>
      </c>
      <c r="AC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46217</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s="2" t="inlineStr">
        <is>
          <t>Knärot
Dropptaggsvamp
Blomkålssvamp
Gullgröppa
Tjäder
Slaguggla</t>
        </is>
      </c>
      <c r="V33">
        <f>HYPERLINK("https://klasma.github.io/Logging_2083/artfynd/A 1452-2026 artfynd.xlsx", "A 1452-2026")</f>
        <v/>
      </c>
      <c r="W33">
        <f>HYPERLINK("https://klasma.github.io/Logging_2083/kartor/A 1452-2026 karta.png", "A 1452-2026")</f>
        <v/>
      </c>
      <c r="X33">
        <f>HYPERLINK("https://klasma.github.io/Logging_2083/knärot/A 1452-2026 karta knärot.png", "A 1452-2026")</f>
        <v/>
      </c>
      <c r="Y33">
        <f>HYPERLINK("https://klasma.github.io/Logging_2083/klagomål/A 1452-2026 FSC-klagomål.docx", "A 1452-2026")</f>
        <v/>
      </c>
      <c r="Z33">
        <f>HYPERLINK("https://klasma.github.io/Logging_2083/klagomålsmail/A 1452-2026 FSC-klagomål mail.docx", "A 1452-2026")</f>
        <v/>
      </c>
      <c r="AA33">
        <f>HYPERLINK("https://klasma.github.io/Logging_2083/tillsyn/A 1452-2026 tillsynsbegäran.docx", "A 1452-2026")</f>
        <v/>
      </c>
      <c r="AB33">
        <f>HYPERLINK("https://klasma.github.io/Logging_2083/tillsynsmail/A 1452-2026 tillsynsbegäran mail.docx", "A 1452-2026")</f>
        <v/>
      </c>
      <c r="AC33">
        <f>HYPERLINK("https://klasma.github.io/Logging_2083/fåglar/A 1452-2026 prioriterade fågelarter.docx", "A 1452-2026")</f>
        <v/>
      </c>
    </row>
    <row r="34" ht="15" customHeight="1">
      <c r="A34" t="inlineStr">
        <is>
          <t>S 478-2025</t>
        </is>
      </c>
      <c r="B34" t="inlineStr">
        <is>
          <t>samrådsanmälan</t>
        </is>
      </c>
      <c r="C34" t="inlineStr">
        <is>
          <t>Askåterföring</t>
        </is>
      </c>
      <c r="D34" s="1" t="n">
        <v>45702</v>
      </c>
      <c r="E34" s="1" t="n">
        <v>46217</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s="2" t="inlineStr">
        <is>
          <t>Tornseglare
Duvhök
Spillkråka
Grönsiska
Sångsvan
Trana</t>
        </is>
      </c>
      <c r="V34">
        <f>HYPERLINK("https://klasma.github.io/Logging_2083/artfynd/S 478-2025 artfynd.xlsx", "S 478-2025")</f>
        <v/>
      </c>
      <c r="W34">
        <f>HYPERLINK("https://klasma.github.io/Logging_2083/kartor/S 478-2025 karta.png", "S 478-2025")</f>
        <v/>
      </c>
      <c r="Y34">
        <f>HYPERLINK("https://klasma.github.io/Logging_2083/klagomål/S 478-2025 FSC-klagomål.docx", "S 478-2025")</f>
        <v/>
      </c>
      <c r="Z34">
        <f>HYPERLINK("https://klasma.github.io/Logging_2083/klagomålsmail/S 478-2025 FSC-klagomål mail.docx", "S 478-2025")</f>
        <v/>
      </c>
      <c r="AA34">
        <f>HYPERLINK("https://klasma.github.io/Logging_2083/tillsyn/S 478-2025 tillsynsbegäran.docx", "S 478-2025")</f>
        <v/>
      </c>
      <c r="AB34">
        <f>HYPERLINK("https://klasma.github.io/Logging_2083/tillsynsmail/S 478-2025 tillsynsbegäran mail.docx", "S 478-2025")</f>
        <v/>
      </c>
      <c r="AC34">
        <f>HYPERLINK("https://klasma.github.io/Logging_2083/fåglar/S 478-2025 prioriterade fågelarter.docx", "S 478-2025")</f>
        <v/>
      </c>
    </row>
    <row r="35" ht="15" customHeight="1">
      <c r="A35" t="inlineStr">
        <is>
          <t>A 4031-2022</t>
        </is>
      </c>
      <c r="B35" t="inlineStr">
        <is>
          <t>avverkningsanmälan</t>
        </is>
      </c>
      <c r="C35" t="inlineStr">
        <is>
          <t>Föryngringsavverkning</t>
        </is>
      </c>
      <c r="D35" s="1" t="n">
        <v>44588</v>
      </c>
      <c r="E35" s="1" t="n">
        <v>46217</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s="2" t="inlineStr">
        <is>
          <t>Rödvingetrast
Grön sköldmossa
Stubbspretmossa
Blåsippa
Kungsfågel</t>
        </is>
      </c>
      <c r="V35">
        <f>HYPERLINK("https://klasma.github.io/Logging_2083/artfynd/A 4031-2022 artfynd.xlsx", "A 4031-2022")</f>
        <v/>
      </c>
      <c r="W35">
        <f>HYPERLINK("https://klasma.github.io/Logging_2083/kartor/A 4031-2022 karta.png", "A 4031-2022")</f>
        <v/>
      </c>
      <c r="Y35">
        <f>HYPERLINK("https://klasma.github.io/Logging_2083/klagomål/A 4031-2022 FSC-klagomål.docx", "A 4031-2022")</f>
        <v/>
      </c>
      <c r="Z35">
        <f>HYPERLINK("https://klasma.github.io/Logging_2083/klagomålsmail/A 4031-2022 FSC-klagomål mail.docx", "A 4031-2022")</f>
        <v/>
      </c>
      <c r="AA35">
        <f>HYPERLINK("https://klasma.github.io/Logging_2083/tillsyn/A 4031-2022 tillsynsbegäran.docx", "A 4031-2022")</f>
        <v/>
      </c>
      <c r="AB35">
        <f>HYPERLINK("https://klasma.github.io/Logging_2083/tillsynsmail/A 4031-2022 tillsynsbegäran mail.docx", "A 4031-2022")</f>
        <v/>
      </c>
      <c r="AC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46217</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s="2" t="inlineStr">
        <is>
          <t>Garnlav
Knärot
Motaggsvamp
Tallfingersvamp
Ullticka</t>
        </is>
      </c>
      <c r="V36">
        <f>HYPERLINK("https://klasma.github.io/Logging_2083/artfynd/A 1454-2026 artfynd.xlsx", "A 1454-2026")</f>
        <v/>
      </c>
      <c r="W36">
        <f>HYPERLINK("https://klasma.github.io/Logging_2083/kartor/A 1454-2026 karta.png", "A 1454-2026")</f>
        <v/>
      </c>
      <c r="X36">
        <f>HYPERLINK("https://klasma.github.io/Logging_2083/knärot/A 1454-2026 karta knärot.png", "A 1454-2026")</f>
        <v/>
      </c>
      <c r="Y36">
        <f>HYPERLINK("https://klasma.github.io/Logging_2083/klagomål/A 1454-2026 FSC-klagomål.docx", "A 1454-2026")</f>
        <v/>
      </c>
      <c r="Z36">
        <f>HYPERLINK("https://klasma.github.io/Logging_2083/klagomålsmail/A 1454-2026 FSC-klagomål mail.docx", "A 1454-2026")</f>
        <v/>
      </c>
      <c r="AA36">
        <f>HYPERLINK("https://klasma.github.io/Logging_2083/tillsyn/A 1454-2026 tillsynsbegäran.docx", "A 1454-2026")</f>
        <v/>
      </c>
      <c r="AB36">
        <f>HYPERLINK("https://klasma.github.io/Logging_2083/tillsynsmail/A 1454-2026 tillsynsbegäran mail.docx", "A 1454-2026")</f>
        <v/>
      </c>
    </row>
    <row r="37" ht="15" customHeight="1">
      <c r="A37" t="inlineStr">
        <is>
          <t>A 29519-2026</t>
        </is>
      </c>
      <c r="B37" t="inlineStr">
        <is>
          <t>avverkningsanmälan</t>
        </is>
      </c>
      <c r="C37" t="inlineStr">
        <is>
          <t>Föryngringsavverkning</t>
        </is>
      </c>
      <c r="D37" s="1" t="n">
        <v>46198</v>
      </c>
      <c r="E37" s="1" t="n">
        <v>46217</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s="2" t="inlineStr">
        <is>
          <t>Gultoppig fingersvamp
Svartvit taggsvamp
Talltita
Rödgul trumpetsvamp
Svavelriska</t>
        </is>
      </c>
      <c r="V37">
        <f>HYPERLINK("https://klasma.github.io/Logging_2083/artfynd/A 29519-2026 artfynd.xlsx", "A 29519-2026")</f>
        <v/>
      </c>
      <c r="W37">
        <f>HYPERLINK("https://klasma.github.io/Logging_2083/kartor/A 29519-2026 karta.png", "A 29519-2026")</f>
        <v/>
      </c>
      <c r="Y37">
        <f>HYPERLINK("https://klasma.github.io/Logging_2083/klagomål/A 29519-2026 FSC-klagomål.docx", "A 29519-2026")</f>
        <v/>
      </c>
      <c r="Z37">
        <f>HYPERLINK("https://klasma.github.io/Logging_2083/klagomålsmail/A 29519-2026 FSC-klagomål mail.docx", "A 29519-2026")</f>
        <v/>
      </c>
      <c r="AA37">
        <f>HYPERLINK("https://klasma.github.io/Logging_2083/tillsyn/A 29519-2026 tillsynsbegäran.docx", "A 29519-2026")</f>
        <v/>
      </c>
      <c r="AB37">
        <f>HYPERLINK("https://klasma.github.io/Logging_2083/tillsynsmail/A 29519-2026 tillsynsbegäran mail.docx", "A 29519-2026")</f>
        <v/>
      </c>
      <c r="AC37">
        <f>HYPERLINK("https://klasma.github.io/Logging_2083/fåglar/A 29519-2026 prioriterade fågelarter.docx", "A 29519-2026")</f>
        <v/>
      </c>
    </row>
    <row r="38" ht="15" customHeight="1">
      <c r="A38" t="inlineStr">
        <is>
          <t>A 45884-2021</t>
        </is>
      </c>
      <c r="B38" t="inlineStr">
        <is>
          <t>avverkningsanmälan</t>
        </is>
      </c>
      <c r="C38" t="inlineStr">
        <is>
          <t>Föryngringsavverkning</t>
        </is>
      </c>
      <c r="D38" s="1" t="n">
        <v>44441</v>
      </c>
      <c r="E38" s="1" t="n">
        <v>46217</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s="2" t="inlineStr">
        <is>
          <t>Knärot
Bollvitmossa
Bronshjon
Spillkråka
Tjäder</t>
        </is>
      </c>
      <c r="V38">
        <f>HYPERLINK("https://klasma.github.io/Logging_2083/artfynd/A 45884-2021 artfynd.xlsx", "A 45884-2021")</f>
        <v/>
      </c>
      <c r="W38">
        <f>HYPERLINK("https://klasma.github.io/Logging_2083/kartor/A 45884-2021 karta.png", "A 45884-2021")</f>
        <v/>
      </c>
      <c r="X38">
        <f>HYPERLINK("https://klasma.github.io/Logging_2083/knärot/A 45884-2021 karta knärot.png", "A 45884-2021")</f>
        <v/>
      </c>
      <c r="Y38">
        <f>HYPERLINK("https://klasma.github.io/Logging_2083/klagomål/A 45884-2021 FSC-klagomål.docx", "A 45884-2021")</f>
        <v/>
      </c>
      <c r="Z38">
        <f>HYPERLINK("https://klasma.github.io/Logging_2083/klagomålsmail/A 45884-2021 FSC-klagomål mail.docx", "A 45884-2021")</f>
        <v/>
      </c>
      <c r="AA38">
        <f>HYPERLINK("https://klasma.github.io/Logging_2083/tillsyn/A 45884-2021 tillsynsbegäran.docx", "A 45884-2021")</f>
        <v/>
      </c>
      <c r="AB38">
        <f>HYPERLINK("https://klasma.github.io/Logging_2083/tillsynsmail/A 45884-2021 tillsynsbegäran mail.docx", "A 45884-2021")</f>
        <v/>
      </c>
      <c r="AC38">
        <f>HYPERLINK("https://klasma.github.io/Logging_2083/fåglar/A 45884-2021 prioriterade fågelarter.docx", "A 45884-2021")</f>
        <v/>
      </c>
    </row>
    <row r="39" ht="15" customHeight="1">
      <c r="A39" t="inlineStr">
        <is>
          <t>S 346-2026</t>
        </is>
      </c>
      <c r="B39" t="inlineStr">
        <is>
          <t>samrådsanmälan</t>
        </is>
      </c>
      <c r="C39" t="inlineStr">
        <is>
          <t>Skogsgödsling</t>
        </is>
      </c>
      <c r="D39" s="1" t="n">
        <v>46062</v>
      </c>
      <c r="E39" s="1" t="n">
        <v>46217</v>
      </c>
      <c r="F39" t="inlineStr">
        <is>
          <t>DALARNAS LÄN</t>
        </is>
      </c>
      <c r="G39" t="inlineStr">
        <is>
          <t>HEDEMORA</t>
        </is>
      </c>
      <c r="H39" t="inlineStr">
        <is>
          <t>Sveaskog</t>
        </is>
      </c>
      <c r="I39" t="n">
        <v>81.40000000000001</v>
      </c>
      <c r="J39" t="n">
        <v>4</v>
      </c>
      <c r="K39" t="n">
        <v>0</v>
      </c>
      <c r="L39" t="n">
        <v>2</v>
      </c>
      <c r="M39" t="n">
        <v>0</v>
      </c>
      <c r="N39" t="n">
        <v>0</v>
      </c>
      <c r="O39" t="n">
        <v>0</v>
      </c>
      <c r="P39" t="n">
        <v>0</v>
      </c>
      <c r="Q39" t="n">
        <v>2</v>
      </c>
      <c r="R39" t="n">
        <v>0</v>
      </c>
      <c r="S39" t="n">
        <v>5</v>
      </c>
      <c r="T39" t="n">
        <v>60</v>
      </c>
      <c r="U39" s="2" t="inlineStr">
        <is>
          <t>Myskmåra
Nordfladdermus
Tjäder
Orre
Vattenfladdermus</t>
        </is>
      </c>
      <c r="V39">
        <f>HYPERLINK("https://klasma.github.io/Logging_2083/artfynd/S 346-2026 artfynd.xlsx", "S 346-2026")</f>
        <v/>
      </c>
      <c r="W39">
        <f>HYPERLINK("https://klasma.github.io/Logging_2083/kartor/S 346-2026 karta.png", "S 346-2026")</f>
        <v/>
      </c>
      <c r="Y39">
        <f>HYPERLINK("https://klasma.github.io/Logging_2083/klagomål/S 346-2026 FSC-klagomål.docx", "S 346-2026")</f>
        <v/>
      </c>
      <c r="Z39">
        <f>HYPERLINK("https://klasma.github.io/Logging_2083/klagomålsmail/S 346-2026 FSC-klagomål mail.docx", "S 346-2026")</f>
        <v/>
      </c>
      <c r="AA39">
        <f>HYPERLINK("https://klasma.github.io/Logging_2083/tillsyn/S 346-2026 tillsynsbegäran.docx", "S 346-2026")</f>
        <v/>
      </c>
      <c r="AB39">
        <f>HYPERLINK("https://klasma.github.io/Logging_2083/tillsynsmail/S 346-2026 tillsynsbegäran mail.docx", "S 346-2026")</f>
        <v/>
      </c>
      <c r="AC39">
        <f>HYPERLINK("https://klasma.github.io/Logging_2083/fåglar/S 346-2026 prioriterade fågelarter.docx", "S 346-2026")</f>
        <v/>
      </c>
    </row>
    <row r="40" ht="15" customHeight="1">
      <c r="A40" t="inlineStr">
        <is>
          <t>A 49872-2021</t>
        </is>
      </c>
      <c r="B40" t="inlineStr">
        <is>
          <t>avverkningsanmälan</t>
        </is>
      </c>
      <c r="C40" t="inlineStr">
        <is>
          <t>Föryngringsavverkning</t>
        </is>
      </c>
      <c r="D40" s="1" t="n">
        <v>44455</v>
      </c>
      <c r="E40" s="1" t="n">
        <v>46217</v>
      </c>
      <c r="F40" t="inlineStr">
        <is>
          <t>DALARNAS LÄN</t>
        </is>
      </c>
      <c r="G40" t="inlineStr">
        <is>
          <t>HEDEMORA</t>
        </is>
      </c>
      <c r="I40" t="n">
        <v>3.4</v>
      </c>
      <c r="J40" t="n">
        <v>3</v>
      </c>
      <c r="K40" t="n">
        <v>0</v>
      </c>
      <c r="L40" t="n">
        <v>1</v>
      </c>
      <c r="M40" t="n">
        <v>1</v>
      </c>
      <c r="N40" t="n">
        <v>0</v>
      </c>
      <c r="O40" t="n">
        <v>0</v>
      </c>
      <c r="P40" t="n">
        <v>0</v>
      </c>
      <c r="Q40" t="n">
        <v>2</v>
      </c>
      <c r="R40" t="n">
        <v>1</v>
      </c>
      <c r="S40" t="n">
        <v>4</v>
      </c>
      <c r="T40" t="n">
        <v>17</v>
      </c>
      <c r="U40" s="2" t="inlineStr">
        <is>
          <t>Knärot
Fjällig taggsvamp s.str.
Blåsippa
Revlummer</t>
        </is>
      </c>
      <c r="V40">
        <f>HYPERLINK("https://klasma.github.io/Logging_2083/artfynd/A 49872-2021 artfynd.xlsx", "A 49872-2021")</f>
        <v/>
      </c>
      <c r="W40">
        <f>HYPERLINK("https://klasma.github.io/Logging_2083/kartor/A 49872-2021 karta.png", "A 49872-2021")</f>
        <v/>
      </c>
      <c r="X40">
        <f>HYPERLINK("https://klasma.github.io/Logging_2083/knärot/A 49872-2021 karta knärot.png", "A 49872-2021")</f>
        <v/>
      </c>
      <c r="Y40">
        <f>HYPERLINK("https://klasma.github.io/Logging_2083/klagomål/A 49872-2021 FSC-klagomål.docx", "A 49872-2021")</f>
        <v/>
      </c>
      <c r="Z40">
        <f>HYPERLINK("https://klasma.github.io/Logging_2083/klagomålsmail/A 49872-2021 FSC-klagomål mail.docx", "A 49872-2021")</f>
        <v/>
      </c>
      <c r="AA40">
        <f>HYPERLINK("https://klasma.github.io/Logging_2083/tillsyn/A 49872-2021 tillsynsbegäran.docx", "A 49872-2021")</f>
        <v/>
      </c>
      <c r="AB40">
        <f>HYPERLINK("https://klasma.github.io/Logging_2083/tillsynsmail/A 49872-2021 tillsynsbegäran mail.docx", "A 49872-2021")</f>
        <v/>
      </c>
    </row>
    <row r="41" ht="15" customHeight="1">
      <c r="A41" t="inlineStr">
        <is>
          <t>A 59035-2023</t>
        </is>
      </c>
      <c r="B41" t="inlineStr">
        <is>
          <t>avverkningsanmälan</t>
        </is>
      </c>
      <c r="C41" t="inlineStr">
        <is>
          <t>Föryngringsavverkning</t>
        </is>
      </c>
      <c r="D41" s="1" t="n">
        <v>45252</v>
      </c>
      <c r="E41" s="1" t="n">
        <v>46217</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s="2" t="inlineStr">
        <is>
          <t>Knärot
Grönpyrola
Blåsippa
Fläcknycklar</t>
        </is>
      </c>
      <c r="V41">
        <f>HYPERLINK("https://klasma.github.io/Logging_2083/artfynd/A 59035-2023 artfynd.xlsx", "A 59035-2023")</f>
        <v/>
      </c>
      <c r="W41">
        <f>HYPERLINK("https://klasma.github.io/Logging_2083/kartor/A 59035-2023 karta.png", "A 59035-2023")</f>
        <v/>
      </c>
      <c r="X41">
        <f>HYPERLINK("https://klasma.github.io/Logging_2083/knärot/A 59035-2023 karta knärot.png", "A 59035-2023")</f>
        <v/>
      </c>
      <c r="Y41">
        <f>HYPERLINK("https://klasma.github.io/Logging_2083/klagomål/A 59035-2023 FSC-klagomål.docx", "A 59035-2023")</f>
        <v/>
      </c>
      <c r="Z41">
        <f>HYPERLINK("https://klasma.github.io/Logging_2083/klagomålsmail/A 59035-2023 FSC-klagomål mail.docx", "A 59035-2023")</f>
        <v/>
      </c>
      <c r="AA41">
        <f>HYPERLINK("https://klasma.github.io/Logging_2083/tillsyn/A 59035-2023 tillsynsbegäran.docx", "A 59035-2023")</f>
        <v/>
      </c>
      <c r="AB41">
        <f>HYPERLINK("https://klasma.github.io/Logging_2083/tillsynsmail/A 59035-2023 tillsynsbegäran mail.docx", "A 59035-2023")</f>
        <v/>
      </c>
    </row>
    <row r="42" ht="15" customHeight="1">
      <c r="A42" t="inlineStr">
        <is>
          <t>A 5713-2026</t>
        </is>
      </c>
      <c r="B42" t="inlineStr">
        <is>
          <t>avverkningsanmälan</t>
        </is>
      </c>
      <c r="C42" t="inlineStr">
        <is>
          <t>Föryngringsavverkning</t>
        </is>
      </c>
      <c r="D42" s="1" t="n">
        <v>46051</v>
      </c>
      <c r="E42" s="1" t="n">
        <v>46217</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s="2" t="inlineStr">
        <is>
          <t>Knärot
Rynkskinn
Ullticka
Bronshjon</t>
        </is>
      </c>
      <c r="V42">
        <f>HYPERLINK("https://klasma.github.io/Logging_2083/artfynd/A 5713-2026 artfynd.xlsx", "A 5713-2026")</f>
        <v/>
      </c>
      <c r="W42">
        <f>HYPERLINK("https://klasma.github.io/Logging_2083/kartor/A 5713-2026 karta.png", "A 5713-2026")</f>
        <v/>
      </c>
      <c r="X42">
        <f>HYPERLINK("https://klasma.github.io/Logging_2083/knärot/A 5713-2026 karta knärot.png", "A 5713-2026")</f>
        <v/>
      </c>
      <c r="Y42">
        <f>HYPERLINK("https://klasma.github.io/Logging_2083/klagomål/A 5713-2026 FSC-klagomål.docx", "A 5713-2026")</f>
        <v/>
      </c>
      <c r="Z42">
        <f>HYPERLINK("https://klasma.github.io/Logging_2083/klagomålsmail/A 5713-2026 FSC-klagomål mail.docx", "A 5713-2026")</f>
        <v/>
      </c>
      <c r="AA42">
        <f>HYPERLINK("https://klasma.github.io/Logging_2083/tillsyn/A 5713-2026 tillsynsbegäran.docx", "A 5713-2026")</f>
        <v/>
      </c>
      <c r="AB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46217</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s="2" t="inlineStr">
        <is>
          <t>Garnlav
Knärot
Motaggsvamp
Ullticka</t>
        </is>
      </c>
      <c r="V43">
        <f>HYPERLINK("https://klasma.github.io/Logging_2083/artfynd/A 62054-2021 artfynd.xlsx", "A 62054-2021")</f>
        <v/>
      </c>
      <c r="W43">
        <f>HYPERLINK("https://klasma.github.io/Logging_2083/kartor/A 62054-2021 karta.png", "A 62054-2021")</f>
        <v/>
      </c>
      <c r="X43">
        <f>HYPERLINK("https://klasma.github.io/Logging_2083/knärot/A 62054-2021 karta knärot.png", "A 62054-2021")</f>
        <v/>
      </c>
      <c r="Y43">
        <f>HYPERLINK("https://klasma.github.io/Logging_2083/klagomål/A 62054-2021 FSC-klagomål.docx", "A 62054-2021")</f>
        <v/>
      </c>
      <c r="Z43">
        <f>HYPERLINK("https://klasma.github.io/Logging_2083/klagomålsmail/A 62054-2021 FSC-klagomål mail.docx", "A 62054-2021")</f>
        <v/>
      </c>
      <c r="AA43">
        <f>HYPERLINK("https://klasma.github.io/Logging_2083/tillsyn/A 62054-2021 tillsynsbegäran.docx", "A 62054-2021")</f>
        <v/>
      </c>
      <c r="AB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46217</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s="2" t="inlineStr">
        <is>
          <t>Tretåig hackspett
Ullticka
Kransmossa
Spillkråka</t>
        </is>
      </c>
      <c r="V44">
        <f>HYPERLINK("https://klasma.github.io/Logging_2083/artfynd/A 5326-2026 artfynd.xlsx", "A 5326-2026")</f>
        <v/>
      </c>
      <c r="W44">
        <f>HYPERLINK("https://klasma.github.io/Logging_2083/kartor/A 5326-2026 karta.png", "A 5326-2026")</f>
        <v/>
      </c>
      <c r="Y44">
        <f>HYPERLINK("https://klasma.github.io/Logging_2083/klagomål/A 5326-2026 FSC-klagomål.docx", "A 5326-2026")</f>
        <v/>
      </c>
      <c r="Z44">
        <f>HYPERLINK("https://klasma.github.io/Logging_2083/klagomålsmail/A 5326-2026 FSC-klagomål mail.docx", "A 5326-2026")</f>
        <v/>
      </c>
      <c r="AA44">
        <f>HYPERLINK("https://klasma.github.io/Logging_2083/tillsyn/A 5326-2026 tillsynsbegäran.docx", "A 5326-2026")</f>
        <v/>
      </c>
      <c r="AB44">
        <f>HYPERLINK("https://klasma.github.io/Logging_2083/tillsynsmail/A 5326-2026 tillsynsbegäran mail.docx", "A 5326-2026")</f>
        <v/>
      </c>
      <c r="AC44">
        <f>HYPERLINK("https://klasma.github.io/Logging_2083/fåglar/A 5326-2026 prioriterade fågelarter.docx", "A 5326-2026")</f>
        <v/>
      </c>
    </row>
    <row r="45" ht="15" customHeight="1">
      <c r="A45" t="inlineStr">
        <is>
          <t>A 2409-2022</t>
        </is>
      </c>
      <c r="B45" t="inlineStr">
        <is>
          <t>avverkningsanmälan</t>
        </is>
      </c>
      <c r="C45" t="inlineStr">
        <is>
          <t>Föryngringsavverkning</t>
        </is>
      </c>
      <c r="D45" s="1" t="n">
        <v>44579</v>
      </c>
      <c r="E45" s="1" t="n">
        <v>46217</v>
      </c>
      <c r="F45" t="inlineStr">
        <is>
          <t>DALARNAS LÄN</t>
        </is>
      </c>
      <c r="G45" t="inlineStr">
        <is>
          <t>HEDEMORA</t>
        </is>
      </c>
      <c r="I45" t="n">
        <v>3.1</v>
      </c>
      <c r="J45" t="n">
        <v>1</v>
      </c>
      <c r="K45" t="n">
        <v>1</v>
      </c>
      <c r="L45" t="n">
        <v>1</v>
      </c>
      <c r="M45" t="n">
        <v>1</v>
      </c>
      <c r="N45" t="n">
        <v>0</v>
      </c>
      <c r="O45" t="n">
        <v>0</v>
      </c>
      <c r="P45" t="n">
        <v>0</v>
      </c>
      <c r="Q45" t="n">
        <v>2</v>
      </c>
      <c r="R45" t="n">
        <v>1</v>
      </c>
      <c r="S45" t="n">
        <v>3</v>
      </c>
      <c r="T45" t="n">
        <v>12</v>
      </c>
      <c r="U45" s="2" t="inlineStr">
        <is>
          <t>Knärot
Ullticka
Vedticka</t>
        </is>
      </c>
      <c r="V45">
        <f>HYPERLINK("https://klasma.github.io/Logging_2083/artfynd/A 2409-2022 artfynd.xlsx", "A 2409-2022")</f>
        <v/>
      </c>
      <c r="W45">
        <f>HYPERLINK("https://klasma.github.io/Logging_2083/kartor/A 2409-2022 karta.png", "A 2409-2022")</f>
        <v/>
      </c>
      <c r="X45">
        <f>HYPERLINK("https://klasma.github.io/Logging_2083/knärot/A 2409-2022 karta knärot.png", "A 2409-2022")</f>
        <v/>
      </c>
      <c r="Y45">
        <f>HYPERLINK("https://klasma.github.io/Logging_2083/klagomål/A 2409-2022 FSC-klagomål.docx", "A 2409-2022")</f>
        <v/>
      </c>
      <c r="Z45">
        <f>HYPERLINK("https://klasma.github.io/Logging_2083/klagomålsmail/A 2409-2022 FSC-klagomål mail.docx", "A 2409-2022")</f>
        <v/>
      </c>
      <c r="AA45">
        <f>HYPERLINK("https://klasma.github.io/Logging_2083/tillsyn/A 2409-2022 tillsynsbegäran.docx", "A 2409-2022")</f>
        <v/>
      </c>
      <c r="AB45">
        <f>HYPERLINK("https://klasma.github.io/Logging_2083/tillsynsmail/A 2409-2022 tillsynsbegäran mail.docx", "A 2409-2022")</f>
        <v/>
      </c>
    </row>
    <row r="46" ht="15" customHeight="1">
      <c r="A46" t="inlineStr">
        <is>
          <t>A 451-2025</t>
        </is>
      </c>
      <c r="B46" t="inlineStr">
        <is>
          <t>avverkningsanmälan</t>
        </is>
      </c>
      <c r="C46" t="inlineStr">
        <is>
          <t>Föryngringsavverkning</t>
        </is>
      </c>
      <c r="D46" s="1" t="n">
        <v>45664</v>
      </c>
      <c r="E46" s="1" t="n">
        <v>46217</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s="2" t="inlineStr">
        <is>
          <t>Knärot
Vedskivlav
Spillkråka</t>
        </is>
      </c>
      <c r="V46">
        <f>HYPERLINK("https://klasma.github.io/Logging_2083/artfynd/A 451-2025 artfynd.xlsx", "A 451-2025")</f>
        <v/>
      </c>
      <c r="W46">
        <f>HYPERLINK("https://klasma.github.io/Logging_2083/kartor/A 451-2025 karta.png", "A 451-2025")</f>
        <v/>
      </c>
      <c r="X46">
        <f>HYPERLINK("https://klasma.github.io/Logging_2083/knärot/A 451-2025 karta knärot.png", "A 451-2025")</f>
        <v/>
      </c>
      <c r="Y46">
        <f>HYPERLINK("https://klasma.github.io/Logging_2083/klagomål/A 451-2025 FSC-klagomål.docx", "A 451-2025")</f>
        <v/>
      </c>
      <c r="Z46">
        <f>HYPERLINK("https://klasma.github.io/Logging_2083/klagomålsmail/A 451-2025 FSC-klagomål mail.docx", "A 451-2025")</f>
        <v/>
      </c>
      <c r="AA46">
        <f>HYPERLINK("https://klasma.github.io/Logging_2083/tillsyn/A 451-2025 tillsynsbegäran.docx", "A 451-2025")</f>
        <v/>
      </c>
      <c r="AB46">
        <f>HYPERLINK("https://klasma.github.io/Logging_2083/tillsynsmail/A 451-2025 tillsynsbegäran mail.docx", "A 451-2025")</f>
        <v/>
      </c>
      <c r="AC46">
        <f>HYPERLINK("https://klasma.github.io/Logging_2083/fåglar/A 451-2025 prioriterade fågelarter.docx", "A 451-2025")</f>
        <v/>
      </c>
    </row>
    <row r="47" ht="15" customHeight="1">
      <c r="A47" t="inlineStr">
        <is>
          <t>A 6556-2023</t>
        </is>
      </c>
      <c r="B47" t="inlineStr">
        <is>
          <t>avverkningsanmälan</t>
        </is>
      </c>
      <c r="C47" t="inlineStr">
        <is>
          <t>Avverkning för att bevara och utveckla /försöksver</t>
        </is>
      </c>
      <c r="D47" s="1" t="n">
        <v>44961</v>
      </c>
      <c r="E47" s="1" t="n">
        <v>46217</v>
      </c>
      <c r="F47" t="inlineStr">
        <is>
          <t>DALARNAS LÄN</t>
        </is>
      </c>
      <c r="G47" t="inlineStr">
        <is>
          <t>HEDEMORA</t>
        </is>
      </c>
      <c r="I47" t="n">
        <v>3.7</v>
      </c>
      <c r="J47" t="n">
        <v>2</v>
      </c>
      <c r="K47" t="n">
        <v>0</v>
      </c>
      <c r="L47" t="n">
        <v>0</v>
      </c>
      <c r="M47" t="n">
        <v>0</v>
      </c>
      <c r="N47" t="n">
        <v>1</v>
      </c>
      <c r="O47" t="n">
        <v>0</v>
      </c>
      <c r="P47" t="n">
        <v>0</v>
      </c>
      <c r="Q47" t="n">
        <v>1</v>
      </c>
      <c r="R47" t="n">
        <v>1</v>
      </c>
      <c r="S47" t="n">
        <v>3</v>
      </c>
      <c r="T47" t="n">
        <v>3</v>
      </c>
      <c r="U47" s="2" t="inlineStr">
        <is>
          <t>Ask
Buskskvätta
Kungsfågel</t>
        </is>
      </c>
      <c r="V47">
        <f>HYPERLINK("https://klasma.github.io/Logging_2083/artfynd/A 6556-2023 artfynd.xlsx", "A 6556-2023")</f>
        <v/>
      </c>
      <c r="W47">
        <f>HYPERLINK("https://klasma.github.io/Logging_2083/kartor/A 6556-2023 karta.png", "A 6556-2023")</f>
        <v/>
      </c>
      <c r="Y47">
        <f>HYPERLINK("https://klasma.github.io/Logging_2083/klagomål/A 6556-2023 FSC-klagomål.docx", "A 6556-2023")</f>
        <v/>
      </c>
      <c r="Z47">
        <f>HYPERLINK("https://klasma.github.io/Logging_2083/klagomålsmail/A 6556-2023 FSC-klagomål mail.docx", "A 6556-2023")</f>
        <v/>
      </c>
      <c r="AA47">
        <f>HYPERLINK("https://klasma.github.io/Logging_2083/tillsyn/A 6556-2023 tillsynsbegäran.docx", "A 6556-2023")</f>
        <v/>
      </c>
      <c r="AB47">
        <f>HYPERLINK("https://klasma.github.io/Logging_2083/tillsynsmail/A 6556-2023 tillsynsbegäran mail.docx", "A 6556-2023")</f>
        <v/>
      </c>
    </row>
    <row r="48" ht="15" customHeight="1">
      <c r="A48" t="inlineStr">
        <is>
          <t>A 48382-2025</t>
        </is>
      </c>
      <c r="B48" t="inlineStr">
        <is>
          <t>avverkningsanmälan</t>
        </is>
      </c>
      <c r="C48" t="inlineStr">
        <is>
          <t>Föryngringsavverkning</t>
        </is>
      </c>
      <c r="D48" s="1" t="n">
        <v>45933</v>
      </c>
      <c r="E48" s="1" t="n">
        <v>46217</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s="2" t="inlineStr">
        <is>
          <t>Knärot
Bronshjon
Svartvit flugsnappare</t>
        </is>
      </c>
      <c r="V48">
        <f>HYPERLINK("https://klasma.github.io/Logging_2083/artfynd/A 48382-2025 artfynd.xlsx", "A 48382-2025")</f>
        <v/>
      </c>
      <c r="W48">
        <f>HYPERLINK("https://klasma.github.io/Logging_2083/kartor/A 48382-2025 karta.png", "A 48382-2025")</f>
        <v/>
      </c>
      <c r="X48">
        <f>HYPERLINK("https://klasma.github.io/Logging_2083/knärot/A 48382-2025 karta knärot.png", "A 48382-2025")</f>
        <v/>
      </c>
      <c r="Y48">
        <f>HYPERLINK("https://klasma.github.io/Logging_2083/klagomål/A 48382-2025 FSC-klagomål.docx", "A 48382-2025")</f>
        <v/>
      </c>
      <c r="Z48">
        <f>HYPERLINK("https://klasma.github.io/Logging_2083/klagomålsmail/A 48382-2025 FSC-klagomål mail.docx", "A 48382-2025")</f>
        <v/>
      </c>
      <c r="AA48">
        <f>HYPERLINK("https://klasma.github.io/Logging_2083/tillsyn/A 48382-2025 tillsynsbegäran.docx", "A 48382-2025")</f>
        <v/>
      </c>
      <c r="AB48">
        <f>HYPERLINK("https://klasma.github.io/Logging_2083/tillsynsmail/A 48382-2025 tillsynsbegäran mail.docx", "A 48382-2025")</f>
        <v/>
      </c>
    </row>
    <row r="49" ht="15" customHeight="1">
      <c r="A49" t="inlineStr">
        <is>
          <t>A 42614-2024</t>
        </is>
      </c>
      <c r="B49" t="inlineStr">
        <is>
          <t>avverkningsanmälan</t>
        </is>
      </c>
      <c r="C49" t="inlineStr">
        <is>
          <t>Föryngringsavverkning</t>
        </is>
      </c>
      <c r="D49" s="1" t="n">
        <v>45565</v>
      </c>
      <c r="E49" s="1" t="n">
        <v>46217</v>
      </c>
      <c r="F49" t="inlineStr">
        <is>
          <t>DALARNAS LÄN</t>
        </is>
      </c>
      <c r="G49" t="inlineStr">
        <is>
          <t>HEDEMORA</t>
        </is>
      </c>
      <c r="H49" t="inlineStr">
        <is>
          <t>Sveaskog</t>
        </is>
      </c>
      <c r="I49" t="n">
        <v>3</v>
      </c>
      <c r="J49" t="n">
        <v>2</v>
      </c>
      <c r="K49" t="n">
        <v>0</v>
      </c>
      <c r="L49" t="n">
        <v>1</v>
      </c>
      <c r="M49" t="n">
        <v>1</v>
      </c>
      <c r="N49" t="n">
        <v>0</v>
      </c>
      <c r="O49" t="n">
        <v>0</v>
      </c>
      <c r="P49" t="n">
        <v>0</v>
      </c>
      <c r="Q49" t="n">
        <v>2</v>
      </c>
      <c r="R49" t="n">
        <v>1</v>
      </c>
      <c r="S49" t="n">
        <v>3</v>
      </c>
      <c r="T49" t="n">
        <v>3</v>
      </c>
      <c r="U49" s="2" t="inlineStr">
        <is>
          <t>Garnlav
Talltita
Spillkråka</t>
        </is>
      </c>
      <c r="V49">
        <f>HYPERLINK("https://klasma.github.io/Logging_2083/artfynd/A 42614-2024 artfynd.xlsx", "A 42614-2024")</f>
        <v/>
      </c>
      <c r="W49">
        <f>HYPERLINK("https://klasma.github.io/Logging_2083/kartor/A 42614-2024 karta.png", "A 42614-2024")</f>
        <v/>
      </c>
      <c r="Y49">
        <f>HYPERLINK("https://klasma.github.io/Logging_2083/klagomål/A 42614-2024 FSC-klagomål.docx", "A 42614-2024")</f>
        <v/>
      </c>
      <c r="Z49">
        <f>HYPERLINK("https://klasma.github.io/Logging_2083/klagomålsmail/A 42614-2024 FSC-klagomål mail.docx", "A 42614-2024")</f>
        <v/>
      </c>
      <c r="AA49">
        <f>HYPERLINK("https://klasma.github.io/Logging_2083/tillsyn/A 42614-2024 tillsynsbegäran.docx", "A 42614-2024")</f>
        <v/>
      </c>
      <c r="AB49">
        <f>HYPERLINK("https://klasma.github.io/Logging_2083/tillsynsmail/A 42614-2024 tillsynsbegäran mail.docx", "A 42614-2024")</f>
        <v/>
      </c>
      <c r="AC49">
        <f>HYPERLINK("https://klasma.github.io/Logging_2083/fåglar/A 42614-2024 prioriterade fågelarter.docx", "A 42614-2024")</f>
        <v/>
      </c>
    </row>
    <row r="50" ht="15" customHeight="1">
      <c r="A50" t="inlineStr">
        <is>
          <t>A 44960-2021</t>
        </is>
      </c>
      <c r="B50" t="inlineStr">
        <is>
          <t>avverkningsanmälan</t>
        </is>
      </c>
      <c r="C50" t="inlineStr">
        <is>
          <t>Föryngringsavverkning</t>
        </is>
      </c>
      <c r="D50" s="1" t="n">
        <v>44438</v>
      </c>
      <c r="E50" s="1" t="n">
        <v>46217</v>
      </c>
      <c r="F50" t="inlineStr">
        <is>
          <t>DALARNAS LÄN</t>
        </is>
      </c>
      <c r="G50" t="inlineStr">
        <is>
          <t>HEDEMORA</t>
        </is>
      </c>
      <c r="H50" t="inlineStr">
        <is>
          <t>Sveaskog</t>
        </is>
      </c>
      <c r="I50" t="n">
        <v>1.8</v>
      </c>
      <c r="J50" t="n">
        <v>2</v>
      </c>
      <c r="K50" t="n">
        <v>0</v>
      </c>
      <c r="L50" t="n">
        <v>1</v>
      </c>
      <c r="M50" t="n">
        <v>0</v>
      </c>
      <c r="N50" t="n">
        <v>0</v>
      </c>
      <c r="O50" t="n">
        <v>0</v>
      </c>
      <c r="P50" t="n">
        <v>0</v>
      </c>
      <c r="Q50" t="n">
        <v>1</v>
      </c>
      <c r="R50" t="n">
        <v>0</v>
      </c>
      <c r="S50" t="n">
        <v>3</v>
      </c>
      <c r="T50" t="n">
        <v>3</v>
      </c>
      <c r="U50" s="2" t="inlineStr">
        <is>
          <t>Älg
Mattlummer
Fläcknycklar</t>
        </is>
      </c>
      <c r="V50">
        <f>HYPERLINK("https://klasma.github.io/Logging_2083/artfynd/A 44960-2021 artfynd.xlsx", "A 44960-2021")</f>
        <v/>
      </c>
      <c r="W50">
        <f>HYPERLINK("https://klasma.github.io/Logging_2083/kartor/A 44960-2021 karta.png", "A 44960-2021")</f>
        <v/>
      </c>
      <c r="Y50">
        <f>HYPERLINK("https://klasma.github.io/Logging_2083/klagomål/A 44960-2021 FSC-klagomål.docx", "A 44960-2021")</f>
        <v/>
      </c>
      <c r="Z50">
        <f>HYPERLINK("https://klasma.github.io/Logging_2083/klagomålsmail/A 44960-2021 FSC-klagomål mail.docx", "A 44960-2021")</f>
        <v/>
      </c>
      <c r="AA50">
        <f>HYPERLINK("https://klasma.github.io/Logging_2083/tillsyn/A 44960-2021 tillsynsbegäran.docx", "A 44960-2021")</f>
        <v/>
      </c>
      <c r="AB50">
        <f>HYPERLINK("https://klasma.github.io/Logging_2083/tillsynsmail/A 44960-2021 tillsynsbegäran mail.docx", "A 44960-2021")</f>
        <v/>
      </c>
    </row>
    <row r="51" ht="15" customHeight="1">
      <c r="A51" t="inlineStr">
        <is>
          <t>A 5677-2026</t>
        </is>
      </c>
      <c r="B51" t="inlineStr">
        <is>
          <t>avverkningsanmälan</t>
        </is>
      </c>
      <c r="C51" t="inlineStr">
        <is>
          <t>Föryngringsavverkning</t>
        </is>
      </c>
      <c r="D51" s="1" t="n">
        <v>46051</v>
      </c>
      <c r="E51" s="1" t="n">
        <v>46217</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s="2" t="inlineStr">
        <is>
          <t>Brunlångöra
Nordfladdermus
Vattenfladdermus</t>
        </is>
      </c>
      <c r="V51">
        <f>HYPERLINK("https://klasma.github.io/Logging_2083/artfynd/A 5677-2026 artfynd.xlsx", "A 5677-2026")</f>
        <v/>
      </c>
      <c r="W51">
        <f>HYPERLINK("https://klasma.github.io/Logging_2083/kartor/A 5677-2026 karta.png", "A 5677-2026")</f>
        <v/>
      </c>
      <c r="Y51">
        <f>HYPERLINK("https://klasma.github.io/Logging_2083/klagomål/A 5677-2026 FSC-klagomål.docx", "A 5677-2026")</f>
        <v/>
      </c>
      <c r="Z51">
        <f>HYPERLINK("https://klasma.github.io/Logging_2083/klagomålsmail/A 5677-2026 FSC-klagomål mail.docx", "A 5677-2026")</f>
        <v/>
      </c>
      <c r="AA51">
        <f>HYPERLINK("https://klasma.github.io/Logging_2083/tillsyn/A 5677-2026 tillsynsbegäran.docx", "A 5677-2026")</f>
        <v/>
      </c>
      <c r="AB51">
        <f>HYPERLINK("https://klasma.github.io/Logging_2083/tillsynsmail/A 5677-2026 tillsynsbegäran mail.docx", "A 5677-2026")</f>
        <v/>
      </c>
    </row>
    <row r="52" ht="15" customHeight="1">
      <c r="A52" t="inlineStr">
        <is>
          <t>A 3152-2022</t>
        </is>
      </c>
      <c r="B52" t="inlineStr">
        <is>
          <t>avverkningsanmälan</t>
        </is>
      </c>
      <c r="C52" t="inlineStr">
        <is>
          <t>Föryngringsavverkning</t>
        </is>
      </c>
      <c r="D52" s="1" t="n">
        <v>44582</v>
      </c>
      <c r="E52" s="1" t="n">
        <v>46217</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s="2" t="inlineStr">
        <is>
          <t>Knärot
Ullticka
Bronshjon</t>
        </is>
      </c>
      <c r="V52">
        <f>HYPERLINK("https://klasma.github.io/Logging_2083/artfynd/A 3152-2022 artfynd.xlsx", "A 3152-2022")</f>
        <v/>
      </c>
      <c r="W52">
        <f>HYPERLINK("https://klasma.github.io/Logging_2083/kartor/A 3152-2022 karta.png", "A 3152-2022")</f>
        <v/>
      </c>
      <c r="X52">
        <f>HYPERLINK("https://klasma.github.io/Logging_2083/knärot/A 3152-2022 karta knärot.png", "A 3152-2022")</f>
        <v/>
      </c>
      <c r="Y52">
        <f>HYPERLINK("https://klasma.github.io/Logging_2083/klagomål/A 3152-2022 FSC-klagomål.docx", "A 3152-2022")</f>
        <v/>
      </c>
      <c r="Z52">
        <f>HYPERLINK("https://klasma.github.io/Logging_2083/klagomålsmail/A 3152-2022 FSC-klagomål mail.docx", "A 3152-2022")</f>
        <v/>
      </c>
      <c r="AA52">
        <f>HYPERLINK("https://klasma.github.io/Logging_2083/tillsyn/A 3152-2022 tillsynsbegäran.docx", "A 3152-2022")</f>
        <v/>
      </c>
      <c r="AB52">
        <f>HYPERLINK("https://klasma.github.io/Logging_2083/tillsynsmail/A 3152-2022 tillsynsbegäran mail.docx", "A 3152-2022")</f>
        <v/>
      </c>
    </row>
    <row r="53" ht="15" customHeight="1">
      <c r="A53" t="inlineStr">
        <is>
          <t>S 10369-2021</t>
        </is>
      </c>
      <c r="B53" t="inlineStr">
        <is>
          <t>samrådsanmälan</t>
        </is>
      </c>
      <c r="C53" t="inlineStr">
        <is>
          <t>Skogsgödsling</t>
        </is>
      </c>
      <c r="D53" s="1" t="n">
        <v>44550</v>
      </c>
      <c r="E53" s="1" t="n">
        <v>46217</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s="2" t="inlineStr">
        <is>
          <t>Talltita
Tjäder
Fläcknycklar</t>
        </is>
      </c>
      <c r="V53">
        <f>HYPERLINK("https://klasma.github.io/Logging_2083/artfynd/S 10369-2021 artfynd.xlsx", "S 10369-2021")</f>
        <v/>
      </c>
      <c r="W53">
        <f>HYPERLINK("https://klasma.github.io/Logging_2083/kartor/S 10369-2021 karta.png", "S 10369-2021")</f>
        <v/>
      </c>
      <c r="Y53">
        <f>HYPERLINK("https://klasma.github.io/Logging_2083/klagomål/S 10369-2021 FSC-klagomål.docx", "S 10369-2021")</f>
        <v/>
      </c>
      <c r="Z53">
        <f>HYPERLINK("https://klasma.github.io/Logging_2083/klagomålsmail/S 10369-2021 FSC-klagomål mail.docx", "S 10369-2021")</f>
        <v/>
      </c>
      <c r="AA53">
        <f>HYPERLINK("https://klasma.github.io/Logging_2083/tillsyn/S 10369-2021 tillsynsbegäran.docx", "S 10369-2021")</f>
        <v/>
      </c>
      <c r="AB53">
        <f>HYPERLINK("https://klasma.github.io/Logging_2083/tillsynsmail/S 10369-2021 tillsynsbegäran mail.docx", "S 10369-2021")</f>
        <v/>
      </c>
      <c r="AC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46217</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s="2" t="inlineStr">
        <is>
          <t>Vågbandad barkbock
Revlummer</t>
        </is>
      </c>
      <c r="V54">
        <f>HYPERLINK("https://klasma.github.io/Logging_2083/artfynd/A 67282-2021 artfynd.xlsx", "A 67282-2021")</f>
        <v/>
      </c>
      <c r="W54">
        <f>HYPERLINK("https://klasma.github.io/Logging_2083/kartor/A 67282-2021 karta.png", "A 67282-2021")</f>
        <v/>
      </c>
      <c r="Y54">
        <f>HYPERLINK("https://klasma.github.io/Logging_2083/klagomål/A 67282-2021 FSC-klagomål.docx", "A 67282-2021")</f>
        <v/>
      </c>
      <c r="Z54">
        <f>HYPERLINK("https://klasma.github.io/Logging_2083/klagomålsmail/A 67282-2021 FSC-klagomål mail.docx", "A 67282-2021")</f>
        <v/>
      </c>
      <c r="AA54">
        <f>HYPERLINK("https://klasma.github.io/Logging_2083/tillsyn/A 67282-2021 tillsynsbegäran.docx", "A 67282-2021")</f>
        <v/>
      </c>
      <c r="AB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46217</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s="2" t="inlineStr">
        <is>
          <t>Garnlav
Talltita</t>
        </is>
      </c>
      <c r="V55">
        <f>HYPERLINK("https://klasma.github.io/Logging_2083/artfynd/A 54849-2022 artfynd.xlsx", "A 54849-2022")</f>
        <v/>
      </c>
      <c r="W55">
        <f>HYPERLINK("https://klasma.github.io/Logging_2083/kartor/A 54849-2022 karta.png", "A 54849-2022")</f>
        <v/>
      </c>
      <c r="Y55">
        <f>HYPERLINK("https://klasma.github.io/Logging_2083/klagomål/A 54849-2022 FSC-klagomål.docx", "A 54849-2022")</f>
        <v/>
      </c>
      <c r="Z55">
        <f>HYPERLINK("https://klasma.github.io/Logging_2083/klagomålsmail/A 54849-2022 FSC-klagomål mail.docx", "A 54849-2022")</f>
        <v/>
      </c>
      <c r="AA55">
        <f>HYPERLINK("https://klasma.github.io/Logging_2083/tillsyn/A 54849-2022 tillsynsbegäran.docx", "A 54849-2022")</f>
        <v/>
      </c>
      <c r="AB55">
        <f>HYPERLINK("https://klasma.github.io/Logging_2083/tillsynsmail/A 54849-2022 tillsynsbegäran mail.docx", "A 54849-2022")</f>
        <v/>
      </c>
      <c r="AC55">
        <f>HYPERLINK("https://klasma.github.io/Logging_2083/fåglar/A 54849-2022 prioriterade fågelarter.docx", "A 54849-2022")</f>
        <v/>
      </c>
    </row>
    <row r="56" ht="15" customHeight="1">
      <c r="A56" t="inlineStr">
        <is>
          <t>A 29128-2025</t>
        </is>
      </c>
      <c r="B56" t="inlineStr">
        <is>
          <t>avverkningsanmälan</t>
        </is>
      </c>
      <c r="C56" t="inlineStr">
        <is>
          <t>Föryngringsavverkning</t>
        </is>
      </c>
      <c r="D56" s="1" t="n">
        <v>45821</v>
      </c>
      <c r="E56" s="1" t="n">
        <v>46217</v>
      </c>
      <c r="F56" t="inlineStr">
        <is>
          <t>DALARNAS LÄN</t>
        </is>
      </c>
      <c r="G56" t="inlineStr">
        <is>
          <t>HEDEMORA</t>
        </is>
      </c>
      <c r="H56" t="inlineStr">
        <is>
          <t>Sveaskog</t>
        </is>
      </c>
      <c r="I56" t="n">
        <v>15.5</v>
      </c>
      <c r="J56" t="n">
        <v>2</v>
      </c>
      <c r="K56" t="n">
        <v>0</v>
      </c>
      <c r="L56" t="n">
        <v>0</v>
      </c>
      <c r="M56" t="n">
        <v>0</v>
      </c>
      <c r="N56" t="n">
        <v>0</v>
      </c>
      <c r="O56" t="n">
        <v>0</v>
      </c>
      <c r="P56" t="n">
        <v>0</v>
      </c>
      <c r="Q56" t="n">
        <v>0</v>
      </c>
      <c r="R56" t="n">
        <v>0</v>
      </c>
      <c r="S56" t="n">
        <v>2</v>
      </c>
      <c r="T56" t="n">
        <v>2</v>
      </c>
      <c r="U56" s="2" t="inlineStr">
        <is>
          <t>Gråspett
Tjäder</t>
        </is>
      </c>
      <c r="V56">
        <f>HYPERLINK("https://klasma.github.io/Logging_2083/artfynd/A 29128-2025 artfynd.xlsx", "A 29128-2025")</f>
        <v/>
      </c>
      <c r="W56">
        <f>HYPERLINK("https://klasma.github.io/Logging_2083/kartor/A 29128-2025 karta.png", "A 29128-2025")</f>
        <v/>
      </c>
      <c r="Y56">
        <f>HYPERLINK("https://klasma.github.io/Logging_2083/klagomål/A 29128-2025 FSC-klagomål.docx", "A 29128-2025")</f>
        <v/>
      </c>
      <c r="Z56">
        <f>HYPERLINK("https://klasma.github.io/Logging_2083/klagomålsmail/A 29128-2025 FSC-klagomål mail.docx", "A 29128-2025")</f>
        <v/>
      </c>
      <c r="AA56">
        <f>HYPERLINK("https://klasma.github.io/Logging_2083/tillsyn/A 29128-2025 tillsynsbegäran.docx", "A 29128-2025")</f>
        <v/>
      </c>
      <c r="AB56">
        <f>HYPERLINK("https://klasma.github.io/Logging_2083/tillsynsmail/A 29128-2025 tillsynsbegäran mail.docx", "A 29128-2025")</f>
        <v/>
      </c>
      <c r="AC56">
        <f>HYPERLINK("https://klasma.github.io/Logging_2083/fåglar/A 29128-2025 prioriterade fågelarter.docx", "A 29128-2025")</f>
        <v/>
      </c>
    </row>
    <row r="57" ht="15" customHeight="1">
      <c r="A57" t="inlineStr">
        <is>
          <t>A 29792-2025</t>
        </is>
      </c>
      <c r="B57" t="inlineStr">
        <is>
          <t>avverkningsanmälan</t>
        </is>
      </c>
      <c r="C57" t="inlineStr">
        <is>
          <t>Föryngringsavverkning</t>
        </is>
      </c>
      <c r="D57" s="1" t="n">
        <v>45825</v>
      </c>
      <c r="E57" s="1" t="n">
        <v>46217</v>
      </c>
      <c r="F57" t="inlineStr">
        <is>
          <t>DALARNAS LÄN</t>
        </is>
      </c>
      <c r="G57" t="inlineStr">
        <is>
          <t>HEDEMORA</t>
        </is>
      </c>
      <c r="H57" t="inlineStr">
        <is>
          <t>Sveaskog</t>
        </is>
      </c>
      <c r="I57" t="n">
        <v>26.3</v>
      </c>
      <c r="J57" t="n">
        <v>2</v>
      </c>
      <c r="K57" t="n">
        <v>0</v>
      </c>
      <c r="L57" t="n">
        <v>1</v>
      </c>
      <c r="M57" t="n">
        <v>0</v>
      </c>
      <c r="N57" t="n">
        <v>0</v>
      </c>
      <c r="O57" t="n">
        <v>0</v>
      </c>
      <c r="P57" t="n">
        <v>0</v>
      </c>
      <c r="Q57" t="n">
        <v>1</v>
      </c>
      <c r="R57" t="n">
        <v>0</v>
      </c>
      <c r="S57" t="n">
        <v>2</v>
      </c>
      <c r="T57" t="n">
        <v>2</v>
      </c>
      <c r="U57" s="2" t="inlineStr">
        <is>
          <t>Entita
Tjäder</t>
        </is>
      </c>
      <c r="V57">
        <f>HYPERLINK("https://klasma.github.io/Logging_2083/artfynd/A 29792-2025 artfynd.xlsx", "A 29792-2025")</f>
        <v/>
      </c>
      <c r="W57">
        <f>HYPERLINK("https://klasma.github.io/Logging_2083/kartor/A 29792-2025 karta.png", "A 29792-2025")</f>
        <v/>
      </c>
      <c r="Y57">
        <f>HYPERLINK("https://klasma.github.io/Logging_2083/klagomål/A 29792-2025 FSC-klagomål.docx", "A 29792-2025")</f>
        <v/>
      </c>
      <c r="Z57">
        <f>HYPERLINK("https://klasma.github.io/Logging_2083/klagomålsmail/A 29792-2025 FSC-klagomål mail.docx", "A 29792-2025")</f>
        <v/>
      </c>
      <c r="AA57">
        <f>HYPERLINK("https://klasma.github.io/Logging_2083/tillsyn/A 29792-2025 tillsynsbegäran.docx", "A 29792-2025")</f>
        <v/>
      </c>
      <c r="AB57">
        <f>HYPERLINK("https://klasma.github.io/Logging_2083/tillsynsmail/A 29792-2025 tillsynsbegäran mail.docx", "A 29792-2025")</f>
        <v/>
      </c>
      <c r="AC57">
        <f>HYPERLINK("https://klasma.github.io/Logging_2083/fåglar/A 29792-2025 prioriterade fågelarter.docx", "A 29792-2025")</f>
        <v/>
      </c>
    </row>
    <row r="58" ht="15" customHeight="1">
      <c r="A58" t="inlineStr">
        <is>
          <t>A 25884-2026</t>
        </is>
      </c>
      <c r="B58" t="inlineStr">
        <is>
          <t>avverkningsanmälan</t>
        </is>
      </c>
      <c r="C58" t="inlineStr">
        <is>
          <t>Föryngringsavverkning</t>
        </is>
      </c>
      <c r="D58" s="1" t="n">
        <v>46178</v>
      </c>
      <c r="E58" s="1" t="n">
        <v>46217</v>
      </c>
      <c r="F58" t="inlineStr">
        <is>
          <t>DALARNAS LÄN</t>
        </is>
      </c>
      <c r="G58" t="inlineStr">
        <is>
          <t>HEDEMORA</t>
        </is>
      </c>
      <c r="H58" t="inlineStr">
        <is>
          <t>Sveaskog</t>
        </is>
      </c>
      <c r="I58" t="n">
        <v>2.1</v>
      </c>
      <c r="J58" t="n">
        <v>2</v>
      </c>
      <c r="K58" t="n">
        <v>0</v>
      </c>
      <c r="L58" t="n">
        <v>1</v>
      </c>
      <c r="M58" t="n">
        <v>0</v>
      </c>
      <c r="N58" t="n">
        <v>0</v>
      </c>
      <c r="O58" t="n">
        <v>0</v>
      </c>
      <c r="P58" t="n">
        <v>0</v>
      </c>
      <c r="Q58" t="n">
        <v>1</v>
      </c>
      <c r="R58" t="n">
        <v>0</v>
      </c>
      <c r="S58" t="n">
        <v>2</v>
      </c>
      <c r="T58" t="n">
        <v>2</v>
      </c>
      <c r="U58" s="2" t="inlineStr">
        <is>
          <t>Kungsörn
Tjäder</t>
        </is>
      </c>
      <c r="V58">
        <f>HYPERLINK("https://klasma.github.io/Logging_2083/artfynd/A 25884-2026 artfynd.xlsx", "A 25884-2026")</f>
        <v/>
      </c>
      <c r="W58">
        <f>HYPERLINK("https://klasma.github.io/Logging_2083/kartor/A 25884-2026 karta.png", "A 25884-2026")</f>
        <v/>
      </c>
      <c r="Y58">
        <f>HYPERLINK("https://klasma.github.io/Logging_2083/klagomål/A 25884-2026 FSC-klagomål.docx", "A 25884-2026")</f>
        <v/>
      </c>
      <c r="Z58">
        <f>HYPERLINK("https://klasma.github.io/Logging_2083/klagomålsmail/A 25884-2026 FSC-klagomål mail.docx", "A 25884-2026")</f>
        <v/>
      </c>
      <c r="AA58">
        <f>HYPERLINK("https://klasma.github.io/Logging_2083/tillsyn/A 25884-2026 tillsynsbegäran.docx", "A 25884-2026")</f>
        <v/>
      </c>
      <c r="AB58">
        <f>HYPERLINK("https://klasma.github.io/Logging_2083/tillsynsmail/A 25884-2026 tillsynsbegäran mail.docx", "A 25884-2026")</f>
        <v/>
      </c>
      <c r="AC58">
        <f>HYPERLINK("https://klasma.github.io/Logging_2083/fåglar/A 25884-2026 prioriterade fågelarter.docx", "A 25884-2026")</f>
        <v/>
      </c>
    </row>
    <row r="59" ht="15" customHeight="1">
      <c r="A59" t="inlineStr">
        <is>
          <t>A 25420-2026</t>
        </is>
      </c>
      <c r="B59" t="inlineStr">
        <is>
          <t>avverkningsanmälan</t>
        </is>
      </c>
      <c r="C59" t="inlineStr">
        <is>
          <t>Föryngringsavverkning</t>
        </is>
      </c>
      <c r="D59" s="1" t="n">
        <v>46177</v>
      </c>
      <c r="E59" s="1" t="n">
        <v>46217</v>
      </c>
      <c r="F59" t="inlineStr">
        <is>
          <t>DALARNAS LÄN</t>
        </is>
      </c>
      <c r="G59" t="inlineStr">
        <is>
          <t>HEDEMORA</t>
        </is>
      </c>
      <c r="H59" t="inlineStr">
        <is>
          <t>Sveaskog</t>
        </is>
      </c>
      <c r="I59" t="n">
        <v>2.3</v>
      </c>
      <c r="J59" t="n">
        <v>1</v>
      </c>
      <c r="K59" t="n">
        <v>0</v>
      </c>
      <c r="L59" t="n">
        <v>1</v>
      </c>
      <c r="M59" t="n">
        <v>0</v>
      </c>
      <c r="N59" t="n">
        <v>0</v>
      </c>
      <c r="O59" t="n">
        <v>0</v>
      </c>
      <c r="P59" t="n">
        <v>0</v>
      </c>
      <c r="Q59" t="n">
        <v>1</v>
      </c>
      <c r="R59" t="n">
        <v>0</v>
      </c>
      <c r="S59" t="n">
        <v>2</v>
      </c>
      <c r="T59" t="n">
        <v>2</v>
      </c>
      <c r="U59" s="2" t="inlineStr">
        <is>
          <t>Gullpudra
Huggorm</t>
        </is>
      </c>
      <c r="V59">
        <f>HYPERLINK("https://klasma.github.io/Logging_2083/artfynd/A 25420-2026 artfynd.xlsx", "A 25420-2026")</f>
        <v/>
      </c>
      <c r="W59">
        <f>HYPERLINK("https://klasma.github.io/Logging_2083/kartor/A 25420-2026 karta.png", "A 25420-2026")</f>
        <v/>
      </c>
      <c r="Y59">
        <f>HYPERLINK("https://klasma.github.io/Logging_2083/klagomål/A 25420-2026 FSC-klagomål.docx", "A 25420-2026")</f>
        <v/>
      </c>
      <c r="Z59">
        <f>HYPERLINK("https://klasma.github.io/Logging_2083/klagomålsmail/A 25420-2026 FSC-klagomål mail.docx", "A 25420-2026")</f>
        <v/>
      </c>
      <c r="AA59">
        <f>HYPERLINK("https://klasma.github.io/Logging_2083/tillsyn/A 25420-2026 tillsynsbegäran.docx", "A 25420-2026")</f>
        <v/>
      </c>
      <c r="AB59">
        <f>HYPERLINK("https://klasma.github.io/Logging_2083/tillsynsmail/A 25420-2026 tillsynsbegäran mail.docx", "A 25420-2026")</f>
        <v/>
      </c>
    </row>
    <row r="60" ht="15" customHeight="1">
      <c r="A60" t="inlineStr">
        <is>
          <t>A 25876-2026</t>
        </is>
      </c>
      <c r="B60" t="inlineStr">
        <is>
          <t>avverkningsanmälan</t>
        </is>
      </c>
      <c r="C60" t="inlineStr">
        <is>
          <t>Föryngringsavverkning</t>
        </is>
      </c>
      <c r="D60" s="1" t="n">
        <v>46178</v>
      </c>
      <c r="E60" s="1" t="n">
        <v>46217</v>
      </c>
      <c r="F60" t="inlineStr">
        <is>
          <t>DALARNAS LÄN</t>
        </is>
      </c>
      <c r="G60" t="inlineStr">
        <is>
          <t>HEDEMORA</t>
        </is>
      </c>
      <c r="H60" t="inlineStr">
        <is>
          <t>Sveaskog</t>
        </is>
      </c>
      <c r="I60" t="n">
        <v>12.1</v>
      </c>
      <c r="J60" t="n">
        <v>1</v>
      </c>
      <c r="K60" t="n">
        <v>1</v>
      </c>
      <c r="L60" t="n">
        <v>0</v>
      </c>
      <c r="M60" t="n">
        <v>1</v>
      </c>
      <c r="N60" t="n">
        <v>0</v>
      </c>
      <c r="O60" t="n">
        <v>0</v>
      </c>
      <c r="P60" t="n">
        <v>0</v>
      </c>
      <c r="Q60" t="n">
        <v>1</v>
      </c>
      <c r="R60" t="n">
        <v>1</v>
      </c>
      <c r="S60" t="n">
        <v>2</v>
      </c>
      <c r="T60" t="n">
        <v>6</v>
      </c>
      <c r="U60" s="2" t="inlineStr">
        <is>
          <t>Knärot
Bronshjon</t>
        </is>
      </c>
      <c r="V60">
        <f>HYPERLINK("https://klasma.github.io/Logging_2083/artfynd/A 25876-2026 artfynd.xlsx", "A 25876-2026")</f>
        <v/>
      </c>
      <c r="W60">
        <f>HYPERLINK("https://klasma.github.io/Logging_2083/kartor/A 25876-2026 karta.png", "A 25876-2026")</f>
        <v/>
      </c>
      <c r="X60">
        <f>HYPERLINK("https://klasma.github.io/Logging_2083/knärot/A 25876-2026 karta knärot.png", "A 25876-2026")</f>
        <v/>
      </c>
      <c r="Y60">
        <f>HYPERLINK("https://klasma.github.io/Logging_2083/klagomål/A 25876-2026 FSC-klagomål.docx", "A 25876-2026")</f>
        <v/>
      </c>
      <c r="Z60">
        <f>HYPERLINK("https://klasma.github.io/Logging_2083/klagomålsmail/A 25876-2026 FSC-klagomål mail.docx", "A 25876-2026")</f>
        <v/>
      </c>
      <c r="AA60">
        <f>HYPERLINK("https://klasma.github.io/Logging_2083/tillsyn/A 25876-2026 tillsynsbegäran.docx", "A 25876-2026")</f>
        <v/>
      </c>
      <c r="AB60">
        <f>HYPERLINK("https://klasma.github.io/Logging_2083/tillsynsmail/A 25876-2026 tillsynsbegäran mail.docx", "A 25876-2026")</f>
        <v/>
      </c>
    </row>
    <row r="61" ht="15" customHeight="1">
      <c r="A61" t="inlineStr">
        <is>
          <t>A 1518-2025</t>
        </is>
      </c>
      <c r="B61" t="inlineStr">
        <is>
          <t>avverkningsanmälan</t>
        </is>
      </c>
      <c r="C61" t="inlineStr">
        <is>
          <t>Föryngringsavverkning</t>
        </is>
      </c>
      <c r="D61" s="1" t="n">
        <v>45670</v>
      </c>
      <c r="E61" s="1" t="n">
        <v>46217</v>
      </c>
      <c r="F61" t="inlineStr">
        <is>
          <t>DALARNAS LÄN</t>
        </is>
      </c>
      <c r="G61" t="inlineStr">
        <is>
          <t>HEDEMORA</t>
        </is>
      </c>
      <c r="I61" t="n">
        <v>3.8</v>
      </c>
      <c r="J61" t="n">
        <v>1</v>
      </c>
      <c r="K61" t="n">
        <v>0</v>
      </c>
      <c r="L61" t="n">
        <v>1</v>
      </c>
      <c r="M61" t="n">
        <v>1</v>
      </c>
      <c r="N61" t="n">
        <v>0</v>
      </c>
      <c r="O61" t="n">
        <v>0</v>
      </c>
      <c r="P61" t="n">
        <v>0</v>
      </c>
      <c r="Q61" t="n">
        <v>2</v>
      </c>
      <c r="R61" t="n">
        <v>1</v>
      </c>
      <c r="S61" t="n">
        <v>2</v>
      </c>
      <c r="T61" t="n">
        <v>8</v>
      </c>
      <c r="U61" s="2" t="inlineStr">
        <is>
          <t>Knärot
Ullticka</t>
        </is>
      </c>
      <c r="V61">
        <f>HYPERLINK("https://klasma.github.io/Logging_2083/artfynd/A 1518-2025 artfynd.xlsx", "A 1518-2025")</f>
        <v/>
      </c>
      <c r="W61">
        <f>HYPERLINK("https://klasma.github.io/Logging_2083/kartor/A 1518-2025 karta.png", "A 1518-2025")</f>
        <v/>
      </c>
      <c r="X61">
        <f>HYPERLINK("https://klasma.github.io/Logging_2083/knärot/A 1518-2025 karta knärot.png", "A 1518-2025")</f>
        <v/>
      </c>
      <c r="Y61">
        <f>HYPERLINK("https://klasma.github.io/Logging_2083/klagomål/A 1518-2025 FSC-klagomål.docx", "A 1518-2025")</f>
        <v/>
      </c>
      <c r="Z61">
        <f>HYPERLINK("https://klasma.github.io/Logging_2083/klagomålsmail/A 1518-2025 FSC-klagomål mail.docx", "A 1518-2025")</f>
        <v/>
      </c>
      <c r="AA61">
        <f>HYPERLINK("https://klasma.github.io/Logging_2083/tillsyn/A 1518-2025 tillsynsbegäran.docx", "A 1518-2025")</f>
        <v/>
      </c>
      <c r="AB61">
        <f>HYPERLINK("https://klasma.github.io/Logging_2083/tillsynsmail/A 1518-2025 tillsynsbegäran mail.docx", "A 1518-2025")</f>
        <v/>
      </c>
    </row>
    <row r="62" ht="15" customHeight="1">
      <c r="A62" t="inlineStr">
        <is>
          <t>A 26904-2026</t>
        </is>
      </c>
      <c r="B62" t="inlineStr">
        <is>
          <t>avverkningsanmälan</t>
        </is>
      </c>
      <c r="C62" t="inlineStr">
        <is>
          <t>Föryngringsavverkning</t>
        </is>
      </c>
      <c r="D62" s="1" t="n">
        <v>46185</v>
      </c>
      <c r="E62" s="1" t="n">
        <v>46217</v>
      </c>
      <c r="F62" t="inlineStr">
        <is>
          <t>DALARNAS LÄN</t>
        </is>
      </c>
      <c r="G62" t="inlineStr">
        <is>
          <t>HEDEMORA</t>
        </is>
      </c>
      <c r="H62" t="inlineStr">
        <is>
          <t>Sveaskog</t>
        </is>
      </c>
      <c r="I62" t="n">
        <v>3</v>
      </c>
      <c r="J62" t="n">
        <v>2</v>
      </c>
      <c r="K62" t="n">
        <v>0</v>
      </c>
      <c r="L62" t="n">
        <v>0</v>
      </c>
      <c r="M62" t="n">
        <v>0</v>
      </c>
      <c r="N62" t="n">
        <v>0</v>
      </c>
      <c r="O62" t="n">
        <v>0</v>
      </c>
      <c r="P62" t="n">
        <v>0</v>
      </c>
      <c r="Q62" t="n">
        <v>0</v>
      </c>
      <c r="R62" t="n">
        <v>0</v>
      </c>
      <c r="S62" t="n">
        <v>2</v>
      </c>
      <c r="T62" t="n">
        <v>2</v>
      </c>
      <c r="U62" s="2" t="inlineStr">
        <is>
          <t>Spillkråka
Kungsfågel</t>
        </is>
      </c>
      <c r="V62">
        <f>HYPERLINK("https://klasma.github.io/Logging_2083/artfynd/A 26904-2026 artfynd.xlsx", "A 26904-2026")</f>
        <v/>
      </c>
      <c r="W62">
        <f>HYPERLINK("https://klasma.github.io/Logging_2083/kartor/A 26904-2026 karta.png", "A 26904-2026")</f>
        <v/>
      </c>
      <c r="Y62">
        <f>HYPERLINK("https://klasma.github.io/Logging_2083/klagomål/A 26904-2026 FSC-klagomål.docx", "A 26904-2026")</f>
        <v/>
      </c>
      <c r="Z62">
        <f>HYPERLINK("https://klasma.github.io/Logging_2083/klagomålsmail/A 26904-2026 FSC-klagomål mail.docx", "A 26904-2026")</f>
        <v/>
      </c>
      <c r="AA62">
        <f>HYPERLINK("https://klasma.github.io/Logging_2083/tillsyn/A 26904-2026 tillsynsbegäran.docx", "A 26904-2026")</f>
        <v/>
      </c>
      <c r="AB62">
        <f>HYPERLINK("https://klasma.github.io/Logging_2083/tillsynsmail/A 26904-2026 tillsynsbegäran mail.docx", "A 26904-2026")</f>
        <v/>
      </c>
      <c r="AC62">
        <f>HYPERLINK("https://klasma.github.io/Logging_2083/fåglar/A 26904-2026 prioriterade fågelarter.docx", "A 26904-2026")</f>
        <v/>
      </c>
    </row>
    <row r="63" ht="15" customHeight="1">
      <c r="A63" t="inlineStr">
        <is>
          <t>A 61136-2025</t>
        </is>
      </c>
      <c r="B63" t="inlineStr">
        <is>
          <t>avverkningsanmälan</t>
        </is>
      </c>
      <c r="C63" t="inlineStr">
        <is>
          <t>Föryngringsavverkning</t>
        </is>
      </c>
      <c r="D63" s="1" t="n">
        <v>46000</v>
      </c>
      <c r="E63" s="1" t="n">
        <v>46217</v>
      </c>
      <c r="F63" t="inlineStr">
        <is>
          <t>DALARNAS LÄN</t>
        </is>
      </c>
      <c r="G63" t="inlineStr">
        <is>
          <t>HEDEMORA</t>
        </is>
      </c>
      <c r="H63" t="inlineStr">
        <is>
          <t>Bergvik skog väst AB</t>
        </is>
      </c>
      <c r="I63" t="n">
        <v>6.2</v>
      </c>
      <c r="J63" t="n">
        <v>1</v>
      </c>
      <c r="K63" t="n">
        <v>0</v>
      </c>
      <c r="L63" t="n">
        <v>1</v>
      </c>
      <c r="M63" t="n">
        <v>0</v>
      </c>
      <c r="N63" t="n">
        <v>0</v>
      </c>
      <c r="O63" t="n">
        <v>0</v>
      </c>
      <c r="P63" t="n">
        <v>0</v>
      </c>
      <c r="Q63" t="n">
        <v>1</v>
      </c>
      <c r="R63" t="n">
        <v>0</v>
      </c>
      <c r="S63" t="n">
        <v>2</v>
      </c>
      <c r="T63" t="n">
        <v>2</v>
      </c>
      <c r="U63" s="2" t="inlineStr">
        <is>
          <t>Brunklöver
Fläcknycklar</t>
        </is>
      </c>
      <c r="V63">
        <f>HYPERLINK("https://klasma.github.io/Logging_2083/artfynd/A 61136-2025 artfynd.xlsx", "A 61136-2025")</f>
        <v/>
      </c>
      <c r="W63">
        <f>HYPERLINK("https://klasma.github.io/Logging_2083/kartor/A 61136-2025 karta.png", "A 61136-2025")</f>
        <v/>
      </c>
      <c r="Y63">
        <f>HYPERLINK("https://klasma.github.io/Logging_2083/klagomål/A 61136-2025 FSC-klagomål.docx", "A 61136-2025")</f>
        <v/>
      </c>
      <c r="Z63">
        <f>HYPERLINK("https://klasma.github.io/Logging_2083/klagomålsmail/A 61136-2025 FSC-klagomål mail.docx", "A 61136-2025")</f>
        <v/>
      </c>
      <c r="AA63">
        <f>HYPERLINK("https://klasma.github.io/Logging_2083/tillsyn/A 61136-2025 tillsynsbegäran.docx", "A 61136-2025")</f>
        <v/>
      </c>
      <c r="AB63">
        <f>HYPERLINK("https://klasma.github.io/Logging_2083/tillsynsmail/A 61136-2025 tillsynsbegäran mail.docx", "A 61136-2025")</f>
        <v/>
      </c>
    </row>
    <row r="64" ht="15" customHeight="1">
      <c r="A64" t="inlineStr">
        <is>
          <t>A 22762-2026</t>
        </is>
      </c>
      <c r="B64" t="inlineStr">
        <is>
          <t>avverkningsanmälan</t>
        </is>
      </c>
      <c r="C64" t="inlineStr">
        <is>
          <t>Föryngringsavverkning</t>
        </is>
      </c>
      <c r="D64" s="1" t="n">
        <v>46157</v>
      </c>
      <c r="E64" s="1" t="n">
        <v>46217</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s="2" t="inlineStr">
        <is>
          <t>Rosenticka
Rynkskinn</t>
        </is>
      </c>
      <c r="V64">
        <f>HYPERLINK("https://klasma.github.io/Logging_2083/artfynd/A 22762-2026 artfynd.xlsx", "A 22762-2026")</f>
        <v/>
      </c>
      <c r="W64">
        <f>HYPERLINK("https://klasma.github.io/Logging_2083/kartor/A 22762-2026 karta.png", "A 22762-2026")</f>
        <v/>
      </c>
      <c r="Y64">
        <f>HYPERLINK("https://klasma.github.io/Logging_2083/klagomål/A 22762-2026 FSC-klagomål.docx", "A 22762-2026")</f>
        <v/>
      </c>
      <c r="Z64">
        <f>HYPERLINK("https://klasma.github.io/Logging_2083/klagomålsmail/A 22762-2026 FSC-klagomål mail.docx", "A 22762-2026")</f>
        <v/>
      </c>
      <c r="AA64">
        <f>HYPERLINK("https://klasma.github.io/Logging_2083/tillsyn/A 22762-2026 tillsynsbegäran.docx", "A 22762-2026")</f>
        <v/>
      </c>
      <c r="AB64">
        <f>HYPERLINK("https://klasma.github.io/Logging_2083/tillsynsmail/A 22762-2026 tillsynsbegäran mail.docx", "A 22762-2026")</f>
        <v/>
      </c>
    </row>
    <row r="65" ht="15" customHeight="1">
      <c r="A65" t="inlineStr">
        <is>
          <t>A 29521-2026</t>
        </is>
      </c>
      <c r="B65" t="inlineStr">
        <is>
          <t>avverkningsanmälan</t>
        </is>
      </c>
      <c r="C65" t="inlineStr">
        <is>
          <t>Föryngringsavverkning</t>
        </is>
      </c>
      <c r="D65" s="1" t="n">
        <v>46198</v>
      </c>
      <c r="E65" s="1" t="n">
        <v>46217</v>
      </c>
      <c r="F65" t="inlineStr">
        <is>
          <t>DALARNAS LÄN</t>
        </is>
      </c>
      <c r="G65" t="inlineStr">
        <is>
          <t>HEDEMORA</t>
        </is>
      </c>
      <c r="I65" t="n">
        <v>14.9</v>
      </c>
      <c r="J65" t="n">
        <v>2</v>
      </c>
      <c r="K65" t="n">
        <v>0</v>
      </c>
      <c r="L65" t="n">
        <v>0</v>
      </c>
      <c r="M65" t="n">
        <v>0</v>
      </c>
      <c r="N65" t="n">
        <v>0</v>
      </c>
      <c r="O65" t="n">
        <v>0</v>
      </c>
      <c r="P65" t="n">
        <v>0</v>
      </c>
      <c r="Q65" t="n">
        <v>0</v>
      </c>
      <c r="R65" t="n">
        <v>0</v>
      </c>
      <c r="S65" t="n">
        <v>2</v>
      </c>
      <c r="T65" t="n">
        <v>3</v>
      </c>
      <c r="U65" s="2" t="inlineStr">
        <is>
          <t>Spillkråka
Revlummer</t>
        </is>
      </c>
      <c r="V65">
        <f>HYPERLINK("https://klasma.github.io/Logging_2083/artfynd/A 29521-2026 artfynd.xlsx", "A 29521-2026")</f>
        <v/>
      </c>
      <c r="W65">
        <f>HYPERLINK("https://klasma.github.io/Logging_2083/kartor/A 29521-2026 karta.png", "A 29521-2026")</f>
        <v/>
      </c>
      <c r="X65">
        <f>HYPERLINK("https://klasma.github.io/Logging_2083/knärot/A 29521-2026 karta knärot.png", "A 29521-2026")</f>
        <v/>
      </c>
      <c r="Y65">
        <f>HYPERLINK("https://klasma.github.io/Logging_2083/klagomål/A 29521-2026 FSC-klagomål.docx", "A 29521-2026")</f>
        <v/>
      </c>
      <c r="Z65">
        <f>HYPERLINK("https://klasma.github.io/Logging_2083/klagomålsmail/A 29521-2026 FSC-klagomål mail.docx", "A 29521-2026")</f>
        <v/>
      </c>
      <c r="AA65">
        <f>HYPERLINK("https://klasma.github.io/Logging_2083/tillsyn/A 29521-2026 tillsynsbegäran.docx", "A 29521-2026")</f>
        <v/>
      </c>
      <c r="AB65">
        <f>HYPERLINK("https://klasma.github.io/Logging_2083/tillsynsmail/A 29521-2026 tillsynsbegäran mail.docx", "A 29521-2026")</f>
        <v/>
      </c>
      <c r="AC65">
        <f>HYPERLINK("https://klasma.github.io/Logging_2083/fåglar/A 29521-2026 prioriterade fågelarter.docx", "A 29521-2026")</f>
        <v/>
      </c>
    </row>
    <row r="66" ht="15" customHeight="1">
      <c r="A66" t="inlineStr">
        <is>
          <t>A 2996-2023</t>
        </is>
      </c>
      <c r="B66" t="inlineStr">
        <is>
          <t>avverkningsanmälan</t>
        </is>
      </c>
      <c r="C66" t="inlineStr">
        <is>
          <t>Avverkning för annat ändamål</t>
        </is>
      </c>
      <c r="D66" s="1" t="n">
        <v>44945</v>
      </c>
      <c r="E66" s="1" t="n">
        <v>46217</v>
      </c>
      <c r="F66" t="inlineStr">
        <is>
          <t>DALARNAS LÄN</t>
        </is>
      </c>
      <c r="G66" t="inlineStr">
        <is>
          <t>HEDEMORA</t>
        </is>
      </c>
      <c r="I66" t="n">
        <v>2.1</v>
      </c>
      <c r="J66" t="n">
        <v>1</v>
      </c>
      <c r="K66" t="n">
        <v>0</v>
      </c>
      <c r="L66" t="n">
        <v>1</v>
      </c>
      <c r="M66" t="n">
        <v>0</v>
      </c>
      <c r="N66" t="n">
        <v>0</v>
      </c>
      <c r="O66" t="n">
        <v>0</v>
      </c>
      <c r="P66" t="n">
        <v>0</v>
      </c>
      <c r="Q66" t="n">
        <v>1</v>
      </c>
      <c r="R66" t="n">
        <v>0</v>
      </c>
      <c r="S66" t="n">
        <v>2</v>
      </c>
      <c r="T66" t="n">
        <v>2</v>
      </c>
      <c r="U66" s="2" t="inlineStr">
        <is>
          <t>Vedtrappmossa
Blåsippa</t>
        </is>
      </c>
      <c r="V66">
        <f>HYPERLINK("https://klasma.github.io/Logging_2083/artfynd/A 2996-2023 artfynd.xlsx", "A 2996-2023")</f>
        <v/>
      </c>
      <c r="W66">
        <f>HYPERLINK("https://klasma.github.io/Logging_2083/kartor/A 2996-2023 karta.png", "A 2996-2023")</f>
        <v/>
      </c>
      <c r="Y66">
        <f>HYPERLINK("https://klasma.github.io/Logging_2083/klagomål/A 2996-2023 FSC-klagomål.docx", "A 2996-2023")</f>
        <v/>
      </c>
      <c r="Z66">
        <f>HYPERLINK("https://klasma.github.io/Logging_2083/klagomålsmail/A 2996-2023 FSC-klagomål mail.docx", "A 2996-2023")</f>
        <v/>
      </c>
      <c r="AA66">
        <f>HYPERLINK("https://klasma.github.io/Logging_2083/tillsyn/A 2996-2023 tillsynsbegäran.docx", "A 2996-2023")</f>
        <v/>
      </c>
      <c r="AB66">
        <f>HYPERLINK("https://klasma.github.io/Logging_2083/tillsynsmail/A 2996-2023 tillsynsbegäran mail.docx", "A 2996-2023")</f>
        <v/>
      </c>
    </row>
    <row r="67" ht="15" customHeight="1">
      <c r="A67" t="inlineStr">
        <is>
          <t>A 9549-2026</t>
        </is>
      </c>
      <c r="B67" t="inlineStr">
        <is>
          <t>avverkningsanmälan</t>
        </is>
      </c>
      <c r="C67" t="inlineStr">
        <is>
          <t>Föryngringsavverkning</t>
        </is>
      </c>
      <c r="D67" s="1" t="n">
        <v>46070</v>
      </c>
      <c r="E67" s="1" t="n">
        <v>46217</v>
      </c>
      <c r="F67" t="inlineStr">
        <is>
          <t>DALARNAS LÄN</t>
        </is>
      </c>
      <c r="G67" t="inlineStr">
        <is>
          <t>HEDEMORA</t>
        </is>
      </c>
      <c r="I67" t="n">
        <v>4.2</v>
      </c>
      <c r="J67" t="n">
        <v>1</v>
      </c>
      <c r="K67" t="n">
        <v>1</v>
      </c>
      <c r="L67" t="n">
        <v>0</v>
      </c>
      <c r="M67" t="n">
        <v>0</v>
      </c>
      <c r="N67" t="n">
        <v>0</v>
      </c>
      <c r="O67" t="n">
        <v>0</v>
      </c>
      <c r="P67" t="n">
        <v>0</v>
      </c>
      <c r="Q67" t="n">
        <v>0</v>
      </c>
      <c r="R67" t="n">
        <v>0</v>
      </c>
      <c r="S67" t="n">
        <v>2</v>
      </c>
      <c r="T67" t="n">
        <v>2</v>
      </c>
      <c r="U67" s="2" t="inlineStr">
        <is>
          <t>Korallblylav
Orre</t>
        </is>
      </c>
      <c r="V67">
        <f>HYPERLINK("https://klasma.github.io/Logging_2083/artfynd/A 9549-2026 artfynd.xlsx", "A 9549-2026")</f>
        <v/>
      </c>
      <c r="W67">
        <f>HYPERLINK("https://klasma.github.io/Logging_2083/kartor/A 9549-2026 karta.png", "A 9549-2026")</f>
        <v/>
      </c>
      <c r="Y67">
        <f>HYPERLINK("https://klasma.github.io/Logging_2083/klagomål/A 9549-2026 FSC-klagomål.docx", "A 9549-2026")</f>
        <v/>
      </c>
      <c r="Z67">
        <f>HYPERLINK("https://klasma.github.io/Logging_2083/klagomålsmail/A 9549-2026 FSC-klagomål mail.docx", "A 9549-2026")</f>
        <v/>
      </c>
      <c r="AA67">
        <f>HYPERLINK("https://klasma.github.io/Logging_2083/tillsyn/A 9549-2026 tillsynsbegäran.docx", "A 9549-2026")</f>
        <v/>
      </c>
      <c r="AB67">
        <f>HYPERLINK("https://klasma.github.io/Logging_2083/tillsynsmail/A 9549-2026 tillsynsbegäran mail.docx", "A 9549-2026")</f>
        <v/>
      </c>
      <c r="AC67">
        <f>HYPERLINK("https://klasma.github.io/Logging_2083/fåglar/A 9549-2026 prioriterade fågelarter.docx", "A 9549-2026")</f>
        <v/>
      </c>
    </row>
    <row r="68" ht="15" customHeight="1">
      <c r="A68" t="inlineStr">
        <is>
          <t>A 60017-2024</t>
        </is>
      </c>
      <c r="B68" t="inlineStr">
        <is>
          <t>avverkningsanmälan</t>
        </is>
      </c>
      <c r="C68" t="inlineStr">
        <is>
          <t>Avverkning för annat ändamål</t>
        </is>
      </c>
      <c r="D68" s="1" t="n">
        <v>45642</v>
      </c>
      <c r="E68" s="1" t="n">
        <v>46217</v>
      </c>
      <c r="F68" t="inlineStr">
        <is>
          <t>DALARNAS LÄN</t>
        </is>
      </c>
      <c r="G68" t="inlineStr">
        <is>
          <t>HEDEMORA</t>
        </is>
      </c>
      <c r="H68" t="inlineStr">
        <is>
          <t>Sveaskog</t>
        </is>
      </c>
      <c r="I68" t="n">
        <v>0.5</v>
      </c>
      <c r="J68" t="n">
        <v>1</v>
      </c>
      <c r="K68" t="n">
        <v>1</v>
      </c>
      <c r="L68" t="n">
        <v>0</v>
      </c>
      <c r="M68" t="n">
        <v>1</v>
      </c>
      <c r="N68" t="n">
        <v>0</v>
      </c>
      <c r="O68" t="n">
        <v>0</v>
      </c>
      <c r="P68" t="n">
        <v>0</v>
      </c>
      <c r="Q68" t="n">
        <v>1</v>
      </c>
      <c r="R68" t="n">
        <v>1</v>
      </c>
      <c r="S68" t="n">
        <v>2</v>
      </c>
      <c r="T68" t="n">
        <v>8</v>
      </c>
      <c r="U68" s="2" t="inlineStr">
        <is>
          <t>Knärot
Rödgul trumpetsvamp</t>
        </is>
      </c>
      <c r="V68">
        <f>HYPERLINK("https://klasma.github.io/Logging_2083/artfynd/A 60017-2024 artfynd.xlsx", "A 60017-2024")</f>
        <v/>
      </c>
      <c r="W68">
        <f>HYPERLINK("https://klasma.github.io/Logging_2083/kartor/A 60017-2024 karta.png", "A 60017-2024")</f>
        <v/>
      </c>
      <c r="X68">
        <f>HYPERLINK("https://klasma.github.io/Logging_2083/knärot/A 60017-2024 karta knärot.png", "A 60017-2024")</f>
        <v/>
      </c>
      <c r="Y68">
        <f>HYPERLINK("https://klasma.github.io/Logging_2083/klagomål/A 60017-2024 FSC-klagomål.docx", "A 60017-2024")</f>
        <v/>
      </c>
      <c r="Z68">
        <f>HYPERLINK("https://klasma.github.io/Logging_2083/klagomålsmail/A 60017-2024 FSC-klagomål mail.docx", "A 60017-2024")</f>
        <v/>
      </c>
      <c r="AA68">
        <f>HYPERLINK("https://klasma.github.io/Logging_2083/tillsyn/A 60017-2024 tillsynsbegäran.docx", "A 60017-2024")</f>
        <v/>
      </c>
      <c r="AB68">
        <f>HYPERLINK("https://klasma.github.io/Logging_2083/tillsynsmail/A 60017-2024 tillsynsbegäran mail.docx", "A 60017-2024")</f>
        <v/>
      </c>
    </row>
    <row r="69" ht="15" customHeight="1">
      <c r="A69" t="inlineStr">
        <is>
          <t>A 20666-2024</t>
        </is>
      </c>
      <c r="B69" t="inlineStr">
        <is>
          <t>avverkningsanmälan</t>
        </is>
      </c>
      <c r="C69" t="inlineStr">
        <is>
          <t>Föryngringsavverkning</t>
        </is>
      </c>
      <c r="D69" s="1" t="n">
        <v>45436</v>
      </c>
      <c r="E69" s="1" t="n">
        <v>46217</v>
      </c>
      <c r="F69" t="inlineStr">
        <is>
          <t>DALARNAS LÄN</t>
        </is>
      </c>
      <c r="G69" t="inlineStr">
        <is>
          <t>HEDEMORA</t>
        </is>
      </c>
      <c r="I69" t="n">
        <v>5.1</v>
      </c>
      <c r="J69" t="n">
        <v>2</v>
      </c>
      <c r="K69" t="n">
        <v>0</v>
      </c>
      <c r="L69" t="n">
        <v>0</v>
      </c>
      <c r="M69" t="n">
        <v>0</v>
      </c>
      <c r="N69" t="n">
        <v>0</v>
      </c>
      <c r="O69" t="n">
        <v>0</v>
      </c>
      <c r="P69" t="n">
        <v>0</v>
      </c>
      <c r="Q69" t="n">
        <v>0</v>
      </c>
      <c r="R69" t="n">
        <v>0</v>
      </c>
      <c r="S69" t="n">
        <v>2</v>
      </c>
      <c r="T69" t="n">
        <v>2</v>
      </c>
      <c r="U69" s="2" t="inlineStr">
        <is>
          <t>Orre
Fläcknycklar</t>
        </is>
      </c>
      <c r="V69">
        <f>HYPERLINK("https://klasma.github.io/Logging_2083/artfynd/A 20666-2024 artfynd.xlsx", "A 20666-2024")</f>
        <v/>
      </c>
      <c r="W69">
        <f>HYPERLINK("https://klasma.github.io/Logging_2083/kartor/A 20666-2024 karta.png", "A 20666-2024")</f>
        <v/>
      </c>
      <c r="Y69">
        <f>HYPERLINK("https://klasma.github.io/Logging_2083/klagomål/A 20666-2024 FSC-klagomål.docx", "A 20666-2024")</f>
        <v/>
      </c>
      <c r="Z69">
        <f>HYPERLINK("https://klasma.github.io/Logging_2083/klagomålsmail/A 20666-2024 FSC-klagomål mail.docx", "A 20666-2024")</f>
        <v/>
      </c>
      <c r="AA69">
        <f>HYPERLINK("https://klasma.github.io/Logging_2083/tillsyn/A 20666-2024 tillsynsbegäran.docx", "A 20666-2024")</f>
        <v/>
      </c>
      <c r="AB69">
        <f>HYPERLINK("https://klasma.github.io/Logging_2083/tillsynsmail/A 20666-2024 tillsynsbegäran mail.docx", "A 20666-2024")</f>
        <v/>
      </c>
      <c r="AC69">
        <f>HYPERLINK("https://klasma.github.io/Logging_2083/fåglar/A 20666-2024 prioriterade fågelarter.docx", "A 20666-2024")</f>
        <v/>
      </c>
    </row>
    <row r="70" ht="15" customHeight="1">
      <c r="A70" t="inlineStr">
        <is>
          <t>A 25338-2026</t>
        </is>
      </c>
      <c r="B70" t="inlineStr">
        <is>
          <t>avverkningsanmälan</t>
        </is>
      </c>
      <c r="C70" t="inlineStr">
        <is>
          <t>Föryngringsavverkning</t>
        </is>
      </c>
      <c r="D70" s="1" t="n">
        <v>46176</v>
      </c>
      <c r="E70" s="1" t="n">
        <v>46217</v>
      </c>
      <c r="F70" t="inlineStr">
        <is>
          <t>DALARNAS LÄN</t>
        </is>
      </c>
      <c r="G70" t="inlineStr">
        <is>
          <t>HEDEMORA</t>
        </is>
      </c>
      <c r="H70" t="inlineStr">
        <is>
          <t>Sveaskog</t>
        </is>
      </c>
      <c r="I70" t="n">
        <v>2.2</v>
      </c>
      <c r="J70" t="n">
        <v>2</v>
      </c>
      <c r="K70" t="n">
        <v>0</v>
      </c>
      <c r="L70" t="n">
        <v>0</v>
      </c>
      <c r="M70" t="n">
        <v>0</v>
      </c>
      <c r="N70" t="n">
        <v>0</v>
      </c>
      <c r="O70" t="n">
        <v>0</v>
      </c>
      <c r="P70" t="n">
        <v>0</v>
      </c>
      <c r="Q70" t="n">
        <v>0</v>
      </c>
      <c r="R70" t="n">
        <v>0</v>
      </c>
      <c r="S70" t="n">
        <v>2</v>
      </c>
      <c r="T70" t="n">
        <v>2</v>
      </c>
      <c r="U70" s="2" t="inlineStr">
        <is>
          <t>Åkergroda
Fläcknycklar</t>
        </is>
      </c>
      <c r="V70">
        <f>HYPERLINK("https://klasma.github.io/Logging_2083/artfynd/A 25338-2026 artfynd.xlsx", "A 25338-2026")</f>
        <v/>
      </c>
      <c r="W70">
        <f>HYPERLINK("https://klasma.github.io/Logging_2083/kartor/A 25338-2026 karta.png", "A 25338-2026")</f>
        <v/>
      </c>
      <c r="Y70">
        <f>HYPERLINK("https://klasma.github.io/Logging_2083/klagomål/A 25338-2026 FSC-klagomål.docx", "A 25338-2026")</f>
        <v/>
      </c>
      <c r="Z70">
        <f>HYPERLINK("https://klasma.github.io/Logging_2083/klagomålsmail/A 25338-2026 FSC-klagomål mail.docx", "A 25338-2026")</f>
        <v/>
      </c>
      <c r="AA70">
        <f>HYPERLINK("https://klasma.github.io/Logging_2083/tillsyn/A 25338-2026 tillsynsbegäran.docx", "A 25338-2026")</f>
        <v/>
      </c>
      <c r="AB70">
        <f>HYPERLINK("https://klasma.github.io/Logging_2083/tillsynsmail/A 25338-2026 tillsynsbegäran mail.docx", "A 25338-2026")</f>
        <v/>
      </c>
    </row>
    <row r="71" ht="15" customHeight="1">
      <c r="A71" t="inlineStr">
        <is>
          <t>A 41477-2023</t>
        </is>
      </c>
      <c r="B71" t="inlineStr">
        <is>
          <t>avverkningsanmälan</t>
        </is>
      </c>
      <c r="C71" t="inlineStr">
        <is>
          <t>Föryngringsavverkning</t>
        </is>
      </c>
      <c r="D71" s="1" t="n">
        <v>45171</v>
      </c>
      <c r="E71" s="1" t="n">
        <v>46217</v>
      </c>
      <c r="F71" t="inlineStr">
        <is>
          <t>DALARNAS LÄN</t>
        </is>
      </c>
      <c r="G71" t="inlineStr">
        <is>
          <t>HEDEMORA</t>
        </is>
      </c>
      <c r="H71" t="inlineStr">
        <is>
          <t>Bergvik skog väst AB</t>
        </is>
      </c>
      <c r="I71" t="n">
        <v>9.1</v>
      </c>
      <c r="J71" t="n">
        <v>0</v>
      </c>
      <c r="K71" t="n">
        <v>1</v>
      </c>
      <c r="L71" t="n">
        <v>1</v>
      </c>
      <c r="M71" t="n">
        <v>0</v>
      </c>
      <c r="N71" t="n">
        <v>0</v>
      </c>
      <c r="O71" t="n">
        <v>0</v>
      </c>
      <c r="P71" t="n">
        <v>0</v>
      </c>
      <c r="Q71" t="n">
        <v>1</v>
      </c>
      <c r="R71" t="n">
        <v>0</v>
      </c>
      <c r="S71" t="n">
        <v>2</v>
      </c>
      <c r="T71" t="n">
        <v>2</v>
      </c>
      <c r="U71" s="2" t="inlineStr">
        <is>
          <t>Gullpudra
Ögonpyrola</t>
        </is>
      </c>
      <c r="V71">
        <f>HYPERLINK("https://klasma.github.io/Logging_2083/artfynd/A 41477-2023 artfynd.xlsx", "A 41477-2023")</f>
        <v/>
      </c>
      <c r="W71">
        <f>HYPERLINK("https://klasma.github.io/Logging_2083/kartor/A 41477-2023 karta.png", "A 41477-2023")</f>
        <v/>
      </c>
      <c r="Y71">
        <f>HYPERLINK("https://klasma.github.io/Logging_2083/klagomål/A 41477-2023 FSC-klagomål.docx", "A 41477-2023")</f>
        <v/>
      </c>
      <c r="Z71">
        <f>HYPERLINK("https://klasma.github.io/Logging_2083/klagomålsmail/A 41477-2023 FSC-klagomål mail.docx", "A 41477-2023")</f>
        <v/>
      </c>
      <c r="AA71">
        <f>HYPERLINK("https://klasma.github.io/Logging_2083/tillsyn/A 41477-2023 tillsynsbegäran.docx", "A 41477-2023")</f>
        <v/>
      </c>
      <c r="AB71">
        <f>HYPERLINK("https://klasma.github.io/Logging_2083/tillsynsmail/A 41477-2023 tillsynsbegäran mail.docx", "A 41477-2023")</f>
        <v/>
      </c>
    </row>
    <row r="72" ht="15" customHeight="1">
      <c r="A72" t="inlineStr">
        <is>
          <t>S 931-2023</t>
        </is>
      </c>
      <c r="B72" t="inlineStr">
        <is>
          <t>samrådsanmälan</t>
        </is>
      </c>
      <c r="C72" t="inlineStr">
        <is>
          <t>Askåterföring</t>
        </is>
      </c>
      <c r="D72" s="1" t="n">
        <v>45001</v>
      </c>
      <c r="E72" s="1" t="n">
        <v>46217</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s="2" t="inlineStr">
        <is>
          <t>Garnlav
Vågbandad barkbock</t>
        </is>
      </c>
      <c r="V72">
        <f>HYPERLINK("https://klasma.github.io/Logging_2083/artfynd/S 931-2023 artfynd.xlsx", "S 931-2023")</f>
        <v/>
      </c>
      <c r="W72">
        <f>HYPERLINK("https://klasma.github.io/Logging_2083/kartor/S 931-2023 karta.png", "S 931-2023")</f>
        <v/>
      </c>
      <c r="Y72">
        <f>HYPERLINK("https://klasma.github.io/Logging_2083/klagomål/S 931-2023 FSC-klagomål.docx", "S 931-2023")</f>
        <v/>
      </c>
      <c r="Z72">
        <f>HYPERLINK("https://klasma.github.io/Logging_2083/klagomålsmail/S 931-2023 FSC-klagomål mail.docx", "S 931-2023")</f>
        <v/>
      </c>
      <c r="AA72">
        <f>HYPERLINK("https://klasma.github.io/Logging_2083/tillsyn/S 931-2023 tillsynsbegäran.docx", "S 931-2023")</f>
        <v/>
      </c>
      <c r="AB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46217</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s="2" t="inlineStr">
        <is>
          <t>Linmåra/småsnärjmåra
Motaggsvamp</t>
        </is>
      </c>
      <c r="V73">
        <f>HYPERLINK("https://klasma.github.io/Logging_2083/artfynd/S 10368-2021 artfynd.xlsx", "S 10368-2021")</f>
        <v/>
      </c>
      <c r="W73">
        <f>HYPERLINK("https://klasma.github.io/Logging_2083/kartor/S 10368-2021 karta.png", "S 10368-2021")</f>
        <v/>
      </c>
      <c r="Y73">
        <f>HYPERLINK("https://klasma.github.io/Logging_2083/klagomål/S 10368-2021 FSC-klagomål.docx", "S 10368-2021")</f>
        <v/>
      </c>
      <c r="Z73">
        <f>HYPERLINK("https://klasma.github.io/Logging_2083/klagomålsmail/S 10368-2021 FSC-klagomål mail.docx", "S 10368-2021")</f>
        <v/>
      </c>
      <c r="AA73">
        <f>HYPERLINK("https://klasma.github.io/Logging_2083/tillsyn/S 10368-2021 tillsynsbegäran.docx", "S 10368-2021")</f>
        <v/>
      </c>
      <c r="AB73">
        <f>HYPERLINK("https://klasma.github.io/Logging_2083/tillsynsmail/S 10368-2021 tillsynsbegäran mail.docx", "S 10368-2021")</f>
        <v/>
      </c>
    </row>
    <row r="74" ht="15" customHeight="1">
      <c r="A74" t="inlineStr">
        <is>
          <t>S 227-2024</t>
        </is>
      </c>
      <c r="B74" t="inlineStr">
        <is>
          <t>samrådsanmälan</t>
        </is>
      </c>
      <c r="C74" t="inlineStr">
        <is>
          <t>Skogsgödsling</t>
        </is>
      </c>
      <c r="D74" s="1" t="n">
        <v>45317</v>
      </c>
      <c r="E74" s="1" t="n">
        <v>46217</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s="2" t="inlineStr">
        <is>
          <t>Järpe
Tjäder</t>
        </is>
      </c>
      <c r="V74">
        <f>HYPERLINK("https://klasma.github.io/Logging_2083/artfynd/S 227-2024 artfynd.xlsx", "S 227-2024")</f>
        <v/>
      </c>
      <c r="W74">
        <f>HYPERLINK("https://klasma.github.io/Logging_2083/kartor/S 227-2024 karta.png", "S 227-2024")</f>
        <v/>
      </c>
      <c r="Y74">
        <f>HYPERLINK("https://klasma.github.io/Logging_2083/klagomål/S 227-2024 FSC-klagomål.docx", "S 227-2024")</f>
        <v/>
      </c>
      <c r="Z74">
        <f>HYPERLINK("https://klasma.github.io/Logging_2083/klagomålsmail/S 227-2024 FSC-klagomål mail.docx", "S 227-2024")</f>
        <v/>
      </c>
      <c r="AA74">
        <f>HYPERLINK("https://klasma.github.io/Logging_2083/tillsyn/S 227-2024 tillsynsbegäran.docx", "S 227-2024")</f>
        <v/>
      </c>
      <c r="AB74">
        <f>HYPERLINK("https://klasma.github.io/Logging_2083/tillsynsmail/S 227-2024 tillsynsbegäran mail.docx", "S 227-2024")</f>
        <v/>
      </c>
      <c r="AC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46217</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s="2" t="inlineStr">
        <is>
          <t>Talltita</t>
        </is>
      </c>
      <c r="V75">
        <f>HYPERLINK("https://klasma.github.io/Logging_2083/artfynd/A 53915-2022 artfynd.xlsx", "A 53915-2022")</f>
        <v/>
      </c>
      <c r="W75">
        <f>HYPERLINK("https://klasma.github.io/Logging_2083/kartor/A 53915-2022 karta.png", "A 53915-2022")</f>
        <v/>
      </c>
      <c r="Y75">
        <f>HYPERLINK("https://klasma.github.io/Logging_2083/klagomål/A 53915-2022 FSC-klagomål.docx", "A 53915-2022")</f>
        <v/>
      </c>
      <c r="Z75">
        <f>HYPERLINK("https://klasma.github.io/Logging_2083/klagomålsmail/A 53915-2022 FSC-klagomål mail.docx", "A 53915-2022")</f>
        <v/>
      </c>
      <c r="AA75">
        <f>HYPERLINK("https://klasma.github.io/Logging_2083/tillsyn/A 53915-2022 tillsynsbegäran.docx", "A 53915-2022")</f>
        <v/>
      </c>
      <c r="AB75">
        <f>HYPERLINK("https://klasma.github.io/Logging_2083/tillsynsmail/A 53915-2022 tillsynsbegäran mail.docx", "A 53915-2022")</f>
        <v/>
      </c>
      <c r="AC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46217</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s="2" t="inlineStr">
        <is>
          <t>Fläcknycklar</t>
        </is>
      </c>
      <c r="V76">
        <f>HYPERLINK("https://klasma.github.io/Logging_2083/artfynd/A 1666-2022 artfynd.xlsx", "A 1666-2022")</f>
        <v/>
      </c>
      <c r="W76">
        <f>HYPERLINK("https://klasma.github.io/Logging_2083/kartor/A 1666-2022 karta.png", "A 1666-2022")</f>
        <v/>
      </c>
      <c r="Y76">
        <f>HYPERLINK("https://klasma.github.io/Logging_2083/klagomål/A 1666-2022 FSC-klagomål.docx", "A 1666-2022")</f>
        <v/>
      </c>
      <c r="Z76">
        <f>HYPERLINK("https://klasma.github.io/Logging_2083/klagomålsmail/A 1666-2022 FSC-klagomål mail.docx", "A 1666-2022")</f>
        <v/>
      </c>
      <c r="AA76">
        <f>HYPERLINK("https://klasma.github.io/Logging_2083/tillsyn/A 1666-2022 tillsynsbegäran.docx", "A 1666-2022")</f>
        <v/>
      </c>
      <c r="AB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46217</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s="2" t="inlineStr">
        <is>
          <t>Spillkråka</t>
        </is>
      </c>
      <c r="V77">
        <f>HYPERLINK("https://klasma.github.io/Logging_2083/artfynd/A 53916-2022 artfynd.xlsx", "A 53916-2022")</f>
        <v/>
      </c>
      <c r="W77">
        <f>HYPERLINK("https://klasma.github.io/Logging_2083/kartor/A 53916-2022 karta.png", "A 53916-2022")</f>
        <v/>
      </c>
      <c r="Y77">
        <f>HYPERLINK("https://klasma.github.io/Logging_2083/klagomål/A 53916-2022 FSC-klagomål.docx", "A 53916-2022")</f>
        <v/>
      </c>
      <c r="Z77">
        <f>HYPERLINK("https://klasma.github.io/Logging_2083/klagomålsmail/A 53916-2022 FSC-klagomål mail.docx", "A 53916-2022")</f>
        <v/>
      </c>
      <c r="AA77">
        <f>HYPERLINK("https://klasma.github.io/Logging_2083/tillsyn/A 53916-2022 tillsynsbegäran.docx", "A 53916-2022")</f>
        <v/>
      </c>
      <c r="AB77">
        <f>HYPERLINK("https://klasma.github.io/Logging_2083/tillsynsmail/A 53916-2022 tillsynsbegäran mail.docx", "A 53916-2022")</f>
        <v/>
      </c>
      <c r="AC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46217</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s="2" t="inlineStr">
        <is>
          <t>Knärot</t>
        </is>
      </c>
      <c r="V78">
        <f>HYPERLINK("https://klasma.github.io/Logging_2083/artfynd/A 49889-2022 artfynd.xlsx", "A 49889-2022")</f>
        <v/>
      </c>
      <c r="W78">
        <f>HYPERLINK("https://klasma.github.io/Logging_2083/kartor/A 49889-2022 karta.png", "A 49889-2022")</f>
        <v/>
      </c>
      <c r="X78">
        <f>HYPERLINK("https://klasma.github.io/Logging_2083/knärot/A 49889-2022 karta knärot.png", "A 49889-2022")</f>
        <v/>
      </c>
      <c r="Y78">
        <f>HYPERLINK("https://klasma.github.io/Logging_2083/klagomål/A 49889-2022 FSC-klagomål.docx", "A 49889-2022")</f>
        <v/>
      </c>
      <c r="Z78">
        <f>HYPERLINK("https://klasma.github.io/Logging_2083/klagomålsmail/A 49889-2022 FSC-klagomål mail.docx", "A 49889-2022")</f>
        <v/>
      </c>
      <c r="AA78">
        <f>HYPERLINK("https://klasma.github.io/Logging_2083/tillsyn/A 49889-2022 tillsynsbegäran.docx", "A 49889-2022")</f>
        <v/>
      </c>
      <c r="AB78">
        <f>HYPERLINK("https://klasma.github.io/Logging_2083/tillsynsmail/A 49889-2022 tillsynsbegäran mail.docx", "A 49889-2022")</f>
        <v/>
      </c>
    </row>
    <row r="79" ht="15" customHeight="1">
      <c r="A79" t="inlineStr">
        <is>
          <t>A 63542-2023</t>
        </is>
      </c>
      <c r="B79" t="inlineStr">
        <is>
          <t>avverkningsanmälan</t>
        </is>
      </c>
      <c r="C79" t="inlineStr">
        <is>
          <t>Föryngringsavverkning</t>
        </is>
      </c>
      <c r="D79" s="1" t="n">
        <v>45275</v>
      </c>
      <c r="E79" s="1" t="n">
        <v>46217</v>
      </c>
      <c r="F79" t="inlineStr">
        <is>
          <t>DALARNAS LÄN</t>
        </is>
      </c>
      <c r="G79" t="inlineStr">
        <is>
          <t>HEDEMORA</t>
        </is>
      </c>
      <c r="I79" t="n">
        <v>2.1</v>
      </c>
      <c r="J79" t="n">
        <v>1</v>
      </c>
      <c r="K79" t="n">
        <v>0</v>
      </c>
      <c r="L79" t="n">
        <v>0</v>
      </c>
      <c r="M79" t="n">
        <v>0</v>
      </c>
      <c r="N79" t="n">
        <v>0</v>
      </c>
      <c r="O79" t="n">
        <v>0</v>
      </c>
      <c r="P79" t="n">
        <v>0</v>
      </c>
      <c r="Q79" t="n">
        <v>0</v>
      </c>
      <c r="R79" t="n">
        <v>0</v>
      </c>
      <c r="S79" t="n">
        <v>1</v>
      </c>
      <c r="T79" t="n">
        <v>1</v>
      </c>
      <c r="U79" s="2" t="inlineStr">
        <is>
          <t>Spillkråka</t>
        </is>
      </c>
      <c r="V79">
        <f>HYPERLINK("https://klasma.github.io/Logging_2083/artfynd/A 63542-2023 artfynd.xlsx", "A 63542-2023")</f>
        <v/>
      </c>
      <c r="W79">
        <f>HYPERLINK("https://klasma.github.io/Logging_2083/kartor/A 63542-2023 karta.png", "A 63542-2023")</f>
        <v/>
      </c>
      <c r="Y79">
        <f>HYPERLINK("https://klasma.github.io/Logging_2083/klagomål/A 63542-2023 FSC-klagomål.docx", "A 63542-2023")</f>
        <v/>
      </c>
      <c r="Z79">
        <f>HYPERLINK("https://klasma.github.io/Logging_2083/klagomålsmail/A 63542-2023 FSC-klagomål mail.docx", "A 63542-2023")</f>
        <v/>
      </c>
      <c r="AA79">
        <f>HYPERLINK("https://klasma.github.io/Logging_2083/tillsyn/A 63542-2023 tillsynsbegäran.docx", "A 63542-2023")</f>
        <v/>
      </c>
      <c r="AB79">
        <f>HYPERLINK("https://klasma.github.io/Logging_2083/tillsynsmail/A 63542-2023 tillsynsbegäran mail.docx", "A 63542-2023")</f>
        <v/>
      </c>
      <c r="AC79">
        <f>HYPERLINK("https://klasma.github.io/Logging_2083/fåglar/A 63542-2023 prioriterade fågelarter.docx", "A 63542-2023")</f>
        <v/>
      </c>
    </row>
    <row r="80" ht="15" customHeight="1">
      <c r="A80" t="inlineStr">
        <is>
          <t>A 62046-2022</t>
        </is>
      </c>
      <c r="B80" t="inlineStr">
        <is>
          <t>avverkningsanmälan</t>
        </is>
      </c>
      <c r="C80" t="inlineStr">
        <is>
          <t>Föryngringsavverkning</t>
        </is>
      </c>
      <c r="D80" s="1" t="n">
        <v>44918</v>
      </c>
      <c r="E80" s="1" t="n">
        <v>46217</v>
      </c>
      <c r="F80" t="inlineStr">
        <is>
          <t>DALARNAS LÄN</t>
        </is>
      </c>
      <c r="G80" t="inlineStr">
        <is>
          <t>HEDEMORA</t>
        </is>
      </c>
      <c r="I80" t="n">
        <v>1.2</v>
      </c>
      <c r="J80" t="n">
        <v>0</v>
      </c>
      <c r="K80" t="n">
        <v>0</v>
      </c>
      <c r="L80" t="n">
        <v>1</v>
      </c>
      <c r="M80" t="n">
        <v>0</v>
      </c>
      <c r="N80" t="n">
        <v>0</v>
      </c>
      <c r="O80" t="n">
        <v>0</v>
      </c>
      <c r="P80" t="n">
        <v>0</v>
      </c>
      <c r="Q80" t="n">
        <v>1</v>
      </c>
      <c r="R80" t="n">
        <v>0</v>
      </c>
      <c r="S80" t="n">
        <v>1</v>
      </c>
      <c r="T80" t="n">
        <v>2</v>
      </c>
      <c r="U80" s="2" t="inlineStr">
        <is>
          <t>Vårärt</t>
        </is>
      </c>
      <c r="V80">
        <f>HYPERLINK("https://klasma.github.io/Logging_2083/artfynd/A 62046-2022 artfynd.xlsx", "A 62046-2022")</f>
        <v/>
      </c>
      <c r="W80">
        <f>HYPERLINK("https://klasma.github.io/Logging_2083/kartor/A 62046-2022 karta.png", "A 62046-2022")</f>
        <v/>
      </c>
      <c r="Y80">
        <f>HYPERLINK("https://klasma.github.io/Logging_2083/klagomål/A 62046-2022 FSC-klagomål.docx", "A 62046-2022")</f>
        <v/>
      </c>
      <c r="Z80">
        <f>HYPERLINK("https://klasma.github.io/Logging_2083/klagomålsmail/A 62046-2022 FSC-klagomål mail.docx", "A 62046-2022")</f>
        <v/>
      </c>
      <c r="AA80">
        <f>HYPERLINK("https://klasma.github.io/Logging_2083/tillsyn/A 62046-2022 tillsynsbegäran.docx", "A 62046-2022")</f>
        <v/>
      </c>
      <c r="AB80">
        <f>HYPERLINK("https://klasma.github.io/Logging_2083/tillsynsmail/A 62046-2022 tillsynsbegäran mail.docx", "A 62046-2022")</f>
        <v/>
      </c>
    </row>
    <row r="81" ht="15" customHeight="1">
      <c r="A81" t="inlineStr">
        <is>
          <t>A 53031-2023</t>
        </is>
      </c>
      <c r="B81" t="inlineStr">
        <is>
          <t>avverkningsanmälan</t>
        </is>
      </c>
      <c r="C81" t="inlineStr">
        <is>
          <t>Föryngringsavverkning</t>
        </is>
      </c>
      <c r="D81" s="1" t="n">
        <v>45226</v>
      </c>
      <c r="E81" s="1" t="n">
        <v>46217</v>
      </c>
      <c r="F81" t="inlineStr">
        <is>
          <t>DALARNAS LÄN</t>
        </is>
      </c>
      <c r="G81" t="inlineStr">
        <is>
          <t>HEDEMORA</t>
        </is>
      </c>
      <c r="H81" t="inlineStr">
        <is>
          <t>Sveaskog</t>
        </is>
      </c>
      <c r="I81" t="n">
        <v>6.9</v>
      </c>
      <c r="J81" t="n">
        <v>1</v>
      </c>
      <c r="K81" t="n">
        <v>0</v>
      </c>
      <c r="L81" t="n">
        <v>1</v>
      </c>
      <c r="M81" t="n">
        <v>0</v>
      </c>
      <c r="N81" t="n">
        <v>0</v>
      </c>
      <c r="O81" t="n">
        <v>0</v>
      </c>
      <c r="P81" t="n">
        <v>0</v>
      </c>
      <c r="Q81" t="n">
        <v>1</v>
      </c>
      <c r="R81" t="n">
        <v>0</v>
      </c>
      <c r="S81" t="n">
        <v>1</v>
      </c>
      <c r="T81" t="n">
        <v>1</v>
      </c>
      <c r="U81" s="2" t="inlineStr">
        <is>
          <t>Talltita</t>
        </is>
      </c>
      <c r="V81">
        <f>HYPERLINK("https://klasma.github.io/Logging_2083/artfynd/A 53031-2023 artfynd.xlsx", "A 53031-2023")</f>
        <v/>
      </c>
      <c r="W81">
        <f>HYPERLINK("https://klasma.github.io/Logging_2083/kartor/A 53031-2023 karta.png", "A 53031-2023")</f>
        <v/>
      </c>
      <c r="Y81">
        <f>HYPERLINK("https://klasma.github.io/Logging_2083/klagomål/A 53031-2023 FSC-klagomål.docx", "A 53031-2023")</f>
        <v/>
      </c>
      <c r="Z81">
        <f>HYPERLINK("https://klasma.github.io/Logging_2083/klagomålsmail/A 53031-2023 FSC-klagomål mail.docx", "A 53031-2023")</f>
        <v/>
      </c>
      <c r="AA81">
        <f>HYPERLINK("https://klasma.github.io/Logging_2083/tillsyn/A 53031-2023 tillsynsbegäran.docx", "A 53031-2023")</f>
        <v/>
      </c>
      <c r="AB81">
        <f>HYPERLINK("https://klasma.github.io/Logging_2083/tillsynsmail/A 53031-2023 tillsynsbegäran mail.docx", "A 53031-2023")</f>
        <v/>
      </c>
      <c r="AC81">
        <f>HYPERLINK("https://klasma.github.io/Logging_2083/fåglar/A 53031-2023 prioriterade fågelarter.docx", "A 53031-2023")</f>
        <v/>
      </c>
    </row>
    <row r="82" ht="15" customHeight="1">
      <c r="A82" t="inlineStr">
        <is>
          <t>A 39396-2025</t>
        </is>
      </c>
      <c r="B82" t="inlineStr">
        <is>
          <t>avverkningsanmälan</t>
        </is>
      </c>
      <c r="C82" t="inlineStr">
        <is>
          <t>Föryngringsavverkning</t>
        </is>
      </c>
      <c r="D82" s="1" t="n">
        <v>45889</v>
      </c>
      <c r="E82" s="1" t="n">
        <v>46217</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s="2" t="inlineStr">
        <is>
          <t>Knärot</t>
        </is>
      </c>
      <c r="V82">
        <f>HYPERLINK("https://klasma.github.io/Logging_2083/artfynd/A 39396-2025 artfynd.xlsx", "A 39396-2025")</f>
        <v/>
      </c>
      <c r="W82">
        <f>HYPERLINK("https://klasma.github.io/Logging_2083/kartor/A 39396-2025 karta.png", "A 39396-2025")</f>
        <v/>
      </c>
      <c r="X82">
        <f>HYPERLINK("https://klasma.github.io/Logging_2083/knärot/A 39396-2025 karta knärot.png", "A 39396-2025")</f>
        <v/>
      </c>
      <c r="Y82">
        <f>HYPERLINK("https://klasma.github.io/Logging_2083/klagomål/A 39396-2025 FSC-klagomål.docx", "A 39396-2025")</f>
        <v/>
      </c>
      <c r="Z82">
        <f>HYPERLINK("https://klasma.github.io/Logging_2083/klagomålsmail/A 39396-2025 FSC-klagomål mail.docx", "A 39396-2025")</f>
        <v/>
      </c>
      <c r="AA82">
        <f>HYPERLINK("https://klasma.github.io/Logging_2083/tillsyn/A 39396-2025 tillsynsbegäran.docx", "A 39396-2025")</f>
        <v/>
      </c>
      <c r="AB82">
        <f>HYPERLINK("https://klasma.github.io/Logging_2083/tillsynsmail/A 39396-2025 tillsynsbegäran mail.docx", "A 39396-2025")</f>
        <v/>
      </c>
    </row>
    <row r="83" ht="15" customHeight="1">
      <c r="A83" t="inlineStr">
        <is>
          <t>A 25422-2026</t>
        </is>
      </c>
      <c r="B83" t="inlineStr">
        <is>
          <t>avverkningsanmälan</t>
        </is>
      </c>
      <c r="C83" t="inlineStr">
        <is>
          <t>Föryngringsavverkning</t>
        </is>
      </c>
      <c r="D83" s="1" t="n">
        <v>46177</v>
      </c>
      <c r="E83" s="1" t="n">
        <v>46217</v>
      </c>
      <c r="F83" t="inlineStr">
        <is>
          <t>DALARNAS LÄN</t>
        </is>
      </c>
      <c r="G83" t="inlineStr">
        <is>
          <t>HEDEMORA</t>
        </is>
      </c>
      <c r="H83" t="inlineStr">
        <is>
          <t>Sveaskog</t>
        </is>
      </c>
      <c r="I83" t="n">
        <v>0.8</v>
      </c>
      <c r="J83" t="n">
        <v>0</v>
      </c>
      <c r="K83" t="n">
        <v>0</v>
      </c>
      <c r="L83" t="n">
        <v>1</v>
      </c>
      <c r="M83" t="n">
        <v>0</v>
      </c>
      <c r="N83" t="n">
        <v>0</v>
      </c>
      <c r="O83" t="n">
        <v>0</v>
      </c>
      <c r="P83" t="n">
        <v>0</v>
      </c>
      <c r="Q83" t="n">
        <v>1</v>
      </c>
      <c r="R83" t="n">
        <v>0</v>
      </c>
      <c r="S83" t="n">
        <v>1</v>
      </c>
      <c r="T83" t="n">
        <v>1</v>
      </c>
      <c r="U83" s="2" t="inlineStr">
        <is>
          <t>Tallticka</t>
        </is>
      </c>
      <c r="V83">
        <f>HYPERLINK("https://klasma.github.io/Logging_2083/artfynd/A 25422-2026 artfynd.xlsx", "A 25422-2026")</f>
        <v/>
      </c>
      <c r="W83">
        <f>HYPERLINK("https://klasma.github.io/Logging_2083/kartor/A 25422-2026 karta.png", "A 25422-2026")</f>
        <v/>
      </c>
      <c r="Y83">
        <f>HYPERLINK("https://klasma.github.io/Logging_2083/klagomål/A 25422-2026 FSC-klagomål.docx", "A 25422-2026")</f>
        <v/>
      </c>
      <c r="Z83">
        <f>HYPERLINK("https://klasma.github.io/Logging_2083/klagomålsmail/A 25422-2026 FSC-klagomål mail.docx", "A 25422-2026")</f>
        <v/>
      </c>
      <c r="AA83">
        <f>HYPERLINK("https://klasma.github.io/Logging_2083/tillsyn/A 25422-2026 tillsynsbegäran.docx", "A 25422-2026")</f>
        <v/>
      </c>
      <c r="AB83">
        <f>HYPERLINK("https://klasma.github.io/Logging_2083/tillsynsmail/A 25422-2026 tillsynsbegäran mail.docx", "A 25422-2026")</f>
        <v/>
      </c>
    </row>
    <row r="84" ht="15" customHeight="1">
      <c r="A84" t="inlineStr">
        <is>
          <t>A 52941-2024</t>
        </is>
      </c>
      <c r="B84" t="inlineStr">
        <is>
          <t>avverkningsanmälan</t>
        </is>
      </c>
      <c r="C84" t="inlineStr">
        <is>
          <t>Föryngringsavverkning</t>
        </is>
      </c>
      <c r="D84" s="1" t="n">
        <v>45610</v>
      </c>
      <c r="E84" s="1" t="n">
        <v>46217</v>
      </c>
      <c r="F84" t="inlineStr">
        <is>
          <t>DALARNAS LÄN</t>
        </is>
      </c>
      <c r="G84" t="inlineStr">
        <is>
          <t>HEDEMORA</t>
        </is>
      </c>
      <c r="H84" t="inlineStr">
        <is>
          <t>Sveaskog</t>
        </is>
      </c>
      <c r="I84" t="n">
        <v>18.3</v>
      </c>
      <c r="J84" t="n">
        <v>1</v>
      </c>
      <c r="K84" t="n">
        <v>0</v>
      </c>
      <c r="L84" t="n">
        <v>0</v>
      </c>
      <c r="M84" t="n">
        <v>1</v>
      </c>
      <c r="N84" t="n">
        <v>0</v>
      </c>
      <c r="O84" t="n">
        <v>0</v>
      </c>
      <c r="P84" t="n">
        <v>0</v>
      </c>
      <c r="Q84" t="n">
        <v>1</v>
      </c>
      <c r="R84" t="n">
        <v>1</v>
      </c>
      <c r="S84" t="n">
        <v>1</v>
      </c>
      <c r="T84" t="n">
        <v>1</v>
      </c>
      <c r="U84" s="2" t="inlineStr">
        <is>
          <t>Knärot</t>
        </is>
      </c>
      <c r="V84">
        <f>HYPERLINK("https://klasma.github.io/Logging_2083/artfynd/A 52941-2024 artfynd.xlsx", "A 52941-2024")</f>
        <v/>
      </c>
      <c r="W84">
        <f>HYPERLINK("https://klasma.github.io/Logging_2083/kartor/A 52941-2024 karta.png", "A 52941-2024")</f>
        <v/>
      </c>
      <c r="X84">
        <f>HYPERLINK("https://klasma.github.io/Logging_2083/knärot/A 52941-2024 karta knärot.png", "A 52941-2024")</f>
        <v/>
      </c>
      <c r="Y84">
        <f>HYPERLINK("https://klasma.github.io/Logging_2083/klagomål/A 52941-2024 FSC-klagomål.docx", "A 52941-2024")</f>
        <v/>
      </c>
      <c r="Z84">
        <f>HYPERLINK("https://klasma.github.io/Logging_2083/klagomålsmail/A 52941-2024 FSC-klagomål mail.docx", "A 52941-2024")</f>
        <v/>
      </c>
      <c r="AA84">
        <f>HYPERLINK("https://klasma.github.io/Logging_2083/tillsyn/A 52941-2024 tillsynsbegäran.docx", "A 52941-2024")</f>
        <v/>
      </c>
      <c r="AB84">
        <f>HYPERLINK("https://klasma.github.io/Logging_2083/tillsynsmail/A 52941-2024 tillsynsbegäran mail.docx", "A 52941-2024")</f>
        <v/>
      </c>
    </row>
    <row r="85" ht="15" customHeight="1">
      <c r="A85" t="inlineStr">
        <is>
          <t>A 15036-2025</t>
        </is>
      </c>
      <c r="B85" t="inlineStr">
        <is>
          <t>avverkningsanmälan</t>
        </is>
      </c>
      <c r="C85" t="inlineStr">
        <is>
          <t>Föryngringsavverkning</t>
        </is>
      </c>
      <c r="D85" s="1" t="n">
        <v>45743</v>
      </c>
      <c r="E85" s="1" t="n">
        <v>46217</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s="2" t="inlineStr">
        <is>
          <t>Kolflarnlav</t>
        </is>
      </c>
      <c r="V85">
        <f>HYPERLINK("https://klasma.github.io/Logging_2083/artfynd/A 15036-2025 artfynd.xlsx", "A 15036-2025")</f>
        <v/>
      </c>
      <c r="W85">
        <f>HYPERLINK("https://klasma.github.io/Logging_2083/kartor/A 15036-2025 karta.png", "A 15036-2025")</f>
        <v/>
      </c>
      <c r="Y85">
        <f>HYPERLINK("https://klasma.github.io/Logging_2083/klagomål/A 15036-2025 FSC-klagomål.docx", "A 15036-2025")</f>
        <v/>
      </c>
      <c r="Z85">
        <f>HYPERLINK("https://klasma.github.io/Logging_2083/klagomålsmail/A 15036-2025 FSC-klagomål mail.docx", "A 15036-2025")</f>
        <v/>
      </c>
      <c r="AA85">
        <f>HYPERLINK("https://klasma.github.io/Logging_2083/tillsyn/A 15036-2025 tillsynsbegäran.docx", "A 15036-2025")</f>
        <v/>
      </c>
      <c r="AB85">
        <f>HYPERLINK("https://klasma.github.io/Logging_2083/tillsynsmail/A 15036-2025 tillsynsbegäran mail.docx", "A 15036-2025")</f>
        <v/>
      </c>
    </row>
    <row r="86" ht="15" customHeight="1">
      <c r="A86" t="inlineStr">
        <is>
          <t>A 33968-2025</t>
        </is>
      </c>
      <c r="B86" t="inlineStr">
        <is>
          <t>avverkningsanmälan</t>
        </is>
      </c>
      <c r="C86" t="inlineStr">
        <is>
          <t>Föryngringsavverkning</t>
        </is>
      </c>
      <c r="D86" s="1" t="n">
        <v>45842</v>
      </c>
      <c r="E86" s="1" t="n">
        <v>46217</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s="2" t="inlineStr">
        <is>
          <t>Plattlummer</t>
        </is>
      </c>
      <c r="V86">
        <f>HYPERLINK("https://klasma.github.io/Logging_2083/artfynd/A 33968-2025 artfynd.xlsx", "A 33968-2025")</f>
        <v/>
      </c>
      <c r="W86">
        <f>HYPERLINK("https://klasma.github.io/Logging_2083/kartor/A 33968-2025 karta.png", "A 33968-2025")</f>
        <v/>
      </c>
      <c r="Y86">
        <f>HYPERLINK("https://klasma.github.io/Logging_2083/klagomål/A 33968-2025 FSC-klagomål.docx", "A 33968-2025")</f>
        <v/>
      </c>
      <c r="Z86">
        <f>HYPERLINK("https://klasma.github.io/Logging_2083/klagomålsmail/A 33968-2025 FSC-klagomål mail.docx", "A 33968-2025")</f>
        <v/>
      </c>
      <c r="AA86">
        <f>HYPERLINK("https://klasma.github.io/Logging_2083/tillsyn/A 33968-2025 tillsynsbegäran.docx", "A 33968-2025")</f>
        <v/>
      </c>
      <c r="AB86">
        <f>HYPERLINK("https://klasma.github.io/Logging_2083/tillsynsmail/A 33968-2025 tillsynsbegäran mail.docx", "A 33968-2025")</f>
        <v/>
      </c>
    </row>
    <row r="87" ht="15" customHeight="1">
      <c r="A87" t="inlineStr">
        <is>
          <t>A 17590-2025</t>
        </is>
      </c>
      <c r="B87" t="inlineStr">
        <is>
          <t>avverkningsanmälan</t>
        </is>
      </c>
      <c r="C87" t="inlineStr">
        <is>
          <t>Föryngringsavverkning</t>
        </is>
      </c>
      <c r="D87" s="1" t="n">
        <v>45757</v>
      </c>
      <c r="E87" s="1" t="n">
        <v>46217</v>
      </c>
      <c r="F87" t="inlineStr">
        <is>
          <t>DALARNAS LÄN</t>
        </is>
      </c>
      <c r="G87" t="inlineStr">
        <is>
          <t>HEDEMORA</t>
        </is>
      </c>
      <c r="I87" t="n">
        <v>0.6</v>
      </c>
      <c r="J87" t="n">
        <v>0</v>
      </c>
      <c r="K87" t="n">
        <v>0</v>
      </c>
      <c r="L87" t="n">
        <v>0</v>
      </c>
      <c r="M87" t="n">
        <v>1</v>
      </c>
      <c r="N87" t="n">
        <v>0</v>
      </c>
      <c r="O87" t="n">
        <v>0</v>
      </c>
      <c r="P87" t="n">
        <v>0</v>
      </c>
      <c r="Q87" t="n">
        <v>1</v>
      </c>
      <c r="R87" t="n">
        <v>1</v>
      </c>
      <c r="S87" t="n">
        <v>1</v>
      </c>
      <c r="T87" t="n">
        <v>1</v>
      </c>
      <c r="U87" s="2" t="inlineStr">
        <is>
          <t>Garnlav</t>
        </is>
      </c>
      <c r="V87">
        <f>HYPERLINK("https://klasma.github.io/Logging_2083/artfynd/A 17590-2025 artfynd.xlsx", "A 17590-2025")</f>
        <v/>
      </c>
      <c r="W87">
        <f>HYPERLINK("https://klasma.github.io/Logging_2083/kartor/A 17590-2025 karta.png", "A 17590-2025")</f>
        <v/>
      </c>
      <c r="Y87">
        <f>HYPERLINK("https://klasma.github.io/Logging_2083/klagomål/A 17590-2025 FSC-klagomål.docx", "A 17590-2025")</f>
        <v/>
      </c>
      <c r="Z87">
        <f>HYPERLINK("https://klasma.github.io/Logging_2083/klagomålsmail/A 17590-2025 FSC-klagomål mail.docx", "A 17590-2025")</f>
        <v/>
      </c>
      <c r="AA87">
        <f>HYPERLINK("https://klasma.github.io/Logging_2083/tillsyn/A 17590-2025 tillsynsbegäran.docx", "A 17590-2025")</f>
        <v/>
      </c>
      <c r="AB87">
        <f>HYPERLINK("https://klasma.github.io/Logging_2083/tillsynsmail/A 17590-2025 tillsynsbegäran mail.docx", "A 17590-2025")</f>
        <v/>
      </c>
    </row>
    <row r="88" ht="15" customHeight="1">
      <c r="A88" t="inlineStr">
        <is>
          <t>A 51111-2021</t>
        </is>
      </c>
      <c r="B88" t="inlineStr">
        <is>
          <t>avverkningsanmälan</t>
        </is>
      </c>
      <c r="C88" t="inlineStr">
        <is>
          <t>Föryngringsavverkning</t>
        </is>
      </c>
      <c r="D88" s="1" t="n">
        <v>44461</v>
      </c>
      <c r="E88" s="1" t="n">
        <v>46217</v>
      </c>
      <c r="F88" t="inlineStr">
        <is>
          <t>DALARNAS LÄN</t>
        </is>
      </c>
      <c r="G88" t="inlineStr">
        <is>
          <t>HEDEMORA</t>
        </is>
      </c>
      <c r="I88" t="n">
        <v>0.9</v>
      </c>
      <c r="J88" t="n">
        <v>1</v>
      </c>
      <c r="K88" t="n">
        <v>0</v>
      </c>
      <c r="L88" t="n">
        <v>0</v>
      </c>
      <c r="M88" t="n">
        <v>1</v>
      </c>
      <c r="N88" t="n">
        <v>0</v>
      </c>
      <c r="O88" t="n">
        <v>0</v>
      </c>
      <c r="P88" t="n">
        <v>0</v>
      </c>
      <c r="Q88" t="n">
        <v>1</v>
      </c>
      <c r="R88" t="n">
        <v>1</v>
      </c>
      <c r="S88" t="n">
        <v>1</v>
      </c>
      <c r="T88" t="n">
        <v>8</v>
      </c>
      <c r="U88" s="2" t="inlineStr">
        <is>
          <t>Knärot</t>
        </is>
      </c>
      <c r="V88">
        <f>HYPERLINK("https://klasma.github.io/Logging_2083/artfynd/A 51111-2021 artfynd.xlsx", "A 51111-2021")</f>
        <v/>
      </c>
      <c r="W88">
        <f>HYPERLINK("https://klasma.github.io/Logging_2083/kartor/A 51111-2021 karta.png", "A 51111-2021")</f>
        <v/>
      </c>
      <c r="X88">
        <f>HYPERLINK("https://klasma.github.io/Logging_2083/knärot/A 51111-2021 karta knärot.png", "A 51111-2021")</f>
        <v/>
      </c>
      <c r="Y88">
        <f>HYPERLINK("https://klasma.github.io/Logging_2083/klagomål/A 51111-2021 FSC-klagomål.docx", "A 51111-2021")</f>
        <v/>
      </c>
      <c r="Z88">
        <f>HYPERLINK("https://klasma.github.io/Logging_2083/klagomålsmail/A 51111-2021 FSC-klagomål mail.docx", "A 51111-2021")</f>
        <v/>
      </c>
      <c r="AA88">
        <f>HYPERLINK("https://klasma.github.io/Logging_2083/tillsyn/A 51111-2021 tillsynsbegäran.docx", "A 51111-2021")</f>
        <v/>
      </c>
      <c r="AB88">
        <f>HYPERLINK("https://klasma.github.io/Logging_2083/tillsynsmail/A 51111-2021 tillsynsbegäran mail.docx", "A 51111-2021")</f>
        <v/>
      </c>
    </row>
    <row r="89" ht="15" customHeight="1">
      <c r="A89" t="inlineStr">
        <is>
          <t>A 15274-2026</t>
        </is>
      </c>
      <c r="B89" t="inlineStr">
        <is>
          <t>avverkningsanmälan</t>
        </is>
      </c>
      <c r="C89" t="inlineStr">
        <is>
          <t>Föryngringsavverkning</t>
        </is>
      </c>
      <c r="D89" s="1" t="n">
        <v>46105</v>
      </c>
      <c r="E89" s="1" t="n">
        <v>46217</v>
      </c>
      <c r="F89" t="inlineStr">
        <is>
          <t>DALARNAS LÄN</t>
        </is>
      </c>
      <c r="G89" t="inlineStr">
        <is>
          <t>HEDEMORA</t>
        </is>
      </c>
      <c r="H89" t="inlineStr">
        <is>
          <t>Övriga Aktiebolag</t>
        </is>
      </c>
      <c r="I89" t="n">
        <v>1.9</v>
      </c>
      <c r="J89" t="n">
        <v>0</v>
      </c>
      <c r="K89" t="n">
        <v>0</v>
      </c>
      <c r="L89" t="n">
        <v>1</v>
      </c>
      <c r="M89" t="n">
        <v>0</v>
      </c>
      <c r="N89" t="n">
        <v>0</v>
      </c>
      <c r="O89" t="n">
        <v>0</v>
      </c>
      <c r="P89" t="n">
        <v>0</v>
      </c>
      <c r="Q89" t="n">
        <v>1</v>
      </c>
      <c r="R89" t="n">
        <v>0</v>
      </c>
      <c r="S89" t="n">
        <v>1</v>
      </c>
      <c r="T89" t="n">
        <v>1</v>
      </c>
      <c r="U89" s="2" t="inlineStr">
        <is>
          <t>Ullticka</t>
        </is>
      </c>
      <c r="V89">
        <f>HYPERLINK("https://klasma.github.io/Logging_2083/artfynd/A 15274-2026 artfynd.xlsx", "A 15274-2026")</f>
        <v/>
      </c>
      <c r="W89">
        <f>HYPERLINK("https://klasma.github.io/Logging_2083/kartor/A 15274-2026 karta.png", "A 15274-2026")</f>
        <v/>
      </c>
      <c r="Y89">
        <f>HYPERLINK("https://klasma.github.io/Logging_2083/klagomål/A 15274-2026 FSC-klagomål.docx", "A 15274-2026")</f>
        <v/>
      </c>
      <c r="Z89">
        <f>HYPERLINK("https://klasma.github.io/Logging_2083/klagomålsmail/A 15274-2026 FSC-klagomål mail.docx", "A 15274-2026")</f>
        <v/>
      </c>
      <c r="AA89">
        <f>HYPERLINK("https://klasma.github.io/Logging_2083/tillsyn/A 15274-2026 tillsynsbegäran.docx", "A 15274-2026")</f>
        <v/>
      </c>
      <c r="AB89">
        <f>HYPERLINK("https://klasma.github.io/Logging_2083/tillsynsmail/A 15274-2026 tillsynsbegäran mail.docx", "A 15274-2026")</f>
        <v/>
      </c>
    </row>
    <row r="90" ht="15" customHeight="1">
      <c r="A90" t="inlineStr">
        <is>
          <t>A 21029-2026</t>
        </is>
      </c>
      <c r="B90" t="inlineStr">
        <is>
          <t>avverkningsanmälan</t>
        </is>
      </c>
      <c r="C90" t="inlineStr">
        <is>
          <t>Föryngringsavverkning</t>
        </is>
      </c>
      <c r="D90" s="1" t="n">
        <v>46146</v>
      </c>
      <c r="E90" s="1" t="n">
        <v>46217</v>
      </c>
      <c r="F90" t="inlineStr">
        <is>
          <t>DALARNAS LÄN</t>
        </is>
      </c>
      <c r="G90" t="inlineStr">
        <is>
          <t>HEDEMORA</t>
        </is>
      </c>
      <c r="H90" t="inlineStr">
        <is>
          <t>Sveaskog</t>
        </is>
      </c>
      <c r="I90" t="n">
        <v>25.7</v>
      </c>
      <c r="J90" t="n">
        <v>1</v>
      </c>
      <c r="K90" t="n">
        <v>0</v>
      </c>
      <c r="L90" t="n">
        <v>1</v>
      </c>
      <c r="M90" t="n">
        <v>0</v>
      </c>
      <c r="N90" t="n">
        <v>0</v>
      </c>
      <c r="O90" t="n">
        <v>0</v>
      </c>
      <c r="P90" t="n">
        <v>0</v>
      </c>
      <c r="Q90" t="n">
        <v>1</v>
      </c>
      <c r="R90" t="n">
        <v>0</v>
      </c>
      <c r="S90" t="n">
        <v>1</v>
      </c>
      <c r="T90" t="n">
        <v>1</v>
      </c>
      <c r="U90" s="2" t="inlineStr">
        <is>
          <t>Nordfladdermus</t>
        </is>
      </c>
      <c r="V90">
        <f>HYPERLINK("https://klasma.github.io/Logging_2083/artfynd/A 21029-2026 artfynd.xlsx", "A 21029-2026")</f>
        <v/>
      </c>
      <c r="W90">
        <f>HYPERLINK("https://klasma.github.io/Logging_2083/kartor/A 21029-2026 karta.png", "A 21029-2026")</f>
        <v/>
      </c>
      <c r="Y90">
        <f>HYPERLINK("https://klasma.github.io/Logging_2083/klagomål/A 21029-2026 FSC-klagomål.docx", "A 21029-2026")</f>
        <v/>
      </c>
      <c r="Z90">
        <f>HYPERLINK("https://klasma.github.io/Logging_2083/klagomålsmail/A 21029-2026 FSC-klagomål mail.docx", "A 21029-2026")</f>
        <v/>
      </c>
      <c r="AA90">
        <f>HYPERLINK("https://klasma.github.io/Logging_2083/tillsyn/A 21029-2026 tillsynsbegäran.docx", "A 21029-2026")</f>
        <v/>
      </c>
      <c r="AB90">
        <f>HYPERLINK("https://klasma.github.io/Logging_2083/tillsynsmail/A 21029-2026 tillsynsbegäran mail.docx", "A 21029-2026")</f>
        <v/>
      </c>
    </row>
    <row r="91" ht="15" customHeight="1">
      <c r="A91" t="inlineStr">
        <is>
          <t>A 28868-2026</t>
        </is>
      </c>
      <c r="B91" t="inlineStr">
        <is>
          <t>avverkningsanmälan</t>
        </is>
      </c>
      <c r="C91" t="inlineStr">
        <is>
          <t>Föryngringsavverkning</t>
        </is>
      </c>
      <c r="D91" s="1" t="n">
        <v>46199</v>
      </c>
      <c r="E91" s="1" t="n">
        <v>46217</v>
      </c>
      <c r="F91" t="inlineStr">
        <is>
          <t>DALARNAS LÄN</t>
        </is>
      </c>
      <c r="G91" t="inlineStr">
        <is>
          <t>HEDEMORA</t>
        </is>
      </c>
      <c r="H91" t="inlineStr">
        <is>
          <t>Sveaskog</t>
        </is>
      </c>
      <c r="I91" t="n">
        <v>12</v>
      </c>
      <c r="J91" t="n">
        <v>0</v>
      </c>
      <c r="K91" t="n">
        <v>0</v>
      </c>
      <c r="L91" t="n">
        <v>1</v>
      </c>
      <c r="M91" t="n">
        <v>0</v>
      </c>
      <c r="N91" t="n">
        <v>0</v>
      </c>
      <c r="O91" t="n">
        <v>0</v>
      </c>
      <c r="P91" t="n">
        <v>0</v>
      </c>
      <c r="Q91" t="n">
        <v>1</v>
      </c>
      <c r="R91" t="n">
        <v>0</v>
      </c>
      <c r="S91" t="n">
        <v>1</v>
      </c>
      <c r="T91" t="n">
        <v>1</v>
      </c>
      <c r="U91" s="2" t="inlineStr">
        <is>
          <t>Dofttaggsvamp</t>
        </is>
      </c>
      <c r="V91">
        <f>HYPERLINK("https://klasma.github.io/Logging_2083/artfynd/A 28868-2026 artfynd.xlsx", "A 28868-2026")</f>
        <v/>
      </c>
      <c r="W91">
        <f>HYPERLINK("https://klasma.github.io/Logging_2083/kartor/A 28868-2026 karta.png", "A 28868-2026")</f>
        <v/>
      </c>
      <c r="Y91">
        <f>HYPERLINK("https://klasma.github.io/Logging_2083/klagomål/A 28868-2026 FSC-klagomål.docx", "A 28868-2026")</f>
        <v/>
      </c>
      <c r="Z91">
        <f>HYPERLINK("https://klasma.github.io/Logging_2083/klagomålsmail/A 28868-2026 FSC-klagomål mail.docx", "A 28868-2026")</f>
        <v/>
      </c>
      <c r="AA91">
        <f>HYPERLINK("https://klasma.github.io/Logging_2083/tillsyn/A 28868-2026 tillsynsbegäran.docx", "A 28868-2026")</f>
        <v/>
      </c>
      <c r="AB91">
        <f>HYPERLINK("https://klasma.github.io/Logging_2083/tillsynsmail/A 28868-2026 tillsynsbegäran mail.docx", "A 28868-2026")</f>
        <v/>
      </c>
    </row>
    <row r="92" ht="15" customHeight="1">
      <c r="A92" t="inlineStr">
        <is>
          <t>A 21007-2026</t>
        </is>
      </c>
      <c r="B92" t="inlineStr">
        <is>
          <t>avverkningsanmälan</t>
        </is>
      </c>
      <c r="C92" t="inlineStr">
        <is>
          <t>Föryngringsavverkning</t>
        </is>
      </c>
      <c r="D92" s="1" t="n">
        <v>46142</v>
      </c>
      <c r="E92" s="1" t="n">
        <v>46217</v>
      </c>
      <c r="F92" t="inlineStr">
        <is>
          <t>DALARNAS LÄN</t>
        </is>
      </c>
      <c r="G92" t="inlineStr">
        <is>
          <t>HEDEMORA</t>
        </is>
      </c>
      <c r="H92" t="inlineStr">
        <is>
          <t>Sveaskog</t>
        </is>
      </c>
      <c r="I92" t="n">
        <v>7.5</v>
      </c>
      <c r="J92" t="n">
        <v>0</v>
      </c>
      <c r="K92" t="n">
        <v>0</v>
      </c>
      <c r="L92" t="n">
        <v>1</v>
      </c>
      <c r="M92" t="n">
        <v>0</v>
      </c>
      <c r="N92" t="n">
        <v>0</v>
      </c>
      <c r="O92" t="n">
        <v>0</v>
      </c>
      <c r="P92" t="n">
        <v>0</v>
      </c>
      <c r="Q92" t="n">
        <v>1</v>
      </c>
      <c r="R92" t="n">
        <v>0</v>
      </c>
      <c r="S92" t="n">
        <v>1</v>
      </c>
      <c r="T92" t="n">
        <v>1</v>
      </c>
      <c r="U92" s="2" t="inlineStr">
        <is>
          <t>Veckticka</t>
        </is>
      </c>
      <c r="V92">
        <f>HYPERLINK("https://klasma.github.io/Logging_2083/artfynd/A 21007-2026 artfynd.xlsx", "A 21007-2026")</f>
        <v/>
      </c>
      <c r="W92">
        <f>HYPERLINK("https://klasma.github.io/Logging_2083/kartor/A 21007-2026 karta.png", "A 21007-2026")</f>
        <v/>
      </c>
      <c r="Y92">
        <f>HYPERLINK("https://klasma.github.io/Logging_2083/klagomål/A 21007-2026 FSC-klagomål.docx", "A 21007-2026")</f>
        <v/>
      </c>
      <c r="Z92">
        <f>HYPERLINK("https://klasma.github.io/Logging_2083/klagomålsmail/A 21007-2026 FSC-klagomål mail.docx", "A 21007-2026")</f>
        <v/>
      </c>
      <c r="AA92">
        <f>HYPERLINK("https://klasma.github.io/Logging_2083/tillsyn/A 21007-2026 tillsynsbegäran.docx", "A 21007-2026")</f>
        <v/>
      </c>
      <c r="AB92">
        <f>HYPERLINK("https://klasma.github.io/Logging_2083/tillsynsmail/A 21007-2026 tillsynsbegäran mail.docx", "A 21007-2026")</f>
        <v/>
      </c>
    </row>
    <row r="93" ht="15" customHeight="1">
      <c r="A93" t="inlineStr">
        <is>
          <t>A 7719-2026</t>
        </is>
      </c>
      <c r="B93" t="inlineStr">
        <is>
          <t>avverkningsanmälan</t>
        </is>
      </c>
      <c r="C93" t="inlineStr">
        <is>
          <t>Föryngringsavverkning</t>
        </is>
      </c>
      <c r="D93" s="1" t="n">
        <v>46062</v>
      </c>
      <c r="E93" s="1" t="n">
        <v>46217</v>
      </c>
      <c r="F93" t="inlineStr">
        <is>
          <t>DALARNAS LÄN</t>
        </is>
      </c>
      <c r="G93" t="inlineStr">
        <is>
          <t>HEDEMORA</t>
        </is>
      </c>
      <c r="I93" t="n">
        <v>1.1</v>
      </c>
      <c r="J93" t="n">
        <v>0</v>
      </c>
      <c r="K93" t="n">
        <v>1</v>
      </c>
      <c r="L93" t="n">
        <v>0</v>
      </c>
      <c r="M93" t="n">
        <v>0</v>
      </c>
      <c r="N93" t="n">
        <v>0</v>
      </c>
      <c r="O93" t="n">
        <v>0</v>
      </c>
      <c r="P93" t="n">
        <v>0</v>
      </c>
      <c r="Q93" t="n">
        <v>0</v>
      </c>
      <c r="R93" t="n">
        <v>0</v>
      </c>
      <c r="S93" t="n">
        <v>1</v>
      </c>
      <c r="T93" t="n">
        <v>1</v>
      </c>
      <c r="U93" s="2" t="inlineStr">
        <is>
          <t>Bronshjon</t>
        </is>
      </c>
      <c r="V93">
        <f>HYPERLINK("https://klasma.github.io/Logging_2083/artfynd/A 7719-2026 artfynd.xlsx", "A 7719-2026")</f>
        <v/>
      </c>
      <c r="W93">
        <f>HYPERLINK("https://klasma.github.io/Logging_2083/kartor/A 7719-2026 karta.png", "A 7719-2026")</f>
        <v/>
      </c>
      <c r="X93">
        <f>HYPERLINK("https://klasma.github.io/Logging_2083/knärot/A 7719-2026 karta knärot.png", "A 7719-2026")</f>
        <v/>
      </c>
      <c r="Y93">
        <f>HYPERLINK("https://klasma.github.io/Logging_2083/klagomål/A 7719-2026 FSC-klagomål.docx", "A 7719-2026")</f>
        <v/>
      </c>
      <c r="Z93">
        <f>HYPERLINK("https://klasma.github.io/Logging_2083/klagomålsmail/A 7719-2026 FSC-klagomål mail.docx", "A 7719-2026")</f>
        <v/>
      </c>
      <c r="AA93">
        <f>HYPERLINK("https://klasma.github.io/Logging_2083/tillsyn/A 7719-2026 tillsynsbegäran.docx", "A 7719-2026")</f>
        <v/>
      </c>
      <c r="AB93">
        <f>HYPERLINK("https://klasma.github.io/Logging_2083/tillsynsmail/A 7719-2026 tillsynsbegäran mail.docx", "A 7719-2026")</f>
        <v/>
      </c>
    </row>
    <row r="94" ht="15" customHeight="1">
      <c r="A94" t="inlineStr">
        <is>
          <t>A 29640-2026</t>
        </is>
      </c>
      <c r="B94" t="inlineStr">
        <is>
          <t>avverkningsanmälan</t>
        </is>
      </c>
      <c r="C94" t="inlineStr">
        <is>
          <t>Föryngringsavverkning</t>
        </is>
      </c>
      <c r="D94" s="1" t="n">
        <v>46204</v>
      </c>
      <c r="E94" s="1" t="n">
        <v>46217</v>
      </c>
      <c r="F94" t="inlineStr">
        <is>
          <t>DALARNAS LÄN</t>
        </is>
      </c>
      <c r="G94" t="inlineStr">
        <is>
          <t>HEDEMORA</t>
        </is>
      </c>
      <c r="I94" t="n">
        <v>1.2</v>
      </c>
      <c r="J94" t="n">
        <v>1</v>
      </c>
      <c r="K94" t="n">
        <v>0</v>
      </c>
      <c r="L94" t="n">
        <v>0</v>
      </c>
      <c r="M94" t="n">
        <v>1</v>
      </c>
      <c r="N94" t="n">
        <v>0</v>
      </c>
      <c r="O94" t="n">
        <v>0</v>
      </c>
      <c r="P94" t="n">
        <v>0</v>
      </c>
      <c r="Q94" t="n">
        <v>1</v>
      </c>
      <c r="R94" t="n">
        <v>1</v>
      </c>
      <c r="S94" t="n">
        <v>1</v>
      </c>
      <c r="T94" t="n">
        <v>7</v>
      </c>
      <c r="U94" s="2" t="inlineStr">
        <is>
          <t>Knärot</t>
        </is>
      </c>
      <c r="V94">
        <f>HYPERLINK("https://klasma.github.io/Logging_2083/artfynd/A 29640-2026 artfynd.xlsx", "A 29640-2026")</f>
        <v/>
      </c>
      <c r="W94">
        <f>HYPERLINK("https://klasma.github.io/Logging_2083/kartor/A 29640-2026 karta.png", "A 29640-2026")</f>
        <v/>
      </c>
      <c r="X94">
        <f>HYPERLINK("https://klasma.github.io/Logging_2083/knärot/A 29640-2026 karta knärot.png", "A 29640-2026")</f>
        <v/>
      </c>
      <c r="Y94">
        <f>HYPERLINK("https://klasma.github.io/Logging_2083/klagomål/A 29640-2026 FSC-klagomål.docx", "A 29640-2026")</f>
        <v/>
      </c>
      <c r="Z94">
        <f>HYPERLINK("https://klasma.github.io/Logging_2083/klagomålsmail/A 29640-2026 FSC-klagomål mail.docx", "A 29640-2026")</f>
        <v/>
      </c>
      <c r="AA94">
        <f>HYPERLINK("https://klasma.github.io/Logging_2083/tillsyn/A 29640-2026 tillsynsbegäran.docx", "A 29640-2026")</f>
        <v/>
      </c>
      <c r="AB94">
        <f>HYPERLINK("https://klasma.github.io/Logging_2083/tillsynsmail/A 29640-2026 tillsynsbegäran mail.docx", "A 29640-2026")</f>
        <v/>
      </c>
    </row>
    <row r="95" ht="15" customHeight="1">
      <c r="A95" t="inlineStr">
        <is>
          <t>A 21514-2024</t>
        </is>
      </c>
      <c r="B95" t="inlineStr">
        <is>
          <t>avverkningsanmälan</t>
        </is>
      </c>
      <c r="C95" t="inlineStr">
        <is>
          <t>Föryngringsavverkning</t>
        </is>
      </c>
      <c r="D95" s="1" t="n">
        <v>45441</v>
      </c>
      <c r="E95" s="1" t="n">
        <v>46217</v>
      </c>
      <c r="F95" t="inlineStr">
        <is>
          <t>DALARNAS LÄN</t>
        </is>
      </c>
      <c r="G95" t="inlineStr">
        <is>
          <t>HEDEMORA</t>
        </is>
      </c>
      <c r="I95" t="n">
        <v>1.5</v>
      </c>
      <c r="J95" t="n">
        <v>0</v>
      </c>
      <c r="K95" t="n">
        <v>0</v>
      </c>
      <c r="L95" t="n">
        <v>0</v>
      </c>
      <c r="M95" t="n">
        <v>1</v>
      </c>
      <c r="N95" t="n">
        <v>0</v>
      </c>
      <c r="O95" t="n">
        <v>0</v>
      </c>
      <c r="P95" t="n">
        <v>0</v>
      </c>
      <c r="Q95" t="n">
        <v>1</v>
      </c>
      <c r="R95" t="n">
        <v>1</v>
      </c>
      <c r="S95" t="n">
        <v>1</v>
      </c>
      <c r="T95" t="n">
        <v>1</v>
      </c>
      <c r="U95" s="2" t="inlineStr">
        <is>
          <t>Igelkott</t>
        </is>
      </c>
      <c r="V95">
        <f>HYPERLINK("https://klasma.github.io/Logging_2083/artfynd/A 21514-2024 artfynd.xlsx", "A 21514-2024")</f>
        <v/>
      </c>
      <c r="W95">
        <f>HYPERLINK("https://klasma.github.io/Logging_2083/kartor/A 21514-2024 karta.png", "A 21514-2024")</f>
        <v/>
      </c>
      <c r="Y95">
        <f>HYPERLINK("https://klasma.github.io/Logging_2083/klagomål/A 21514-2024 FSC-klagomål.docx", "A 21514-2024")</f>
        <v/>
      </c>
      <c r="Z95">
        <f>HYPERLINK("https://klasma.github.io/Logging_2083/klagomålsmail/A 21514-2024 FSC-klagomål mail.docx", "A 21514-2024")</f>
        <v/>
      </c>
      <c r="AA95">
        <f>HYPERLINK("https://klasma.github.io/Logging_2083/tillsyn/A 21514-2024 tillsynsbegäran.docx", "A 21514-2024")</f>
        <v/>
      </c>
      <c r="AB95">
        <f>HYPERLINK("https://klasma.github.io/Logging_2083/tillsynsmail/A 21514-2024 tillsynsbegäran mail.docx", "A 21514-2024")</f>
        <v/>
      </c>
    </row>
    <row r="96" ht="15" customHeight="1">
      <c r="A96" t="inlineStr">
        <is>
          <t>A 13986-2023</t>
        </is>
      </c>
      <c r="B96" t="inlineStr">
        <is>
          <t>avverkningsanmälan</t>
        </is>
      </c>
      <c r="C96" t="inlineStr">
        <is>
          <t>Föryngringsavverkning</t>
        </is>
      </c>
      <c r="D96" s="1" t="n">
        <v>45008</v>
      </c>
      <c r="E96" s="1" t="n">
        <v>46217</v>
      </c>
      <c r="F96" t="inlineStr">
        <is>
          <t>DALARNAS LÄN</t>
        </is>
      </c>
      <c r="G96" t="inlineStr">
        <is>
          <t>HEDEMORA</t>
        </is>
      </c>
      <c r="I96" t="n">
        <v>0.8</v>
      </c>
      <c r="J96" t="n">
        <v>1</v>
      </c>
      <c r="K96" t="n">
        <v>0</v>
      </c>
      <c r="L96" t="n">
        <v>0</v>
      </c>
      <c r="M96" t="n">
        <v>1</v>
      </c>
      <c r="N96" t="n">
        <v>0</v>
      </c>
      <c r="O96" t="n">
        <v>0</v>
      </c>
      <c r="P96" t="n">
        <v>0</v>
      </c>
      <c r="Q96" t="n">
        <v>1</v>
      </c>
      <c r="R96" t="n">
        <v>1</v>
      </c>
      <c r="S96" t="n">
        <v>1</v>
      </c>
      <c r="T96" t="n">
        <v>1</v>
      </c>
      <c r="U96" s="2" t="inlineStr">
        <is>
          <t>Knärot</t>
        </is>
      </c>
      <c r="V96">
        <f>HYPERLINK("https://klasma.github.io/Logging_2083/artfynd/A 13986-2023 artfynd.xlsx", "A 13986-2023")</f>
        <v/>
      </c>
      <c r="W96">
        <f>HYPERLINK("https://klasma.github.io/Logging_2083/kartor/A 13986-2023 karta.png", "A 13986-2023")</f>
        <v/>
      </c>
      <c r="X96">
        <f>HYPERLINK("https://klasma.github.io/Logging_2083/knärot/A 13986-2023 karta knärot.png", "A 13986-2023")</f>
        <v/>
      </c>
      <c r="Y96">
        <f>HYPERLINK("https://klasma.github.io/Logging_2083/klagomål/A 13986-2023 FSC-klagomål.docx", "A 13986-2023")</f>
        <v/>
      </c>
      <c r="Z96">
        <f>HYPERLINK("https://klasma.github.io/Logging_2083/klagomålsmail/A 13986-2023 FSC-klagomål mail.docx", "A 13986-2023")</f>
        <v/>
      </c>
      <c r="AA96">
        <f>HYPERLINK("https://klasma.github.io/Logging_2083/tillsyn/A 13986-2023 tillsynsbegäran.docx", "A 13986-2023")</f>
        <v/>
      </c>
      <c r="AB96">
        <f>HYPERLINK("https://klasma.github.io/Logging_2083/tillsynsmail/A 13986-2023 tillsynsbegäran mail.docx", "A 13986-2023")</f>
        <v/>
      </c>
    </row>
    <row r="97" ht="15" customHeight="1">
      <c r="A97" t="inlineStr">
        <is>
          <t>A 17645-2022</t>
        </is>
      </c>
      <c r="B97" t="inlineStr">
        <is>
          <t>avverkningsanmälan</t>
        </is>
      </c>
      <c r="C97" t="inlineStr">
        <is>
          <t>Föryngringsavverkning</t>
        </is>
      </c>
      <c r="D97" s="1" t="n">
        <v>44680</v>
      </c>
      <c r="E97" s="1" t="n">
        <v>46217</v>
      </c>
      <c r="F97" t="inlineStr">
        <is>
          <t>DALARNAS LÄN</t>
        </is>
      </c>
      <c r="G97" t="inlineStr">
        <is>
          <t>HEDEMORA</t>
        </is>
      </c>
      <c r="I97" t="n">
        <v>1.3</v>
      </c>
      <c r="J97" t="n">
        <v>0</v>
      </c>
      <c r="K97" t="n">
        <v>0</v>
      </c>
      <c r="L97" t="n">
        <v>0</v>
      </c>
      <c r="M97" t="n">
        <v>0</v>
      </c>
      <c r="N97" t="n">
        <v>1</v>
      </c>
      <c r="O97" t="n">
        <v>0</v>
      </c>
      <c r="P97" t="n">
        <v>0</v>
      </c>
      <c r="Q97" t="n">
        <v>1</v>
      </c>
      <c r="R97" t="n">
        <v>1</v>
      </c>
      <c r="S97" t="n">
        <v>1</v>
      </c>
      <c r="T97" t="n">
        <v>1</v>
      </c>
      <c r="U97" s="2" t="inlineStr">
        <is>
          <t>Ask</t>
        </is>
      </c>
      <c r="V97">
        <f>HYPERLINK("https://klasma.github.io/Logging_2083/artfynd/A 17645-2022 artfynd.xlsx", "A 17645-2022")</f>
        <v/>
      </c>
      <c r="W97">
        <f>HYPERLINK("https://klasma.github.io/Logging_2083/kartor/A 17645-2022 karta.png", "A 17645-2022")</f>
        <v/>
      </c>
      <c r="Y97">
        <f>HYPERLINK("https://klasma.github.io/Logging_2083/klagomål/A 17645-2022 FSC-klagomål.docx", "A 17645-2022")</f>
        <v/>
      </c>
      <c r="Z97">
        <f>HYPERLINK("https://klasma.github.io/Logging_2083/klagomålsmail/A 17645-2022 FSC-klagomål mail.docx", "A 17645-2022")</f>
        <v/>
      </c>
      <c r="AA97">
        <f>HYPERLINK("https://klasma.github.io/Logging_2083/tillsyn/A 17645-2022 tillsynsbegäran.docx", "A 17645-2022")</f>
        <v/>
      </c>
      <c r="AB97">
        <f>HYPERLINK("https://klasma.github.io/Logging_2083/tillsynsmail/A 17645-2022 tillsynsbegäran mail.docx", "A 17645-2022")</f>
        <v/>
      </c>
    </row>
    <row r="98" ht="15" customHeight="1">
      <c r="A98" t="inlineStr">
        <is>
          <t>A 23642-2026</t>
        </is>
      </c>
      <c r="B98" t="inlineStr">
        <is>
          <t>avverkningsanmälan</t>
        </is>
      </c>
      <c r="C98" t="inlineStr">
        <is>
          <t>Föryngringsavverkning</t>
        </is>
      </c>
      <c r="D98" s="1" t="n">
        <v>46164</v>
      </c>
      <c r="E98" s="1" t="n">
        <v>46217</v>
      </c>
      <c r="F98" t="inlineStr">
        <is>
          <t>DALARNAS LÄN</t>
        </is>
      </c>
      <c r="G98" t="inlineStr">
        <is>
          <t>HEDEMORA</t>
        </is>
      </c>
      <c r="H98" t="inlineStr">
        <is>
          <t>Sveaskog</t>
        </is>
      </c>
      <c r="I98" t="n">
        <v>6.3</v>
      </c>
      <c r="J98" t="n">
        <v>1</v>
      </c>
      <c r="K98" t="n">
        <v>0</v>
      </c>
      <c r="L98" t="n">
        <v>0</v>
      </c>
      <c r="M98" t="n">
        <v>0</v>
      </c>
      <c r="N98" t="n">
        <v>0</v>
      </c>
      <c r="O98" t="n">
        <v>0</v>
      </c>
      <c r="P98" t="n">
        <v>0</v>
      </c>
      <c r="Q98" t="n">
        <v>0</v>
      </c>
      <c r="R98" t="n">
        <v>0</v>
      </c>
      <c r="S98" t="n">
        <v>1</v>
      </c>
      <c r="T98" t="n">
        <v>1</v>
      </c>
      <c r="U98" s="2" t="inlineStr">
        <is>
          <t>Revlummer</t>
        </is>
      </c>
      <c r="V98">
        <f>HYPERLINK("https://klasma.github.io/Logging_2083/artfynd/A 23642-2026 artfynd.xlsx", "A 23642-2026")</f>
        <v/>
      </c>
      <c r="W98">
        <f>HYPERLINK("https://klasma.github.io/Logging_2083/kartor/A 23642-2026 karta.png", "A 23642-2026")</f>
        <v/>
      </c>
      <c r="Y98">
        <f>HYPERLINK("https://klasma.github.io/Logging_2083/klagomål/A 23642-2026 FSC-klagomål.docx", "A 23642-2026")</f>
        <v/>
      </c>
      <c r="Z98">
        <f>HYPERLINK("https://klasma.github.io/Logging_2083/klagomålsmail/A 23642-2026 FSC-klagomål mail.docx", "A 23642-2026")</f>
        <v/>
      </c>
      <c r="AA98">
        <f>HYPERLINK("https://klasma.github.io/Logging_2083/tillsyn/A 23642-2026 tillsynsbegäran.docx", "A 23642-2026")</f>
        <v/>
      </c>
      <c r="AB98">
        <f>HYPERLINK("https://klasma.github.io/Logging_2083/tillsynsmail/A 23642-2026 tillsynsbegäran mail.docx", "A 23642-2026")</f>
        <v/>
      </c>
    </row>
    <row r="99" ht="15" customHeight="1">
      <c r="A99" t="inlineStr">
        <is>
          <t>A 18572-2025</t>
        </is>
      </c>
      <c r="B99" t="inlineStr">
        <is>
          <t>avverkningsanmälan</t>
        </is>
      </c>
      <c r="C99" t="inlineStr">
        <is>
          <t>Avverkning för annat ändamål</t>
        </is>
      </c>
      <c r="D99" s="1" t="n">
        <v>45763</v>
      </c>
      <c r="E99" s="1" t="n">
        <v>46217</v>
      </c>
      <c r="F99" t="inlineStr">
        <is>
          <t>DALARNAS LÄN</t>
        </is>
      </c>
      <c r="G99" t="inlineStr">
        <is>
          <t>HEDEMORA</t>
        </is>
      </c>
      <c r="I99" t="n">
        <v>0.9</v>
      </c>
      <c r="J99" t="n">
        <v>0</v>
      </c>
      <c r="K99" t="n">
        <v>0</v>
      </c>
      <c r="L99" t="n">
        <v>1</v>
      </c>
      <c r="M99" t="n">
        <v>0</v>
      </c>
      <c r="N99" t="n">
        <v>0</v>
      </c>
      <c r="O99" t="n">
        <v>0</v>
      </c>
      <c r="P99" t="n">
        <v>0</v>
      </c>
      <c r="Q99" t="n">
        <v>1</v>
      </c>
      <c r="R99" t="n">
        <v>0</v>
      </c>
      <c r="S99" t="n">
        <v>1</v>
      </c>
      <c r="T99" t="n">
        <v>1</v>
      </c>
      <c r="U99" s="2" t="inlineStr">
        <is>
          <t>Vedskivlav</t>
        </is>
      </c>
      <c r="V99">
        <f>HYPERLINK("https://klasma.github.io/Logging_2083/artfynd/A 18572-2025 artfynd.xlsx", "A 18572-2025")</f>
        <v/>
      </c>
      <c r="W99">
        <f>HYPERLINK("https://klasma.github.io/Logging_2083/kartor/A 18572-2025 karta.png", "A 18572-2025")</f>
        <v/>
      </c>
      <c r="Y99">
        <f>HYPERLINK("https://klasma.github.io/Logging_2083/klagomål/A 18572-2025 FSC-klagomål.docx", "A 18572-2025")</f>
        <v/>
      </c>
      <c r="Z99">
        <f>HYPERLINK("https://klasma.github.io/Logging_2083/klagomålsmail/A 18572-2025 FSC-klagomål mail.docx", "A 18572-2025")</f>
        <v/>
      </c>
      <c r="AA99">
        <f>HYPERLINK("https://klasma.github.io/Logging_2083/tillsyn/A 18572-2025 tillsynsbegäran.docx", "A 18572-2025")</f>
        <v/>
      </c>
      <c r="AB99">
        <f>HYPERLINK("https://klasma.github.io/Logging_2083/tillsynsmail/A 18572-2025 tillsynsbegäran mail.docx", "A 18572-2025")</f>
        <v/>
      </c>
    </row>
    <row r="100" ht="15" customHeight="1">
      <c r="A100" t="inlineStr">
        <is>
          <t>A 53924-2024</t>
        </is>
      </c>
      <c r="B100" t="inlineStr">
        <is>
          <t>avverkningsanmälan</t>
        </is>
      </c>
      <c r="C100" t="inlineStr">
        <is>
          <t>Föryngringsavverkning</t>
        </is>
      </c>
      <c r="D100" s="1" t="n">
        <v>45615</v>
      </c>
      <c r="E100" s="1" t="n">
        <v>46217</v>
      </c>
      <c r="F100" t="inlineStr">
        <is>
          <t>DALARNAS LÄN</t>
        </is>
      </c>
      <c r="G100" t="inlineStr">
        <is>
          <t>HEDEMORA</t>
        </is>
      </c>
      <c r="H100" t="inlineStr">
        <is>
          <t>Sveaskog</t>
        </is>
      </c>
      <c r="I100" t="n">
        <v>3.8</v>
      </c>
      <c r="J100" t="n">
        <v>1</v>
      </c>
      <c r="K100" t="n">
        <v>1</v>
      </c>
      <c r="L100" t="n">
        <v>0</v>
      </c>
      <c r="M100" t="n">
        <v>0</v>
      </c>
      <c r="N100" t="n">
        <v>0</v>
      </c>
      <c r="O100" t="n">
        <v>0</v>
      </c>
      <c r="P100" t="n">
        <v>0</v>
      </c>
      <c r="Q100" t="n">
        <v>0</v>
      </c>
      <c r="R100" t="n">
        <v>0</v>
      </c>
      <c r="S100" t="n">
        <v>1</v>
      </c>
      <c r="T100" t="n">
        <v>1</v>
      </c>
      <c r="U100" s="2" t="inlineStr">
        <is>
          <t>Plattlummer</t>
        </is>
      </c>
      <c r="V100">
        <f>HYPERLINK("https://klasma.github.io/Logging_2083/artfynd/A 53924-2024 artfynd.xlsx", "A 53924-2024")</f>
        <v/>
      </c>
      <c r="W100">
        <f>HYPERLINK("https://klasma.github.io/Logging_2083/kartor/A 53924-2024 karta.png", "A 53924-2024")</f>
        <v/>
      </c>
      <c r="Y100">
        <f>HYPERLINK("https://klasma.github.io/Logging_2083/klagomål/A 53924-2024 FSC-klagomål.docx", "A 53924-2024")</f>
        <v/>
      </c>
      <c r="Z100">
        <f>HYPERLINK("https://klasma.github.io/Logging_2083/klagomålsmail/A 53924-2024 FSC-klagomål mail.docx", "A 53924-2024")</f>
        <v/>
      </c>
      <c r="AA100">
        <f>HYPERLINK("https://klasma.github.io/Logging_2083/tillsyn/A 53924-2024 tillsynsbegäran.docx", "A 53924-2024")</f>
        <v/>
      </c>
      <c r="AB100">
        <f>HYPERLINK("https://klasma.github.io/Logging_2083/tillsynsmail/A 53924-2024 tillsynsbegäran mail.docx", "A 53924-2024")</f>
        <v/>
      </c>
    </row>
    <row r="101" ht="15" customHeight="1">
      <c r="A101" t="inlineStr">
        <is>
          <t>A 30879-2026</t>
        </is>
      </c>
      <c r="B101" t="inlineStr">
        <is>
          <t>avverkningsanmälan</t>
        </is>
      </c>
      <c r="C101" t="inlineStr">
        <is>
          <t>Föryngringsavverkning</t>
        </is>
      </c>
      <c r="D101" s="1" t="n">
        <v>46212</v>
      </c>
      <c r="E101" s="1" t="n">
        <v>46217</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s="2" t="inlineStr">
        <is>
          <t>Tallticka</t>
        </is>
      </c>
      <c r="V101">
        <f>HYPERLINK("https://klasma.github.io/Logging_2083/artfynd/A 30879-2026 artfynd.xlsx", "A 30879-2026")</f>
        <v/>
      </c>
      <c r="W101">
        <f>HYPERLINK("https://klasma.github.io/Logging_2083/kartor/A 30879-2026 karta.png", "A 30879-2026")</f>
        <v/>
      </c>
      <c r="Y101">
        <f>HYPERLINK("https://klasma.github.io/Logging_2083/klagomål/A 30879-2026 FSC-klagomål.docx", "A 30879-2026")</f>
        <v/>
      </c>
      <c r="Z101">
        <f>HYPERLINK("https://klasma.github.io/Logging_2083/klagomålsmail/A 30879-2026 FSC-klagomål mail.docx", "A 30879-2026")</f>
        <v/>
      </c>
      <c r="AA101">
        <f>HYPERLINK("https://klasma.github.io/Logging_2083/tillsyn/A 30879-2026 tillsynsbegäran.docx", "A 30879-2026")</f>
        <v/>
      </c>
      <c r="AB101">
        <f>HYPERLINK("https://klasma.github.io/Logging_2083/tillsynsmail/A 30879-2026 tillsynsbegäran mail.docx", "A 30879-2026")</f>
        <v/>
      </c>
    </row>
    <row r="102" ht="15" customHeight="1">
      <c r="A102" t="inlineStr">
        <is>
          <t>A 31023-2026</t>
        </is>
      </c>
      <c r="B102" t="inlineStr">
        <is>
          <t>avverkningsanmälan</t>
        </is>
      </c>
      <c r="C102" t="inlineStr">
        <is>
          <t>Föryngringsavverkning</t>
        </is>
      </c>
      <c r="D102" s="1" t="n">
        <v>46213</v>
      </c>
      <c r="E102" s="1" t="n">
        <v>46217</v>
      </c>
      <c r="F102" t="inlineStr">
        <is>
          <t>DALARNAS LÄN</t>
        </is>
      </c>
      <c r="G102" t="inlineStr">
        <is>
          <t>HEDEMORA</t>
        </is>
      </c>
      <c r="I102" t="n">
        <v>1.8</v>
      </c>
      <c r="J102" t="n">
        <v>1</v>
      </c>
      <c r="K102" t="n">
        <v>0</v>
      </c>
      <c r="L102" t="n">
        <v>0</v>
      </c>
      <c r="M102" t="n">
        <v>1</v>
      </c>
      <c r="N102" t="n">
        <v>0</v>
      </c>
      <c r="O102" t="n">
        <v>0</v>
      </c>
      <c r="P102" t="n">
        <v>0</v>
      </c>
      <c r="Q102" t="n">
        <v>1</v>
      </c>
      <c r="R102" t="n">
        <v>1</v>
      </c>
      <c r="S102" t="n">
        <v>1</v>
      </c>
      <c r="T102" t="n">
        <v>4</v>
      </c>
      <c r="U102" s="2" t="inlineStr">
        <is>
          <t>Knärot</t>
        </is>
      </c>
      <c r="V102">
        <f>HYPERLINK("https://klasma.github.io/Logging_2083/artfynd/A 31023-2026 artfynd.xlsx", "A 31023-2026")</f>
        <v/>
      </c>
      <c r="W102">
        <f>HYPERLINK("https://klasma.github.io/Logging_2083/kartor/A 31023-2026 karta.png", "A 31023-2026")</f>
        <v/>
      </c>
      <c r="X102">
        <f>HYPERLINK("https://klasma.github.io/Logging_2083/knärot/A 31023-2026 karta knärot.png", "A 31023-2026")</f>
        <v/>
      </c>
      <c r="Y102">
        <f>HYPERLINK("https://klasma.github.io/Logging_2083/klagomål/A 31023-2026 FSC-klagomål.docx", "A 31023-2026")</f>
        <v/>
      </c>
      <c r="Z102">
        <f>HYPERLINK("https://klasma.github.io/Logging_2083/klagomålsmail/A 31023-2026 FSC-klagomål mail.docx", "A 31023-2026")</f>
        <v/>
      </c>
      <c r="AA102">
        <f>HYPERLINK("https://klasma.github.io/Logging_2083/tillsyn/A 31023-2026 tillsynsbegäran.docx", "A 31023-2026")</f>
        <v/>
      </c>
      <c r="AB102">
        <f>HYPERLINK("https://klasma.github.io/Logging_2083/tillsynsmail/A 31023-2026 tillsynsbegäran mail.docx", "A 31023-2026")</f>
        <v/>
      </c>
    </row>
    <row r="103" ht="15" customHeight="1">
      <c r="A103" t="inlineStr">
        <is>
          <t>A 28181-2025</t>
        </is>
      </c>
      <c r="B103" t="inlineStr">
        <is>
          <t>avverkningsanmälan</t>
        </is>
      </c>
      <c r="C103" t="inlineStr">
        <is>
          <t>Föryngringsavverkning</t>
        </is>
      </c>
      <c r="D103" s="1" t="n">
        <v>45818</v>
      </c>
      <c r="E103" s="1" t="n">
        <v>46217</v>
      </c>
      <c r="F103" t="inlineStr">
        <is>
          <t>DALARNAS LÄN</t>
        </is>
      </c>
      <c r="G103" t="inlineStr">
        <is>
          <t>HEDEMORA</t>
        </is>
      </c>
      <c r="H103" t="inlineStr">
        <is>
          <t>Sveaskog</t>
        </is>
      </c>
      <c r="I103" t="n">
        <v>2.4</v>
      </c>
      <c r="J103" t="n">
        <v>1</v>
      </c>
      <c r="K103" t="n">
        <v>1</v>
      </c>
      <c r="L103" t="n">
        <v>0</v>
      </c>
      <c r="M103" t="n">
        <v>0</v>
      </c>
      <c r="N103" t="n">
        <v>0</v>
      </c>
      <c r="O103" t="n">
        <v>0</v>
      </c>
      <c r="P103" t="n">
        <v>0</v>
      </c>
      <c r="Q103" t="n">
        <v>0</v>
      </c>
      <c r="R103" t="n">
        <v>0</v>
      </c>
      <c r="S103" t="n">
        <v>1</v>
      </c>
      <c r="T103" t="n">
        <v>1</v>
      </c>
      <c r="U103" s="2" t="inlineStr">
        <is>
          <t>Plattlummer</t>
        </is>
      </c>
      <c r="V103">
        <f>HYPERLINK("https://klasma.github.io/Logging_2083/artfynd/A 28181-2025 artfynd.xlsx", "A 28181-2025")</f>
        <v/>
      </c>
      <c r="W103">
        <f>HYPERLINK("https://klasma.github.io/Logging_2083/kartor/A 28181-2025 karta.png", "A 28181-2025")</f>
        <v/>
      </c>
      <c r="Y103">
        <f>HYPERLINK("https://klasma.github.io/Logging_2083/klagomål/A 28181-2025 FSC-klagomål.docx", "A 28181-2025")</f>
        <v/>
      </c>
      <c r="Z103">
        <f>HYPERLINK("https://klasma.github.io/Logging_2083/klagomålsmail/A 28181-2025 FSC-klagomål mail.docx", "A 28181-2025")</f>
        <v/>
      </c>
      <c r="AA103">
        <f>HYPERLINK("https://klasma.github.io/Logging_2083/tillsyn/A 28181-2025 tillsynsbegäran.docx", "A 28181-2025")</f>
        <v/>
      </c>
      <c r="AB103">
        <f>HYPERLINK("https://klasma.github.io/Logging_2083/tillsynsmail/A 28181-2025 tillsynsbegäran mail.docx", "A 28181-2025")</f>
        <v/>
      </c>
    </row>
    <row r="104" ht="15" customHeight="1">
      <c r="A104" t="inlineStr">
        <is>
          <t>A 28183-2025</t>
        </is>
      </c>
      <c r="B104" t="inlineStr">
        <is>
          <t>avverkningsanmälan</t>
        </is>
      </c>
      <c r="C104" t="inlineStr">
        <is>
          <t>Föryngringsavverkning</t>
        </is>
      </c>
      <c r="D104" s="1" t="n">
        <v>45818</v>
      </c>
      <c r="E104" s="1" t="n">
        <v>46217</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s="2" t="inlineStr">
        <is>
          <t>Brunlångöra</t>
        </is>
      </c>
      <c r="V104">
        <f>HYPERLINK("https://klasma.github.io/Logging_2083/artfynd/A 28183-2025 artfynd.xlsx", "A 28183-2025")</f>
        <v/>
      </c>
      <c r="W104">
        <f>HYPERLINK("https://klasma.github.io/Logging_2083/kartor/A 28183-2025 karta.png", "A 28183-2025")</f>
        <v/>
      </c>
      <c r="Y104">
        <f>HYPERLINK("https://klasma.github.io/Logging_2083/klagomål/A 28183-2025 FSC-klagomål.docx", "A 28183-2025")</f>
        <v/>
      </c>
      <c r="Z104">
        <f>HYPERLINK("https://klasma.github.io/Logging_2083/klagomålsmail/A 28183-2025 FSC-klagomål mail.docx", "A 28183-2025")</f>
        <v/>
      </c>
      <c r="AA104">
        <f>HYPERLINK("https://klasma.github.io/Logging_2083/tillsyn/A 28183-2025 tillsynsbegäran.docx", "A 28183-2025")</f>
        <v/>
      </c>
      <c r="AB104">
        <f>HYPERLINK("https://klasma.github.io/Logging_2083/tillsynsmail/A 28183-2025 tillsynsbegäran mail.docx", "A 28183-2025")</f>
        <v/>
      </c>
    </row>
    <row r="105" ht="15" customHeight="1">
      <c r="A105" t="inlineStr">
        <is>
          <t>A 15058-2025</t>
        </is>
      </c>
      <c r="B105" t="inlineStr">
        <is>
          <t>avverkningsanmälan</t>
        </is>
      </c>
      <c r="C105" t="inlineStr">
        <is>
          <t>Föryngringsavverkning</t>
        </is>
      </c>
      <c r="D105" s="1" t="n">
        <v>45743</v>
      </c>
      <c r="E105" s="1" t="n">
        <v>46217</v>
      </c>
      <c r="F105" t="inlineStr">
        <is>
          <t>DALARNAS LÄN</t>
        </is>
      </c>
      <c r="G105" t="inlineStr">
        <is>
          <t>HEDEMORA</t>
        </is>
      </c>
      <c r="H105" t="inlineStr">
        <is>
          <t>Sveaskog</t>
        </is>
      </c>
      <c r="I105" t="n">
        <v>4.2</v>
      </c>
      <c r="J105" t="n">
        <v>0</v>
      </c>
      <c r="K105" t="n">
        <v>0</v>
      </c>
      <c r="L105" t="n">
        <v>1</v>
      </c>
      <c r="M105" t="n">
        <v>0</v>
      </c>
      <c r="N105" t="n">
        <v>0</v>
      </c>
      <c r="O105" t="n">
        <v>0</v>
      </c>
      <c r="P105" t="n">
        <v>0</v>
      </c>
      <c r="Q105" t="n">
        <v>1</v>
      </c>
      <c r="R105" t="n">
        <v>0</v>
      </c>
      <c r="S105" t="n">
        <v>1</v>
      </c>
      <c r="T105" t="n">
        <v>4</v>
      </c>
      <c r="U105" s="2" t="inlineStr">
        <is>
          <t>Dropptaggsvamp</t>
        </is>
      </c>
      <c r="V105">
        <f>HYPERLINK("https://klasma.github.io/Logging_2083/artfynd/A 15058-2025 artfynd.xlsx", "A 15058-2025")</f>
        <v/>
      </c>
      <c r="W105">
        <f>HYPERLINK("https://klasma.github.io/Logging_2083/kartor/A 15058-2025 karta.png", "A 15058-2025")</f>
        <v/>
      </c>
      <c r="Y105">
        <f>HYPERLINK("https://klasma.github.io/Logging_2083/klagomål/A 15058-2025 FSC-klagomål.docx", "A 15058-2025")</f>
        <v/>
      </c>
      <c r="Z105">
        <f>HYPERLINK("https://klasma.github.io/Logging_2083/klagomålsmail/A 15058-2025 FSC-klagomål mail.docx", "A 15058-2025")</f>
        <v/>
      </c>
      <c r="AA105">
        <f>HYPERLINK("https://klasma.github.io/Logging_2083/tillsyn/A 15058-2025 tillsynsbegäran.docx", "A 15058-2025")</f>
        <v/>
      </c>
      <c r="AB105">
        <f>HYPERLINK("https://klasma.github.io/Logging_2083/tillsynsmail/A 15058-2025 tillsynsbegäran mail.docx", "A 15058-2025")</f>
        <v/>
      </c>
    </row>
    <row r="106" ht="15" customHeight="1">
      <c r="A106" t="inlineStr">
        <is>
          <t>A 15054-2025</t>
        </is>
      </c>
      <c r="B106" t="inlineStr">
        <is>
          <t>avverkningsanmälan</t>
        </is>
      </c>
      <c r="C106" t="inlineStr">
        <is>
          <t>Föryngringsavverkning</t>
        </is>
      </c>
      <c r="D106" s="1" t="n">
        <v>45743</v>
      </c>
      <c r="E106" s="1" t="n">
        <v>46217</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s="2" t="inlineStr">
        <is>
          <t>Dropptaggsvamp</t>
        </is>
      </c>
      <c r="V106">
        <f>HYPERLINK("https://klasma.github.io/Logging_2083/artfynd/A 15054-2025 artfynd.xlsx", "A 15054-2025")</f>
        <v/>
      </c>
      <c r="W106">
        <f>HYPERLINK("https://klasma.github.io/Logging_2083/kartor/A 15054-2025 karta.png", "A 15054-2025")</f>
        <v/>
      </c>
      <c r="Y106">
        <f>HYPERLINK("https://klasma.github.io/Logging_2083/klagomål/A 15054-2025 FSC-klagomål.docx", "A 15054-2025")</f>
        <v/>
      </c>
      <c r="Z106">
        <f>HYPERLINK("https://klasma.github.io/Logging_2083/klagomålsmail/A 15054-2025 FSC-klagomål mail.docx", "A 15054-2025")</f>
        <v/>
      </c>
      <c r="AA106">
        <f>HYPERLINK("https://klasma.github.io/Logging_2083/tillsyn/A 15054-2025 tillsynsbegäran.docx", "A 15054-2025")</f>
        <v/>
      </c>
      <c r="AB106">
        <f>HYPERLINK("https://klasma.github.io/Logging_2083/tillsynsmail/A 15054-2025 tillsynsbegäran mail.docx", "A 15054-2025")</f>
        <v/>
      </c>
    </row>
    <row r="107" ht="15" customHeight="1">
      <c r="A107" t="inlineStr">
        <is>
          <t>A 19094-2025</t>
        </is>
      </c>
      <c r="B107" t="inlineStr">
        <is>
          <t>avverkningsanmälan</t>
        </is>
      </c>
      <c r="C107" t="inlineStr">
        <is>
          <t>Föryngringsavverkning</t>
        </is>
      </c>
      <c r="D107" s="1" t="n">
        <v>45767</v>
      </c>
      <c r="E107" s="1" t="n">
        <v>46217</v>
      </c>
      <c r="F107" t="inlineStr">
        <is>
          <t>DALARNAS LÄN</t>
        </is>
      </c>
      <c r="G107" t="inlineStr">
        <is>
          <t>HEDEMORA</t>
        </is>
      </c>
      <c r="H107" t="inlineStr">
        <is>
          <t>Sveaskog</t>
        </is>
      </c>
      <c r="I107" t="n">
        <v>16.9</v>
      </c>
      <c r="J107" t="n">
        <v>1</v>
      </c>
      <c r="K107" t="n">
        <v>1</v>
      </c>
      <c r="L107" t="n">
        <v>0</v>
      </c>
      <c r="M107" t="n">
        <v>0</v>
      </c>
      <c r="N107" t="n">
        <v>0</v>
      </c>
      <c r="O107" t="n">
        <v>0</v>
      </c>
      <c r="P107" t="n">
        <v>0</v>
      </c>
      <c r="Q107" t="n">
        <v>0</v>
      </c>
      <c r="R107" t="n">
        <v>0</v>
      </c>
      <c r="S107" t="n">
        <v>1</v>
      </c>
      <c r="T107" t="n">
        <v>3</v>
      </c>
      <c r="U107" s="2" t="inlineStr">
        <is>
          <t>Plattlummer</t>
        </is>
      </c>
      <c r="V107">
        <f>HYPERLINK("https://klasma.github.io/Logging_2083/artfynd/A 19094-2025 artfynd.xlsx", "A 19094-2025")</f>
        <v/>
      </c>
      <c r="W107">
        <f>HYPERLINK("https://klasma.github.io/Logging_2083/kartor/A 19094-2025 karta.png", "A 19094-2025")</f>
        <v/>
      </c>
      <c r="Y107">
        <f>HYPERLINK("https://klasma.github.io/Logging_2083/klagomål/A 19094-2025 FSC-klagomål.docx", "A 19094-2025")</f>
        <v/>
      </c>
      <c r="Z107">
        <f>HYPERLINK("https://klasma.github.io/Logging_2083/klagomålsmail/A 19094-2025 FSC-klagomål mail.docx", "A 19094-2025")</f>
        <v/>
      </c>
      <c r="AA107">
        <f>HYPERLINK("https://klasma.github.io/Logging_2083/tillsyn/A 19094-2025 tillsynsbegäran.docx", "A 19094-2025")</f>
        <v/>
      </c>
      <c r="AB107">
        <f>HYPERLINK("https://klasma.github.io/Logging_2083/tillsynsmail/A 19094-2025 tillsynsbegäran mail.docx", "A 19094-2025")</f>
        <v/>
      </c>
    </row>
    <row r="108" ht="15" customHeight="1">
      <c r="A108" t="inlineStr">
        <is>
          <t>S 10370-2021</t>
        </is>
      </c>
      <c r="B108" t="inlineStr">
        <is>
          <t>samrådsanmälan</t>
        </is>
      </c>
      <c r="C108" t="inlineStr">
        <is>
          <t>Skogsgödsling</t>
        </is>
      </c>
      <c r="D108" s="1" t="n">
        <v>44550</v>
      </c>
      <c r="E108" s="1" t="n">
        <v>46217</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s="2" t="inlineStr">
        <is>
          <t>Mattlummer</t>
        </is>
      </c>
      <c r="V108">
        <f>HYPERLINK("https://klasma.github.io/Logging_2083/artfynd/S 10370-2021 artfynd.xlsx", "S 10370-2021")</f>
        <v/>
      </c>
      <c r="W108">
        <f>HYPERLINK("https://klasma.github.io/Logging_2083/kartor/S 10370-2021 karta.png", "S 10370-2021")</f>
        <v/>
      </c>
      <c r="Y108">
        <f>HYPERLINK("https://klasma.github.io/Logging_2083/klagomål/S 10370-2021 FSC-klagomål.docx", "S 10370-2021")</f>
        <v/>
      </c>
      <c r="Z108">
        <f>HYPERLINK("https://klasma.github.io/Logging_2083/klagomålsmail/S 10370-2021 FSC-klagomål mail.docx", "S 10370-2021")</f>
        <v/>
      </c>
      <c r="AA108">
        <f>HYPERLINK("https://klasma.github.io/Logging_2083/tillsyn/S 10370-2021 tillsynsbegäran.docx", "S 10370-2021")</f>
        <v/>
      </c>
      <c r="AB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46217</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s="2" t="inlineStr">
        <is>
          <t>Tjäder</t>
        </is>
      </c>
      <c r="V109">
        <f>HYPERLINK("https://klasma.github.io/Logging_2083/artfynd/S 238-2024 artfynd.xlsx", "S 238-2024")</f>
        <v/>
      </c>
      <c r="W109">
        <f>HYPERLINK("https://klasma.github.io/Logging_2083/kartor/S 238-2024 karta.png", "S 238-2024")</f>
        <v/>
      </c>
      <c r="X109">
        <f>HYPERLINK("https://klasma.github.io/Logging_2083/knärot/S 238-2024 karta knärot.png", "S 238-2024")</f>
        <v/>
      </c>
      <c r="Y109">
        <f>HYPERLINK("https://klasma.github.io/Logging_2083/klagomål/S 238-2024 FSC-klagomål.docx", "S 238-2024")</f>
        <v/>
      </c>
      <c r="Z109">
        <f>HYPERLINK("https://klasma.github.io/Logging_2083/klagomålsmail/S 238-2024 FSC-klagomål mail.docx", "S 238-2024")</f>
        <v/>
      </c>
      <c r="AA109">
        <f>HYPERLINK("https://klasma.github.io/Logging_2083/tillsyn/S 238-2024 tillsynsbegäran.docx", "S 238-2024")</f>
        <v/>
      </c>
      <c r="AB109">
        <f>HYPERLINK("https://klasma.github.io/Logging_2083/tillsynsmail/S 238-2024 tillsynsbegäran mail.docx", "S 238-2024")</f>
        <v/>
      </c>
      <c r="AC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46217</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s="2" t="inlineStr">
        <is>
          <t>Talltita</t>
        </is>
      </c>
      <c r="V110">
        <f>HYPERLINK("https://klasma.github.io/Logging_2083/artfynd/S 223-2024 artfynd.xlsx", "S 223-2024")</f>
        <v/>
      </c>
      <c r="W110">
        <f>HYPERLINK("https://klasma.github.io/Logging_2083/kartor/S 223-2024 karta.png", "S 223-2024")</f>
        <v/>
      </c>
      <c r="Y110">
        <f>HYPERLINK("https://klasma.github.io/Logging_2083/klagomål/S 223-2024 FSC-klagomål.docx", "S 223-2024")</f>
        <v/>
      </c>
      <c r="Z110">
        <f>HYPERLINK("https://klasma.github.io/Logging_2083/klagomålsmail/S 223-2024 FSC-klagomål mail.docx", "S 223-2024")</f>
        <v/>
      </c>
      <c r="AA110">
        <f>HYPERLINK("https://klasma.github.io/Logging_2083/tillsyn/S 223-2024 tillsynsbegäran.docx", "S 223-2024")</f>
        <v/>
      </c>
      <c r="AB110">
        <f>HYPERLINK("https://klasma.github.io/Logging_2083/tillsynsmail/S 223-2024 tillsynsbegäran mail.docx", "S 223-2024")</f>
        <v/>
      </c>
      <c r="AC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46217</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s="2" t="inlineStr">
        <is>
          <t>Svartvit taggsvamp</t>
        </is>
      </c>
      <c r="V111">
        <f>HYPERLINK("https://klasma.github.io/Logging_2083/artfynd/S 406-2026 artfynd.xlsx", "S 406-2026")</f>
        <v/>
      </c>
      <c r="W111">
        <f>HYPERLINK("https://klasma.github.io/Logging_2083/kartor/S 406-2026 karta.png", "S 406-2026")</f>
        <v/>
      </c>
      <c r="Y111">
        <f>HYPERLINK("https://klasma.github.io/Logging_2083/klagomål/S 406-2026 FSC-klagomål.docx", "S 406-2026")</f>
        <v/>
      </c>
      <c r="Z111">
        <f>HYPERLINK("https://klasma.github.io/Logging_2083/klagomålsmail/S 406-2026 FSC-klagomål mail.docx", "S 406-2026")</f>
        <v/>
      </c>
      <c r="AA111">
        <f>HYPERLINK("https://klasma.github.io/Logging_2083/tillsyn/S 406-2026 tillsynsbegäran.docx", "S 406-2026")</f>
        <v/>
      </c>
      <c r="AB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46217</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32748-2022</t>
        </is>
      </c>
      <c r="B113" t="inlineStr">
        <is>
          <t>avverkningsanmälan</t>
        </is>
      </c>
      <c r="C113" t="inlineStr">
        <is>
          <t>Föryngringsavverkning</t>
        </is>
      </c>
      <c r="D113" s="1" t="n">
        <v>44783</v>
      </c>
      <c r="E113" s="1" t="n">
        <v>46217</v>
      </c>
      <c r="F113" t="inlineStr">
        <is>
          <t>DALARNAS LÄN</t>
        </is>
      </c>
      <c r="G113" t="inlineStr">
        <is>
          <t>HEDEMORA</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295-2022</t>
        </is>
      </c>
      <c r="B114" t="inlineStr">
        <is>
          <t>avverkningsanmälan</t>
        </is>
      </c>
      <c r="C114" t="inlineStr">
        <is>
          <t>Avverkning för annat ändamål</t>
        </is>
      </c>
      <c r="D114" s="1" t="n">
        <v>44565</v>
      </c>
      <c r="E114" s="1" t="n">
        <v>46217</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52221-2021</t>
        </is>
      </c>
      <c r="B115" t="inlineStr">
        <is>
          <t>avverkningsanmälan</t>
        </is>
      </c>
      <c r="C115" t="inlineStr">
        <is>
          <t>Föryngringsavverkning</t>
        </is>
      </c>
      <c r="D115" s="1" t="n">
        <v>44462</v>
      </c>
      <c r="E115" s="1" t="n">
        <v>46217</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45741-2022</t>
        </is>
      </c>
      <c r="B116" t="inlineStr">
        <is>
          <t>avverkningsanmälan</t>
        </is>
      </c>
      <c r="C116" t="inlineStr">
        <is>
          <t>Föryngringsavverkning</t>
        </is>
      </c>
      <c r="D116" s="1" t="n">
        <v>44846</v>
      </c>
      <c r="E116" s="1" t="n">
        <v>46217</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52425-2021</t>
        </is>
      </c>
      <c r="B117" t="inlineStr">
        <is>
          <t>avverkningsanmälan</t>
        </is>
      </c>
      <c r="C117" t="inlineStr">
        <is>
          <t>Föryngringsavverkning</t>
        </is>
      </c>
      <c r="D117" s="1" t="n">
        <v>44466</v>
      </c>
      <c r="E117" s="1" t="n">
        <v>46217</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35806-2022</t>
        </is>
      </c>
      <c r="B118" t="inlineStr">
        <is>
          <t>avverkningsanmälan</t>
        </is>
      </c>
      <c r="C118" t="inlineStr">
        <is>
          <t>Föryngringsavverkning</t>
        </is>
      </c>
      <c r="D118" s="1" t="n">
        <v>44802</v>
      </c>
      <c r="E118" s="1" t="n">
        <v>46217</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20177-2022</t>
        </is>
      </c>
      <c r="B119" t="inlineStr">
        <is>
          <t>avverkningsanmälan</t>
        </is>
      </c>
      <c r="C119" t="inlineStr">
        <is>
          <t>Föryngringsavverkning</t>
        </is>
      </c>
      <c r="D119" s="1" t="n">
        <v>44698</v>
      </c>
      <c r="E119" s="1" t="n">
        <v>46217</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s="2" t="inlineStr"/>
    </row>
    <row r="120" ht="15" customHeight="1">
      <c r="A120" t="inlineStr">
        <is>
          <t>A 68457-2021</t>
        </is>
      </c>
      <c r="B120" t="inlineStr">
        <is>
          <t>avverkningsanmälan</t>
        </is>
      </c>
      <c r="C120" t="inlineStr">
        <is>
          <t>Föryngringsavverkning</t>
        </is>
      </c>
      <c r="D120" s="1" t="n">
        <v>44529</v>
      </c>
      <c r="E120" s="1" t="n">
        <v>46217</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4030-2022</t>
        </is>
      </c>
      <c r="B121" t="inlineStr">
        <is>
          <t>avverkningsanmälan</t>
        </is>
      </c>
      <c r="C121" t="inlineStr">
        <is>
          <t>Föryngringsavverkning</t>
        </is>
      </c>
      <c r="D121" s="1" t="n">
        <v>44588</v>
      </c>
      <c r="E121" s="1" t="n">
        <v>46217</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s="2" t="inlineStr"/>
    </row>
    <row r="122" ht="15" customHeight="1">
      <c r="A122" t="inlineStr">
        <is>
          <t>A 39506-2022</t>
        </is>
      </c>
      <c r="B122" t="inlineStr">
        <is>
          <t>avverkningsanmälan</t>
        </is>
      </c>
      <c r="C122" t="inlineStr">
        <is>
          <t>Föryngringsavverkning</t>
        </is>
      </c>
      <c r="D122" s="1" t="n">
        <v>44817</v>
      </c>
      <c r="E122" s="1" t="n">
        <v>46217</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s="2" t="inlineStr"/>
    </row>
    <row r="123" ht="15" customHeight="1">
      <c r="A123" t="inlineStr">
        <is>
          <t>A 59495-2021</t>
        </is>
      </c>
      <c r="B123" t="inlineStr">
        <is>
          <t>avverkningsanmälan</t>
        </is>
      </c>
      <c r="C123" t="inlineStr">
        <is>
          <t>Föryngringsavverkning</t>
        </is>
      </c>
      <c r="D123" s="1" t="n">
        <v>44491</v>
      </c>
      <c r="E123" s="1" t="n">
        <v>46217</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52511-2021</t>
        </is>
      </c>
      <c r="B124" t="inlineStr">
        <is>
          <t>avverkningsanmälan</t>
        </is>
      </c>
      <c r="C124" t="inlineStr">
        <is>
          <t>Föryngringsavverkning</t>
        </is>
      </c>
      <c r="D124" s="1" t="n">
        <v>44466</v>
      </c>
      <c r="E124" s="1" t="n">
        <v>46217</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50441-2021</t>
        </is>
      </c>
      <c r="B125" t="inlineStr">
        <is>
          <t>avverkningsanmälan</t>
        </is>
      </c>
      <c r="C125" t="inlineStr">
        <is>
          <t>Föryngringsavverkning</t>
        </is>
      </c>
      <c r="D125" s="1" t="n">
        <v>44456</v>
      </c>
      <c r="E125" s="1" t="n">
        <v>46217</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s="2" t="inlineStr"/>
    </row>
    <row r="126" ht="15" customHeight="1">
      <c r="A126" t="inlineStr">
        <is>
          <t>A 27238-2022</t>
        </is>
      </c>
      <c r="B126" t="inlineStr">
        <is>
          <t>avverkningsanmälan</t>
        </is>
      </c>
      <c r="C126" t="inlineStr">
        <is>
          <t>Föryngringsavverkning</t>
        </is>
      </c>
      <c r="D126" s="1" t="n">
        <v>44741</v>
      </c>
      <c r="E126" s="1" t="n">
        <v>46217</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52221-2021</t>
        </is>
      </c>
      <c r="B127" t="inlineStr">
        <is>
          <t>avverkningsanmälan</t>
        </is>
      </c>
      <c r="C127" t="inlineStr">
        <is>
          <t>Föryngringsavverkning</t>
        </is>
      </c>
      <c r="D127" s="1" t="n">
        <v>44462</v>
      </c>
      <c r="E127" s="1" t="n">
        <v>46217</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23329-2022</t>
        </is>
      </c>
      <c r="B128" t="inlineStr">
        <is>
          <t>avverkningsanmälan</t>
        </is>
      </c>
      <c r="C128" t="inlineStr">
        <is>
          <t>Föryngringsavverkning</t>
        </is>
      </c>
      <c r="D128" s="1" t="n">
        <v>44720</v>
      </c>
      <c r="E128" s="1" t="n">
        <v>46217</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s="2" t="inlineStr"/>
    </row>
    <row r="129" ht="15" customHeight="1">
      <c r="A129" t="inlineStr">
        <is>
          <t>A 62305-2021</t>
        </is>
      </c>
      <c r="B129" t="inlineStr">
        <is>
          <t>avverkningsanmälan</t>
        </is>
      </c>
      <c r="C129" t="inlineStr">
        <is>
          <t>Föryngringsavverkning</t>
        </is>
      </c>
      <c r="D129" s="1" t="n">
        <v>44502</v>
      </c>
      <c r="E129" s="1" t="n">
        <v>46217</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28105-2022</t>
        </is>
      </c>
      <c r="B130" t="inlineStr">
        <is>
          <t>avverkningsanmälan</t>
        </is>
      </c>
      <c r="C130" t="inlineStr">
        <is>
          <t>Avverkning för annat ändamål</t>
        </is>
      </c>
      <c r="D130" s="1" t="n">
        <v>44746</v>
      </c>
      <c r="E130" s="1" t="n">
        <v>46217</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36943-2021</t>
        </is>
      </c>
      <c r="B131" t="inlineStr">
        <is>
          <t>avverkningsanmälan</t>
        </is>
      </c>
      <c r="C131" t="inlineStr">
        <is>
          <t>Föryngringsavverkning</t>
        </is>
      </c>
      <c r="D131" s="1" t="n">
        <v>44393</v>
      </c>
      <c r="E131" s="1" t="n">
        <v>46217</v>
      </c>
      <c r="F131" t="inlineStr">
        <is>
          <t>DALARNAS LÄN</t>
        </is>
      </c>
      <c r="G131" t="inlineStr">
        <is>
          <t>HEDEMORA</t>
        </is>
      </c>
      <c r="H131" t="inlineStr">
        <is>
          <t>Sveaskog</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44065-2021</t>
        </is>
      </c>
      <c r="B132" t="inlineStr">
        <is>
          <t>avverkningsanmälan</t>
        </is>
      </c>
      <c r="C132" t="inlineStr">
        <is>
          <t>Föryngringsavverkning</t>
        </is>
      </c>
      <c r="D132" s="1" t="n">
        <v>44434</v>
      </c>
      <c r="E132" s="1" t="n">
        <v>46217</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s="2" t="inlineStr"/>
    </row>
    <row r="133" ht="15" customHeight="1">
      <c r="A133" t="inlineStr">
        <is>
          <t>A 48639-2022</t>
        </is>
      </c>
      <c r="B133" t="inlineStr">
        <is>
          <t>avverkningsanmälan</t>
        </is>
      </c>
      <c r="C133" t="inlineStr">
        <is>
          <t>Avverkning för annat ändamål</t>
        </is>
      </c>
      <c r="D133" s="1" t="n">
        <v>44859</v>
      </c>
      <c r="E133" s="1" t="n">
        <v>46217</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s="2" t="inlineStr"/>
    </row>
    <row r="134" ht="15" customHeight="1">
      <c r="A134" t="inlineStr">
        <is>
          <t>A 60418-2021</t>
        </is>
      </c>
      <c r="B134" t="inlineStr">
        <is>
          <t>avverkningsanmälan</t>
        </is>
      </c>
      <c r="C134" t="inlineStr">
        <is>
          <t>Föryngringsavverkning</t>
        </is>
      </c>
      <c r="D134" s="1" t="n">
        <v>44495</v>
      </c>
      <c r="E134" s="1" t="n">
        <v>46217</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40938-2021</t>
        </is>
      </c>
      <c r="B135" t="inlineStr">
        <is>
          <t>avverkningsanmälan</t>
        </is>
      </c>
      <c r="C135" t="inlineStr">
        <is>
          <t>Föryngringsavverkning</t>
        </is>
      </c>
      <c r="D135" s="1" t="n">
        <v>44421</v>
      </c>
      <c r="E135" s="1" t="n">
        <v>46217</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1976-2022</t>
        </is>
      </c>
      <c r="B136" t="inlineStr">
        <is>
          <t>avverkningsanmälan</t>
        </is>
      </c>
      <c r="C136" t="inlineStr">
        <is>
          <t>Föryngringsavverkning</t>
        </is>
      </c>
      <c r="D136" s="1" t="n">
        <v>44575</v>
      </c>
      <c r="E136" s="1" t="n">
        <v>46217</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56668-2024</t>
        </is>
      </c>
      <c r="B137" t="inlineStr">
        <is>
          <t>avverkningsanmälan</t>
        </is>
      </c>
      <c r="C137" t="inlineStr">
        <is>
          <t>Föryngringsavverkning</t>
        </is>
      </c>
      <c r="D137" s="1" t="n">
        <v>45626</v>
      </c>
      <c r="E137" s="1" t="n">
        <v>46217</v>
      </c>
      <c r="F137" t="inlineStr">
        <is>
          <t>DALARNAS LÄN</t>
        </is>
      </c>
      <c r="G137" t="inlineStr">
        <is>
          <t>HEDEMORA</t>
        </is>
      </c>
      <c r="H137" t="inlineStr">
        <is>
          <t>Sveaskog</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14951-2025</t>
        </is>
      </c>
      <c r="B138" t="inlineStr">
        <is>
          <t>avverkningsanmälan</t>
        </is>
      </c>
      <c r="C138" t="inlineStr">
        <is>
          <t>Föryngringsavverkning</t>
        </is>
      </c>
      <c r="D138" s="1" t="n">
        <v>45743</v>
      </c>
      <c r="E138" s="1" t="n">
        <v>46217</v>
      </c>
      <c r="F138" t="inlineStr">
        <is>
          <t>DALARNAS LÄN</t>
        </is>
      </c>
      <c r="G138" t="inlineStr">
        <is>
          <t>HEDEMORA</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34932-2024</t>
        </is>
      </c>
      <c r="B139" t="inlineStr">
        <is>
          <t>avverkningsanmälan</t>
        </is>
      </c>
      <c r="C139" t="inlineStr">
        <is>
          <t>Föryngringsavverkning</t>
        </is>
      </c>
      <c r="D139" s="1" t="n">
        <v>45527</v>
      </c>
      <c r="E139" s="1" t="n">
        <v>46217</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s="2" t="inlineStr"/>
    </row>
    <row r="140" ht="15" customHeight="1">
      <c r="A140" t="inlineStr">
        <is>
          <t>A 37759-2024</t>
        </is>
      </c>
      <c r="B140" t="inlineStr">
        <is>
          <t>avverkningsanmälan</t>
        </is>
      </c>
      <c r="C140" t="inlineStr">
        <is>
          <t>Föryngringsavverkning</t>
        </is>
      </c>
      <c r="D140" s="1" t="n">
        <v>45541</v>
      </c>
      <c r="E140" s="1" t="n">
        <v>46217</v>
      </c>
      <c r="F140" t="inlineStr">
        <is>
          <t>DALARNAS LÄN</t>
        </is>
      </c>
      <c r="G140" t="inlineStr">
        <is>
          <t>HEDEMORA</t>
        </is>
      </c>
      <c r="H140" t="inlineStr">
        <is>
          <t>Sveaskog</t>
        </is>
      </c>
      <c r="I140" t="n">
        <v>3.6</v>
      </c>
      <c r="J140" t="n">
        <v>0</v>
      </c>
      <c r="K140" t="n">
        <v>0</v>
      </c>
      <c r="L140" t="n">
        <v>0</v>
      </c>
      <c r="M140" t="n">
        <v>0</v>
      </c>
      <c r="N140" t="n">
        <v>0</v>
      </c>
      <c r="O140" t="n">
        <v>0</v>
      </c>
      <c r="P140" t="n">
        <v>0</v>
      </c>
      <c r="Q140" t="n">
        <v>0</v>
      </c>
      <c r="R140" t="n">
        <v>0</v>
      </c>
      <c r="S140" t="n">
        <v>0</v>
      </c>
      <c r="T140" t="n">
        <v>0</v>
      </c>
      <c r="U140" s="2" t="inlineStr"/>
    </row>
    <row r="141" ht="15" customHeight="1">
      <c r="A141" t="inlineStr">
        <is>
          <t>A 39497-2022</t>
        </is>
      </c>
      <c r="B141" t="inlineStr">
        <is>
          <t>avverkningsanmälan</t>
        </is>
      </c>
      <c r="C141" t="inlineStr">
        <is>
          <t>Föryngringsavverkning</t>
        </is>
      </c>
      <c r="D141" s="1" t="n">
        <v>44817</v>
      </c>
      <c r="E141" s="1" t="n">
        <v>46217</v>
      </c>
      <c r="F141" t="inlineStr">
        <is>
          <t>DALARNAS LÄN</t>
        </is>
      </c>
      <c r="G141" t="inlineStr">
        <is>
          <t>HEDEMORA</t>
        </is>
      </c>
      <c r="H141" t="inlineStr">
        <is>
          <t>Bergvik skog väst AB</t>
        </is>
      </c>
      <c r="I141" t="n">
        <v>2.3</v>
      </c>
      <c r="J141" t="n">
        <v>0</v>
      </c>
      <c r="K141" t="n">
        <v>0</v>
      </c>
      <c r="L141" t="n">
        <v>0</v>
      </c>
      <c r="M141" t="n">
        <v>0</v>
      </c>
      <c r="N141" t="n">
        <v>0</v>
      </c>
      <c r="O141" t="n">
        <v>0</v>
      </c>
      <c r="P141" t="n">
        <v>0</v>
      </c>
      <c r="Q141" t="n">
        <v>0</v>
      </c>
      <c r="R141" t="n">
        <v>0</v>
      </c>
      <c r="S141" t="n">
        <v>0</v>
      </c>
      <c r="T141" t="n">
        <v>0</v>
      </c>
      <c r="U141" s="2" t="inlineStr"/>
    </row>
    <row r="142" ht="15" customHeight="1">
      <c r="A142" t="inlineStr">
        <is>
          <t>A 55881-2023</t>
        </is>
      </c>
      <c r="B142" t="inlineStr">
        <is>
          <t>avverkningsanmälan</t>
        </is>
      </c>
      <c r="C142" t="inlineStr">
        <is>
          <t>Föryngringsavverkning</t>
        </is>
      </c>
      <c r="D142" s="1" t="n">
        <v>45239</v>
      </c>
      <c r="E142" s="1" t="n">
        <v>46217</v>
      </c>
      <c r="F142" t="inlineStr">
        <is>
          <t>DALARNAS LÄN</t>
        </is>
      </c>
      <c r="G142" t="inlineStr">
        <is>
          <t>HEDEMORA</t>
        </is>
      </c>
      <c r="H142" t="inlineStr">
        <is>
          <t>Sveaskog</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31365-2024</t>
        </is>
      </c>
      <c r="B143" t="inlineStr">
        <is>
          <t>avverkningsanmälan</t>
        </is>
      </c>
      <c r="C143" t="inlineStr">
        <is>
          <t>Föryngringsavverkning</t>
        </is>
      </c>
      <c r="D143" s="1" t="n">
        <v>45505</v>
      </c>
      <c r="E143" s="1" t="n">
        <v>46217</v>
      </c>
      <c r="F143" t="inlineStr">
        <is>
          <t>DALARNAS LÄN</t>
        </is>
      </c>
      <c r="G143" t="inlineStr">
        <is>
          <t>HEDEMORA</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24486-2024</t>
        </is>
      </c>
      <c r="B144" t="inlineStr">
        <is>
          <t>avverkningsanmälan</t>
        </is>
      </c>
      <c r="C144" t="inlineStr">
        <is>
          <t>Avverkning för annat ändamål</t>
        </is>
      </c>
      <c r="D144" s="1" t="n">
        <v>45459</v>
      </c>
      <c r="E144" s="1" t="n">
        <v>46217</v>
      </c>
      <c r="F144" t="inlineStr">
        <is>
          <t>DALARNAS LÄN</t>
        </is>
      </c>
      <c r="G144" t="inlineStr">
        <is>
          <t>HEDEMORA</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31825-2024</t>
        </is>
      </c>
      <c r="B145" t="inlineStr">
        <is>
          <t>avverkningsanmälan</t>
        </is>
      </c>
      <c r="C145" t="inlineStr">
        <is>
          <t>Avverkning för annat ändamål</t>
        </is>
      </c>
      <c r="D145" s="1" t="n">
        <v>45509</v>
      </c>
      <c r="E145" s="1" t="n">
        <v>46217</v>
      </c>
      <c r="F145" t="inlineStr">
        <is>
          <t>DALARNAS LÄN</t>
        </is>
      </c>
      <c r="G145" t="inlineStr">
        <is>
          <t>HEDEMORA</t>
        </is>
      </c>
      <c r="I145" t="n">
        <v>0.1</v>
      </c>
      <c r="J145" t="n">
        <v>0</v>
      </c>
      <c r="K145" t="n">
        <v>0</v>
      </c>
      <c r="L145" t="n">
        <v>0</v>
      </c>
      <c r="M145" t="n">
        <v>0</v>
      </c>
      <c r="N145" t="n">
        <v>0</v>
      </c>
      <c r="O145" t="n">
        <v>0</v>
      </c>
      <c r="P145" t="n">
        <v>0</v>
      </c>
      <c r="Q145" t="n">
        <v>0</v>
      </c>
      <c r="R145" t="n">
        <v>0</v>
      </c>
      <c r="S145" t="n">
        <v>0</v>
      </c>
      <c r="T145" t="n">
        <v>0</v>
      </c>
      <c r="U145" s="2" t="inlineStr"/>
    </row>
    <row r="146" ht="15" customHeight="1">
      <c r="A146" t="inlineStr">
        <is>
          <t>A 60774-2022</t>
        </is>
      </c>
      <c r="B146" t="inlineStr">
        <is>
          <t>avverkningsanmälan</t>
        </is>
      </c>
      <c r="C146" t="inlineStr">
        <is>
          <t>Föryngringsavverkning</t>
        </is>
      </c>
      <c r="D146" s="1" t="n">
        <v>44914</v>
      </c>
      <c r="E146" s="1" t="n">
        <v>46217</v>
      </c>
      <c r="F146" t="inlineStr">
        <is>
          <t>DALARNAS LÄN</t>
        </is>
      </c>
      <c r="G146" t="inlineStr">
        <is>
          <t>HEDEMORA</t>
        </is>
      </c>
      <c r="I146" t="n">
        <v>11.5</v>
      </c>
      <c r="J146" t="n">
        <v>0</v>
      </c>
      <c r="K146" t="n">
        <v>0</v>
      </c>
      <c r="L146" t="n">
        <v>0</v>
      </c>
      <c r="M146" t="n">
        <v>0</v>
      </c>
      <c r="N146" t="n">
        <v>0</v>
      </c>
      <c r="O146" t="n">
        <v>0</v>
      </c>
      <c r="P146" t="n">
        <v>0</v>
      </c>
      <c r="Q146" t="n">
        <v>0</v>
      </c>
      <c r="R146" t="n">
        <v>0</v>
      </c>
      <c r="S146" t="n">
        <v>0</v>
      </c>
      <c r="T146" t="n">
        <v>0</v>
      </c>
      <c r="U146" s="2" t="inlineStr"/>
    </row>
    <row r="147" ht="15" customHeight="1">
      <c r="A147" t="inlineStr">
        <is>
          <t>A 61886-2022</t>
        </is>
      </c>
      <c r="B147" t="inlineStr">
        <is>
          <t>avverkningsanmälan</t>
        </is>
      </c>
      <c r="C147" t="inlineStr">
        <is>
          <t>Föryngringsavverkning</t>
        </is>
      </c>
      <c r="D147" s="1" t="n">
        <v>44917</v>
      </c>
      <c r="E147" s="1" t="n">
        <v>46217</v>
      </c>
      <c r="F147" t="inlineStr">
        <is>
          <t>DALARNAS LÄN</t>
        </is>
      </c>
      <c r="G147" t="inlineStr">
        <is>
          <t>HEDEMORA</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36935-2024</t>
        </is>
      </c>
      <c r="B148" t="inlineStr">
        <is>
          <t>avverkningsanmälan</t>
        </is>
      </c>
      <c r="C148" t="inlineStr">
        <is>
          <t>Föryngringsavverkning</t>
        </is>
      </c>
      <c r="D148" s="1" t="n">
        <v>45538</v>
      </c>
      <c r="E148" s="1" t="n">
        <v>46217</v>
      </c>
      <c r="F148" t="inlineStr">
        <is>
          <t>DALARNAS LÄN</t>
        </is>
      </c>
      <c r="G148" t="inlineStr">
        <is>
          <t>HEDEMORA</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37761-2024</t>
        </is>
      </c>
      <c r="B149" t="inlineStr">
        <is>
          <t>avverkningsanmälan</t>
        </is>
      </c>
      <c r="C149" t="inlineStr">
        <is>
          <t>Föryngringsavverkning</t>
        </is>
      </c>
      <c r="D149" s="1" t="n">
        <v>45541</v>
      </c>
      <c r="E149" s="1" t="n">
        <v>46217</v>
      </c>
      <c r="F149" t="inlineStr">
        <is>
          <t>DALARNAS LÄN</t>
        </is>
      </c>
      <c r="G149" t="inlineStr">
        <is>
          <t>HEDEMORA</t>
        </is>
      </c>
      <c r="H149" t="inlineStr">
        <is>
          <t>Sveaskog</t>
        </is>
      </c>
      <c r="I149" t="n">
        <v>4.4</v>
      </c>
      <c r="J149" t="n">
        <v>0</v>
      </c>
      <c r="K149" t="n">
        <v>0</v>
      </c>
      <c r="L149" t="n">
        <v>0</v>
      </c>
      <c r="M149" t="n">
        <v>0</v>
      </c>
      <c r="N149" t="n">
        <v>0</v>
      </c>
      <c r="O149" t="n">
        <v>0</v>
      </c>
      <c r="P149" t="n">
        <v>0</v>
      </c>
      <c r="Q149" t="n">
        <v>0</v>
      </c>
      <c r="R149" t="n">
        <v>0</v>
      </c>
      <c r="S149" t="n">
        <v>0</v>
      </c>
      <c r="T149" t="n">
        <v>0</v>
      </c>
      <c r="U149" s="2" t="inlineStr"/>
    </row>
    <row r="150" ht="15" customHeight="1">
      <c r="A150" t="inlineStr">
        <is>
          <t>A 20237-2023</t>
        </is>
      </c>
      <c r="B150" t="inlineStr">
        <is>
          <t>avverkningsanmälan</t>
        </is>
      </c>
      <c r="C150" t="inlineStr">
        <is>
          <t>Föryngringsavverkning</t>
        </is>
      </c>
      <c r="D150" s="1" t="n">
        <v>45055</v>
      </c>
      <c r="E150" s="1" t="n">
        <v>46217</v>
      </c>
      <c r="F150" t="inlineStr">
        <is>
          <t>DALARNAS LÄN</t>
        </is>
      </c>
      <c r="G150" t="inlineStr">
        <is>
          <t>HEDEMORA</t>
        </is>
      </c>
      <c r="H150" t="inlineStr">
        <is>
          <t>Bergvik skog väst AB</t>
        </is>
      </c>
      <c r="I150" t="n">
        <v>2.4</v>
      </c>
      <c r="J150" t="n">
        <v>0</v>
      </c>
      <c r="K150" t="n">
        <v>0</v>
      </c>
      <c r="L150" t="n">
        <v>0</v>
      </c>
      <c r="M150" t="n">
        <v>0</v>
      </c>
      <c r="N150" t="n">
        <v>0</v>
      </c>
      <c r="O150" t="n">
        <v>0</v>
      </c>
      <c r="P150" t="n">
        <v>0</v>
      </c>
      <c r="Q150" t="n">
        <v>0</v>
      </c>
      <c r="R150" t="n">
        <v>0</v>
      </c>
      <c r="S150" t="n">
        <v>0</v>
      </c>
      <c r="T150" t="n">
        <v>0</v>
      </c>
      <c r="U150" s="2" t="inlineStr"/>
    </row>
    <row r="151" ht="15" customHeight="1">
      <c r="A151" t="inlineStr">
        <is>
          <t>A 15863-2023</t>
        </is>
      </c>
      <c r="B151" t="inlineStr">
        <is>
          <t>avverkningsanmälan</t>
        </is>
      </c>
      <c r="C151" t="inlineStr">
        <is>
          <t>Föryngringsavverkning</t>
        </is>
      </c>
      <c r="D151" s="1" t="n">
        <v>45022</v>
      </c>
      <c r="E151" s="1" t="n">
        <v>46217</v>
      </c>
      <c r="F151" t="inlineStr">
        <is>
          <t>DALARNAS LÄN</t>
        </is>
      </c>
      <c r="G151" t="inlineStr">
        <is>
          <t>HEDEMORA</t>
        </is>
      </c>
      <c r="H151" t="inlineStr">
        <is>
          <t>Bergvik skog väst AB</t>
        </is>
      </c>
      <c r="I151" t="n">
        <v>4.7</v>
      </c>
      <c r="J151" t="n">
        <v>0</v>
      </c>
      <c r="K151" t="n">
        <v>0</v>
      </c>
      <c r="L151" t="n">
        <v>0</v>
      </c>
      <c r="M151" t="n">
        <v>0</v>
      </c>
      <c r="N151" t="n">
        <v>0</v>
      </c>
      <c r="O151" t="n">
        <v>0</v>
      </c>
      <c r="P151" t="n">
        <v>0</v>
      </c>
      <c r="Q151" t="n">
        <v>0</v>
      </c>
      <c r="R151" t="n">
        <v>0</v>
      </c>
      <c r="S151" t="n">
        <v>0</v>
      </c>
      <c r="T151" t="n">
        <v>0</v>
      </c>
      <c r="U151" s="2" t="inlineStr"/>
    </row>
    <row r="152" ht="15" customHeight="1">
      <c r="A152" t="inlineStr">
        <is>
          <t>A 37762-2024</t>
        </is>
      </c>
      <c r="B152" t="inlineStr">
        <is>
          <t>avverkningsanmälan</t>
        </is>
      </c>
      <c r="C152" t="inlineStr">
        <is>
          <t>Föryngringsavverkning</t>
        </is>
      </c>
      <c r="D152" s="1" t="n">
        <v>45541</v>
      </c>
      <c r="E152" s="1" t="n">
        <v>46217</v>
      </c>
      <c r="F152" t="inlineStr">
        <is>
          <t>DALARNAS LÄN</t>
        </is>
      </c>
      <c r="G152" t="inlineStr">
        <is>
          <t>HEDEMORA</t>
        </is>
      </c>
      <c r="H152" t="inlineStr">
        <is>
          <t>Sveaskog</t>
        </is>
      </c>
      <c r="I152" t="n">
        <v>0.8</v>
      </c>
      <c r="J152" t="n">
        <v>0</v>
      </c>
      <c r="K152" t="n">
        <v>0</v>
      </c>
      <c r="L152" t="n">
        <v>0</v>
      </c>
      <c r="M152" t="n">
        <v>0</v>
      </c>
      <c r="N152" t="n">
        <v>0</v>
      </c>
      <c r="O152" t="n">
        <v>0</v>
      </c>
      <c r="P152" t="n">
        <v>0</v>
      </c>
      <c r="Q152" t="n">
        <v>0</v>
      </c>
      <c r="R152" t="n">
        <v>0</v>
      </c>
      <c r="S152" t="n">
        <v>0</v>
      </c>
      <c r="T152" t="n">
        <v>0</v>
      </c>
      <c r="U152" s="2" t="inlineStr"/>
    </row>
    <row r="153" ht="15" customHeight="1">
      <c r="A153" t="inlineStr">
        <is>
          <t>A 44384-2024</t>
        </is>
      </c>
      <c r="B153" t="inlineStr">
        <is>
          <t>avverkningsanmälan</t>
        </is>
      </c>
      <c r="C153" t="inlineStr">
        <is>
          <t>Föryngringsavverkning</t>
        </is>
      </c>
      <c r="D153" s="1" t="n">
        <v>45573</v>
      </c>
      <c r="E153" s="1" t="n">
        <v>46217</v>
      </c>
      <c r="F153" t="inlineStr">
        <is>
          <t>DALARNAS LÄN</t>
        </is>
      </c>
      <c r="G153" t="inlineStr">
        <is>
          <t>HEDEMORA</t>
        </is>
      </c>
      <c r="H153" t="inlineStr">
        <is>
          <t>Bergvik skog väst AB</t>
        </is>
      </c>
      <c r="I153" t="n">
        <v>9.800000000000001</v>
      </c>
      <c r="J153" t="n">
        <v>0</v>
      </c>
      <c r="K153" t="n">
        <v>0</v>
      </c>
      <c r="L153" t="n">
        <v>0</v>
      </c>
      <c r="M153" t="n">
        <v>0</v>
      </c>
      <c r="N153" t="n">
        <v>0</v>
      </c>
      <c r="O153" t="n">
        <v>0</v>
      </c>
      <c r="P153" t="n">
        <v>0</v>
      </c>
      <c r="Q153" t="n">
        <v>0</v>
      </c>
      <c r="R153" t="n">
        <v>0</v>
      </c>
      <c r="S153" t="n">
        <v>0</v>
      </c>
      <c r="T153" t="n">
        <v>0</v>
      </c>
      <c r="U153" s="2" t="inlineStr"/>
    </row>
    <row r="154" ht="15" customHeight="1">
      <c r="A154" t="inlineStr">
        <is>
          <t>A 44388-2024</t>
        </is>
      </c>
      <c r="B154" t="inlineStr">
        <is>
          <t>avverkningsanmälan</t>
        </is>
      </c>
      <c r="C154" t="inlineStr">
        <is>
          <t>Föryngringsavverkning</t>
        </is>
      </c>
      <c r="D154" s="1" t="n">
        <v>45573</v>
      </c>
      <c r="E154" s="1" t="n">
        <v>46217</v>
      </c>
      <c r="F154" t="inlineStr">
        <is>
          <t>DALARNAS LÄN</t>
        </is>
      </c>
      <c r="G154" t="inlineStr">
        <is>
          <t>HEDEMORA</t>
        </is>
      </c>
      <c r="H154" t="inlineStr">
        <is>
          <t>Bergvik skog väst AB</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5010-2023</t>
        </is>
      </c>
      <c r="B155" t="inlineStr">
        <is>
          <t>avverkningsanmälan</t>
        </is>
      </c>
      <c r="C155" t="inlineStr">
        <is>
          <t>Föryngringsavverkning</t>
        </is>
      </c>
      <c r="D155" s="1" t="n">
        <v>44956</v>
      </c>
      <c r="E155" s="1" t="n">
        <v>46217</v>
      </c>
      <c r="F155" t="inlineStr">
        <is>
          <t>DALARNAS LÄN</t>
        </is>
      </c>
      <c r="G155" t="inlineStr">
        <is>
          <t>HEDEMORA</t>
        </is>
      </c>
      <c r="H155" t="inlineStr">
        <is>
          <t>Bergvik skog väst AB</t>
        </is>
      </c>
      <c r="I155" t="n">
        <v>5</v>
      </c>
      <c r="J155" t="n">
        <v>0</v>
      </c>
      <c r="K155" t="n">
        <v>0</v>
      </c>
      <c r="L155" t="n">
        <v>0</v>
      </c>
      <c r="M155" t="n">
        <v>0</v>
      </c>
      <c r="N155" t="n">
        <v>0</v>
      </c>
      <c r="O155" t="n">
        <v>0</v>
      </c>
      <c r="P155" t="n">
        <v>0</v>
      </c>
      <c r="Q155" t="n">
        <v>0</v>
      </c>
      <c r="R155" t="n">
        <v>0</v>
      </c>
      <c r="S155" t="n">
        <v>0</v>
      </c>
      <c r="T155" t="n">
        <v>0</v>
      </c>
      <c r="U155" s="2" t="inlineStr"/>
    </row>
    <row r="156" ht="15" customHeight="1">
      <c r="A156" t="inlineStr">
        <is>
          <t>A 53586-2023</t>
        </is>
      </c>
      <c r="B156" t="inlineStr">
        <is>
          <t>avverkningsanmälan</t>
        </is>
      </c>
      <c r="C156" t="inlineStr">
        <is>
          <t>Föryngringsavverkning</t>
        </is>
      </c>
      <c r="D156" s="1" t="n">
        <v>45230</v>
      </c>
      <c r="E156" s="1" t="n">
        <v>46217</v>
      </c>
      <c r="F156" t="inlineStr">
        <is>
          <t>DALARNAS LÄN</t>
        </is>
      </c>
      <c r="G156" t="inlineStr">
        <is>
          <t>HEDEMORA</t>
        </is>
      </c>
      <c r="I156" t="n">
        <v>2.4</v>
      </c>
      <c r="J156" t="n">
        <v>0</v>
      </c>
      <c r="K156" t="n">
        <v>0</v>
      </c>
      <c r="L156" t="n">
        <v>0</v>
      </c>
      <c r="M156" t="n">
        <v>0</v>
      </c>
      <c r="N156" t="n">
        <v>0</v>
      </c>
      <c r="O156" t="n">
        <v>0</v>
      </c>
      <c r="P156" t="n">
        <v>0</v>
      </c>
      <c r="Q156" t="n">
        <v>0</v>
      </c>
      <c r="R156" t="n">
        <v>0</v>
      </c>
      <c r="S156" t="n">
        <v>0</v>
      </c>
      <c r="T156" t="n">
        <v>0</v>
      </c>
      <c r="U156" s="2" t="inlineStr"/>
    </row>
    <row r="157" ht="15" customHeight="1">
      <c r="A157" t="inlineStr">
        <is>
          <t>A 44957-2021</t>
        </is>
      </c>
      <c r="B157" t="inlineStr">
        <is>
          <t>avverkningsanmälan</t>
        </is>
      </c>
      <c r="C157" t="inlineStr">
        <is>
          <t>Föryngringsavverkning</t>
        </is>
      </c>
      <c r="D157" s="1" t="n">
        <v>44438</v>
      </c>
      <c r="E157" s="1" t="n">
        <v>46217</v>
      </c>
      <c r="F157" t="inlineStr">
        <is>
          <t>DALARNAS LÄN</t>
        </is>
      </c>
      <c r="G157" t="inlineStr">
        <is>
          <t>HEDEMORA</t>
        </is>
      </c>
      <c r="H157" t="inlineStr">
        <is>
          <t>Sveaskog</t>
        </is>
      </c>
      <c r="I157" t="n">
        <v>4.5</v>
      </c>
      <c r="J157" t="n">
        <v>0</v>
      </c>
      <c r="K157" t="n">
        <v>0</v>
      </c>
      <c r="L157" t="n">
        <v>0</v>
      </c>
      <c r="M157" t="n">
        <v>0</v>
      </c>
      <c r="N157" t="n">
        <v>0</v>
      </c>
      <c r="O157" t="n">
        <v>0</v>
      </c>
      <c r="P157" t="n">
        <v>0</v>
      </c>
      <c r="Q157" t="n">
        <v>0</v>
      </c>
      <c r="R157" t="n">
        <v>0</v>
      </c>
      <c r="S157" t="n">
        <v>0</v>
      </c>
      <c r="T157" t="n">
        <v>0</v>
      </c>
      <c r="U157" s="2" t="inlineStr"/>
    </row>
    <row r="158" ht="15" customHeight="1">
      <c r="A158" t="inlineStr">
        <is>
          <t>A 45377-2024</t>
        </is>
      </c>
      <c r="B158" t="inlineStr">
        <is>
          <t>avverkningsanmälan</t>
        </is>
      </c>
      <c r="C158" t="inlineStr">
        <is>
          <t>Föryngringsavverkning</t>
        </is>
      </c>
      <c r="D158" s="1" t="n">
        <v>45576</v>
      </c>
      <c r="E158" s="1" t="n">
        <v>46217</v>
      </c>
      <c r="F158" t="inlineStr">
        <is>
          <t>DALARNAS LÄN</t>
        </is>
      </c>
      <c r="G158" t="inlineStr">
        <is>
          <t>HEDEMORA</t>
        </is>
      </c>
      <c r="I158" t="n">
        <v>1.4</v>
      </c>
      <c r="J158" t="n">
        <v>0</v>
      </c>
      <c r="K158" t="n">
        <v>0</v>
      </c>
      <c r="L158" t="n">
        <v>0</v>
      </c>
      <c r="M158" t="n">
        <v>0</v>
      </c>
      <c r="N158" t="n">
        <v>0</v>
      </c>
      <c r="O158" t="n">
        <v>0</v>
      </c>
      <c r="P158" t="n">
        <v>0</v>
      </c>
      <c r="Q158" t="n">
        <v>0</v>
      </c>
      <c r="R158" t="n">
        <v>0</v>
      </c>
      <c r="S158" t="n">
        <v>0</v>
      </c>
      <c r="T158" t="n">
        <v>0</v>
      </c>
      <c r="U158" s="2" t="inlineStr"/>
    </row>
    <row r="159" ht="15" customHeight="1">
      <c r="A159" t="inlineStr">
        <is>
          <t>A 36656-2025</t>
        </is>
      </c>
      <c r="B159" t="inlineStr">
        <is>
          <t>avverkningsanmälan</t>
        </is>
      </c>
      <c r="C159" t="inlineStr">
        <is>
          <t>Föryngringsavverkning</t>
        </is>
      </c>
      <c r="D159" s="1" t="n">
        <v>45873</v>
      </c>
      <c r="E159" s="1" t="n">
        <v>46217</v>
      </c>
      <c r="F159" t="inlineStr">
        <is>
          <t>DALARNAS LÄN</t>
        </is>
      </c>
      <c r="G159" t="inlineStr">
        <is>
          <t>HEDEMORA</t>
        </is>
      </c>
      <c r="I159" t="n">
        <v>1.7</v>
      </c>
      <c r="J159" t="n">
        <v>0</v>
      </c>
      <c r="K159" t="n">
        <v>0</v>
      </c>
      <c r="L159" t="n">
        <v>0</v>
      </c>
      <c r="M159" t="n">
        <v>0</v>
      </c>
      <c r="N159" t="n">
        <v>0</v>
      </c>
      <c r="O159" t="n">
        <v>0</v>
      </c>
      <c r="P159" t="n">
        <v>0</v>
      </c>
      <c r="Q159" t="n">
        <v>0</v>
      </c>
      <c r="R159" t="n">
        <v>0</v>
      </c>
      <c r="S159" t="n">
        <v>0</v>
      </c>
      <c r="T159" t="n">
        <v>0</v>
      </c>
      <c r="U159" s="2" t="inlineStr"/>
    </row>
    <row r="160" ht="15" customHeight="1">
      <c r="A160" t="inlineStr">
        <is>
          <t>A 21868-2025</t>
        </is>
      </c>
      <c r="B160" t="inlineStr">
        <is>
          <t>avverkningsanmälan</t>
        </is>
      </c>
      <c r="C160" t="inlineStr">
        <is>
          <t>Föryngringsavverkning</t>
        </is>
      </c>
      <c r="D160" s="1" t="n">
        <v>45784</v>
      </c>
      <c r="E160" s="1" t="n">
        <v>46217</v>
      </c>
      <c r="F160" t="inlineStr">
        <is>
          <t>DALARNAS LÄN</t>
        </is>
      </c>
      <c r="G160" t="inlineStr">
        <is>
          <t>HEDEMORA</t>
        </is>
      </c>
      <c r="H160" t="inlineStr">
        <is>
          <t>Sveaskog</t>
        </is>
      </c>
      <c r="I160" t="n">
        <v>10.1</v>
      </c>
      <c r="J160" t="n">
        <v>0</v>
      </c>
      <c r="K160" t="n">
        <v>0</v>
      </c>
      <c r="L160" t="n">
        <v>0</v>
      </c>
      <c r="M160" t="n">
        <v>0</v>
      </c>
      <c r="N160" t="n">
        <v>0</v>
      </c>
      <c r="O160" t="n">
        <v>0</v>
      </c>
      <c r="P160" t="n">
        <v>0</v>
      </c>
      <c r="Q160" t="n">
        <v>0</v>
      </c>
      <c r="R160" t="n">
        <v>0</v>
      </c>
      <c r="S160" t="n">
        <v>0</v>
      </c>
      <c r="T160" t="n">
        <v>0</v>
      </c>
      <c r="U160" s="2" t="inlineStr"/>
    </row>
    <row r="161" ht="15" customHeight="1">
      <c r="A161" t="inlineStr">
        <is>
          <t>A 59632-2023</t>
        </is>
      </c>
      <c r="B161" t="inlineStr">
        <is>
          <t>avverkningsanmälan</t>
        </is>
      </c>
      <c r="C161" t="inlineStr">
        <is>
          <t>Föryngringsavverkning</t>
        </is>
      </c>
      <c r="D161" s="1" t="n">
        <v>45254</v>
      </c>
      <c r="E161" s="1" t="n">
        <v>46217</v>
      </c>
      <c r="F161" t="inlineStr">
        <is>
          <t>DALARNAS LÄN</t>
        </is>
      </c>
      <c r="G161" t="inlineStr">
        <is>
          <t>HEDEMORA</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34185-2025</t>
        </is>
      </c>
      <c r="B162" t="inlineStr">
        <is>
          <t>avverkningsanmälan</t>
        </is>
      </c>
      <c r="C162" t="inlineStr">
        <is>
          <t>Föryngringsavverkning</t>
        </is>
      </c>
      <c r="D162" s="1" t="n">
        <v>45845</v>
      </c>
      <c r="E162" s="1" t="n">
        <v>46217</v>
      </c>
      <c r="F162" t="inlineStr">
        <is>
          <t>DALARNAS LÄN</t>
        </is>
      </c>
      <c r="G162" t="inlineStr">
        <is>
          <t>HEDEMORA</t>
        </is>
      </c>
      <c r="H162" t="inlineStr">
        <is>
          <t>Sveaskog</t>
        </is>
      </c>
      <c r="I162" t="n">
        <v>2.3</v>
      </c>
      <c r="J162" t="n">
        <v>0</v>
      </c>
      <c r="K162" t="n">
        <v>0</v>
      </c>
      <c r="L162" t="n">
        <v>0</v>
      </c>
      <c r="M162" t="n">
        <v>0</v>
      </c>
      <c r="N162" t="n">
        <v>0</v>
      </c>
      <c r="O162" t="n">
        <v>0</v>
      </c>
      <c r="P162" t="n">
        <v>0</v>
      </c>
      <c r="Q162" t="n">
        <v>0</v>
      </c>
      <c r="R162" t="n">
        <v>0</v>
      </c>
      <c r="S162" t="n">
        <v>0</v>
      </c>
      <c r="T162" t="n">
        <v>0</v>
      </c>
      <c r="U162" s="2" t="inlineStr"/>
    </row>
    <row r="163" ht="15" customHeight="1">
      <c r="A163" t="inlineStr">
        <is>
          <t>A 36306-2024</t>
        </is>
      </c>
      <c r="B163" t="inlineStr">
        <is>
          <t>avverkningsanmälan</t>
        </is>
      </c>
      <c r="C163" t="inlineStr">
        <is>
          <t>Föryngringsavverkning</t>
        </is>
      </c>
      <c r="D163" s="1" t="n">
        <v>45534</v>
      </c>
      <c r="E163" s="1" t="n">
        <v>46217</v>
      </c>
      <c r="F163" t="inlineStr">
        <is>
          <t>DALARNAS LÄN</t>
        </is>
      </c>
      <c r="G163" t="inlineStr">
        <is>
          <t>HEDEMORA</t>
        </is>
      </c>
      <c r="H163" t="inlineStr">
        <is>
          <t>Sveaskog</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25830-2026</t>
        </is>
      </c>
      <c r="B164" t="inlineStr">
        <is>
          <t>avverkningsanmälan</t>
        </is>
      </c>
      <c r="C164" t="inlineStr">
        <is>
          <t>Föryngringsavverkning</t>
        </is>
      </c>
      <c r="D164" s="1" t="n">
        <v>46178</v>
      </c>
      <c r="E164" s="1" t="n">
        <v>46217</v>
      </c>
      <c r="F164" t="inlineStr">
        <is>
          <t>DALARNAS LÄN</t>
        </is>
      </c>
      <c r="G164" t="inlineStr">
        <is>
          <t>HEDEMORA</t>
        </is>
      </c>
      <c r="H164" t="inlineStr">
        <is>
          <t>Sveaskog</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39393-2025</t>
        </is>
      </c>
      <c r="B165" t="inlineStr">
        <is>
          <t>avverkningsanmälan</t>
        </is>
      </c>
      <c r="C165" t="inlineStr">
        <is>
          <t>Föryngringsavverkning</t>
        </is>
      </c>
      <c r="D165" s="1" t="n">
        <v>45889</v>
      </c>
      <c r="E165" s="1" t="n">
        <v>46217</v>
      </c>
      <c r="F165" t="inlineStr">
        <is>
          <t>DALARNAS LÄN</t>
        </is>
      </c>
      <c r="G165" t="inlineStr">
        <is>
          <t>HEDEMORA</t>
        </is>
      </c>
      <c r="H165" t="inlineStr">
        <is>
          <t>Sveaskog</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39390-2025</t>
        </is>
      </c>
      <c r="B166" t="inlineStr">
        <is>
          <t>avverkningsanmälan</t>
        </is>
      </c>
      <c r="C166" t="inlineStr">
        <is>
          <t>Föryngringsavverkning</t>
        </is>
      </c>
      <c r="D166" s="1" t="n">
        <v>45889</v>
      </c>
      <c r="E166" s="1" t="n">
        <v>46217</v>
      </c>
      <c r="F166" t="inlineStr">
        <is>
          <t>DALARNAS LÄN</t>
        </is>
      </c>
      <c r="G166" t="inlineStr">
        <is>
          <t>HEDEMORA</t>
        </is>
      </c>
      <c r="H166" t="inlineStr">
        <is>
          <t>Sveaskog</t>
        </is>
      </c>
      <c r="I166" t="n">
        <v>1.2</v>
      </c>
      <c r="J166" t="n">
        <v>0</v>
      </c>
      <c r="K166" t="n">
        <v>0</v>
      </c>
      <c r="L166" t="n">
        <v>0</v>
      </c>
      <c r="M166" t="n">
        <v>0</v>
      </c>
      <c r="N166" t="n">
        <v>0</v>
      </c>
      <c r="O166" t="n">
        <v>0</v>
      </c>
      <c r="P166" t="n">
        <v>0</v>
      </c>
      <c r="Q166" t="n">
        <v>0</v>
      </c>
      <c r="R166" t="n">
        <v>0</v>
      </c>
      <c r="S166" t="n">
        <v>0</v>
      </c>
      <c r="T166" t="n">
        <v>0</v>
      </c>
      <c r="U166" s="2" t="inlineStr"/>
    </row>
    <row r="167" ht="15" customHeight="1">
      <c r="A167" t="inlineStr">
        <is>
          <t>A 19932-2026</t>
        </is>
      </c>
      <c r="B167" t="inlineStr">
        <is>
          <t>avverkningsanmälan</t>
        </is>
      </c>
      <c r="C167" t="inlineStr">
        <is>
          <t>Föryngringsavverkning</t>
        </is>
      </c>
      <c r="D167" s="1" t="n">
        <v>46136</v>
      </c>
      <c r="E167" s="1" t="n">
        <v>46217</v>
      </c>
      <c r="F167" t="inlineStr">
        <is>
          <t>DALARNAS LÄN</t>
        </is>
      </c>
      <c r="G167" t="inlineStr">
        <is>
          <t>HEDEMORA</t>
        </is>
      </c>
      <c r="H167" t="inlineStr">
        <is>
          <t>Sveaskog</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19688-2025</t>
        </is>
      </c>
      <c r="B168" t="inlineStr">
        <is>
          <t>avverkningsanmälan</t>
        </is>
      </c>
      <c r="C168" t="inlineStr">
        <is>
          <t>Föryngringsavverkning</t>
        </is>
      </c>
      <c r="D168" s="1" t="n">
        <v>45770</v>
      </c>
      <c r="E168" s="1" t="n">
        <v>46217</v>
      </c>
      <c r="F168" t="inlineStr">
        <is>
          <t>DALARNAS LÄN</t>
        </is>
      </c>
      <c r="G168" t="inlineStr">
        <is>
          <t>HEDEMORA</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25421-2026</t>
        </is>
      </c>
      <c r="B169" t="inlineStr">
        <is>
          <t>avverkningsanmälan</t>
        </is>
      </c>
      <c r="C169" t="inlineStr">
        <is>
          <t>Föryngringsavverkning</t>
        </is>
      </c>
      <c r="D169" s="1" t="n">
        <v>46177</v>
      </c>
      <c r="E169" s="1" t="n">
        <v>46217</v>
      </c>
      <c r="F169" t="inlineStr">
        <is>
          <t>DALARNAS LÄN</t>
        </is>
      </c>
      <c r="G169" t="inlineStr">
        <is>
          <t>HEDEMORA</t>
        </is>
      </c>
      <c r="H169" t="inlineStr">
        <is>
          <t>Sveaskog</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19689-2025</t>
        </is>
      </c>
      <c r="B170" t="inlineStr">
        <is>
          <t>avverkningsanmälan</t>
        </is>
      </c>
      <c r="C170" t="inlineStr">
        <is>
          <t>Föryngringsavverkning</t>
        </is>
      </c>
      <c r="D170" s="1" t="n">
        <v>45770</v>
      </c>
      <c r="E170" s="1" t="n">
        <v>46217</v>
      </c>
      <c r="F170" t="inlineStr">
        <is>
          <t>DALARNAS LÄN</t>
        </is>
      </c>
      <c r="G170" t="inlineStr">
        <is>
          <t>HEDEMORA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63908-2021</t>
        </is>
      </c>
      <c r="B171" t="inlineStr">
        <is>
          <t>avverkningsanmälan</t>
        </is>
      </c>
      <c r="C171" t="inlineStr">
        <is>
          <t>Föryngringsavverkning</t>
        </is>
      </c>
      <c r="D171" s="1" t="n">
        <v>44509</v>
      </c>
      <c r="E171" s="1" t="n">
        <v>46217</v>
      </c>
      <c r="F171" t="inlineStr">
        <is>
          <t>DALARNAS LÄN</t>
        </is>
      </c>
      <c r="G171" t="inlineStr">
        <is>
          <t>HEDEMORA</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40456-2025</t>
        </is>
      </c>
      <c r="B172" t="inlineStr">
        <is>
          <t>avverkningsanmälan</t>
        </is>
      </c>
      <c r="C172" t="inlineStr">
        <is>
          <t>Föryngringsavverkning</t>
        </is>
      </c>
      <c r="D172" s="1" t="n">
        <v>45895</v>
      </c>
      <c r="E172" s="1" t="n">
        <v>46217</v>
      </c>
      <c r="F172" t="inlineStr">
        <is>
          <t>DALARNAS LÄN</t>
        </is>
      </c>
      <c r="G172" t="inlineStr">
        <is>
          <t>HEDEMORA</t>
        </is>
      </c>
      <c r="H172" t="inlineStr">
        <is>
          <t>Bergvik skog väst AB</t>
        </is>
      </c>
      <c r="I172" t="n">
        <v>3.3</v>
      </c>
      <c r="J172" t="n">
        <v>0</v>
      </c>
      <c r="K172" t="n">
        <v>0</v>
      </c>
      <c r="L172" t="n">
        <v>0</v>
      </c>
      <c r="M172" t="n">
        <v>0</v>
      </c>
      <c r="N172" t="n">
        <v>0</v>
      </c>
      <c r="O172" t="n">
        <v>0</v>
      </c>
      <c r="P172" t="n">
        <v>0</v>
      </c>
      <c r="Q172" t="n">
        <v>0</v>
      </c>
      <c r="R172" t="n">
        <v>0</v>
      </c>
      <c r="S172" t="n">
        <v>0</v>
      </c>
      <c r="T172" t="n">
        <v>0</v>
      </c>
      <c r="U172" s="2" t="inlineStr"/>
    </row>
    <row r="173" ht="15" customHeight="1">
      <c r="A173" t="inlineStr">
        <is>
          <t>A 54423-2023</t>
        </is>
      </c>
      <c r="B173" t="inlineStr">
        <is>
          <t>avverkningsanmälan</t>
        </is>
      </c>
      <c r="C173" t="inlineStr">
        <is>
          <t>Föryngringsavverkning</t>
        </is>
      </c>
      <c r="D173" s="1" t="n">
        <v>45233</v>
      </c>
      <c r="E173" s="1" t="n">
        <v>46217</v>
      </c>
      <c r="F173" t="inlineStr">
        <is>
          <t>DALARNAS LÄN</t>
        </is>
      </c>
      <c r="G173" t="inlineStr">
        <is>
          <t>HEDEMORA</t>
        </is>
      </c>
      <c r="I173" t="n">
        <v>3.4</v>
      </c>
      <c r="J173" t="n">
        <v>0</v>
      </c>
      <c r="K173" t="n">
        <v>0</v>
      </c>
      <c r="L173" t="n">
        <v>0</v>
      </c>
      <c r="M173" t="n">
        <v>0</v>
      </c>
      <c r="N173" t="n">
        <v>0</v>
      </c>
      <c r="O173" t="n">
        <v>0</v>
      </c>
      <c r="P173" t="n">
        <v>0</v>
      </c>
      <c r="Q173" t="n">
        <v>0</v>
      </c>
      <c r="R173" t="n">
        <v>0</v>
      </c>
      <c r="S173" t="n">
        <v>0</v>
      </c>
      <c r="T173" t="n">
        <v>0</v>
      </c>
      <c r="U173" s="2" t="inlineStr"/>
    </row>
    <row r="174" ht="15" customHeight="1">
      <c r="A174" t="inlineStr">
        <is>
          <t>A 25419-2026</t>
        </is>
      </c>
      <c r="B174" t="inlineStr">
        <is>
          <t>avverkningsanmälan</t>
        </is>
      </c>
      <c r="C174" t="inlineStr">
        <is>
          <t>Föryngringsavverkning</t>
        </is>
      </c>
      <c r="D174" s="1" t="n">
        <v>46177</v>
      </c>
      <c r="E174" s="1" t="n">
        <v>46217</v>
      </c>
      <c r="F174" t="inlineStr">
        <is>
          <t>DALARNAS LÄN</t>
        </is>
      </c>
      <c r="G174" t="inlineStr">
        <is>
          <t>HEDEMORA</t>
        </is>
      </c>
      <c r="H174" t="inlineStr">
        <is>
          <t>Sveaskog</t>
        </is>
      </c>
      <c r="I174" t="n">
        <v>3.2</v>
      </c>
      <c r="J174" t="n">
        <v>0</v>
      </c>
      <c r="K174" t="n">
        <v>0</v>
      </c>
      <c r="L174" t="n">
        <v>0</v>
      </c>
      <c r="M174" t="n">
        <v>0</v>
      </c>
      <c r="N174" t="n">
        <v>0</v>
      </c>
      <c r="O174" t="n">
        <v>0</v>
      </c>
      <c r="P174" t="n">
        <v>0</v>
      </c>
      <c r="Q174" t="n">
        <v>0</v>
      </c>
      <c r="R174" t="n">
        <v>0</v>
      </c>
      <c r="S174" t="n">
        <v>0</v>
      </c>
      <c r="T174" t="n">
        <v>0</v>
      </c>
      <c r="U174" s="2" t="inlineStr"/>
    </row>
    <row r="175" ht="15" customHeight="1">
      <c r="A175" t="inlineStr">
        <is>
          <t>A 42645-2025</t>
        </is>
      </c>
      <c r="B175" t="inlineStr">
        <is>
          <t>avverkningsanmälan</t>
        </is>
      </c>
      <c r="C175" t="inlineStr">
        <is>
          <t>Avverkning för att bevara och utveckla /försöksver</t>
        </is>
      </c>
      <c r="D175" s="1" t="n">
        <v>45906</v>
      </c>
      <c r="E175" s="1" t="n">
        <v>46217</v>
      </c>
      <c r="F175" t="inlineStr">
        <is>
          <t>DALARNAS LÄN</t>
        </is>
      </c>
      <c r="G175" t="inlineStr">
        <is>
          <t>HEDEMORA</t>
        </is>
      </c>
      <c r="H175" t="inlineStr">
        <is>
          <t>Sveaskog</t>
        </is>
      </c>
      <c r="I175" t="n">
        <v>1.2</v>
      </c>
      <c r="J175" t="n">
        <v>0</v>
      </c>
      <c r="K175" t="n">
        <v>0</v>
      </c>
      <c r="L175" t="n">
        <v>0</v>
      </c>
      <c r="M175" t="n">
        <v>0</v>
      </c>
      <c r="N175" t="n">
        <v>0</v>
      </c>
      <c r="O175" t="n">
        <v>0</v>
      </c>
      <c r="P175" t="n">
        <v>0</v>
      </c>
      <c r="Q175" t="n">
        <v>0</v>
      </c>
      <c r="R175" t="n">
        <v>0</v>
      </c>
      <c r="S175" t="n">
        <v>0</v>
      </c>
      <c r="T175" t="n">
        <v>0</v>
      </c>
      <c r="U175" s="2" t="inlineStr"/>
    </row>
    <row r="176" ht="15" customHeight="1">
      <c r="A176" t="inlineStr">
        <is>
          <t>A 21092-2023</t>
        </is>
      </c>
      <c r="B176" t="inlineStr">
        <is>
          <t>avverkningsanmälan</t>
        </is>
      </c>
      <c r="C176" t="inlineStr">
        <is>
          <t>Avverkning för annat ändamål</t>
        </is>
      </c>
      <c r="D176" s="1" t="n">
        <v>45061</v>
      </c>
      <c r="E176" s="1" t="n">
        <v>46217</v>
      </c>
      <c r="F176" t="inlineStr">
        <is>
          <t>DALARNAS LÄN</t>
        </is>
      </c>
      <c r="G176" t="inlineStr">
        <is>
          <t>HEDEMORA</t>
        </is>
      </c>
      <c r="H176" t="inlineStr">
        <is>
          <t>Sveaskog</t>
        </is>
      </c>
      <c r="I176" t="n">
        <v>0.1</v>
      </c>
      <c r="J176" t="n">
        <v>0</v>
      </c>
      <c r="K176" t="n">
        <v>0</v>
      </c>
      <c r="L176" t="n">
        <v>0</v>
      </c>
      <c r="M176" t="n">
        <v>0</v>
      </c>
      <c r="N176" t="n">
        <v>0</v>
      </c>
      <c r="O176" t="n">
        <v>0</v>
      </c>
      <c r="P176" t="n">
        <v>0</v>
      </c>
      <c r="Q176" t="n">
        <v>0</v>
      </c>
      <c r="R176" t="n">
        <v>0</v>
      </c>
      <c r="S176" t="n">
        <v>0</v>
      </c>
      <c r="T176" t="n">
        <v>0</v>
      </c>
      <c r="U176" s="2" t="inlineStr"/>
    </row>
    <row r="177" ht="15" customHeight="1">
      <c r="A177" t="inlineStr">
        <is>
          <t>A 62398-2023</t>
        </is>
      </c>
      <c r="B177" t="inlineStr">
        <is>
          <t>avverkningsanmälan</t>
        </is>
      </c>
      <c r="C177" t="inlineStr">
        <is>
          <t>Föryngringsavverkning</t>
        </is>
      </c>
      <c r="D177" s="1" t="n">
        <v>45268</v>
      </c>
      <c r="E177" s="1" t="n">
        <v>46217</v>
      </c>
      <c r="F177" t="inlineStr">
        <is>
          <t>DALARNAS LÄN</t>
        </is>
      </c>
      <c r="G177" t="inlineStr">
        <is>
          <t>HEDEMORA</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11541-2026</t>
        </is>
      </c>
      <c r="B178" t="inlineStr">
        <is>
          <t>avverkningsanmälan</t>
        </is>
      </c>
      <c r="C178" t="inlineStr">
        <is>
          <t>Föryngringsavverkning</t>
        </is>
      </c>
      <c r="D178" s="1" t="n">
        <v>46083</v>
      </c>
      <c r="E178" s="1" t="n">
        <v>46217</v>
      </c>
      <c r="F178" t="inlineStr">
        <is>
          <t>DALARNAS LÄN</t>
        </is>
      </c>
      <c r="G178" t="inlineStr">
        <is>
          <t>HEDEMORA</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36900-2022</t>
        </is>
      </c>
      <c r="B179" t="inlineStr">
        <is>
          <t>avverkningsanmälan</t>
        </is>
      </c>
      <c r="C179" t="inlineStr">
        <is>
          <t>Föryngringsavverkning</t>
        </is>
      </c>
      <c r="D179" s="1" t="n">
        <v>44805</v>
      </c>
      <c r="E179" s="1" t="n">
        <v>46217</v>
      </c>
      <c r="F179" t="inlineStr">
        <is>
          <t>DALARNAS LÄN</t>
        </is>
      </c>
      <c r="G179" t="inlineStr">
        <is>
          <t>HEDEMORA</t>
        </is>
      </c>
      <c r="H179" t="inlineStr">
        <is>
          <t>Sveaskog</t>
        </is>
      </c>
      <c r="I179" t="n">
        <v>2.9</v>
      </c>
      <c r="J179" t="n">
        <v>0</v>
      </c>
      <c r="K179" t="n">
        <v>0</v>
      </c>
      <c r="L179" t="n">
        <v>0</v>
      </c>
      <c r="M179" t="n">
        <v>0</v>
      </c>
      <c r="N179" t="n">
        <v>0</v>
      </c>
      <c r="O179" t="n">
        <v>0</v>
      </c>
      <c r="P179" t="n">
        <v>0</v>
      </c>
      <c r="Q179" t="n">
        <v>0</v>
      </c>
      <c r="R179" t="n">
        <v>0</v>
      </c>
      <c r="S179" t="n">
        <v>0</v>
      </c>
      <c r="T179" t="n">
        <v>0</v>
      </c>
      <c r="U179" s="2" t="inlineStr"/>
    </row>
    <row r="180" ht="15" customHeight="1">
      <c r="A180" t="inlineStr">
        <is>
          <t>A 6687-2026</t>
        </is>
      </c>
      <c r="B180" t="inlineStr">
        <is>
          <t>avverkningsanmälan</t>
        </is>
      </c>
      <c r="C180" t="inlineStr">
        <is>
          <t>Föryngringsavverkning</t>
        </is>
      </c>
      <c r="D180" s="1" t="n">
        <v>46056</v>
      </c>
      <c r="E180" s="1" t="n">
        <v>46217</v>
      </c>
      <c r="F180" t="inlineStr">
        <is>
          <t>DALARNAS LÄN</t>
        </is>
      </c>
      <c r="G180" t="inlineStr">
        <is>
          <t>HEDEMORA</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29283-2022</t>
        </is>
      </c>
      <c r="B181" t="inlineStr">
        <is>
          <t>avverkningsanmälan</t>
        </is>
      </c>
      <c r="C181" t="inlineStr">
        <is>
          <t>Föryngringsavverkning</t>
        </is>
      </c>
      <c r="D181" s="1" t="n">
        <v>44750</v>
      </c>
      <c r="E181" s="1" t="n">
        <v>46217</v>
      </c>
      <c r="F181" t="inlineStr">
        <is>
          <t>DALARNAS LÄN</t>
        </is>
      </c>
      <c r="G181" t="inlineStr">
        <is>
          <t>HEDEMORA</t>
        </is>
      </c>
      <c r="H181" t="inlineStr">
        <is>
          <t>Sveaskog</t>
        </is>
      </c>
      <c r="I181" t="n">
        <v>1.1</v>
      </c>
      <c r="J181" t="n">
        <v>0</v>
      </c>
      <c r="K181" t="n">
        <v>0</v>
      </c>
      <c r="L181" t="n">
        <v>0</v>
      </c>
      <c r="M181" t="n">
        <v>0</v>
      </c>
      <c r="N181" t="n">
        <v>0</v>
      </c>
      <c r="O181" t="n">
        <v>0</v>
      </c>
      <c r="P181" t="n">
        <v>0</v>
      </c>
      <c r="Q181" t="n">
        <v>0</v>
      </c>
      <c r="R181" t="n">
        <v>0</v>
      </c>
      <c r="S181" t="n">
        <v>0</v>
      </c>
      <c r="T181" t="n">
        <v>0</v>
      </c>
      <c r="U181" s="2" t="inlineStr"/>
    </row>
    <row r="182" ht="15" customHeight="1">
      <c r="A182" t="inlineStr">
        <is>
          <t>A 48238-2025</t>
        </is>
      </c>
      <c r="B182" t="inlineStr">
        <is>
          <t>avverkningsanmälan</t>
        </is>
      </c>
      <c r="C182" t="inlineStr">
        <is>
          <t>Föryngringsavverkning</t>
        </is>
      </c>
      <c r="D182" s="1" t="n">
        <v>45933</v>
      </c>
      <c r="E182" s="1" t="n">
        <v>46217</v>
      </c>
      <c r="F182" t="inlineStr">
        <is>
          <t>DALARNAS LÄN</t>
        </is>
      </c>
      <c r="G182" t="inlineStr">
        <is>
          <t>HEDEMORA</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8342-2025</t>
        </is>
      </c>
      <c r="B183" t="inlineStr">
        <is>
          <t>avverkningsanmälan</t>
        </is>
      </c>
      <c r="C183" t="inlineStr">
        <is>
          <t>Avverkning för annat ändamål</t>
        </is>
      </c>
      <c r="D183" s="1" t="n">
        <v>45708</v>
      </c>
      <c r="E183" s="1" t="n">
        <v>46217</v>
      </c>
      <c r="F183" t="inlineStr">
        <is>
          <t>DALARNAS LÄN</t>
        </is>
      </c>
      <c r="G183" t="inlineStr">
        <is>
          <t>HEDEMORA</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40419-2025</t>
        </is>
      </c>
      <c r="B184" t="inlineStr">
        <is>
          <t>avverkningsanmälan</t>
        </is>
      </c>
      <c r="C184" t="inlineStr">
        <is>
          <t>Föryngringsavverkning</t>
        </is>
      </c>
      <c r="D184" s="1" t="n">
        <v>45895</v>
      </c>
      <c r="E184" s="1" t="n">
        <v>46217</v>
      </c>
      <c r="F184" t="inlineStr">
        <is>
          <t>DALARNAS LÄN</t>
        </is>
      </c>
      <c r="G184" t="inlineStr">
        <is>
          <t>HEDEMORA</t>
        </is>
      </c>
      <c r="I184" t="n">
        <v>3.1</v>
      </c>
      <c r="J184" t="n">
        <v>0</v>
      </c>
      <c r="K184" t="n">
        <v>0</v>
      </c>
      <c r="L184" t="n">
        <v>0</v>
      </c>
      <c r="M184" t="n">
        <v>0</v>
      </c>
      <c r="N184" t="n">
        <v>0</v>
      </c>
      <c r="O184" t="n">
        <v>0</v>
      </c>
      <c r="P184" t="n">
        <v>0</v>
      </c>
      <c r="Q184" t="n">
        <v>0</v>
      </c>
      <c r="R184" t="n">
        <v>0</v>
      </c>
      <c r="S184" t="n">
        <v>0</v>
      </c>
      <c r="T184" t="n">
        <v>0</v>
      </c>
      <c r="U184" s="2" t="inlineStr"/>
    </row>
    <row r="185" ht="15" customHeight="1">
      <c r="A185" t="inlineStr">
        <is>
          <t>A 25925-2026</t>
        </is>
      </c>
      <c r="B185" t="inlineStr">
        <is>
          <t>avverkningsanmälan</t>
        </is>
      </c>
      <c r="C185" t="inlineStr">
        <is>
          <t>Föryngringsavverkning</t>
        </is>
      </c>
      <c r="D185" s="1" t="n">
        <v>46178</v>
      </c>
      <c r="E185" s="1" t="n">
        <v>46217</v>
      </c>
      <c r="F185" t="inlineStr">
        <is>
          <t>DALARNAS LÄN</t>
        </is>
      </c>
      <c r="G185" t="inlineStr">
        <is>
          <t>HEDEMORA</t>
        </is>
      </c>
      <c r="H185" t="inlineStr">
        <is>
          <t>Sveaskog</t>
        </is>
      </c>
      <c r="I185" t="n">
        <v>8</v>
      </c>
      <c r="J185" t="n">
        <v>0</v>
      </c>
      <c r="K185" t="n">
        <v>0</v>
      </c>
      <c r="L185" t="n">
        <v>0</v>
      </c>
      <c r="M185" t="n">
        <v>0</v>
      </c>
      <c r="N185" t="n">
        <v>0</v>
      </c>
      <c r="O185" t="n">
        <v>0</v>
      </c>
      <c r="P185" t="n">
        <v>0</v>
      </c>
      <c r="Q185" t="n">
        <v>0</v>
      </c>
      <c r="R185" t="n">
        <v>0</v>
      </c>
      <c r="S185" t="n">
        <v>0</v>
      </c>
      <c r="T185" t="n">
        <v>0</v>
      </c>
      <c r="U185" s="2" t="inlineStr"/>
    </row>
    <row r="186" ht="15" customHeight="1">
      <c r="A186" t="inlineStr">
        <is>
          <t>A 29585-2024</t>
        </is>
      </c>
      <c r="B186" t="inlineStr">
        <is>
          <t>avverkningsanmälan</t>
        </is>
      </c>
      <c r="C186" t="inlineStr">
        <is>
          <t>Föryngringsavverkning</t>
        </is>
      </c>
      <c r="D186" s="1" t="n">
        <v>45484</v>
      </c>
      <c r="E186" s="1" t="n">
        <v>46217</v>
      </c>
      <c r="F186" t="inlineStr">
        <is>
          <t>DALARNAS LÄN</t>
        </is>
      </c>
      <c r="G186" t="inlineStr">
        <is>
          <t>HEDEMORA</t>
        </is>
      </c>
      <c r="H186" t="inlineStr">
        <is>
          <t>Bergvik skog väst AB</t>
        </is>
      </c>
      <c r="I186" t="n">
        <v>8.1</v>
      </c>
      <c r="J186" t="n">
        <v>0</v>
      </c>
      <c r="K186" t="n">
        <v>0</v>
      </c>
      <c r="L186" t="n">
        <v>0</v>
      </c>
      <c r="M186" t="n">
        <v>0</v>
      </c>
      <c r="N186" t="n">
        <v>0</v>
      </c>
      <c r="O186" t="n">
        <v>0</v>
      </c>
      <c r="P186" t="n">
        <v>0</v>
      </c>
      <c r="Q186" t="n">
        <v>0</v>
      </c>
      <c r="R186" t="n">
        <v>0</v>
      </c>
      <c r="S186" t="n">
        <v>0</v>
      </c>
      <c r="T186" t="n">
        <v>0</v>
      </c>
      <c r="U186" s="2" t="inlineStr"/>
    </row>
    <row r="187" ht="15" customHeight="1">
      <c r="A187" t="inlineStr">
        <is>
          <t>A 15833-2025</t>
        </is>
      </c>
      <c r="B187" t="inlineStr">
        <is>
          <t>avverkningsanmälan</t>
        </is>
      </c>
      <c r="C187" t="inlineStr">
        <is>
          <t>Föryngringsavverkning</t>
        </is>
      </c>
      <c r="D187" s="1" t="n">
        <v>45748</v>
      </c>
      <c r="E187" s="1" t="n">
        <v>46217</v>
      </c>
      <c r="F187" t="inlineStr">
        <is>
          <t>DALARNAS LÄN</t>
        </is>
      </c>
      <c r="G187" t="inlineStr">
        <is>
          <t>HEDEMORA</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26705-2025</t>
        </is>
      </c>
      <c r="B188" t="inlineStr">
        <is>
          <t>avverkningsanmälan</t>
        </is>
      </c>
      <c r="C188" t="inlineStr">
        <is>
          <t>Föryngringsavverkning</t>
        </is>
      </c>
      <c r="D188" s="1" t="n">
        <v>45810</v>
      </c>
      <c r="E188" s="1" t="n">
        <v>46217</v>
      </c>
      <c r="F188" t="inlineStr">
        <is>
          <t>DALARNAS LÄN</t>
        </is>
      </c>
      <c r="G188" t="inlineStr">
        <is>
          <t>HEDEMORA</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48834-2023</t>
        </is>
      </c>
      <c r="B189" t="inlineStr">
        <is>
          <t>avverkningsanmälan</t>
        </is>
      </c>
      <c r="C189" t="inlineStr">
        <is>
          <t>Föryngringsavverkning</t>
        </is>
      </c>
      <c r="D189" s="1" t="n">
        <v>45209</v>
      </c>
      <c r="E189" s="1" t="n">
        <v>46217</v>
      </c>
      <c r="F189" t="inlineStr">
        <is>
          <t>DALARNAS LÄN</t>
        </is>
      </c>
      <c r="G189" t="inlineStr">
        <is>
          <t>HEDEMORA</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39552-2024</t>
        </is>
      </c>
      <c r="B190" t="inlineStr">
        <is>
          <t>avverkningsanmälan</t>
        </is>
      </c>
      <c r="C190" t="inlineStr">
        <is>
          <t>Föryngringsavverkning</t>
        </is>
      </c>
      <c r="D190" s="1" t="n">
        <v>45551</v>
      </c>
      <c r="E190" s="1" t="n">
        <v>46217</v>
      </c>
      <c r="F190" t="inlineStr">
        <is>
          <t>DALARNAS LÄN</t>
        </is>
      </c>
      <c r="G190" t="inlineStr">
        <is>
          <t>HEDEMORA</t>
        </is>
      </c>
      <c r="H190" t="inlineStr">
        <is>
          <t>Bergvik skog väst AB</t>
        </is>
      </c>
      <c r="I190" t="n">
        <v>24.1</v>
      </c>
      <c r="J190" t="n">
        <v>0</v>
      </c>
      <c r="K190" t="n">
        <v>0</v>
      </c>
      <c r="L190" t="n">
        <v>0</v>
      </c>
      <c r="M190" t="n">
        <v>0</v>
      </c>
      <c r="N190" t="n">
        <v>0</v>
      </c>
      <c r="O190" t="n">
        <v>0</v>
      </c>
      <c r="P190" t="n">
        <v>0</v>
      </c>
      <c r="Q190" t="n">
        <v>0</v>
      </c>
      <c r="R190" t="n">
        <v>0</v>
      </c>
      <c r="S190" t="n">
        <v>0</v>
      </c>
      <c r="T190" t="n">
        <v>0</v>
      </c>
      <c r="U190" s="2" t="inlineStr"/>
    </row>
    <row r="191" ht="15" customHeight="1">
      <c r="A191" t="inlineStr">
        <is>
          <t>A 12136-2025</t>
        </is>
      </c>
      <c r="B191" t="inlineStr">
        <is>
          <t>avverkningsanmälan</t>
        </is>
      </c>
      <c r="C191" t="inlineStr">
        <is>
          <t>Föryngringsavverkning</t>
        </is>
      </c>
      <c r="D191" s="1" t="n">
        <v>45729</v>
      </c>
      <c r="E191" s="1" t="n">
        <v>46217</v>
      </c>
      <c r="F191" t="inlineStr">
        <is>
          <t>DALARNAS LÄN</t>
        </is>
      </c>
      <c r="G191" t="inlineStr">
        <is>
          <t>HEDEMORA</t>
        </is>
      </c>
      <c r="I191" t="n">
        <v>1.5</v>
      </c>
      <c r="J191" t="n">
        <v>0</v>
      </c>
      <c r="K191" t="n">
        <v>0</v>
      </c>
      <c r="L191" t="n">
        <v>0</v>
      </c>
      <c r="M191" t="n">
        <v>0</v>
      </c>
      <c r="N191" t="n">
        <v>0</v>
      </c>
      <c r="O191" t="n">
        <v>0</v>
      </c>
      <c r="P191" t="n">
        <v>0</v>
      </c>
      <c r="Q191" t="n">
        <v>0</v>
      </c>
      <c r="R191" t="n">
        <v>0</v>
      </c>
      <c r="S191" t="n">
        <v>0</v>
      </c>
      <c r="T191" t="n">
        <v>0</v>
      </c>
      <c r="U191" s="2" t="inlineStr"/>
    </row>
    <row r="192" ht="15" customHeight="1">
      <c r="A192" t="inlineStr">
        <is>
          <t>A 9106-2026</t>
        </is>
      </c>
      <c r="B192" t="inlineStr">
        <is>
          <t>avverkningsanmälan</t>
        </is>
      </c>
      <c r="C192" t="inlineStr">
        <is>
          <t>Föryngringsavverkning</t>
        </is>
      </c>
      <c r="D192" s="1" t="n">
        <v>46069</v>
      </c>
      <c r="E192" s="1" t="n">
        <v>46217</v>
      </c>
      <c r="F192" t="inlineStr">
        <is>
          <t>DALARNAS LÄN</t>
        </is>
      </c>
      <c r="G192" t="inlineStr">
        <is>
          <t>HEDEMORA</t>
        </is>
      </c>
      <c r="I192" t="n">
        <v>1.4</v>
      </c>
      <c r="J192" t="n">
        <v>0</v>
      </c>
      <c r="K192" t="n">
        <v>0</v>
      </c>
      <c r="L192" t="n">
        <v>0</v>
      </c>
      <c r="M192" t="n">
        <v>0</v>
      </c>
      <c r="N192" t="n">
        <v>0</v>
      </c>
      <c r="O192" t="n">
        <v>0</v>
      </c>
      <c r="P192" t="n">
        <v>0</v>
      </c>
      <c r="Q192" t="n">
        <v>0</v>
      </c>
      <c r="R192" t="n">
        <v>0</v>
      </c>
      <c r="S192" t="n">
        <v>0</v>
      </c>
      <c r="T192" t="n">
        <v>0</v>
      </c>
      <c r="U192" s="2" t="inlineStr"/>
    </row>
    <row r="193" ht="15" customHeight="1">
      <c r="A193" t="inlineStr">
        <is>
          <t>A 25924-2026</t>
        </is>
      </c>
      <c r="B193" t="inlineStr">
        <is>
          <t>avverkningsanmälan</t>
        </is>
      </c>
      <c r="C193" t="inlineStr">
        <is>
          <t>Föryngringsavverkning</t>
        </is>
      </c>
      <c r="D193" s="1" t="n">
        <v>46178</v>
      </c>
      <c r="E193" s="1" t="n">
        <v>46217</v>
      </c>
      <c r="F193" t="inlineStr">
        <is>
          <t>DALARNAS LÄN</t>
        </is>
      </c>
      <c r="G193" t="inlineStr">
        <is>
          <t>HEDEMORA</t>
        </is>
      </c>
      <c r="H193" t="inlineStr">
        <is>
          <t>Sveaskog</t>
        </is>
      </c>
      <c r="I193" t="n">
        <v>18.3</v>
      </c>
      <c r="J193" t="n">
        <v>0</v>
      </c>
      <c r="K193" t="n">
        <v>0</v>
      </c>
      <c r="L193" t="n">
        <v>0</v>
      </c>
      <c r="M193" t="n">
        <v>0</v>
      </c>
      <c r="N193" t="n">
        <v>0</v>
      </c>
      <c r="O193" t="n">
        <v>0</v>
      </c>
      <c r="P193" t="n">
        <v>0</v>
      </c>
      <c r="Q193" t="n">
        <v>0</v>
      </c>
      <c r="R193" t="n">
        <v>0</v>
      </c>
      <c r="S193" t="n">
        <v>0</v>
      </c>
      <c r="T193" t="n">
        <v>0</v>
      </c>
      <c r="U193" s="2" t="inlineStr"/>
    </row>
    <row r="194" ht="15" customHeight="1">
      <c r="A194" t="inlineStr">
        <is>
          <t>A 1721-2026</t>
        </is>
      </c>
      <c r="B194" t="inlineStr">
        <is>
          <t>avverkningsanmälan</t>
        </is>
      </c>
      <c r="C194" t="inlineStr">
        <is>
          <t>Föryngringsavverkning</t>
        </is>
      </c>
      <c r="D194" s="1" t="n">
        <v>46034</v>
      </c>
      <c r="E194" s="1" t="n">
        <v>46217</v>
      </c>
      <c r="F194" t="inlineStr">
        <is>
          <t>DALARNAS LÄN</t>
        </is>
      </c>
      <c r="G194" t="inlineStr">
        <is>
          <t>HEDEMORA</t>
        </is>
      </c>
      <c r="I194" t="n">
        <v>4.4</v>
      </c>
      <c r="J194" t="n">
        <v>0</v>
      </c>
      <c r="K194" t="n">
        <v>0</v>
      </c>
      <c r="L194" t="n">
        <v>0</v>
      </c>
      <c r="M194" t="n">
        <v>0</v>
      </c>
      <c r="N194" t="n">
        <v>0</v>
      </c>
      <c r="O194" t="n">
        <v>0</v>
      </c>
      <c r="P194" t="n">
        <v>0</v>
      </c>
      <c r="Q194" t="n">
        <v>0</v>
      </c>
      <c r="R194" t="n">
        <v>0</v>
      </c>
      <c r="S194" t="n">
        <v>0</v>
      </c>
      <c r="T194" t="n">
        <v>0</v>
      </c>
      <c r="U194" s="2" t="inlineStr"/>
    </row>
    <row r="195" ht="15" customHeight="1">
      <c r="A195" t="inlineStr">
        <is>
          <t>A 50333-2023</t>
        </is>
      </c>
      <c r="B195" t="inlineStr">
        <is>
          <t>avverkningsanmälan</t>
        </is>
      </c>
      <c r="C195" t="inlineStr">
        <is>
          <t>Avverkning för att bevara och utveckla /försöksver</t>
        </is>
      </c>
      <c r="D195" s="1" t="n">
        <v>45216</v>
      </c>
      <c r="E195" s="1" t="n">
        <v>46217</v>
      </c>
      <c r="F195" t="inlineStr">
        <is>
          <t>DALARNAS LÄN</t>
        </is>
      </c>
      <c r="G195" t="inlineStr">
        <is>
          <t>HEDEMORA</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22270-2023</t>
        </is>
      </c>
      <c r="B196" t="inlineStr">
        <is>
          <t>avverkningsanmälan</t>
        </is>
      </c>
      <c r="C196" t="inlineStr">
        <is>
          <t>Föryngringsavverkning</t>
        </is>
      </c>
      <c r="D196" s="1" t="n">
        <v>45070</v>
      </c>
      <c r="E196" s="1" t="n">
        <v>46217</v>
      </c>
      <c r="F196" t="inlineStr">
        <is>
          <t>DALARNAS LÄN</t>
        </is>
      </c>
      <c r="G196" t="inlineStr">
        <is>
          <t>HEDEMORA</t>
        </is>
      </c>
      <c r="I196" t="n">
        <v>1.8</v>
      </c>
      <c r="J196" t="n">
        <v>0</v>
      </c>
      <c r="K196" t="n">
        <v>0</v>
      </c>
      <c r="L196" t="n">
        <v>0</v>
      </c>
      <c r="M196" t="n">
        <v>0</v>
      </c>
      <c r="N196" t="n">
        <v>0</v>
      </c>
      <c r="O196" t="n">
        <v>0</v>
      </c>
      <c r="P196" t="n">
        <v>0</v>
      </c>
      <c r="Q196" t="n">
        <v>0</v>
      </c>
      <c r="R196" t="n">
        <v>0</v>
      </c>
      <c r="S196" t="n">
        <v>0</v>
      </c>
      <c r="T196" t="n">
        <v>0</v>
      </c>
      <c r="U196" s="2" t="inlineStr"/>
    </row>
    <row r="197" ht="15" customHeight="1">
      <c r="A197" t="inlineStr">
        <is>
          <t>A 53576-2023</t>
        </is>
      </c>
      <c r="B197" t="inlineStr">
        <is>
          <t>avverkningsanmälan</t>
        </is>
      </c>
      <c r="C197" t="inlineStr">
        <is>
          <t>Föryngringsavverkning</t>
        </is>
      </c>
      <c r="D197" s="1" t="n">
        <v>45230</v>
      </c>
      <c r="E197" s="1" t="n">
        <v>46217</v>
      </c>
      <c r="F197" t="inlineStr">
        <is>
          <t>DALARNAS LÄN</t>
        </is>
      </c>
      <c r="G197" t="inlineStr">
        <is>
          <t>HEDEMORA</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20385-2026</t>
        </is>
      </c>
      <c r="B198" t="inlineStr">
        <is>
          <t>avverkningsanmälan</t>
        </is>
      </c>
      <c r="C198" t="inlineStr">
        <is>
          <t>Föryngringsavverkning</t>
        </is>
      </c>
      <c r="D198" s="1" t="n">
        <v>46139</v>
      </c>
      <c r="E198" s="1" t="n">
        <v>46217</v>
      </c>
      <c r="F198" t="inlineStr">
        <is>
          <t>DALARNAS LÄN</t>
        </is>
      </c>
      <c r="G198" t="inlineStr">
        <is>
          <t>HEDEMORA</t>
        </is>
      </c>
      <c r="H198" t="inlineStr">
        <is>
          <t>Sveaskog</t>
        </is>
      </c>
      <c r="I198" t="n">
        <v>15.4</v>
      </c>
      <c r="J198" t="n">
        <v>0</v>
      </c>
      <c r="K198" t="n">
        <v>0</v>
      </c>
      <c r="L198" t="n">
        <v>0</v>
      </c>
      <c r="M198" t="n">
        <v>0</v>
      </c>
      <c r="N198" t="n">
        <v>0</v>
      </c>
      <c r="O198" t="n">
        <v>0</v>
      </c>
      <c r="P198" t="n">
        <v>0</v>
      </c>
      <c r="Q198" t="n">
        <v>0</v>
      </c>
      <c r="R198" t="n">
        <v>0</v>
      </c>
      <c r="S198" t="n">
        <v>0</v>
      </c>
      <c r="T198" t="n">
        <v>0</v>
      </c>
      <c r="U198" s="2" t="inlineStr"/>
    </row>
    <row r="199" ht="15" customHeight="1">
      <c r="A199" t="inlineStr">
        <is>
          <t>A 51615-2025</t>
        </is>
      </c>
      <c r="B199" t="inlineStr">
        <is>
          <t>avverkningsanmälan</t>
        </is>
      </c>
      <c r="C199" t="inlineStr">
        <is>
          <t>Föryngringsavverkning</t>
        </is>
      </c>
      <c r="D199" s="1" t="n">
        <v>45951</v>
      </c>
      <c r="E199" s="1" t="n">
        <v>46217</v>
      </c>
      <c r="F199" t="inlineStr">
        <is>
          <t>DALARNAS LÄN</t>
        </is>
      </c>
      <c r="G199" t="inlineStr">
        <is>
          <t>HEDEMORA</t>
        </is>
      </c>
      <c r="I199" t="n">
        <v>1.8</v>
      </c>
      <c r="J199" t="n">
        <v>0</v>
      </c>
      <c r="K199" t="n">
        <v>0</v>
      </c>
      <c r="L199" t="n">
        <v>0</v>
      </c>
      <c r="M199" t="n">
        <v>0</v>
      </c>
      <c r="N199" t="n">
        <v>0</v>
      </c>
      <c r="O199" t="n">
        <v>0</v>
      </c>
      <c r="P199" t="n">
        <v>0</v>
      </c>
      <c r="Q199" t="n">
        <v>0</v>
      </c>
      <c r="R199" t="n">
        <v>0</v>
      </c>
      <c r="S199" t="n">
        <v>0</v>
      </c>
      <c r="T199" t="n">
        <v>0</v>
      </c>
      <c r="U199" s="2" t="inlineStr"/>
    </row>
    <row r="200" ht="15" customHeight="1">
      <c r="A200" t="inlineStr">
        <is>
          <t>A 27610-2024</t>
        </is>
      </c>
      <c r="B200" t="inlineStr">
        <is>
          <t>avverkningsanmälan</t>
        </is>
      </c>
      <c r="C200" t="inlineStr">
        <is>
          <t>Föryngringsavverkning</t>
        </is>
      </c>
      <c r="D200" s="1" t="n">
        <v>45474</v>
      </c>
      <c r="E200" s="1" t="n">
        <v>46217</v>
      </c>
      <c r="F200" t="inlineStr">
        <is>
          <t>DALARNAS LÄN</t>
        </is>
      </c>
      <c r="G200" t="inlineStr">
        <is>
          <t>HEDEMORA</t>
        </is>
      </c>
      <c r="H200" t="inlineStr">
        <is>
          <t>Sveaskog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51695-2025</t>
        </is>
      </c>
      <c r="B201" t="inlineStr">
        <is>
          <t>avverkningsanmälan</t>
        </is>
      </c>
      <c r="C201" t="inlineStr">
        <is>
          <t>Föryngringsavverkning</t>
        </is>
      </c>
      <c r="D201" s="1" t="n">
        <v>45951</v>
      </c>
      <c r="E201" s="1" t="n">
        <v>46217</v>
      </c>
      <c r="F201" t="inlineStr">
        <is>
          <t>DALARNAS LÄN</t>
        </is>
      </c>
      <c r="G201" t="inlineStr">
        <is>
          <t>HEDEMORA</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52714-2025</t>
        </is>
      </c>
      <c r="B202" t="inlineStr">
        <is>
          <t>avverkningsanmälan</t>
        </is>
      </c>
      <c r="C202" t="inlineStr">
        <is>
          <t>Föryngringsavverkning</t>
        </is>
      </c>
      <c r="D202" s="1" t="n">
        <v>45953</v>
      </c>
      <c r="E202" s="1" t="n">
        <v>46217</v>
      </c>
      <c r="F202" t="inlineStr">
        <is>
          <t>DALARNAS LÄN</t>
        </is>
      </c>
      <c r="G202" t="inlineStr">
        <is>
          <t>HEDEMORA</t>
        </is>
      </c>
      <c r="H202" t="inlineStr">
        <is>
          <t>Bergvik skog väst AB</t>
        </is>
      </c>
      <c r="I202" t="n">
        <v>14.7</v>
      </c>
      <c r="J202" t="n">
        <v>0</v>
      </c>
      <c r="K202" t="n">
        <v>0</v>
      </c>
      <c r="L202" t="n">
        <v>0</v>
      </c>
      <c r="M202" t="n">
        <v>0</v>
      </c>
      <c r="N202" t="n">
        <v>0</v>
      </c>
      <c r="O202" t="n">
        <v>0</v>
      </c>
      <c r="P202" t="n">
        <v>0</v>
      </c>
      <c r="Q202" t="n">
        <v>0</v>
      </c>
      <c r="R202" t="n">
        <v>0</v>
      </c>
      <c r="S202" t="n">
        <v>0</v>
      </c>
      <c r="T202" t="n">
        <v>0</v>
      </c>
      <c r="U202" s="2" t="inlineStr"/>
    </row>
    <row r="203" ht="15" customHeight="1">
      <c r="A203" t="inlineStr">
        <is>
          <t>A 51943-2025</t>
        </is>
      </c>
      <c r="B203" t="inlineStr">
        <is>
          <t>avverkningsanmälan</t>
        </is>
      </c>
      <c r="C203" t="inlineStr">
        <is>
          <t>Föryngringsavverkning</t>
        </is>
      </c>
      <c r="D203" s="1" t="n">
        <v>45952</v>
      </c>
      <c r="E203" s="1" t="n">
        <v>46217</v>
      </c>
      <c r="F203" t="inlineStr">
        <is>
          <t>DALARNAS LÄN</t>
        </is>
      </c>
      <c r="G203" t="inlineStr">
        <is>
          <t>HEDEMORA</t>
        </is>
      </c>
      <c r="I203" t="n">
        <v>4.5</v>
      </c>
      <c r="J203" t="n">
        <v>0</v>
      </c>
      <c r="K203" t="n">
        <v>0</v>
      </c>
      <c r="L203" t="n">
        <v>0</v>
      </c>
      <c r="M203" t="n">
        <v>0</v>
      </c>
      <c r="N203" t="n">
        <v>0</v>
      </c>
      <c r="O203" t="n">
        <v>0</v>
      </c>
      <c r="P203" t="n">
        <v>0</v>
      </c>
      <c r="Q203" t="n">
        <v>0</v>
      </c>
      <c r="R203" t="n">
        <v>0</v>
      </c>
      <c r="S203" t="n">
        <v>0</v>
      </c>
      <c r="T203" t="n">
        <v>0</v>
      </c>
      <c r="U203" s="2" t="inlineStr"/>
    </row>
    <row r="204" ht="15" customHeight="1">
      <c r="A204" t="inlineStr">
        <is>
          <t>A 48323-2021</t>
        </is>
      </c>
      <c r="B204" t="inlineStr">
        <is>
          <t>avverkningsanmälan</t>
        </is>
      </c>
      <c r="C204" t="inlineStr">
        <is>
          <t>Föryngringsavverkning</t>
        </is>
      </c>
      <c r="D204" s="1" t="n">
        <v>44450</v>
      </c>
      <c r="E204" s="1" t="n">
        <v>46217</v>
      </c>
      <c r="F204" t="inlineStr">
        <is>
          <t>DALARNAS LÄN</t>
        </is>
      </c>
      <c r="G204" t="inlineStr">
        <is>
          <t>HEDEMORA</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53044-2025</t>
        </is>
      </c>
      <c r="B205" t="inlineStr">
        <is>
          <t>avverkningsanmälan</t>
        </is>
      </c>
      <c r="C205" t="inlineStr">
        <is>
          <t>Föryngringsavverkning</t>
        </is>
      </c>
      <c r="D205" s="1" t="n">
        <v>45958</v>
      </c>
      <c r="E205" s="1" t="n">
        <v>46217</v>
      </c>
      <c r="F205" t="inlineStr">
        <is>
          <t>DALARNAS LÄN</t>
        </is>
      </c>
      <c r="G205" t="inlineStr">
        <is>
          <t>HEDEMORA</t>
        </is>
      </c>
      <c r="H205" t="inlineStr">
        <is>
          <t>Sveaskog</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53040-2025</t>
        </is>
      </c>
      <c r="B206" t="inlineStr">
        <is>
          <t>avverkningsanmälan</t>
        </is>
      </c>
      <c r="C206" t="inlineStr">
        <is>
          <t>Föryngringsavverkning</t>
        </is>
      </c>
      <c r="D206" s="1" t="n">
        <v>45958</v>
      </c>
      <c r="E206" s="1" t="n">
        <v>46217</v>
      </c>
      <c r="F206" t="inlineStr">
        <is>
          <t>DALARNAS LÄN</t>
        </is>
      </c>
      <c r="G206" t="inlineStr">
        <is>
          <t>HEDEMORA</t>
        </is>
      </c>
      <c r="H206" t="inlineStr">
        <is>
          <t>Sveaskog</t>
        </is>
      </c>
      <c r="I206" t="n">
        <v>1.9</v>
      </c>
      <c r="J206" t="n">
        <v>0</v>
      </c>
      <c r="K206" t="n">
        <v>0</v>
      </c>
      <c r="L206" t="n">
        <v>0</v>
      </c>
      <c r="M206" t="n">
        <v>0</v>
      </c>
      <c r="N206" t="n">
        <v>0</v>
      </c>
      <c r="O206" t="n">
        <v>0</v>
      </c>
      <c r="P206" t="n">
        <v>0</v>
      </c>
      <c r="Q206" t="n">
        <v>0</v>
      </c>
      <c r="R206" t="n">
        <v>0</v>
      </c>
      <c r="S206" t="n">
        <v>0</v>
      </c>
      <c r="T206" t="n">
        <v>0</v>
      </c>
      <c r="U206" s="2" t="inlineStr"/>
    </row>
    <row r="207" ht="15" customHeight="1">
      <c r="A207" t="inlineStr">
        <is>
          <t>A 68553-2021</t>
        </is>
      </c>
      <c r="B207" t="inlineStr">
        <is>
          <t>avverkningsanmälan</t>
        </is>
      </c>
      <c r="C207" t="inlineStr">
        <is>
          <t>Föryngringsavverkning</t>
        </is>
      </c>
      <c r="D207" s="1" t="n">
        <v>44529</v>
      </c>
      <c r="E207" s="1" t="n">
        <v>46217</v>
      </c>
      <c r="F207" t="inlineStr">
        <is>
          <t>DALARNAS LÄN</t>
        </is>
      </c>
      <c r="G207" t="inlineStr">
        <is>
          <t>HEDEMORA</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17600-2025</t>
        </is>
      </c>
      <c r="B208" t="inlineStr">
        <is>
          <t>avverkningsanmälan</t>
        </is>
      </c>
      <c r="C208" t="inlineStr">
        <is>
          <t>Föryngringsavverkning</t>
        </is>
      </c>
      <c r="D208" s="1" t="n">
        <v>45757</v>
      </c>
      <c r="E208" s="1" t="n">
        <v>46217</v>
      </c>
      <c r="F208" t="inlineStr">
        <is>
          <t>DALARNAS LÄN</t>
        </is>
      </c>
      <c r="G208" t="inlineStr">
        <is>
          <t>HEDEMORA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54040-2025</t>
        </is>
      </c>
      <c r="B209" t="inlineStr">
        <is>
          <t>avverkningsanmälan</t>
        </is>
      </c>
      <c r="C209" t="inlineStr">
        <is>
          <t>Föryngringsavverkning</t>
        </is>
      </c>
      <c r="D209" s="1" t="n">
        <v>45963</v>
      </c>
      <c r="E209" s="1" t="n">
        <v>46217</v>
      </c>
      <c r="F209" t="inlineStr">
        <is>
          <t>DALARNAS LÄN</t>
        </is>
      </c>
      <c r="G209" t="inlineStr">
        <is>
          <t>HEDEMORA</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23435-2025</t>
        </is>
      </c>
      <c r="B210" t="inlineStr">
        <is>
          <t>avverkningsanmälan</t>
        </is>
      </c>
      <c r="C210" t="inlineStr">
        <is>
          <t>Föryngringsavverkning</t>
        </is>
      </c>
      <c r="D210" s="1" t="n">
        <v>45792</v>
      </c>
      <c r="E210" s="1" t="n">
        <v>46217</v>
      </c>
      <c r="F210" t="inlineStr">
        <is>
          <t>DALARNAS LÄN</t>
        </is>
      </c>
      <c r="G210" t="inlineStr">
        <is>
          <t>HEDEMORA</t>
        </is>
      </c>
      <c r="H210" t="inlineStr">
        <is>
          <t>Sveaskog</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21869-2025</t>
        </is>
      </c>
      <c r="B211" t="inlineStr">
        <is>
          <t>avverkningsanmälan</t>
        </is>
      </c>
      <c r="C211" t="inlineStr">
        <is>
          <t>Föryngringsavverkning</t>
        </is>
      </c>
      <c r="D211" s="1" t="n">
        <v>45784</v>
      </c>
      <c r="E211" s="1" t="n">
        <v>46217</v>
      </c>
      <c r="F211" t="inlineStr">
        <is>
          <t>DALARNAS LÄN</t>
        </is>
      </c>
      <c r="G211" t="inlineStr">
        <is>
          <t>HEDEMORA</t>
        </is>
      </c>
      <c r="H211" t="inlineStr">
        <is>
          <t>Sveaskog</t>
        </is>
      </c>
      <c r="I211" t="n">
        <v>3.3</v>
      </c>
      <c r="J211" t="n">
        <v>0</v>
      </c>
      <c r="K211" t="n">
        <v>0</v>
      </c>
      <c r="L211" t="n">
        <v>0</v>
      </c>
      <c r="M211" t="n">
        <v>0</v>
      </c>
      <c r="N211" t="n">
        <v>0</v>
      </c>
      <c r="O211" t="n">
        <v>0</v>
      </c>
      <c r="P211" t="n">
        <v>0</v>
      </c>
      <c r="Q211" t="n">
        <v>0</v>
      </c>
      <c r="R211" t="n">
        <v>0</v>
      </c>
      <c r="S211" t="n">
        <v>0</v>
      </c>
      <c r="T211" t="n">
        <v>0</v>
      </c>
      <c r="U211" s="2" t="inlineStr"/>
    </row>
    <row r="212" ht="15" customHeight="1">
      <c r="A212" t="inlineStr">
        <is>
          <t>A 32738-2022</t>
        </is>
      </c>
      <c r="B212" t="inlineStr">
        <is>
          <t>avverkningsanmälan</t>
        </is>
      </c>
      <c r="C212" t="inlineStr">
        <is>
          <t>Föryngringsavverkning</t>
        </is>
      </c>
      <c r="D212" s="1" t="n">
        <v>44783</v>
      </c>
      <c r="E212" s="1" t="n">
        <v>46217</v>
      </c>
      <c r="F212" t="inlineStr">
        <is>
          <t>DALARNAS LÄN</t>
        </is>
      </c>
      <c r="G212" t="inlineStr">
        <is>
          <t>HEDEMORA</t>
        </is>
      </c>
      <c r="I212" t="n">
        <v>2.6</v>
      </c>
      <c r="J212" t="n">
        <v>0</v>
      </c>
      <c r="K212" t="n">
        <v>0</v>
      </c>
      <c r="L212" t="n">
        <v>0</v>
      </c>
      <c r="M212" t="n">
        <v>0</v>
      </c>
      <c r="N212" t="n">
        <v>0</v>
      </c>
      <c r="O212" t="n">
        <v>0</v>
      </c>
      <c r="P212" t="n">
        <v>0</v>
      </c>
      <c r="Q212" t="n">
        <v>0</v>
      </c>
      <c r="R212" t="n">
        <v>0</v>
      </c>
      <c r="S212" t="n">
        <v>0</v>
      </c>
      <c r="T212" t="n">
        <v>0</v>
      </c>
      <c r="U212" s="2" t="inlineStr"/>
    </row>
    <row r="213" ht="15" customHeight="1">
      <c r="A213" t="inlineStr">
        <is>
          <t>A 33287-2025</t>
        </is>
      </c>
      <c r="B213" t="inlineStr">
        <is>
          <t>avverkningsanmälan</t>
        </is>
      </c>
      <c r="C213" t="inlineStr">
        <is>
          <t>Föryngringsavverkning</t>
        </is>
      </c>
      <c r="D213" s="1" t="n">
        <v>45840</v>
      </c>
      <c r="E213" s="1" t="n">
        <v>46217</v>
      </c>
      <c r="F213" t="inlineStr">
        <is>
          <t>DALARNAS LÄN</t>
        </is>
      </c>
      <c r="G213" t="inlineStr">
        <is>
          <t>HEDEMORA</t>
        </is>
      </c>
      <c r="H213" t="inlineStr">
        <is>
          <t>Sveaskog</t>
        </is>
      </c>
      <c r="I213" t="n">
        <v>4.1</v>
      </c>
      <c r="J213" t="n">
        <v>0</v>
      </c>
      <c r="K213" t="n">
        <v>0</v>
      </c>
      <c r="L213" t="n">
        <v>0</v>
      </c>
      <c r="M213" t="n">
        <v>0</v>
      </c>
      <c r="N213" t="n">
        <v>0</v>
      </c>
      <c r="O213" t="n">
        <v>0</v>
      </c>
      <c r="P213" t="n">
        <v>0</v>
      </c>
      <c r="Q213" t="n">
        <v>0</v>
      </c>
      <c r="R213" t="n">
        <v>0</v>
      </c>
      <c r="S213" t="n">
        <v>0</v>
      </c>
      <c r="T213" t="n">
        <v>0</v>
      </c>
      <c r="U213" s="2" t="inlineStr"/>
    </row>
    <row r="214" ht="15" customHeight="1">
      <c r="A214" t="inlineStr">
        <is>
          <t>A 28029-2023</t>
        </is>
      </c>
      <c r="B214" t="inlineStr">
        <is>
          <t>avverkningsanmälan</t>
        </is>
      </c>
      <c r="C214" t="inlineStr">
        <is>
          <t>Avverkning för annat ändamål</t>
        </is>
      </c>
      <c r="D214" s="1" t="n">
        <v>45099</v>
      </c>
      <c r="E214" s="1" t="n">
        <v>46217</v>
      </c>
      <c r="F214" t="inlineStr">
        <is>
          <t>DALARNAS LÄN</t>
        </is>
      </c>
      <c r="G214" t="inlineStr">
        <is>
          <t>HEDEMORA</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63829-2025</t>
        </is>
      </c>
      <c r="B215" t="inlineStr">
        <is>
          <t>avverkningsanmälan</t>
        </is>
      </c>
      <c r="C215" t="inlineStr">
        <is>
          <t>Föryngringsavverkning</t>
        </is>
      </c>
      <c r="D215" s="1" t="n">
        <v>46020</v>
      </c>
      <c r="E215" s="1" t="n">
        <v>46217</v>
      </c>
      <c r="F215" t="inlineStr">
        <is>
          <t>DALARNAS LÄN</t>
        </is>
      </c>
      <c r="G215" t="inlineStr">
        <is>
          <t>HEDEMORA</t>
        </is>
      </c>
      <c r="I215" t="n">
        <v>3.9</v>
      </c>
      <c r="J215" t="n">
        <v>0</v>
      </c>
      <c r="K215" t="n">
        <v>0</v>
      </c>
      <c r="L215" t="n">
        <v>0</v>
      </c>
      <c r="M215" t="n">
        <v>0</v>
      </c>
      <c r="N215" t="n">
        <v>0</v>
      </c>
      <c r="O215" t="n">
        <v>0</v>
      </c>
      <c r="P215" t="n">
        <v>0</v>
      </c>
      <c r="Q215" t="n">
        <v>0</v>
      </c>
      <c r="R215" t="n">
        <v>0</v>
      </c>
      <c r="S215" t="n">
        <v>0</v>
      </c>
      <c r="T215" t="n">
        <v>0</v>
      </c>
      <c r="U215" s="2" t="inlineStr"/>
    </row>
    <row r="216" ht="15" customHeight="1">
      <c r="A216" t="inlineStr">
        <is>
          <t>A 55159-2025</t>
        </is>
      </c>
      <c r="B216" t="inlineStr">
        <is>
          <t>avverkningsanmälan</t>
        </is>
      </c>
      <c r="C216" t="inlineStr">
        <is>
          <t>Föryngringsavverkning</t>
        </is>
      </c>
      <c r="D216" s="1" t="n">
        <v>45968</v>
      </c>
      <c r="E216" s="1" t="n">
        <v>46217</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48147-2025</t>
        </is>
      </c>
      <c r="B217" t="inlineStr">
        <is>
          <t>avverkningsanmälan</t>
        </is>
      </c>
      <c r="C217" t="inlineStr">
        <is>
          <t>Föryngringsavverkning</t>
        </is>
      </c>
      <c r="D217" s="1" t="n">
        <v>45933</v>
      </c>
      <c r="E217" s="1" t="n">
        <v>46217</v>
      </c>
      <c r="F217" t="inlineStr">
        <is>
          <t>DALARNAS LÄN</t>
        </is>
      </c>
      <c r="G217" t="inlineStr">
        <is>
          <t>HEDEMORA</t>
        </is>
      </c>
      <c r="I217" t="n">
        <v>6.6</v>
      </c>
      <c r="J217" t="n">
        <v>0</v>
      </c>
      <c r="K217" t="n">
        <v>0</v>
      </c>
      <c r="L217" t="n">
        <v>0</v>
      </c>
      <c r="M217" t="n">
        <v>0</v>
      </c>
      <c r="N217" t="n">
        <v>0</v>
      </c>
      <c r="O217" t="n">
        <v>0</v>
      </c>
      <c r="P217" t="n">
        <v>0</v>
      </c>
      <c r="Q217" t="n">
        <v>0</v>
      </c>
      <c r="R217" t="n">
        <v>0</v>
      </c>
      <c r="S217" t="n">
        <v>0</v>
      </c>
      <c r="T217" t="n">
        <v>0</v>
      </c>
      <c r="U217" s="2" t="inlineStr"/>
    </row>
    <row r="218" ht="15" customHeight="1">
      <c r="A218" t="inlineStr">
        <is>
          <t>A 39389-2025</t>
        </is>
      </c>
      <c r="B218" t="inlineStr">
        <is>
          <t>avverkningsanmälan</t>
        </is>
      </c>
      <c r="C218" t="inlineStr">
        <is>
          <t>Föryngringsavverkning</t>
        </is>
      </c>
      <c r="D218" s="1" t="n">
        <v>45889</v>
      </c>
      <c r="E218" s="1" t="n">
        <v>46217</v>
      </c>
      <c r="F218" t="inlineStr">
        <is>
          <t>DALARNAS LÄN</t>
        </is>
      </c>
      <c r="G218" t="inlineStr">
        <is>
          <t>HEDEMORA</t>
        </is>
      </c>
      <c r="H218" t="inlineStr">
        <is>
          <t>Sveaskog</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33288-2025</t>
        </is>
      </c>
      <c r="B219" t="inlineStr">
        <is>
          <t>avverkningsanmälan</t>
        </is>
      </c>
      <c r="C219" t="inlineStr">
        <is>
          <t>Föryngringsavverkning</t>
        </is>
      </c>
      <c r="D219" s="1" t="n">
        <v>45840</v>
      </c>
      <c r="E219" s="1" t="n">
        <v>46217</v>
      </c>
      <c r="F219" t="inlineStr">
        <is>
          <t>DALARNAS LÄN</t>
        </is>
      </c>
      <c r="G219" t="inlineStr">
        <is>
          <t>HEDEMORA</t>
        </is>
      </c>
      <c r="H219" t="inlineStr">
        <is>
          <t>Sveaskog</t>
        </is>
      </c>
      <c r="I219" t="n">
        <v>3.5</v>
      </c>
      <c r="J219" t="n">
        <v>0</v>
      </c>
      <c r="K219" t="n">
        <v>0</v>
      </c>
      <c r="L219" t="n">
        <v>0</v>
      </c>
      <c r="M219" t="n">
        <v>0</v>
      </c>
      <c r="N219" t="n">
        <v>0</v>
      </c>
      <c r="O219" t="n">
        <v>0</v>
      </c>
      <c r="P219" t="n">
        <v>0</v>
      </c>
      <c r="Q219" t="n">
        <v>0</v>
      </c>
      <c r="R219" t="n">
        <v>0</v>
      </c>
      <c r="S219" t="n">
        <v>0</v>
      </c>
      <c r="T219" t="n">
        <v>0</v>
      </c>
      <c r="U219" s="2" t="inlineStr"/>
    </row>
    <row r="220" ht="15" customHeight="1">
      <c r="A220" t="inlineStr">
        <is>
          <t>A 55606-2025</t>
        </is>
      </c>
      <c r="B220" t="inlineStr">
        <is>
          <t>avverkningsanmälan</t>
        </is>
      </c>
      <c r="C220" t="inlineStr">
        <is>
          <t>Föryngringsavverkning</t>
        </is>
      </c>
      <c r="D220" s="1" t="n">
        <v>45971</v>
      </c>
      <c r="E220" s="1" t="n">
        <v>46217</v>
      </c>
      <c r="F220" t="inlineStr">
        <is>
          <t>DALARNAS LÄN</t>
        </is>
      </c>
      <c r="G220" t="inlineStr">
        <is>
          <t>HEDEMORA</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58018-2022</t>
        </is>
      </c>
      <c r="B221" t="inlineStr">
        <is>
          <t>avverkningsanmälan</t>
        </is>
      </c>
      <c r="C221" t="inlineStr">
        <is>
          <t>Föryngringsavverkning</t>
        </is>
      </c>
      <c r="D221" s="1" t="n">
        <v>44900</v>
      </c>
      <c r="E221" s="1" t="n">
        <v>46217</v>
      </c>
      <c r="F221" t="inlineStr">
        <is>
          <t>DALARNAS LÄN</t>
        </is>
      </c>
      <c r="G221" t="inlineStr">
        <is>
          <t>HEDEMORA</t>
        </is>
      </c>
      <c r="I221" t="n">
        <v>3.6</v>
      </c>
      <c r="J221" t="n">
        <v>0</v>
      </c>
      <c r="K221" t="n">
        <v>0</v>
      </c>
      <c r="L221" t="n">
        <v>0</v>
      </c>
      <c r="M221" t="n">
        <v>0</v>
      </c>
      <c r="N221" t="n">
        <v>0</v>
      </c>
      <c r="O221" t="n">
        <v>0</v>
      </c>
      <c r="P221" t="n">
        <v>0</v>
      </c>
      <c r="Q221" t="n">
        <v>0</v>
      </c>
      <c r="R221" t="n">
        <v>0</v>
      </c>
      <c r="S221" t="n">
        <v>0</v>
      </c>
      <c r="T221" t="n">
        <v>0</v>
      </c>
      <c r="U221" s="2" t="inlineStr"/>
    </row>
    <row r="222" ht="15" customHeight="1">
      <c r="A222" t="inlineStr">
        <is>
          <t>A 56070-2025</t>
        </is>
      </c>
      <c r="B222" t="inlineStr">
        <is>
          <t>avverkningsanmälan</t>
        </is>
      </c>
      <c r="C222" t="inlineStr">
        <is>
          <t>Föryngringsavverkning</t>
        </is>
      </c>
      <c r="D222" s="1" t="n">
        <v>45973</v>
      </c>
      <c r="E222" s="1" t="n">
        <v>46217</v>
      </c>
      <c r="F222" t="inlineStr">
        <is>
          <t>DALARNAS LÄN</t>
        </is>
      </c>
      <c r="G222" t="inlineStr">
        <is>
          <t>HEDEMORA</t>
        </is>
      </c>
      <c r="H222" t="inlineStr">
        <is>
          <t>Bergvik skog väst AB</t>
        </is>
      </c>
      <c r="I222" t="n">
        <v>5.4</v>
      </c>
      <c r="J222" t="n">
        <v>0</v>
      </c>
      <c r="K222" t="n">
        <v>0</v>
      </c>
      <c r="L222" t="n">
        <v>0</v>
      </c>
      <c r="M222" t="n">
        <v>0</v>
      </c>
      <c r="N222" t="n">
        <v>0</v>
      </c>
      <c r="O222" t="n">
        <v>0</v>
      </c>
      <c r="P222" t="n">
        <v>0</v>
      </c>
      <c r="Q222" t="n">
        <v>0</v>
      </c>
      <c r="R222" t="n">
        <v>0</v>
      </c>
      <c r="S222" t="n">
        <v>0</v>
      </c>
      <c r="T222" t="n">
        <v>0</v>
      </c>
      <c r="U222" s="2" t="inlineStr"/>
    </row>
    <row r="223" ht="15" customHeight="1">
      <c r="A223" t="inlineStr">
        <is>
          <t>A 29050-2023</t>
        </is>
      </c>
      <c r="B223" t="inlineStr">
        <is>
          <t>avverkningsanmälan</t>
        </is>
      </c>
      <c r="C223" t="inlineStr">
        <is>
          <t>Avverkning för annat ändamål</t>
        </is>
      </c>
      <c r="D223" s="1" t="n">
        <v>45104</v>
      </c>
      <c r="E223" s="1" t="n">
        <v>46217</v>
      </c>
      <c r="F223" t="inlineStr">
        <is>
          <t>DALARNAS LÄN</t>
        </is>
      </c>
      <c r="G223" t="inlineStr">
        <is>
          <t>HEDEMORA</t>
        </is>
      </c>
      <c r="H223" t="inlineStr">
        <is>
          <t>Sveaskog</t>
        </is>
      </c>
      <c r="I223" t="n">
        <v>1.3</v>
      </c>
      <c r="J223" t="n">
        <v>0</v>
      </c>
      <c r="K223" t="n">
        <v>0</v>
      </c>
      <c r="L223" t="n">
        <v>0</v>
      </c>
      <c r="M223" t="n">
        <v>0</v>
      </c>
      <c r="N223" t="n">
        <v>0</v>
      </c>
      <c r="O223" t="n">
        <v>0</v>
      </c>
      <c r="P223" t="n">
        <v>0</v>
      </c>
      <c r="Q223" t="n">
        <v>0</v>
      </c>
      <c r="R223" t="n">
        <v>0</v>
      </c>
      <c r="S223" t="n">
        <v>0</v>
      </c>
      <c r="T223" t="n">
        <v>0</v>
      </c>
      <c r="U223" s="2" t="inlineStr"/>
    </row>
    <row r="224" ht="15" customHeight="1">
      <c r="A224" t="inlineStr">
        <is>
          <t>A 63929-2023</t>
        </is>
      </c>
      <c r="B224" t="inlineStr">
        <is>
          <t>avverkningsanmälan</t>
        </is>
      </c>
      <c r="C224" t="inlineStr">
        <is>
          <t>Föryngringsavverkning</t>
        </is>
      </c>
      <c r="D224" s="1" t="n">
        <v>45278</v>
      </c>
      <c r="E224" s="1" t="n">
        <v>46217</v>
      </c>
      <c r="F224" t="inlineStr">
        <is>
          <t>DALARNAS LÄN</t>
        </is>
      </c>
      <c r="G224" t="inlineStr">
        <is>
          <t>HEDEMORA</t>
        </is>
      </c>
      <c r="I224" t="n">
        <v>0.4</v>
      </c>
      <c r="J224" t="n">
        <v>0</v>
      </c>
      <c r="K224" t="n">
        <v>0</v>
      </c>
      <c r="L224" t="n">
        <v>0</v>
      </c>
      <c r="M224" t="n">
        <v>0</v>
      </c>
      <c r="N224" t="n">
        <v>0</v>
      </c>
      <c r="O224" t="n">
        <v>0</v>
      </c>
      <c r="P224" t="n">
        <v>0</v>
      </c>
      <c r="Q224" t="n">
        <v>0</v>
      </c>
      <c r="R224" t="n">
        <v>0</v>
      </c>
      <c r="S224" t="n">
        <v>0</v>
      </c>
      <c r="T224" t="n">
        <v>0</v>
      </c>
      <c r="U224" s="2" t="inlineStr"/>
    </row>
    <row r="225" ht="15" customHeight="1">
      <c r="A225" t="inlineStr">
        <is>
          <t>A 56679-2025</t>
        </is>
      </c>
      <c r="B225" t="inlineStr">
        <is>
          <t>avverkningsanmälan</t>
        </is>
      </c>
      <c r="C225" t="inlineStr">
        <is>
          <t>Föryngringsavverkning</t>
        </is>
      </c>
      <c r="D225" s="1" t="n">
        <v>45975</v>
      </c>
      <c r="E225" s="1" t="n">
        <v>46217</v>
      </c>
      <c r="F225" t="inlineStr">
        <is>
          <t>DALARNAS LÄN</t>
        </is>
      </c>
      <c r="G225" t="inlineStr">
        <is>
          <t>HEDEMORA</t>
        </is>
      </c>
      <c r="I225" t="n">
        <v>0.8</v>
      </c>
      <c r="J225" t="n">
        <v>0</v>
      </c>
      <c r="K225" t="n">
        <v>0</v>
      </c>
      <c r="L225" t="n">
        <v>0</v>
      </c>
      <c r="M225" t="n">
        <v>0</v>
      </c>
      <c r="N225" t="n">
        <v>0</v>
      </c>
      <c r="O225" t="n">
        <v>0</v>
      </c>
      <c r="P225" t="n">
        <v>0</v>
      </c>
      <c r="Q225" t="n">
        <v>0</v>
      </c>
      <c r="R225" t="n">
        <v>0</v>
      </c>
      <c r="S225" t="n">
        <v>0</v>
      </c>
      <c r="T225" t="n">
        <v>0</v>
      </c>
      <c r="U225" s="2" t="inlineStr"/>
    </row>
    <row r="226" ht="15" customHeight="1">
      <c r="A226" t="inlineStr">
        <is>
          <t>A 29301-2023</t>
        </is>
      </c>
      <c r="B226" t="inlineStr">
        <is>
          <t>avverkningsanmälan</t>
        </is>
      </c>
      <c r="C226" t="inlineStr">
        <is>
          <t>Föryngringsavverkning</t>
        </is>
      </c>
      <c r="D226" s="1" t="n">
        <v>45105</v>
      </c>
      <c r="E226" s="1" t="n">
        <v>46217</v>
      </c>
      <c r="F226" t="inlineStr">
        <is>
          <t>DALARNAS LÄN</t>
        </is>
      </c>
      <c r="G226" t="inlineStr">
        <is>
          <t>HEDEMORA</t>
        </is>
      </c>
      <c r="H226" t="inlineStr">
        <is>
          <t>Sveaskog</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7172-2025</t>
        </is>
      </c>
      <c r="B227" t="inlineStr">
        <is>
          <t>avverkningsanmälan</t>
        </is>
      </c>
      <c r="C227" t="inlineStr">
        <is>
          <t>Föryngringsavverkning</t>
        </is>
      </c>
      <c r="D227" s="1" t="n">
        <v>45702</v>
      </c>
      <c r="E227" s="1" t="n">
        <v>46217</v>
      </c>
      <c r="F227" t="inlineStr">
        <is>
          <t>DALARNAS LÄN</t>
        </is>
      </c>
      <c r="G227" t="inlineStr">
        <is>
          <t>HEDEMORA</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42894-2024</t>
        </is>
      </c>
      <c r="B228" t="inlineStr">
        <is>
          <t>avverkningsanmälan</t>
        </is>
      </c>
      <c r="C228" t="inlineStr">
        <is>
          <t>Föryngringsavverkning</t>
        </is>
      </c>
      <c r="D228" s="1" t="n">
        <v>45566</v>
      </c>
      <c r="E228" s="1" t="n">
        <v>46217</v>
      </c>
      <c r="F228" t="inlineStr">
        <is>
          <t>DALARNAS LÄN</t>
        </is>
      </c>
      <c r="G228" t="inlineStr">
        <is>
          <t>HEDEMORA</t>
        </is>
      </c>
      <c r="H228" t="inlineStr">
        <is>
          <t>Sveaskog</t>
        </is>
      </c>
      <c r="I228" t="n">
        <v>2.2</v>
      </c>
      <c r="J228" t="n">
        <v>0</v>
      </c>
      <c r="K228" t="n">
        <v>0</v>
      </c>
      <c r="L228" t="n">
        <v>0</v>
      </c>
      <c r="M228" t="n">
        <v>0</v>
      </c>
      <c r="N228" t="n">
        <v>0</v>
      </c>
      <c r="O228" t="n">
        <v>0</v>
      </c>
      <c r="P228" t="n">
        <v>0</v>
      </c>
      <c r="Q228" t="n">
        <v>0</v>
      </c>
      <c r="R228" t="n">
        <v>0</v>
      </c>
      <c r="S228" t="n">
        <v>0</v>
      </c>
      <c r="T228" t="n">
        <v>0</v>
      </c>
      <c r="U228" s="2" t="inlineStr"/>
    </row>
    <row r="229" ht="15" customHeight="1">
      <c r="A229" t="inlineStr">
        <is>
          <t>A 26906-2026</t>
        </is>
      </c>
      <c r="B229" t="inlineStr">
        <is>
          <t>avverkningsanmälan</t>
        </is>
      </c>
      <c r="C229" t="inlineStr">
        <is>
          <t>Föryngringsavverkning</t>
        </is>
      </c>
      <c r="D229" s="1" t="n">
        <v>46185</v>
      </c>
      <c r="E229" s="1" t="n">
        <v>46217</v>
      </c>
      <c r="F229" t="inlineStr">
        <is>
          <t>DALARNAS LÄN</t>
        </is>
      </c>
      <c r="G229" t="inlineStr">
        <is>
          <t>HEDEMORA</t>
        </is>
      </c>
      <c r="H229" t="inlineStr">
        <is>
          <t>Sveaskog</t>
        </is>
      </c>
      <c r="I229" t="n">
        <v>3.5</v>
      </c>
      <c r="J229" t="n">
        <v>0</v>
      </c>
      <c r="K229" t="n">
        <v>0</v>
      </c>
      <c r="L229" t="n">
        <v>0</v>
      </c>
      <c r="M229" t="n">
        <v>0</v>
      </c>
      <c r="N229" t="n">
        <v>0</v>
      </c>
      <c r="O229" t="n">
        <v>0</v>
      </c>
      <c r="P229" t="n">
        <v>0</v>
      </c>
      <c r="Q229" t="n">
        <v>0</v>
      </c>
      <c r="R229" t="n">
        <v>0</v>
      </c>
      <c r="S229" t="n">
        <v>0</v>
      </c>
      <c r="T229" t="n">
        <v>0</v>
      </c>
      <c r="U229" s="2" t="inlineStr"/>
    </row>
    <row r="230" ht="15" customHeight="1">
      <c r="A230" t="inlineStr">
        <is>
          <t>A 26395-2026</t>
        </is>
      </c>
      <c r="B230" t="inlineStr">
        <is>
          <t>avverkningsanmälan</t>
        </is>
      </c>
      <c r="C230" t="inlineStr">
        <is>
          <t>Föryngringsavverkning</t>
        </is>
      </c>
      <c r="D230" s="1" t="n">
        <v>46183</v>
      </c>
      <c r="E230" s="1" t="n">
        <v>46217</v>
      </c>
      <c r="F230" t="inlineStr">
        <is>
          <t>DALARNAS LÄN</t>
        </is>
      </c>
      <c r="G230" t="inlineStr">
        <is>
          <t>HEDEMORA</t>
        </is>
      </c>
      <c r="H230" t="inlineStr">
        <is>
          <t>Bergvik skog väst AB</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21581-2026</t>
        </is>
      </c>
      <c r="B231" t="inlineStr">
        <is>
          <t>avverkningsanmälan</t>
        </is>
      </c>
      <c r="C231" t="inlineStr">
        <is>
          <t>Föryngringsavverkning</t>
        </is>
      </c>
      <c r="D231" s="1" t="n">
        <v>46148</v>
      </c>
      <c r="E231" s="1" t="n">
        <v>46217</v>
      </c>
      <c r="F231" t="inlineStr">
        <is>
          <t>DALARNAS LÄN</t>
        </is>
      </c>
      <c r="G231" t="inlineStr">
        <is>
          <t>HEDEMORA</t>
        </is>
      </c>
      <c r="H231" t="inlineStr">
        <is>
          <t>Sveaskog</t>
        </is>
      </c>
      <c r="I231" t="n">
        <v>1.6</v>
      </c>
      <c r="J231" t="n">
        <v>0</v>
      </c>
      <c r="K231" t="n">
        <v>0</v>
      </c>
      <c r="L231" t="n">
        <v>0</v>
      </c>
      <c r="M231" t="n">
        <v>0</v>
      </c>
      <c r="N231" t="n">
        <v>0</v>
      </c>
      <c r="O231" t="n">
        <v>0</v>
      </c>
      <c r="P231" t="n">
        <v>0</v>
      </c>
      <c r="Q231" t="n">
        <v>0</v>
      </c>
      <c r="R231" t="n">
        <v>0</v>
      </c>
      <c r="S231" t="n">
        <v>0</v>
      </c>
      <c r="T231" t="n">
        <v>0</v>
      </c>
      <c r="U231" s="2" t="inlineStr"/>
    </row>
    <row r="232" ht="15" customHeight="1">
      <c r="A232" t="inlineStr">
        <is>
          <t>A 7914-2024</t>
        </is>
      </c>
      <c r="B232" t="inlineStr">
        <is>
          <t>avverkningsanmälan</t>
        </is>
      </c>
      <c r="C232" t="inlineStr">
        <is>
          <t>Föryngringsavverkning</t>
        </is>
      </c>
      <c r="D232" s="1" t="n">
        <v>45350</v>
      </c>
      <c r="E232" s="1" t="n">
        <v>46217</v>
      </c>
      <c r="F232" t="inlineStr">
        <is>
          <t>DALARNAS LÄN</t>
        </is>
      </c>
      <c r="G232" t="inlineStr">
        <is>
          <t>HEDEMORA</t>
        </is>
      </c>
      <c r="I232" t="n">
        <v>4.1</v>
      </c>
      <c r="J232" t="n">
        <v>0</v>
      </c>
      <c r="K232" t="n">
        <v>0</v>
      </c>
      <c r="L232" t="n">
        <v>0</v>
      </c>
      <c r="M232" t="n">
        <v>0</v>
      </c>
      <c r="N232" t="n">
        <v>0</v>
      </c>
      <c r="O232" t="n">
        <v>0</v>
      </c>
      <c r="P232" t="n">
        <v>0</v>
      </c>
      <c r="Q232" t="n">
        <v>0</v>
      </c>
      <c r="R232" t="n">
        <v>0</v>
      </c>
      <c r="S232" t="n">
        <v>0</v>
      </c>
      <c r="T232" t="n">
        <v>0</v>
      </c>
      <c r="U232" s="2" t="inlineStr"/>
    </row>
    <row r="233" ht="15" customHeight="1">
      <c r="A233" t="inlineStr">
        <is>
          <t>A 37574-2025</t>
        </is>
      </c>
      <c r="B233" t="inlineStr">
        <is>
          <t>avverkningsanmälan</t>
        </is>
      </c>
      <c r="C233" t="inlineStr">
        <is>
          <t>Föryngringsavverkning</t>
        </is>
      </c>
      <c r="D233" s="1" t="n">
        <v>45880</v>
      </c>
      <c r="E233" s="1" t="n">
        <v>46217</v>
      </c>
      <c r="F233" t="inlineStr">
        <is>
          <t>DALARNAS LÄN</t>
        </is>
      </c>
      <c r="G233" t="inlineStr">
        <is>
          <t>HEDEMORA</t>
        </is>
      </c>
      <c r="H233" t="inlineStr">
        <is>
          <t>Sveaskog</t>
        </is>
      </c>
      <c r="I233" t="n">
        <v>5.7</v>
      </c>
      <c r="J233" t="n">
        <v>0</v>
      </c>
      <c r="K233" t="n">
        <v>0</v>
      </c>
      <c r="L233" t="n">
        <v>0</v>
      </c>
      <c r="M233" t="n">
        <v>0</v>
      </c>
      <c r="N233" t="n">
        <v>0</v>
      </c>
      <c r="O233" t="n">
        <v>0</v>
      </c>
      <c r="P233" t="n">
        <v>0</v>
      </c>
      <c r="Q233" t="n">
        <v>0</v>
      </c>
      <c r="R233" t="n">
        <v>0</v>
      </c>
      <c r="S233" t="n">
        <v>0</v>
      </c>
      <c r="T233" t="n">
        <v>0</v>
      </c>
      <c r="U233" s="2" t="inlineStr"/>
    </row>
    <row r="234" ht="15" customHeight="1">
      <c r="A234" t="inlineStr">
        <is>
          <t>A 61533-2021</t>
        </is>
      </c>
      <c r="B234" t="inlineStr">
        <is>
          <t>avverkningsanmälan</t>
        </is>
      </c>
      <c r="C234" t="inlineStr">
        <is>
          <t>Föryngringsavverkning</t>
        </is>
      </c>
      <c r="D234" s="1" t="n">
        <v>44501</v>
      </c>
      <c r="E234" s="1" t="n">
        <v>46217</v>
      </c>
      <c r="F234" t="inlineStr">
        <is>
          <t>DALARNAS LÄN</t>
        </is>
      </c>
      <c r="G234" t="inlineStr">
        <is>
          <t>HEDEMORA</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37573-2025</t>
        </is>
      </c>
      <c r="B235" t="inlineStr">
        <is>
          <t>avverkningsanmälan</t>
        </is>
      </c>
      <c r="C235" t="inlineStr">
        <is>
          <t>Föryngringsavverkning</t>
        </is>
      </c>
      <c r="D235" s="1" t="n">
        <v>45880</v>
      </c>
      <c r="E235" s="1" t="n">
        <v>46217</v>
      </c>
      <c r="F235" t="inlineStr">
        <is>
          <t>DALARNAS LÄN</t>
        </is>
      </c>
      <c r="G235" t="inlineStr">
        <is>
          <t>HEDEMORA</t>
        </is>
      </c>
      <c r="H235" t="inlineStr">
        <is>
          <t>Sveaskog</t>
        </is>
      </c>
      <c r="I235" t="n">
        <v>7</v>
      </c>
      <c r="J235" t="n">
        <v>0</v>
      </c>
      <c r="K235" t="n">
        <v>0</v>
      </c>
      <c r="L235" t="n">
        <v>0</v>
      </c>
      <c r="M235" t="n">
        <v>0</v>
      </c>
      <c r="N235" t="n">
        <v>0</v>
      </c>
      <c r="O235" t="n">
        <v>0</v>
      </c>
      <c r="P235" t="n">
        <v>0</v>
      </c>
      <c r="Q235" t="n">
        <v>0</v>
      </c>
      <c r="R235" t="n">
        <v>0</v>
      </c>
      <c r="S235" t="n">
        <v>0</v>
      </c>
      <c r="T235" t="n">
        <v>0</v>
      </c>
      <c r="U235" s="2" t="inlineStr"/>
    </row>
    <row r="236" ht="15" customHeight="1">
      <c r="A236" t="inlineStr">
        <is>
          <t>A 9314-2024</t>
        </is>
      </c>
      <c r="B236" t="inlineStr">
        <is>
          <t>avverkningsanmälan</t>
        </is>
      </c>
      <c r="C236" t="inlineStr">
        <is>
          <t>Föryngringsavverkning</t>
        </is>
      </c>
      <c r="D236" s="1" t="n">
        <v>45358</v>
      </c>
      <c r="E236" s="1" t="n">
        <v>46217</v>
      </c>
      <c r="F236" t="inlineStr">
        <is>
          <t>DALARNAS LÄN</t>
        </is>
      </c>
      <c r="G236" t="inlineStr">
        <is>
          <t>HEDEMORA</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73099-2021</t>
        </is>
      </c>
      <c r="B237" t="inlineStr">
        <is>
          <t>avverkningsanmälan</t>
        </is>
      </c>
      <c r="C237" t="inlineStr">
        <is>
          <t>Föryngringsavverkning</t>
        </is>
      </c>
      <c r="D237" s="1" t="n">
        <v>44546</v>
      </c>
      <c r="E237" s="1" t="n">
        <v>46217</v>
      </c>
      <c r="F237" t="inlineStr">
        <is>
          <t>DALARNAS LÄN</t>
        </is>
      </c>
      <c r="G237" t="inlineStr">
        <is>
          <t>HEDEMORA</t>
        </is>
      </c>
      <c r="I237" t="n">
        <v>4.5</v>
      </c>
      <c r="J237" t="n">
        <v>0</v>
      </c>
      <c r="K237" t="n">
        <v>0</v>
      </c>
      <c r="L237" t="n">
        <v>0</v>
      </c>
      <c r="M237" t="n">
        <v>0</v>
      </c>
      <c r="N237" t="n">
        <v>0</v>
      </c>
      <c r="O237" t="n">
        <v>0</v>
      </c>
      <c r="P237" t="n">
        <v>0</v>
      </c>
      <c r="Q237" t="n">
        <v>0</v>
      </c>
      <c r="R237" t="n">
        <v>0</v>
      </c>
      <c r="S237" t="n">
        <v>0</v>
      </c>
      <c r="T237" t="n">
        <v>0</v>
      </c>
      <c r="U237" s="2" t="inlineStr"/>
    </row>
    <row r="238" ht="15" customHeight="1">
      <c r="A238" t="inlineStr">
        <is>
          <t>A 55882-2023</t>
        </is>
      </c>
      <c r="B238" t="inlineStr">
        <is>
          <t>avverkningsanmälan</t>
        </is>
      </c>
      <c r="C238" t="inlineStr">
        <is>
          <t>Föryngringsavverkning</t>
        </is>
      </c>
      <c r="D238" s="1" t="n">
        <v>45239</v>
      </c>
      <c r="E238" s="1" t="n">
        <v>46217</v>
      </c>
      <c r="F238" t="inlineStr">
        <is>
          <t>DALARNAS LÄN</t>
        </is>
      </c>
      <c r="G238" t="inlineStr">
        <is>
          <t>HEDEMORA</t>
        </is>
      </c>
      <c r="H238" t="inlineStr">
        <is>
          <t>Sveaskog</t>
        </is>
      </c>
      <c r="I238" t="n">
        <v>5.2</v>
      </c>
      <c r="J238" t="n">
        <v>0</v>
      </c>
      <c r="K238" t="n">
        <v>0</v>
      </c>
      <c r="L238" t="n">
        <v>0</v>
      </c>
      <c r="M238" t="n">
        <v>0</v>
      </c>
      <c r="N238" t="n">
        <v>0</v>
      </c>
      <c r="O238" t="n">
        <v>0</v>
      </c>
      <c r="P238" t="n">
        <v>0</v>
      </c>
      <c r="Q238" t="n">
        <v>0</v>
      </c>
      <c r="R238" t="n">
        <v>0</v>
      </c>
      <c r="S238" t="n">
        <v>0</v>
      </c>
      <c r="T238" t="n">
        <v>0</v>
      </c>
      <c r="U238" s="2" t="inlineStr"/>
    </row>
    <row r="239" ht="15" customHeight="1">
      <c r="A239" t="inlineStr">
        <is>
          <t>A 50885-2023</t>
        </is>
      </c>
      <c r="B239" t="inlineStr">
        <is>
          <t>avverkningsanmälan</t>
        </is>
      </c>
      <c r="C239" t="inlineStr">
        <is>
          <t>Föryngringsavverkning</t>
        </is>
      </c>
      <c r="D239" s="1" t="n">
        <v>45218</v>
      </c>
      <c r="E239" s="1" t="n">
        <v>46217</v>
      </c>
      <c r="F239" t="inlineStr">
        <is>
          <t>DALARNAS LÄN</t>
        </is>
      </c>
      <c r="G239" t="inlineStr">
        <is>
          <t>HEDEMORA</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65057-2023</t>
        </is>
      </c>
      <c r="B240" t="inlineStr">
        <is>
          <t>avverkningsanmälan</t>
        </is>
      </c>
      <c r="C240" t="inlineStr">
        <is>
          <t>Föryngringsavverkning</t>
        </is>
      </c>
      <c r="D240" s="1" t="n">
        <v>45287</v>
      </c>
      <c r="E240" s="1" t="n">
        <v>46217</v>
      </c>
      <c r="F240" t="inlineStr">
        <is>
          <t>DALARNAS LÄN</t>
        </is>
      </c>
      <c r="G240" t="inlineStr">
        <is>
          <t>HEDEMORA</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11046-2022</t>
        </is>
      </c>
      <c r="B241" t="inlineStr">
        <is>
          <t>avverkningsanmälan</t>
        </is>
      </c>
      <c r="C241" t="inlineStr">
        <is>
          <t>Föryngringsavverkning</t>
        </is>
      </c>
      <c r="D241" s="1" t="n">
        <v>44628</v>
      </c>
      <c r="E241" s="1" t="n">
        <v>46217</v>
      </c>
      <c r="F241" t="inlineStr">
        <is>
          <t>DALARNAS LÄN</t>
        </is>
      </c>
      <c r="G241" t="inlineStr">
        <is>
          <t>HEDEMORA</t>
        </is>
      </c>
      <c r="H241" t="inlineStr">
        <is>
          <t>Bergvik skog väst AB</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38947-2023</t>
        </is>
      </c>
      <c r="B242" t="inlineStr">
        <is>
          <t>avverkningsanmälan</t>
        </is>
      </c>
      <c r="C242" t="inlineStr">
        <is>
          <t>Föryngringsavverkning</t>
        </is>
      </c>
      <c r="D242" s="1" t="n">
        <v>45163</v>
      </c>
      <c r="E242" s="1" t="n">
        <v>46217</v>
      </c>
      <c r="F242" t="inlineStr">
        <is>
          <t>DALARNAS LÄN</t>
        </is>
      </c>
      <c r="G242" t="inlineStr">
        <is>
          <t>HEDEMORA</t>
        </is>
      </c>
      <c r="H242" t="inlineStr">
        <is>
          <t>Sveaskog</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22490-2026</t>
        </is>
      </c>
      <c r="B243" t="inlineStr">
        <is>
          <t>avverkningsanmälan</t>
        </is>
      </c>
      <c r="C243" t="inlineStr">
        <is>
          <t>Föryngringsavverkning</t>
        </is>
      </c>
      <c r="D243" s="1" t="n">
        <v>46154</v>
      </c>
      <c r="E243" s="1" t="n">
        <v>46217</v>
      </c>
      <c r="F243" t="inlineStr">
        <is>
          <t>DALARNAS LÄN</t>
        </is>
      </c>
      <c r="G243" t="inlineStr">
        <is>
          <t>HEDEMORA</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22396-2026</t>
        </is>
      </c>
      <c r="B244" t="inlineStr">
        <is>
          <t>avverkningsanmälan</t>
        </is>
      </c>
      <c r="C244" t="inlineStr">
        <is>
          <t>Avverkning för annat ändamål</t>
        </is>
      </c>
      <c r="D244" s="1" t="n">
        <v>46154</v>
      </c>
      <c r="E244" s="1" t="n">
        <v>46217</v>
      </c>
      <c r="F244" t="inlineStr">
        <is>
          <t>DALARNAS LÄN</t>
        </is>
      </c>
      <c r="G244" t="inlineStr">
        <is>
          <t>HEDEMORA</t>
        </is>
      </c>
      <c r="H244" t="inlineStr">
        <is>
          <t>Övriga Aktiebolag</t>
        </is>
      </c>
      <c r="I244" t="n">
        <v>2.5</v>
      </c>
      <c r="J244" t="n">
        <v>0</v>
      </c>
      <c r="K244" t="n">
        <v>0</v>
      </c>
      <c r="L244" t="n">
        <v>0</v>
      </c>
      <c r="M244" t="n">
        <v>0</v>
      </c>
      <c r="N244" t="n">
        <v>0</v>
      </c>
      <c r="O244" t="n">
        <v>0</v>
      </c>
      <c r="P244" t="n">
        <v>0</v>
      </c>
      <c r="Q244" t="n">
        <v>0</v>
      </c>
      <c r="R244" t="n">
        <v>0</v>
      </c>
      <c r="S244" t="n">
        <v>0</v>
      </c>
      <c r="T244" t="n">
        <v>0</v>
      </c>
      <c r="U244" s="2" t="inlineStr"/>
    </row>
    <row r="245" ht="15" customHeight="1">
      <c r="A245" t="inlineStr">
        <is>
          <t>A 42510-2025</t>
        </is>
      </c>
      <c r="B245" t="inlineStr">
        <is>
          <t>avverkningsanmälan</t>
        </is>
      </c>
      <c r="C245" t="inlineStr">
        <is>
          <t>Föryngringsavverkning</t>
        </is>
      </c>
      <c r="D245" s="1" t="n">
        <v>45905</v>
      </c>
      <c r="E245" s="1" t="n">
        <v>46217</v>
      </c>
      <c r="F245" t="inlineStr">
        <is>
          <t>DALARNAS LÄN</t>
        </is>
      </c>
      <c r="G245" t="inlineStr">
        <is>
          <t>HEDEMORA</t>
        </is>
      </c>
      <c r="H245" t="inlineStr">
        <is>
          <t>Sveaskog</t>
        </is>
      </c>
      <c r="I245" t="n">
        <v>3.6</v>
      </c>
      <c r="J245" t="n">
        <v>0</v>
      </c>
      <c r="K245" t="n">
        <v>0</v>
      </c>
      <c r="L245" t="n">
        <v>0</v>
      </c>
      <c r="M245" t="n">
        <v>0</v>
      </c>
      <c r="N245" t="n">
        <v>0</v>
      </c>
      <c r="O245" t="n">
        <v>0</v>
      </c>
      <c r="P245" t="n">
        <v>0</v>
      </c>
      <c r="Q245" t="n">
        <v>0</v>
      </c>
      <c r="R245" t="n">
        <v>0</v>
      </c>
      <c r="S245" t="n">
        <v>0</v>
      </c>
      <c r="T245" t="n">
        <v>0</v>
      </c>
      <c r="U245" s="2" t="inlineStr"/>
    </row>
    <row r="246" ht="15" customHeight="1">
      <c r="A246" t="inlineStr">
        <is>
          <t>A 45097-2025</t>
        </is>
      </c>
      <c r="B246" t="inlineStr">
        <is>
          <t>avverkningsanmälan</t>
        </is>
      </c>
      <c r="C246" t="inlineStr">
        <is>
          <t>Föryngringsavverkning</t>
        </is>
      </c>
      <c r="D246" s="1" t="n">
        <v>45919</v>
      </c>
      <c r="E246" s="1" t="n">
        <v>46217</v>
      </c>
      <c r="F246" t="inlineStr">
        <is>
          <t>DALARNAS LÄN</t>
        </is>
      </c>
      <c r="G246" t="inlineStr">
        <is>
          <t>HEDEMORA</t>
        </is>
      </c>
      <c r="H246" t="inlineStr">
        <is>
          <t>Sveaskog</t>
        </is>
      </c>
      <c r="I246" t="n">
        <v>3.1</v>
      </c>
      <c r="J246" t="n">
        <v>0</v>
      </c>
      <c r="K246" t="n">
        <v>0</v>
      </c>
      <c r="L246" t="n">
        <v>0</v>
      </c>
      <c r="M246" t="n">
        <v>0</v>
      </c>
      <c r="N246" t="n">
        <v>0</v>
      </c>
      <c r="O246" t="n">
        <v>0</v>
      </c>
      <c r="P246" t="n">
        <v>0</v>
      </c>
      <c r="Q246" t="n">
        <v>0</v>
      </c>
      <c r="R246" t="n">
        <v>0</v>
      </c>
      <c r="S246" t="n">
        <v>0</v>
      </c>
      <c r="T246" t="n">
        <v>0</v>
      </c>
      <c r="U246" s="2" t="inlineStr"/>
    </row>
    <row r="247" ht="15" customHeight="1">
      <c r="A247" t="inlineStr">
        <is>
          <t>A 62407-2025</t>
        </is>
      </c>
      <c r="B247" t="inlineStr">
        <is>
          <t>avverkningsanmälan</t>
        </is>
      </c>
      <c r="C247" t="inlineStr">
        <is>
          <t>Föryngringsavverkning</t>
        </is>
      </c>
      <c r="D247" s="1" t="n">
        <v>46007</v>
      </c>
      <c r="E247" s="1" t="n">
        <v>46217</v>
      </c>
      <c r="F247" t="inlineStr">
        <is>
          <t>DALARNAS LÄN</t>
        </is>
      </c>
      <c r="G247" t="inlineStr">
        <is>
          <t>HEDEMORA</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27609-2024</t>
        </is>
      </c>
      <c r="B248" t="inlineStr">
        <is>
          <t>avverkningsanmälan</t>
        </is>
      </c>
      <c r="C248" t="inlineStr">
        <is>
          <t>Föryngringsavverkning</t>
        </is>
      </c>
      <c r="D248" s="1" t="n">
        <v>45474</v>
      </c>
      <c r="E248" s="1" t="n">
        <v>46217</v>
      </c>
      <c r="F248" t="inlineStr">
        <is>
          <t>DALARNAS LÄN</t>
        </is>
      </c>
      <c r="G248" t="inlineStr">
        <is>
          <t>HEDEMORA</t>
        </is>
      </c>
      <c r="H248" t="inlineStr">
        <is>
          <t>Sveaskog</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16413-2024</t>
        </is>
      </c>
      <c r="B249" t="inlineStr">
        <is>
          <t>avverkningsanmälan</t>
        </is>
      </c>
      <c r="C249" t="inlineStr">
        <is>
          <t>Avverkning för annat ändamål</t>
        </is>
      </c>
      <c r="D249" s="1" t="n">
        <v>45407</v>
      </c>
      <c r="E249" s="1" t="n">
        <v>46217</v>
      </c>
      <c r="F249" t="inlineStr">
        <is>
          <t>DALARNAS LÄN</t>
        </is>
      </c>
      <c r="G249" t="inlineStr">
        <is>
          <t>HEDEMORA</t>
        </is>
      </c>
      <c r="H249" t="inlineStr">
        <is>
          <t>Sveaskog</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19473-2024</t>
        </is>
      </c>
      <c r="B250" t="inlineStr">
        <is>
          <t>avverkningsanmälan</t>
        </is>
      </c>
      <c r="C250" t="inlineStr">
        <is>
          <t>Föryngringsavverkning</t>
        </is>
      </c>
      <c r="D250" s="1" t="n">
        <v>45429</v>
      </c>
      <c r="E250" s="1" t="n">
        <v>46217</v>
      </c>
      <c r="F250" t="inlineStr">
        <is>
          <t>DALARNAS LÄN</t>
        </is>
      </c>
      <c r="G250" t="inlineStr">
        <is>
          <t>HEDEMORA</t>
        </is>
      </c>
      <c r="I250" t="n">
        <v>2.5</v>
      </c>
      <c r="J250" t="n">
        <v>0</v>
      </c>
      <c r="K250" t="n">
        <v>0</v>
      </c>
      <c r="L250" t="n">
        <v>0</v>
      </c>
      <c r="M250" t="n">
        <v>0</v>
      </c>
      <c r="N250" t="n">
        <v>0</v>
      </c>
      <c r="O250" t="n">
        <v>0</v>
      </c>
      <c r="P250" t="n">
        <v>0</v>
      </c>
      <c r="Q250" t="n">
        <v>0</v>
      </c>
      <c r="R250" t="n">
        <v>0</v>
      </c>
      <c r="S250" t="n">
        <v>0</v>
      </c>
      <c r="T250" t="n">
        <v>0</v>
      </c>
      <c r="U250" s="2" t="inlineStr"/>
    </row>
    <row r="251" ht="15" customHeight="1">
      <c r="A251" t="inlineStr">
        <is>
          <t>A 48381-2025</t>
        </is>
      </c>
      <c r="B251" t="inlineStr">
        <is>
          <t>avverkningsanmälan</t>
        </is>
      </c>
      <c r="C251" t="inlineStr">
        <is>
          <t>Föryngringsavverkning</t>
        </is>
      </c>
      <c r="D251" s="1" t="n">
        <v>45933</v>
      </c>
      <c r="E251" s="1" t="n">
        <v>46217</v>
      </c>
      <c r="F251" t="inlineStr">
        <is>
          <t>DALARNAS LÄN</t>
        </is>
      </c>
      <c r="G251" t="inlineStr">
        <is>
          <t>HEDEMORA</t>
        </is>
      </c>
      <c r="H251" t="inlineStr">
        <is>
          <t>Sveaskog</t>
        </is>
      </c>
      <c r="I251" t="n">
        <v>6.3</v>
      </c>
      <c r="J251" t="n">
        <v>0</v>
      </c>
      <c r="K251" t="n">
        <v>0</v>
      </c>
      <c r="L251" t="n">
        <v>0</v>
      </c>
      <c r="M251" t="n">
        <v>0</v>
      </c>
      <c r="N251" t="n">
        <v>0</v>
      </c>
      <c r="O251" t="n">
        <v>0</v>
      </c>
      <c r="P251" t="n">
        <v>0</v>
      </c>
      <c r="Q251" t="n">
        <v>0</v>
      </c>
      <c r="R251" t="n">
        <v>0</v>
      </c>
      <c r="S251" t="n">
        <v>0</v>
      </c>
      <c r="T251" t="n">
        <v>0</v>
      </c>
      <c r="U251" s="2" t="inlineStr"/>
    </row>
    <row r="252" ht="15" customHeight="1">
      <c r="A252" t="inlineStr">
        <is>
          <t>A 45290-2025</t>
        </is>
      </c>
      <c r="B252" t="inlineStr">
        <is>
          <t>avverkningsanmälan</t>
        </is>
      </c>
      <c r="C252" t="inlineStr">
        <is>
          <t>Föryngringsavverkning</t>
        </is>
      </c>
      <c r="D252" s="1" t="n">
        <v>45920</v>
      </c>
      <c r="E252" s="1" t="n">
        <v>46217</v>
      </c>
      <c r="F252" t="inlineStr">
        <is>
          <t>DALARNAS LÄN</t>
        </is>
      </c>
      <c r="G252" t="inlineStr">
        <is>
          <t>HEDEMORA</t>
        </is>
      </c>
      <c r="H252" t="inlineStr">
        <is>
          <t>Sveaskog</t>
        </is>
      </c>
      <c r="I252" t="n">
        <v>2.8</v>
      </c>
      <c r="J252" t="n">
        <v>0</v>
      </c>
      <c r="K252" t="n">
        <v>0</v>
      </c>
      <c r="L252" t="n">
        <v>0</v>
      </c>
      <c r="M252" t="n">
        <v>0</v>
      </c>
      <c r="N252" t="n">
        <v>0</v>
      </c>
      <c r="O252" t="n">
        <v>0</v>
      </c>
      <c r="P252" t="n">
        <v>0</v>
      </c>
      <c r="Q252" t="n">
        <v>0</v>
      </c>
      <c r="R252" t="n">
        <v>0</v>
      </c>
      <c r="S252" t="n">
        <v>0</v>
      </c>
      <c r="T252" t="n">
        <v>0</v>
      </c>
      <c r="U252" s="2" t="inlineStr"/>
    </row>
    <row r="253" ht="15" customHeight="1">
      <c r="A253" t="inlineStr">
        <is>
          <t>A 17147-2026</t>
        </is>
      </c>
      <c r="B253" t="inlineStr">
        <is>
          <t>avverkningsanmälan</t>
        </is>
      </c>
      <c r="C253" t="inlineStr">
        <is>
          <t>Föryngringsavverkning</t>
        </is>
      </c>
      <c r="D253" s="1" t="n">
        <v>46114</v>
      </c>
      <c r="E253" s="1" t="n">
        <v>46217</v>
      </c>
      <c r="F253" t="inlineStr">
        <is>
          <t>DALARNAS LÄN</t>
        </is>
      </c>
      <c r="G253" t="inlineStr">
        <is>
          <t>HEDEMORA</t>
        </is>
      </c>
      <c r="H253" t="inlineStr">
        <is>
          <t>Sveaskog</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26452-2024</t>
        </is>
      </c>
      <c r="B254" t="inlineStr">
        <is>
          <t>avverkningsanmälan</t>
        </is>
      </c>
      <c r="C254" t="inlineStr">
        <is>
          <t>Föryngringsavverkning</t>
        </is>
      </c>
      <c r="D254" s="1" t="n">
        <v>45469</v>
      </c>
      <c r="E254" s="1" t="n">
        <v>46217</v>
      </c>
      <c r="F254" t="inlineStr">
        <is>
          <t>DALARNAS LÄN</t>
        </is>
      </c>
      <c r="G254" t="inlineStr">
        <is>
          <t>HEDEMORA</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41435-2023</t>
        </is>
      </c>
      <c r="B255" t="inlineStr">
        <is>
          <t>avverkningsanmälan</t>
        </is>
      </c>
      <c r="C255" t="inlineStr">
        <is>
          <t>Föryngringsavverkning</t>
        </is>
      </c>
      <c r="D255" s="1" t="n">
        <v>45170</v>
      </c>
      <c r="E255" s="1" t="n">
        <v>46217</v>
      </c>
      <c r="F255" t="inlineStr">
        <is>
          <t>DALARNAS LÄN</t>
        </is>
      </c>
      <c r="G255" t="inlineStr">
        <is>
          <t>HEDEMORA</t>
        </is>
      </c>
      <c r="I255" t="n">
        <v>2.9</v>
      </c>
      <c r="J255" t="n">
        <v>0</v>
      </c>
      <c r="K255" t="n">
        <v>0</v>
      </c>
      <c r="L255" t="n">
        <v>0</v>
      </c>
      <c r="M255" t="n">
        <v>0</v>
      </c>
      <c r="N255" t="n">
        <v>0</v>
      </c>
      <c r="O255" t="n">
        <v>0</v>
      </c>
      <c r="P255" t="n">
        <v>0</v>
      </c>
      <c r="Q255" t="n">
        <v>0</v>
      </c>
      <c r="R255" t="n">
        <v>0</v>
      </c>
      <c r="S255" t="n">
        <v>0</v>
      </c>
      <c r="T255" t="n">
        <v>0</v>
      </c>
      <c r="U255" s="2" t="inlineStr"/>
    </row>
    <row r="256" ht="15" customHeight="1">
      <c r="A256" t="inlineStr">
        <is>
          <t>A 54312-2024</t>
        </is>
      </c>
      <c r="B256" t="inlineStr">
        <is>
          <t>avverkningsanmälan</t>
        </is>
      </c>
      <c r="C256" t="inlineStr">
        <is>
          <t>Föryngringsavverkning</t>
        </is>
      </c>
      <c r="D256" s="1" t="n">
        <v>45617</v>
      </c>
      <c r="E256" s="1" t="n">
        <v>46217</v>
      </c>
      <c r="F256" t="inlineStr">
        <is>
          <t>DALARNAS LÄN</t>
        </is>
      </c>
      <c r="G256" t="inlineStr">
        <is>
          <t>HEDEMORA</t>
        </is>
      </c>
      <c r="H256" t="inlineStr">
        <is>
          <t>Bergvik skog väst AB</t>
        </is>
      </c>
      <c r="I256" t="n">
        <v>13.9</v>
      </c>
      <c r="J256" t="n">
        <v>0</v>
      </c>
      <c r="K256" t="n">
        <v>0</v>
      </c>
      <c r="L256" t="n">
        <v>0</v>
      </c>
      <c r="M256" t="n">
        <v>0</v>
      </c>
      <c r="N256" t="n">
        <v>0</v>
      </c>
      <c r="O256" t="n">
        <v>0</v>
      </c>
      <c r="P256" t="n">
        <v>0</v>
      </c>
      <c r="Q256" t="n">
        <v>0</v>
      </c>
      <c r="R256" t="n">
        <v>0</v>
      </c>
      <c r="S256" t="n">
        <v>0</v>
      </c>
      <c r="T256" t="n">
        <v>0</v>
      </c>
      <c r="U256" s="2" t="inlineStr"/>
    </row>
    <row r="257" ht="15" customHeight="1">
      <c r="A257" t="inlineStr">
        <is>
          <t>A 63900-2025</t>
        </is>
      </c>
      <c r="B257" t="inlineStr">
        <is>
          <t>avverkningsanmälan</t>
        </is>
      </c>
      <c r="C257" t="inlineStr">
        <is>
          <t>Föryngringsavverkning</t>
        </is>
      </c>
      <c r="D257" s="1" t="n">
        <v>46020</v>
      </c>
      <c r="E257" s="1" t="n">
        <v>46217</v>
      </c>
      <c r="F257" t="inlineStr">
        <is>
          <t>DALARNAS LÄN</t>
        </is>
      </c>
      <c r="G257" t="inlineStr">
        <is>
          <t>HEDEMORA</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63853-2025</t>
        </is>
      </c>
      <c r="B258" t="inlineStr">
        <is>
          <t>avverkningsanmälan</t>
        </is>
      </c>
      <c r="C258" t="inlineStr">
        <is>
          <t>Föryngringsavverkning</t>
        </is>
      </c>
      <c r="D258" s="1" t="n">
        <v>46020</v>
      </c>
      <c r="E258" s="1" t="n">
        <v>46217</v>
      </c>
      <c r="F258" t="inlineStr">
        <is>
          <t>DALARNAS LÄN</t>
        </is>
      </c>
      <c r="G258" t="inlineStr">
        <is>
          <t>HEDEMORA</t>
        </is>
      </c>
      <c r="I258" t="n">
        <v>1.8</v>
      </c>
      <c r="J258" t="n">
        <v>0</v>
      </c>
      <c r="K258" t="n">
        <v>0</v>
      </c>
      <c r="L258" t="n">
        <v>0</v>
      </c>
      <c r="M258" t="n">
        <v>0</v>
      </c>
      <c r="N258" t="n">
        <v>0</v>
      </c>
      <c r="O258" t="n">
        <v>0</v>
      </c>
      <c r="P258" t="n">
        <v>0</v>
      </c>
      <c r="Q258" t="n">
        <v>0</v>
      </c>
      <c r="R258" t="n">
        <v>0</v>
      </c>
      <c r="S258" t="n">
        <v>0</v>
      </c>
      <c r="T258" t="n">
        <v>0</v>
      </c>
      <c r="U258" s="2" t="inlineStr"/>
    </row>
    <row r="259" ht="15" customHeight="1">
      <c r="A259" t="inlineStr">
        <is>
          <t>A 69624-2021</t>
        </is>
      </c>
      <c r="B259" t="inlineStr">
        <is>
          <t>avverkningsanmälan</t>
        </is>
      </c>
      <c r="C259" t="inlineStr">
        <is>
          <t>Föryngringsavverkning</t>
        </is>
      </c>
      <c r="D259" s="1" t="n">
        <v>44532</v>
      </c>
      <c r="E259" s="1" t="n">
        <v>46217</v>
      </c>
      <c r="F259" t="inlineStr">
        <is>
          <t>DALARNAS LÄN</t>
        </is>
      </c>
      <c r="G259" t="inlineStr">
        <is>
          <t>HEDEMORA</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49772-2025</t>
        </is>
      </c>
      <c r="B260" t="inlineStr">
        <is>
          <t>avverkningsanmälan</t>
        </is>
      </c>
      <c r="C260" t="inlineStr">
        <is>
          <t>Föryngringsavverkning</t>
        </is>
      </c>
      <c r="D260" s="1" t="n">
        <v>45940</v>
      </c>
      <c r="E260" s="1" t="n">
        <v>46217</v>
      </c>
      <c r="F260" t="inlineStr">
        <is>
          <t>DALARNAS LÄN</t>
        </is>
      </c>
      <c r="G260" t="inlineStr">
        <is>
          <t>HEDEMORA</t>
        </is>
      </c>
      <c r="H260" t="inlineStr">
        <is>
          <t>Sveaskog</t>
        </is>
      </c>
      <c r="I260" t="n">
        <v>2.5</v>
      </c>
      <c r="J260" t="n">
        <v>0</v>
      </c>
      <c r="K260" t="n">
        <v>0</v>
      </c>
      <c r="L260" t="n">
        <v>0</v>
      </c>
      <c r="M260" t="n">
        <v>0</v>
      </c>
      <c r="N260" t="n">
        <v>0</v>
      </c>
      <c r="O260" t="n">
        <v>0</v>
      </c>
      <c r="P260" t="n">
        <v>0</v>
      </c>
      <c r="Q260" t="n">
        <v>0</v>
      </c>
      <c r="R260" t="n">
        <v>0</v>
      </c>
      <c r="S260" t="n">
        <v>0</v>
      </c>
      <c r="T260" t="n">
        <v>0</v>
      </c>
      <c r="U260" s="2" t="inlineStr"/>
    </row>
    <row r="261" ht="15" customHeight="1">
      <c r="A261" t="inlineStr">
        <is>
          <t>A 49771-2025</t>
        </is>
      </c>
      <c r="B261" t="inlineStr">
        <is>
          <t>avverkningsanmälan</t>
        </is>
      </c>
      <c r="C261" t="inlineStr">
        <is>
          <t>Föryngringsavverkning</t>
        </is>
      </c>
      <c r="D261" s="1" t="n">
        <v>45940</v>
      </c>
      <c r="E261" s="1" t="n">
        <v>46217</v>
      </c>
      <c r="F261" t="inlineStr">
        <is>
          <t>DALARNAS LÄN</t>
        </is>
      </c>
      <c r="G261" t="inlineStr">
        <is>
          <t>HEDEMORA</t>
        </is>
      </c>
      <c r="H261" t="inlineStr">
        <is>
          <t>Sveaskog</t>
        </is>
      </c>
      <c r="I261" t="n">
        <v>1.9</v>
      </c>
      <c r="J261" t="n">
        <v>0</v>
      </c>
      <c r="K261" t="n">
        <v>0</v>
      </c>
      <c r="L261" t="n">
        <v>0</v>
      </c>
      <c r="M261" t="n">
        <v>0</v>
      </c>
      <c r="N261" t="n">
        <v>0</v>
      </c>
      <c r="O261" t="n">
        <v>0</v>
      </c>
      <c r="P261" t="n">
        <v>0</v>
      </c>
      <c r="Q261" t="n">
        <v>0</v>
      </c>
      <c r="R261" t="n">
        <v>0</v>
      </c>
      <c r="S261" t="n">
        <v>0</v>
      </c>
      <c r="T261" t="n">
        <v>0</v>
      </c>
      <c r="U261" s="2" t="inlineStr"/>
    </row>
    <row r="262" ht="15" customHeight="1">
      <c r="A262" t="inlineStr">
        <is>
          <t>A 64045-2025</t>
        </is>
      </c>
      <c r="B262" t="inlineStr">
        <is>
          <t>avverkningsanmälan</t>
        </is>
      </c>
      <c r="C262" t="inlineStr">
        <is>
          <t>Föryngringsavverkning</t>
        </is>
      </c>
      <c r="D262" s="1" t="n">
        <v>46021</v>
      </c>
      <c r="E262" s="1" t="n">
        <v>46217</v>
      </c>
      <c r="F262" t="inlineStr">
        <is>
          <t>DALARNAS LÄN</t>
        </is>
      </c>
      <c r="G262" t="inlineStr">
        <is>
          <t>HEDEMORA</t>
        </is>
      </c>
      <c r="I262" t="n">
        <v>3.1</v>
      </c>
      <c r="J262" t="n">
        <v>0</v>
      </c>
      <c r="K262" t="n">
        <v>0</v>
      </c>
      <c r="L262" t="n">
        <v>0</v>
      </c>
      <c r="M262" t="n">
        <v>0</v>
      </c>
      <c r="N262" t="n">
        <v>0</v>
      </c>
      <c r="O262" t="n">
        <v>0</v>
      </c>
      <c r="P262" t="n">
        <v>0</v>
      </c>
      <c r="Q262" t="n">
        <v>0</v>
      </c>
      <c r="R262" t="n">
        <v>0</v>
      </c>
      <c r="S262" t="n">
        <v>0</v>
      </c>
      <c r="T262" t="n">
        <v>0</v>
      </c>
      <c r="U262" s="2" t="inlineStr"/>
    </row>
    <row r="263" ht="15" customHeight="1">
      <c r="A263" t="inlineStr">
        <is>
          <t>A 50040-2025</t>
        </is>
      </c>
      <c r="B263" t="inlineStr">
        <is>
          <t>avverkningsanmälan</t>
        </is>
      </c>
      <c r="C263" t="inlineStr">
        <is>
          <t>Föryngringsavverkning</t>
        </is>
      </c>
      <c r="D263" s="1" t="n">
        <v>45943</v>
      </c>
      <c r="E263" s="1" t="n">
        <v>46217</v>
      </c>
      <c r="F263" t="inlineStr">
        <is>
          <t>DALARNAS LÄN</t>
        </is>
      </c>
      <c r="G263" t="inlineStr">
        <is>
          <t>HEDEMORA</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63925-2023</t>
        </is>
      </c>
      <c r="B264" t="inlineStr">
        <is>
          <t>avverkningsanmälan</t>
        </is>
      </c>
      <c r="C264" t="inlineStr">
        <is>
          <t>Föryngringsavverkning</t>
        </is>
      </c>
      <c r="D264" s="1" t="n">
        <v>45278</v>
      </c>
      <c r="E264" s="1" t="n">
        <v>46217</v>
      </c>
      <c r="F264" t="inlineStr">
        <is>
          <t>DALARNAS LÄN</t>
        </is>
      </c>
      <c r="G264" t="inlineStr">
        <is>
          <t>HEDEMORA</t>
        </is>
      </c>
      <c r="I264" t="n">
        <v>5.2</v>
      </c>
      <c r="J264" t="n">
        <v>0</v>
      </c>
      <c r="K264" t="n">
        <v>0</v>
      </c>
      <c r="L264" t="n">
        <v>0</v>
      </c>
      <c r="M264" t="n">
        <v>0</v>
      </c>
      <c r="N264" t="n">
        <v>0</v>
      </c>
      <c r="O264" t="n">
        <v>0</v>
      </c>
      <c r="P264" t="n">
        <v>0</v>
      </c>
      <c r="Q264" t="n">
        <v>0</v>
      </c>
      <c r="R264" t="n">
        <v>0</v>
      </c>
      <c r="S264" t="n">
        <v>0</v>
      </c>
      <c r="T264" t="n">
        <v>0</v>
      </c>
      <c r="U264" s="2" t="inlineStr"/>
    </row>
    <row r="265" ht="15" customHeight="1">
      <c r="A265" t="inlineStr">
        <is>
          <t>A 6881-2024</t>
        </is>
      </c>
      <c r="B265" t="inlineStr">
        <is>
          <t>avverkningsanmälan</t>
        </is>
      </c>
      <c r="C265" t="inlineStr">
        <is>
          <t>Föryngringsavverkning</t>
        </is>
      </c>
      <c r="D265" s="1" t="n">
        <v>45342</v>
      </c>
      <c r="E265" s="1" t="n">
        <v>46217</v>
      </c>
      <c r="F265" t="inlineStr">
        <is>
          <t>DALARNAS LÄN</t>
        </is>
      </c>
      <c r="G265" t="inlineStr">
        <is>
          <t>HEDEMORA</t>
        </is>
      </c>
      <c r="I265" t="n">
        <v>2.5</v>
      </c>
      <c r="J265" t="n">
        <v>0</v>
      </c>
      <c r="K265" t="n">
        <v>0</v>
      </c>
      <c r="L265" t="n">
        <v>0</v>
      </c>
      <c r="M265" t="n">
        <v>0</v>
      </c>
      <c r="N265" t="n">
        <v>0</v>
      </c>
      <c r="O265" t="n">
        <v>0</v>
      </c>
      <c r="P265" t="n">
        <v>0</v>
      </c>
      <c r="Q265" t="n">
        <v>0</v>
      </c>
      <c r="R265" t="n">
        <v>0</v>
      </c>
      <c r="S265" t="n">
        <v>0</v>
      </c>
      <c r="T265" t="n">
        <v>0</v>
      </c>
      <c r="U265" s="2" t="inlineStr"/>
    </row>
    <row r="266" ht="15" customHeight="1">
      <c r="A266" t="inlineStr">
        <is>
          <t>A 834-2026</t>
        </is>
      </c>
      <c r="B266" t="inlineStr">
        <is>
          <t>avverkningsanmälan</t>
        </is>
      </c>
      <c r="C266" t="inlineStr">
        <is>
          <t>Föryngringsavverkning</t>
        </is>
      </c>
      <c r="D266" s="1" t="n">
        <v>46030</v>
      </c>
      <c r="E266" s="1" t="n">
        <v>46217</v>
      </c>
      <c r="F266" t="inlineStr">
        <is>
          <t>DALARNAS LÄN</t>
        </is>
      </c>
      <c r="G266" t="inlineStr">
        <is>
          <t>HEDEMORA</t>
        </is>
      </c>
      <c r="I266" t="n">
        <v>2.8</v>
      </c>
      <c r="J266" t="n">
        <v>0</v>
      </c>
      <c r="K266" t="n">
        <v>0</v>
      </c>
      <c r="L266" t="n">
        <v>0</v>
      </c>
      <c r="M266" t="n">
        <v>0</v>
      </c>
      <c r="N266" t="n">
        <v>0</v>
      </c>
      <c r="O266" t="n">
        <v>0</v>
      </c>
      <c r="P266" t="n">
        <v>0</v>
      </c>
      <c r="Q266" t="n">
        <v>0</v>
      </c>
      <c r="R266" t="n">
        <v>0</v>
      </c>
      <c r="S266" t="n">
        <v>0</v>
      </c>
      <c r="T266" t="n">
        <v>0</v>
      </c>
      <c r="U266" s="2" t="inlineStr"/>
    </row>
    <row r="267" ht="15" customHeight="1">
      <c r="A267" t="inlineStr">
        <is>
          <t>A 1451-2026</t>
        </is>
      </c>
      <c r="B267" t="inlineStr">
        <is>
          <t>avverkningsanmälan</t>
        </is>
      </c>
      <c r="C267" t="inlineStr">
        <is>
          <t>Föryngringsavverkning</t>
        </is>
      </c>
      <c r="D267" s="1" t="n">
        <v>46033</v>
      </c>
      <c r="E267" s="1" t="n">
        <v>46217</v>
      </c>
      <c r="F267" t="inlineStr">
        <is>
          <t>DALARNAS LÄN</t>
        </is>
      </c>
      <c r="G267" t="inlineStr">
        <is>
          <t>HEDEMORA</t>
        </is>
      </c>
      <c r="I267" t="n">
        <v>7</v>
      </c>
      <c r="J267" t="n">
        <v>0</v>
      </c>
      <c r="K267" t="n">
        <v>0</v>
      </c>
      <c r="L267" t="n">
        <v>0</v>
      </c>
      <c r="M267" t="n">
        <v>0</v>
      </c>
      <c r="N267" t="n">
        <v>0</v>
      </c>
      <c r="O267" t="n">
        <v>0</v>
      </c>
      <c r="P267" t="n">
        <v>0</v>
      </c>
      <c r="Q267" t="n">
        <v>0</v>
      </c>
      <c r="R267" t="n">
        <v>0</v>
      </c>
      <c r="S267" t="n">
        <v>0</v>
      </c>
      <c r="T267" t="n">
        <v>0</v>
      </c>
      <c r="U267" s="2" t="inlineStr"/>
    </row>
    <row r="268" ht="15" customHeight="1">
      <c r="A268" t="inlineStr">
        <is>
          <t>A 1449-2026</t>
        </is>
      </c>
      <c r="B268" t="inlineStr">
        <is>
          <t>avverkningsanmälan</t>
        </is>
      </c>
      <c r="C268" t="inlineStr">
        <is>
          <t>Föryngringsavverkning</t>
        </is>
      </c>
      <c r="D268" s="1" t="n">
        <v>46033</v>
      </c>
      <c r="E268" s="1" t="n">
        <v>46217</v>
      </c>
      <c r="F268" t="inlineStr">
        <is>
          <t>DALARNAS LÄN</t>
        </is>
      </c>
      <c r="G268" t="inlineStr">
        <is>
          <t>HEDEMORA</t>
        </is>
      </c>
      <c r="I268" t="n">
        <v>13.5</v>
      </c>
      <c r="J268" t="n">
        <v>0</v>
      </c>
      <c r="K268" t="n">
        <v>0</v>
      </c>
      <c r="L268" t="n">
        <v>0</v>
      </c>
      <c r="M268" t="n">
        <v>0</v>
      </c>
      <c r="N268" t="n">
        <v>0</v>
      </c>
      <c r="O268" t="n">
        <v>0</v>
      </c>
      <c r="P268" t="n">
        <v>0</v>
      </c>
      <c r="Q268" t="n">
        <v>0</v>
      </c>
      <c r="R268" t="n">
        <v>0</v>
      </c>
      <c r="S268" t="n">
        <v>0</v>
      </c>
      <c r="T268" t="n">
        <v>0</v>
      </c>
      <c r="U268" s="2" t="inlineStr"/>
    </row>
    <row r="269" ht="15" customHeight="1">
      <c r="A269" t="inlineStr">
        <is>
          <t>A 53042-2025</t>
        </is>
      </c>
      <c r="B269" t="inlineStr">
        <is>
          <t>avverkningsanmälan</t>
        </is>
      </c>
      <c r="C269" t="inlineStr">
        <is>
          <t>Föryngringsavverkning</t>
        </is>
      </c>
      <c r="D269" s="1" t="n">
        <v>45958</v>
      </c>
      <c r="E269" s="1" t="n">
        <v>46217</v>
      </c>
      <c r="F269" t="inlineStr">
        <is>
          <t>DALARNAS LÄN</t>
        </is>
      </c>
      <c r="G269" t="inlineStr">
        <is>
          <t>HEDEMORA</t>
        </is>
      </c>
      <c r="H269" t="inlineStr">
        <is>
          <t>Sveaskog</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1573-2026</t>
        </is>
      </c>
      <c r="B270" t="inlineStr">
        <is>
          <t>avverkningsanmälan</t>
        </is>
      </c>
      <c r="C270" t="inlineStr">
        <is>
          <t>Föryngringsavverkning</t>
        </is>
      </c>
      <c r="D270" s="1" t="n">
        <v>46034</v>
      </c>
      <c r="E270" s="1" t="n">
        <v>46217</v>
      </c>
      <c r="F270" t="inlineStr">
        <is>
          <t>DALARNAS LÄN</t>
        </is>
      </c>
      <c r="G270" t="inlineStr">
        <is>
          <t>HEDEMORA</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52199-2021</t>
        </is>
      </c>
      <c r="B271" t="inlineStr">
        <is>
          <t>avverkningsanmälan</t>
        </is>
      </c>
      <c r="C271" t="inlineStr">
        <is>
          <t>Föryngringsavverkning</t>
        </is>
      </c>
      <c r="D271" s="1" t="n">
        <v>44462</v>
      </c>
      <c r="E271" s="1" t="n">
        <v>46217</v>
      </c>
      <c r="F271" t="inlineStr">
        <is>
          <t>DALARNAS LÄN</t>
        </is>
      </c>
      <c r="G271" t="inlineStr">
        <is>
          <t>HEDEMORA</t>
        </is>
      </c>
      <c r="H271" t="inlineStr">
        <is>
          <t>Bergvik skog väst AB</t>
        </is>
      </c>
      <c r="I271" t="n">
        <v>4.4</v>
      </c>
      <c r="J271" t="n">
        <v>0</v>
      </c>
      <c r="K271" t="n">
        <v>0</v>
      </c>
      <c r="L271" t="n">
        <v>0</v>
      </c>
      <c r="M271" t="n">
        <v>0</v>
      </c>
      <c r="N271" t="n">
        <v>0</v>
      </c>
      <c r="O271" t="n">
        <v>0</v>
      </c>
      <c r="P271" t="n">
        <v>0</v>
      </c>
      <c r="Q271" t="n">
        <v>0</v>
      </c>
      <c r="R271" t="n">
        <v>0</v>
      </c>
      <c r="S271" t="n">
        <v>0</v>
      </c>
      <c r="T271" t="n">
        <v>0</v>
      </c>
      <c r="U271" s="2" t="inlineStr"/>
    </row>
    <row r="272" ht="15" customHeight="1">
      <c r="A272" t="inlineStr">
        <is>
          <t>A 1885-2026</t>
        </is>
      </c>
      <c r="B272" t="inlineStr">
        <is>
          <t>avverkningsanmälan</t>
        </is>
      </c>
      <c r="C272" t="inlineStr">
        <is>
          <t>Föryngringsavverkning</t>
        </is>
      </c>
      <c r="D272" s="1" t="n">
        <v>46035</v>
      </c>
      <c r="E272" s="1" t="n">
        <v>46217</v>
      </c>
      <c r="F272" t="inlineStr">
        <is>
          <t>DALARNAS LÄN</t>
        </is>
      </c>
      <c r="G272" t="inlineStr">
        <is>
          <t>HEDEMORA</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2159-2026</t>
        </is>
      </c>
      <c r="B273" t="inlineStr">
        <is>
          <t>avverkningsanmälan</t>
        </is>
      </c>
      <c r="C273" t="inlineStr">
        <is>
          <t>Föryngringsavverkning</t>
        </is>
      </c>
      <c r="D273" s="1" t="n">
        <v>46036</v>
      </c>
      <c r="E273" s="1" t="n">
        <v>46217</v>
      </c>
      <c r="F273" t="inlineStr">
        <is>
          <t>DALARNAS LÄN</t>
        </is>
      </c>
      <c r="G273" t="inlineStr">
        <is>
          <t>HEDEMORA</t>
        </is>
      </c>
      <c r="H273" t="inlineStr">
        <is>
          <t>Kyrkan</t>
        </is>
      </c>
      <c r="I273" t="n">
        <v>3.8</v>
      </c>
      <c r="J273" t="n">
        <v>0</v>
      </c>
      <c r="K273" t="n">
        <v>0</v>
      </c>
      <c r="L273" t="n">
        <v>0</v>
      </c>
      <c r="M273" t="n">
        <v>0</v>
      </c>
      <c r="N273" t="n">
        <v>0</v>
      </c>
      <c r="O273" t="n">
        <v>0</v>
      </c>
      <c r="P273" t="n">
        <v>0</v>
      </c>
      <c r="Q273" t="n">
        <v>0</v>
      </c>
      <c r="R273" t="n">
        <v>0</v>
      </c>
      <c r="S273" t="n">
        <v>0</v>
      </c>
      <c r="T273" t="n">
        <v>0</v>
      </c>
      <c r="U273" s="2" t="inlineStr"/>
    </row>
    <row r="274" ht="15" customHeight="1">
      <c r="A274" t="inlineStr">
        <is>
          <t>A 2599-2026</t>
        </is>
      </c>
      <c r="B274" t="inlineStr">
        <is>
          <t>avverkningsanmälan</t>
        </is>
      </c>
      <c r="C274" t="inlineStr">
        <is>
          <t>Föryngringsavverkning</t>
        </is>
      </c>
      <c r="D274" s="1" t="n">
        <v>46037</v>
      </c>
      <c r="E274" s="1" t="n">
        <v>46217</v>
      </c>
      <c r="F274" t="inlineStr">
        <is>
          <t>DALARNAS LÄN</t>
        </is>
      </c>
      <c r="G274" t="inlineStr">
        <is>
          <t>HEDEMORA</t>
        </is>
      </c>
      <c r="I274" t="n">
        <v>6.5</v>
      </c>
      <c r="J274" t="n">
        <v>0</v>
      </c>
      <c r="K274" t="n">
        <v>0</v>
      </c>
      <c r="L274" t="n">
        <v>0</v>
      </c>
      <c r="M274" t="n">
        <v>0</v>
      </c>
      <c r="N274" t="n">
        <v>0</v>
      </c>
      <c r="O274" t="n">
        <v>0</v>
      </c>
      <c r="P274" t="n">
        <v>0</v>
      </c>
      <c r="Q274" t="n">
        <v>0</v>
      </c>
      <c r="R274" t="n">
        <v>0</v>
      </c>
      <c r="S274" t="n">
        <v>0</v>
      </c>
      <c r="T274" t="n">
        <v>0</v>
      </c>
      <c r="U274" s="2" t="inlineStr"/>
    </row>
    <row r="275" ht="15" customHeight="1">
      <c r="A275" t="inlineStr">
        <is>
          <t>A 6372-2026</t>
        </is>
      </c>
      <c r="B275" t="inlineStr">
        <is>
          <t>avverkningsanmälan</t>
        </is>
      </c>
      <c r="C275" t="inlineStr">
        <is>
          <t>Föryngringsavverkning</t>
        </is>
      </c>
      <c r="D275" s="1" t="n">
        <v>46055</v>
      </c>
      <c r="E275" s="1" t="n">
        <v>46217</v>
      </c>
      <c r="F275" t="inlineStr">
        <is>
          <t>DALARNAS LÄN</t>
        </is>
      </c>
      <c r="G275" t="inlineStr">
        <is>
          <t>HEDEMORA</t>
        </is>
      </c>
      <c r="H275" t="inlineStr">
        <is>
          <t>Sveaskog</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17148-2026</t>
        </is>
      </c>
      <c r="B276" t="inlineStr">
        <is>
          <t>avverkningsanmälan</t>
        </is>
      </c>
      <c r="C276" t="inlineStr">
        <is>
          <t>Föryngringsavverkning</t>
        </is>
      </c>
      <c r="D276" s="1" t="n">
        <v>46114</v>
      </c>
      <c r="E276" s="1" t="n">
        <v>46217</v>
      </c>
      <c r="F276" t="inlineStr">
        <is>
          <t>DALARNAS LÄN</t>
        </is>
      </c>
      <c r="G276" t="inlineStr">
        <is>
          <t>HEDEMORA</t>
        </is>
      </c>
      <c r="H276" t="inlineStr">
        <is>
          <t>Sveaskog</t>
        </is>
      </c>
      <c r="I276" t="n">
        <v>3</v>
      </c>
      <c r="J276" t="n">
        <v>0</v>
      </c>
      <c r="K276" t="n">
        <v>0</v>
      </c>
      <c r="L276" t="n">
        <v>0</v>
      </c>
      <c r="M276" t="n">
        <v>0</v>
      </c>
      <c r="N276" t="n">
        <v>0</v>
      </c>
      <c r="O276" t="n">
        <v>0</v>
      </c>
      <c r="P276" t="n">
        <v>0</v>
      </c>
      <c r="Q276" t="n">
        <v>0</v>
      </c>
      <c r="R276" t="n">
        <v>0</v>
      </c>
      <c r="S276" t="n">
        <v>0</v>
      </c>
      <c r="T276" t="n">
        <v>0</v>
      </c>
      <c r="U276" s="2" t="inlineStr"/>
    </row>
    <row r="277" ht="15" customHeight="1">
      <c r="A277" t="inlineStr">
        <is>
          <t>A 57563-2025</t>
        </is>
      </c>
      <c r="B277" t="inlineStr">
        <is>
          <t>avverkningsanmälan</t>
        </is>
      </c>
      <c r="C277" t="inlineStr">
        <is>
          <t>Föryngringsavverkning</t>
        </is>
      </c>
      <c r="D277" s="1" t="n">
        <v>45980</v>
      </c>
      <c r="E277" s="1" t="n">
        <v>46217</v>
      </c>
      <c r="F277" t="inlineStr">
        <is>
          <t>DALARNAS LÄN</t>
        </is>
      </c>
      <c r="G277" t="inlineStr">
        <is>
          <t>HEDEMORA</t>
        </is>
      </c>
      <c r="H277" t="inlineStr">
        <is>
          <t>Sveaskog</t>
        </is>
      </c>
      <c r="I277" t="n">
        <v>5.8</v>
      </c>
      <c r="J277" t="n">
        <v>0</v>
      </c>
      <c r="K277" t="n">
        <v>0</v>
      </c>
      <c r="L277" t="n">
        <v>0</v>
      </c>
      <c r="M277" t="n">
        <v>0</v>
      </c>
      <c r="N277" t="n">
        <v>0</v>
      </c>
      <c r="O277" t="n">
        <v>0</v>
      </c>
      <c r="P277" t="n">
        <v>0</v>
      </c>
      <c r="Q277" t="n">
        <v>0</v>
      </c>
      <c r="R277" t="n">
        <v>0</v>
      </c>
      <c r="S277" t="n">
        <v>0</v>
      </c>
      <c r="T277" t="n">
        <v>0</v>
      </c>
      <c r="U277" s="2" t="inlineStr"/>
    </row>
    <row r="278" ht="15" customHeight="1">
      <c r="A278" t="inlineStr">
        <is>
          <t>A 39531-2024</t>
        </is>
      </c>
      <c r="B278" t="inlineStr">
        <is>
          <t>avverkningsanmälan</t>
        </is>
      </c>
      <c r="C278" t="inlineStr">
        <is>
          <t>Föryngringsavverkning</t>
        </is>
      </c>
      <c r="D278" s="1" t="n">
        <v>45551</v>
      </c>
      <c r="E278" s="1" t="n">
        <v>46217</v>
      </c>
      <c r="F278" t="inlineStr">
        <is>
          <t>DALARNAS LÄN</t>
        </is>
      </c>
      <c r="G278" t="inlineStr">
        <is>
          <t>HEDEMORA</t>
        </is>
      </c>
      <c r="H278" t="inlineStr">
        <is>
          <t>Bergvik skog väst AB</t>
        </is>
      </c>
      <c r="I278" t="n">
        <v>1.9</v>
      </c>
      <c r="J278" t="n">
        <v>0</v>
      </c>
      <c r="K278" t="n">
        <v>0</v>
      </c>
      <c r="L278" t="n">
        <v>0</v>
      </c>
      <c r="M278" t="n">
        <v>0</v>
      </c>
      <c r="N278" t="n">
        <v>0</v>
      </c>
      <c r="O278" t="n">
        <v>0</v>
      </c>
      <c r="P278" t="n">
        <v>0</v>
      </c>
      <c r="Q278" t="n">
        <v>0</v>
      </c>
      <c r="R278" t="n">
        <v>0</v>
      </c>
      <c r="S278" t="n">
        <v>0</v>
      </c>
      <c r="T278" t="n">
        <v>0</v>
      </c>
      <c r="U278" s="2" t="inlineStr"/>
    </row>
    <row r="279" ht="15" customHeight="1">
      <c r="A279" t="inlineStr">
        <is>
          <t>A 4070-2026</t>
        </is>
      </c>
      <c r="B279" t="inlineStr">
        <is>
          <t>avverkningsanmälan</t>
        </is>
      </c>
      <c r="C279" t="inlineStr">
        <is>
          <t>Föryngringsavverkning</t>
        </is>
      </c>
      <c r="D279" s="1" t="n">
        <v>46044</v>
      </c>
      <c r="E279" s="1" t="n">
        <v>46217</v>
      </c>
      <c r="F279" t="inlineStr">
        <is>
          <t>DALARNAS LÄN</t>
        </is>
      </c>
      <c r="G279" t="inlineStr">
        <is>
          <t>HEDEMORA</t>
        </is>
      </c>
      <c r="I279" t="n">
        <v>29.2</v>
      </c>
      <c r="J279" t="n">
        <v>0</v>
      </c>
      <c r="K279" t="n">
        <v>0</v>
      </c>
      <c r="L279" t="n">
        <v>0</v>
      </c>
      <c r="M279" t="n">
        <v>0</v>
      </c>
      <c r="N279" t="n">
        <v>0</v>
      </c>
      <c r="O279" t="n">
        <v>0</v>
      </c>
      <c r="P279" t="n">
        <v>0</v>
      </c>
      <c r="Q279" t="n">
        <v>0</v>
      </c>
      <c r="R279" t="n">
        <v>0</v>
      </c>
      <c r="S279" t="n">
        <v>0</v>
      </c>
      <c r="T279" t="n">
        <v>0</v>
      </c>
      <c r="U279" s="2" t="inlineStr"/>
    </row>
    <row r="280" ht="15" customHeight="1">
      <c r="A280" t="inlineStr">
        <is>
          <t>A 57745-2024</t>
        </is>
      </c>
      <c r="B280" t="inlineStr">
        <is>
          <t>avverkningsanmälan</t>
        </is>
      </c>
      <c r="C280" t="inlineStr">
        <is>
          <t>Föryngringsavverkning</t>
        </is>
      </c>
      <c r="D280" s="1" t="n">
        <v>45630</v>
      </c>
      <c r="E280" s="1" t="n">
        <v>46217</v>
      </c>
      <c r="F280" t="inlineStr">
        <is>
          <t>DALARNAS LÄN</t>
        </is>
      </c>
      <c r="G280" t="inlineStr">
        <is>
          <t>HEDEMORA</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3759-2026</t>
        </is>
      </c>
      <c r="B281" t="inlineStr">
        <is>
          <t>avverkningsanmälan</t>
        </is>
      </c>
      <c r="C281" t="inlineStr">
        <is>
          <t>Föryngringsavverkning</t>
        </is>
      </c>
      <c r="D281" s="1" t="n">
        <v>46043</v>
      </c>
      <c r="E281" s="1" t="n">
        <v>46217</v>
      </c>
      <c r="F281" t="inlineStr">
        <is>
          <t>DALARNAS LÄN</t>
        </is>
      </c>
      <c r="G281" t="inlineStr">
        <is>
          <t>HEDEMORA</t>
        </is>
      </c>
      <c r="I281" t="n">
        <v>6.6</v>
      </c>
      <c r="J281" t="n">
        <v>0</v>
      </c>
      <c r="K281" t="n">
        <v>0</v>
      </c>
      <c r="L281" t="n">
        <v>0</v>
      </c>
      <c r="M281" t="n">
        <v>0</v>
      </c>
      <c r="N281" t="n">
        <v>0</v>
      </c>
      <c r="O281" t="n">
        <v>0</v>
      </c>
      <c r="P281" t="n">
        <v>0</v>
      </c>
      <c r="Q281" t="n">
        <v>0</v>
      </c>
      <c r="R281" t="n">
        <v>0</v>
      </c>
      <c r="S281" t="n">
        <v>0</v>
      </c>
      <c r="T281" t="n">
        <v>0</v>
      </c>
      <c r="U281" s="2" t="inlineStr"/>
    </row>
    <row r="282" ht="15" customHeight="1">
      <c r="A282" t="inlineStr">
        <is>
          <t>A 19938-2026</t>
        </is>
      </c>
      <c r="B282" t="inlineStr">
        <is>
          <t>avverkningsanmälan</t>
        </is>
      </c>
      <c r="C282" t="inlineStr">
        <is>
          <t>Föryngringsavverkning</t>
        </is>
      </c>
      <c r="D282" s="1" t="n">
        <v>46136</v>
      </c>
      <c r="E282" s="1" t="n">
        <v>46217</v>
      </c>
      <c r="F282" t="inlineStr">
        <is>
          <t>DALARNAS LÄN</t>
        </is>
      </c>
      <c r="G282" t="inlineStr">
        <is>
          <t>HEDEMORA</t>
        </is>
      </c>
      <c r="H282" t="inlineStr">
        <is>
          <t>Sveaskog</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2056-2026</t>
        </is>
      </c>
      <c r="B283" t="inlineStr">
        <is>
          <t>avverkningsanmälan</t>
        </is>
      </c>
      <c r="C283" t="inlineStr">
        <is>
          <t>Avverkning för att bevara och utveckla /försöksver</t>
        </is>
      </c>
      <c r="D283" s="1" t="n">
        <v>46032</v>
      </c>
      <c r="E283" s="1" t="n">
        <v>46217</v>
      </c>
      <c r="F283" t="inlineStr">
        <is>
          <t>DALARNAS LÄN</t>
        </is>
      </c>
      <c r="G283" t="inlineStr">
        <is>
          <t>HEDEMORA</t>
        </is>
      </c>
      <c r="I283" t="n">
        <v>2.5</v>
      </c>
      <c r="J283" t="n">
        <v>0</v>
      </c>
      <c r="K283" t="n">
        <v>0</v>
      </c>
      <c r="L283" t="n">
        <v>0</v>
      </c>
      <c r="M283" t="n">
        <v>0</v>
      </c>
      <c r="N283" t="n">
        <v>0</v>
      </c>
      <c r="O283" t="n">
        <v>0</v>
      </c>
      <c r="P283" t="n">
        <v>0</v>
      </c>
      <c r="Q283" t="n">
        <v>0</v>
      </c>
      <c r="R283" t="n">
        <v>0</v>
      </c>
      <c r="S283" t="n">
        <v>0</v>
      </c>
      <c r="T283" t="n">
        <v>0</v>
      </c>
      <c r="U283" s="2" t="inlineStr"/>
    </row>
    <row r="284" ht="15" customHeight="1">
      <c r="A284" t="inlineStr">
        <is>
          <t>A 28870-2026</t>
        </is>
      </c>
      <c r="B284" t="inlineStr">
        <is>
          <t>avverkningsanmälan</t>
        </is>
      </c>
      <c r="C284" t="inlineStr">
        <is>
          <t>Föryngringsavverkning</t>
        </is>
      </c>
      <c r="D284" s="1" t="n">
        <v>46199</v>
      </c>
      <c r="E284" s="1" t="n">
        <v>46217</v>
      </c>
      <c r="F284" t="inlineStr">
        <is>
          <t>DALARNAS LÄN</t>
        </is>
      </c>
      <c r="G284" t="inlineStr">
        <is>
          <t>HEDEMORA</t>
        </is>
      </c>
      <c r="H284" t="inlineStr">
        <is>
          <t>Sveaskog</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15635-2022</t>
        </is>
      </c>
      <c r="B285" t="inlineStr">
        <is>
          <t>avverkningsanmälan</t>
        </is>
      </c>
      <c r="C285" t="inlineStr">
        <is>
          <t>Föryngringsavverkning</t>
        </is>
      </c>
      <c r="D285" s="1" t="n">
        <v>44662</v>
      </c>
      <c r="E285" s="1" t="n">
        <v>46217</v>
      </c>
      <c r="F285" t="inlineStr">
        <is>
          <t>DALARNAS LÄN</t>
        </is>
      </c>
      <c r="G285" t="inlineStr">
        <is>
          <t>HEDEMORA</t>
        </is>
      </c>
      <c r="H285" t="inlineStr">
        <is>
          <t>Bergvik skog väst AB</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19929-2026</t>
        </is>
      </c>
      <c r="B286" t="inlineStr">
        <is>
          <t>avverkningsanmälan</t>
        </is>
      </c>
      <c r="C286" t="inlineStr">
        <is>
          <t>Föryngringsavverkning</t>
        </is>
      </c>
      <c r="D286" s="1" t="n">
        <v>46136</v>
      </c>
      <c r="E286" s="1" t="n">
        <v>46217</v>
      </c>
      <c r="F286" t="inlineStr">
        <is>
          <t>DALARNAS LÄN</t>
        </is>
      </c>
      <c r="G286" t="inlineStr">
        <is>
          <t>HEDEMORA</t>
        </is>
      </c>
      <c r="H286" t="inlineStr">
        <is>
          <t>Sveaskog</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7916-2024</t>
        </is>
      </c>
      <c r="B287" t="inlineStr">
        <is>
          <t>avverkningsanmälan</t>
        </is>
      </c>
      <c r="C287" t="inlineStr">
        <is>
          <t>Föryngringsavverkning</t>
        </is>
      </c>
      <c r="D287" s="1" t="n">
        <v>45350</v>
      </c>
      <c r="E287" s="1" t="n">
        <v>46217</v>
      </c>
      <c r="F287" t="inlineStr">
        <is>
          <t>DALARNAS LÄN</t>
        </is>
      </c>
      <c r="G287" t="inlineStr">
        <is>
          <t>HEDEMORA</t>
        </is>
      </c>
      <c r="I287" t="n">
        <v>5.8</v>
      </c>
      <c r="J287" t="n">
        <v>0</v>
      </c>
      <c r="K287" t="n">
        <v>0</v>
      </c>
      <c r="L287" t="n">
        <v>0</v>
      </c>
      <c r="M287" t="n">
        <v>0</v>
      </c>
      <c r="N287" t="n">
        <v>0</v>
      </c>
      <c r="O287" t="n">
        <v>0</v>
      </c>
      <c r="P287" t="n">
        <v>0</v>
      </c>
      <c r="Q287" t="n">
        <v>0</v>
      </c>
      <c r="R287" t="n">
        <v>0</v>
      </c>
      <c r="S287" t="n">
        <v>0</v>
      </c>
      <c r="T287" t="n">
        <v>0</v>
      </c>
      <c r="U287" s="2" t="inlineStr"/>
    </row>
    <row r="288" ht="15" customHeight="1">
      <c r="A288" t="inlineStr">
        <is>
          <t>A 22882-2026</t>
        </is>
      </c>
      <c r="B288" t="inlineStr">
        <is>
          <t>avverkningsanmälan</t>
        </is>
      </c>
      <c r="C288" t="inlineStr">
        <is>
          <t>Föryngringsavverkning</t>
        </is>
      </c>
      <c r="D288" s="1" t="n">
        <v>46157</v>
      </c>
      <c r="E288" s="1" t="n">
        <v>46217</v>
      </c>
      <c r="F288" t="inlineStr">
        <is>
          <t>DALARNAS LÄN</t>
        </is>
      </c>
      <c r="G288" t="inlineStr">
        <is>
          <t>HEDEMORA</t>
        </is>
      </c>
      <c r="H288" t="inlineStr">
        <is>
          <t>Bergvik skog väst AB</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5316-2026</t>
        </is>
      </c>
      <c r="B289" t="inlineStr">
        <is>
          <t>avverkningsanmälan</t>
        </is>
      </c>
      <c r="C289" t="inlineStr">
        <is>
          <t>Föryngringsavverkning</t>
        </is>
      </c>
      <c r="D289" s="1" t="n">
        <v>46050</v>
      </c>
      <c r="E289" s="1" t="n">
        <v>46217</v>
      </c>
      <c r="F289" t="inlineStr">
        <is>
          <t>DALARNAS LÄN</t>
        </is>
      </c>
      <c r="G289" t="inlineStr">
        <is>
          <t>HEDEMORA</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52944-2024</t>
        </is>
      </c>
      <c r="B290" t="inlineStr">
        <is>
          <t>avverkningsanmälan</t>
        </is>
      </c>
      <c r="C290" t="inlineStr">
        <is>
          <t>Föryngringsavverkning</t>
        </is>
      </c>
      <c r="D290" s="1" t="n">
        <v>45610</v>
      </c>
      <c r="E290" s="1" t="n">
        <v>46217</v>
      </c>
      <c r="F290" t="inlineStr">
        <is>
          <t>DALARNAS LÄN</t>
        </is>
      </c>
      <c r="G290" t="inlineStr">
        <is>
          <t>HEDEMORA</t>
        </is>
      </c>
      <c r="H290" t="inlineStr">
        <is>
          <t>Sveaskog</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19942-2026</t>
        </is>
      </c>
      <c r="B291" t="inlineStr">
        <is>
          <t>avverkningsanmälan</t>
        </is>
      </c>
      <c r="C291" t="inlineStr">
        <is>
          <t>Föryngringsavverkning</t>
        </is>
      </c>
      <c r="D291" s="1" t="n">
        <v>46136</v>
      </c>
      <c r="E291" s="1" t="n">
        <v>46217</v>
      </c>
      <c r="F291" t="inlineStr">
        <is>
          <t>DALARNAS LÄN</t>
        </is>
      </c>
      <c r="G291" t="inlineStr">
        <is>
          <t>HEDEMORA</t>
        </is>
      </c>
      <c r="H291" t="inlineStr">
        <is>
          <t>Sveaskog</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28883-2026</t>
        </is>
      </c>
      <c r="B292" t="inlineStr">
        <is>
          <t>avverkningsanmälan</t>
        </is>
      </c>
      <c r="C292" t="inlineStr">
        <is>
          <t>Föryngringsavverkning</t>
        </is>
      </c>
      <c r="D292" s="1" t="n">
        <v>46199</v>
      </c>
      <c r="E292" s="1" t="n">
        <v>46217</v>
      </c>
      <c r="F292" t="inlineStr">
        <is>
          <t>DALARNAS LÄN</t>
        </is>
      </c>
      <c r="G292" t="inlineStr">
        <is>
          <t>HEDEMORA</t>
        </is>
      </c>
      <c r="H292" t="inlineStr">
        <is>
          <t>Sveaskog</t>
        </is>
      </c>
      <c r="I292" t="n">
        <v>6.3</v>
      </c>
      <c r="J292" t="n">
        <v>0</v>
      </c>
      <c r="K292" t="n">
        <v>0</v>
      </c>
      <c r="L292" t="n">
        <v>0</v>
      </c>
      <c r="M292" t="n">
        <v>0</v>
      </c>
      <c r="N292" t="n">
        <v>0</v>
      </c>
      <c r="O292" t="n">
        <v>0</v>
      </c>
      <c r="P292" t="n">
        <v>0</v>
      </c>
      <c r="Q292" t="n">
        <v>0</v>
      </c>
      <c r="R292" t="n">
        <v>0</v>
      </c>
      <c r="S292" t="n">
        <v>0</v>
      </c>
      <c r="T292" t="n">
        <v>0</v>
      </c>
      <c r="U292" s="2" t="inlineStr"/>
    </row>
    <row r="293" ht="15" customHeight="1">
      <c r="A293" t="inlineStr">
        <is>
          <t>A 5784-2026</t>
        </is>
      </c>
      <c r="B293" t="inlineStr">
        <is>
          <t>avverkningsanmälan</t>
        </is>
      </c>
      <c r="C293" t="inlineStr">
        <is>
          <t>Föryngringsavverkning</t>
        </is>
      </c>
      <c r="D293" s="1" t="n">
        <v>46051</v>
      </c>
      <c r="E293" s="1" t="n">
        <v>46217</v>
      </c>
      <c r="F293" t="inlineStr">
        <is>
          <t>DALARNAS LÄN</t>
        </is>
      </c>
      <c r="G293" t="inlineStr">
        <is>
          <t>HEDEMORA</t>
        </is>
      </c>
      <c r="I293" t="n">
        <v>3.6</v>
      </c>
      <c r="J293" t="n">
        <v>0</v>
      </c>
      <c r="K293" t="n">
        <v>0</v>
      </c>
      <c r="L293" t="n">
        <v>0</v>
      </c>
      <c r="M293" t="n">
        <v>0</v>
      </c>
      <c r="N293" t="n">
        <v>0</v>
      </c>
      <c r="O293" t="n">
        <v>0</v>
      </c>
      <c r="P293" t="n">
        <v>0</v>
      </c>
      <c r="Q293" t="n">
        <v>0</v>
      </c>
      <c r="R293" t="n">
        <v>0</v>
      </c>
      <c r="S293" t="n">
        <v>0</v>
      </c>
      <c r="T293" t="n">
        <v>0</v>
      </c>
      <c r="U293" s="2" t="inlineStr"/>
    </row>
    <row r="294" ht="15" customHeight="1">
      <c r="A294" t="inlineStr">
        <is>
          <t>A 5619-2026</t>
        </is>
      </c>
      <c r="B294" t="inlineStr">
        <is>
          <t>avverkningsanmälan</t>
        </is>
      </c>
      <c r="C294" t="inlineStr">
        <is>
          <t>Föryngringsavverkning</t>
        </is>
      </c>
      <c r="D294" s="1" t="n">
        <v>46051</v>
      </c>
      <c r="E294" s="1" t="n">
        <v>46217</v>
      </c>
      <c r="F294" t="inlineStr">
        <is>
          <t>DALARNAS LÄN</t>
        </is>
      </c>
      <c r="G294" t="inlineStr">
        <is>
          <t>HEDEMORA</t>
        </is>
      </c>
      <c r="I294" t="n">
        <v>8</v>
      </c>
      <c r="J294" t="n">
        <v>0</v>
      </c>
      <c r="K294" t="n">
        <v>0</v>
      </c>
      <c r="L294" t="n">
        <v>0</v>
      </c>
      <c r="M294" t="n">
        <v>0</v>
      </c>
      <c r="N294" t="n">
        <v>0</v>
      </c>
      <c r="O294" t="n">
        <v>0</v>
      </c>
      <c r="P294" t="n">
        <v>0</v>
      </c>
      <c r="Q294" t="n">
        <v>0</v>
      </c>
      <c r="R294" t="n">
        <v>0</v>
      </c>
      <c r="S294" t="n">
        <v>0</v>
      </c>
      <c r="T294" t="n">
        <v>0</v>
      </c>
      <c r="U294" s="2" t="inlineStr"/>
    </row>
    <row r="295" ht="15" customHeight="1">
      <c r="A295" t="inlineStr">
        <is>
          <t>A 5617-2026</t>
        </is>
      </c>
      <c r="B295" t="inlineStr">
        <is>
          <t>avverkningsanmälan</t>
        </is>
      </c>
      <c r="C295" t="inlineStr">
        <is>
          <t>Föryngringsavverkning</t>
        </is>
      </c>
      <c r="D295" s="1" t="n">
        <v>46051</v>
      </c>
      <c r="E295" s="1" t="n">
        <v>46217</v>
      </c>
      <c r="F295" t="inlineStr">
        <is>
          <t>DALARNAS LÄN</t>
        </is>
      </c>
      <c r="G295" t="inlineStr">
        <is>
          <t>HEDEMORA</t>
        </is>
      </c>
      <c r="I295" t="n">
        <v>4.3</v>
      </c>
      <c r="J295" t="n">
        <v>0</v>
      </c>
      <c r="K295" t="n">
        <v>0</v>
      </c>
      <c r="L295" t="n">
        <v>0</v>
      </c>
      <c r="M295" t="n">
        <v>0</v>
      </c>
      <c r="N295" t="n">
        <v>0</v>
      </c>
      <c r="O295" t="n">
        <v>0</v>
      </c>
      <c r="P295" t="n">
        <v>0</v>
      </c>
      <c r="Q295" t="n">
        <v>0</v>
      </c>
      <c r="R295" t="n">
        <v>0</v>
      </c>
      <c r="S295" t="n">
        <v>0</v>
      </c>
      <c r="T295" t="n">
        <v>0</v>
      </c>
      <c r="U295" s="2" t="inlineStr"/>
    </row>
    <row r="296" ht="15" customHeight="1">
      <c r="A296" t="inlineStr">
        <is>
          <t>A 12133-2025</t>
        </is>
      </c>
      <c r="B296" t="inlineStr">
        <is>
          <t>avverkningsanmälan</t>
        </is>
      </c>
      <c r="C296" t="inlineStr">
        <is>
          <t>Föryngringsavverkning</t>
        </is>
      </c>
      <c r="D296" s="1" t="n">
        <v>45729</v>
      </c>
      <c r="E296" s="1" t="n">
        <v>46217</v>
      </c>
      <c r="F296" t="inlineStr">
        <is>
          <t>DALARNAS LÄN</t>
        </is>
      </c>
      <c r="G296" t="inlineStr">
        <is>
          <t>HEDEMORA</t>
        </is>
      </c>
      <c r="I296" t="n">
        <v>4.8</v>
      </c>
      <c r="J296" t="n">
        <v>0</v>
      </c>
      <c r="K296" t="n">
        <v>0</v>
      </c>
      <c r="L296" t="n">
        <v>0</v>
      </c>
      <c r="M296" t="n">
        <v>0</v>
      </c>
      <c r="N296" t="n">
        <v>0</v>
      </c>
      <c r="O296" t="n">
        <v>0</v>
      </c>
      <c r="P296" t="n">
        <v>0</v>
      </c>
      <c r="Q296" t="n">
        <v>0</v>
      </c>
      <c r="R296" t="n">
        <v>0</v>
      </c>
      <c r="S296" t="n">
        <v>0</v>
      </c>
      <c r="T296" t="n">
        <v>0</v>
      </c>
      <c r="U296" s="2" t="inlineStr"/>
    </row>
    <row r="297" ht="15" customHeight="1">
      <c r="A297" t="inlineStr">
        <is>
          <t>A 29522-2026</t>
        </is>
      </c>
      <c r="B297" t="inlineStr">
        <is>
          <t>avverkningsanmälan</t>
        </is>
      </c>
      <c r="C297" t="inlineStr">
        <is>
          <t>Föryngringsavverkning</t>
        </is>
      </c>
      <c r="D297" s="1" t="n">
        <v>46198</v>
      </c>
      <c r="E297" s="1" t="n">
        <v>46217</v>
      </c>
      <c r="F297" t="inlineStr">
        <is>
          <t>DALARNAS LÄN</t>
        </is>
      </c>
      <c r="G297" t="inlineStr">
        <is>
          <t>HEDEMORA</t>
        </is>
      </c>
      <c r="H297" t="inlineStr">
        <is>
          <t>Kyrkan</t>
        </is>
      </c>
      <c r="I297" t="n">
        <v>8.9</v>
      </c>
      <c r="J297" t="n">
        <v>0</v>
      </c>
      <c r="K297" t="n">
        <v>0</v>
      </c>
      <c r="L297" t="n">
        <v>0</v>
      </c>
      <c r="M297" t="n">
        <v>0</v>
      </c>
      <c r="N297" t="n">
        <v>0</v>
      </c>
      <c r="O297" t="n">
        <v>0</v>
      </c>
      <c r="P297" t="n">
        <v>0</v>
      </c>
      <c r="Q297" t="n">
        <v>0</v>
      </c>
      <c r="R297" t="n">
        <v>0</v>
      </c>
      <c r="S297" t="n">
        <v>0</v>
      </c>
      <c r="T297" t="n">
        <v>0</v>
      </c>
      <c r="U297" s="2" t="inlineStr"/>
    </row>
    <row r="298" ht="15" customHeight="1">
      <c r="A298" t="inlineStr">
        <is>
          <t>A 7165-2026</t>
        </is>
      </c>
      <c r="B298" t="inlineStr">
        <is>
          <t>avverkningsanmälan</t>
        </is>
      </c>
      <c r="C298" t="inlineStr">
        <is>
          <t>Föryngringsavverkning</t>
        </is>
      </c>
      <c r="D298" s="1" t="n">
        <v>46058</v>
      </c>
      <c r="E298" s="1" t="n">
        <v>46217</v>
      </c>
      <c r="F298" t="inlineStr">
        <is>
          <t>DALARNAS LÄN</t>
        </is>
      </c>
      <c r="G298" t="inlineStr">
        <is>
          <t>HEDEMORA</t>
        </is>
      </c>
      <c r="I298" t="n">
        <v>4.9</v>
      </c>
      <c r="J298" t="n">
        <v>0</v>
      </c>
      <c r="K298" t="n">
        <v>0</v>
      </c>
      <c r="L298" t="n">
        <v>0</v>
      </c>
      <c r="M298" t="n">
        <v>0</v>
      </c>
      <c r="N298" t="n">
        <v>0</v>
      </c>
      <c r="O298" t="n">
        <v>0</v>
      </c>
      <c r="P298" t="n">
        <v>0</v>
      </c>
      <c r="Q298" t="n">
        <v>0</v>
      </c>
      <c r="R298" t="n">
        <v>0</v>
      </c>
      <c r="S298" t="n">
        <v>0</v>
      </c>
      <c r="T298" t="n">
        <v>0</v>
      </c>
      <c r="U298" s="2" t="inlineStr"/>
    </row>
    <row r="299" ht="15" customHeight="1">
      <c r="A299" t="inlineStr">
        <is>
          <t>A 58841-2023</t>
        </is>
      </c>
      <c r="B299" t="inlineStr">
        <is>
          <t>avverkningsanmälan</t>
        </is>
      </c>
      <c r="C299" t="inlineStr">
        <is>
          <t>Föryngringsavverkning</t>
        </is>
      </c>
      <c r="D299" s="1" t="n">
        <v>45252</v>
      </c>
      <c r="E299" s="1" t="n">
        <v>46217</v>
      </c>
      <c r="F299" t="inlineStr">
        <is>
          <t>DALARNAS LÄN</t>
        </is>
      </c>
      <c r="G299" t="inlineStr">
        <is>
          <t>HEDEMORA</t>
        </is>
      </c>
      <c r="I299" t="n">
        <v>14.8</v>
      </c>
      <c r="J299" t="n">
        <v>0</v>
      </c>
      <c r="K299" t="n">
        <v>0</v>
      </c>
      <c r="L299" t="n">
        <v>0</v>
      </c>
      <c r="M299" t="n">
        <v>0</v>
      </c>
      <c r="N299" t="n">
        <v>0</v>
      </c>
      <c r="O299" t="n">
        <v>0</v>
      </c>
      <c r="P299" t="n">
        <v>0</v>
      </c>
      <c r="Q299" t="n">
        <v>0</v>
      </c>
      <c r="R299" t="n">
        <v>0</v>
      </c>
      <c r="S299" t="n">
        <v>0</v>
      </c>
      <c r="T299" t="n">
        <v>0</v>
      </c>
      <c r="U299" s="2" t="inlineStr"/>
    </row>
    <row r="300" ht="15" customHeight="1">
      <c r="A300" t="inlineStr">
        <is>
          <t>A 60786-2023</t>
        </is>
      </c>
      <c r="B300" t="inlineStr">
        <is>
          <t>avverkningsanmälan</t>
        </is>
      </c>
      <c r="C300" t="inlineStr">
        <is>
          <t>Föryngringsavverkning</t>
        </is>
      </c>
      <c r="D300" s="1" t="n">
        <v>45260</v>
      </c>
      <c r="E300" s="1" t="n">
        <v>46217</v>
      </c>
      <c r="F300" t="inlineStr">
        <is>
          <t>DALARNAS LÄN</t>
        </is>
      </c>
      <c r="G300" t="inlineStr">
        <is>
          <t>HEDEMORA</t>
        </is>
      </c>
      <c r="I300" t="n">
        <v>7.1</v>
      </c>
      <c r="J300" t="n">
        <v>0</v>
      </c>
      <c r="K300" t="n">
        <v>0</v>
      </c>
      <c r="L300" t="n">
        <v>0</v>
      </c>
      <c r="M300" t="n">
        <v>0</v>
      </c>
      <c r="N300" t="n">
        <v>0</v>
      </c>
      <c r="O300" t="n">
        <v>0</v>
      </c>
      <c r="P300" t="n">
        <v>0</v>
      </c>
      <c r="Q300" t="n">
        <v>0</v>
      </c>
      <c r="R300" t="n">
        <v>0</v>
      </c>
      <c r="S300" t="n">
        <v>0</v>
      </c>
      <c r="T300" t="n">
        <v>0</v>
      </c>
      <c r="U300" s="2" t="inlineStr"/>
    </row>
    <row r="301" ht="15" customHeight="1">
      <c r="A301" t="inlineStr">
        <is>
          <t>A 4809-2026</t>
        </is>
      </c>
      <c r="B301" t="inlineStr">
        <is>
          <t>avverkningsanmälan</t>
        </is>
      </c>
      <c r="C301" t="inlineStr">
        <is>
          <t>Föryngringsavverkning</t>
        </is>
      </c>
      <c r="D301" s="1" t="n">
        <v>46048</v>
      </c>
      <c r="E301" s="1" t="n">
        <v>46217</v>
      </c>
      <c r="F301" t="inlineStr">
        <is>
          <t>DALARNAS LÄN</t>
        </is>
      </c>
      <c r="G301" t="inlineStr">
        <is>
          <t>HEDEMORA</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8613-2026</t>
        </is>
      </c>
      <c r="B302" t="inlineStr">
        <is>
          <t>avverkningsanmälan</t>
        </is>
      </c>
      <c r="C302" t="inlineStr">
        <is>
          <t>Föryngringsavverkning</t>
        </is>
      </c>
      <c r="D302" s="1" t="n">
        <v>46065</v>
      </c>
      <c r="E302" s="1" t="n">
        <v>46217</v>
      </c>
      <c r="F302" t="inlineStr">
        <is>
          <t>DALARNAS LÄN</t>
        </is>
      </c>
      <c r="G302" t="inlineStr">
        <is>
          <t>HEDEMORA</t>
        </is>
      </c>
      <c r="H302" t="inlineStr">
        <is>
          <t>Sveaskog</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8824-2026</t>
        </is>
      </c>
      <c r="B303" t="inlineStr">
        <is>
          <t>avverkningsanmälan</t>
        </is>
      </c>
      <c r="C303" t="inlineStr">
        <is>
          <t>Föryngringsavverkning</t>
        </is>
      </c>
      <c r="D303" s="1" t="n">
        <v>46066</v>
      </c>
      <c r="E303" s="1" t="n">
        <v>46217</v>
      </c>
      <c r="F303" t="inlineStr">
        <is>
          <t>DALARNAS LÄN</t>
        </is>
      </c>
      <c r="G303" t="inlineStr">
        <is>
          <t>HEDEMORA</t>
        </is>
      </c>
      <c r="H303" t="inlineStr">
        <is>
          <t>Sveaskog</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9680-2026</t>
        </is>
      </c>
      <c r="B304" t="inlineStr">
        <is>
          <t>avverkningsanmälan</t>
        </is>
      </c>
      <c r="C304" t="inlineStr">
        <is>
          <t>Föryngringsavverkning</t>
        </is>
      </c>
      <c r="D304" s="1" t="n">
        <v>46072</v>
      </c>
      <c r="E304" s="1" t="n">
        <v>46217</v>
      </c>
      <c r="F304" t="inlineStr">
        <is>
          <t>DALARNAS LÄN</t>
        </is>
      </c>
      <c r="G304" t="inlineStr">
        <is>
          <t>HEDEMORA</t>
        </is>
      </c>
      <c r="I304" t="n">
        <v>4.2</v>
      </c>
      <c r="J304" t="n">
        <v>0</v>
      </c>
      <c r="K304" t="n">
        <v>0</v>
      </c>
      <c r="L304" t="n">
        <v>0</v>
      </c>
      <c r="M304" t="n">
        <v>0</v>
      </c>
      <c r="N304" t="n">
        <v>0</v>
      </c>
      <c r="O304" t="n">
        <v>0</v>
      </c>
      <c r="P304" t="n">
        <v>0</v>
      </c>
      <c r="Q304" t="n">
        <v>0</v>
      </c>
      <c r="R304" t="n">
        <v>0</v>
      </c>
      <c r="S304" t="n">
        <v>0</v>
      </c>
      <c r="T304" t="n">
        <v>0</v>
      </c>
      <c r="U304" s="2" t="inlineStr"/>
    </row>
    <row r="305" ht="15" customHeight="1">
      <c r="A305" t="inlineStr">
        <is>
          <t>A 9672-2026</t>
        </is>
      </c>
      <c r="B305" t="inlineStr">
        <is>
          <t>avverkningsanmälan</t>
        </is>
      </c>
      <c r="C305" t="inlineStr">
        <is>
          <t>Föryngringsavverkning</t>
        </is>
      </c>
      <c r="D305" s="1" t="n">
        <v>46072</v>
      </c>
      <c r="E305" s="1" t="n">
        <v>46217</v>
      </c>
      <c r="F305" t="inlineStr">
        <is>
          <t>DALARNAS LÄN</t>
        </is>
      </c>
      <c r="G305" t="inlineStr">
        <is>
          <t>HEDEMORA</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9674-2026</t>
        </is>
      </c>
      <c r="B306" t="inlineStr">
        <is>
          <t>avverkningsanmälan</t>
        </is>
      </c>
      <c r="C306" t="inlineStr">
        <is>
          <t>Föryngringsavverkning</t>
        </is>
      </c>
      <c r="D306" s="1" t="n">
        <v>46072</v>
      </c>
      <c r="E306" s="1" t="n">
        <v>46217</v>
      </c>
      <c r="F306" t="inlineStr">
        <is>
          <t>DALARNAS LÄN</t>
        </is>
      </c>
      <c r="G306" t="inlineStr">
        <is>
          <t>HEDEMORA</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7052-2025</t>
        </is>
      </c>
      <c r="B307" t="inlineStr">
        <is>
          <t>avverkningsanmälan</t>
        </is>
      </c>
      <c r="C307" t="inlineStr">
        <is>
          <t>Föryngringsavverkning</t>
        </is>
      </c>
      <c r="D307" s="1" t="n">
        <v>45701</v>
      </c>
      <c r="E307" s="1" t="n">
        <v>46217</v>
      </c>
      <c r="F307" t="inlineStr">
        <is>
          <t>DALARNAS LÄN</t>
        </is>
      </c>
      <c r="G307" t="inlineStr">
        <is>
          <t>HEDEMORA</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41642-2023</t>
        </is>
      </c>
      <c r="B308" t="inlineStr">
        <is>
          <t>avverkningsanmälan</t>
        </is>
      </c>
      <c r="C308" t="inlineStr">
        <is>
          <t>Föryngringsavverkning</t>
        </is>
      </c>
      <c r="D308" s="1" t="n">
        <v>45175</v>
      </c>
      <c r="E308" s="1" t="n">
        <v>46217</v>
      </c>
      <c r="F308" t="inlineStr">
        <is>
          <t>DALARNAS LÄN</t>
        </is>
      </c>
      <c r="G308" t="inlineStr">
        <is>
          <t>HEDEMORA</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59295-2025</t>
        </is>
      </c>
      <c r="B309" t="inlineStr">
        <is>
          <t>avverkningsanmälan</t>
        </is>
      </c>
      <c r="C309" t="inlineStr">
        <is>
          <t>Föryngringsavverkning</t>
        </is>
      </c>
      <c r="D309" s="1" t="n">
        <v>45988</v>
      </c>
      <c r="E309" s="1" t="n">
        <v>46217</v>
      </c>
      <c r="F309" t="inlineStr">
        <is>
          <t>DALARNAS LÄN</t>
        </is>
      </c>
      <c r="G309" t="inlineStr">
        <is>
          <t>HEDEMORA</t>
        </is>
      </c>
      <c r="H309" t="inlineStr">
        <is>
          <t>Sveaskog</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59350-2025</t>
        </is>
      </c>
      <c r="B310" t="inlineStr">
        <is>
          <t>avverkningsanmälan</t>
        </is>
      </c>
      <c r="C310" t="inlineStr">
        <is>
          <t>Avverkning för att bevara och utveckla /försöksver</t>
        </is>
      </c>
      <c r="D310" s="1" t="n">
        <v>45989</v>
      </c>
      <c r="E310" s="1" t="n">
        <v>46217</v>
      </c>
      <c r="F310" t="inlineStr">
        <is>
          <t>DALARNAS LÄN</t>
        </is>
      </c>
      <c r="G310" t="inlineStr">
        <is>
          <t>HEDEMORA</t>
        </is>
      </c>
      <c r="H310" t="inlineStr">
        <is>
          <t>Sveaskog</t>
        </is>
      </c>
      <c r="I310" t="n">
        <v>4.4</v>
      </c>
      <c r="J310" t="n">
        <v>0</v>
      </c>
      <c r="K310" t="n">
        <v>0</v>
      </c>
      <c r="L310" t="n">
        <v>0</v>
      </c>
      <c r="M310" t="n">
        <v>0</v>
      </c>
      <c r="N310" t="n">
        <v>0</v>
      </c>
      <c r="O310" t="n">
        <v>0</v>
      </c>
      <c r="P310" t="n">
        <v>0</v>
      </c>
      <c r="Q310" t="n">
        <v>0</v>
      </c>
      <c r="R310" t="n">
        <v>0</v>
      </c>
      <c r="S310" t="n">
        <v>0</v>
      </c>
      <c r="T310" t="n">
        <v>0</v>
      </c>
      <c r="U310" s="2" t="inlineStr"/>
    </row>
    <row r="311" ht="15" customHeight="1">
      <c r="A311" t="inlineStr">
        <is>
          <t>A 60445-2025</t>
        </is>
      </c>
      <c r="B311" t="inlineStr">
        <is>
          <t>avverkningsanmälan</t>
        </is>
      </c>
      <c r="C311" t="inlineStr">
        <is>
          <t>Avverkning för att bevara och utveckla /försöksver</t>
        </is>
      </c>
      <c r="D311" s="1" t="n">
        <v>45995</v>
      </c>
      <c r="E311" s="1" t="n">
        <v>46217</v>
      </c>
      <c r="F311" t="inlineStr">
        <is>
          <t>DALARNAS LÄN</t>
        </is>
      </c>
      <c r="G311" t="inlineStr">
        <is>
          <t>HEDEMORA</t>
        </is>
      </c>
      <c r="H311" t="inlineStr">
        <is>
          <t>Sveaskog</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17222-2025</t>
        </is>
      </c>
      <c r="B312" t="inlineStr">
        <is>
          <t>avverkningsanmälan</t>
        </is>
      </c>
      <c r="C312" t="inlineStr">
        <is>
          <t>Föryngringsavverkning</t>
        </is>
      </c>
      <c r="D312" s="1" t="n">
        <v>45756</v>
      </c>
      <c r="E312" s="1" t="n">
        <v>46217</v>
      </c>
      <c r="F312" t="inlineStr">
        <is>
          <t>DALARNAS LÄN</t>
        </is>
      </c>
      <c r="G312" t="inlineStr">
        <is>
          <t>HEDEMORA</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59232-2023</t>
        </is>
      </c>
      <c r="B313" t="inlineStr">
        <is>
          <t>avverkningsanmälan</t>
        </is>
      </c>
      <c r="C313" t="inlineStr">
        <is>
          <t>Föryngringsavverkning</t>
        </is>
      </c>
      <c r="D313" s="1" t="n">
        <v>45253</v>
      </c>
      <c r="E313" s="1" t="n">
        <v>46217</v>
      </c>
      <c r="F313" t="inlineStr">
        <is>
          <t>DALARNAS LÄN</t>
        </is>
      </c>
      <c r="G313" t="inlineStr">
        <is>
          <t>HEDEMORA</t>
        </is>
      </c>
      <c r="I313" t="n">
        <v>3.7</v>
      </c>
      <c r="J313" t="n">
        <v>0</v>
      </c>
      <c r="K313" t="n">
        <v>0</v>
      </c>
      <c r="L313" t="n">
        <v>0</v>
      </c>
      <c r="M313" t="n">
        <v>0</v>
      </c>
      <c r="N313" t="n">
        <v>0</v>
      </c>
      <c r="O313" t="n">
        <v>0</v>
      </c>
      <c r="P313" t="n">
        <v>0</v>
      </c>
      <c r="Q313" t="n">
        <v>0</v>
      </c>
      <c r="R313" t="n">
        <v>0</v>
      </c>
      <c r="S313" t="n">
        <v>0</v>
      </c>
      <c r="T313" t="n">
        <v>0</v>
      </c>
      <c r="U313" s="2" t="inlineStr"/>
    </row>
    <row r="314" ht="15" customHeight="1">
      <c r="A314" t="inlineStr">
        <is>
          <t>A 11732-2026</t>
        </is>
      </c>
      <c r="B314" t="inlineStr">
        <is>
          <t>avverkningsanmälan</t>
        </is>
      </c>
      <c r="C314" t="inlineStr">
        <is>
          <t>Föryngringsavverkning</t>
        </is>
      </c>
      <c r="D314" s="1" t="n">
        <v>46084</v>
      </c>
      <c r="E314" s="1" t="n">
        <v>46217</v>
      </c>
      <c r="F314" t="inlineStr">
        <is>
          <t>DALARNAS LÄN</t>
        </is>
      </c>
      <c r="G314" t="inlineStr">
        <is>
          <t>HEDEMORA</t>
        </is>
      </c>
      <c r="I314" t="n">
        <v>6.2</v>
      </c>
      <c r="J314" t="n">
        <v>0</v>
      </c>
      <c r="K314" t="n">
        <v>0</v>
      </c>
      <c r="L314" t="n">
        <v>0</v>
      </c>
      <c r="M314" t="n">
        <v>0</v>
      </c>
      <c r="N314" t="n">
        <v>0</v>
      </c>
      <c r="O314" t="n">
        <v>0</v>
      </c>
      <c r="P314" t="n">
        <v>0</v>
      </c>
      <c r="Q314" t="n">
        <v>0</v>
      </c>
      <c r="R314" t="n">
        <v>0</v>
      </c>
      <c r="S314" t="n">
        <v>0</v>
      </c>
      <c r="T314" t="n">
        <v>0</v>
      </c>
      <c r="U314" s="2" t="inlineStr"/>
    </row>
    <row r="315" ht="15" customHeight="1">
      <c r="A315" t="inlineStr">
        <is>
          <t>A 23639-2026</t>
        </is>
      </c>
      <c r="B315" t="inlineStr">
        <is>
          <t>avverkningsanmälan</t>
        </is>
      </c>
      <c r="C315" t="inlineStr">
        <is>
          <t>Föryngringsavverkning</t>
        </is>
      </c>
      <c r="D315" s="1" t="n">
        <v>46164</v>
      </c>
      <c r="E315" s="1" t="n">
        <v>46217</v>
      </c>
      <c r="F315" t="inlineStr">
        <is>
          <t>DALARNAS LÄN</t>
        </is>
      </c>
      <c r="G315" t="inlineStr">
        <is>
          <t>HEDEMORA</t>
        </is>
      </c>
      <c r="H315" t="inlineStr">
        <is>
          <t>Sveaskog</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12687-2026</t>
        </is>
      </c>
      <c r="B316" t="inlineStr">
        <is>
          <t>avverkningsanmälan</t>
        </is>
      </c>
      <c r="C316" t="inlineStr">
        <is>
          <t>Föryngringsavverkning</t>
        </is>
      </c>
      <c r="D316" s="1" t="n">
        <v>46091</v>
      </c>
      <c r="E316" s="1" t="n">
        <v>46217</v>
      </c>
      <c r="F316" t="inlineStr">
        <is>
          <t>DALARNAS LÄN</t>
        </is>
      </c>
      <c r="G316" t="inlineStr">
        <is>
          <t>HEDEMORA</t>
        </is>
      </c>
      <c r="H316" t="inlineStr">
        <is>
          <t>Sveaskog</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12604-2026</t>
        </is>
      </c>
      <c r="B317" t="inlineStr">
        <is>
          <t>avverkningsanmälan</t>
        </is>
      </c>
      <c r="C317" t="inlineStr">
        <is>
          <t>Föryngringsavverkning</t>
        </is>
      </c>
      <c r="D317" s="1" t="n">
        <v>46090</v>
      </c>
      <c r="E317" s="1" t="n">
        <v>46217</v>
      </c>
      <c r="F317" t="inlineStr">
        <is>
          <t>DALARNAS LÄN</t>
        </is>
      </c>
      <c r="G317" t="inlineStr">
        <is>
          <t>HEDEMORA</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45589-2023</t>
        </is>
      </c>
      <c r="B318" t="inlineStr">
        <is>
          <t>avverkningsanmälan</t>
        </is>
      </c>
      <c r="C318" t="inlineStr">
        <is>
          <t>Föryngringsavverkning</t>
        </is>
      </c>
      <c r="D318" s="1" t="n">
        <v>45194</v>
      </c>
      <c r="E318" s="1" t="n">
        <v>46217</v>
      </c>
      <c r="F318" t="inlineStr">
        <is>
          <t>DALARNAS LÄN</t>
        </is>
      </c>
      <c r="G318" t="inlineStr">
        <is>
          <t>HEDEMORA</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23194-2026</t>
        </is>
      </c>
      <c r="B319" t="inlineStr">
        <is>
          <t>avverkningsanmälan</t>
        </is>
      </c>
      <c r="C319" t="inlineStr">
        <is>
          <t>Föryngringsavverkning</t>
        </is>
      </c>
      <c r="D319" s="1" t="n">
        <v>46161</v>
      </c>
      <c r="E319" s="1" t="n">
        <v>46217</v>
      </c>
      <c r="F319" t="inlineStr">
        <is>
          <t>DALARNAS LÄN</t>
        </is>
      </c>
      <c r="G319" t="inlineStr">
        <is>
          <t>HEDEMORA</t>
        </is>
      </c>
      <c r="I319" t="n">
        <v>3</v>
      </c>
      <c r="J319" t="n">
        <v>0</v>
      </c>
      <c r="K319" t="n">
        <v>0</v>
      </c>
      <c r="L319" t="n">
        <v>0</v>
      </c>
      <c r="M319" t="n">
        <v>0</v>
      </c>
      <c r="N319" t="n">
        <v>0</v>
      </c>
      <c r="O319" t="n">
        <v>0</v>
      </c>
      <c r="P319" t="n">
        <v>0</v>
      </c>
      <c r="Q319" t="n">
        <v>0</v>
      </c>
      <c r="R319" t="n">
        <v>0</v>
      </c>
      <c r="S319" t="n">
        <v>0</v>
      </c>
      <c r="T319" t="n">
        <v>0</v>
      </c>
      <c r="U319" s="2" t="inlineStr"/>
    </row>
    <row r="320" ht="15" customHeight="1">
      <c r="A320" t="inlineStr">
        <is>
          <t>A 34409-2022</t>
        </is>
      </c>
      <c r="B320" t="inlineStr">
        <is>
          <t>avverkningsanmälan</t>
        </is>
      </c>
      <c r="C320" t="inlineStr">
        <is>
          <t>Föryngringsavverkning</t>
        </is>
      </c>
      <c r="D320" s="1" t="n">
        <v>44792</v>
      </c>
      <c r="E320" s="1" t="n">
        <v>46217</v>
      </c>
      <c r="F320" t="inlineStr">
        <is>
          <t>DALARNAS LÄN</t>
        </is>
      </c>
      <c r="G320" t="inlineStr">
        <is>
          <t>HEDEMORA</t>
        </is>
      </c>
      <c r="I320" t="n">
        <v>13.7</v>
      </c>
      <c r="J320" t="n">
        <v>0</v>
      </c>
      <c r="K320" t="n">
        <v>0</v>
      </c>
      <c r="L320" t="n">
        <v>0</v>
      </c>
      <c r="M320" t="n">
        <v>0</v>
      </c>
      <c r="N320" t="n">
        <v>0</v>
      </c>
      <c r="O320" t="n">
        <v>0</v>
      </c>
      <c r="P320" t="n">
        <v>0</v>
      </c>
      <c r="Q320" t="n">
        <v>0</v>
      </c>
      <c r="R320" t="n">
        <v>0</v>
      </c>
      <c r="S320" t="n">
        <v>0</v>
      </c>
      <c r="T320" t="n">
        <v>0</v>
      </c>
      <c r="U320" s="2" t="inlineStr"/>
    </row>
    <row r="321" ht="15" customHeight="1">
      <c r="A321" t="inlineStr">
        <is>
          <t>A 13336-2026</t>
        </is>
      </c>
      <c r="B321" t="inlineStr">
        <is>
          <t>avverkningsanmälan</t>
        </is>
      </c>
      <c r="C321" t="inlineStr">
        <is>
          <t>Föryngringsavverkning</t>
        </is>
      </c>
      <c r="D321" s="1" t="n">
        <v>46094</v>
      </c>
      <c r="E321" s="1" t="n">
        <v>46217</v>
      </c>
      <c r="F321" t="inlineStr">
        <is>
          <t>DALARNAS LÄN</t>
        </is>
      </c>
      <c r="G321" t="inlineStr">
        <is>
          <t>HEDEMORA</t>
        </is>
      </c>
      <c r="I321" t="n">
        <v>17.5</v>
      </c>
      <c r="J321" t="n">
        <v>0</v>
      </c>
      <c r="K321" t="n">
        <v>0</v>
      </c>
      <c r="L321" t="n">
        <v>0</v>
      </c>
      <c r="M321" t="n">
        <v>0</v>
      </c>
      <c r="N321" t="n">
        <v>0</v>
      </c>
      <c r="O321" t="n">
        <v>0</v>
      </c>
      <c r="P321" t="n">
        <v>0</v>
      </c>
      <c r="Q321" t="n">
        <v>0</v>
      </c>
      <c r="R321" t="n">
        <v>0</v>
      </c>
      <c r="S321" t="n">
        <v>0</v>
      </c>
      <c r="T321" t="n">
        <v>0</v>
      </c>
      <c r="U321" s="2" t="inlineStr"/>
    </row>
    <row r="322" ht="15" customHeight="1">
      <c r="A322" t="inlineStr">
        <is>
          <t>A 23466-2026</t>
        </is>
      </c>
      <c r="B322" t="inlineStr">
        <is>
          <t>avverkningsanmälan</t>
        </is>
      </c>
      <c r="C322" t="inlineStr">
        <is>
          <t>Föryngringsavverkning</t>
        </is>
      </c>
      <c r="D322" s="1" t="n">
        <v>46163</v>
      </c>
      <c r="E322" s="1" t="n">
        <v>46217</v>
      </c>
      <c r="F322" t="inlineStr">
        <is>
          <t>DALARNAS LÄN</t>
        </is>
      </c>
      <c r="G322" t="inlineStr">
        <is>
          <t>HEDEMORA</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3089-2024</t>
        </is>
      </c>
      <c r="B323" t="inlineStr">
        <is>
          <t>avverkningsanmälan</t>
        </is>
      </c>
      <c r="C323" t="inlineStr">
        <is>
          <t>Föryngringsavverkning</t>
        </is>
      </c>
      <c r="D323" s="1" t="n">
        <v>45316</v>
      </c>
      <c r="E323" s="1" t="n">
        <v>46217</v>
      </c>
      <c r="F323" t="inlineStr">
        <is>
          <t>DALARNAS LÄN</t>
        </is>
      </c>
      <c r="G323" t="inlineStr">
        <is>
          <t>HEDEMORA</t>
        </is>
      </c>
      <c r="I323" t="n">
        <v>5.5</v>
      </c>
      <c r="J323" t="n">
        <v>0</v>
      </c>
      <c r="K323" t="n">
        <v>0</v>
      </c>
      <c r="L323" t="n">
        <v>0</v>
      </c>
      <c r="M323" t="n">
        <v>0</v>
      </c>
      <c r="N323" t="n">
        <v>0</v>
      </c>
      <c r="O323" t="n">
        <v>0</v>
      </c>
      <c r="P323" t="n">
        <v>0</v>
      </c>
      <c r="Q323" t="n">
        <v>0</v>
      </c>
      <c r="R323" t="n">
        <v>0</v>
      </c>
      <c r="S323" t="n">
        <v>0</v>
      </c>
      <c r="T323" t="n">
        <v>0</v>
      </c>
      <c r="U323" s="2" t="inlineStr"/>
    </row>
    <row r="324" ht="15" customHeight="1">
      <c r="A324" t="inlineStr">
        <is>
          <t>A 14228-2026</t>
        </is>
      </c>
      <c r="B324" t="inlineStr">
        <is>
          <t>avverkningsanmälan</t>
        </is>
      </c>
      <c r="C324" t="inlineStr">
        <is>
          <t>Föryngringsavverkning</t>
        </is>
      </c>
      <c r="D324" s="1" t="n">
        <v>46099</v>
      </c>
      <c r="E324" s="1" t="n">
        <v>46217</v>
      </c>
      <c r="F324" t="inlineStr">
        <is>
          <t>DALARNAS LÄN</t>
        </is>
      </c>
      <c r="G324" t="inlineStr">
        <is>
          <t>HEDEMORA</t>
        </is>
      </c>
      <c r="I324" t="n">
        <v>3.8</v>
      </c>
      <c r="J324" t="n">
        <v>0</v>
      </c>
      <c r="K324" t="n">
        <v>0</v>
      </c>
      <c r="L324" t="n">
        <v>0</v>
      </c>
      <c r="M324" t="n">
        <v>0</v>
      </c>
      <c r="N324" t="n">
        <v>0</v>
      </c>
      <c r="O324" t="n">
        <v>0</v>
      </c>
      <c r="P324" t="n">
        <v>0</v>
      </c>
      <c r="Q324" t="n">
        <v>0</v>
      </c>
      <c r="R324" t="n">
        <v>0</v>
      </c>
      <c r="S324" t="n">
        <v>0</v>
      </c>
      <c r="T324" t="n">
        <v>0</v>
      </c>
      <c r="U324" s="2" t="inlineStr"/>
    </row>
    <row r="325" ht="15" customHeight="1">
      <c r="A325" t="inlineStr">
        <is>
          <t>A 14239-2026</t>
        </is>
      </c>
      <c r="B325" t="inlineStr">
        <is>
          <t>avverkningsanmälan</t>
        </is>
      </c>
      <c r="C325" t="inlineStr">
        <is>
          <t>Föryngringsavverkning</t>
        </is>
      </c>
      <c r="D325" s="1" t="n">
        <v>46099</v>
      </c>
      <c r="E325" s="1" t="n">
        <v>46217</v>
      </c>
      <c r="F325" t="inlineStr">
        <is>
          <t>DALARNAS LÄN</t>
        </is>
      </c>
      <c r="G325" t="inlineStr">
        <is>
          <t>HEDEMORA</t>
        </is>
      </c>
      <c r="I325" t="n">
        <v>4.4</v>
      </c>
      <c r="J325" t="n">
        <v>0</v>
      </c>
      <c r="K325" t="n">
        <v>0</v>
      </c>
      <c r="L325" t="n">
        <v>0</v>
      </c>
      <c r="M325" t="n">
        <v>0</v>
      </c>
      <c r="N325" t="n">
        <v>0</v>
      </c>
      <c r="O325" t="n">
        <v>0</v>
      </c>
      <c r="P325" t="n">
        <v>0</v>
      </c>
      <c r="Q325" t="n">
        <v>0</v>
      </c>
      <c r="R325" t="n">
        <v>0</v>
      </c>
      <c r="S325" t="n">
        <v>0</v>
      </c>
      <c r="T325" t="n">
        <v>0</v>
      </c>
      <c r="U325" s="2" t="inlineStr"/>
    </row>
    <row r="326" ht="15" customHeight="1">
      <c r="A326" t="inlineStr">
        <is>
          <t>A 13937-2026</t>
        </is>
      </c>
      <c r="B326" t="inlineStr">
        <is>
          <t>avverkningsanmälan</t>
        </is>
      </c>
      <c r="C326" t="inlineStr">
        <is>
          <t>Föryngringsavverkning</t>
        </is>
      </c>
      <c r="D326" s="1" t="n">
        <v>46098</v>
      </c>
      <c r="E326" s="1" t="n">
        <v>46217</v>
      </c>
      <c r="F326" t="inlineStr">
        <is>
          <t>DALARNAS LÄN</t>
        </is>
      </c>
      <c r="G326" t="inlineStr">
        <is>
          <t>HEDEMORA</t>
        </is>
      </c>
      <c r="H326" t="inlineStr">
        <is>
          <t>Sveaskog</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13913-2026</t>
        </is>
      </c>
      <c r="B327" t="inlineStr">
        <is>
          <t>avverkningsanmälan</t>
        </is>
      </c>
      <c r="C327" t="inlineStr">
        <is>
          <t>Föryngringsavverkning</t>
        </is>
      </c>
      <c r="D327" s="1" t="n">
        <v>46098</v>
      </c>
      <c r="E327" s="1" t="n">
        <v>46217</v>
      </c>
      <c r="F327" t="inlineStr">
        <is>
          <t>DALARNAS LÄN</t>
        </is>
      </c>
      <c r="G327" t="inlineStr">
        <is>
          <t>HEDEMORA</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62386-2023</t>
        </is>
      </c>
      <c r="B328" t="inlineStr">
        <is>
          <t>avverkningsanmälan</t>
        </is>
      </c>
      <c r="C328" t="inlineStr">
        <is>
          <t>Föryngringsavverkning</t>
        </is>
      </c>
      <c r="D328" s="1" t="n">
        <v>45268</v>
      </c>
      <c r="E328" s="1" t="n">
        <v>46217</v>
      </c>
      <c r="F328" t="inlineStr">
        <is>
          <t>DALARNAS LÄN</t>
        </is>
      </c>
      <c r="G328" t="inlineStr">
        <is>
          <t>HEDEMORA</t>
        </is>
      </c>
      <c r="I328" t="n">
        <v>1.7</v>
      </c>
      <c r="J328" t="n">
        <v>0</v>
      </c>
      <c r="K328" t="n">
        <v>0</v>
      </c>
      <c r="L328" t="n">
        <v>0</v>
      </c>
      <c r="M328" t="n">
        <v>0</v>
      </c>
      <c r="N328" t="n">
        <v>0</v>
      </c>
      <c r="O328" t="n">
        <v>0</v>
      </c>
      <c r="P328" t="n">
        <v>0</v>
      </c>
      <c r="Q328" t="n">
        <v>0</v>
      </c>
      <c r="R328" t="n">
        <v>0</v>
      </c>
      <c r="S328" t="n">
        <v>0</v>
      </c>
      <c r="T328" t="n">
        <v>0</v>
      </c>
      <c r="U328" s="2" t="inlineStr"/>
    </row>
    <row r="329" ht="15" customHeight="1">
      <c r="A329" t="inlineStr">
        <is>
          <t>A 13847-2026</t>
        </is>
      </c>
      <c r="B329" t="inlineStr">
        <is>
          <t>avverkningsanmälan</t>
        </is>
      </c>
      <c r="C329" t="inlineStr">
        <is>
          <t>Föryngringsavverkning</t>
        </is>
      </c>
      <c r="D329" s="1" t="n">
        <v>46098</v>
      </c>
      <c r="E329" s="1" t="n">
        <v>46217</v>
      </c>
      <c r="F329" t="inlineStr">
        <is>
          <t>DALARNAS LÄN</t>
        </is>
      </c>
      <c r="G329" t="inlineStr">
        <is>
          <t>HEDEMORA</t>
        </is>
      </c>
      <c r="H329" t="inlineStr">
        <is>
          <t>Sveaskog</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13840-2026</t>
        </is>
      </c>
      <c r="B330" t="inlineStr">
        <is>
          <t>avverkningsanmälan</t>
        </is>
      </c>
      <c r="C330" t="inlineStr">
        <is>
          <t>Föryngringsavverkning</t>
        </is>
      </c>
      <c r="D330" s="1" t="n">
        <v>46098</v>
      </c>
      <c r="E330" s="1" t="n">
        <v>46217</v>
      </c>
      <c r="F330" t="inlineStr">
        <is>
          <t>DALARNAS LÄN</t>
        </is>
      </c>
      <c r="G330" t="inlineStr">
        <is>
          <t>HEDEMORA</t>
        </is>
      </c>
      <c r="H330" t="inlineStr">
        <is>
          <t>Sveaskog</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13916-2026</t>
        </is>
      </c>
      <c r="B331" t="inlineStr">
        <is>
          <t>avverkningsanmälan</t>
        </is>
      </c>
      <c r="C331" t="inlineStr">
        <is>
          <t>Föryngringsavverkning</t>
        </is>
      </c>
      <c r="D331" s="1" t="n">
        <v>46098</v>
      </c>
      <c r="E331" s="1" t="n">
        <v>46217</v>
      </c>
      <c r="F331" t="inlineStr">
        <is>
          <t>DALARNAS LÄN</t>
        </is>
      </c>
      <c r="G331" t="inlineStr">
        <is>
          <t>HEDEMORA</t>
        </is>
      </c>
      <c r="I331" t="n">
        <v>2.1</v>
      </c>
      <c r="J331" t="n">
        <v>0</v>
      </c>
      <c r="K331" t="n">
        <v>0</v>
      </c>
      <c r="L331" t="n">
        <v>0</v>
      </c>
      <c r="M331" t="n">
        <v>0</v>
      </c>
      <c r="N331" t="n">
        <v>0</v>
      </c>
      <c r="O331" t="n">
        <v>0</v>
      </c>
      <c r="P331" t="n">
        <v>0</v>
      </c>
      <c r="Q331" t="n">
        <v>0</v>
      </c>
      <c r="R331" t="n">
        <v>0</v>
      </c>
      <c r="S331" t="n">
        <v>0</v>
      </c>
      <c r="T331" t="n">
        <v>0</v>
      </c>
      <c r="U331" s="2" t="inlineStr"/>
    </row>
    <row r="332" ht="15" customHeight="1">
      <c r="A332" t="inlineStr">
        <is>
          <t>A 14197-2026</t>
        </is>
      </c>
      <c r="B332" t="inlineStr">
        <is>
          <t>avverkningsanmälan</t>
        </is>
      </c>
      <c r="C332" t="inlineStr">
        <is>
          <t>Föryngringsavverkning</t>
        </is>
      </c>
      <c r="D332" s="1" t="n">
        <v>46099</v>
      </c>
      <c r="E332" s="1" t="n">
        <v>46217</v>
      </c>
      <c r="F332" t="inlineStr">
        <is>
          <t>DALARNAS LÄN</t>
        </is>
      </c>
      <c r="G332" t="inlineStr">
        <is>
          <t>HEDEMORA</t>
        </is>
      </c>
      <c r="H332" t="inlineStr">
        <is>
          <t>Sveaskog</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17594-2025</t>
        </is>
      </c>
      <c r="B333" t="inlineStr">
        <is>
          <t>avverkningsanmälan</t>
        </is>
      </c>
      <c r="C333" t="inlineStr">
        <is>
          <t>Föryngringsavverkning</t>
        </is>
      </c>
      <c r="D333" s="1" t="n">
        <v>45757</v>
      </c>
      <c r="E333" s="1" t="n">
        <v>46217</v>
      </c>
      <c r="F333" t="inlineStr">
        <is>
          <t>DALARNAS LÄN</t>
        </is>
      </c>
      <c r="G333" t="inlineStr">
        <is>
          <t>HEDEMORA</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15145-2026</t>
        </is>
      </c>
      <c r="B334" t="inlineStr">
        <is>
          <t>avverkningsanmälan</t>
        </is>
      </c>
      <c r="C334" t="inlineStr">
        <is>
          <t>Föryngringsavverkning</t>
        </is>
      </c>
      <c r="D334" s="1" t="n">
        <v>46105</v>
      </c>
      <c r="E334" s="1" t="n">
        <v>46217</v>
      </c>
      <c r="F334" t="inlineStr">
        <is>
          <t>DALARNAS LÄN</t>
        </is>
      </c>
      <c r="G334" t="inlineStr">
        <is>
          <t>HEDEMORA</t>
        </is>
      </c>
      <c r="H334" t="inlineStr">
        <is>
          <t>Sveaskog</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15146-2026</t>
        </is>
      </c>
      <c r="B335" t="inlineStr">
        <is>
          <t>avverkningsanmälan</t>
        </is>
      </c>
      <c r="C335" t="inlineStr">
        <is>
          <t>Föryngringsavverkning</t>
        </is>
      </c>
      <c r="D335" s="1" t="n">
        <v>46105</v>
      </c>
      <c r="E335" s="1" t="n">
        <v>46217</v>
      </c>
      <c r="F335" t="inlineStr">
        <is>
          <t>DALARNAS LÄN</t>
        </is>
      </c>
      <c r="G335" t="inlineStr">
        <is>
          <t>HEDEMORA</t>
        </is>
      </c>
      <c r="H335" t="inlineStr">
        <is>
          <t>Sveaskog</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15232-2026</t>
        </is>
      </c>
      <c r="B336" t="inlineStr">
        <is>
          <t>avverkningsanmälan</t>
        </is>
      </c>
      <c r="C336" t="inlineStr">
        <is>
          <t>Föryngringsavverkning</t>
        </is>
      </c>
      <c r="D336" s="1" t="n">
        <v>46105</v>
      </c>
      <c r="E336" s="1" t="n">
        <v>46217</v>
      </c>
      <c r="F336" t="inlineStr">
        <is>
          <t>DALARNAS LÄN</t>
        </is>
      </c>
      <c r="G336" t="inlineStr">
        <is>
          <t>HEDEMORA</t>
        </is>
      </c>
      <c r="H336" t="inlineStr">
        <is>
          <t>Sveaskog</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16260-2026</t>
        </is>
      </c>
      <c r="B337" t="inlineStr">
        <is>
          <t>avverkningsanmälan</t>
        </is>
      </c>
      <c r="C337" t="inlineStr">
        <is>
          <t>Föryngringsavverkning</t>
        </is>
      </c>
      <c r="D337" s="1" t="n">
        <v>46108</v>
      </c>
      <c r="E337" s="1" t="n">
        <v>46217</v>
      </c>
      <c r="F337" t="inlineStr">
        <is>
          <t>DALARNAS LÄN</t>
        </is>
      </c>
      <c r="G337" t="inlineStr">
        <is>
          <t>HEDEMORA</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23843-2026</t>
        </is>
      </c>
      <c r="B338" t="inlineStr">
        <is>
          <t>avverkningsanmälan</t>
        </is>
      </c>
      <c r="C338" t="inlineStr">
        <is>
          <t>Föryngringsavverkning</t>
        </is>
      </c>
      <c r="D338" s="1" t="n">
        <v>46167</v>
      </c>
      <c r="E338" s="1" t="n">
        <v>46217</v>
      </c>
      <c r="F338" t="inlineStr">
        <is>
          <t>DALARNAS LÄN</t>
        </is>
      </c>
      <c r="G338" t="inlineStr">
        <is>
          <t>HEDEMORA</t>
        </is>
      </c>
      <c r="H338" t="inlineStr">
        <is>
          <t>Sveaskog</t>
        </is>
      </c>
      <c r="I338" t="n">
        <v>2.1</v>
      </c>
      <c r="J338" t="n">
        <v>0</v>
      </c>
      <c r="K338" t="n">
        <v>0</v>
      </c>
      <c r="L338" t="n">
        <v>0</v>
      </c>
      <c r="M338" t="n">
        <v>0</v>
      </c>
      <c r="N338" t="n">
        <v>0</v>
      </c>
      <c r="O338" t="n">
        <v>0</v>
      </c>
      <c r="P338" t="n">
        <v>0</v>
      </c>
      <c r="Q338" t="n">
        <v>0</v>
      </c>
      <c r="R338" t="n">
        <v>0</v>
      </c>
      <c r="S338" t="n">
        <v>0</v>
      </c>
      <c r="T338" t="n">
        <v>0</v>
      </c>
      <c r="U338" s="2" t="inlineStr"/>
    </row>
    <row r="339" ht="15" customHeight="1">
      <c r="A339" t="inlineStr">
        <is>
          <t>A 16279-2026</t>
        </is>
      </c>
      <c r="B339" t="inlineStr">
        <is>
          <t>avverkningsanmälan</t>
        </is>
      </c>
      <c r="C339" t="inlineStr">
        <is>
          <t>Föryngringsavverkning</t>
        </is>
      </c>
      <c r="D339" s="1" t="n">
        <v>46111</v>
      </c>
      <c r="E339" s="1" t="n">
        <v>46217</v>
      </c>
      <c r="F339" t="inlineStr">
        <is>
          <t>DALARNAS LÄN</t>
        </is>
      </c>
      <c r="G339" t="inlineStr">
        <is>
          <t>HEDEMORA</t>
        </is>
      </c>
      <c r="I339" t="n">
        <v>7.6</v>
      </c>
      <c r="J339" t="n">
        <v>0</v>
      </c>
      <c r="K339" t="n">
        <v>0</v>
      </c>
      <c r="L339" t="n">
        <v>0</v>
      </c>
      <c r="M339" t="n">
        <v>0</v>
      </c>
      <c r="N339" t="n">
        <v>0</v>
      </c>
      <c r="O339" t="n">
        <v>0</v>
      </c>
      <c r="P339" t="n">
        <v>0</v>
      </c>
      <c r="Q339" t="n">
        <v>0</v>
      </c>
      <c r="R339" t="n">
        <v>0</v>
      </c>
      <c r="S339" t="n">
        <v>0</v>
      </c>
      <c r="T339" t="n">
        <v>0</v>
      </c>
      <c r="U339" s="2" t="inlineStr"/>
    </row>
    <row r="340" ht="15" customHeight="1">
      <c r="A340" t="inlineStr">
        <is>
          <t>A 62188-2023</t>
        </is>
      </c>
      <c r="B340" t="inlineStr">
        <is>
          <t>avverkningsanmälan</t>
        </is>
      </c>
      <c r="C340" t="inlineStr">
        <is>
          <t>Föryngringsavverkning</t>
        </is>
      </c>
      <c r="D340" s="1" t="n">
        <v>45267</v>
      </c>
      <c r="E340" s="1" t="n">
        <v>46217</v>
      </c>
      <c r="F340" t="inlineStr">
        <is>
          <t>DALARNAS LÄN</t>
        </is>
      </c>
      <c r="G340" t="inlineStr">
        <is>
          <t>HEDEMORA</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23998-2026</t>
        </is>
      </c>
      <c r="B341" t="inlineStr">
        <is>
          <t>avverkningsanmälan</t>
        </is>
      </c>
      <c r="C341" t="inlineStr">
        <is>
          <t>Föryngringsavverkning</t>
        </is>
      </c>
      <c r="D341" s="1" t="n">
        <v>46167</v>
      </c>
      <c r="E341" s="1" t="n">
        <v>46217</v>
      </c>
      <c r="F341" t="inlineStr">
        <is>
          <t>DALARNAS LÄN</t>
        </is>
      </c>
      <c r="G341" t="inlineStr">
        <is>
          <t>HEDEMORA</t>
        </is>
      </c>
      <c r="H341" t="inlineStr">
        <is>
          <t>Sveaskog</t>
        </is>
      </c>
      <c r="I341" t="n">
        <v>3.7</v>
      </c>
      <c r="J341" t="n">
        <v>0</v>
      </c>
      <c r="K341" t="n">
        <v>0</v>
      </c>
      <c r="L341" t="n">
        <v>0</v>
      </c>
      <c r="M341" t="n">
        <v>0</v>
      </c>
      <c r="N341" t="n">
        <v>0</v>
      </c>
      <c r="O341" t="n">
        <v>0</v>
      </c>
      <c r="P341" t="n">
        <v>0</v>
      </c>
      <c r="Q341" t="n">
        <v>0</v>
      </c>
      <c r="R341" t="n">
        <v>0</v>
      </c>
      <c r="S341" t="n">
        <v>0</v>
      </c>
      <c r="T341" t="n">
        <v>0</v>
      </c>
      <c r="U341" s="2" t="inlineStr"/>
    </row>
    <row r="342" ht="15" customHeight="1">
      <c r="A342" t="inlineStr">
        <is>
          <t>A 16268-2026</t>
        </is>
      </c>
      <c r="B342" t="inlineStr">
        <is>
          <t>avverkningsanmälan</t>
        </is>
      </c>
      <c r="C342" t="inlineStr">
        <is>
          <t>Föryngringsavverkning</t>
        </is>
      </c>
      <c r="D342" s="1" t="n">
        <v>46108</v>
      </c>
      <c r="E342" s="1" t="n">
        <v>46217</v>
      </c>
      <c r="F342" t="inlineStr">
        <is>
          <t>DALARNAS LÄN</t>
        </is>
      </c>
      <c r="G342" t="inlineStr">
        <is>
          <t>HEDEMORA</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16282-2026</t>
        </is>
      </c>
      <c r="B343" t="inlineStr">
        <is>
          <t>avverkningsanmälan</t>
        </is>
      </c>
      <c r="C343" t="inlineStr">
        <is>
          <t>Föryngringsavverkning</t>
        </is>
      </c>
      <c r="D343" s="1" t="n">
        <v>46111</v>
      </c>
      <c r="E343" s="1" t="n">
        <v>46217</v>
      </c>
      <c r="F343" t="inlineStr">
        <is>
          <t>DALARNAS LÄN</t>
        </is>
      </c>
      <c r="G343" t="inlineStr">
        <is>
          <t>HEDEMORA</t>
        </is>
      </c>
      <c r="I343" t="n">
        <v>6</v>
      </c>
      <c r="J343" t="n">
        <v>0</v>
      </c>
      <c r="K343" t="n">
        <v>0</v>
      </c>
      <c r="L343" t="n">
        <v>0</v>
      </c>
      <c r="M343" t="n">
        <v>0</v>
      </c>
      <c r="N343" t="n">
        <v>0</v>
      </c>
      <c r="O343" t="n">
        <v>0</v>
      </c>
      <c r="P343" t="n">
        <v>0</v>
      </c>
      <c r="Q343" t="n">
        <v>0</v>
      </c>
      <c r="R343" t="n">
        <v>0</v>
      </c>
      <c r="S343" t="n">
        <v>0</v>
      </c>
      <c r="T343" t="n">
        <v>0</v>
      </c>
      <c r="U343" s="2" t="inlineStr"/>
    </row>
    <row r="344" ht="15" customHeight="1">
      <c r="A344" t="inlineStr">
        <is>
          <t>A 60408-2021</t>
        </is>
      </c>
      <c r="B344" t="inlineStr">
        <is>
          <t>avverkningsanmälan</t>
        </is>
      </c>
      <c r="C344" t="inlineStr">
        <is>
          <t>Föryngringsavverkning</t>
        </is>
      </c>
      <c r="D344" s="1" t="n">
        <v>44495</v>
      </c>
      <c r="E344" s="1" t="n">
        <v>46217</v>
      </c>
      <c r="F344" t="inlineStr">
        <is>
          <t>DALARNAS LÄN</t>
        </is>
      </c>
      <c r="G344" t="inlineStr">
        <is>
          <t>HEDEMORA</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62401-2023</t>
        </is>
      </c>
      <c r="B345" t="inlineStr">
        <is>
          <t>avverkningsanmälan</t>
        </is>
      </c>
      <c r="C345" t="inlineStr">
        <is>
          <t>Föryngringsavverkning</t>
        </is>
      </c>
      <c r="D345" s="1" t="n">
        <v>45268</v>
      </c>
      <c r="E345" s="1" t="n">
        <v>46217</v>
      </c>
      <c r="F345" t="inlineStr">
        <is>
          <t>DALARNAS LÄN</t>
        </is>
      </c>
      <c r="G345" t="inlineStr">
        <is>
          <t>HEDEMORA</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24339-2026</t>
        </is>
      </c>
      <c r="B346" t="inlineStr">
        <is>
          <t>avverkningsanmälan</t>
        </is>
      </c>
      <c r="C346" t="inlineStr">
        <is>
          <t>Föryngringsavverkning</t>
        </is>
      </c>
      <c r="D346" s="1" t="n">
        <v>46169</v>
      </c>
      <c r="E346" s="1" t="n">
        <v>46217</v>
      </c>
      <c r="F346" t="inlineStr">
        <is>
          <t>DALARNAS LÄN</t>
        </is>
      </c>
      <c r="G346" t="inlineStr">
        <is>
          <t>HEDEMORA</t>
        </is>
      </c>
      <c r="H346" t="inlineStr">
        <is>
          <t>Sveaskog</t>
        </is>
      </c>
      <c r="I346" t="n">
        <v>5.8</v>
      </c>
      <c r="J346" t="n">
        <v>0</v>
      </c>
      <c r="K346" t="n">
        <v>0</v>
      </c>
      <c r="L346" t="n">
        <v>0</v>
      </c>
      <c r="M346" t="n">
        <v>0</v>
      </c>
      <c r="N346" t="n">
        <v>0</v>
      </c>
      <c r="O346" t="n">
        <v>0</v>
      </c>
      <c r="P346" t="n">
        <v>0</v>
      </c>
      <c r="Q346" t="n">
        <v>0</v>
      </c>
      <c r="R346" t="n">
        <v>0</v>
      </c>
      <c r="S346" t="n">
        <v>0</v>
      </c>
      <c r="T346" t="n">
        <v>0</v>
      </c>
      <c r="U346" s="2" t="inlineStr"/>
    </row>
    <row r="347" ht="15" customHeight="1">
      <c r="A347" t="inlineStr">
        <is>
          <t>A 17206-2026</t>
        </is>
      </c>
      <c r="B347" t="inlineStr">
        <is>
          <t>avverkningsanmälan</t>
        </is>
      </c>
      <c r="C347" t="inlineStr">
        <is>
          <t>Föryngringsavverkning</t>
        </is>
      </c>
      <c r="D347" s="1" t="n">
        <v>46119</v>
      </c>
      <c r="E347" s="1" t="n">
        <v>46217</v>
      </c>
      <c r="F347" t="inlineStr">
        <is>
          <t>DALARNAS LÄN</t>
        </is>
      </c>
      <c r="G347" t="inlineStr">
        <is>
          <t>HEDEMORA</t>
        </is>
      </c>
      <c r="H347" t="inlineStr">
        <is>
          <t>Sveaskog</t>
        </is>
      </c>
      <c r="I347" t="n">
        <v>2.3</v>
      </c>
      <c r="J347" t="n">
        <v>0</v>
      </c>
      <c r="K347" t="n">
        <v>0</v>
      </c>
      <c r="L347" t="n">
        <v>0</v>
      </c>
      <c r="M347" t="n">
        <v>0</v>
      </c>
      <c r="N347" t="n">
        <v>0</v>
      </c>
      <c r="O347" t="n">
        <v>0</v>
      </c>
      <c r="P347" t="n">
        <v>0</v>
      </c>
      <c r="Q347" t="n">
        <v>0</v>
      </c>
      <c r="R347" t="n">
        <v>0</v>
      </c>
      <c r="S347" t="n">
        <v>0</v>
      </c>
      <c r="T347" t="n">
        <v>0</v>
      </c>
      <c r="U347" s="2" t="inlineStr"/>
    </row>
    <row r="348" ht="15" customHeight="1">
      <c r="A348" t="inlineStr">
        <is>
          <t>A 52853-2025</t>
        </is>
      </c>
      <c r="B348" t="inlineStr">
        <is>
          <t>avverkningsanmälan</t>
        </is>
      </c>
      <c r="C348" t="inlineStr">
        <is>
          <t>Föryngringsavverkning</t>
        </is>
      </c>
      <c r="D348" s="1" t="n">
        <v>45957</v>
      </c>
      <c r="E348" s="1" t="n">
        <v>46217</v>
      </c>
      <c r="F348" t="inlineStr">
        <is>
          <t>DALARNAS LÄN</t>
        </is>
      </c>
      <c r="G348" t="inlineStr">
        <is>
          <t>HEDEMORA</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53923-2024</t>
        </is>
      </c>
      <c r="B349" t="inlineStr">
        <is>
          <t>avverkningsanmälan</t>
        </is>
      </c>
      <c r="C349" t="inlineStr">
        <is>
          <t>Föryngringsavverkning</t>
        </is>
      </c>
      <c r="D349" s="1" t="n">
        <v>45615</v>
      </c>
      <c r="E349" s="1" t="n">
        <v>46217</v>
      </c>
      <c r="F349" t="inlineStr">
        <is>
          <t>DALARNAS LÄN</t>
        </is>
      </c>
      <c r="G349" t="inlineStr">
        <is>
          <t>HEDEMORA</t>
        </is>
      </c>
      <c r="H349" t="inlineStr">
        <is>
          <t>Sveaskog</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30878-2026</t>
        </is>
      </c>
      <c r="B350" t="inlineStr">
        <is>
          <t>avverkningsanmälan</t>
        </is>
      </c>
      <c r="C350" t="inlineStr">
        <is>
          <t>Föryngringsavverkning</t>
        </is>
      </c>
      <c r="D350" s="1" t="n">
        <v>46212</v>
      </c>
      <c r="E350" s="1" t="n">
        <v>46217</v>
      </c>
      <c r="F350" t="inlineStr">
        <is>
          <t>DALARNAS LÄN</t>
        </is>
      </c>
      <c r="G350" t="inlineStr">
        <is>
          <t>HEDEMORA</t>
        </is>
      </c>
      <c r="H350" t="inlineStr">
        <is>
          <t>Sveaskog</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385-2024</t>
        </is>
      </c>
      <c r="B351" t="inlineStr">
        <is>
          <t>avverkningsanmälan</t>
        </is>
      </c>
      <c r="C351" t="inlineStr">
        <is>
          <t>Föryngringsavverkning</t>
        </is>
      </c>
      <c r="D351" s="1" t="n">
        <v>45296</v>
      </c>
      <c r="E351" s="1" t="n">
        <v>46217</v>
      </c>
      <c r="F351" t="inlineStr">
        <is>
          <t>DALARNAS LÄN</t>
        </is>
      </c>
      <c r="G351" t="inlineStr">
        <is>
          <t>HEDEMORA</t>
        </is>
      </c>
      <c r="I351" t="n">
        <v>1.7</v>
      </c>
      <c r="J351" t="n">
        <v>0</v>
      </c>
      <c r="K351" t="n">
        <v>0</v>
      </c>
      <c r="L351" t="n">
        <v>0</v>
      </c>
      <c r="M351" t="n">
        <v>0</v>
      </c>
      <c r="N351" t="n">
        <v>0</v>
      </c>
      <c r="O351" t="n">
        <v>0</v>
      </c>
      <c r="P351" t="n">
        <v>0</v>
      </c>
      <c r="Q351" t="n">
        <v>0</v>
      </c>
      <c r="R351" t="n">
        <v>0</v>
      </c>
      <c r="S351" t="n">
        <v>0</v>
      </c>
      <c r="T351" t="n">
        <v>0</v>
      </c>
      <c r="U351" s="2" t="inlineStr"/>
    </row>
    <row r="352" ht="15" customHeight="1">
      <c r="A352" t="inlineStr">
        <is>
          <t>A 24340-2026</t>
        </is>
      </c>
      <c r="B352" t="inlineStr">
        <is>
          <t>avverkningsanmälan</t>
        </is>
      </c>
      <c r="C352" t="inlineStr">
        <is>
          <t>Föryngringsavverkning</t>
        </is>
      </c>
      <c r="D352" s="1" t="n">
        <v>46169</v>
      </c>
      <c r="E352" s="1" t="n">
        <v>46217</v>
      </c>
      <c r="F352" t="inlineStr">
        <is>
          <t>DALARNAS LÄN</t>
        </is>
      </c>
      <c r="G352" t="inlineStr">
        <is>
          <t>HEDEMORA</t>
        </is>
      </c>
      <c r="H352" t="inlineStr">
        <is>
          <t>Sveaskog</t>
        </is>
      </c>
      <c r="I352" t="n">
        <v>8.5</v>
      </c>
      <c r="J352" t="n">
        <v>0</v>
      </c>
      <c r="K352" t="n">
        <v>0</v>
      </c>
      <c r="L352" t="n">
        <v>0</v>
      </c>
      <c r="M352" t="n">
        <v>0</v>
      </c>
      <c r="N352" t="n">
        <v>0</v>
      </c>
      <c r="O352" t="n">
        <v>0</v>
      </c>
      <c r="P352" t="n">
        <v>0</v>
      </c>
      <c r="Q352" t="n">
        <v>0</v>
      </c>
      <c r="R352" t="n">
        <v>0</v>
      </c>
      <c r="S352" t="n">
        <v>0</v>
      </c>
      <c r="T352" t="n">
        <v>0</v>
      </c>
      <c r="U352" s="2" t="inlineStr"/>
    </row>
    <row r="353" ht="15" customHeight="1">
      <c r="A353" t="inlineStr">
        <is>
          <t>A 18015-2026</t>
        </is>
      </c>
      <c r="B353" t="inlineStr">
        <is>
          <t>avverkningsanmälan</t>
        </is>
      </c>
      <c r="C353" t="inlineStr">
        <is>
          <t>Avverkning för annat ändamål</t>
        </is>
      </c>
      <c r="D353" s="1" t="n">
        <v>46125</v>
      </c>
      <c r="E353" s="1" t="n">
        <v>46217</v>
      </c>
      <c r="F353" t="inlineStr">
        <is>
          <t>DALARNAS LÄN</t>
        </is>
      </c>
      <c r="G353" t="inlineStr">
        <is>
          <t>HEDEMORA</t>
        </is>
      </c>
      <c r="I353" t="n">
        <v>0.3</v>
      </c>
      <c r="J353" t="n">
        <v>0</v>
      </c>
      <c r="K353" t="n">
        <v>0</v>
      </c>
      <c r="L353" t="n">
        <v>0</v>
      </c>
      <c r="M353" t="n">
        <v>0</v>
      </c>
      <c r="N353" t="n">
        <v>0</v>
      </c>
      <c r="O353" t="n">
        <v>0</v>
      </c>
      <c r="P353" t="n">
        <v>0</v>
      </c>
      <c r="Q353" t="n">
        <v>0</v>
      </c>
      <c r="R353" t="n">
        <v>0</v>
      </c>
      <c r="S353" t="n">
        <v>0</v>
      </c>
      <c r="T353" t="n">
        <v>0</v>
      </c>
      <c r="U353" s="2" t="inlineStr"/>
    </row>
    <row r="354" ht="15" customHeight="1">
      <c r="A354" t="inlineStr">
        <is>
          <t>A 17978-2026</t>
        </is>
      </c>
      <c r="B354" t="inlineStr">
        <is>
          <t>avverkningsanmälan</t>
        </is>
      </c>
      <c r="C354" t="inlineStr">
        <is>
          <t>Föryngringsavverkning</t>
        </is>
      </c>
      <c r="D354" s="1" t="n">
        <v>46124</v>
      </c>
      <c r="E354" s="1" t="n">
        <v>46217</v>
      </c>
      <c r="F354" t="inlineStr">
        <is>
          <t>DALARNAS LÄN</t>
        </is>
      </c>
      <c r="G354" t="inlineStr">
        <is>
          <t>HEDEMORA</t>
        </is>
      </c>
      <c r="H354" t="inlineStr">
        <is>
          <t>Sveaskog</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17884-2026</t>
        </is>
      </c>
      <c r="B355" t="inlineStr">
        <is>
          <t>avverkningsanmälan</t>
        </is>
      </c>
      <c r="C355" t="inlineStr">
        <is>
          <t>Föryngringsavverkning</t>
        </is>
      </c>
      <c r="D355" s="1" t="n">
        <v>46122</v>
      </c>
      <c r="E355" s="1" t="n">
        <v>46217</v>
      </c>
      <c r="F355" t="inlineStr">
        <is>
          <t>DALARNAS LÄN</t>
        </is>
      </c>
      <c r="G355" t="inlineStr">
        <is>
          <t>HEDEMORA</t>
        </is>
      </c>
      <c r="H355" t="inlineStr">
        <is>
          <t>Sveaskog</t>
        </is>
      </c>
      <c r="I355" t="n">
        <v>3.6</v>
      </c>
      <c r="J355" t="n">
        <v>0</v>
      </c>
      <c r="K355" t="n">
        <v>0</v>
      </c>
      <c r="L355" t="n">
        <v>0</v>
      </c>
      <c r="M355" t="n">
        <v>0</v>
      </c>
      <c r="N355" t="n">
        <v>0</v>
      </c>
      <c r="O355" t="n">
        <v>0</v>
      </c>
      <c r="P355" t="n">
        <v>0</v>
      </c>
      <c r="Q355" t="n">
        <v>0</v>
      </c>
      <c r="R355" t="n">
        <v>0</v>
      </c>
      <c r="S355" t="n">
        <v>0</v>
      </c>
      <c r="T355" t="n">
        <v>0</v>
      </c>
      <c r="U355" s="2" t="inlineStr"/>
    </row>
    <row r="356" ht="15" customHeight="1">
      <c r="A356" t="inlineStr">
        <is>
          <t>A 30880-2026</t>
        </is>
      </c>
      <c r="B356" t="inlineStr">
        <is>
          <t>avverkningsanmälan</t>
        </is>
      </c>
      <c r="C356" t="inlineStr">
        <is>
          <t>Föryngringsavverkning</t>
        </is>
      </c>
      <c r="D356" s="1" t="n">
        <v>46212</v>
      </c>
      <c r="E356" s="1" t="n">
        <v>46217</v>
      </c>
      <c r="F356" t="inlineStr">
        <is>
          <t>DALARNAS LÄN</t>
        </is>
      </c>
      <c r="G356" t="inlineStr">
        <is>
          <t>HEDEMORA</t>
        </is>
      </c>
      <c r="H356" t="inlineStr">
        <is>
          <t>Sveaskog</t>
        </is>
      </c>
      <c r="I356" t="n">
        <v>2.9</v>
      </c>
      <c r="J356" t="n">
        <v>0</v>
      </c>
      <c r="K356" t="n">
        <v>0</v>
      </c>
      <c r="L356" t="n">
        <v>0</v>
      </c>
      <c r="M356" t="n">
        <v>0</v>
      </c>
      <c r="N356" t="n">
        <v>0</v>
      </c>
      <c r="O356" t="n">
        <v>0</v>
      </c>
      <c r="P356" t="n">
        <v>0</v>
      </c>
      <c r="Q356" t="n">
        <v>0</v>
      </c>
      <c r="R356" t="n">
        <v>0</v>
      </c>
      <c r="S356" t="n">
        <v>0</v>
      </c>
      <c r="T356" t="n">
        <v>0</v>
      </c>
      <c r="U356" s="2" t="inlineStr"/>
    </row>
    <row r="357" ht="15" customHeight="1">
      <c r="A357" t="inlineStr">
        <is>
          <t>A 18017-2026</t>
        </is>
      </c>
      <c r="B357" t="inlineStr">
        <is>
          <t>avverkningsanmälan</t>
        </is>
      </c>
      <c r="C357" t="inlineStr">
        <is>
          <t>Avverkning för annat ändamål</t>
        </is>
      </c>
      <c r="D357" s="1" t="n">
        <v>46125</v>
      </c>
      <c r="E357" s="1" t="n">
        <v>46217</v>
      </c>
      <c r="F357" t="inlineStr">
        <is>
          <t>DALARNAS LÄN</t>
        </is>
      </c>
      <c r="G357" t="inlineStr">
        <is>
          <t>HEDEMORA</t>
        </is>
      </c>
      <c r="I357" t="n">
        <v>0.2</v>
      </c>
      <c r="J357" t="n">
        <v>0</v>
      </c>
      <c r="K357" t="n">
        <v>0</v>
      </c>
      <c r="L357" t="n">
        <v>0</v>
      </c>
      <c r="M357" t="n">
        <v>0</v>
      </c>
      <c r="N357" t="n">
        <v>0</v>
      </c>
      <c r="O357" t="n">
        <v>0</v>
      </c>
      <c r="P357" t="n">
        <v>0</v>
      </c>
      <c r="Q357" t="n">
        <v>0</v>
      </c>
      <c r="R357" t="n">
        <v>0</v>
      </c>
      <c r="S357" t="n">
        <v>0</v>
      </c>
      <c r="T357" t="n">
        <v>0</v>
      </c>
      <c r="U357" s="2" t="inlineStr"/>
    </row>
    <row r="358" ht="15" customHeight="1">
      <c r="A358" t="inlineStr">
        <is>
          <t>A 40919-2023</t>
        </is>
      </c>
      <c r="B358" t="inlineStr">
        <is>
          <t>avverkningsanmälan</t>
        </is>
      </c>
      <c r="C358" t="inlineStr">
        <is>
          <t>Föryngringsavverkning</t>
        </is>
      </c>
      <c r="D358" s="1" t="n">
        <v>45173</v>
      </c>
      <c r="E358" s="1" t="n">
        <v>46217</v>
      </c>
      <c r="F358" t="inlineStr">
        <is>
          <t>DALARNAS LÄN</t>
        </is>
      </c>
      <c r="G358" t="inlineStr">
        <is>
          <t>HEDEMORA</t>
        </is>
      </c>
      <c r="H358" t="inlineStr">
        <is>
          <t>Bergvik skog väst AB</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24959-2026</t>
        </is>
      </c>
      <c r="B359" t="inlineStr">
        <is>
          <t>avverkningsanmälan</t>
        </is>
      </c>
      <c r="C359" t="inlineStr">
        <is>
          <t>Föryngringsavverkning</t>
        </is>
      </c>
      <c r="D359" s="1" t="n">
        <v>46174</v>
      </c>
      <c r="E359" s="1" t="n">
        <v>46217</v>
      </c>
      <c r="F359" t="inlineStr">
        <is>
          <t>DALARNAS LÄN</t>
        </is>
      </c>
      <c r="G359" t="inlineStr">
        <is>
          <t>HEDEMORA</t>
        </is>
      </c>
      <c r="H359" t="inlineStr">
        <is>
          <t>Sveaskog</t>
        </is>
      </c>
      <c r="I359" t="n">
        <v>6.7</v>
      </c>
      <c r="J359" t="n">
        <v>0</v>
      </c>
      <c r="K359" t="n">
        <v>0</v>
      </c>
      <c r="L359" t="n">
        <v>0</v>
      </c>
      <c r="M359" t="n">
        <v>0</v>
      </c>
      <c r="N359" t="n">
        <v>0</v>
      </c>
      <c r="O359" t="n">
        <v>0</v>
      </c>
      <c r="P359" t="n">
        <v>0</v>
      </c>
      <c r="Q359" t="n">
        <v>0</v>
      </c>
      <c r="R359" t="n">
        <v>0</v>
      </c>
      <c r="S359" t="n">
        <v>0</v>
      </c>
      <c r="T359" t="n">
        <v>0</v>
      </c>
      <c r="U359" s="2" t="inlineStr"/>
    </row>
    <row r="360" ht="15" customHeight="1">
      <c r="A360" t="inlineStr">
        <is>
          <t>A 18665-2026</t>
        </is>
      </c>
      <c r="B360" t="inlineStr">
        <is>
          <t>avverkningsanmälan</t>
        </is>
      </c>
      <c r="C360" t="inlineStr">
        <is>
          <t>Avverkning för annat ändamål</t>
        </is>
      </c>
      <c r="D360" s="1" t="n">
        <v>46128</v>
      </c>
      <c r="E360" s="1" t="n">
        <v>46217</v>
      </c>
      <c r="F360" t="inlineStr">
        <is>
          <t>DALARNAS LÄN</t>
        </is>
      </c>
      <c r="G360" t="inlineStr">
        <is>
          <t>HEDEMORA</t>
        </is>
      </c>
      <c r="H360" t="inlineStr">
        <is>
          <t>Sveaskog</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18654-2026</t>
        </is>
      </c>
      <c r="B361" t="inlineStr">
        <is>
          <t>avverkningsanmälan</t>
        </is>
      </c>
      <c r="C361" t="inlineStr">
        <is>
          <t>Avverkning för annat ändamål</t>
        </is>
      </c>
      <c r="D361" s="1" t="n">
        <v>46128</v>
      </c>
      <c r="E361" s="1" t="n">
        <v>46217</v>
      </c>
      <c r="F361" t="inlineStr">
        <is>
          <t>DALARNAS LÄN</t>
        </is>
      </c>
      <c r="G361" t="inlineStr">
        <is>
          <t>HEDEMORA</t>
        </is>
      </c>
      <c r="H361" t="inlineStr">
        <is>
          <t>Sveaskog</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18661-2026</t>
        </is>
      </c>
      <c r="B362" t="inlineStr">
        <is>
          <t>avverkningsanmälan</t>
        </is>
      </c>
      <c r="C362" t="inlineStr">
        <is>
          <t>Avverkning för annat ändamål</t>
        </is>
      </c>
      <c r="D362" s="1" t="n">
        <v>46128</v>
      </c>
      <c r="E362" s="1" t="n">
        <v>46217</v>
      </c>
      <c r="F362" t="inlineStr">
        <is>
          <t>DALARNAS LÄN</t>
        </is>
      </c>
      <c r="G362" t="inlineStr">
        <is>
          <t>HEDEMORA</t>
        </is>
      </c>
      <c r="H362" t="inlineStr">
        <is>
          <t>Sveaskog</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18920-2026</t>
        </is>
      </c>
      <c r="B363" t="inlineStr">
        <is>
          <t>avverkningsanmälan</t>
        </is>
      </c>
      <c r="C363" t="inlineStr">
        <is>
          <t>Föryngringsavverkning</t>
        </is>
      </c>
      <c r="D363" s="1" t="n">
        <v>46129</v>
      </c>
      <c r="E363" s="1" t="n">
        <v>46217</v>
      </c>
      <c r="F363" t="inlineStr">
        <is>
          <t>DALARNAS LÄN</t>
        </is>
      </c>
      <c r="G363" t="inlineStr">
        <is>
          <t>HEDEMORA</t>
        </is>
      </c>
      <c r="H363" t="inlineStr">
        <is>
          <t>Sveaskog</t>
        </is>
      </c>
      <c r="I363" t="n">
        <v>4.3</v>
      </c>
      <c r="J363" t="n">
        <v>0</v>
      </c>
      <c r="K363" t="n">
        <v>0</v>
      </c>
      <c r="L363" t="n">
        <v>0</v>
      </c>
      <c r="M363" t="n">
        <v>0</v>
      </c>
      <c r="N363" t="n">
        <v>0</v>
      </c>
      <c r="O363" t="n">
        <v>0</v>
      </c>
      <c r="P363" t="n">
        <v>0</v>
      </c>
      <c r="Q363" t="n">
        <v>0</v>
      </c>
      <c r="R363" t="n">
        <v>0</v>
      </c>
      <c r="S363" t="n">
        <v>0</v>
      </c>
      <c r="T363" t="n">
        <v>0</v>
      </c>
      <c r="U363" s="2" t="inlineStr"/>
    </row>
    <row r="364" ht="15" customHeight="1">
      <c r="A364" t="inlineStr">
        <is>
          <t>A 19002-2026</t>
        </is>
      </c>
      <c r="B364" t="inlineStr">
        <is>
          <t>avverkningsanmälan</t>
        </is>
      </c>
      <c r="C364" t="inlineStr">
        <is>
          <t>Föryngringsavverkning</t>
        </is>
      </c>
      <c r="D364" s="1" t="n">
        <v>46129</v>
      </c>
      <c r="E364" s="1" t="n">
        <v>46217</v>
      </c>
      <c r="F364" t="inlineStr">
        <is>
          <t>DALARNAS LÄN</t>
        </is>
      </c>
      <c r="G364" t="inlineStr">
        <is>
          <t>HEDEMORA</t>
        </is>
      </c>
      <c r="H364" t="inlineStr">
        <is>
          <t>Sveaskog</t>
        </is>
      </c>
      <c r="I364" t="n">
        <v>3</v>
      </c>
      <c r="J364" t="n">
        <v>0</v>
      </c>
      <c r="K364" t="n">
        <v>0</v>
      </c>
      <c r="L364" t="n">
        <v>0</v>
      </c>
      <c r="M364" t="n">
        <v>0</v>
      </c>
      <c r="N364" t="n">
        <v>0</v>
      </c>
      <c r="O364" t="n">
        <v>0</v>
      </c>
      <c r="P364" t="n">
        <v>0</v>
      </c>
      <c r="Q364" t="n">
        <v>0</v>
      </c>
      <c r="R364" t="n">
        <v>0</v>
      </c>
      <c r="S364" t="n">
        <v>0</v>
      </c>
      <c r="T364" t="n">
        <v>0</v>
      </c>
      <c r="U364" s="2" t="inlineStr"/>
    </row>
    <row r="365" ht="15" customHeight="1">
      <c r="A365" t="inlineStr">
        <is>
          <t>A 24955-2026</t>
        </is>
      </c>
      <c r="B365" t="inlineStr">
        <is>
          <t>avverkningsanmälan</t>
        </is>
      </c>
      <c r="C365" t="inlineStr">
        <is>
          <t>Föryngringsavverkning</t>
        </is>
      </c>
      <c r="D365" s="1" t="n">
        <v>46174</v>
      </c>
      <c r="E365" s="1" t="n">
        <v>46217</v>
      </c>
      <c r="F365" t="inlineStr">
        <is>
          <t>DALARNAS LÄN</t>
        </is>
      </c>
      <c r="G365" t="inlineStr">
        <is>
          <t>HEDEMORA</t>
        </is>
      </c>
      <c r="H365" t="inlineStr">
        <is>
          <t>Sveaskog</t>
        </is>
      </c>
      <c r="I365" t="n">
        <v>2.7</v>
      </c>
      <c r="J365" t="n">
        <v>0</v>
      </c>
      <c r="K365" t="n">
        <v>0</v>
      </c>
      <c r="L365" t="n">
        <v>0</v>
      </c>
      <c r="M365" t="n">
        <v>0</v>
      </c>
      <c r="N365" t="n">
        <v>0</v>
      </c>
      <c r="O365" t="n">
        <v>0</v>
      </c>
      <c r="P365" t="n">
        <v>0</v>
      </c>
      <c r="Q365" t="n">
        <v>0</v>
      </c>
      <c r="R365" t="n">
        <v>0</v>
      </c>
      <c r="S365" t="n">
        <v>0</v>
      </c>
      <c r="T365" t="n">
        <v>0</v>
      </c>
      <c r="U365" s="2" t="inlineStr"/>
    </row>
    <row r="366" ht="15" customHeight="1">
      <c r="A366" t="inlineStr">
        <is>
          <t>A 1917-2022</t>
        </is>
      </c>
      <c r="B366" t="inlineStr">
        <is>
          <t>avverkningsanmälan</t>
        </is>
      </c>
      <c r="C366" t="inlineStr">
        <is>
          <t>Avverkning för annat ändamål</t>
        </is>
      </c>
      <c r="D366" s="1" t="n">
        <v>44574</v>
      </c>
      <c r="E366" s="1" t="n">
        <v>46217</v>
      </c>
      <c r="F366" t="inlineStr">
        <is>
          <t>DALARNAS LÄN</t>
        </is>
      </c>
      <c r="G366" t="inlineStr">
        <is>
          <t>HEDEMORA</t>
        </is>
      </c>
      <c r="H366" t="inlineStr">
        <is>
          <t>Övriga Aktiebolag</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7743-2026</t>
        </is>
      </c>
      <c r="B367" t="inlineStr">
        <is>
          <t>avverkningsanmälan</t>
        </is>
      </c>
      <c r="C367" t="inlineStr">
        <is>
          <t>Föryngringsavverkning</t>
        </is>
      </c>
      <c r="D367" s="1" t="n">
        <v>46062</v>
      </c>
      <c r="E367" s="1" t="n">
        <v>46217</v>
      </c>
      <c r="F367" t="inlineStr">
        <is>
          <t>DALARNAS LÄN</t>
        </is>
      </c>
      <c r="G367" t="inlineStr">
        <is>
          <t>HEDEMORA</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24949-2026</t>
        </is>
      </c>
      <c r="B368" t="inlineStr">
        <is>
          <t>avverkningsanmälan</t>
        </is>
      </c>
      <c r="C368" t="inlineStr">
        <is>
          <t>Föryngringsavverkning</t>
        </is>
      </c>
      <c r="D368" s="1" t="n">
        <v>46174</v>
      </c>
      <c r="E368" s="1" t="n">
        <v>46217</v>
      </c>
      <c r="F368" t="inlineStr">
        <is>
          <t>DALARNAS LÄN</t>
        </is>
      </c>
      <c r="G368" t="inlineStr">
        <is>
          <t>HEDEMORA</t>
        </is>
      </c>
      <c r="H368" t="inlineStr">
        <is>
          <t>Sveaskog</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19564-2026</t>
        </is>
      </c>
      <c r="B369" t="inlineStr">
        <is>
          <t>avverkningsanmälan</t>
        </is>
      </c>
      <c r="C369" t="inlineStr">
        <is>
          <t>Föryngringsavverkning</t>
        </is>
      </c>
      <c r="D369" s="1" t="n">
        <v>46134</v>
      </c>
      <c r="E369" s="1" t="n">
        <v>46217</v>
      </c>
      <c r="F369" t="inlineStr">
        <is>
          <t>DALARNAS LÄN</t>
        </is>
      </c>
      <c r="G369" t="inlineStr">
        <is>
          <t>HEDEMORA</t>
        </is>
      </c>
      <c r="H369" t="inlineStr">
        <is>
          <t>Sveaskog</t>
        </is>
      </c>
      <c r="I369" t="n">
        <v>7.7</v>
      </c>
      <c r="J369" t="n">
        <v>0</v>
      </c>
      <c r="K369" t="n">
        <v>0</v>
      </c>
      <c r="L369" t="n">
        <v>0</v>
      </c>
      <c r="M369" t="n">
        <v>0</v>
      </c>
      <c r="N369" t="n">
        <v>0</v>
      </c>
      <c r="O369" t="n">
        <v>0</v>
      </c>
      <c r="P369" t="n">
        <v>0</v>
      </c>
      <c r="Q369" t="n">
        <v>0</v>
      </c>
      <c r="R369" t="n">
        <v>0</v>
      </c>
      <c r="S369" t="n">
        <v>0</v>
      </c>
      <c r="T369" t="n">
        <v>0</v>
      </c>
      <c r="U369" s="2" t="inlineStr"/>
    </row>
    <row r="370" ht="15" customHeight="1">
      <c r="A370" t="inlineStr">
        <is>
          <t>A 19262-2026</t>
        </is>
      </c>
      <c r="B370" t="inlineStr">
        <is>
          <t>avverkningsanmälan</t>
        </is>
      </c>
      <c r="C370" t="inlineStr">
        <is>
          <t>Avverkning för annat ändamål</t>
        </is>
      </c>
      <c r="D370" s="1" t="n">
        <v>46132</v>
      </c>
      <c r="E370" s="1" t="n">
        <v>46217</v>
      </c>
      <c r="F370" t="inlineStr">
        <is>
          <t>DALARNAS LÄN</t>
        </is>
      </c>
      <c r="G370" t="inlineStr">
        <is>
          <t>HEDEMORA</t>
        </is>
      </c>
      <c r="H370" t="inlineStr">
        <is>
          <t>Sveaskog</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1973-2022</t>
        </is>
      </c>
      <c r="B371" t="inlineStr">
        <is>
          <t>avverkningsanmälan</t>
        </is>
      </c>
      <c r="C371" t="inlineStr">
        <is>
          <t>Föryngringsavverkning</t>
        </is>
      </c>
      <c r="D371" s="1" t="n">
        <v>44575</v>
      </c>
      <c r="E371" s="1" t="n">
        <v>46217</v>
      </c>
      <c r="F371" t="inlineStr">
        <is>
          <t>DALARNAS LÄN</t>
        </is>
      </c>
      <c r="G371" t="inlineStr">
        <is>
          <t>HEDEMORA</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19670-2026</t>
        </is>
      </c>
      <c r="B372" t="inlineStr">
        <is>
          <t>avverkningsanmälan</t>
        </is>
      </c>
      <c r="C372" t="inlineStr">
        <is>
          <t>Föryngringsavverkning</t>
        </is>
      </c>
      <c r="D372" s="1" t="n">
        <v>46134</v>
      </c>
      <c r="E372" s="1" t="n">
        <v>46217</v>
      </c>
      <c r="F372" t="inlineStr">
        <is>
          <t>DALARNAS LÄN</t>
        </is>
      </c>
      <c r="G372" t="inlineStr">
        <is>
          <t>HEDEMORA</t>
        </is>
      </c>
      <c r="I372" t="n">
        <v>2.8</v>
      </c>
      <c r="J372" t="n">
        <v>0</v>
      </c>
      <c r="K372" t="n">
        <v>0</v>
      </c>
      <c r="L372" t="n">
        <v>0</v>
      </c>
      <c r="M372" t="n">
        <v>0</v>
      </c>
      <c r="N372" t="n">
        <v>0</v>
      </c>
      <c r="O372" t="n">
        <v>0</v>
      </c>
      <c r="P372" t="n">
        <v>0</v>
      </c>
      <c r="Q372" t="n">
        <v>0</v>
      </c>
      <c r="R372" t="n">
        <v>0</v>
      </c>
      <c r="S372" t="n">
        <v>0</v>
      </c>
      <c r="T372" t="n">
        <v>0</v>
      </c>
      <c r="U372" s="2" t="inlineStr"/>
    </row>
    <row r="373" ht="15" customHeight="1">
      <c r="A373" t="inlineStr">
        <is>
          <t>A 49636-2021</t>
        </is>
      </c>
      <c r="B373" t="inlineStr">
        <is>
          <t>avverkningsanmälan</t>
        </is>
      </c>
      <c r="C373" t="inlineStr">
        <is>
          <t>Föryngringsavverkning</t>
        </is>
      </c>
      <c r="D373" s="1" t="n">
        <v>44455</v>
      </c>
      <c r="E373" s="1" t="n">
        <v>46217</v>
      </c>
      <c r="F373" t="inlineStr">
        <is>
          <t>DALARNAS LÄN</t>
        </is>
      </c>
      <c r="G373" t="inlineStr">
        <is>
          <t>HEDEMORA</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60475-2022</t>
        </is>
      </c>
      <c r="B374" t="inlineStr">
        <is>
          <t>avverkningsanmälan</t>
        </is>
      </c>
      <c r="C374" t="inlineStr">
        <is>
          <t>Föryngringsavverkning</t>
        </is>
      </c>
      <c r="D374" s="1" t="n">
        <v>44911</v>
      </c>
      <c r="E374" s="1" t="n">
        <v>46217</v>
      </c>
      <c r="F374" t="inlineStr">
        <is>
          <t>DALARNAS LÄN</t>
        </is>
      </c>
      <c r="G374" t="inlineStr">
        <is>
          <t>HEDEMORA</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30205-2022</t>
        </is>
      </c>
      <c r="B375" t="inlineStr">
        <is>
          <t>avverkningsanmälan</t>
        </is>
      </c>
      <c r="C375" t="inlineStr">
        <is>
          <t>Föryngringsavverkning</t>
        </is>
      </c>
      <c r="D375" s="1" t="n">
        <v>44757</v>
      </c>
      <c r="E375" s="1" t="n">
        <v>46217</v>
      </c>
      <c r="F375" t="inlineStr">
        <is>
          <t>DALARNAS LÄN</t>
        </is>
      </c>
      <c r="G375" t="inlineStr">
        <is>
          <t>HEDEMORA</t>
        </is>
      </c>
      <c r="H375" t="inlineStr">
        <is>
          <t>Sveaskog</t>
        </is>
      </c>
      <c r="I375" t="n">
        <v>2.4</v>
      </c>
      <c r="J375" t="n">
        <v>0</v>
      </c>
      <c r="K375" t="n">
        <v>0</v>
      </c>
      <c r="L375" t="n">
        <v>0</v>
      </c>
      <c r="M375" t="n">
        <v>0</v>
      </c>
      <c r="N375" t="n">
        <v>0</v>
      </c>
      <c r="O375" t="n">
        <v>0</v>
      </c>
      <c r="P375" t="n">
        <v>0</v>
      </c>
      <c r="Q375" t="n">
        <v>0</v>
      </c>
      <c r="R375" t="n">
        <v>0</v>
      </c>
      <c r="S375" t="n">
        <v>0</v>
      </c>
      <c r="T375" t="n">
        <v>0</v>
      </c>
      <c r="U375" s="2" t="inlineStr"/>
    </row>
    <row r="376" ht="15" customHeight="1">
      <c r="A376" t="inlineStr">
        <is>
          <t>A 54310-2021</t>
        </is>
      </c>
      <c r="B376" t="inlineStr">
        <is>
          <t>avverkningsanmälan</t>
        </is>
      </c>
      <c r="C376" t="inlineStr">
        <is>
          <t>Föryngringsavverkning</t>
        </is>
      </c>
      <c r="D376" s="1" t="n">
        <v>44472</v>
      </c>
      <c r="E376" s="1" t="n">
        <v>46217</v>
      </c>
      <c r="F376" t="inlineStr">
        <is>
          <t>DALARNAS LÄN</t>
        </is>
      </c>
      <c r="G376" t="inlineStr">
        <is>
          <t>HEDEMORA</t>
        </is>
      </c>
      <c r="H376" t="inlineStr">
        <is>
          <t>Sveaskog</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25155-2023</t>
        </is>
      </c>
      <c r="B377" t="inlineStr">
        <is>
          <t>avverkningsanmälan</t>
        </is>
      </c>
      <c r="C377" t="inlineStr">
        <is>
          <t>Föryngringsavverkning</t>
        </is>
      </c>
      <c r="D377" s="1" t="n">
        <v>45086</v>
      </c>
      <c r="E377" s="1" t="n">
        <v>46217</v>
      </c>
      <c r="F377" t="inlineStr">
        <is>
          <t>DALARNAS LÄN</t>
        </is>
      </c>
      <c r="G377" t="inlineStr">
        <is>
          <t>HEDEMORA</t>
        </is>
      </c>
      <c r="H377" t="inlineStr">
        <is>
          <t>Sveaskog</t>
        </is>
      </c>
      <c r="I377" t="n">
        <v>3.8</v>
      </c>
      <c r="J377" t="n">
        <v>0</v>
      </c>
      <c r="K377" t="n">
        <v>0</v>
      </c>
      <c r="L377" t="n">
        <v>0</v>
      </c>
      <c r="M377" t="n">
        <v>0</v>
      </c>
      <c r="N377" t="n">
        <v>0</v>
      </c>
      <c r="O377" t="n">
        <v>0</v>
      </c>
      <c r="P377" t="n">
        <v>0</v>
      </c>
      <c r="Q377" t="n">
        <v>0</v>
      </c>
      <c r="R377" t="n">
        <v>0</v>
      </c>
      <c r="S377" t="n">
        <v>0</v>
      </c>
      <c r="T377" t="n">
        <v>0</v>
      </c>
      <c r="U377" s="2" t="inlineStr"/>
    </row>
    <row r="378" ht="15" customHeight="1">
      <c r="A378" t="inlineStr">
        <is>
          <t>A 25150-2023</t>
        </is>
      </c>
      <c r="B378" t="inlineStr">
        <is>
          <t>avverkningsanmälan</t>
        </is>
      </c>
      <c r="C378" t="inlineStr">
        <is>
          <t>Föryngringsavverkning</t>
        </is>
      </c>
      <c r="D378" s="1" t="n">
        <v>45086</v>
      </c>
      <c r="E378" s="1" t="n">
        <v>46217</v>
      </c>
      <c r="F378" t="inlineStr">
        <is>
          <t>DALARNAS LÄN</t>
        </is>
      </c>
      <c r="G378" t="inlineStr">
        <is>
          <t>HEDEMORA</t>
        </is>
      </c>
      <c r="H378" t="inlineStr">
        <is>
          <t>Sveaskog</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41523-2023</t>
        </is>
      </c>
      <c r="B379" t="inlineStr">
        <is>
          <t>avverkningsanmälan</t>
        </is>
      </c>
      <c r="C379" t="inlineStr">
        <is>
          <t>Föryngringsavverkning</t>
        </is>
      </c>
      <c r="D379" s="1" t="n">
        <v>45172</v>
      </c>
      <c r="E379" s="1" t="n">
        <v>46217</v>
      </c>
      <c r="F379" t="inlineStr">
        <is>
          <t>DALARNAS LÄN</t>
        </is>
      </c>
      <c r="G379" t="inlineStr">
        <is>
          <t>HEDEMORA</t>
        </is>
      </c>
      <c r="H379" t="inlineStr">
        <is>
          <t>Bergvik skog väst AB</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30939-2023</t>
        </is>
      </c>
      <c r="B380" t="inlineStr">
        <is>
          <t>avverkningsanmälan</t>
        </is>
      </c>
      <c r="C380" t="inlineStr">
        <is>
          <t>Föryngringsavverkning</t>
        </is>
      </c>
      <c r="D380" s="1" t="n">
        <v>45113</v>
      </c>
      <c r="E380" s="1" t="n">
        <v>46217</v>
      </c>
      <c r="F380" t="inlineStr">
        <is>
          <t>DALARNAS LÄN</t>
        </is>
      </c>
      <c r="G380" t="inlineStr">
        <is>
          <t>HEDEMORA</t>
        </is>
      </c>
      <c r="H380" t="inlineStr">
        <is>
          <t>Sveaskog</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60078-2022</t>
        </is>
      </c>
      <c r="B381" t="inlineStr">
        <is>
          <t>avverkningsanmälan</t>
        </is>
      </c>
      <c r="C381" t="inlineStr">
        <is>
          <t>Föryngringsavverkning</t>
        </is>
      </c>
      <c r="D381" s="1" t="n">
        <v>44909</v>
      </c>
      <c r="E381" s="1" t="n">
        <v>46217</v>
      </c>
      <c r="F381" t="inlineStr">
        <is>
          <t>DALARNAS LÄN</t>
        </is>
      </c>
      <c r="G381" t="inlineStr">
        <is>
          <t>HEDEMORA</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53568-2023</t>
        </is>
      </c>
      <c r="B382" t="inlineStr">
        <is>
          <t>avverkningsanmälan</t>
        </is>
      </c>
      <c r="C382" t="inlineStr">
        <is>
          <t>Föryngringsavverkning</t>
        </is>
      </c>
      <c r="D382" s="1" t="n">
        <v>45230</v>
      </c>
      <c r="E382" s="1" t="n">
        <v>46217</v>
      </c>
      <c r="F382" t="inlineStr">
        <is>
          <t>DALARNAS LÄN</t>
        </is>
      </c>
      <c r="G382" t="inlineStr">
        <is>
          <t>HEDEMORA</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29303-2023</t>
        </is>
      </c>
      <c r="B383" t="inlineStr">
        <is>
          <t>avverkningsanmälan</t>
        </is>
      </c>
      <c r="C383" t="inlineStr">
        <is>
          <t>Föryngringsavverkning</t>
        </is>
      </c>
      <c r="D383" s="1" t="n">
        <v>45105</v>
      </c>
      <c r="E383" s="1" t="n">
        <v>46217</v>
      </c>
      <c r="F383" t="inlineStr">
        <is>
          <t>DALARNAS LÄN</t>
        </is>
      </c>
      <c r="G383" t="inlineStr">
        <is>
          <t>HEDEMORA</t>
        </is>
      </c>
      <c r="H383" t="inlineStr">
        <is>
          <t>Sveaskog</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49904-2021</t>
        </is>
      </c>
      <c r="B384" t="inlineStr">
        <is>
          <t>avverkningsanmälan</t>
        </is>
      </c>
      <c r="C384" t="inlineStr">
        <is>
          <t>Föryngringsavverkning</t>
        </is>
      </c>
      <c r="D384" s="1" t="n">
        <v>44455</v>
      </c>
      <c r="E384" s="1" t="n">
        <v>46217</v>
      </c>
      <c r="F384" t="inlineStr">
        <is>
          <t>DALARNAS LÄN</t>
        </is>
      </c>
      <c r="G384" t="inlineStr">
        <is>
          <t>HEDEMORA</t>
        </is>
      </c>
      <c r="H384" t="inlineStr">
        <is>
          <t>Sveaskog</t>
        </is>
      </c>
      <c r="I384" t="n">
        <v>7.1</v>
      </c>
      <c r="J384" t="n">
        <v>0</v>
      </c>
      <c r="K384" t="n">
        <v>0</v>
      </c>
      <c r="L384" t="n">
        <v>0</v>
      </c>
      <c r="M384" t="n">
        <v>0</v>
      </c>
      <c r="N384" t="n">
        <v>0</v>
      </c>
      <c r="O384" t="n">
        <v>0</v>
      </c>
      <c r="P384" t="n">
        <v>0</v>
      </c>
      <c r="Q384" t="n">
        <v>0</v>
      </c>
      <c r="R384" t="n">
        <v>0</v>
      </c>
      <c r="S384" t="n">
        <v>0</v>
      </c>
      <c r="T384" t="n">
        <v>0</v>
      </c>
      <c r="U384" s="2" t="inlineStr"/>
    </row>
    <row r="385" ht="15" customHeight="1">
      <c r="A385" t="inlineStr">
        <is>
          <t>A 46217-2023</t>
        </is>
      </c>
      <c r="B385" t="inlineStr">
        <is>
          <t>avverkningsanmälan</t>
        </is>
      </c>
      <c r="C385" t="inlineStr">
        <is>
          <t>Föryngringsavverkning</t>
        </is>
      </c>
      <c r="D385" s="1" t="n">
        <v>45190</v>
      </c>
      <c r="E385" s="1" t="n">
        <v>46217</v>
      </c>
      <c r="F385" t="inlineStr">
        <is>
          <t>DALARNAS LÄN</t>
        </is>
      </c>
      <c r="G385" t="inlineStr">
        <is>
          <t>HEDEMORA</t>
        </is>
      </c>
      <c r="H385" t="inlineStr">
        <is>
          <t>Bergvik skog väst AB</t>
        </is>
      </c>
      <c r="I385" t="n">
        <v>8.800000000000001</v>
      </c>
      <c r="J385" t="n">
        <v>0</v>
      </c>
      <c r="K385" t="n">
        <v>0</v>
      </c>
      <c r="L385" t="n">
        <v>0</v>
      </c>
      <c r="M385" t="n">
        <v>0</v>
      </c>
      <c r="N385" t="n">
        <v>0</v>
      </c>
      <c r="O385" t="n">
        <v>0</v>
      </c>
      <c r="P385" t="n">
        <v>0</v>
      </c>
      <c r="Q385" t="n">
        <v>0</v>
      </c>
      <c r="R385" t="n">
        <v>0</v>
      </c>
      <c r="S385" t="n">
        <v>0</v>
      </c>
      <c r="T385" t="n">
        <v>0</v>
      </c>
      <c r="U385" s="2" t="inlineStr"/>
    </row>
    <row r="386" ht="15" customHeight="1">
      <c r="A386" t="inlineStr">
        <is>
          <t>A 5766-2025</t>
        </is>
      </c>
      <c r="B386" t="inlineStr">
        <is>
          <t>avverkningsanmälan</t>
        </is>
      </c>
      <c r="C386" t="inlineStr">
        <is>
          <t>Föryngringsavverkning</t>
        </is>
      </c>
      <c r="D386" s="1" t="n">
        <v>45694</v>
      </c>
      <c r="E386" s="1" t="n">
        <v>46217</v>
      </c>
      <c r="F386" t="inlineStr">
        <is>
          <t>DALARNAS LÄN</t>
        </is>
      </c>
      <c r="G386" t="inlineStr">
        <is>
          <t>HEDEMORA</t>
        </is>
      </c>
      <c r="I386" t="n">
        <v>4.9</v>
      </c>
      <c r="J386" t="n">
        <v>0</v>
      </c>
      <c r="K386" t="n">
        <v>0</v>
      </c>
      <c r="L386" t="n">
        <v>0</v>
      </c>
      <c r="M386" t="n">
        <v>0</v>
      </c>
      <c r="N386" t="n">
        <v>0</v>
      </c>
      <c r="O386" t="n">
        <v>0</v>
      </c>
      <c r="P386" t="n">
        <v>0</v>
      </c>
      <c r="Q386" t="n">
        <v>0</v>
      </c>
      <c r="R386" t="n">
        <v>0</v>
      </c>
      <c r="S386" t="n">
        <v>0</v>
      </c>
      <c r="T386" t="n">
        <v>0</v>
      </c>
      <c r="U386" s="2" t="inlineStr"/>
    </row>
    <row r="387" ht="15" customHeight="1">
      <c r="A387" t="inlineStr">
        <is>
          <t>A 25691-2022</t>
        </is>
      </c>
      <c r="B387" t="inlineStr">
        <is>
          <t>avverkningsanmälan</t>
        </is>
      </c>
      <c r="C387" t="inlineStr">
        <is>
          <t>Föryngringsavverkning</t>
        </is>
      </c>
      <c r="D387" s="1" t="n">
        <v>44733</v>
      </c>
      <c r="E387" s="1" t="n">
        <v>46217</v>
      </c>
      <c r="F387" t="inlineStr">
        <is>
          <t>DALARNAS LÄN</t>
        </is>
      </c>
      <c r="G387" t="inlineStr">
        <is>
          <t>HEDEMORA</t>
        </is>
      </c>
      <c r="I387" t="n">
        <v>0.7</v>
      </c>
      <c r="J387" t="n">
        <v>0</v>
      </c>
      <c r="K387" t="n">
        <v>0</v>
      </c>
      <c r="L387" t="n">
        <v>0</v>
      </c>
      <c r="M387" t="n">
        <v>0</v>
      </c>
      <c r="N387" t="n">
        <v>0</v>
      </c>
      <c r="O387" t="n">
        <v>0</v>
      </c>
      <c r="P387" t="n">
        <v>0</v>
      </c>
      <c r="Q387" t="n">
        <v>0</v>
      </c>
      <c r="R387" t="n">
        <v>0</v>
      </c>
      <c r="S387" t="n">
        <v>0</v>
      </c>
      <c r="T387" t="n">
        <v>0</v>
      </c>
      <c r="U387" s="2" t="inlineStr"/>
    </row>
    <row r="388" ht="15" customHeight="1">
      <c r="A388" t="inlineStr">
        <is>
          <t>A 53584-2023</t>
        </is>
      </c>
      <c r="B388" t="inlineStr">
        <is>
          <t>avverkningsanmälan</t>
        </is>
      </c>
      <c r="C388" t="inlineStr">
        <is>
          <t>Föryngringsavverkning</t>
        </is>
      </c>
      <c r="D388" s="1" t="n">
        <v>45230</v>
      </c>
      <c r="E388" s="1" t="n">
        <v>46217</v>
      </c>
      <c r="F388" t="inlineStr">
        <is>
          <t>DALARNAS LÄN</t>
        </is>
      </c>
      <c r="G388" t="inlineStr">
        <is>
          <t>HEDEMORA</t>
        </is>
      </c>
      <c r="I388" t="n">
        <v>6.6</v>
      </c>
      <c r="J388" t="n">
        <v>0</v>
      </c>
      <c r="K388" t="n">
        <v>0</v>
      </c>
      <c r="L388" t="n">
        <v>0</v>
      </c>
      <c r="M388" t="n">
        <v>0</v>
      </c>
      <c r="N388" t="n">
        <v>0</v>
      </c>
      <c r="O388" t="n">
        <v>0</v>
      </c>
      <c r="P388" t="n">
        <v>0</v>
      </c>
      <c r="Q388" t="n">
        <v>0</v>
      </c>
      <c r="R388" t="n">
        <v>0</v>
      </c>
      <c r="S388" t="n">
        <v>0</v>
      </c>
      <c r="T388" t="n">
        <v>0</v>
      </c>
      <c r="U388" s="2" t="inlineStr"/>
    </row>
    <row r="389" ht="15" customHeight="1">
      <c r="A389" t="inlineStr">
        <is>
          <t>A 18579-2025</t>
        </is>
      </c>
      <c r="B389" t="inlineStr">
        <is>
          <t>avverkningsanmälan</t>
        </is>
      </c>
      <c r="C389" t="inlineStr">
        <is>
          <t>Avverkning för annat ändamål</t>
        </is>
      </c>
      <c r="D389" s="1" t="n">
        <v>45763</v>
      </c>
      <c r="E389" s="1" t="n">
        <v>46217</v>
      </c>
      <c r="F389" t="inlineStr">
        <is>
          <t>DALARNAS LÄN</t>
        </is>
      </c>
      <c r="G389" t="inlineStr">
        <is>
          <t>HEDEMORA</t>
        </is>
      </c>
      <c r="I389" t="n">
        <v>0.5</v>
      </c>
      <c r="J389" t="n">
        <v>0</v>
      </c>
      <c r="K389" t="n">
        <v>0</v>
      </c>
      <c r="L389" t="n">
        <v>0</v>
      </c>
      <c r="M389" t="n">
        <v>0</v>
      </c>
      <c r="N389" t="n">
        <v>0</v>
      </c>
      <c r="O389" t="n">
        <v>0</v>
      </c>
      <c r="P389" t="n">
        <v>0</v>
      </c>
      <c r="Q389" t="n">
        <v>0</v>
      </c>
      <c r="R389" t="n">
        <v>0</v>
      </c>
      <c r="S389" t="n">
        <v>0</v>
      </c>
      <c r="T389" t="n">
        <v>0</v>
      </c>
      <c r="U389" s="2" t="inlineStr"/>
    </row>
    <row r="390" ht="15" customHeight="1">
      <c r="A390" t="inlineStr">
        <is>
          <t>A 46825-2024</t>
        </is>
      </c>
      <c r="B390" t="inlineStr">
        <is>
          <t>avverkningsanmälan</t>
        </is>
      </c>
      <c r="C390" t="inlineStr">
        <is>
          <t>Föryngringsavverkning</t>
        </is>
      </c>
      <c r="D390" s="1" t="n">
        <v>45583</v>
      </c>
      <c r="E390" s="1" t="n">
        <v>46217</v>
      </c>
      <c r="F390" t="inlineStr">
        <is>
          <t>DALARNAS LÄN</t>
        </is>
      </c>
      <c r="G390" t="inlineStr">
        <is>
          <t>HEDEMORA</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52942-2024</t>
        </is>
      </c>
      <c r="B391" t="inlineStr">
        <is>
          <t>avverkningsanmälan</t>
        </is>
      </c>
      <c r="C391" t="inlineStr">
        <is>
          <t>Föryngringsavverkning</t>
        </is>
      </c>
      <c r="D391" s="1" t="n">
        <v>45610</v>
      </c>
      <c r="E391" s="1" t="n">
        <v>46217</v>
      </c>
      <c r="F391" t="inlineStr">
        <is>
          <t>DALARNAS LÄN</t>
        </is>
      </c>
      <c r="G391" t="inlineStr">
        <is>
          <t>HEDEMORA</t>
        </is>
      </c>
      <c r="H391" t="inlineStr">
        <is>
          <t>Sveaskog</t>
        </is>
      </c>
      <c r="I391" t="n">
        <v>14.5</v>
      </c>
      <c r="J391" t="n">
        <v>0</v>
      </c>
      <c r="K391" t="n">
        <v>0</v>
      </c>
      <c r="L391" t="n">
        <v>0</v>
      </c>
      <c r="M391" t="n">
        <v>0</v>
      </c>
      <c r="N391" t="n">
        <v>0</v>
      </c>
      <c r="O391" t="n">
        <v>0</v>
      </c>
      <c r="P391" t="n">
        <v>0</v>
      </c>
      <c r="Q391" t="n">
        <v>0</v>
      </c>
      <c r="R391" t="n">
        <v>0</v>
      </c>
      <c r="S391" t="n">
        <v>0</v>
      </c>
      <c r="T391" t="n">
        <v>0</v>
      </c>
      <c r="U391" s="2" t="inlineStr"/>
    </row>
    <row r="392" ht="15" customHeight="1">
      <c r="A392" t="inlineStr">
        <is>
          <t>A 22273-2023</t>
        </is>
      </c>
      <c r="B392" t="inlineStr">
        <is>
          <t>avverkningsanmälan</t>
        </is>
      </c>
      <c r="C392" t="inlineStr">
        <is>
          <t>Föryngringsavverkning</t>
        </is>
      </c>
      <c r="D392" s="1" t="n">
        <v>45070</v>
      </c>
      <c r="E392" s="1" t="n">
        <v>46217</v>
      </c>
      <c r="F392" t="inlineStr">
        <is>
          <t>DALARNAS LÄN</t>
        </is>
      </c>
      <c r="G392" t="inlineStr">
        <is>
          <t>HEDEMORA</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40801-2024</t>
        </is>
      </c>
      <c r="B393" t="inlineStr">
        <is>
          <t>avverkningsanmälan</t>
        </is>
      </c>
      <c r="C393" t="inlineStr">
        <is>
          <t>Föryngringsavverkning</t>
        </is>
      </c>
      <c r="D393" s="1" t="n">
        <v>45558</v>
      </c>
      <c r="E393" s="1" t="n">
        <v>46217</v>
      </c>
      <c r="F393" t="inlineStr">
        <is>
          <t>DALARNAS LÄN</t>
        </is>
      </c>
      <c r="G393" t="inlineStr">
        <is>
          <t>HEDEMORA</t>
        </is>
      </c>
      <c r="I393" t="n">
        <v>2.2</v>
      </c>
      <c r="J393" t="n">
        <v>0</v>
      </c>
      <c r="K393" t="n">
        <v>0</v>
      </c>
      <c r="L393" t="n">
        <v>0</v>
      </c>
      <c r="M393" t="n">
        <v>0</v>
      </c>
      <c r="N393" t="n">
        <v>0</v>
      </c>
      <c r="O393" t="n">
        <v>0</v>
      </c>
      <c r="P393" t="n">
        <v>0</v>
      </c>
      <c r="Q393" t="n">
        <v>0</v>
      </c>
      <c r="R393" t="n">
        <v>0</v>
      </c>
      <c r="S393" t="n">
        <v>0</v>
      </c>
      <c r="T393" t="n">
        <v>0</v>
      </c>
      <c r="U393" s="2" t="inlineStr"/>
    </row>
    <row r="394" ht="15" customHeight="1">
      <c r="A394" t="inlineStr">
        <is>
          <t>A 53588-2023</t>
        </is>
      </c>
      <c r="B394" t="inlineStr">
        <is>
          <t>avverkningsanmälan</t>
        </is>
      </c>
      <c r="C394" t="inlineStr">
        <is>
          <t>Föryngringsavverkning</t>
        </is>
      </c>
      <c r="D394" s="1" t="n">
        <v>45230</v>
      </c>
      <c r="E394" s="1" t="n">
        <v>46217</v>
      </c>
      <c r="F394" t="inlineStr">
        <is>
          <t>DALARNAS LÄN</t>
        </is>
      </c>
      <c r="G394" t="inlineStr">
        <is>
          <t>HEDEMORA</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55832-2024</t>
        </is>
      </c>
      <c r="B395" t="inlineStr">
        <is>
          <t>avverkningsanmälan</t>
        </is>
      </c>
      <c r="C395" t="inlineStr">
        <is>
          <t>Föryngringsavverkning</t>
        </is>
      </c>
      <c r="D395" s="1" t="n">
        <v>45623</v>
      </c>
      <c r="E395" s="1" t="n">
        <v>46217</v>
      </c>
      <c r="F395" t="inlineStr">
        <is>
          <t>DALARNAS LÄN</t>
        </is>
      </c>
      <c r="G395" t="inlineStr">
        <is>
          <t>HEDEMORA</t>
        </is>
      </c>
      <c r="I395" t="n">
        <v>3</v>
      </c>
      <c r="J395" t="n">
        <v>0</v>
      </c>
      <c r="K395" t="n">
        <v>0</v>
      </c>
      <c r="L395" t="n">
        <v>0</v>
      </c>
      <c r="M395" t="n">
        <v>0</v>
      </c>
      <c r="N395" t="n">
        <v>0</v>
      </c>
      <c r="O395" t="n">
        <v>0</v>
      </c>
      <c r="P395" t="n">
        <v>0</v>
      </c>
      <c r="Q395" t="n">
        <v>0</v>
      </c>
      <c r="R395" t="n">
        <v>0</v>
      </c>
      <c r="S395" t="n">
        <v>0</v>
      </c>
      <c r="T395" t="n">
        <v>0</v>
      </c>
      <c r="U395" s="2" t="inlineStr"/>
    </row>
    <row r="396" ht="15" customHeight="1">
      <c r="A396" t="inlineStr">
        <is>
          <t>A 52945-2024</t>
        </is>
      </c>
      <c r="B396" t="inlineStr">
        <is>
          <t>avverkningsanmälan</t>
        </is>
      </c>
      <c r="C396" t="inlineStr">
        <is>
          <t>Föryngringsavverkning</t>
        </is>
      </c>
      <c r="D396" s="1" t="n">
        <v>45610</v>
      </c>
      <c r="E396" s="1" t="n">
        <v>46217</v>
      </c>
      <c r="F396" t="inlineStr">
        <is>
          <t>DALARNAS LÄN</t>
        </is>
      </c>
      <c r="G396" t="inlineStr">
        <is>
          <t>HEDEMORA</t>
        </is>
      </c>
      <c r="H396" t="inlineStr">
        <is>
          <t>Sveaskog</t>
        </is>
      </c>
      <c r="I396" t="n">
        <v>5</v>
      </c>
      <c r="J396" t="n">
        <v>0</v>
      </c>
      <c r="K396" t="n">
        <v>0</v>
      </c>
      <c r="L396" t="n">
        <v>0</v>
      </c>
      <c r="M396" t="n">
        <v>0</v>
      </c>
      <c r="N396" t="n">
        <v>0</v>
      </c>
      <c r="O396" t="n">
        <v>0</v>
      </c>
      <c r="P396" t="n">
        <v>0</v>
      </c>
      <c r="Q396" t="n">
        <v>0</v>
      </c>
      <c r="R396" t="n">
        <v>0</v>
      </c>
      <c r="S396" t="n">
        <v>0</v>
      </c>
      <c r="T396" t="n">
        <v>0</v>
      </c>
      <c r="U396" s="2" t="inlineStr"/>
    </row>
    <row r="397" ht="15" customHeight="1">
      <c r="A397" t="inlineStr">
        <is>
          <t>A 53922-2024</t>
        </is>
      </c>
      <c r="B397" t="inlineStr">
        <is>
          <t>avverkningsanmälan</t>
        </is>
      </c>
      <c r="C397" t="inlineStr">
        <is>
          <t>Föryngringsavverkning</t>
        </is>
      </c>
      <c r="D397" s="1" t="n">
        <v>45615</v>
      </c>
      <c r="E397" s="1" t="n">
        <v>46217</v>
      </c>
      <c r="F397" t="inlineStr">
        <is>
          <t>DALARNAS LÄN</t>
        </is>
      </c>
      <c r="G397" t="inlineStr">
        <is>
          <t>HEDEMORA</t>
        </is>
      </c>
      <c r="H397" t="inlineStr">
        <is>
          <t>Sveaskog</t>
        </is>
      </c>
      <c r="I397" t="n">
        <v>2.6</v>
      </c>
      <c r="J397" t="n">
        <v>0</v>
      </c>
      <c r="K397" t="n">
        <v>0</v>
      </c>
      <c r="L397" t="n">
        <v>0</v>
      </c>
      <c r="M397" t="n">
        <v>0</v>
      </c>
      <c r="N397" t="n">
        <v>0</v>
      </c>
      <c r="O397" t="n">
        <v>0</v>
      </c>
      <c r="P397" t="n">
        <v>0</v>
      </c>
      <c r="Q397" t="n">
        <v>0</v>
      </c>
      <c r="R397" t="n">
        <v>0</v>
      </c>
      <c r="S397" t="n">
        <v>0</v>
      </c>
      <c r="T397" t="n">
        <v>0</v>
      </c>
      <c r="U397" s="2" t="inlineStr"/>
    </row>
    <row r="398" ht="15" customHeight="1">
      <c r="A398" t="inlineStr">
        <is>
          <t>A 14949-2025</t>
        </is>
      </c>
      <c r="B398" t="inlineStr">
        <is>
          <t>avverkningsanmälan</t>
        </is>
      </c>
      <c r="C398" t="inlineStr">
        <is>
          <t>Föryngringsavverkning</t>
        </is>
      </c>
      <c r="D398" s="1" t="n">
        <v>45743</v>
      </c>
      <c r="E398" s="1" t="n">
        <v>46217</v>
      </c>
      <c r="F398" t="inlineStr">
        <is>
          <t>DALARNAS LÄN</t>
        </is>
      </c>
      <c r="G398" t="inlineStr">
        <is>
          <t>HEDEMORA</t>
        </is>
      </c>
      <c r="I398" t="n">
        <v>2.5</v>
      </c>
      <c r="J398" t="n">
        <v>0</v>
      </c>
      <c r="K398" t="n">
        <v>0</v>
      </c>
      <c r="L398" t="n">
        <v>0</v>
      </c>
      <c r="M398" t="n">
        <v>0</v>
      </c>
      <c r="N398" t="n">
        <v>0</v>
      </c>
      <c r="O398" t="n">
        <v>0</v>
      </c>
      <c r="P398" t="n">
        <v>0</v>
      </c>
      <c r="Q398" t="n">
        <v>0</v>
      </c>
      <c r="R398" t="n">
        <v>0</v>
      </c>
      <c r="S398" t="n">
        <v>0</v>
      </c>
      <c r="T398" t="n">
        <v>0</v>
      </c>
      <c r="U398" s="2" t="inlineStr"/>
    </row>
    <row r="399" ht="15" customHeight="1">
      <c r="A399" t="inlineStr">
        <is>
          <t>A 63941-2023</t>
        </is>
      </c>
      <c r="B399" t="inlineStr">
        <is>
          <t>avverkningsanmälan</t>
        </is>
      </c>
      <c r="C399" t="inlineStr">
        <is>
          <t>Föryngringsavverkning</t>
        </is>
      </c>
      <c r="D399" s="1" t="n">
        <v>45278</v>
      </c>
      <c r="E399" s="1" t="n">
        <v>46217</v>
      </c>
      <c r="F399" t="inlineStr">
        <is>
          <t>DALARNAS LÄN</t>
        </is>
      </c>
      <c r="G399" t="inlineStr">
        <is>
          <t>HEDEMORA</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43785-2023</t>
        </is>
      </c>
      <c r="B400" t="inlineStr">
        <is>
          <t>avverkningsanmälan</t>
        </is>
      </c>
      <c r="C400" t="inlineStr">
        <is>
          <t>Föryngringsavverkning</t>
        </is>
      </c>
      <c r="D400" s="1" t="n">
        <v>45187</v>
      </c>
      <c r="E400" s="1" t="n">
        <v>46217</v>
      </c>
      <c r="F400" t="inlineStr">
        <is>
          <t>DALARNAS LÄN</t>
        </is>
      </c>
      <c r="G400" t="inlineStr">
        <is>
          <t>HEDEMORA</t>
        </is>
      </c>
      <c r="H400" t="inlineStr">
        <is>
          <t>Sveaskog</t>
        </is>
      </c>
      <c r="I400" t="n">
        <v>5.7</v>
      </c>
      <c r="J400" t="n">
        <v>0</v>
      </c>
      <c r="K400" t="n">
        <v>0</v>
      </c>
      <c r="L400" t="n">
        <v>0</v>
      </c>
      <c r="M400" t="n">
        <v>0</v>
      </c>
      <c r="N400" t="n">
        <v>0</v>
      </c>
      <c r="O400" t="n">
        <v>0</v>
      </c>
      <c r="P400" t="n">
        <v>0</v>
      </c>
      <c r="Q400" t="n">
        <v>0</v>
      </c>
      <c r="R400" t="n">
        <v>0</v>
      </c>
      <c r="S400" t="n">
        <v>0</v>
      </c>
      <c r="T400" t="n">
        <v>0</v>
      </c>
      <c r="U400" s="2" t="inlineStr"/>
    </row>
    <row r="401" ht="15" customHeight="1">
      <c r="A401" t="inlineStr">
        <is>
          <t>A 6210-2024</t>
        </is>
      </c>
      <c r="B401" t="inlineStr">
        <is>
          <t>avverkningsanmälan</t>
        </is>
      </c>
      <c r="C401" t="inlineStr">
        <is>
          <t>Föryngringsavverkning</t>
        </is>
      </c>
      <c r="D401" s="1" t="n">
        <v>45337</v>
      </c>
      <c r="E401" s="1" t="n">
        <v>46217</v>
      </c>
      <c r="F401" t="inlineStr">
        <is>
          <t>DALARNAS LÄN</t>
        </is>
      </c>
      <c r="G401" t="inlineStr">
        <is>
          <t>HEDEMORA</t>
        </is>
      </c>
      <c r="I401" t="n">
        <v>2.6</v>
      </c>
      <c r="J401" t="n">
        <v>0</v>
      </c>
      <c r="K401" t="n">
        <v>0</v>
      </c>
      <c r="L401" t="n">
        <v>0</v>
      </c>
      <c r="M401" t="n">
        <v>0</v>
      </c>
      <c r="N401" t="n">
        <v>0</v>
      </c>
      <c r="O401" t="n">
        <v>0</v>
      </c>
      <c r="P401" t="n">
        <v>0</v>
      </c>
      <c r="Q401" t="n">
        <v>0</v>
      </c>
      <c r="R401" t="n">
        <v>0</v>
      </c>
      <c r="S401" t="n">
        <v>0</v>
      </c>
      <c r="T401" t="n">
        <v>0</v>
      </c>
      <c r="U401" s="2" t="inlineStr"/>
    </row>
    <row r="402" ht="15" customHeight="1">
      <c r="A402" t="inlineStr">
        <is>
          <t>A 30430-2023</t>
        </is>
      </c>
      <c r="B402" t="inlineStr">
        <is>
          <t>avverkningsanmälan</t>
        </is>
      </c>
      <c r="C402" t="inlineStr">
        <is>
          <t>Föryngringsavverkning</t>
        </is>
      </c>
      <c r="D402" s="1" t="n">
        <v>45111</v>
      </c>
      <c r="E402" s="1" t="n">
        <v>46217</v>
      </c>
      <c r="F402" t="inlineStr">
        <is>
          <t>DALARNAS LÄN</t>
        </is>
      </c>
      <c r="G402" t="inlineStr">
        <is>
          <t>HEDEMORA</t>
        </is>
      </c>
      <c r="H402" t="inlineStr">
        <is>
          <t>Sveaskog</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48380-2024</t>
        </is>
      </c>
      <c r="B403" t="inlineStr">
        <is>
          <t>avverkningsanmälan</t>
        </is>
      </c>
      <c r="C403" t="inlineStr">
        <is>
          <t>Föryngringsavverkning</t>
        </is>
      </c>
      <c r="D403" s="1" t="n">
        <v>45590</v>
      </c>
      <c r="E403" s="1" t="n">
        <v>46217</v>
      </c>
      <c r="F403" t="inlineStr">
        <is>
          <t>DALARNAS LÄN</t>
        </is>
      </c>
      <c r="G403" t="inlineStr">
        <is>
          <t>HEDEMORA</t>
        </is>
      </c>
      <c r="I403" t="n">
        <v>1.5</v>
      </c>
      <c r="J403" t="n">
        <v>0</v>
      </c>
      <c r="K403" t="n">
        <v>0</v>
      </c>
      <c r="L403" t="n">
        <v>0</v>
      </c>
      <c r="M403" t="n">
        <v>0</v>
      </c>
      <c r="N403" t="n">
        <v>0</v>
      </c>
      <c r="O403" t="n">
        <v>0</v>
      </c>
      <c r="P403" t="n">
        <v>0</v>
      </c>
      <c r="Q403" t="n">
        <v>0</v>
      </c>
      <c r="R403" t="n">
        <v>0</v>
      </c>
      <c r="S403" t="n">
        <v>0</v>
      </c>
      <c r="T403" t="n">
        <v>0</v>
      </c>
      <c r="U403" s="2" t="inlineStr"/>
    </row>
    <row r="404" ht="15" customHeight="1">
      <c r="A404" t="inlineStr">
        <is>
          <t>A 51256-2024</t>
        </is>
      </c>
      <c r="B404" t="inlineStr">
        <is>
          <t>avverkningsanmälan</t>
        </is>
      </c>
      <c r="C404" t="inlineStr">
        <is>
          <t>Föryngringsavverkning</t>
        </is>
      </c>
      <c r="D404" s="1" t="n">
        <v>45603</v>
      </c>
      <c r="E404" s="1" t="n">
        <v>46217</v>
      </c>
      <c r="F404" t="inlineStr">
        <is>
          <t>DALARNAS LÄN</t>
        </is>
      </c>
      <c r="G404" t="inlineStr">
        <is>
          <t>HEDEMORA</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25195-2024</t>
        </is>
      </c>
      <c r="B405" t="inlineStr">
        <is>
          <t>avverkningsanmälan</t>
        </is>
      </c>
      <c r="C405" t="inlineStr">
        <is>
          <t>Avverkning för annat ändamål</t>
        </is>
      </c>
      <c r="D405" s="1" t="n">
        <v>45462</v>
      </c>
      <c r="E405" s="1" t="n">
        <v>46217</v>
      </c>
      <c r="F405" t="inlineStr">
        <is>
          <t>DALARNAS LÄN</t>
        </is>
      </c>
      <c r="G405" t="inlineStr">
        <is>
          <t>HEDEMORA</t>
        </is>
      </c>
      <c r="H405" t="inlineStr">
        <is>
          <t>Övriga statliga verk och myndigheter</t>
        </is>
      </c>
      <c r="I405" t="n">
        <v>3.3</v>
      </c>
      <c r="J405" t="n">
        <v>0</v>
      </c>
      <c r="K405" t="n">
        <v>0</v>
      </c>
      <c r="L405" t="n">
        <v>0</v>
      </c>
      <c r="M405" t="n">
        <v>0</v>
      </c>
      <c r="N405" t="n">
        <v>0</v>
      </c>
      <c r="O405" t="n">
        <v>0</v>
      </c>
      <c r="P405" t="n">
        <v>0</v>
      </c>
      <c r="Q405" t="n">
        <v>0</v>
      </c>
      <c r="R405" t="n">
        <v>0</v>
      </c>
      <c r="S405" t="n">
        <v>0</v>
      </c>
      <c r="T405" t="n">
        <v>0</v>
      </c>
      <c r="U405" s="2" t="inlineStr"/>
    </row>
    <row r="406" ht="15" customHeight="1">
      <c r="A406" t="inlineStr">
        <is>
          <t>A 25021-2025</t>
        </is>
      </c>
      <c r="B406" t="inlineStr">
        <is>
          <t>avverkningsanmälan</t>
        </is>
      </c>
      <c r="C406" t="inlineStr">
        <is>
          <t>Föryngringsavverkning</t>
        </is>
      </c>
      <c r="D406" s="1" t="n">
        <v>45799</v>
      </c>
      <c r="E406" s="1" t="n">
        <v>46217</v>
      </c>
      <c r="F406" t="inlineStr">
        <is>
          <t>DALARNAS LÄN</t>
        </is>
      </c>
      <c r="G406" t="inlineStr">
        <is>
          <t>HEDEMORA</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19397-2024</t>
        </is>
      </c>
      <c r="B407" t="inlineStr">
        <is>
          <t>avverkningsanmälan</t>
        </is>
      </c>
      <c r="C407" t="inlineStr">
        <is>
          <t>Föryngringsavverkning</t>
        </is>
      </c>
      <c r="D407" s="1" t="n">
        <v>45429</v>
      </c>
      <c r="E407" s="1" t="n">
        <v>46217</v>
      </c>
      <c r="F407" t="inlineStr">
        <is>
          <t>DALARNAS LÄN</t>
        </is>
      </c>
      <c r="G407" t="inlineStr">
        <is>
          <t>HEDEMORA</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6972-2025</t>
        </is>
      </c>
      <c r="B408" t="inlineStr">
        <is>
          <t>avverkningsanmälan</t>
        </is>
      </c>
      <c r="C408" t="inlineStr">
        <is>
          <t>Föryngringsavverkning</t>
        </is>
      </c>
      <c r="D408" s="1" t="n">
        <v>45701</v>
      </c>
      <c r="E408" s="1" t="n">
        <v>46217</v>
      </c>
      <c r="F408" t="inlineStr">
        <is>
          <t>DALARNAS LÄN</t>
        </is>
      </c>
      <c r="G408" t="inlineStr">
        <is>
          <t>HEDEMORA</t>
        </is>
      </c>
      <c r="I408" t="n">
        <v>4.9</v>
      </c>
      <c r="J408" t="n">
        <v>0</v>
      </c>
      <c r="K408" t="n">
        <v>0</v>
      </c>
      <c r="L408" t="n">
        <v>0</v>
      </c>
      <c r="M408" t="n">
        <v>0</v>
      </c>
      <c r="N408" t="n">
        <v>0</v>
      </c>
      <c r="O408" t="n">
        <v>0</v>
      </c>
      <c r="P408" t="n">
        <v>0</v>
      </c>
      <c r="Q408" t="n">
        <v>0</v>
      </c>
      <c r="R408" t="n">
        <v>0</v>
      </c>
      <c r="S408" t="n">
        <v>0</v>
      </c>
      <c r="T408" t="n">
        <v>0</v>
      </c>
      <c r="U408" s="2" t="inlineStr"/>
    </row>
    <row r="409" ht="15" customHeight="1">
      <c r="A409" t="inlineStr">
        <is>
          <t>A 43621-2024</t>
        </is>
      </c>
      <c r="B409" t="inlineStr">
        <is>
          <t>avverkningsanmälan</t>
        </is>
      </c>
      <c r="C409" t="inlineStr">
        <is>
          <t>Föryngringsavverkning</t>
        </is>
      </c>
      <c r="D409" s="1" t="n">
        <v>45569</v>
      </c>
      <c r="E409" s="1" t="n">
        <v>46217</v>
      </c>
      <c r="F409" t="inlineStr">
        <is>
          <t>DALARNAS LÄN</t>
        </is>
      </c>
      <c r="G409" t="inlineStr">
        <is>
          <t>HEDEMORA</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28180-2025</t>
        </is>
      </c>
      <c r="B410" t="inlineStr">
        <is>
          <t>avverkningsanmälan</t>
        </is>
      </c>
      <c r="C410" t="inlineStr">
        <is>
          <t>Föryngringsavverkning</t>
        </is>
      </c>
      <c r="D410" s="1" t="n">
        <v>45818</v>
      </c>
      <c r="E410" s="1" t="n">
        <v>46217</v>
      </c>
      <c r="F410" t="inlineStr">
        <is>
          <t>DALARNAS LÄN</t>
        </is>
      </c>
      <c r="G410" t="inlineStr">
        <is>
          <t>HEDEMORA</t>
        </is>
      </c>
      <c r="H410" t="inlineStr">
        <is>
          <t>Sveaskog</t>
        </is>
      </c>
      <c r="I410" t="n">
        <v>1.6</v>
      </c>
      <c r="J410" t="n">
        <v>0</v>
      </c>
      <c r="K410" t="n">
        <v>0</v>
      </c>
      <c r="L410" t="n">
        <v>0</v>
      </c>
      <c r="M410" t="n">
        <v>0</v>
      </c>
      <c r="N410" t="n">
        <v>0</v>
      </c>
      <c r="O410" t="n">
        <v>0</v>
      </c>
      <c r="P410" t="n">
        <v>0</v>
      </c>
      <c r="Q410" t="n">
        <v>0</v>
      </c>
      <c r="R410" t="n">
        <v>0</v>
      </c>
      <c r="S410" t="n">
        <v>0</v>
      </c>
      <c r="T410" t="n">
        <v>0</v>
      </c>
      <c r="U410" s="2" t="inlineStr"/>
    </row>
    <row r="411" ht="15" customHeight="1">
      <c r="A411" t="inlineStr">
        <is>
          <t>A 28182-2025</t>
        </is>
      </c>
      <c r="B411" t="inlineStr">
        <is>
          <t>avverkningsanmälan</t>
        </is>
      </c>
      <c r="C411" t="inlineStr">
        <is>
          <t>Föryngringsavverkning</t>
        </is>
      </c>
      <c r="D411" s="1" t="n">
        <v>45818</v>
      </c>
      <c r="E411" s="1" t="n">
        <v>46217</v>
      </c>
      <c r="F411" t="inlineStr">
        <is>
          <t>DALARNAS LÄN</t>
        </is>
      </c>
      <c r="G411" t="inlineStr">
        <is>
          <t>HEDEMORA</t>
        </is>
      </c>
      <c r="H411" t="inlineStr">
        <is>
          <t>Sveaskog</t>
        </is>
      </c>
      <c r="I411" t="n">
        <v>1.9</v>
      </c>
      <c r="J411" t="n">
        <v>0</v>
      </c>
      <c r="K411" t="n">
        <v>0</v>
      </c>
      <c r="L411" t="n">
        <v>0</v>
      </c>
      <c r="M411" t="n">
        <v>0</v>
      </c>
      <c r="N411" t="n">
        <v>0</v>
      </c>
      <c r="O411" t="n">
        <v>0</v>
      </c>
      <c r="P411" t="n">
        <v>0</v>
      </c>
      <c r="Q411" t="n">
        <v>0</v>
      </c>
      <c r="R411" t="n">
        <v>0</v>
      </c>
      <c r="S411" t="n">
        <v>0</v>
      </c>
      <c r="T411" t="n">
        <v>0</v>
      </c>
      <c r="U411" s="2" t="inlineStr"/>
    </row>
    <row r="412" ht="15" customHeight="1">
      <c r="A412" t="inlineStr">
        <is>
          <t>A 30471-2025</t>
        </is>
      </c>
      <c r="B412" t="inlineStr">
        <is>
          <t>avverkningsanmälan</t>
        </is>
      </c>
      <c r="C412" t="inlineStr">
        <is>
          <t>Föryngringsavverkning</t>
        </is>
      </c>
      <c r="D412" s="1" t="n">
        <v>45827</v>
      </c>
      <c r="E412" s="1" t="n">
        <v>46217</v>
      </c>
      <c r="F412" t="inlineStr">
        <is>
          <t>DALARNAS LÄN</t>
        </is>
      </c>
      <c r="G412" t="inlineStr">
        <is>
          <t>HEDEMORA</t>
        </is>
      </c>
      <c r="I412" t="n">
        <v>0.3</v>
      </c>
      <c r="J412" t="n">
        <v>0</v>
      </c>
      <c r="K412" t="n">
        <v>0</v>
      </c>
      <c r="L412" t="n">
        <v>0</v>
      </c>
      <c r="M412" t="n">
        <v>0</v>
      </c>
      <c r="N412" t="n">
        <v>0</v>
      </c>
      <c r="O412" t="n">
        <v>0</v>
      </c>
      <c r="P412" t="n">
        <v>0</v>
      </c>
      <c r="Q412" t="n">
        <v>0</v>
      </c>
      <c r="R412" t="n">
        <v>0</v>
      </c>
      <c r="S412" t="n">
        <v>0</v>
      </c>
      <c r="T412" t="n">
        <v>0</v>
      </c>
      <c r="U412" s="2" t="inlineStr"/>
    </row>
    <row r="413" ht="15" customHeight="1">
      <c r="A413" t="inlineStr">
        <is>
          <t>A 30582-2025</t>
        </is>
      </c>
      <c r="B413" t="inlineStr">
        <is>
          <t>avverkningsanmälan</t>
        </is>
      </c>
      <c r="C413" t="inlineStr">
        <is>
          <t>Föryngringsavverkning</t>
        </is>
      </c>
      <c r="D413" s="1" t="n">
        <v>45831</v>
      </c>
      <c r="E413" s="1" t="n">
        <v>46217</v>
      </c>
      <c r="F413" t="inlineStr">
        <is>
          <t>DALARNAS LÄN</t>
        </is>
      </c>
      <c r="G413" t="inlineStr">
        <is>
          <t>HEDEMORA</t>
        </is>
      </c>
      <c r="I413" t="n">
        <v>1.8</v>
      </c>
      <c r="J413" t="n">
        <v>0</v>
      </c>
      <c r="K413" t="n">
        <v>0</v>
      </c>
      <c r="L413" t="n">
        <v>0</v>
      </c>
      <c r="M413" t="n">
        <v>0</v>
      </c>
      <c r="N413" t="n">
        <v>0</v>
      </c>
      <c r="O413" t="n">
        <v>0</v>
      </c>
      <c r="P413" t="n">
        <v>0</v>
      </c>
      <c r="Q413" t="n">
        <v>0</v>
      </c>
      <c r="R413" t="n">
        <v>0</v>
      </c>
      <c r="S413" t="n">
        <v>0</v>
      </c>
      <c r="T413" t="n">
        <v>0</v>
      </c>
      <c r="U413" s="2" t="inlineStr"/>
    </row>
    <row r="414" ht="15" customHeight="1">
      <c r="A414" t="inlineStr">
        <is>
          <t>A 33009-2025</t>
        </is>
      </c>
      <c r="B414" t="inlineStr">
        <is>
          <t>avverkningsanmälan</t>
        </is>
      </c>
      <c r="C414" t="inlineStr">
        <is>
          <t>Föryngringsavverkning</t>
        </is>
      </c>
      <c r="D414" s="1" t="n">
        <v>45840</v>
      </c>
      <c r="E414" s="1" t="n">
        <v>46217</v>
      </c>
      <c r="F414" t="inlineStr">
        <is>
          <t>DALARNAS LÄN</t>
        </is>
      </c>
      <c r="G414" t="inlineStr">
        <is>
          <t>HEDEMORA</t>
        </is>
      </c>
      <c r="H414" t="inlineStr">
        <is>
          <t>Kyrkan</t>
        </is>
      </c>
      <c r="I414" t="n">
        <v>7.6</v>
      </c>
      <c r="J414" t="n">
        <v>0</v>
      </c>
      <c r="K414" t="n">
        <v>0</v>
      </c>
      <c r="L414" t="n">
        <v>0</v>
      </c>
      <c r="M414" t="n">
        <v>0</v>
      </c>
      <c r="N414" t="n">
        <v>0</v>
      </c>
      <c r="O414" t="n">
        <v>0</v>
      </c>
      <c r="P414" t="n">
        <v>0</v>
      </c>
      <c r="Q414" t="n">
        <v>0</v>
      </c>
      <c r="R414" t="n">
        <v>0</v>
      </c>
      <c r="S414" t="n">
        <v>0</v>
      </c>
      <c r="T414" t="n">
        <v>0</v>
      </c>
      <c r="U414" s="2" t="inlineStr"/>
    </row>
    <row r="415" ht="15" customHeight="1">
      <c r="A415" t="inlineStr">
        <is>
          <t>A 33286-2025</t>
        </is>
      </c>
      <c r="B415" t="inlineStr">
        <is>
          <t>avverkningsanmälan</t>
        </is>
      </c>
      <c r="C415" t="inlineStr">
        <is>
          <t>Föryngringsavverkning</t>
        </is>
      </c>
      <c r="D415" s="1" t="n">
        <v>45840</v>
      </c>
      <c r="E415" s="1" t="n">
        <v>46217</v>
      </c>
      <c r="F415" t="inlineStr">
        <is>
          <t>DALARNAS LÄN</t>
        </is>
      </c>
      <c r="G415" t="inlineStr">
        <is>
          <t>HEDEMORA</t>
        </is>
      </c>
      <c r="H415" t="inlineStr">
        <is>
          <t>Sveaskog</t>
        </is>
      </c>
      <c r="I415" t="n">
        <v>7.1</v>
      </c>
      <c r="J415" t="n">
        <v>0</v>
      </c>
      <c r="K415" t="n">
        <v>0</v>
      </c>
      <c r="L415" t="n">
        <v>0</v>
      </c>
      <c r="M415" t="n">
        <v>0</v>
      </c>
      <c r="N415" t="n">
        <v>0</v>
      </c>
      <c r="O415" t="n">
        <v>0</v>
      </c>
      <c r="P415" t="n">
        <v>0</v>
      </c>
      <c r="Q415" t="n">
        <v>0</v>
      </c>
      <c r="R415" t="n">
        <v>0</v>
      </c>
      <c r="S415" t="n">
        <v>0</v>
      </c>
      <c r="T415" t="n">
        <v>0</v>
      </c>
      <c r="U415" s="2" t="inlineStr"/>
    </row>
    <row r="416" ht="15" customHeight="1">
      <c r="A416" t="inlineStr">
        <is>
          <t>A 34734-2025</t>
        </is>
      </c>
      <c r="B416" t="inlineStr">
        <is>
          <t>avverkningsanmälan</t>
        </is>
      </c>
      <c r="C416" t="inlineStr">
        <is>
          <t>Föryngringsavverkning</t>
        </is>
      </c>
      <c r="D416" s="1" t="n">
        <v>45848</v>
      </c>
      <c r="E416" s="1" t="n">
        <v>46217</v>
      </c>
      <c r="F416" t="inlineStr">
        <is>
          <t>DALARNAS LÄN</t>
        </is>
      </c>
      <c r="G416" t="inlineStr">
        <is>
          <t>HEDEMORA</t>
        </is>
      </c>
      <c r="I416" t="n">
        <v>2.5</v>
      </c>
      <c r="J416" t="n">
        <v>0</v>
      </c>
      <c r="K416" t="n">
        <v>0</v>
      </c>
      <c r="L416" t="n">
        <v>0</v>
      </c>
      <c r="M416" t="n">
        <v>0</v>
      </c>
      <c r="N416" t="n">
        <v>0</v>
      </c>
      <c r="O416" t="n">
        <v>0</v>
      </c>
      <c r="P416" t="n">
        <v>0</v>
      </c>
      <c r="Q416" t="n">
        <v>0</v>
      </c>
      <c r="R416" t="n">
        <v>0</v>
      </c>
      <c r="S416" t="n">
        <v>0</v>
      </c>
      <c r="T416" t="n">
        <v>0</v>
      </c>
      <c r="U416" s="2" t="inlineStr"/>
    </row>
    <row r="417" ht="15" customHeight="1">
      <c r="A417" t="inlineStr">
        <is>
          <t>A 15048-2025</t>
        </is>
      </c>
      <c r="B417" t="inlineStr">
        <is>
          <t>avverkningsanmälan</t>
        </is>
      </c>
      <c r="C417" t="inlineStr">
        <is>
          <t>Föryngringsavverkning</t>
        </is>
      </c>
      <c r="D417" s="1" t="n">
        <v>45743</v>
      </c>
      <c r="E417" s="1" t="n">
        <v>46217</v>
      </c>
      <c r="F417" t="inlineStr">
        <is>
          <t>DALARNAS LÄN</t>
        </is>
      </c>
      <c r="G417" t="inlineStr">
        <is>
          <t>HEDEMORA</t>
        </is>
      </c>
      <c r="H417" t="inlineStr">
        <is>
          <t>Sveaskog</t>
        </is>
      </c>
      <c r="I417" t="n">
        <v>9.1</v>
      </c>
      <c r="J417" t="n">
        <v>0</v>
      </c>
      <c r="K417" t="n">
        <v>0</v>
      </c>
      <c r="L417" t="n">
        <v>0</v>
      </c>
      <c r="M417" t="n">
        <v>0</v>
      </c>
      <c r="N417" t="n">
        <v>0</v>
      </c>
      <c r="O417" t="n">
        <v>0</v>
      </c>
      <c r="P417" t="n">
        <v>0</v>
      </c>
      <c r="Q417" t="n">
        <v>0</v>
      </c>
      <c r="R417" t="n">
        <v>0</v>
      </c>
      <c r="S417" t="n">
        <v>0</v>
      </c>
      <c r="T417" t="n">
        <v>0</v>
      </c>
      <c r="U417" s="2" t="inlineStr"/>
    </row>
    <row r="418" ht="15" customHeight="1">
      <c r="A418" t="inlineStr">
        <is>
          <t>A 36117-2025</t>
        </is>
      </c>
      <c r="B418" t="inlineStr">
        <is>
          <t>avverkningsanmälan</t>
        </is>
      </c>
      <c r="C418" t="inlineStr">
        <is>
          <t>Föryngringsavverkning</t>
        </is>
      </c>
      <c r="D418" s="1" t="n">
        <v>45866</v>
      </c>
      <c r="E418" s="1" t="n">
        <v>46217</v>
      </c>
      <c r="F418" t="inlineStr">
        <is>
          <t>DALARNAS LÄN</t>
        </is>
      </c>
      <c r="G418" t="inlineStr">
        <is>
          <t>HEDEMORA</t>
        </is>
      </c>
      <c r="H418" t="inlineStr">
        <is>
          <t>Sveaskog</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36075-2025</t>
        </is>
      </c>
      <c r="B419" t="inlineStr">
        <is>
          <t>avverkningsanmälan</t>
        </is>
      </c>
      <c r="C419" t="inlineStr">
        <is>
          <t>Avverkning för annat ändamål</t>
        </is>
      </c>
      <c r="D419" s="1" t="n">
        <v>45866</v>
      </c>
      <c r="E419" s="1" t="n">
        <v>46217</v>
      </c>
      <c r="F419" t="inlineStr">
        <is>
          <t>DALARNAS LÄN</t>
        </is>
      </c>
      <c r="G419" t="inlineStr">
        <is>
          <t>HEDEMORA</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36206-2025</t>
        </is>
      </c>
      <c r="B420" t="inlineStr">
        <is>
          <t>avverkningsanmälan</t>
        </is>
      </c>
      <c r="C420" t="inlineStr">
        <is>
          <t>Avverkning för annat ändamål</t>
        </is>
      </c>
      <c r="D420" s="1" t="n">
        <v>45867</v>
      </c>
      <c r="E420" s="1" t="n">
        <v>46217</v>
      </c>
      <c r="F420" t="inlineStr">
        <is>
          <t>DALARNAS LÄN</t>
        </is>
      </c>
      <c r="G420" t="inlineStr">
        <is>
          <t>HEDEMORA</t>
        </is>
      </c>
      <c r="I420" t="n">
        <v>0.1</v>
      </c>
      <c r="J420" t="n">
        <v>0</v>
      </c>
      <c r="K420" t="n">
        <v>0</v>
      </c>
      <c r="L420" t="n">
        <v>0</v>
      </c>
      <c r="M420" t="n">
        <v>0</v>
      </c>
      <c r="N420" t="n">
        <v>0</v>
      </c>
      <c r="O420" t="n">
        <v>0</v>
      </c>
      <c r="P420" t="n">
        <v>0</v>
      </c>
      <c r="Q420" t="n">
        <v>0</v>
      </c>
      <c r="R420" t="n">
        <v>0</v>
      </c>
      <c r="S420" t="n">
        <v>0</v>
      </c>
      <c r="T420" t="n">
        <v>0</v>
      </c>
      <c r="U420" s="2" t="inlineStr"/>
    </row>
    <row r="421" ht="15" customHeight="1">
      <c r="A421" t="inlineStr">
        <is>
          <t>S 2070-2020</t>
        </is>
      </c>
      <c r="B421" t="inlineStr">
        <is>
          <t>samrådsanmälan</t>
        </is>
      </c>
      <c r="C421" t="inlineStr">
        <is>
          <t>Askåterföring</t>
        </is>
      </c>
      <c r="D421" s="1" t="n">
        <v>44102</v>
      </c>
      <c r="E421" s="1" t="n">
        <v>46217</v>
      </c>
      <c r="F421" t="inlineStr">
        <is>
          <t>DALARNAS LÄN</t>
        </is>
      </c>
      <c r="G421" t="inlineStr">
        <is>
          <t>HEDEMORA</t>
        </is>
      </c>
      <c r="H421" t="inlineStr">
        <is>
          <t>Sveaskog</t>
        </is>
      </c>
      <c r="I421" t="n">
        <v>64.3</v>
      </c>
      <c r="J421" t="n">
        <v>0</v>
      </c>
      <c r="K421" t="n">
        <v>0</v>
      </c>
      <c r="L421" t="n">
        <v>0</v>
      </c>
      <c r="M421" t="n">
        <v>0</v>
      </c>
      <c r="N421" t="n">
        <v>0</v>
      </c>
      <c r="O421" t="n">
        <v>0</v>
      </c>
      <c r="P421" t="n">
        <v>0</v>
      </c>
      <c r="Q421" t="n">
        <v>0</v>
      </c>
      <c r="R421" t="n">
        <v>0</v>
      </c>
      <c r="S421" t="n">
        <v>0</v>
      </c>
      <c r="T421" t="n">
        <v>0</v>
      </c>
      <c r="U421" s="2" t="inlineStr"/>
    </row>
    <row r="422" ht="15" customHeight="1">
      <c r="A422" t="inlineStr">
        <is>
          <t>S 404-2022</t>
        </is>
      </c>
      <c r="B422" t="inlineStr">
        <is>
          <t>samrådsanmälan</t>
        </is>
      </c>
      <c r="C422" t="inlineStr">
        <is>
          <t>Skogsgödsling</t>
        </is>
      </c>
      <c r="D422" s="1" t="n">
        <v>44585</v>
      </c>
      <c r="E422" s="1" t="n">
        <v>46217</v>
      </c>
      <c r="F422" t="inlineStr">
        <is>
          <t>DALARNAS LÄN</t>
        </is>
      </c>
      <c r="G422" t="inlineStr">
        <is>
          <t>HEDEMORA</t>
        </is>
      </c>
      <c r="H422" t="inlineStr">
        <is>
          <t>Bergvik skog väst AB</t>
        </is>
      </c>
      <c r="I422" t="n">
        <v>23.2</v>
      </c>
      <c r="J422" t="n">
        <v>0</v>
      </c>
      <c r="K422" t="n">
        <v>0</v>
      </c>
      <c r="L422" t="n">
        <v>0</v>
      </c>
      <c r="M422" t="n">
        <v>0</v>
      </c>
      <c r="N422" t="n">
        <v>0</v>
      </c>
      <c r="O422" t="n">
        <v>0</v>
      </c>
      <c r="P422" t="n">
        <v>0</v>
      </c>
      <c r="Q422" t="n">
        <v>0</v>
      </c>
      <c r="R422" t="n">
        <v>0</v>
      </c>
      <c r="S422" t="n">
        <v>0</v>
      </c>
      <c r="T422" t="n">
        <v>0</v>
      </c>
      <c r="U422" s="2" t="inlineStr"/>
    </row>
    <row r="423" ht="15" customHeight="1">
      <c r="A423" t="inlineStr">
        <is>
          <t>S 10365-2021</t>
        </is>
      </c>
      <c r="B423" t="inlineStr">
        <is>
          <t>samrådsanmälan</t>
        </is>
      </c>
      <c r="C423" t="inlineStr">
        <is>
          <t>Skogsgödsling</t>
        </is>
      </c>
      <c r="D423" s="1" t="n">
        <v>44550</v>
      </c>
      <c r="E423" s="1" t="n">
        <v>46217</v>
      </c>
      <c r="F423" t="inlineStr">
        <is>
          <t>DALARNAS LÄN</t>
        </is>
      </c>
      <c r="G423" t="inlineStr">
        <is>
          <t>HEDEMORA</t>
        </is>
      </c>
      <c r="H423" t="inlineStr">
        <is>
          <t>Sveaskog</t>
        </is>
      </c>
      <c r="I423" t="n">
        <v>121</v>
      </c>
      <c r="J423" t="n">
        <v>0</v>
      </c>
      <c r="K423" t="n">
        <v>0</v>
      </c>
      <c r="L423" t="n">
        <v>0</v>
      </c>
      <c r="M423" t="n">
        <v>0</v>
      </c>
      <c r="N423" t="n">
        <v>0</v>
      </c>
      <c r="O423" t="n">
        <v>0</v>
      </c>
      <c r="P423" t="n">
        <v>0</v>
      </c>
      <c r="Q423" t="n">
        <v>0</v>
      </c>
      <c r="R423" t="n">
        <v>0</v>
      </c>
      <c r="S423" t="n">
        <v>0</v>
      </c>
      <c r="T423" t="n">
        <v>0</v>
      </c>
      <c r="U423" s="2" t="inlineStr"/>
    </row>
    <row r="424" ht="15" customHeight="1">
      <c r="A424" t="inlineStr">
        <is>
          <t>S 2034-2022</t>
        </is>
      </c>
      <c r="B424" t="inlineStr">
        <is>
          <t>samrådsanmälan</t>
        </is>
      </c>
      <c r="C424" t="inlineStr">
        <is>
          <t>Skogsbilväg</t>
        </is>
      </c>
      <c r="D424" s="1" t="n">
        <v>44671</v>
      </c>
      <c r="E424" s="1" t="n">
        <v>46217</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S 435-2025</t>
        </is>
      </c>
      <c r="B425" t="inlineStr">
        <is>
          <t>samrådsanmälan</t>
        </is>
      </c>
      <c r="C425" t="inlineStr">
        <is>
          <t>Skogsgödsling</t>
        </is>
      </c>
      <c r="D425" s="1" t="n">
        <v>45700</v>
      </c>
      <c r="E425" s="1" t="n">
        <v>46217</v>
      </c>
      <c r="F425" t="inlineStr">
        <is>
          <t>DALARNAS LÄN</t>
        </is>
      </c>
      <c r="G425" t="inlineStr">
        <is>
          <t>HEDEMORA</t>
        </is>
      </c>
      <c r="H425" t="inlineStr">
        <is>
          <t>Sveaskog</t>
        </is>
      </c>
      <c r="I425" t="n">
        <v>41.9</v>
      </c>
      <c r="J425" t="n">
        <v>0</v>
      </c>
      <c r="K425" t="n">
        <v>0</v>
      </c>
      <c r="L425" t="n">
        <v>0</v>
      </c>
      <c r="M425" t="n">
        <v>0</v>
      </c>
      <c r="N425" t="n">
        <v>0</v>
      </c>
      <c r="O425" t="n">
        <v>0</v>
      </c>
      <c r="P425" t="n">
        <v>0</v>
      </c>
      <c r="Q425" t="n">
        <v>0</v>
      </c>
      <c r="R425" t="n">
        <v>0</v>
      </c>
      <c r="S425" t="n">
        <v>0</v>
      </c>
      <c r="T425" t="n">
        <v>0</v>
      </c>
      <c r="U425" s="2" t="inlineStr"/>
    </row>
    <row r="426" ht="15" customHeight="1">
      <c r="A426" t="inlineStr">
        <is>
          <t>S 433-2025</t>
        </is>
      </c>
      <c r="B426" t="inlineStr">
        <is>
          <t>samrådsanmälan</t>
        </is>
      </c>
      <c r="C426" t="inlineStr">
        <is>
          <t>Skogsgödsling</t>
        </is>
      </c>
      <c r="D426" s="1" t="n">
        <v>45700</v>
      </c>
      <c r="E426" s="1" t="n">
        <v>46217</v>
      </c>
      <c r="F426" t="inlineStr">
        <is>
          <t>DALARNAS LÄN</t>
        </is>
      </c>
      <c r="G426" t="inlineStr">
        <is>
          <t>HEDEMORA</t>
        </is>
      </c>
      <c r="H426" t="inlineStr">
        <is>
          <t>Sveaskog</t>
        </is>
      </c>
      <c r="I426" t="n">
        <v>14.2</v>
      </c>
      <c r="J426" t="n">
        <v>0</v>
      </c>
      <c r="K426" t="n">
        <v>0</v>
      </c>
      <c r="L426" t="n">
        <v>0</v>
      </c>
      <c r="M426" t="n">
        <v>0</v>
      </c>
      <c r="N426" t="n">
        <v>0</v>
      </c>
      <c r="O426" t="n">
        <v>0</v>
      </c>
      <c r="P426" t="n">
        <v>0</v>
      </c>
      <c r="Q426" t="n">
        <v>0</v>
      </c>
      <c r="R426" t="n">
        <v>0</v>
      </c>
      <c r="S426" t="n">
        <v>0</v>
      </c>
      <c r="T426" t="n">
        <v>0</v>
      </c>
      <c r="U426" s="2" t="inlineStr"/>
    </row>
    <row r="427" ht="15" customHeight="1">
      <c r="A427" t="inlineStr">
        <is>
          <t>S 229-2024</t>
        </is>
      </c>
      <c r="B427" t="inlineStr">
        <is>
          <t>samrådsanmälan</t>
        </is>
      </c>
      <c r="C427" t="inlineStr">
        <is>
          <t>Skogsgödsling</t>
        </is>
      </c>
      <c r="D427" s="1" t="n">
        <v>45317</v>
      </c>
      <c r="E427" s="1" t="n">
        <v>46217</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s="2" t="inlineStr"/>
    </row>
    <row r="428" ht="15" customHeight="1">
      <c r="A428" t="inlineStr">
        <is>
          <t>S 222-2024</t>
        </is>
      </c>
      <c r="B428" t="inlineStr">
        <is>
          <t>samrådsanmälan</t>
        </is>
      </c>
      <c r="C428" t="inlineStr">
        <is>
          <t>Skogsgödsling</t>
        </is>
      </c>
      <c r="D428" s="1" t="n">
        <v>45316</v>
      </c>
      <c r="E428" s="1" t="n">
        <v>46217</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s="2" t="inlineStr"/>
    </row>
    <row r="429" ht="15" customHeight="1">
      <c r="A429" t="inlineStr">
        <is>
          <t>S 708-2025</t>
        </is>
      </c>
      <c r="B429" t="inlineStr">
        <is>
          <t>samrådsanmälan</t>
        </is>
      </c>
      <c r="C429" t="inlineStr">
        <is>
          <t>Skogsgödsling</t>
        </is>
      </c>
      <c r="D429" s="1" t="n">
        <v>45720</v>
      </c>
      <c r="E429" s="1" t="n">
        <v>46217</v>
      </c>
      <c r="F429" t="inlineStr">
        <is>
          <t>DALARNAS LÄN</t>
        </is>
      </c>
      <c r="G429" t="inlineStr">
        <is>
          <t>HEDEMORA</t>
        </is>
      </c>
      <c r="H429" t="inlineStr">
        <is>
          <t>Bergvik skog väst AB</t>
        </is>
      </c>
      <c r="I429" t="n">
        <v>77.09999999999999</v>
      </c>
      <c r="J429" t="n">
        <v>0</v>
      </c>
      <c r="K429" t="n">
        <v>0</v>
      </c>
      <c r="L429" t="n">
        <v>0</v>
      </c>
      <c r="M429" t="n">
        <v>0</v>
      </c>
      <c r="N429" t="n">
        <v>0</v>
      </c>
      <c r="O429" t="n">
        <v>0</v>
      </c>
      <c r="P429" t="n">
        <v>0</v>
      </c>
      <c r="Q429" t="n">
        <v>0</v>
      </c>
      <c r="R429" t="n">
        <v>0</v>
      </c>
      <c r="S429" t="n">
        <v>0</v>
      </c>
      <c r="T429" t="n">
        <v>0</v>
      </c>
      <c r="U429" s="2" t="inlineStr"/>
    </row>
    <row r="430" ht="15" customHeight="1">
      <c r="A430" t="inlineStr">
        <is>
          <t>S 503-2025</t>
        </is>
      </c>
      <c r="B430" t="inlineStr">
        <is>
          <t>samrådsanmälan</t>
        </is>
      </c>
      <c r="C430" t="inlineStr">
        <is>
          <t>Askåterföring</t>
        </is>
      </c>
      <c r="D430" s="1" t="n">
        <v>45706</v>
      </c>
      <c r="E430" s="1" t="n">
        <v>46217</v>
      </c>
      <c r="F430" t="inlineStr">
        <is>
          <t>DALARNAS LÄN</t>
        </is>
      </c>
      <c r="G430" t="inlineStr">
        <is>
          <t>HEDEMORA</t>
        </is>
      </c>
      <c r="H430" t="inlineStr">
        <is>
          <t>Sveaskog</t>
        </is>
      </c>
      <c r="I430" t="n">
        <v>21.9</v>
      </c>
      <c r="J430" t="n">
        <v>0</v>
      </c>
      <c r="K430" t="n">
        <v>0</v>
      </c>
      <c r="L430" t="n">
        <v>0</v>
      </c>
      <c r="M430" t="n">
        <v>0</v>
      </c>
      <c r="N430" t="n">
        <v>0</v>
      </c>
      <c r="O430" t="n">
        <v>0</v>
      </c>
      <c r="P430" t="n">
        <v>0</v>
      </c>
      <c r="Q430" t="n">
        <v>0</v>
      </c>
      <c r="R430" t="n">
        <v>0</v>
      </c>
      <c r="S430" t="n">
        <v>0</v>
      </c>
      <c r="T430" t="n">
        <v>0</v>
      </c>
      <c r="U430" s="2" t="inlineStr"/>
    </row>
    <row r="431" ht="15" customHeight="1">
      <c r="A431" t="inlineStr">
        <is>
          <t>S 2513-2025</t>
        </is>
      </c>
      <c r="B431" t="inlineStr">
        <is>
          <t>samrådsanmälan</t>
        </is>
      </c>
      <c r="C431" t="inlineStr">
        <is>
          <t>Annan skogsbruksåtgärd</t>
        </is>
      </c>
      <c r="D431" s="1" t="n">
        <v>45906</v>
      </c>
      <c r="E431" s="1" t="n">
        <v>46217</v>
      </c>
      <c r="F431" t="inlineStr">
        <is>
          <t>DALARNAS LÄN</t>
        </is>
      </c>
      <c r="G431" t="inlineStr">
        <is>
          <t>HEDEMORA</t>
        </is>
      </c>
      <c r="H431" t="inlineStr">
        <is>
          <t>Sveaskog</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S 3319-2025</t>
        </is>
      </c>
      <c r="B432" t="inlineStr">
        <is>
          <t>samrådsanmälan</t>
        </is>
      </c>
      <c r="C432" t="inlineStr">
        <is>
          <t>Annan skogsbruksåtgärd</t>
        </is>
      </c>
      <c r="D432" s="1" t="n">
        <v>45989</v>
      </c>
      <c r="E432" s="1" t="n">
        <v>46217</v>
      </c>
      <c r="F432" t="inlineStr">
        <is>
          <t>DALARNAS LÄN</t>
        </is>
      </c>
      <c r="G432" t="inlineStr">
        <is>
          <t>HEDEMORA</t>
        </is>
      </c>
      <c r="H432" t="inlineStr">
        <is>
          <t>Sveaskog</t>
        </is>
      </c>
      <c r="I432" t="n">
        <v>4.4</v>
      </c>
      <c r="J432" t="n">
        <v>0</v>
      </c>
      <c r="K432" t="n">
        <v>0</v>
      </c>
      <c r="L432" t="n">
        <v>0</v>
      </c>
      <c r="M432" t="n">
        <v>0</v>
      </c>
      <c r="N432" t="n">
        <v>0</v>
      </c>
      <c r="O432" t="n">
        <v>0</v>
      </c>
      <c r="P432" t="n">
        <v>0</v>
      </c>
      <c r="Q432" t="n">
        <v>0</v>
      </c>
      <c r="R432" t="n">
        <v>0</v>
      </c>
      <c r="S432" t="n">
        <v>0</v>
      </c>
      <c r="T432" t="n">
        <v>0</v>
      </c>
      <c r="U432" s="2" t="inlineStr"/>
    </row>
    <row r="433" ht="15" customHeight="1">
      <c r="A433" t="inlineStr">
        <is>
          <t>S 3401-2025</t>
        </is>
      </c>
      <c r="B433" t="inlineStr">
        <is>
          <t>samrådsanmälan</t>
        </is>
      </c>
      <c r="C433" t="inlineStr">
        <is>
          <t>Annan skogsbruksåtgärd</t>
        </is>
      </c>
      <c r="D433" s="1" t="n">
        <v>45995</v>
      </c>
      <c r="E433" s="1" t="n">
        <v>46217</v>
      </c>
      <c r="F433" t="inlineStr">
        <is>
          <t>DALARNAS LÄN</t>
        </is>
      </c>
      <c r="G433" t="inlineStr">
        <is>
          <t>HEDEMORA</t>
        </is>
      </c>
      <c r="H433" t="inlineStr">
        <is>
          <t>Sveaskog</t>
        </is>
      </c>
      <c r="I433" t="n">
        <v>1.3</v>
      </c>
      <c r="J433" t="n">
        <v>0</v>
      </c>
      <c r="K433" t="n">
        <v>0</v>
      </c>
      <c r="L433" t="n">
        <v>0</v>
      </c>
      <c r="M433" t="n">
        <v>0</v>
      </c>
      <c r="N433" t="n">
        <v>0</v>
      </c>
      <c r="O433" t="n">
        <v>0</v>
      </c>
      <c r="P433" t="n">
        <v>0</v>
      </c>
      <c r="Q433" t="n">
        <v>0</v>
      </c>
      <c r="R433" t="n">
        <v>0</v>
      </c>
      <c r="S433" t="n">
        <v>0</v>
      </c>
      <c r="T433" t="n">
        <v>0</v>
      </c>
      <c r="U433" s="2" t="inlineStr"/>
    </row>
    <row r="434" ht="15" customHeight="1">
      <c r="A434" t="inlineStr">
        <is>
          <t>S 410-2026</t>
        </is>
      </c>
      <c r="B434" t="inlineStr">
        <is>
          <t>samrådsanmälan</t>
        </is>
      </c>
      <c r="C434" t="inlineStr">
        <is>
          <t>Skogsgödsling</t>
        </is>
      </c>
      <c r="D434" s="1" t="n">
        <v>46070</v>
      </c>
      <c r="E434" s="1" t="n">
        <v>46217</v>
      </c>
      <c r="F434" t="inlineStr">
        <is>
          <t>DALARNAS LÄN</t>
        </is>
      </c>
      <c r="G434" t="inlineStr">
        <is>
          <t>HEDEMORA</t>
        </is>
      </c>
      <c r="H434" t="inlineStr">
        <is>
          <t>Sveaskog</t>
        </is>
      </c>
      <c r="I434" t="n">
        <v>34.1</v>
      </c>
      <c r="J434" t="n">
        <v>0</v>
      </c>
      <c r="K434" t="n">
        <v>0</v>
      </c>
      <c r="L434" t="n">
        <v>0</v>
      </c>
      <c r="M434" t="n">
        <v>0</v>
      </c>
      <c r="N434" t="n">
        <v>0</v>
      </c>
      <c r="O434" t="n">
        <v>0</v>
      </c>
      <c r="P434" t="n">
        <v>0</v>
      </c>
      <c r="Q434" t="n">
        <v>0</v>
      </c>
      <c r="R434" t="n">
        <v>0</v>
      </c>
      <c r="S434" t="n">
        <v>0</v>
      </c>
      <c r="T434" t="n">
        <v>0</v>
      </c>
      <c r="U434" s="2" t="inlineStr"/>
    </row>
    <row r="435" ht="15" customHeight="1">
      <c r="A435" t="inlineStr">
        <is>
          <t>S 432-2025</t>
        </is>
      </c>
      <c r="B435" t="inlineStr">
        <is>
          <t>samrådsanmälan</t>
        </is>
      </c>
      <c r="C435" t="inlineStr">
        <is>
          <t>Skogsgödsling</t>
        </is>
      </c>
      <c r="D435" s="1" t="n">
        <v>45700</v>
      </c>
      <c r="E435" s="1" t="n">
        <v>46217</v>
      </c>
      <c r="F435" t="inlineStr">
        <is>
          <t>DALARNAS LÄN</t>
        </is>
      </c>
      <c r="G435" t="inlineStr">
        <is>
          <t>HEDEMORA</t>
        </is>
      </c>
      <c r="H435" t="inlineStr">
        <is>
          <t>Sveaskog</t>
        </is>
      </c>
      <c r="I435" t="n">
        <v>15.7</v>
      </c>
      <c r="J435" t="n">
        <v>0</v>
      </c>
      <c r="K435" t="n">
        <v>0</v>
      </c>
      <c r="L435" t="n">
        <v>0</v>
      </c>
      <c r="M435" t="n">
        <v>0</v>
      </c>
      <c r="N435" t="n">
        <v>0</v>
      </c>
      <c r="O435" t="n">
        <v>0</v>
      </c>
      <c r="P435" t="n">
        <v>0</v>
      </c>
      <c r="Q435" t="n">
        <v>0</v>
      </c>
      <c r="R435" t="n">
        <v>0</v>
      </c>
      <c r="S435" t="n">
        <v>0</v>
      </c>
      <c r="T435" t="n">
        <v>0</v>
      </c>
      <c r="U435" s="2" t="inlineStr"/>
    </row>
    <row r="436" ht="15" customHeight="1">
      <c r="A436" t="inlineStr">
        <is>
          <t>S 1271-2026</t>
        </is>
      </c>
      <c r="B436" t="inlineStr">
        <is>
          <t>samrådsanmälan</t>
        </is>
      </c>
      <c r="C436" t="inlineStr">
        <is>
          <t>Askåterföring</t>
        </is>
      </c>
      <c r="D436" s="1" t="n">
        <v>46142</v>
      </c>
      <c r="E436" s="1" t="n">
        <v>46217</v>
      </c>
      <c r="F436" t="inlineStr">
        <is>
          <t>DALARNAS LÄN</t>
        </is>
      </c>
      <c r="G436" t="inlineStr">
        <is>
          <t>HEDEMORA</t>
        </is>
      </c>
      <c r="H436" t="inlineStr">
        <is>
          <t>Sveaskog</t>
        </is>
      </c>
      <c r="I436" t="n">
        <v>9.300000000000001</v>
      </c>
      <c r="J436" t="n">
        <v>0</v>
      </c>
      <c r="K436" t="n">
        <v>0</v>
      </c>
      <c r="L436" t="n">
        <v>0</v>
      </c>
      <c r="M436" t="n">
        <v>0</v>
      </c>
      <c r="N436" t="n">
        <v>0</v>
      </c>
      <c r="O436" t="n">
        <v>0</v>
      </c>
      <c r="P436" t="n">
        <v>0</v>
      </c>
      <c r="Q436" t="n">
        <v>0</v>
      </c>
      <c r="R436" t="n">
        <v>0</v>
      </c>
      <c r="S436" t="n">
        <v>0</v>
      </c>
      <c r="T436" t="n">
        <v>0</v>
      </c>
      <c r="U436" s="2" t="inlineStr"/>
    </row>
    <row r="437" ht="15" customHeight="1">
      <c r="A437" t="inlineStr">
        <is>
          <t>S 1039-2026</t>
        </is>
      </c>
      <c r="B437" t="inlineStr">
        <is>
          <t>samrådsanmälan</t>
        </is>
      </c>
      <c r="C437" t="inlineStr">
        <is>
          <t>Askåterföring</t>
        </is>
      </c>
      <c r="D437" s="1" t="n">
        <v>46125</v>
      </c>
      <c r="E437" s="1" t="n">
        <v>46217</v>
      </c>
      <c r="F437" t="inlineStr">
        <is>
          <t>DALARNAS LÄN</t>
        </is>
      </c>
      <c r="G437" t="inlineStr">
        <is>
          <t>HEDEMORA</t>
        </is>
      </c>
      <c r="H437" t="inlineStr">
        <is>
          <t>Sveaskog</t>
        </is>
      </c>
      <c r="I437" t="n">
        <v>51.6</v>
      </c>
      <c r="J437" t="n">
        <v>0</v>
      </c>
      <c r="K437" t="n">
        <v>0</v>
      </c>
      <c r="L437" t="n">
        <v>0</v>
      </c>
      <c r="M437" t="n">
        <v>0</v>
      </c>
      <c r="N437" t="n">
        <v>0</v>
      </c>
      <c r="O437" t="n">
        <v>0</v>
      </c>
      <c r="P437" t="n">
        <v>0</v>
      </c>
      <c r="Q437" t="n">
        <v>0</v>
      </c>
      <c r="R437" t="n">
        <v>0</v>
      </c>
      <c r="S437" t="n">
        <v>0</v>
      </c>
      <c r="T437" t="n">
        <v>0</v>
      </c>
      <c r="U437" s="2" t="inlineStr"/>
    </row>
    <row r="438">
      <c r="A438" t="inlineStr">
        <is>
          <t>S 3125-2025</t>
        </is>
      </c>
      <c r="B438" t="inlineStr">
        <is>
          <t>samrådsanmälan</t>
        </is>
      </c>
      <c r="C438" t="inlineStr">
        <is>
          <t>Annan skogsbruksåtgärd</t>
        </is>
      </c>
      <c r="D438" s="1" t="n">
        <v>45971</v>
      </c>
      <c r="E438" s="1" t="n">
        <v>46217</v>
      </c>
      <c r="F438" t="inlineStr">
        <is>
          <t>DALARNAS LÄN</t>
        </is>
      </c>
      <c r="G438" t="inlineStr">
        <is>
          <t>HEDEMORA</t>
        </is>
      </c>
      <c r="I438" t="n">
        <v>4.4</v>
      </c>
      <c r="J438" t="n">
        <v>0</v>
      </c>
      <c r="K438" t="n">
        <v>0</v>
      </c>
      <c r="L438" t="n">
        <v>0</v>
      </c>
      <c r="M438" t="n">
        <v>0</v>
      </c>
      <c r="N438" t="n">
        <v>0</v>
      </c>
      <c r="O438" t="n">
        <v>0</v>
      </c>
      <c r="P438" t="n">
        <v>0</v>
      </c>
      <c r="Q438" t="n">
        <v>0</v>
      </c>
      <c r="R438" t="n">
        <v>0</v>
      </c>
      <c r="S438" t="n">
        <v>0</v>
      </c>
      <c r="T438" t="n">
        <v>0</v>
      </c>
      <c r="U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2026-07-14T09:02:43Z</dcterms:created>
  <dcterms:modified xmlns:dcterms="http://purl.org/dc/terms/" xmlns:xsi="http://www.w3.org/2001/XMLSchema-instance" xsi:type="dcterms:W3CDTF">2026-07-14T09:02:43Z</dcterms:modified>
</cp:coreProperties>
</file>