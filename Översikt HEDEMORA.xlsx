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45565</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45565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45565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45565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45565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45565</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45565</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45565</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45565</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45565</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45565</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45565</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45565</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45565</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45565</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45565</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45565</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45565</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45565</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30003-2024</t>
        </is>
      </c>
      <c r="B21" s="1" t="n">
        <v>45488</v>
      </c>
      <c r="C21" s="1" t="n">
        <v>45565</v>
      </c>
      <c r="D21" t="inlineStr">
        <is>
          <t>DALARNAS LÄN</t>
        </is>
      </c>
      <c r="E21" t="inlineStr">
        <is>
          <t>HEDEMORA</t>
        </is>
      </c>
      <c r="G21" t="n">
        <v>10.4</v>
      </c>
      <c r="H21" t="n">
        <v>2</v>
      </c>
      <c r="I21" t="n">
        <v>2</v>
      </c>
      <c r="J21" t="n">
        <v>2</v>
      </c>
      <c r="K21" t="n">
        <v>1</v>
      </c>
      <c r="L21" t="n">
        <v>0</v>
      </c>
      <c r="M21" t="n">
        <v>0</v>
      </c>
      <c r="N21" t="n">
        <v>0</v>
      </c>
      <c r="O21" t="n">
        <v>3</v>
      </c>
      <c r="P21" t="n">
        <v>1</v>
      </c>
      <c r="Q21" t="n">
        <v>5</v>
      </c>
      <c r="R21" s="2" t="inlineStr">
        <is>
          <t>Knärot
Spillkråka
Ullticka
Rödgul trumpetsvamp
Svavelriska</t>
        </is>
      </c>
      <c r="S21">
        <f>HYPERLINK("https://klasma.github.io/Logging_2083/artfynd/A 30003-2024 artfynd.xlsx", "A 30003-2024")</f>
        <v/>
      </c>
      <c r="T21">
        <f>HYPERLINK("https://klasma.github.io/Logging_2083/kartor/A 30003-2024 karta.png", "A 30003-2024")</f>
        <v/>
      </c>
      <c r="U21">
        <f>HYPERLINK("https://klasma.github.io/Logging_2083/knärot/A 30003-2024 karta knärot.png", "A 30003-2024")</f>
        <v/>
      </c>
      <c r="V21">
        <f>HYPERLINK("https://klasma.github.io/Logging_2083/klagomål/A 30003-2024 FSC-klagomål.docx", "A 30003-2024")</f>
        <v/>
      </c>
      <c r="W21">
        <f>HYPERLINK("https://klasma.github.io/Logging_2083/klagomålsmail/A 30003-2024 FSC-klagomål mail.docx", "A 30003-2024")</f>
        <v/>
      </c>
      <c r="X21">
        <f>HYPERLINK("https://klasma.github.io/Logging_2083/tillsyn/A 30003-2024 tillsynsbegäran.docx", "A 30003-2024")</f>
        <v/>
      </c>
      <c r="Y21">
        <f>HYPERLINK("https://klasma.github.io/Logging_2083/tillsynsmail/A 30003-2024 tillsynsbegäran mail.docx", "A 30003-2024")</f>
        <v/>
      </c>
      <c r="Z21">
        <f>HYPERLINK("https://klasma.github.io/Logging_2083/fåglar/A 30003-2024 prioriterade fågelarter.docx", "A 30003-2024")</f>
        <v/>
      </c>
    </row>
    <row r="22" ht="15" customHeight="1">
      <c r="A22" t="inlineStr">
        <is>
          <t>A 49872-2021</t>
        </is>
      </c>
      <c r="B22" s="1" t="n">
        <v>44455</v>
      </c>
      <c r="C22" s="1" t="n">
        <v>45565</v>
      </c>
      <c r="D22" t="inlineStr">
        <is>
          <t>DALARNAS LÄN</t>
        </is>
      </c>
      <c r="E22" t="inlineStr">
        <is>
          <t>HEDEMORA</t>
        </is>
      </c>
      <c r="G22" t="n">
        <v>3.4</v>
      </c>
      <c r="H22" t="n">
        <v>3</v>
      </c>
      <c r="I22" t="n">
        <v>1</v>
      </c>
      <c r="J22" t="n">
        <v>0</v>
      </c>
      <c r="K22" t="n">
        <v>1</v>
      </c>
      <c r="L22" t="n">
        <v>0</v>
      </c>
      <c r="M22" t="n">
        <v>0</v>
      </c>
      <c r="N22" t="n">
        <v>0</v>
      </c>
      <c r="O22" t="n">
        <v>1</v>
      </c>
      <c r="P22" t="n">
        <v>1</v>
      </c>
      <c r="Q22" t="n">
        <v>4</v>
      </c>
      <c r="R22" s="2" t="inlineStr">
        <is>
          <t>Knärot
Fjällig taggsvamp s.str.
Blåsippa
Revlummer</t>
        </is>
      </c>
      <c r="S22">
        <f>HYPERLINK("https://klasma.github.io/Logging_2083/artfynd/A 49872-2021 artfynd.xlsx", "A 49872-2021")</f>
        <v/>
      </c>
      <c r="T22">
        <f>HYPERLINK("https://klasma.github.io/Logging_2083/kartor/A 49872-2021 karta.png", "A 49872-2021")</f>
        <v/>
      </c>
      <c r="U22">
        <f>HYPERLINK("https://klasma.github.io/Logging_2083/knärot/A 49872-2021 karta knärot.png", "A 49872-2021")</f>
        <v/>
      </c>
      <c r="V22">
        <f>HYPERLINK("https://klasma.github.io/Logging_2083/klagomål/A 49872-2021 FSC-klagomål.docx", "A 49872-2021")</f>
        <v/>
      </c>
      <c r="W22">
        <f>HYPERLINK("https://klasma.github.io/Logging_2083/klagomålsmail/A 49872-2021 FSC-klagomål mail.docx", "A 49872-2021")</f>
        <v/>
      </c>
      <c r="X22">
        <f>HYPERLINK("https://klasma.github.io/Logging_2083/tillsyn/A 49872-2021 tillsynsbegäran.docx", "A 49872-2021")</f>
        <v/>
      </c>
      <c r="Y22">
        <f>HYPERLINK("https://klasma.github.io/Logging_2083/tillsynsmail/A 49872-2021 tillsynsbegäran mail.docx", "A 49872-2021")</f>
        <v/>
      </c>
    </row>
    <row r="23" ht="15" customHeight="1">
      <c r="A23" t="inlineStr">
        <is>
          <t>A 58719-2021</t>
        </is>
      </c>
      <c r="B23" s="1" t="n">
        <v>44489</v>
      </c>
      <c r="C23" s="1" t="n">
        <v>45565</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45565</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46595-2023</t>
        </is>
      </c>
      <c r="B25" s="1" t="n">
        <v>45194</v>
      </c>
      <c r="C25" s="1" t="n">
        <v>45565</v>
      </c>
      <c r="D25" t="inlineStr">
        <is>
          <t>DALARNAS LÄN</t>
        </is>
      </c>
      <c r="E25" t="inlineStr">
        <is>
          <t>HEDEMORA</t>
        </is>
      </c>
      <c r="G25" t="n">
        <v>13.5</v>
      </c>
      <c r="H25" t="n">
        <v>3</v>
      </c>
      <c r="I25" t="n">
        <v>1</v>
      </c>
      <c r="J25" t="n">
        <v>1</v>
      </c>
      <c r="K25" t="n">
        <v>0</v>
      </c>
      <c r="L25" t="n">
        <v>0</v>
      </c>
      <c r="M25" t="n">
        <v>0</v>
      </c>
      <c r="N25" t="n">
        <v>0</v>
      </c>
      <c r="O25" t="n">
        <v>1</v>
      </c>
      <c r="P25" t="n">
        <v>0</v>
      </c>
      <c r="Q25" t="n">
        <v>4</v>
      </c>
      <c r="R25" s="2" t="inlineStr">
        <is>
          <t>Spillkråka
Tibast
Trana
Blåsippa</t>
        </is>
      </c>
      <c r="S25">
        <f>HYPERLINK("https://klasma.github.io/Logging_2083/artfynd/A 46595-2023 artfynd.xlsx", "A 46595-2023")</f>
        <v/>
      </c>
      <c r="T25">
        <f>HYPERLINK("https://klasma.github.io/Logging_2083/kartor/A 46595-2023 karta.png", "A 46595-2023")</f>
        <v/>
      </c>
      <c r="V25">
        <f>HYPERLINK("https://klasma.github.io/Logging_2083/klagomål/A 46595-2023 FSC-klagomål.docx", "A 46595-2023")</f>
        <v/>
      </c>
      <c r="W25">
        <f>HYPERLINK("https://klasma.github.io/Logging_2083/klagomålsmail/A 46595-2023 FSC-klagomål mail.docx", "A 46595-2023")</f>
        <v/>
      </c>
      <c r="X25">
        <f>HYPERLINK("https://klasma.github.io/Logging_2083/tillsyn/A 46595-2023 tillsynsbegäran.docx", "A 46595-2023")</f>
        <v/>
      </c>
      <c r="Y25">
        <f>HYPERLINK("https://klasma.github.io/Logging_2083/tillsynsmail/A 46595-2023 tillsynsbegäran mail.docx", "A 46595-2023")</f>
        <v/>
      </c>
      <c r="Z25">
        <f>HYPERLINK("https://klasma.github.io/Logging_2083/fåglar/A 46595-2023 prioriterade fågelarter.docx", "A 46595-2023")</f>
        <v/>
      </c>
    </row>
    <row r="26" ht="15" customHeight="1">
      <c r="A26" t="inlineStr">
        <is>
          <t>A 992-2024</t>
        </is>
      </c>
      <c r="B26" s="1" t="n">
        <v>45301</v>
      </c>
      <c r="C26" s="1" t="n">
        <v>45565</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45565</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45565</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45565</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45565</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45565</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45565</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45565</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45565</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45565</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45565</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45565</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45565</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45565</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45565</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45565</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45565</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45565</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45565</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45565</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45565</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45565</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45565</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45565</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45565</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45565</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45565</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45565</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45565</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45565</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45565</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45565</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45565</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45565</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45565</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45565</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45565</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45565</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45565</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45565</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45565</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45565</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45565</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45565</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45565</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45565</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45565</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45565</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45565</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45565</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45565</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45565</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45565</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45565</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45565</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45565</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45565</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45565</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45565</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45565</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45565</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45565</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45565</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45565</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45565</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45565</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45565</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45565</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45565</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45565</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45565</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45565</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45565</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45565</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45565</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45565</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45565</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45565</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45565</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45565</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45565</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45565</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45565</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45565</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45565</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45565</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45565</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45565</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45565</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45565</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45565</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45565</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45565</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45565</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45565</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45565</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45565</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45565</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45565</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45565</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45565</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45565</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45565</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45565</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45565</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45565</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45565</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45565</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45565</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45565</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45565</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45565</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45565</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45565</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45565</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45565</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45565</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45565</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45565</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45565</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45565</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45565</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45565</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45565</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45565</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45565</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45565</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45565</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45565</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45565</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45565</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45565</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45565</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45565</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45565</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45565</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45565</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45565</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45565</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45565</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45565</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45565</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45565</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45565</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45565</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45565</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45565</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45565</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45565</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45565</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45565</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45565</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45565</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45565</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45565</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45565</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45565</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45565</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45565</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45565</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45565</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45565</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45565</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45565</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45565</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45565</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45565</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45565</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45565</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45565</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45565</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45565</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45565</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45565</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45565</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45565</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45565</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45565</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45565</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45565</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45565</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45565</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45565</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45565</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45565</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45565</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45565</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45565</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45565</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45565</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45565</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45565</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45565</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45565</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45565</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45565</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45565</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45565</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45565</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45565</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45565</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45565</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45565</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45565</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45565</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45565</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45565</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45565</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45565</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45565</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45565</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45565</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45565</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45565</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45565</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45565</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45565</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45565</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45565</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45565</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45565</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45565</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45565</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45565</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45565</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45565</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45565</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45565</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45565</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45565</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45565</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45565</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45565</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45565</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45565</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45565</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45565</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45565</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45565</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45565</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45565</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45565</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45565</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45565</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45565</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45565</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45565</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45565</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45565</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45565</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45565</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45565</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45565</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45565</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45565</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45565</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45565</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45565</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45565</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45565</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45565</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45565</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45565</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45565</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45565</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45565</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45565</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45565</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45565</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45565</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45565</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45565</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45565</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45565</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45565</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45565</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45565</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45565</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45565</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45565</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45565</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45565</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45565</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45565</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45565</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45565</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45565</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45565</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45565</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45565</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45565</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45565</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45565</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45565</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45565</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45565</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45565</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45565</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45565</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45565</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45565</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45565</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45565</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45565</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45565</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45565</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45565</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45565</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45565</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45565</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45565</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45565</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45565</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45565</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45565</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45565</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45565</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45565</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45565</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45565</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45565</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45565</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45565</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45565</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45565</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45565</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45565</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45565</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45565</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45565</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45565</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45565</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45565</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45565</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45565</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45565</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45565</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45565</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45565</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45565</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45565</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45565</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45565</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45565</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45565</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45565</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45565</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45565</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45565</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45565</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45565</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45565</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45565</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45565</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45565</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45565</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45565</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45565</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45565</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45565</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45565</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45565</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45565</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45565</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45565</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45565</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45565</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45565</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45565</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45565</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45565</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45565</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45565</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45565</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45565</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45565</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45565</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45565</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45565</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45565</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45565</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45565</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45565</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45565</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45565</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45565</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45565</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45565</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45565</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45565</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45565</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45565</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45565</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45565</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45565</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45565</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45565</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45565</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45565</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45565</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45565</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45565</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45565</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45565</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45565</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45565</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45565</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45565</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45565</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45565</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45565</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45565</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45565</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45565</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45565</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45565</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45565</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45565</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45565</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45565</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45565</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45565</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45565</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45565</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45565</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45565</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45565</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45565</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45565</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45565</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45565</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45565</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45565</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45565</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45565</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45565</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45565</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45565</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45565</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45565</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45565</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45565</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45565</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45565</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45565</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45565</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45565</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45565</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45565</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45565</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45565</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45565</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45565</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45565</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45565</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45565</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45565</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45565</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45565</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45565</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45565</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45565</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45565</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45565</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45565</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45565</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45565</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45565</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45565</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45565</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45565</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45565</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45565</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45565</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45565</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45565</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45565</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45565</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45565</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45565</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45565</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45565</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45565</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45565</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45565</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45565</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45565</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45565</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45565</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45565</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45565</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45565</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45565</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45565</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45565</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45565</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45565</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45565</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45565</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45565</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45565</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45565</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45565</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45565</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45565</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45565</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45565</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45565</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45565</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45565</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45565</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45565</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45565</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45565</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45565</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45565</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45565</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45565</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45565</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45565</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45565</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45565</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45565</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45565</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45565</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45565</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45565</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45565</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45565</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45565</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45565</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45565</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45565</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45565</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45565</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45565</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45565</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45565</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45565</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45565</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45565</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45565</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45565</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45565</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45565</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45565</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45565</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45565</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45565</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45565</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45565</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45565</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45565</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45565</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45565</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45565</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45565</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45565</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45565</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45565</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45565</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45565</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45565</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45565</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45565</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45565</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45565</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45565</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45565</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45565</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45565</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45565</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45565</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45565</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45565</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45565</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45565</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45565</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45565</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45565</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45565</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45565</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45565</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36507-2024</t>
        </is>
      </c>
      <c r="B609" s="1" t="n">
        <v>45537</v>
      </c>
      <c r="C609" s="1" t="n">
        <v>45565</v>
      </c>
      <c r="D609" t="inlineStr">
        <is>
          <t>DALARNAS LÄN</t>
        </is>
      </c>
      <c r="E609" t="inlineStr">
        <is>
          <t>HEDEMORA</t>
        </is>
      </c>
      <c r="G609" t="n">
        <v>1.7</v>
      </c>
      <c r="H609" t="n">
        <v>0</v>
      </c>
      <c r="I609" t="n">
        <v>0</v>
      </c>
      <c r="J609" t="n">
        <v>0</v>
      </c>
      <c r="K609" t="n">
        <v>0</v>
      </c>
      <c r="L609" t="n">
        <v>0</v>
      </c>
      <c r="M609" t="n">
        <v>0</v>
      </c>
      <c r="N609" t="n">
        <v>0</v>
      </c>
      <c r="O609" t="n">
        <v>0</v>
      </c>
      <c r="P609" t="n">
        <v>0</v>
      </c>
      <c r="Q609" t="n">
        <v>0</v>
      </c>
      <c r="R609" s="2" t="inlineStr"/>
    </row>
    <row r="610" ht="15" customHeight="1">
      <c r="A610" t="inlineStr">
        <is>
          <t>A 36560-2024</t>
        </is>
      </c>
      <c r="B610" s="1" t="n">
        <v>45537</v>
      </c>
      <c r="C610" s="1" t="n">
        <v>45565</v>
      </c>
      <c r="D610" t="inlineStr">
        <is>
          <t>DALARNAS LÄN</t>
        </is>
      </c>
      <c r="E610" t="inlineStr">
        <is>
          <t>HEDEMORA</t>
        </is>
      </c>
      <c r="F610" t="inlineStr">
        <is>
          <t>Sveaskog</t>
        </is>
      </c>
      <c r="G610" t="n">
        <v>5.6</v>
      </c>
      <c r="H610" t="n">
        <v>0</v>
      </c>
      <c r="I610" t="n">
        <v>0</v>
      </c>
      <c r="J610" t="n">
        <v>0</v>
      </c>
      <c r="K610" t="n">
        <v>0</v>
      </c>
      <c r="L610" t="n">
        <v>0</v>
      </c>
      <c r="M610" t="n">
        <v>0</v>
      </c>
      <c r="N610" t="n">
        <v>0</v>
      </c>
      <c r="O610" t="n">
        <v>0</v>
      </c>
      <c r="P610" t="n">
        <v>0</v>
      </c>
      <c r="Q610" t="n">
        <v>0</v>
      </c>
      <c r="R610" s="2" t="inlineStr"/>
    </row>
    <row r="611" ht="15" customHeight="1">
      <c r="A611" t="inlineStr">
        <is>
          <t>A 36938-2024</t>
        </is>
      </c>
      <c r="B611" s="1" t="n">
        <v>45538</v>
      </c>
      <c r="C611" s="1" t="n">
        <v>45565</v>
      </c>
      <c r="D611" t="inlineStr">
        <is>
          <t>DALARNAS LÄN</t>
        </is>
      </c>
      <c r="E611" t="inlineStr">
        <is>
          <t>HEDEMORA</t>
        </is>
      </c>
      <c r="G611" t="n">
        <v>0.6</v>
      </c>
      <c r="H611" t="n">
        <v>0</v>
      </c>
      <c r="I611" t="n">
        <v>0</v>
      </c>
      <c r="J611" t="n">
        <v>0</v>
      </c>
      <c r="K611" t="n">
        <v>0</v>
      </c>
      <c r="L611" t="n">
        <v>0</v>
      </c>
      <c r="M611" t="n">
        <v>0</v>
      </c>
      <c r="N611" t="n">
        <v>0</v>
      </c>
      <c r="O611" t="n">
        <v>0</v>
      </c>
      <c r="P611" t="n">
        <v>0</v>
      </c>
      <c r="Q611" t="n">
        <v>0</v>
      </c>
      <c r="R611" s="2" t="inlineStr"/>
    </row>
    <row r="612" ht="15" customHeight="1">
      <c r="A612" t="inlineStr">
        <is>
          <t>A 36935-2024</t>
        </is>
      </c>
      <c r="B612" s="1" t="n">
        <v>45538</v>
      </c>
      <c r="C612" s="1" t="n">
        <v>45565</v>
      </c>
      <c r="D612" t="inlineStr">
        <is>
          <t>DALARNAS LÄN</t>
        </is>
      </c>
      <c r="E612" t="inlineStr">
        <is>
          <t>HEDEMORA</t>
        </is>
      </c>
      <c r="G612" t="n">
        <v>1.4</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45565</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37766-2024</t>
        </is>
      </c>
      <c r="B614" s="1" t="n">
        <v>45541</v>
      </c>
      <c r="C614" s="1" t="n">
        <v>45565</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37759-2024</t>
        </is>
      </c>
      <c r="B615" s="1" t="n">
        <v>45541</v>
      </c>
      <c r="C615" s="1" t="n">
        <v>45565</v>
      </c>
      <c r="D615" t="inlineStr">
        <is>
          <t>DALARNAS LÄN</t>
        </is>
      </c>
      <c r="E615" t="inlineStr">
        <is>
          <t>HEDEMORA</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37762-2024</t>
        </is>
      </c>
      <c r="B616" s="1" t="n">
        <v>45541</v>
      </c>
      <c r="C616" s="1" t="n">
        <v>45565</v>
      </c>
      <c r="D616" t="inlineStr">
        <is>
          <t>DALARNAS LÄN</t>
        </is>
      </c>
      <c r="E616" t="inlineStr">
        <is>
          <t>HEDEMORA</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37761-2024</t>
        </is>
      </c>
      <c r="B617" s="1" t="n">
        <v>45541</v>
      </c>
      <c r="C617" s="1" t="n">
        <v>45565</v>
      </c>
      <c r="D617" t="inlineStr">
        <is>
          <t>DALARNAS LÄN</t>
        </is>
      </c>
      <c r="E617" t="inlineStr">
        <is>
          <t>HEDEMORA</t>
        </is>
      </c>
      <c r="F617" t="inlineStr">
        <is>
          <t>Sveaskog</t>
        </is>
      </c>
      <c r="G617" t="n">
        <v>4.4</v>
      </c>
      <c r="H617" t="n">
        <v>0</v>
      </c>
      <c r="I617" t="n">
        <v>0</v>
      </c>
      <c r="J617" t="n">
        <v>0</v>
      </c>
      <c r="K617" t="n">
        <v>0</v>
      </c>
      <c r="L617" t="n">
        <v>0</v>
      </c>
      <c r="M617" t="n">
        <v>0</v>
      </c>
      <c r="N617" t="n">
        <v>0</v>
      </c>
      <c r="O617" t="n">
        <v>0</v>
      </c>
      <c r="P617" t="n">
        <v>0</v>
      </c>
      <c r="Q617" t="n">
        <v>0</v>
      </c>
      <c r="R617" s="2" t="inlineStr"/>
    </row>
    <row r="618" ht="15" customHeight="1">
      <c r="A618" t="inlineStr">
        <is>
          <t>A 37804-2024</t>
        </is>
      </c>
      <c r="B618" s="1" t="n">
        <v>45543</v>
      </c>
      <c r="C618" s="1" t="n">
        <v>45565</v>
      </c>
      <c r="D618" t="inlineStr">
        <is>
          <t>DALARNAS LÄN</t>
        </is>
      </c>
      <c r="E618" t="inlineStr">
        <is>
          <t>HEDEMORA</t>
        </is>
      </c>
      <c r="F618" t="inlineStr">
        <is>
          <t>Bergvik skog väst AB</t>
        </is>
      </c>
      <c r="G618" t="n">
        <v>2</v>
      </c>
      <c r="H618" t="n">
        <v>0</v>
      </c>
      <c r="I618" t="n">
        <v>0</v>
      </c>
      <c r="J618" t="n">
        <v>0</v>
      </c>
      <c r="K618" t="n">
        <v>0</v>
      </c>
      <c r="L618" t="n">
        <v>0</v>
      </c>
      <c r="M618" t="n">
        <v>0</v>
      </c>
      <c r="N618" t="n">
        <v>0</v>
      </c>
      <c r="O618" t="n">
        <v>0</v>
      </c>
      <c r="P618" t="n">
        <v>0</v>
      </c>
      <c r="Q618" t="n">
        <v>0</v>
      </c>
      <c r="R618" s="2" t="inlineStr"/>
    </row>
    <row r="619" ht="15" customHeight="1">
      <c r="A619" t="inlineStr">
        <is>
          <t>A 37806-2024</t>
        </is>
      </c>
      <c r="B619" s="1" t="n">
        <v>45543</v>
      </c>
      <c r="C619" s="1" t="n">
        <v>45565</v>
      </c>
      <c r="D619" t="inlineStr">
        <is>
          <t>DALARNAS LÄN</t>
        </is>
      </c>
      <c r="E619" t="inlineStr">
        <is>
          <t>HEDEMORA</t>
        </is>
      </c>
      <c r="F619" t="inlineStr">
        <is>
          <t>Bergvik skog väst AB</t>
        </is>
      </c>
      <c r="G619" t="n">
        <v>3.5</v>
      </c>
      <c r="H619" t="n">
        <v>0</v>
      </c>
      <c r="I619" t="n">
        <v>0</v>
      </c>
      <c r="J619" t="n">
        <v>0</v>
      </c>
      <c r="K619" t="n">
        <v>0</v>
      </c>
      <c r="L619" t="n">
        <v>0</v>
      </c>
      <c r="M619" t="n">
        <v>0</v>
      </c>
      <c r="N619" t="n">
        <v>0</v>
      </c>
      <c r="O619" t="n">
        <v>0</v>
      </c>
      <c r="P619" t="n">
        <v>0</v>
      </c>
      <c r="Q619" t="n">
        <v>0</v>
      </c>
      <c r="R619" s="2" t="inlineStr"/>
    </row>
    <row r="620" ht="15" customHeight="1">
      <c r="A620" t="inlineStr">
        <is>
          <t>A 37805-2024</t>
        </is>
      </c>
      <c r="B620" s="1" t="n">
        <v>45543</v>
      </c>
      <c r="C620" s="1" t="n">
        <v>45565</v>
      </c>
      <c r="D620" t="inlineStr">
        <is>
          <t>DALARNAS LÄN</t>
        </is>
      </c>
      <c r="E620" t="inlineStr">
        <is>
          <t>HEDEMORA</t>
        </is>
      </c>
      <c r="F620" t="inlineStr">
        <is>
          <t>Bergvik skog väst AB</t>
        </is>
      </c>
      <c r="G620" t="n">
        <v>9</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45565</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39552-2024</t>
        </is>
      </c>
      <c r="B622" s="1" t="n">
        <v>45551</v>
      </c>
      <c r="C622" s="1" t="n">
        <v>45565</v>
      </c>
      <c r="D622" t="inlineStr">
        <is>
          <t>DALARNAS LÄN</t>
        </is>
      </c>
      <c r="E622" t="inlineStr">
        <is>
          <t>HEDEMORA</t>
        </is>
      </c>
      <c r="F622" t="inlineStr">
        <is>
          <t>Bergvik skog väst AB</t>
        </is>
      </c>
      <c r="G622" t="n">
        <v>24.1</v>
      </c>
      <c r="H622" t="n">
        <v>0</v>
      </c>
      <c r="I622" t="n">
        <v>0</v>
      </c>
      <c r="J622" t="n">
        <v>0</v>
      </c>
      <c r="K622" t="n">
        <v>0</v>
      </c>
      <c r="L622" t="n">
        <v>0</v>
      </c>
      <c r="M622" t="n">
        <v>0</v>
      </c>
      <c r="N622" t="n">
        <v>0</v>
      </c>
      <c r="O622" t="n">
        <v>0</v>
      </c>
      <c r="P622" t="n">
        <v>0</v>
      </c>
      <c r="Q622" t="n">
        <v>0</v>
      </c>
      <c r="R622" s="2" t="inlineStr"/>
    </row>
    <row r="623" ht="15" customHeight="1">
      <c r="A623" t="inlineStr">
        <is>
          <t>A 39530-2024</t>
        </is>
      </c>
      <c r="B623" s="1" t="n">
        <v>45551</v>
      </c>
      <c r="C623" s="1" t="n">
        <v>45565</v>
      </c>
      <c r="D623" t="inlineStr">
        <is>
          <t>DALARNAS LÄN</t>
        </is>
      </c>
      <c r="E623" t="inlineStr">
        <is>
          <t>HEDEMORA</t>
        </is>
      </c>
      <c r="F623" t="inlineStr">
        <is>
          <t>Bergvik skog väst AB</t>
        </is>
      </c>
      <c r="G623" t="n">
        <v>13.8</v>
      </c>
      <c r="H623" t="n">
        <v>0</v>
      </c>
      <c r="I623" t="n">
        <v>0</v>
      </c>
      <c r="J623" t="n">
        <v>0</v>
      </c>
      <c r="K623" t="n">
        <v>0</v>
      </c>
      <c r="L623" t="n">
        <v>0</v>
      </c>
      <c r="M623" t="n">
        <v>0</v>
      </c>
      <c r="N623" t="n">
        <v>0</v>
      </c>
      <c r="O623" t="n">
        <v>0</v>
      </c>
      <c r="P623" t="n">
        <v>0</v>
      </c>
      <c r="Q623" t="n">
        <v>0</v>
      </c>
      <c r="R623" s="2" t="inlineStr"/>
    </row>
    <row r="624" ht="15" customHeight="1">
      <c r="A624" t="inlineStr">
        <is>
          <t>A 39531-2024</t>
        </is>
      </c>
      <c r="B624" s="1" t="n">
        <v>45551</v>
      </c>
      <c r="C624" s="1" t="n">
        <v>45565</v>
      </c>
      <c r="D624" t="inlineStr">
        <is>
          <t>DALARNAS LÄN</t>
        </is>
      </c>
      <c r="E624" t="inlineStr">
        <is>
          <t>HEDEMORA</t>
        </is>
      </c>
      <c r="F624" t="inlineStr">
        <is>
          <t>Bergvik skog väst AB</t>
        </is>
      </c>
      <c r="G624" t="n">
        <v>1.9</v>
      </c>
      <c r="H624" t="n">
        <v>0</v>
      </c>
      <c r="I624" t="n">
        <v>0</v>
      </c>
      <c r="J624" t="n">
        <v>0</v>
      </c>
      <c r="K624" t="n">
        <v>0</v>
      </c>
      <c r="L624" t="n">
        <v>0</v>
      </c>
      <c r="M624" t="n">
        <v>0</v>
      </c>
      <c r="N624" t="n">
        <v>0</v>
      </c>
      <c r="O624" t="n">
        <v>0</v>
      </c>
      <c r="P624" t="n">
        <v>0</v>
      </c>
      <c r="Q624" t="n">
        <v>0</v>
      </c>
      <c r="R624" s="2" t="inlineStr"/>
    </row>
    <row r="625">
      <c r="A625" t="inlineStr">
        <is>
          <t>A 40801-2024</t>
        </is>
      </c>
      <c r="B625" s="1" t="n">
        <v>45558</v>
      </c>
      <c r="C625" s="1" t="n">
        <v>45565</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2024-09-30T16:54:41Z</dcterms:created>
  <dcterms:modified xmlns:dcterms="http://purl.org/dc/terms/" xmlns:xsi="http://www.w3.org/2001/XMLSchema-instance" xsi:type="dcterms:W3CDTF">2024-09-30T16:54:41Z</dcterms:modified>
</cp:coreProperties>
</file>