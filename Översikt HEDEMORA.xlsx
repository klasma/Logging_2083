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45918</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45918</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45918</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45918</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45918</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45918</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45918</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62040-2021</t>
        </is>
      </c>
      <c r="B10" s="1" t="n">
        <v>44502</v>
      </c>
      <c r="C10" s="1" t="n">
        <v>45918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58943-2023</t>
        </is>
      </c>
      <c r="B11" s="1" t="n">
        <v>45250</v>
      </c>
      <c r="C11" s="1" t="n">
        <v>45918</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66541-2020</t>
        </is>
      </c>
      <c r="B12" s="1" t="n">
        <v>44179</v>
      </c>
      <c r="C12" s="1" t="n">
        <v>45918</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45918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34929-2024</t>
        </is>
      </c>
      <c r="B14" s="1" t="n">
        <v>45527.44895833333</v>
      </c>
      <c r="C14" s="1" t="n">
        <v>45918</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45918</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45918</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45918</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45918</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992-2024</t>
        </is>
      </c>
      <c r="B19" s="1" t="n">
        <v>45301</v>
      </c>
      <c r="C19" s="1" t="n">
        <v>45918</v>
      </c>
      <c r="D19" t="inlineStr">
        <is>
          <t>DALARNAS LÄN</t>
        </is>
      </c>
      <c r="E19" t="inlineStr">
        <is>
          <t>HEDEMORA</t>
        </is>
      </c>
      <c r="G19" t="n">
        <v>4.2</v>
      </c>
      <c r="H19" t="n">
        <v>2</v>
      </c>
      <c r="I19" t="n">
        <v>1</v>
      </c>
      <c r="J19" t="n">
        <v>4</v>
      </c>
      <c r="K19" t="n">
        <v>0</v>
      </c>
      <c r="L19" t="n">
        <v>0</v>
      </c>
      <c r="M19" t="n">
        <v>0</v>
      </c>
      <c r="N19" t="n">
        <v>0</v>
      </c>
      <c r="O19" t="n">
        <v>4</v>
      </c>
      <c r="P19" t="n">
        <v>0</v>
      </c>
      <c r="Q19" t="n">
        <v>5</v>
      </c>
      <c r="R19" s="2" t="inlineStr">
        <is>
          <t>Aspskinn
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60557-2021</t>
        </is>
      </c>
      <c r="B20" s="1" t="n">
        <v>44495</v>
      </c>
      <c r="C20" s="1" t="n">
        <v>45918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31534-2021</t>
        </is>
      </c>
      <c r="B21" s="1" t="n">
        <v>44369</v>
      </c>
      <c r="C21" s="1" t="n">
        <v>45918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58719-2021</t>
        </is>
      </c>
      <c r="B22" s="1" t="n">
        <v>44489</v>
      </c>
      <c r="C22" s="1" t="n">
        <v>45918</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49872-2021</t>
        </is>
      </c>
      <c r="B23" s="1" t="n">
        <v>44455</v>
      </c>
      <c r="C23" s="1" t="n">
        <v>45918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57643-2022</t>
        </is>
      </c>
      <c r="B24" s="1" t="n">
        <v>44897</v>
      </c>
      <c r="C24" s="1" t="n">
        <v>45918</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55022-2020</t>
        </is>
      </c>
      <c r="B25" s="1" t="n">
        <v>44130</v>
      </c>
      <c r="C25" s="1" t="n">
        <v>45918</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62054-2021</t>
        </is>
      </c>
      <c r="B26" s="1" t="n">
        <v>44502</v>
      </c>
      <c r="C26" s="1" t="n">
        <v>45918</v>
      </c>
      <c r="D26" t="inlineStr">
        <is>
          <t>DALARNAS LÄN</t>
        </is>
      </c>
      <c r="E26" t="inlineStr">
        <is>
          <t>HEDEMORA</t>
        </is>
      </c>
      <c r="G26" t="n">
        <v>1.5</v>
      </c>
      <c r="H26" t="n">
        <v>1</v>
      </c>
      <c r="I26" t="n">
        <v>0</v>
      </c>
      <c r="J26" t="n">
        <v>2</v>
      </c>
      <c r="K26" t="n">
        <v>1</v>
      </c>
      <c r="L26" t="n">
        <v>0</v>
      </c>
      <c r="M26" t="n">
        <v>0</v>
      </c>
      <c r="N26" t="n">
        <v>0</v>
      </c>
      <c r="O26" t="n">
        <v>3</v>
      </c>
      <c r="P26" t="n">
        <v>1</v>
      </c>
      <c r="Q26" t="n">
        <v>3</v>
      </c>
      <c r="R26" s="2" t="inlineStr">
        <is>
          <t>Knärot
Motaggsvamp
Ullticka</t>
        </is>
      </c>
      <c r="S26">
        <f>HYPERLINK("https://klasma.github.io/Logging_2083/artfynd/A 62054-2021 artfynd.xlsx", "A 62054-2021")</f>
        <v/>
      </c>
      <c r="T26">
        <f>HYPERLINK("https://klasma.github.io/Logging_2083/kartor/A 62054-2021 karta.png", "A 62054-2021")</f>
        <v/>
      </c>
      <c r="U26">
        <f>HYPERLINK("https://klasma.github.io/Logging_2083/knärot/A 62054-2021 karta knärot.png", "A 62054-2021")</f>
        <v/>
      </c>
      <c r="V26">
        <f>HYPERLINK("https://klasma.github.io/Logging_2083/klagomål/A 62054-2021 FSC-klagomål.docx", "A 62054-2021")</f>
        <v/>
      </c>
      <c r="W26">
        <f>HYPERLINK("https://klasma.github.io/Logging_2083/klagomålsmail/A 62054-2021 FSC-klagomål mail.docx", "A 62054-2021")</f>
        <v/>
      </c>
      <c r="X26">
        <f>HYPERLINK("https://klasma.github.io/Logging_2083/tillsyn/A 62054-2021 tillsynsbegäran.docx", "A 62054-2021")</f>
        <v/>
      </c>
      <c r="Y26">
        <f>HYPERLINK("https://klasma.github.io/Logging_2083/tillsynsmail/A 62054-2021 tillsynsbegäran mail.docx", "A 62054-2021")</f>
        <v/>
      </c>
    </row>
    <row r="27" ht="15" customHeight="1">
      <c r="A27" t="inlineStr">
        <is>
          <t>A 2409-2022</t>
        </is>
      </c>
      <c r="B27" s="1" t="n">
        <v>44579</v>
      </c>
      <c r="C27" s="1" t="n">
        <v>45918</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45918</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45918</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45918</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45918</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54849-2022</t>
        </is>
      </c>
      <c r="B32" s="1" t="n">
        <v>44883</v>
      </c>
      <c r="C32" s="1" t="n">
        <v>45918</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45918</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19352-2024</t>
        </is>
      </c>
      <c r="B34" s="1" t="n">
        <v>45429.29493055555</v>
      </c>
      <c r="C34" s="1" t="n">
        <v>45918</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45884-2021</t>
        </is>
      </c>
      <c r="B35" s="1" t="n">
        <v>44441</v>
      </c>
      <c r="C35" s="1" t="n">
        <v>45918</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59035-2023</t>
        </is>
      </c>
      <c r="B36" s="1" t="n">
        <v>45252</v>
      </c>
      <c r="C36" s="1" t="n">
        <v>45918</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45918</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40765-2025</t>
        </is>
      </c>
      <c r="B38" s="1" t="n">
        <v>45897.39886574074</v>
      </c>
      <c r="C38" s="1" t="n">
        <v>45918</v>
      </c>
      <c r="D38" t="inlineStr">
        <is>
          <t>DALARNAS LÄN</t>
        </is>
      </c>
      <c r="E38" t="inlineStr">
        <is>
          <t>HEDEMORA</t>
        </is>
      </c>
      <c r="G38" t="n">
        <v>3.4</v>
      </c>
      <c r="H38" t="n">
        <v>2</v>
      </c>
      <c r="I38" t="n">
        <v>0</v>
      </c>
      <c r="J38" t="n">
        <v>0</v>
      </c>
      <c r="K38" t="n">
        <v>0</v>
      </c>
      <c r="L38" t="n">
        <v>0</v>
      </c>
      <c r="M38" t="n">
        <v>0</v>
      </c>
      <c r="N38" t="n">
        <v>0</v>
      </c>
      <c r="O38" t="n">
        <v>0</v>
      </c>
      <c r="P38" t="n">
        <v>0</v>
      </c>
      <c r="Q38" t="n">
        <v>2</v>
      </c>
      <c r="R38" s="2" t="inlineStr">
        <is>
          <t>Grönsiska
Kungsfågel</t>
        </is>
      </c>
      <c r="S38">
        <f>HYPERLINK("https://klasma.github.io/Logging_2083/artfynd/A 40765-2025 artfynd.xlsx", "A 40765-2025")</f>
        <v/>
      </c>
      <c r="T38">
        <f>HYPERLINK("https://klasma.github.io/Logging_2083/kartor/A 40765-2025 karta.png", "A 40765-2025")</f>
        <v/>
      </c>
      <c r="U38">
        <f>HYPERLINK("https://klasma.github.io/Logging_2083/knärot/A 40765-2025 karta knärot.png", "A 40765-2025")</f>
        <v/>
      </c>
      <c r="V38">
        <f>HYPERLINK("https://klasma.github.io/Logging_2083/klagomål/A 40765-2025 FSC-klagomål.docx", "A 40765-2025")</f>
        <v/>
      </c>
      <c r="W38">
        <f>HYPERLINK("https://klasma.github.io/Logging_2083/klagomålsmail/A 40765-2025 FSC-klagomål mail.docx", "A 40765-2025")</f>
        <v/>
      </c>
      <c r="X38">
        <f>HYPERLINK("https://klasma.github.io/Logging_2083/tillsyn/A 40765-2025 tillsynsbegäran.docx", "A 40765-2025")</f>
        <v/>
      </c>
      <c r="Y38">
        <f>HYPERLINK("https://klasma.github.io/Logging_2083/tillsynsmail/A 40765-2025 tillsynsbegäran mail.docx", "A 40765-2025")</f>
        <v/>
      </c>
      <c r="Z38">
        <f>HYPERLINK("https://klasma.github.io/Logging_2083/fåglar/A 40765-2025 prioriterade fågelarter.docx", "A 40765-2025")</f>
        <v/>
      </c>
    </row>
    <row r="39" ht="15" customHeight="1">
      <c r="A39" t="inlineStr">
        <is>
          <t>A 41332-2025</t>
        </is>
      </c>
      <c r="B39" s="1" t="n">
        <v>45899.35592592593</v>
      </c>
      <c r="C39" s="1" t="n">
        <v>45918</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45918</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43681-2025</t>
        </is>
      </c>
      <c r="B41" s="1" t="n">
        <v>45912.37243055556</v>
      </c>
      <c r="C41" s="1" t="n">
        <v>45918</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45918</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53915-2022</t>
        </is>
      </c>
      <c r="B43" s="1" t="n">
        <v>44880.87587962963</v>
      </c>
      <c r="C43" s="1" t="n">
        <v>45918</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45918</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45918</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41477-2023</t>
        </is>
      </c>
      <c r="B46" s="1" t="n">
        <v>45171</v>
      </c>
      <c r="C46" s="1" t="n">
        <v>45918</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42614-2024</t>
        </is>
      </c>
      <c r="B47" s="1" t="n">
        <v>45565</v>
      </c>
      <c r="C47" s="1" t="n">
        <v>45918</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51111-2021</t>
        </is>
      </c>
      <c r="B48" s="1" t="n">
        <v>44461</v>
      </c>
      <c r="C48" s="1" t="n">
        <v>45918</v>
      </c>
      <c r="D48" t="inlineStr">
        <is>
          <t>DALARNAS LÄN</t>
        </is>
      </c>
      <c r="E48" t="inlineStr">
        <is>
          <t>HEDEMORA</t>
        </is>
      </c>
      <c r="G48" t="n">
        <v>0.9</v>
      </c>
      <c r="H48" t="n">
        <v>1</v>
      </c>
      <c r="I48" t="n">
        <v>0</v>
      </c>
      <c r="J48" t="n">
        <v>0</v>
      </c>
      <c r="K48" t="n">
        <v>1</v>
      </c>
      <c r="L48" t="n">
        <v>0</v>
      </c>
      <c r="M48" t="n">
        <v>0</v>
      </c>
      <c r="N48" t="n">
        <v>0</v>
      </c>
      <c r="O48" t="n">
        <v>1</v>
      </c>
      <c r="P48" t="n">
        <v>1</v>
      </c>
      <c r="Q48" t="n">
        <v>1</v>
      </c>
      <c r="R48" s="2" t="inlineStr">
        <is>
          <t>Knärot</t>
        </is>
      </c>
      <c r="S48">
        <f>HYPERLINK("https://klasma.github.io/Logging_2083/artfynd/A 51111-2021 artfynd.xlsx", "A 51111-2021")</f>
        <v/>
      </c>
      <c r="T48">
        <f>HYPERLINK("https://klasma.github.io/Logging_2083/kartor/A 51111-2021 karta.png", "A 51111-2021")</f>
        <v/>
      </c>
      <c r="U48">
        <f>HYPERLINK("https://klasma.github.io/Logging_2083/knärot/A 51111-2021 karta knärot.png", "A 51111-2021")</f>
        <v/>
      </c>
      <c r="V48">
        <f>HYPERLINK("https://klasma.github.io/Logging_2083/klagomål/A 51111-2021 FSC-klagomål.docx", "A 51111-2021")</f>
        <v/>
      </c>
      <c r="W48">
        <f>HYPERLINK("https://klasma.github.io/Logging_2083/klagomålsmail/A 51111-2021 FSC-klagomål mail.docx", "A 51111-2021")</f>
        <v/>
      </c>
      <c r="X48">
        <f>HYPERLINK("https://klasma.github.io/Logging_2083/tillsyn/A 51111-2021 tillsynsbegäran.docx", "A 51111-2021")</f>
        <v/>
      </c>
      <c r="Y48">
        <f>HYPERLINK("https://klasma.github.io/Logging_2083/tillsynsmail/A 51111-2021 tillsynsbegäran mail.docx", "A 51111-2021")</f>
        <v/>
      </c>
    </row>
    <row r="49" ht="15" customHeight="1">
      <c r="A49" t="inlineStr">
        <is>
          <t>A 63542-2023</t>
        </is>
      </c>
      <c r="B49" s="1" t="n">
        <v>45275.32708333333</v>
      </c>
      <c r="C49" s="1" t="n">
        <v>45918</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52941-2024</t>
        </is>
      </c>
      <c r="B50" s="1" t="n">
        <v>45610.80650462963</v>
      </c>
      <c r="C50" s="1" t="n">
        <v>45918</v>
      </c>
      <c r="D50" t="inlineStr">
        <is>
          <t>DALARNAS LÄN</t>
        </is>
      </c>
      <c r="E50" t="inlineStr">
        <is>
          <t>HEDEMORA</t>
        </is>
      </c>
      <c r="F50" t="inlineStr">
        <is>
          <t>Sveaskog</t>
        </is>
      </c>
      <c r="G50" t="n">
        <v>18.3</v>
      </c>
      <c r="H50" t="n">
        <v>1</v>
      </c>
      <c r="I50" t="n">
        <v>0</v>
      </c>
      <c r="J50" t="n">
        <v>0</v>
      </c>
      <c r="K50" t="n">
        <v>1</v>
      </c>
      <c r="L50" t="n">
        <v>0</v>
      </c>
      <c r="M50" t="n">
        <v>0</v>
      </c>
      <c r="N50" t="n">
        <v>0</v>
      </c>
      <c r="O50" t="n">
        <v>1</v>
      </c>
      <c r="P50" t="n">
        <v>1</v>
      </c>
      <c r="Q50" t="n">
        <v>1</v>
      </c>
      <c r="R50" s="2" t="inlineStr">
        <is>
          <t>Knärot</t>
        </is>
      </c>
      <c r="S50">
        <f>HYPERLINK("https://klasma.github.io/Logging_2083/artfynd/A 52941-2024 artfynd.xlsx", "A 52941-2024")</f>
        <v/>
      </c>
      <c r="T50">
        <f>HYPERLINK("https://klasma.github.io/Logging_2083/kartor/A 52941-2024 karta.png", "A 52941-2024")</f>
        <v/>
      </c>
      <c r="U50">
        <f>HYPERLINK("https://klasma.github.io/Logging_2083/knärot/A 52941-2024 karta knärot.png", "A 52941-2024")</f>
        <v/>
      </c>
      <c r="V50">
        <f>HYPERLINK("https://klasma.github.io/Logging_2083/klagomål/A 52941-2024 FSC-klagomål.docx", "A 52941-2024")</f>
        <v/>
      </c>
      <c r="W50">
        <f>HYPERLINK("https://klasma.github.io/Logging_2083/klagomålsmail/A 52941-2024 FSC-klagomål mail.docx", "A 52941-2024")</f>
        <v/>
      </c>
      <c r="X50">
        <f>HYPERLINK("https://klasma.github.io/Logging_2083/tillsyn/A 52941-2024 tillsynsbegäran.docx", "A 52941-2024")</f>
        <v/>
      </c>
      <c r="Y50">
        <f>HYPERLINK("https://klasma.github.io/Logging_2083/tillsynsmail/A 52941-2024 tillsynsbegäran mail.docx", "A 52941-2024")</f>
        <v/>
      </c>
    </row>
    <row r="51" ht="15" customHeight="1">
      <c r="A51" t="inlineStr">
        <is>
          <t>A 60017-2024</t>
        </is>
      </c>
      <c r="B51" s="1" t="n">
        <v>45642</v>
      </c>
      <c r="C51" s="1" t="n">
        <v>45918</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49889-2022</t>
        </is>
      </c>
      <c r="B52" s="1" t="n">
        <v>44864</v>
      </c>
      <c r="C52" s="1" t="n">
        <v>45918</v>
      </c>
      <c r="D52" t="inlineStr">
        <is>
          <t>DALARNAS LÄN</t>
        </is>
      </c>
      <c r="E52" t="inlineStr">
        <is>
          <t>HEDEMORA</t>
        </is>
      </c>
      <c r="F52" t="inlineStr">
        <is>
          <t>Sveaskog</t>
        </is>
      </c>
      <c r="G52" t="n">
        <v>6.8</v>
      </c>
      <c r="H52" t="n">
        <v>1</v>
      </c>
      <c r="I52" t="n">
        <v>0</v>
      </c>
      <c r="J52" t="n">
        <v>0</v>
      </c>
      <c r="K52" t="n">
        <v>1</v>
      </c>
      <c r="L52" t="n">
        <v>0</v>
      </c>
      <c r="M52" t="n">
        <v>0</v>
      </c>
      <c r="N52" t="n">
        <v>0</v>
      </c>
      <c r="O52" t="n">
        <v>1</v>
      </c>
      <c r="P52" t="n">
        <v>1</v>
      </c>
      <c r="Q52" t="n">
        <v>1</v>
      </c>
      <c r="R52" s="2" t="inlineStr">
        <is>
          <t>Knärot</t>
        </is>
      </c>
      <c r="S52">
        <f>HYPERLINK("https://klasma.github.io/Logging_2083/artfynd/A 49889-2022 artfynd.xlsx", "A 49889-2022")</f>
        <v/>
      </c>
      <c r="T52">
        <f>HYPERLINK("https://klasma.github.io/Logging_2083/kartor/A 49889-2022 karta.png", "A 49889-2022")</f>
        <v/>
      </c>
      <c r="U52">
        <f>HYPERLINK("https://klasma.github.io/Logging_2083/knärot/A 49889-2022 karta knärot.png", "A 49889-2022")</f>
        <v/>
      </c>
      <c r="V52">
        <f>HYPERLINK("https://klasma.github.io/Logging_2083/klagomål/A 49889-2022 FSC-klagomål.docx", "A 49889-2022")</f>
        <v/>
      </c>
      <c r="W52">
        <f>HYPERLINK("https://klasma.github.io/Logging_2083/klagomålsmail/A 49889-2022 FSC-klagomål mail.docx", "A 49889-2022")</f>
        <v/>
      </c>
      <c r="X52">
        <f>HYPERLINK("https://klasma.github.io/Logging_2083/tillsyn/A 49889-2022 tillsynsbegäran.docx", "A 49889-2022")</f>
        <v/>
      </c>
      <c r="Y52">
        <f>HYPERLINK("https://klasma.github.io/Logging_2083/tillsynsmail/A 49889-2022 tillsynsbegäran mail.docx", "A 49889-2022")</f>
        <v/>
      </c>
    </row>
    <row r="53" ht="15" customHeight="1">
      <c r="A53" t="inlineStr">
        <is>
          <t>A 23815-2023</t>
        </is>
      </c>
      <c r="B53" s="1" t="n">
        <v>45078</v>
      </c>
      <c r="C53" s="1" t="n">
        <v>45918</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53031-2023</t>
        </is>
      </c>
      <c r="B54" s="1" t="n">
        <v>45226</v>
      </c>
      <c r="C54" s="1" t="n">
        <v>45918</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53924-2024</t>
        </is>
      </c>
      <c r="B55" s="1" t="n">
        <v>45615</v>
      </c>
      <c r="C55" s="1" t="n">
        <v>45918</v>
      </c>
      <c r="D55" t="inlineStr">
        <is>
          <t>DALARNAS LÄN</t>
        </is>
      </c>
      <c r="E55" t="inlineStr">
        <is>
          <t>HEDEMORA</t>
        </is>
      </c>
      <c r="F55" t="inlineStr">
        <is>
          <t>Sveaskog</t>
        </is>
      </c>
      <c r="G55" t="n">
        <v>3.8</v>
      </c>
      <c r="H55" t="n">
        <v>1</v>
      </c>
      <c r="I55" t="n">
        <v>1</v>
      </c>
      <c r="J55" t="n">
        <v>0</v>
      </c>
      <c r="K55" t="n">
        <v>0</v>
      </c>
      <c r="L55" t="n">
        <v>0</v>
      </c>
      <c r="M55" t="n">
        <v>0</v>
      </c>
      <c r="N55" t="n">
        <v>0</v>
      </c>
      <c r="O55" t="n">
        <v>0</v>
      </c>
      <c r="P55" t="n">
        <v>0</v>
      </c>
      <c r="Q55" t="n">
        <v>1</v>
      </c>
      <c r="R55" s="2" t="inlineStr">
        <is>
          <t>Plattlummer</t>
        </is>
      </c>
      <c r="S55">
        <f>HYPERLINK("https://klasma.github.io/Logging_2083/artfynd/A 53924-2024 artfynd.xlsx", "A 53924-2024")</f>
        <v/>
      </c>
      <c r="T55">
        <f>HYPERLINK("https://klasma.github.io/Logging_2083/kartor/A 53924-2024 karta.png", "A 53924-2024")</f>
        <v/>
      </c>
      <c r="V55">
        <f>HYPERLINK("https://klasma.github.io/Logging_2083/klagomål/A 53924-2024 FSC-klagomål.docx", "A 53924-2024")</f>
        <v/>
      </c>
      <c r="W55">
        <f>HYPERLINK("https://klasma.github.io/Logging_2083/klagomålsmail/A 53924-2024 FSC-klagomål mail.docx", "A 53924-2024")</f>
        <v/>
      </c>
      <c r="X55">
        <f>HYPERLINK("https://klasma.github.io/Logging_2083/tillsyn/A 53924-2024 tillsynsbegäran.docx", "A 53924-2024")</f>
        <v/>
      </c>
      <c r="Y55">
        <f>HYPERLINK("https://klasma.github.io/Logging_2083/tillsynsmail/A 53924-2024 tillsynsbegäran mail.docx", "A 53924-2024")</f>
        <v/>
      </c>
    </row>
    <row r="56" ht="15" customHeight="1">
      <c r="A56" t="inlineStr">
        <is>
          <t>A 17590-2025</t>
        </is>
      </c>
      <c r="B56" s="1" t="n">
        <v>45757.69396990741</v>
      </c>
      <c r="C56" s="1" t="n">
        <v>45918</v>
      </c>
      <c r="D56" t="inlineStr">
        <is>
          <t>DALARNAS LÄN</t>
        </is>
      </c>
      <c r="E56" t="inlineStr">
        <is>
          <t>HEDEMORA</t>
        </is>
      </c>
      <c r="G56" t="n">
        <v>0.6</v>
      </c>
      <c r="H56" t="n">
        <v>0</v>
      </c>
      <c r="I56" t="n">
        <v>0</v>
      </c>
      <c r="J56" t="n">
        <v>1</v>
      </c>
      <c r="K56" t="n">
        <v>0</v>
      </c>
      <c r="L56" t="n">
        <v>0</v>
      </c>
      <c r="M56" t="n">
        <v>0</v>
      </c>
      <c r="N56" t="n">
        <v>0</v>
      </c>
      <c r="O56" t="n">
        <v>1</v>
      </c>
      <c r="P56" t="n">
        <v>0</v>
      </c>
      <c r="Q56" t="n">
        <v>1</v>
      </c>
      <c r="R56" s="2" t="inlineStr">
        <is>
          <t>Garnlav</t>
        </is>
      </c>
      <c r="S56">
        <f>HYPERLINK("https://klasma.github.io/Logging_2083/artfynd/A 17590-2025 artfynd.xlsx", "A 17590-2025")</f>
        <v/>
      </c>
      <c r="T56">
        <f>HYPERLINK("https://klasma.github.io/Logging_2083/kartor/A 17590-2025 karta.png", "A 17590-2025")</f>
        <v/>
      </c>
      <c r="V56">
        <f>HYPERLINK("https://klasma.github.io/Logging_2083/klagomål/A 17590-2025 FSC-klagomål.docx", "A 17590-2025")</f>
        <v/>
      </c>
      <c r="W56">
        <f>HYPERLINK("https://klasma.github.io/Logging_2083/klagomålsmail/A 17590-2025 FSC-klagomål mail.docx", "A 17590-2025")</f>
        <v/>
      </c>
      <c r="X56">
        <f>HYPERLINK("https://klasma.github.io/Logging_2083/tillsyn/A 17590-2025 tillsynsbegäran.docx", "A 17590-2025")</f>
        <v/>
      </c>
      <c r="Y56">
        <f>HYPERLINK("https://klasma.github.io/Logging_2083/tillsynsmail/A 17590-2025 tillsynsbegäran mail.docx", "A 17590-2025")</f>
        <v/>
      </c>
    </row>
    <row r="57" ht="15" customHeight="1">
      <c r="A57" t="inlineStr">
        <is>
          <t>A 28181-2025</t>
        </is>
      </c>
      <c r="B57" s="1" t="n">
        <v>45818.39921296296</v>
      </c>
      <c r="C57" s="1" t="n">
        <v>45918</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13986-2023</t>
        </is>
      </c>
      <c r="B58" s="1" t="n">
        <v>45008</v>
      </c>
      <c r="C58" s="1" t="n">
        <v>45918</v>
      </c>
      <c r="D58" t="inlineStr">
        <is>
          <t>DALARNAS LÄN</t>
        </is>
      </c>
      <c r="E58" t="inlineStr">
        <is>
          <t>HEDEMORA</t>
        </is>
      </c>
      <c r="G58" t="n">
        <v>0.8</v>
      </c>
      <c r="H58" t="n">
        <v>1</v>
      </c>
      <c r="I58" t="n">
        <v>0</v>
      </c>
      <c r="J58" t="n">
        <v>0</v>
      </c>
      <c r="K58" t="n">
        <v>1</v>
      </c>
      <c r="L58" t="n">
        <v>0</v>
      </c>
      <c r="M58" t="n">
        <v>0</v>
      </c>
      <c r="N58" t="n">
        <v>0</v>
      </c>
      <c r="O58" t="n">
        <v>1</v>
      </c>
      <c r="P58" t="n">
        <v>1</v>
      </c>
      <c r="Q58" t="n">
        <v>1</v>
      </c>
      <c r="R58" s="2" t="inlineStr">
        <is>
          <t>Knärot</t>
        </is>
      </c>
      <c r="S58">
        <f>HYPERLINK("https://klasma.github.io/Logging_2083/artfynd/A 13986-2023 artfynd.xlsx", "A 13986-2023")</f>
        <v/>
      </c>
      <c r="T58">
        <f>HYPERLINK("https://klasma.github.io/Logging_2083/kartor/A 13986-2023 karta.png", "A 13986-2023")</f>
        <v/>
      </c>
      <c r="U58">
        <f>HYPERLINK("https://klasma.github.io/Logging_2083/knärot/A 13986-2023 karta knärot.png", "A 13986-2023")</f>
        <v/>
      </c>
      <c r="V58">
        <f>HYPERLINK("https://klasma.github.io/Logging_2083/klagomål/A 13986-2023 FSC-klagomål.docx", "A 13986-2023")</f>
        <v/>
      </c>
      <c r="W58">
        <f>HYPERLINK("https://klasma.github.io/Logging_2083/klagomålsmail/A 13986-2023 FSC-klagomål mail.docx", "A 13986-2023")</f>
        <v/>
      </c>
      <c r="X58">
        <f>HYPERLINK("https://klasma.github.io/Logging_2083/tillsyn/A 13986-2023 tillsynsbegäran.docx", "A 13986-2023")</f>
        <v/>
      </c>
      <c r="Y58">
        <f>HYPERLINK("https://klasma.github.io/Logging_2083/tillsynsmail/A 13986-2023 tillsynsbegäran mail.docx", "A 13986-2023")</f>
        <v/>
      </c>
    </row>
    <row r="59" ht="15" customHeight="1">
      <c r="A59" t="inlineStr">
        <is>
          <t>A 38724-2025</t>
        </is>
      </c>
      <c r="B59" s="1" t="n">
        <v>45887.29802083333</v>
      </c>
      <c r="C59" s="1" t="n">
        <v>45918</v>
      </c>
      <c r="D59" t="inlineStr">
        <is>
          <t>DALARNAS LÄN</t>
        </is>
      </c>
      <c r="E59" t="inlineStr">
        <is>
          <t>HEDEMORA</t>
        </is>
      </c>
      <c r="G59" t="n">
        <v>5</v>
      </c>
      <c r="H59" t="n">
        <v>0</v>
      </c>
      <c r="I59" t="n">
        <v>0</v>
      </c>
      <c r="J59" t="n">
        <v>1</v>
      </c>
      <c r="K59" t="n">
        <v>0</v>
      </c>
      <c r="L59" t="n">
        <v>0</v>
      </c>
      <c r="M59" t="n">
        <v>0</v>
      </c>
      <c r="N59" t="n">
        <v>0</v>
      </c>
      <c r="O59" t="n">
        <v>1</v>
      </c>
      <c r="P59" t="n">
        <v>0</v>
      </c>
      <c r="Q59" t="n">
        <v>1</v>
      </c>
      <c r="R59" s="2" t="inlineStr">
        <is>
          <t>Odörspindling</t>
        </is>
      </c>
      <c r="S59">
        <f>HYPERLINK("https://klasma.github.io/Logging_2083/artfynd/A 38724-2025 artfynd.xlsx", "A 38724-2025")</f>
        <v/>
      </c>
      <c r="T59">
        <f>HYPERLINK("https://klasma.github.io/Logging_2083/kartor/A 38724-2025 karta.png", "A 38724-2025")</f>
        <v/>
      </c>
      <c r="V59">
        <f>HYPERLINK("https://klasma.github.io/Logging_2083/klagomål/A 38724-2025 FSC-klagomål.docx", "A 38724-2025")</f>
        <v/>
      </c>
      <c r="W59">
        <f>HYPERLINK("https://klasma.github.io/Logging_2083/klagomålsmail/A 38724-2025 FSC-klagomål mail.docx", "A 38724-2025")</f>
        <v/>
      </c>
      <c r="X59">
        <f>HYPERLINK("https://klasma.github.io/Logging_2083/tillsyn/A 38724-2025 tillsynsbegäran.docx", "A 38724-2025")</f>
        <v/>
      </c>
      <c r="Y59">
        <f>HYPERLINK("https://klasma.github.io/Logging_2083/tillsynsmail/A 38724-2025 tillsynsbegäran mail.docx", "A 38724-2025")</f>
        <v/>
      </c>
    </row>
    <row r="60" ht="15" customHeight="1">
      <c r="A60" t="inlineStr">
        <is>
          <t>A 33968-2025</t>
        </is>
      </c>
      <c r="B60" s="1" t="n">
        <v>45842</v>
      </c>
      <c r="C60" s="1" t="n">
        <v>45918</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39396-2025</t>
        </is>
      </c>
      <c r="B61" s="1" t="n">
        <v>45889.63289351852</v>
      </c>
      <c r="C61" s="1" t="n">
        <v>45918</v>
      </c>
      <c r="D61" t="inlineStr">
        <is>
          <t>DALARNAS LÄN</t>
        </is>
      </c>
      <c r="E61" t="inlineStr">
        <is>
          <t>HEDEMORA</t>
        </is>
      </c>
      <c r="F61" t="inlineStr">
        <is>
          <t>Sveaskog</t>
        </is>
      </c>
      <c r="G61" t="n">
        <v>4.3</v>
      </c>
      <c r="H61" t="n">
        <v>1</v>
      </c>
      <c r="I61" t="n">
        <v>0</v>
      </c>
      <c r="J61" t="n">
        <v>0</v>
      </c>
      <c r="K61" t="n">
        <v>1</v>
      </c>
      <c r="L61" t="n">
        <v>0</v>
      </c>
      <c r="M61" t="n">
        <v>0</v>
      </c>
      <c r="N61" t="n">
        <v>0</v>
      </c>
      <c r="O61" t="n">
        <v>1</v>
      </c>
      <c r="P61" t="n">
        <v>1</v>
      </c>
      <c r="Q61" t="n">
        <v>1</v>
      </c>
      <c r="R61" s="2" t="inlineStr">
        <is>
          <t>Knärot</t>
        </is>
      </c>
      <c r="S61">
        <f>HYPERLINK("https://klasma.github.io/Logging_2083/artfynd/A 39396-2025 artfynd.xlsx", "A 39396-2025")</f>
        <v/>
      </c>
      <c r="T61">
        <f>HYPERLINK("https://klasma.github.io/Logging_2083/kartor/A 39396-2025 karta.png", "A 39396-2025")</f>
        <v/>
      </c>
      <c r="U61">
        <f>HYPERLINK("https://klasma.github.io/Logging_2083/knärot/A 39396-2025 karta knärot.png", "A 39396-2025")</f>
        <v/>
      </c>
      <c r="V61">
        <f>HYPERLINK("https://klasma.github.io/Logging_2083/klagomål/A 39396-2025 FSC-klagomål.docx", "A 39396-2025")</f>
        <v/>
      </c>
      <c r="W61">
        <f>HYPERLINK("https://klasma.github.io/Logging_2083/klagomålsmail/A 39396-2025 FSC-klagomål mail.docx", "A 39396-2025")</f>
        <v/>
      </c>
      <c r="X61">
        <f>HYPERLINK("https://klasma.github.io/Logging_2083/tillsyn/A 39396-2025 tillsynsbegäran.docx", "A 39396-2025")</f>
        <v/>
      </c>
      <c r="Y61">
        <f>HYPERLINK("https://klasma.github.io/Logging_2083/tillsynsmail/A 39396-2025 tillsynsbegäran mail.docx", "A 39396-2025")</f>
        <v/>
      </c>
    </row>
    <row r="62" ht="15" customHeight="1">
      <c r="A62" t="inlineStr">
        <is>
          <t>A 15036-2025</t>
        </is>
      </c>
      <c r="B62" s="1" t="n">
        <v>45743.68125</v>
      </c>
      <c r="C62" s="1" t="n">
        <v>45918</v>
      </c>
      <c r="D62" t="inlineStr">
        <is>
          <t>DALARNAS LÄN</t>
        </is>
      </c>
      <c r="E62" t="inlineStr">
        <is>
          <t>HEDEMORA</t>
        </is>
      </c>
      <c r="F62" t="inlineStr">
        <is>
          <t>Sveaskog</t>
        </is>
      </c>
      <c r="G62" t="n">
        <v>20.4</v>
      </c>
      <c r="H62" t="n">
        <v>0</v>
      </c>
      <c r="I62" t="n">
        <v>0</v>
      </c>
      <c r="J62" t="n">
        <v>1</v>
      </c>
      <c r="K62" t="n">
        <v>0</v>
      </c>
      <c r="L62" t="n">
        <v>0</v>
      </c>
      <c r="M62" t="n">
        <v>0</v>
      </c>
      <c r="N62" t="n">
        <v>0</v>
      </c>
      <c r="O62" t="n">
        <v>1</v>
      </c>
      <c r="P62" t="n">
        <v>0</v>
      </c>
      <c r="Q62" t="n">
        <v>1</v>
      </c>
      <c r="R62" s="2" t="inlineStr">
        <is>
          <t>Kolflarnlav</t>
        </is>
      </c>
      <c r="S62">
        <f>HYPERLINK("https://klasma.github.io/Logging_2083/artfynd/A 15036-2025 artfynd.xlsx", "A 15036-2025")</f>
        <v/>
      </c>
      <c r="T62">
        <f>HYPERLINK("https://klasma.github.io/Logging_2083/kartor/A 15036-2025 karta.png", "A 15036-2025")</f>
        <v/>
      </c>
      <c r="V62">
        <f>HYPERLINK("https://klasma.github.io/Logging_2083/klagomål/A 15036-2025 FSC-klagomål.docx", "A 15036-2025")</f>
        <v/>
      </c>
      <c r="W62">
        <f>HYPERLINK("https://klasma.github.io/Logging_2083/klagomålsmail/A 15036-2025 FSC-klagomål mail.docx", "A 15036-2025")</f>
        <v/>
      </c>
      <c r="X62">
        <f>HYPERLINK("https://klasma.github.io/Logging_2083/tillsyn/A 15036-2025 tillsynsbegäran.docx", "A 15036-2025")</f>
        <v/>
      </c>
      <c r="Y62">
        <f>HYPERLINK("https://klasma.github.io/Logging_2083/tillsynsmail/A 15036-2025 tillsynsbegäran mail.docx", "A 15036-2025")</f>
        <v/>
      </c>
    </row>
    <row r="63" ht="15" customHeight="1">
      <c r="A63" t="inlineStr">
        <is>
          <t>A 41333-2025</t>
        </is>
      </c>
      <c r="B63" s="1" t="n">
        <v>45899.35854166667</v>
      </c>
      <c r="C63" s="1" t="n">
        <v>45918</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15058-2025</t>
        </is>
      </c>
      <c r="B64" s="1" t="n">
        <v>45743.70716435185</v>
      </c>
      <c r="C64" s="1" t="n">
        <v>45918</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12905-2025</t>
        </is>
      </c>
      <c r="B65" s="1" t="n">
        <v>45733</v>
      </c>
      <c r="C65" s="1" t="n">
        <v>45918</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19094-2025</t>
        </is>
      </c>
      <c r="B66" s="1" t="n">
        <v>45767.54942129629</v>
      </c>
      <c r="C66" s="1" t="n">
        <v>45918</v>
      </c>
      <c r="D66" t="inlineStr">
        <is>
          <t>DALARNAS LÄN</t>
        </is>
      </c>
      <c r="E66" t="inlineStr">
        <is>
          <t>HEDEMORA</t>
        </is>
      </c>
      <c r="F66" t="inlineStr">
        <is>
          <t>Sveaskog</t>
        </is>
      </c>
      <c r="G66" t="n">
        <v>16.9</v>
      </c>
      <c r="H66" t="n">
        <v>1</v>
      </c>
      <c r="I66" t="n">
        <v>1</v>
      </c>
      <c r="J66" t="n">
        <v>0</v>
      </c>
      <c r="K66" t="n">
        <v>0</v>
      </c>
      <c r="L66" t="n">
        <v>0</v>
      </c>
      <c r="M66" t="n">
        <v>0</v>
      </c>
      <c r="N66" t="n">
        <v>0</v>
      </c>
      <c r="O66" t="n">
        <v>0</v>
      </c>
      <c r="P66" t="n">
        <v>0</v>
      </c>
      <c r="Q66" t="n">
        <v>1</v>
      </c>
      <c r="R66" s="2" t="inlineStr">
        <is>
          <t>Plattlummer</t>
        </is>
      </c>
      <c r="S66">
        <f>HYPERLINK("https://klasma.github.io/Logging_2083/artfynd/A 19094-2025 artfynd.xlsx", "A 19094-2025")</f>
        <v/>
      </c>
      <c r="T66">
        <f>HYPERLINK("https://klasma.github.io/Logging_2083/kartor/A 19094-2025 karta.png", "A 19094-2025")</f>
        <v/>
      </c>
      <c r="V66">
        <f>HYPERLINK("https://klasma.github.io/Logging_2083/klagomål/A 19094-2025 FSC-klagomål.docx", "A 19094-2025")</f>
        <v/>
      </c>
      <c r="W66">
        <f>HYPERLINK("https://klasma.github.io/Logging_2083/klagomålsmail/A 19094-2025 FSC-klagomål mail.docx", "A 19094-2025")</f>
        <v/>
      </c>
      <c r="X66">
        <f>HYPERLINK("https://klasma.github.io/Logging_2083/tillsyn/A 19094-2025 tillsynsbegäran.docx", "A 19094-2025")</f>
        <v/>
      </c>
      <c r="Y66">
        <f>HYPERLINK("https://klasma.github.io/Logging_2083/tillsynsmail/A 19094-2025 tillsynsbegäran mail.docx", "A 19094-2025")</f>
        <v/>
      </c>
    </row>
    <row r="67" ht="15" customHeight="1">
      <c r="A67" t="inlineStr">
        <is>
          <t>A 44598-2025</t>
        </is>
      </c>
      <c r="B67" s="1" t="n">
        <v>45917.43056712963</v>
      </c>
      <c r="C67" s="1" t="n">
        <v>45918</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15125-2021</t>
        </is>
      </c>
      <c r="B68" s="1" t="n">
        <v>44283</v>
      </c>
      <c r="C68" s="1" t="n">
        <v>45918</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45918</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45918</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45918</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45918</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45918</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45918</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45918</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45918</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45918</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45918</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45918</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45918</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45918</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45918</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54198-2022</t>
        </is>
      </c>
      <c r="B83" s="1" t="n">
        <v>44881.69982638889</v>
      </c>
      <c r="C83" s="1" t="n">
        <v>45918</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45918</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54347-2020</t>
        </is>
      </c>
      <c r="B85" s="1" t="n">
        <v>44126</v>
      </c>
      <c r="C85" s="1" t="n">
        <v>45918</v>
      </c>
      <c r="D85" t="inlineStr">
        <is>
          <t>DALARNAS LÄN</t>
        </is>
      </c>
      <c r="E85" t="inlineStr">
        <is>
          <t>HEDEMORA</t>
        </is>
      </c>
      <c r="G85" t="n">
        <v>4.1</v>
      </c>
      <c r="H85" t="n">
        <v>0</v>
      </c>
      <c r="I85" t="n">
        <v>0</v>
      </c>
      <c r="J85" t="n">
        <v>0</v>
      </c>
      <c r="K85" t="n">
        <v>0</v>
      </c>
      <c r="L85" t="n">
        <v>0</v>
      </c>
      <c r="M85" t="n">
        <v>0</v>
      </c>
      <c r="N85" t="n">
        <v>0</v>
      </c>
      <c r="O85" t="n">
        <v>0</v>
      </c>
      <c r="P85" t="n">
        <v>0</v>
      </c>
      <c r="Q85" t="n">
        <v>0</v>
      </c>
      <c r="R85" s="2" t="inlineStr"/>
    </row>
    <row r="86" ht="15" customHeight="1">
      <c r="A86" t="inlineStr">
        <is>
          <t>A 1916-2021</t>
        </is>
      </c>
      <c r="B86" s="1" t="n">
        <v>44210</v>
      </c>
      <c r="C86" s="1" t="n">
        <v>45918</v>
      </c>
      <c r="D86" t="inlineStr">
        <is>
          <t>DALARNAS LÄN</t>
        </is>
      </c>
      <c r="E86" t="inlineStr">
        <is>
          <t>HEDEMORA</t>
        </is>
      </c>
      <c r="G86" t="n">
        <v>0.7</v>
      </c>
      <c r="H86" t="n">
        <v>0</v>
      </c>
      <c r="I86" t="n">
        <v>0</v>
      </c>
      <c r="J86" t="n">
        <v>0</v>
      </c>
      <c r="K86" t="n">
        <v>0</v>
      </c>
      <c r="L86" t="n">
        <v>0</v>
      </c>
      <c r="M86" t="n">
        <v>0</v>
      </c>
      <c r="N86" t="n">
        <v>0</v>
      </c>
      <c r="O86" t="n">
        <v>0</v>
      </c>
      <c r="P86" t="n">
        <v>0</v>
      </c>
      <c r="Q86" t="n">
        <v>0</v>
      </c>
      <c r="R86" s="2" t="inlineStr"/>
    </row>
    <row r="87" ht="15" customHeight="1">
      <c r="A87" t="inlineStr">
        <is>
          <t>A 51181-2022</t>
        </is>
      </c>
      <c r="B87" s="1" t="n">
        <v>44868.5756712963</v>
      </c>
      <c r="C87" s="1" t="n">
        <v>45918</v>
      </c>
      <c r="D87" t="inlineStr">
        <is>
          <t>DALARNAS LÄN</t>
        </is>
      </c>
      <c r="E87" t="inlineStr">
        <is>
          <t>HEDEMORA</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39506-2022</t>
        </is>
      </c>
      <c r="B88" s="1" t="n">
        <v>44817</v>
      </c>
      <c r="C88" s="1" t="n">
        <v>45918</v>
      </c>
      <c r="D88" t="inlineStr">
        <is>
          <t>DALARNAS LÄN</t>
        </is>
      </c>
      <c r="E88" t="inlineStr">
        <is>
          <t>HEDEMORA</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46235-2021</t>
        </is>
      </c>
      <c r="B89" s="1" t="n">
        <v>44442</v>
      </c>
      <c r="C89" s="1" t="n">
        <v>45918</v>
      </c>
      <c r="D89" t="inlineStr">
        <is>
          <t>DALARNAS LÄN</t>
        </is>
      </c>
      <c r="E89" t="inlineStr">
        <is>
          <t>HEDEMORA</t>
        </is>
      </c>
      <c r="G89" t="n">
        <v>2.5</v>
      </c>
      <c r="H89" t="n">
        <v>0</v>
      </c>
      <c r="I89" t="n">
        <v>0</v>
      </c>
      <c r="J89" t="n">
        <v>0</v>
      </c>
      <c r="K89" t="n">
        <v>0</v>
      </c>
      <c r="L89" t="n">
        <v>0</v>
      </c>
      <c r="M89" t="n">
        <v>0</v>
      </c>
      <c r="N89" t="n">
        <v>0</v>
      </c>
      <c r="O89" t="n">
        <v>0</v>
      </c>
      <c r="P89" t="n">
        <v>0</v>
      </c>
      <c r="Q89" t="n">
        <v>0</v>
      </c>
      <c r="R89" s="2" t="inlineStr"/>
    </row>
    <row r="90" ht="15" customHeight="1">
      <c r="A90" t="inlineStr">
        <is>
          <t>A 59495-2021</t>
        </is>
      </c>
      <c r="B90" s="1" t="n">
        <v>44491.53346064815</v>
      </c>
      <c r="C90" s="1" t="n">
        <v>45918</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30574-2021</t>
        </is>
      </c>
      <c r="B91" s="1" t="n">
        <v>44364.83538194445</v>
      </c>
      <c r="C91" s="1" t="n">
        <v>45918</v>
      </c>
      <c r="D91" t="inlineStr">
        <is>
          <t>DALARNAS LÄN</t>
        </is>
      </c>
      <c r="E91" t="inlineStr">
        <is>
          <t>HEDEMORA</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53443-2021</t>
        </is>
      </c>
      <c r="B92" s="1" t="n">
        <v>44468</v>
      </c>
      <c r="C92" s="1" t="n">
        <v>45918</v>
      </c>
      <c r="D92" t="inlineStr">
        <is>
          <t>DALARNAS LÄN</t>
        </is>
      </c>
      <c r="E92" t="inlineStr">
        <is>
          <t>HEDEMORA</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52511-2021</t>
        </is>
      </c>
      <c r="B93" s="1" t="n">
        <v>44466.44400462963</v>
      </c>
      <c r="C93" s="1" t="n">
        <v>45918</v>
      </c>
      <c r="D93" t="inlineStr">
        <is>
          <t>DALARNAS LÄN</t>
        </is>
      </c>
      <c r="E93" t="inlineStr">
        <is>
          <t>HEDEMORA</t>
        </is>
      </c>
      <c r="G93" t="n">
        <v>0.6</v>
      </c>
      <c r="H93" t="n">
        <v>0</v>
      </c>
      <c r="I93" t="n">
        <v>0</v>
      </c>
      <c r="J93" t="n">
        <v>0</v>
      </c>
      <c r="K93" t="n">
        <v>0</v>
      </c>
      <c r="L93" t="n">
        <v>0</v>
      </c>
      <c r="M93" t="n">
        <v>0</v>
      </c>
      <c r="N93" t="n">
        <v>0</v>
      </c>
      <c r="O93" t="n">
        <v>0</v>
      </c>
      <c r="P93" t="n">
        <v>0</v>
      </c>
      <c r="Q93" t="n">
        <v>0</v>
      </c>
      <c r="R93" s="2" t="inlineStr"/>
    </row>
    <row r="94" ht="15" customHeight="1">
      <c r="A94" t="inlineStr">
        <is>
          <t>A 66064-2020</t>
        </is>
      </c>
      <c r="B94" s="1" t="n">
        <v>44175</v>
      </c>
      <c r="C94" s="1" t="n">
        <v>45918</v>
      </c>
      <c r="D94" t="inlineStr">
        <is>
          <t>DALARNAS LÄN</t>
        </is>
      </c>
      <c r="E94" t="inlineStr">
        <is>
          <t>HEDEMORA</t>
        </is>
      </c>
      <c r="G94" t="n">
        <v>1.7</v>
      </c>
      <c r="H94" t="n">
        <v>0</v>
      </c>
      <c r="I94" t="n">
        <v>0</v>
      </c>
      <c r="J94" t="n">
        <v>0</v>
      </c>
      <c r="K94" t="n">
        <v>0</v>
      </c>
      <c r="L94" t="n">
        <v>0</v>
      </c>
      <c r="M94" t="n">
        <v>0</v>
      </c>
      <c r="N94" t="n">
        <v>0</v>
      </c>
      <c r="O94" t="n">
        <v>0</v>
      </c>
      <c r="P94" t="n">
        <v>0</v>
      </c>
      <c r="Q94" t="n">
        <v>0</v>
      </c>
      <c r="R94" s="2" t="inlineStr"/>
    </row>
    <row r="95" ht="15" customHeight="1">
      <c r="A95" t="inlineStr">
        <is>
          <t>A 52221-2021</t>
        </is>
      </c>
      <c r="B95" s="1" t="n">
        <v>44462</v>
      </c>
      <c r="C95" s="1" t="n">
        <v>45918</v>
      </c>
      <c r="D95" t="inlineStr">
        <is>
          <t>DALARNAS LÄN</t>
        </is>
      </c>
      <c r="E95" t="inlineStr">
        <is>
          <t>HEDEMORA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36865-2022</t>
        </is>
      </c>
      <c r="B96" s="1" t="n">
        <v>44805</v>
      </c>
      <c r="C96" s="1" t="n">
        <v>45918</v>
      </c>
      <c r="D96" t="inlineStr">
        <is>
          <t>DALARNAS LÄN</t>
        </is>
      </c>
      <c r="E96" t="inlineStr">
        <is>
          <t>HEDEMORA</t>
        </is>
      </c>
      <c r="G96" t="n">
        <v>2.1</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45918</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45918</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50441-2021</t>
        </is>
      </c>
      <c r="B99" s="1" t="n">
        <v>44456</v>
      </c>
      <c r="C99" s="1" t="n">
        <v>45918</v>
      </c>
      <c r="D99" t="inlineStr">
        <is>
          <t>DALARNAS LÄN</t>
        </is>
      </c>
      <c r="E99" t="inlineStr">
        <is>
          <t>HEDEMORA</t>
        </is>
      </c>
      <c r="F99" t="inlineStr">
        <is>
          <t>Bergvik skog väst AB</t>
        </is>
      </c>
      <c r="G99" t="n">
        <v>6.4</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45918</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1666-2022</t>
        </is>
      </c>
      <c r="B101" s="1" t="n">
        <v>44574</v>
      </c>
      <c r="C101" s="1" t="n">
        <v>45918</v>
      </c>
      <c r="D101" t="inlineStr">
        <is>
          <t>DALARNAS LÄN</t>
        </is>
      </c>
      <c r="E101" t="inlineStr">
        <is>
          <t>HEDEMORA</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17464-2021</t>
        </is>
      </c>
      <c r="B102" s="1" t="n">
        <v>44299</v>
      </c>
      <c r="C102" s="1" t="n">
        <v>45918</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67282-2021</t>
        </is>
      </c>
      <c r="B103" s="1" t="n">
        <v>44523.6131712963</v>
      </c>
      <c r="C103" s="1" t="n">
        <v>45918</v>
      </c>
      <c r="D103" t="inlineStr">
        <is>
          <t>DALARNAS LÄN</t>
        </is>
      </c>
      <c r="E103" t="inlineStr">
        <is>
          <t>HEDEMORA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48639-2022</t>
        </is>
      </c>
      <c r="B104" s="1" t="n">
        <v>44859</v>
      </c>
      <c r="C104" s="1" t="n">
        <v>45918</v>
      </c>
      <c r="D104" t="inlineStr">
        <is>
          <t>DALARNAS LÄN</t>
        </is>
      </c>
      <c r="E104" t="inlineStr">
        <is>
          <t>HEDEMORA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45918</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45918</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45918</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60418-2021</t>
        </is>
      </c>
      <c r="B108" s="1" t="n">
        <v>44495</v>
      </c>
      <c r="C108" s="1" t="n">
        <v>45918</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57071-2020</t>
        </is>
      </c>
      <c r="B109" s="1" t="n">
        <v>44138</v>
      </c>
      <c r="C109" s="1" t="n">
        <v>45918</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49904-2021</t>
        </is>
      </c>
      <c r="B110" s="1" t="n">
        <v>44455.77041666667</v>
      </c>
      <c r="C110" s="1" t="n">
        <v>45918</v>
      </c>
      <c r="D110" t="inlineStr">
        <is>
          <t>DALARNAS LÄN</t>
        </is>
      </c>
      <c r="E110" t="inlineStr">
        <is>
          <t>HEDEMORA</t>
        </is>
      </c>
      <c r="F110" t="inlineStr">
        <is>
          <t>Sveaskog</t>
        </is>
      </c>
      <c r="G110" t="n">
        <v>7.1</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45918</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15863-2023</t>
        </is>
      </c>
      <c r="B112" s="1" t="n">
        <v>45022</v>
      </c>
      <c r="C112" s="1" t="n">
        <v>45918</v>
      </c>
      <c r="D112" t="inlineStr">
        <is>
          <t>DALARNAS LÄN</t>
        </is>
      </c>
      <c r="E112" t="inlineStr">
        <is>
          <t>HEDEMORA</t>
        </is>
      </c>
      <c r="F112" t="inlineStr">
        <is>
          <t>Bergvik skog väst AB</t>
        </is>
      </c>
      <c r="G112" t="n">
        <v>4.7</v>
      </c>
      <c r="H112" t="n">
        <v>0</v>
      </c>
      <c r="I112" t="n">
        <v>0</v>
      </c>
      <c r="J112" t="n">
        <v>0</v>
      </c>
      <c r="K112" t="n">
        <v>0</v>
      </c>
      <c r="L112" t="n">
        <v>0</v>
      </c>
      <c r="M112" t="n">
        <v>0</v>
      </c>
      <c r="N112" t="n">
        <v>0</v>
      </c>
      <c r="O112" t="n">
        <v>0</v>
      </c>
      <c r="P112" t="n">
        <v>0</v>
      </c>
      <c r="Q112" t="n">
        <v>0</v>
      </c>
      <c r="R112" s="2" t="inlineStr"/>
    </row>
    <row r="113" ht="15" customHeight="1">
      <c r="A113" t="inlineStr">
        <is>
          <t>A 46825-2024</t>
        </is>
      </c>
      <c r="B113" s="1" t="n">
        <v>45583.58040509259</v>
      </c>
      <c r="C113" s="1" t="n">
        <v>45918</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40938-2021</t>
        </is>
      </c>
      <c r="B114" s="1" t="n">
        <v>44421.53498842593</v>
      </c>
      <c r="C114" s="1" t="n">
        <v>45918</v>
      </c>
      <c r="D114" t="inlineStr">
        <is>
          <t>DALARNAS LÄN</t>
        </is>
      </c>
      <c r="E114" t="inlineStr">
        <is>
          <t>HEDEMORA</t>
        </is>
      </c>
      <c r="G114" t="n">
        <v>1</v>
      </c>
      <c r="H114" t="n">
        <v>0</v>
      </c>
      <c r="I114" t="n">
        <v>0</v>
      </c>
      <c r="J114" t="n">
        <v>0</v>
      </c>
      <c r="K114" t="n">
        <v>0</v>
      </c>
      <c r="L114" t="n">
        <v>0</v>
      </c>
      <c r="M114" t="n">
        <v>0</v>
      </c>
      <c r="N114" t="n">
        <v>0</v>
      </c>
      <c r="O114" t="n">
        <v>0</v>
      </c>
      <c r="P114" t="n">
        <v>0</v>
      </c>
      <c r="Q114" t="n">
        <v>0</v>
      </c>
      <c r="R114" s="2" t="inlineStr"/>
    </row>
    <row r="115" ht="15" customHeight="1">
      <c r="A115" t="inlineStr">
        <is>
          <t>A 45377-2024</t>
        </is>
      </c>
      <c r="B115" s="1" t="n">
        <v>45576.51962962963</v>
      </c>
      <c r="C115" s="1" t="n">
        <v>45918</v>
      </c>
      <c r="D115" t="inlineStr">
        <is>
          <t>DALARNAS LÄN</t>
        </is>
      </c>
      <c r="E115" t="inlineStr">
        <is>
          <t>HEDEMORA</t>
        </is>
      </c>
      <c r="G115" t="n">
        <v>1.4</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45918</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45918</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21514-2024</t>
        </is>
      </c>
      <c r="B118" s="1" t="n">
        <v>45441.57538194444</v>
      </c>
      <c r="C118" s="1" t="n">
        <v>45918</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45918</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41642-2023</t>
        </is>
      </c>
      <c r="B120" s="1" t="n">
        <v>45175</v>
      </c>
      <c r="C120" s="1" t="n">
        <v>45918</v>
      </c>
      <c r="D120" t="inlineStr">
        <is>
          <t>DALARNAS LÄN</t>
        </is>
      </c>
      <c r="E120" t="inlineStr">
        <is>
          <t>HEDEMORA</t>
        </is>
      </c>
      <c r="G120" t="n">
        <v>2.8</v>
      </c>
      <c r="H120" t="n">
        <v>0</v>
      </c>
      <c r="I120" t="n">
        <v>0</v>
      </c>
      <c r="J120" t="n">
        <v>0</v>
      </c>
      <c r="K120" t="n">
        <v>0</v>
      </c>
      <c r="L120" t="n">
        <v>0</v>
      </c>
      <c r="M120" t="n">
        <v>0</v>
      </c>
      <c r="N120" t="n">
        <v>0</v>
      </c>
      <c r="O120" t="n">
        <v>0</v>
      </c>
      <c r="P120" t="n">
        <v>0</v>
      </c>
      <c r="Q120" t="n">
        <v>0</v>
      </c>
      <c r="R120" s="2" t="inlineStr"/>
    </row>
    <row r="121" ht="15" customHeight="1">
      <c r="A121" t="inlineStr">
        <is>
          <t>A 30572-2021</t>
        </is>
      </c>
      <c r="B121" s="1" t="n">
        <v>44364.83369212963</v>
      </c>
      <c r="C121" s="1" t="n">
        <v>45918</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29591-2024</t>
        </is>
      </c>
      <c r="B122" s="1" t="n">
        <v>45484.58222222222</v>
      </c>
      <c r="C122" s="1" t="n">
        <v>45918</v>
      </c>
      <c r="D122" t="inlineStr">
        <is>
          <t>DALARNAS LÄN</t>
        </is>
      </c>
      <c r="E122" t="inlineStr">
        <is>
          <t>HEDEMORA</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41523-2023</t>
        </is>
      </c>
      <c r="B123" s="1" t="n">
        <v>45172</v>
      </c>
      <c r="C123" s="1" t="n">
        <v>45918</v>
      </c>
      <c r="D123" t="inlineStr">
        <is>
          <t>DALARNAS LÄN</t>
        </is>
      </c>
      <c r="E123" t="inlineStr">
        <is>
          <t>HEDEMORA</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54310-2021</t>
        </is>
      </c>
      <c r="B124" s="1" t="n">
        <v>44472.54035879629</v>
      </c>
      <c r="C124" s="1" t="n">
        <v>45918</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44957-2021</t>
        </is>
      </c>
      <c r="B125" s="1" t="n">
        <v>44438.71809027778</v>
      </c>
      <c r="C125" s="1" t="n">
        <v>45918</v>
      </c>
      <c r="D125" t="inlineStr">
        <is>
          <t>DALARNAS LÄN</t>
        </is>
      </c>
      <c r="E125" t="inlineStr">
        <is>
          <t>HEDEMORA</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58018-2022</t>
        </is>
      </c>
      <c r="B126" s="1" t="n">
        <v>44900.53383101852</v>
      </c>
      <c r="C126" s="1" t="n">
        <v>45918</v>
      </c>
      <c r="D126" t="inlineStr">
        <is>
          <t>DALARNAS LÄN</t>
        </is>
      </c>
      <c r="E126" t="inlineStr">
        <is>
          <t>HEDEMORA</t>
        </is>
      </c>
      <c r="G126" t="n">
        <v>3.6</v>
      </c>
      <c r="H126" t="n">
        <v>0</v>
      </c>
      <c r="I126" t="n">
        <v>0</v>
      </c>
      <c r="J126" t="n">
        <v>0</v>
      </c>
      <c r="K126" t="n">
        <v>0</v>
      </c>
      <c r="L126" t="n">
        <v>0</v>
      </c>
      <c r="M126" t="n">
        <v>0</v>
      </c>
      <c r="N126" t="n">
        <v>0</v>
      </c>
      <c r="O126" t="n">
        <v>0</v>
      </c>
      <c r="P126" t="n">
        <v>0</v>
      </c>
      <c r="Q126" t="n">
        <v>0</v>
      </c>
      <c r="R126" s="2" t="inlineStr"/>
    </row>
    <row r="127" ht="15" customHeight="1">
      <c r="A127" t="inlineStr">
        <is>
          <t>A 2996-2023</t>
        </is>
      </c>
      <c r="B127" s="1" t="n">
        <v>44945</v>
      </c>
      <c r="C127" s="1" t="n">
        <v>45918</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69624-2021</t>
        </is>
      </c>
      <c r="B128" s="1" t="n">
        <v>44532.41442129629</v>
      </c>
      <c r="C128" s="1" t="n">
        <v>45918</v>
      </c>
      <c r="D128" t="inlineStr">
        <is>
          <t>DALARNAS LÄN</t>
        </is>
      </c>
      <c r="E128" t="inlineStr">
        <is>
          <t>HEDEMORA</t>
        </is>
      </c>
      <c r="G128" t="n">
        <v>0.4</v>
      </c>
      <c r="H128" t="n">
        <v>0</v>
      </c>
      <c r="I128" t="n">
        <v>0</v>
      </c>
      <c r="J128" t="n">
        <v>0</v>
      </c>
      <c r="K128" t="n">
        <v>0</v>
      </c>
      <c r="L128" t="n">
        <v>0</v>
      </c>
      <c r="M128" t="n">
        <v>0</v>
      </c>
      <c r="N128" t="n">
        <v>0</v>
      </c>
      <c r="O128" t="n">
        <v>0</v>
      </c>
      <c r="P128" t="n">
        <v>0</v>
      </c>
      <c r="Q128" t="n">
        <v>0</v>
      </c>
      <c r="R128" s="2" t="inlineStr"/>
    </row>
    <row r="129" ht="15" customHeight="1">
      <c r="A129" t="inlineStr">
        <is>
          <t>A 46217-2023</t>
        </is>
      </c>
      <c r="B129" s="1" t="n">
        <v>45190</v>
      </c>
      <c r="C129" s="1" t="n">
        <v>45918</v>
      </c>
      <c r="D129" t="inlineStr">
        <is>
          <t>DALARNAS LÄN</t>
        </is>
      </c>
      <c r="E129" t="inlineStr">
        <is>
          <t>HEDEMORA</t>
        </is>
      </c>
      <c r="F129" t="inlineStr">
        <is>
          <t>Bergvik skog väst AB</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57779-2020</t>
        </is>
      </c>
      <c r="B130" s="1" t="n">
        <v>44141</v>
      </c>
      <c r="C130" s="1" t="n">
        <v>45918</v>
      </c>
      <c r="D130" t="inlineStr">
        <is>
          <t>DALARNAS LÄN</t>
        </is>
      </c>
      <c r="E130" t="inlineStr">
        <is>
          <t>HEDEMORA</t>
        </is>
      </c>
      <c r="G130" t="n">
        <v>0.8</v>
      </c>
      <c r="H130" t="n">
        <v>0</v>
      </c>
      <c r="I130" t="n">
        <v>0</v>
      </c>
      <c r="J130" t="n">
        <v>0</v>
      </c>
      <c r="K130" t="n">
        <v>0</v>
      </c>
      <c r="L130" t="n">
        <v>0</v>
      </c>
      <c r="M130" t="n">
        <v>0</v>
      </c>
      <c r="N130" t="n">
        <v>0</v>
      </c>
      <c r="O130" t="n">
        <v>0</v>
      </c>
      <c r="P130" t="n">
        <v>0</v>
      </c>
      <c r="Q130" t="n">
        <v>0</v>
      </c>
      <c r="R130" s="2" t="inlineStr"/>
    </row>
    <row r="131" ht="15" customHeight="1">
      <c r="A131" t="inlineStr">
        <is>
          <t>A 15635-2022</t>
        </is>
      </c>
      <c r="B131" s="1" t="n">
        <v>44662.84958333334</v>
      </c>
      <c r="C131" s="1" t="n">
        <v>45918</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21092-2023</t>
        </is>
      </c>
      <c r="B132" s="1" t="n">
        <v>45061</v>
      </c>
      <c r="C132" s="1" t="n">
        <v>45918</v>
      </c>
      <c r="D132" t="inlineStr">
        <is>
          <t>DALARNAS LÄN</t>
        </is>
      </c>
      <c r="E132" t="inlineStr">
        <is>
          <t>HEDEMORA</t>
        </is>
      </c>
      <c r="F132" t="inlineStr">
        <is>
          <t>Sveaskog</t>
        </is>
      </c>
      <c r="G132" t="n">
        <v>0.1</v>
      </c>
      <c r="H132" t="n">
        <v>0</v>
      </c>
      <c r="I132" t="n">
        <v>0</v>
      </c>
      <c r="J132" t="n">
        <v>0</v>
      </c>
      <c r="K132" t="n">
        <v>0</v>
      </c>
      <c r="L132" t="n">
        <v>0</v>
      </c>
      <c r="M132" t="n">
        <v>0</v>
      </c>
      <c r="N132" t="n">
        <v>0</v>
      </c>
      <c r="O132" t="n">
        <v>0</v>
      </c>
      <c r="P132" t="n">
        <v>0</v>
      </c>
      <c r="Q132" t="n">
        <v>0</v>
      </c>
      <c r="R132" s="2" t="inlineStr"/>
    </row>
    <row r="133" ht="15" customHeight="1">
      <c r="A133" t="inlineStr">
        <is>
          <t>A 23934-2023</t>
        </is>
      </c>
      <c r="B133" s="1" t="n">
        <v>45078.59590277778</v>
      </c>
      <c r="C133" s="1" t="n">
        <v>45918</v>
      </c>
      <c r="D133" t="inlineStr">
        <is>
          <t>DALARNAS LÄN</t>
        </is>
      </c>
      <c r="E133" t="inlineStr">
        <is>
          <t>HEDEMORA</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7172-2025</t>
        </is>
      </c>
      <c r="B134" s="1" t="n">
        <v>45702.41383101852</v>
      </c>
      <c r="C134" s="1" t="n">
        <v>45918</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53568-2023</t>
        </is>
      </c>
      <c r="B135" s="1" t="n">
        <v>45230.49392361111</v>
      </c>
      <c r="C135" s="1" t="n">
        <v>45918</v>
      </c>
      <c r="D135" t="inlineStr">
        <is>
          <t>DALARNAS LÄN</t>
        </is>
      </c>
      <c r="E135" t="inlineStr">
        <is>
          <t>HEDEMORA</t>
        </is>
      </c>
      <c r="G135" t="n">
        <v>1.2</v>
      </c>
      <c r="H135" t="n">
        <v>0</v>
      </c>
      <c r="I135" t="n">
        <v>0</v>
      </c>
      <c r="J135" t="n">
        <v>0</v>
      </c>
      <c r="K135" t="n">
        <v>0</v>
      </c>
      <c r="L135" t="n">
        <v>0</v>
      </c>
      <c r="M135" t="n">
        <v>0</v>
      </c>
      <c r="N135" t="n">
        <v>0</v>
      </c>
      <c r="O135" t="n">
        <v>0</v>
      </c>
      <c r="P135" t="n">
        <v>0</v>
      </c>
      <c r="Q135" t="n">
        <v>0</v>
      </c>
      <c r="R135" s="2" t="inlineStr"/>
    </row>
    <row r="136" ht="15" customHeight="1">
      <c r="A136" t="inlineStr">
        <is>
          <t>A 41435-2023</t>
        </is>
      </c>
      <c r="B136" s="1" t="n">
        <v>45170</v>
      </c>
      <c r="C136" s="1" t="n">
        <v>45918</v>
      </c>
      <c r="D136" t="inlineStr">
        <is>
          <t>DALARNAS LÄN</t>
        </is>
      </c>
      <c r="E136" t="inlineStr">
        <is>
          <t>HEDEMORA</t>
        </is>
      </c>
      <c r="G136" t="n">
        <v>2.9</v>
      </c>
      <c r="H136" t="n">
        <v>0</v>
      </c>
      <c r="I136" t="n">
        <v>0</v>
      </c>
      <c r="J136" t="n">
        <v>0</v>
      </c>
      <c r="K136" t="n">
        <v>0</v>
      </c>
      <c r="L136" t="n">
        <v>0</v>
      </c>
      <c r="M136" t="n">
        <v>0</v>
      </c>
      <c r="N136" t="n">
        <v>0</v>
      </c>
      <c r="O136" t="n">
        <v>0</v>
      </c>
      <c r="P136" t="n">
        <v>0</v>
      </c>
      <c r="Q136" t="n">
        <v>0</v>
      </c>
      <c r="R136" s="2" t="inlineStr"/>
    </row>
    <row r="137" ht="15" customHeight="1">
      <c r="A137" t="inlineStr">
        <is>
          <t>A 52942-2024</t>
        </is>
      </c>
      <c r="B137" s="1" t="n">
        <v>45610.8215625</v>
      </c>
      <c r="C137" s="1" t="n">
        <v>45918</v>
      </c>
      <c r="D137" t="inlineStr">
        <is>
          <t>DALARNAS LÄN</t>
        </is>
      </c>
      <c r="E137" t="inlineStr">
        <is>
          <t>HEDEMORA</t>
        </is>
      </c>
      <c r="F137" t="inlineStr">
        <is>
          <t>Sveaskog</t>
        </is>
      </c>
      <c r="G137" t="n">
        <v>14.5</v>
      </c>
      <c r="H137" t="n">
        <v>0</v>
      </c>
      <c r="I137" t="n">
        <v>0</v>
      </c>
      <c r="J137" t="n">
        <v>0</v>
      </c>
      <c r="K137" t="n">
        <v>0</v>
      </c>
      <c r="L137" t="n">
        <v>0</v>
      </c>
      <c r="M137" t="n">
        <v>0</v>
      </c>
      <c r="N137" t="n">
        <v>0</v>
      </c>
      <c r="O137" t="n">
        <v>0</v>
      </c>
      <c r="P137" t="n">
        <v>0</v>
      </c>
      <c r="Q137" t="n">
        <v>0</v>
      </c>
      <c r="R137" s="2" t="inlineStr"/>
    </row>
    <row r="138" ht="15" customHeight="1">
      <c r="A138" t="inlineStr">
        <is>
          <t>A 37761-2024</t>
        </is>
      </c>
      <c r="B138" s="1" t="n">
        <v>45541.78678240741</v>
      </c>
      <c r="C138" s="1" t="n">
        <v>45918</v>
      </c>
      <c r="D138" t="inlineStr">
        <is>
          <t>DALARNAS LÄN</t>
        </is>
      </c>
      <c r="E138" t="inlineStr">
        <is>
          <t>HEDEMORA</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17222-2025</t>
        </is>
      </c>
      <c r="B139" s="1" t="n">
        <v>45756.45504629629</v>
      </c>
      <c r="C139" s="1" t="n">
        <v>45918</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39497-2022</t>
        </is>
      </c>
      <c r="B140" s="1" t="n">
        <v>44817</v>
      </c>
      <c r="C140" s="1" t="n">
        <v>45918</v>
      </c>
      <c r="D140" t="inlineStr">
        <is>
          <t>DALARNAS LÄN</t>
        </is>
      </c>
      <c r="E140" t="inlineStr">
        <is>
          <t>HEDEMORA</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40801-2024</t>
        </is>
      </c>
      <c r="B141" s="1" t="n">
        <v>45558.52905092593</v>
      </c>
      <c r="C141" s="1" t="n">
        <v>45918</v>
      </c>
      <c r="D141" t="inlineStr">
        <is>
          <t>DALARNAS LÄN</t>
        </is>
      </c>
      <c r="E141" t="inlineStr">
        <is>
          <t>HEDEMORA</t>
        </is>
      </c>
      <c r="G141" t="n">
        <v>2.2</v>
      </c>
      <c r="H141" t="n">
        <v>0</v>
      </c>
      <c r="I141" t="n">
        <v>0</v>
      </c>
      <c r="J141" t="n">
        <v>0</v>
      </c>
      <c r="K141" t="n">
        <v>0</v>
      </c>
      <c r="L141" t="n">
        <v>0</v>
      </c>
      <c r="M141" t="n">
        <v>0</v>
      </c>
      <c r="N141" t="n">
        <v>0</v>
      </c>
      <c r="O141" t="n">
        <v>0</v>
      </c>
      <c r="P141" t="n">
        <v>0</v>
      </c>
      <c r="Q141" t="n">
        <v>0</v>
      </c>
      <c r="R141" s="2" t="inlineStr"/>
    </row>
    <row r="142" ht="15" customHeight="1">
      <c r="A142" t="inlineStr">
        <is>
          <t>A 63929-2023</t>
        </is>
      </c>
      <c r="B142" s="1" t="n">
        <v>45278.60274305556</v>
      </c>
      <c r="C142" s="1" t="n">
        <v>45918</v>
      </c>
      <c r="D142" t="inlineStr">
        <is>
          <t>DALARNAS LÄN</t>
        </is>
      </c>
      <c r="E142" t="inlineStr">
        <is>
          <t>HEDEMORA</t>
        </is>
      </c>
      <c r="G142" t="n">
        <v>0.4</v>
      </c>
      <c r="H142" t="n">
        <v>0</v>
      </c>
      <c r="I142" t="n">
        <v>0</v>
      </c>
      <c r="J142" t="n">
        <v>0</v>
      </c>
      <c r="K142" t="n">
        <v>0</v>
      </c>
      <c r="L142" t="n">
        <v>0</v>
      </c>
      <c r="M142" t="n">
        <v>0</v>
      </c>
      <c r="N142" t="n">
        <v>0</v>
      </c>
      <c r="O142" t="n">
        <v>0</v>
      </c>
      <c r="P142" t="n">
        <v>0</v>
      </c>
      <c r="Q142" t="n">
        <v>0</v>
      </c>
      <c r="R142" s="2" t="inlineStr"/>
    </row>
    <row r="143" ht="15" customHeight="1">
      <c r="A143" t="inlineStr">
        <is>
          <t>A 54423-2023</t>
        </is>
      </c>
      <c r="B143" s="1" t="n">
        <v>45233.41666666666</v>
      </c>
      <c r="C143" s="1" t="n">
        <v>45918</v>
      </c>
      <c r="D143" t="inlineStr">
        <is>
          <t>DALARNAS LÄN</t>
        </is>
      </c>
      <c r="E143" t="inlineStr">
        <is>
          <t>HEDEMORA</t>
        </is>
      </c>
      <c r="G143" t="n">
        <v>3.4</v>
      </c>
      <c r="H143" t="n">
        <v>0</v>
      </c>
      <c r="I143" t="n">
        <v>0</v>
      </c>
      <c r="J143" t="n">
        <v>0</v>
      </c>
      <c r="K143" t="n">
        <v>0</v>
      </c>
      <c r="L143" t="n">
        <v>0</v>
      </c>
      <c r="M143" t="n">
        <v>0</v>
      </c>
      <c r="N143" t="n">
        <v>0</v>
      </c>
      <c r="O143" t="n">
        <v>0</v>
      </c>
      <c r="P143" t="n">
        <v>0</v>
      </c>
      <c r="Q143" t="n">
        <v>0</v>
      </c>
      <c r="R143" s="2" t="inlineStr"/>
    </row>
    <row r="144" ht="15" customHeight="1">
      <c r="A144" t="inlineStr">
        <is>
          <t>A 62386-2023</t>
        </is>
      </c>
      <c r="B144" s="1" t="n">
        <v>45268</v>
      </c>
      <c r="C144" s="1" t="n">
        <v>45918</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62398-2023</t>
        </is>
      </c>
      <c r="B145" s="1" t="n">
        <v>45268</v>
      </c>
      <c r="C145" s="1" t="n">
        <v>45918</v>
      </c>
      <c r="D145" t="inlineStr">
        <is>
          <t>DALARNAS LÄN</t>
        </is>
      </c>
      <c r="E145" t="inlineStr">
        <is>
          <t>HEDEMORA</t>
        </is>
      </c>
      <c r="G145" t="n">
        <v>2.1</v>
      </c>
      <c r="H145" t="n">
        <v>0</v>
      </c>
      <c r="I145" t="n">
        <v>0</v>
      </c>
      <c r="J145" t="n">
        <v>0</v>
      </c>
      <c r="K145" t="n">
        <v>0</v>
      </c>
      <c r="L145" t="n">
        <v>0</v>
      </c>
      <c r="M145" t="n">
        <v>0</v>
      </c>
      <c r="N145" t="n">
        <v>0</v>
      </c>
      <c r="O145" t="n">
        <v>0</v>
      </c>
      <c r="P145" t="n">
        <v>0</v>
      </c>
      <c r="Q145" t="n">
        <v>0</v>
      </c>
      <c r="R145" s="2" t="inlineStr"/>
    </row>
    <row r="146" ht="15" customHeight="1">
      <c r="A146" t="inlineStr">
        <is>
          <t>A 56620-2024</t>
        </is>
      </c>
      <c r="B146" s="1" t="n">
        <v>45625</v>
      </c>
      <c r="C146" s="1" t="n">
        <v>45918</v>
      </c>
      <c r="D146" t="inlineStr">
        <is>
          <t>DALARNAS LÄN</t>
        </is>
      </c>
      <c r="E146" t="inlineStr">
        <is>
          <t>HEDEMORA</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22273-2023</t>
        </is>
      </c>
      <c r="B147" s="1" t="n">
        <v>45070</v>
      </c>
      <c r="C147" s="1" t="n">
        <v>45918</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20670-2024</t>
        </is>
      </c>
      <c r="B148" s="1" t="n">
        <v>45436</v>
      </c>
      <c r="C148" s="1" t="n">
        <v>45918</v>
      </c>
      <c r="D148" t="inlineStr">
        <is>
          <t>DALARNAS LÄN</t>
        </is>
      </c>
      <c r="E148" t="inlineStr">
        <is>
          <t>HEDEMORA</t>
        </is>
      </c>
      <c r="G148" t="n">
        <v>2.7</v>
      </c>
      <c r="H148" t="n">
        <v>0</v>
      </c>
      <c r="I148" t="n">
        <v>0</v>
      </c>
      <c r="J148" t="n">
        <v>0</v>
      </c>
      <c r="K148" t="n">
        <v>0</v>
      </c>
      <c r="L148" t="n">
        <v>0</v>
      </c>
      <c r="M148" t="n">
        <v>0</v>
      </c>
      <c r="N148" t="n">
        <v>0</v>
      </c>
      <c r="O148" t="n">
        <v>0</v>
      </c>
      <c r="P148" t="n">
        <v>0</v>
      </c>
      <c r="Q148" t="n">
        <v>0</v>
      </c>
      <c r="R148" s="2" t="inlineStr"/>
    </row>
    <row r="149" ht="15" customHeight="1">
      <c r="A149" t="inlineStr">
        <is>
          <t>A 61883-2022</t>
        </is>
      </c>
      <c r="B149" s="1" t="n">
        <v>44917.67262731482</v>
      </c>
      <c r="C149" s="1" t="n">
        <v>45918</v>
      </c>
      <c r="D149" t="inlineStr">
        <is>
          <t>DALARNAS LÄN</t>
        </is>
      </c>
      <c r="E149" t="inlineStr">
        <is>
          <t>HEDEMORA</t>
        </is>
      </c>
      <c r="G149" t="n">
        <v>2.3</v>
      </c>
      <c r="H149" t="n">
        <v>0</v>
      </c>
      <c r="I149" t="n">
        <v>0</v>
      </c>
      <c r="J149" t="n">
        <v>0</v>
      </c>
      <c r="K149" t="n">
        <v>0</v>
      </c>
      <c r="L149" t="n">
        <v>0</v>
      </c>
      <c r="M149" t="n">
        <v>0</v>
      </c>
      <c r="N149" t="n">
        <v>0</v>
      </c>
      <c r="O149" t="n">
        <v>0</v>
      </c>
      <c r="P149" t="n">
        <v>0</v>
      </c>
      <c r="Q149" t="n">
        <v>0</v>
      </c>
      <c r="R149" s="2" t="inlineStr"/>
    </row>
    <row r="150" ht="15" customHeight="1">
      <c r="A150" t="inlineStr">
        <is>
          <t>A 14968-2025</t>
        </is>
      </c>
      <c r="B150" s="1" t="n">
        <v>45743.59052083334</v>
      </c>
      <c r="C150" s="1" t="n">
        <v>45918</v>
      </c>
      <c r="D150" t="inlineStr">
        <is>
          <t>DALARNAS LÄN</t>
        </is>
      </c>
      <c r="E150" t="inlineStr">
        <is>
          <t>HEDEMORA</t>
        </is>
      </c>
      <c r="G150" t="n">
        <v>2.2</v>
      </c>
      <c r="H150" t="n">
        <v>0</v>
      </c>
      <c r="I150" t="n">
        <v>0</v>
      </c>
      <c r="J150" t="n">
        <v>0</v>
      </c>
      <c r="K150" t="n">
        <v>0</v>
      </c>
      <c r="L150" t="n">
        <v>0</v>
      </c>
      <c r="M150" t="n">
        <v>0</v>
      </c>
      <c r="N150" t="n">
        <v>0</v>
      </c>
      <c r="O150" t="n">
        <v>0</v>
      </c>
      <c r="P150" t="n">
        <v>0</v>
      </c>
      <c r="Q150" t="n">
        <v>0</v>
      </c>
      <c r="R150" s="2" t="inlineStr"/>
    </row>
    <row r="151" ht="15" customHeight="1">
      <c r="A151" t="inlineStr">
        <is>
          <t>A 6881-2024</t>
        </is>
      </c>
      <c r="B151" s="1" t="n">
        <v>45342.8779050926</v>
      </c>
      <c r="C151" s="1" t="n">
        <v>45918</v>
      </c>
      <c r="D151" t="inlineStr">
        <is>
          <t>DALARNAS LÄN</t>
        </is>
      </c>
      <c r="E151" t="inlineStr">
        <is>
          <t>HEDEMORA</t>
        </is>
      </c>
      <c r="G151" t="n">
        <v>2.5</v>
      </c>
      <c r="H151" t="n">
        <v>0</v>
      </c>
      <c r="I151" t="n">
        <v>0</v>
      </c>
      <c r="J151" t="n">
        <v>0</v>
      </c>
      <c r="K151" t="n">
        <v>0</v>
      </c>
      <c r="L151" t="n">
        <v>0</v>
      </c>
      <c r="M151" t="n">
        <v>0</v>
      </c>
      <c r="N151" t="n">
        <v>0</v>
      </c>
      <c r="O151" t="n">
        <v>0</v>
      </c>
      <c r="P151" t="n">
        <v>0</v>
      </c>
      <c r="Q151" t="n">
        <v>0</v>
      </c>
      <c r="R151" s="2" t="inlineStr"/>
    </row>
    <row r="152" ht="15" customHeight="1">
      <c r="A152" t="inlineStr">
        <is>
          <t>A 5010-2023</t>
        </is>
      </c>
      <c r="B152" s="1" t="n">
        <v>44956</v>
      </c>
      <c r="C152" s="1" t="n">
        <v>45918</v>
      </c>
      <c r="D152" t="inlineStr">
        <is>
          <t>DALARNAS LÄN</t>
        </is>
      </c>
      <c r="E152" t="inlineStr">
        <is>
          <t>HEDEMORA</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49636-2021</t>
        </is>
      </c>
      <c r="B153" s="1" t="n">
        <v>44455</v>
      </c>
      <c r="C153" s="1" t="n">
        <v>45918</v>
      </c>
      <c r="D153" t="inlineStr">
        <is>
          <t>DALARNAS LÄN</t>
        </is>
      </c>
      <c r="E153" t="inlineStr">
        <is>
          <t>HEDEMORA</t>
        </is>
      </c>
      <c r="G153" t="n">
        <v>1.3</v>
      </c>
      <c r="H153" t="n">
        <v>0</v>
      </c>
      <c r="I153" t="n">
        <v>0</v>
      </c>
      <c r="J153" t="n">
        <v>0</v>
      </c>
      <c r="K153" t="n">
        <v>0</v>
      </c>
      <c r="L153" t="n">
        <v>0</v>
      </c>
      <c r="M153" t="n">
        <v>0</v>
      </c>
      <c r="N153" t="n">
        <v>0</v>
      </c>
      <c r="O153" t="n">
        <v>0</v>
      </c>
      <c r="P153" t="n">
        <v>0</v>
      </c>
      <c r="Q153" t="n">
        <v>0</v>
      </c>
      <c r="R153" s="2" t="inlineStr"/>
    </row>
    <row r="154" ht="15" customHeight="1">
      <c r="A154" t="inlineStr">
        <is>
          <t>A 36304-2024</t>
        </is>
      </c>
      <c r="B154" s="1" t="n">
        <v>45534.61217592593</v>
      </c>
      <c r="C154" s="1" t="n">
        <v>45918</v>
      </c>
      <c r="D154" t="inlineStr">
        <is>
          <t>DALARNAS LÄN</t>
        </is>
      </c>
      <c r="E154" t="inlineStr">
        <is>
          <t>HEDEMORA</t>
        </is>
      </c>
      <c r="F154" t="inlineStr">
        <is>
          <t>Sveaskog</t>
        </is>
      </c>
      <c r="G154" t="n">
        <v>6.1</v>
      </c>
      <c r="H154" t="n">
        <v>0</v>
      </c>
      <c r="I154" t="n">
        <v>0</v>
      </c>
      <c r="J154" t="n">
        <v>0</v>
      </c>
      <c r="K154" t="n">
        <v>0</v>
      </c>
      <c r="L154" t="n">
        <v>0</v>
      </c>
      <c r="M154" t="n">
        <v>0</v>
      </c>
      <c r="N154" t="n">
        <v>0</v>
      </c>
      <c r="O154" t="n">
        <v>0</v>
      </c>
      <c r="P154" t="n">
        <v>0</v>
      </c>
      <c r="Q154" t="n">
        <v>0</v>
      </c>
      <c r="R154" s="2" t="inlineStr"/>
    </row>
    <row r="155" ht="15" customHeight="1">
      <c r="A155" t="inlineStr">
        <is>
          <t>A 25645-2024</t>
        </is>
      </c>
      <c r="B155" s="1" t="n">
        <v>45463.66520833333</v>
      </c>
      <c r="C155" s="1" t="n">
        <v>45918</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7052-2025</t>
        </is>
      </c>
      <c r="B156" s="1" t="n">
        <v>45701.64659722222</v>
      </c>
      <c r="C156" s="1" t="n">
        <v>45918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48321-2024</t>
        </is>
      </c>
      <c r="B157" s="1" t="n">
        <v>45590.50111111111</v>
      </c>
      <c r="C157" s="1" t="n">
        <v>45918</v>
      </c>
      <c r="D157" t="inlineStr">
        <is>
          <t>DALARNAS LÄN</t>
        </is>
      </c>
      <c r="E157" t="inlineStr">
        <is>
          <t>HEDEMORA</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18579-2025</t>
        </is>
      </c>
      <c r="B158" s="1" t="n">
        <v>45763</v>
      </c>
      <c r="C158" s="1" t="n">
        <v>45918</v>
      </c>
      <c r="D158" t="inlineStr">
        <is>
          <t>DALARNAS LÄN</t>
        </is>
      </c>
      <c r="E158" t="inlineStr">
        <is>
          <t>HEDEMORA</t>
        </is>
      </c>
      <c r="G158" t="n">
        <v>0.5</v>
      </c>
      <c r="H158" t="n">
        <v>0</v>
      </c>
      <c r="I158" t="n">
        <v>0</v>
      </c>
      <c r="J158" t="n">
        <v>0</v>
      </c>
      <c r="K158" t="n">
        <v>0</v>
      </c>
      <c r="L158" t="n">
        <v>0</v>
      </c>
      <c r="M158" t="n">
        <v>0</v>
      </c>
      <c r="N158" t="n">
        <v>0</v>
      </c>
      <c r="O158" t="n">
        <v>0</v>
      </c>
      <c r="P158" t="n">
        <v>0</v>
      </c>
      <c r="Q158" t="n">
        <v>0</v>
      </c>
      <c r="R158" s="2" t="inlineStr"/>
    </row>
    <row r="159" ht="15" customHeight="1">
      <c r="A159" t="inlineStr">
        <is>
          <t>A 36900-2022</t>
        </is>
      </c>
      <c r="B159" s="1" t="n">
        <v>44805.71435185185</v>
      </c>
      <c r="C159" s="1" t="n">
        <v>45918</v>
      </c>
      <c r="D159" t="inlineStr">
        <is>
          <t>DALARNAS LÄN</t>
        </is>
      </c>
      <c r="E159" t="inlineStr">
        <is>
          <t>HEDEMORA</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60078-2022</t>
        </is>
      </c>
      <c r="B160" s="1" t="n">
        <v>44909.58811342593</v>
      </c>
      <c r="C160" s="1" t="n">
        <v>45918</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26431-2024</t>
        </is>
      </c>
      <c r="B161" s="1" t="n">
        <v>45469.48282407408</v>
      </c>
      <c r="C161" s="1" t="n">
        <v>45918</v>
      </c>
      <c r="D161" t="inlineStr">
        <is>
          <t>DALARNAS LÄN</t>
        </is>
      </c>
      <c r="E161" t="inlineStr">
        <is>
          <t>HEDEMORA</t>
        </is>
      </c>
      <c r="G161" t="n">
        <v>1.6</v>
      </c>
      <c r="H161" t="n">
        <v>0</v>
      </c>
      <c r="I161" t="n">
        <v>0</v>
      </c>
      <c r="J161" t="n">
        <v>0</v>
      </c>
      <c r="K161" t="n">
        <v>0</v>
      </c>
      <c r="L161" t="n">
        <v>0</v>
      </c>
      <c r="M161" t="n">
        <v>0</v>
      </c>
      <c r="N161" t="n">
        <v>0</v>
      </c>
      <c r="O161" t="n">
        <v>0</v>
      </c>
      <c r="P161" t="n">
        <v>0</v>
      </c>
      <c r="Q161" t="n">
        <v>0</v>
      </c>
      <c r="R161" s="2" t="inlineStr"/>
      <c r="U161">
        <f>HYPERLINK("https://klasma.github.io/Logging_2083/knärot/A 26431-2024 karta knärot.png", "A 26431-2024")</f>
        <v/>
      </c>
      <c r="V161">
        <f>HYPERLINK("https://klasma.github.io/Logging_2083/klagomål/A 26431-2024 FSC-klagomål.docx", "A 26431-2024")</f>
        <v/>
      </c>
      <c r="W161">
        <f>HYPERLINK("https://klasma.github.io/Logging_2083/klagomålsmail/A 26431-2024 FSC-klagomål mail.docx", "A 26431-2024")</f>
        <v/>
      </c>
      <c r="X161">
        <f>HYPERLINK("https://klasma.github.io/Logging_2083/tillsyn/A 26431-2024 tillsynsbegäran.docx", "A 26431-2024")</f>
        <v/>
      </c>
      <c r="Y161">
        <f>HYPERLINK("https://klasma.github.io/Logging_2083/tillsynsmail/A 26431-2024 tillsynsbegäran mail.docx", "A 26431-2024")</f>
        <v/>
      </c>
    </row>
    <row r="162" ht="15" customHeight="1">
      <c r="A162" t="inlineStr">
        <is>
          <t>A 32738-2022</t>
        </is>
      </c>
      <c r="B162" s="1" t="n">
        <v>44783.68931712963</v>
      </c>
      <c r="C162" s="1" t="n">
        <v>45918</v>
      </c>
      <c r="D162" t="inlineStr">
        <is>
          <t>DALARNAS LÄN</t>
        </is>
      </c>
      <c r="E162" t="inlineStr">
        <is>
          <t>HEDEMORA</t>
        </is>
      </c>
      <c r="G162" t="n">
        <v>2.6</v>
      </c>
      <c r="H162" t="n">
        <v>0</v>
      </c>
      <c r="I162" t="n">
        <v>0</v>
      </c>
      <c r="J162" t="n">
        <v>0</v>
      </c>
      <c r="K162" t="n">
        <v>0</v>
      </c>
      <c r="L162" t="n">
        <v>0</v>
      </c>
      <c r="M162" t="n">
        <v>0</v>
      </c>
      <c r="N162" t="n">
        <v>0</v>
      </c>
      <c r="O162" t="n">
        <v>0</v>
      </c>
      <c r="P162" t="n">
        <v>0</v>
      </c>
      <c r="Q162" t="n">
        <v>0</v>
      </c>
      <c r="R162" s="2" t="inlineStr"/>
    </row>
    <row r="163" ht="15" customHeight="1">
      <c r="A163" t="inlineStr">
        <is>
          <t>A 14456-2021</t>
        </is>
      </c>
      <c r="B163" s="1" t="n">
        <v>44279.50208333333</v>
      </c>
      <c r="C163" s="1" t="n">
        <v>45918</v>
      </c>
      <c r="D163" t="inlineStr">
        <is>
          <t>DALARNAS LÄN</t>
        </is>
      </c>
      <c r="E163" t="inlineStr">
        <is>
          <t>HEDEMORA</t>
        </is>
      </c>
      <c r="G163" t="n">
        <v>1.2</v>
      </c>
      <c r="H163" t="n">
        <v>0</v>
      </c>
      <c r="I163" t="n">
        <v>0</v>
      </c>
      <c r="J163" t="n">
        <v>0</v>
      </c>
      <c r="K163" t="n">
        <v>0</v>
      </c>
      <c r="L163" t="n">
        <v>0</v>
      </c>
      <c r="M163" t="n">
        <v>0</v>
      </c>
      <c r="N163" t="n">
        <v>0</v>
      </c>
      <c r="O163" t="n">
        <v>0</v>
      </c>
      <c r="P163" t="n">
        <v>0</v>
      </c>
      <c r="Q163" t="n">
        <v>0</v>
      </c>
      <c r="R163" s="2" t="inlineStr"/>
    </row>
    <row r="164" ht="15" customHeight="1">
      <c r="A164" t="inlineStr">
        <is>
          <t>A 40707-2023</t>
        </is>
      </c>
      <c r="B164" s="1" t="n">
        <v>45170.62489583333</v>
      </c>
      <c r="C164" s="1" t="n">
        <v>45918</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24427-2022</t>
        </is>
      </c>
      <c r="B165" s="1" t="n">
        <v>44726</v>
      </c>
      <c r="C165" s="1" t="n">
        <v>45918</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53922-2024</t>
        </is>
      </c>
      <c r="B166" s="1" t="n">
        <v>45615.78459490741</v>
      </c>
      <c r="C166" s="1" t="n">
        <v>45918</v>
      </c>
      <c r="D166" t="inlineStr">
        <is>
          <t>DALARNAS LÄN</t>
        </is>
      </c>
      <c r="E166" t="inlineStr">
        <is>
          <t>HEDEMORA</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29283-2022</t>
        </is>
      </c>
      <c r="B167" s="1" t="n">
        <v>44750.87045138889</v>
      </c>
      <c r="C167" s="1" t="n">
        <v>45918</v>
      </c>
      <c r="D167" t="inlineStr">
        <is>
          <t>DALARNAS LÄN</t>
        </is>
      </c>
      <c r="E167" t="inlineStr">
        <is>
          <t>HEDEMORA</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29284-2022</t>
        </is>
      </c>
      <c r="B168" s="1" t="n">
        <v>44750.87366898148</v>
      </c>
      <c r="C168" s="1" t="n">
        <v>45918</v>
      </c>
      <c r="D168" t="inlineStr">
        <is>
          <t>DALARNAS LÄN</t>
        </is>
      </c>
      <c r="E168" t="inlineStr">
        <is>
          <t>HEDEMORA</t>
        </is>
      </c>
      <c r="F168" t="inlineStr">
        <is>
          <t>Sveaskog</t>
        </is>
      </c>
      <c r="G168" t="n">
        <v>4.4</v>
      </c>
      <c r="H168" t="n">
        <v>0</v>
      </c>
      <c r="I168" t="n">
        <v>0</v>
      </c>
      <c r="J168" t="n">
        <v>0</v>
      </c>
      <c r="K168" t="n">
        <v>0</v>
      </c>
      <c r="L168" t="n">
        <v>0</v>
      </c>
      <c r="M168" t="n">
        <v>0</v>
      </c>
      <c r="N168" t="n">
        <v>0</v>
      </c>
      <c r="O168" t="n">
        <v>0</v>
      </c>
      <c r="P168" t="n">
        <v>0</v>
      </c>
      <c r="Q168" t="n">
        <v>0</v>
      </c>
      <c r="R168" s="2" t="inlineStr"/>
    </row>
    <row r="169" ht="15" customHeight="1">
      <c r="A169" t="inlineStr">
        <is>
          <t>A 45589-2023</t>
        </is>
      </c>
      <c r="B169" s="1" t="n">
        <v>45194.63086805555</v>
      </c>
      <c r="C169" s="1" t="n">
        <v>45918</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22270-2023</t>
        </is>
      </c>
      <c r="B170" s="1" t="n">
        <v>45070.39284722223</v>
      </c>
      <c r="C170" s="1" t="n">
        <v>45918</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19353-2024</t>
        </is>
      </c>
      <c r="B171" s="1" t="n">
        <v>45429.29666666667</v>
      </c>
      <c r="C171" s="1" t="n">
        <v>45918</v>
      </c>
      <c r="D171" t="inlineStr">
        <is>
          <t>DALARNAS LÄN</t>
        </is>
      </c>
      <c r="E171" t="inlineStr">
        <is>
          <t>HEDEMORA</t>
        </is>
      </c>
      <c r="F171" t="inlineStr">
        <is>
          <t>Sveaskog</t>
        </is>
      </c>
      <c r="G171" t="n">
        <v>16.3</v>
      </c>
      <c r="H171" t="n">
        <v>0</v>
      </c>
      <c r="I171" t="n">
        <v>0</v>
      </c>
      <c r="J171" t="n">
        <v>0</v>
      </c>
      <c r="K171" t="n">
        <v>0</v>
      </c>
      <c r="L171" t="n">
        <v>0</v>
      </c>
      <c r="M171" t="n">
        <v>0</v>
      </c>
      <c r="N171" t="n">
        <v>0</v>
      </c>
      <c r="O171" t="n">
        <v>0</v>
      </c>
      <c r="P171" t="n">
        <v>0</v>
      </c>
      <c r="Q171" t="n">
        <v>0</v>
      </c>
      <c r="R171" s="2" t="inlineStr"/>
    </row>
    <row r="172" ht="15" customHeight="1">
      <c r="A172" t="inlineStr">
        <is>
          <t>A 48323-2021</t>
        </is>
      </c>
      <c r="B172" s="1" t="n">
        <v>44450.84762731481</v>
      </c>
      <c r="C172" s="1" t="n">
        <v>45918</v>
      </c>
      <c r="D172" t="inlineStr">
        <is>
          <t>DALARNAS LÄN</t>
        </is>
      </c>
      <c r="E172" t="inlineStr">
        <is>
          <t>HEDEMORA</t>
        </is>
      </c>
      <c r="G172" t="n">
        <v>0.9</v>
      </c>
      <c r="H172" t="n">
        <v>0</v>
      </c>
      <c r="I172" t="n">
        <v>0</v>
      </c>
      <c r="J172" t="n">
        <v>0</v>
      </c>
      <c r="K172" t="n">
        <v>0</v>
      </c>
      <c r="L172" t="n">
        <v>0</v>
      </c>
      <c r="M172" t="n">
        <v>0</v>
      </c>
      <c r="N172" t="n">
        <v>0</v>
      </c>
      <c r="O172" t="n">
        <v>0</v>
      </c>
      <c r="P172" t="n">
        <v>0</v>
      </c>
      <c r="Q172" t="n">
        <v>0</v>
      </c>
      <c r="R172" s="2" t="inlineStr"/>
    </row>
    <row r="173" ht="15" customHeight="1">
      <c r="A173" t="inlineStr">
        <is>
          <t>A 16413-2024</t>
        </is>
      </c>
      <c r="B173" s="1" t="n">
        <v>45407.64223379629</v>
      </c>
      <c r="C173" s="1" t="n">
        <v>45918</v>
      </c>
      <c r="D173" t="inlineStr">
        <is>
          <t>DALARNAS LÄN</t>
        </is>
      </c>
      <c r="E173" t="inlineStr">
        <is>
          <t>HEDEMORA</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27610-2024</t>
        </is>
      </c>
      <c r="B174" s="1" t="n">
        <v>45474.73221064815</v>
      </c>
      <c r="C174" s="1" t="n">
        <v>45918</v>
      </c>
      <c r="D174" t="inlineStr">
        <is>
          <t>DALARNAS LÄN</t>
        </is>
      </c>
      <c r="E174" t="inlineStr">
        <is>
          <t>HEDEMORA</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40919-2023</t>
        </is>
      </c>
      <c r="B175" s="1" t="n">
        <v>45173.42707175926</v>
      </c>
      <c r="C175" s="1" t="n">
        <v>45918</v>
      </c>
      <c r="D175" t="inlineStr">
        <is>
          <t>DALARNAS LÄN</t>
        </is>
      </c>
      <c r="E175" t="inlineStr">
        <is>
          <t>HEDEMORA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1978-2021</t>
        </is>
      </c>
      <c r="B176" s="1" t="n">
        <v>44210.67606481481</v>
      </c>
      <c r="C176" s="1" t="n">
        <v>45918</v>
      </c>
      <c r="D176" t="inlineStr">
        <is>
          <t>DALARNAS LÄN</t>
        </is>
      </c>
      <c r="E176" t="inlineStr">
        <is>
          <t>HEDEMORA</t>
        </is>
      </c>
      <c r="G176" t="n">
        <v>1</v>
      </c>
      <c r="H176" t="n">
        <v>0</v>
      </c>
      <c r="I176" t="n">
        <v>0</v>
      </c>
      <c r="J176" t="n">
        <v>0</v>
      </c>
      <c r="K176" t="n">
        <v>0</v>
      </c>
      <c r="L176" t="n">
        <v>0</v>
      </c>
      <c r="M176" t="n">
        <v>0</v>
      </c>
      <c r="N176" t="n">
        <v>0</v>
      </c>
      <c r="O176" t="n">
        <v>0</v>
      </c>
      <c r="P176" t="n">
        <v>0</v>
      </c>
      <c r="Q176" t="n">
        <v>0</v>
      </c>
      <c r="R176" s="2" t="inlineStr"/>
    </row>
    <row r="177" ht="15" customHeight="1">
      <c r="A177" t="inlineStr">
        <is>
          <t>A 27609-2024</t>
        </is>
      </c>
      <c r="B177" s="1" t="n">
        <v>45474.73076388889</v>
      </c>
      <c r="C177" s="1" t="n">
        <v>45918</v>
      </c>
      <c r="D177" t="inlineStr">
        <is>
          <t>DALARNAS LÄN</t>
        </is>
      </c>
      <c r="E177" t="inlineStr">
        <is>
          <t>HEDEMORA</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37449-2024</t>
        </is>
      </c>
      <c r="B178" s="1" t="n">
        <v>45540</v>
      </c>
      <c r="C178" s="1" t="n">
        <v>45918</v>
      </c>
      <c r="D178" t="inlineStr">
        <is>
          <t>DALARNAS LÄN</t>
        </is>
      </c>
      <c r="E178" t="inlineStr">
        <is>
          <t>HEDEMORA</t>
        </is>
      </c>
      <c r="F178" t="inlineStr">
        <is>
          <t>Bergvik skog väst AB</t>
        </is>
      </c>
      <c r="G178" t="n">
        <v>10.1</v>
      </c>
      <c r="H178" t="n">
        <v>0</v>
      </c>
      <c r="I178" t="n">
        <v>0</v>
      </c>
      <c r="J178" t="n">
        <v>0</v>
      </c>
      <c r="K178" t="n">
        <v>0</v>
      </c>
      <c r="L178" t="n">
        <v>0</v>
      </c>
      <c r="M178" t="n">
        <v>0</v>
      </c>
      <c r="N178" t="n">
        <v>0</v>
      </c>
      <c r="O178" t="n">
        <v>0</v>
      </c>
      <c r="P178" t="n">
        <v>0</v>
      </c>
      <c r="Q178" t="n">
        <v>0</v>
      </c>
      <c r="R178" s="2" t="inlineStr"/>
    </row>
    <row r="179" ht="15" customHeight="1">
      <c r="A179" t="inlineStr">
        <is>
          <t>A 20237-2023</t>
        </is>
      </c>
      <c r="B179" s="1" t="n">
        <v>45055</v>
      </c>
      <c r="C179" s="1" t="n">
        <v>45918</v>
      </c>
      <c r="D179" t="inlineStr">
        <is>
          <t>DALARNAS LÄN</t>
        </is>
      </c>
      <c r="E179" t="inlineStr">
        <is>
          <t>HEDEMORA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68553-2021</t>
        </is>
      </c>
      <c r="B180" s="1" t="n">
        <v>44529</v>
      </c>
      <c r="C180" s="1" t="n">
        <v>45918</v>
      </c>
      <c r="D180" t="inlineStr">
        <is>
          <t>DALARNAS LÄN</t>
        </is>
      </c>
      <c r="E180" t="inlineStr">
        <is>
          <t>HEDEMORA</t>
        </is>
      </c>
      <c r="G180" t="n">
        <v>3</v>
      </c>
      <c r="H180" t="n">
        <v>0</v>
      </c>
      <c r="I180" t="n">
        <v>0</v>
      </c>
      <c r="J180" t="n">
        <v>0</v>
      </c>
      <c r="K180" t="n">
        <v>0</v>
      </c>
      <c r="L180" t="n">
        <v>0</v>
      </c>
      <c r="M180" t="n">
        <v>0</v>
      </c>
      <c r="N180" t="n">
        <v>0</v>
      </c>
      <c r="O180" t="n">
        <v>0</v>
      </c>
      <c r="P180" t="n">
        <v>0</v>
      </c>
      <c r="Q180" t="n">
        <v>0</v>
      </c>
      <c r="R180" s="2" t="inlineStr"/>
    </row>
    <row r="181" ht="15" customHeight="1">
      <c r="A181" t="inlineStr">
        <is>
          <t>A 30939-2023</t>
        </is>
      </c>
      <c r="B181" s="1" t="n">
        <v>45113.45597222223</v>
      </c>
      <c r="C181" s="1" t="n">
        <v>45918</v>
      </c>
      <c r="D181" t="inlineStr">
        <is>
          <t>DALARNAS LÄN</t>
        </is>
      </c>
      <c r="E181" t="inlineStr">
        <is>
          <t>HEDEMORA</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25155-2023</t>
        </is>
      </c>
      <c r="B182" s="1" t="n">
        <v>45086</v>
      </c>
      <c r="C182" s="1" t="n">
        <v>45918</v>
      </c>
      <c r="D182" t="inlineStr">
        <is>
          <t>DALARNAS LÄN</t>
        </is>
      </c>
      <c r="E182" t="inlineStr">
        <is>
          <t>HEDEMORA</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54312-2024</t>
        </is>
      </c>
      <c r="B183" s="1" t="n">
        <v>45617.3434837963</v>
      </c>
      <c r="C183" s="1" t="n">
        <v>45918</v>
      </c>
      <c r="D183" t="inlineStr">
        <is>
          <t>DALARNAS LÄN</t>
        </is>
      </c>
      <c r="E183" t="inlineStr">
        <is>
          <t>HEDEMORA</t>
        </is>
      </c>
      <c r="F183" t="inlineStr">
        <is>
          <t>Bergvik skog väst AB</t>
        </is>
      </c>
      <c r="G183" t="n">
        <v>13.9</v>
      </c>
      <c r="H183" t="n">
        <v>0</v>
      </c>
      <c r="I183" t="n">
        <v>0</v>
      </c>
      <c r="J183" t="n">
        <v>0</v>
      </c>
      <c r="K183" t="n">
        <v>0</v>
      </c>
      <c r="L183" t="n">
        <v>0</v>
      </c>
      <c r="M183" t="n">
        <v>0</v>
      </c>
      <c r="N183" t="n">
        <v>0</v>
      </c>
      <c r="O183" t="n">
        <v>0</v>
      </c>
      <c r="P183" t="n">
        <v>0</v>
      </c>
      <c r="Q183" t="n">
        <v>0</v>
      </c>
      <c r="R183" s="2" t="inlineStr"/>
    </row>
    <row r="184" ht="15" customHeight="1">
      <c r="A184" t="inlineStr">
        <is>
          <t>A 52944-2024</t>
        </is>
      </c>
      <c r="B184" s="1" t="n">
        <v>45610.82546296297</v>
      </c>
      <c r="C184" s="1" t="n">
        <v>45918</v>
      </c>
      <c r="D184" t="inlineStr">
        <is>
          <t>DALARNAS LÄN</t>
        </is>
      </c>
      <c r="E184" t="inlineStr">
        <is>
          <t>HEDEMORA</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52945-2024</t>
        </is>
      </c>
      <c r="B185" s="1" t="n">
        <v>45610.82664351852</v>
      </c>
      <c r="C185" s="1" t="n">
        <v>45918</v>
      </c>
      <c r="D185" t="inlineStr">
        <is>
          <t>DALARNAS LÄN</t>
        </is>
      </c>
      <c r="E185" t="inlineStr">
        <is>
          <t>HEDEMORA</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59632-2023</t>
        </is>
      </c>
      <c r="B186" s="1" t="n">
        <v>45254</v>
      </c>
      <c r="C186" s="1" t="n">
        <v>45918</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37759-2024</t>
        </is>
      </c>
      <c r="B187" s="1" t="n">
        <v>45541</v>
      </c>
      <c r="C187" s="1" t="n">
        <v>45918</v>
      </c>
      <c r="D187" t="inlineStr">
        <is>
          <t>DALARNAS LÄN</t>
        </is>
      </c>
      <c r="E187" t="inlineStr">
        <is>
          <t>HEDEMORA</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5766-2025</t>
        </is>
      </c>
      <c r="B188" s="1" t="n">
        <v>45694.57893518519</v>
      </c>
      <c r="C188" s="1" t="n">
        <v>45918</v>
      </c>
      <c r="D188" t="inlineStr">
        <is>
          <t>DALARNAS LÄN</t>
        </is>
      </c>
      <c r="E188" t="inlineStr">
        <is>
          <t>HEDEMORA</t>
        </is>
      </c>
      <c r="G188" t="n">
        <v>4.9</v>
      </c>
      <c r="H188" t="n">
        <v>0</v>
      </c>
      <c r="I188" t="n">
        <v>0</v>
      </c>
      <c r="J188" t="n">
        <v>0</v>
      </c>
      <c r="K188" t="n">
        <v>0</v>
      </c>
      <c r="L188" t="n">
        <v>0</v>
      </c>
      <c r="M188" t="n">
        <v>0</v>
      </c>
      <c r="N188" t="n">
        <v>0</v>
      </c>
      <c r="O188" t="n">
        <v>0</v>
      </c>
      <c r="P188" t="n">
        <v>0</v>
      </c>
      <c r="Q188" t="n">
        <v>0</v>
      </c>
      <c r="R188" s="2" t="inlineStr"/>
    </row>
    <row r="189" ht="15" customHeight="1">
      <c r="A189" t="inlineStr">
        <is>
          <t>A 19473-2024</t>
        </is>
      </c>
      <c r="B189" s="1" t="n">
        <v>45429</v>
      </c>
      <c r="C189" s="1" t="n">
        <v>45918</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20965-2025</t>
        </is>
      </c>
      <c r="B190" s="1" t="n">
        <v>45777.45135416667</v>
      </c>
      <c r="C190" s="1" t="n">
        <v>45918</v>
      </c>
      <c r="D190" t="inlineStr">
        <is>
          <t>DALARNAS LÄN</t>
        </is>
      </c>
      <c r="E190" t="inlineStr">
        <is>
          <t>HEDEMORA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23501-2023</t>
        </is>
      </c>
      <c r="B191" s="1" t="n">
        <v>45076.73979166667</v>
      </c>
      <c r="C191" s="1" t="n">
        <v>45918</v>
      </c>
      <c r="D191" t="inlineStr">
        <is>
          <t>DALARNAS LÄN</t>
        </is>
      </c>
      <c r="E191" t="inlineStr">
        <is>
          <t>HEDEMORA</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45918</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50885-2023</t>
        </is>
      </c>
      <c r="B193" s="1" t="n">
        <v>45218.38459490741</v>
      </c>
      <c r="C193" s="1" t="n">
        <v>45918</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7914-2024</t>
        </is>
      </c>
      <c r="B194" s="1" t="n">
        <v>45350.46003472222</v>
      </c>
      <c r="C194" s="1" t="n">
        <v>45918</v>
      </c>
      <c r="D194" t="inlineStr">
        <is>
          <t>DALARNAS LÄN</t>
        </is>
      </c>
      <c r="E194" t="inlineStr">
        <is>
          <t>HEDEMORA</t>
        </is>
      </c>
      <c r="G194" t="n">
        <v>4.1</v>
      </c>
      <c r="H194" t="n">
        <v>0</v>
      </c>
      <c r="I194" t="n">
        <v>0</v>
      </c>
      <c r="J194" t="n">
        <v>0</v>
      </c>
      <c r="K194" t="n">
        <v>0</v>
      </c>
      <c r="L194" t="n">
        <v>0</v>
      </c>
      <c r="M194" t="n">
        <v>0</v>
      </c>
      <c r="N194" t="n">
        <v>0</v>
      </c>
      <c r="O194" t="n">
        <v>0</v>
      </c>
      <c r="P194" t="n">
        <v>0</v>
      </c>
      <c r="Q194" t="n">
        <v>0</v>
      </c>
      <c r="R194" s="2" t="inlineStr"/>
    </row>
    <row r="195" ht="15" customHeight="1">
      <c r="A195" t="inlineStr">
        <is>
          <t>A 73099-2021</t>
        </is>
      </c>
      <c r="B195" s="1" t="n">
        <v>44546</v>
      </c>
      <c r="C195" s="1" t="n">
        <v>45918</v>
      </c>
      <c r="D195" t="inlineStr">
        <is>
          <t>DALARNAS LÄN</t>
        </is>
      </c>
      <c r="E195" t="inlineStr">
        <is>
          <t>HEDEMORA</t>
        </is>
      </c>
      <c r="G195" t="n">
        <v>4.5</v>
      </c>
      <c r="H195" t="n">
        <v>0</v>
      </c>
      <c r="I195" t="n">
        <v>0</v>
      </c>
      <c r="J195" t="n">
        <v>0</v>
      </c>
      <c r="K195" t="n">
        <v>0</v>
      </c>
      <c r="L195" t="n">
        <v>0</v>
      </c>
      <c r="M195" t="n">
        <v>0</v>
      </c>
      <c r="N195" t="n">
        <v>0</v>
      </c>
      <c r="O195" t="n">
        <v>0</v>
      </c>
      <c r="P195" t="n">
        <v>0</v>
      </c>
      <c r="Q195" t="n">
        <v>0</v>
      </c>
      <c r="R195" s="2" t="inlineStr"/>
    </row>
    <row r="196" ht="15" customHeight="1">
      <c r="A196" t="inlineStr">
        <is>
          <t>A 30430-2023</t>
        </is>
      </c>
      <c r="B196" s="1" t="n">
        <v>45111.54344907407</v>
      </c>
      <c r="C196" s="1" t="n">
        <v>45918</v>
      </c>
      <c r="D196" t="inlineStr">
        <is>
          <t>DALARNAS LÄN</t>
        </is>
      </c>
      <c r="E196" t="inlineStr">
        <is>
          <t>HEDEMORA</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53576-2023</t>
        </is>
      </c>
      <c r="B197" s="1" t="n">
        <v>45230.50288194444</v>
      </c>
      <c r="C197" s="1" t="n">
        <v>45918</v>
      </c>
      <c r="D197" t="inlineStr">
        <is>
          <t>DALARNAS LÄN</t>
        </is>
      </c>
      <c r="E197" t="inlineStr">
        <is>
          <t>HEDEMORA</t>
        </is>
      </c>
      <c r="G197" t="n">
        <v>0.9</v>
      </c>
      <c r="H197" t="n">
        <v>0</v>
      </c>
      <c r="I197" t="n">
        <v>0</v>
      </c>
      <c r="J197" t="n">
        <v>0</v>
      </c>
      <c r="K197" t="n">
        <v>0</v>
      </c>
      <c r="L197" t="n">
        <v>0</v>
      </c>
      <c r="M197" t="n">
        <v>0</v>
      </c>
      <c r="N197" t="n">
        <v>0</v>
      </c>
      <c r="O197" t="n">
        <v>0</v>
      </c>
      <c r="P197" t="n">
        <v>0</v>
      </c>
      <c r="Q197" t="n">
        <v>0</v>
      </c>
      <c r="R197" s="2" t="inlineStr"/>
    </row>
    <row r="198" ht="15" customHeight="1">
      <c r="A198" t="inlineStr">
        <is>
          <t>A 53588-2023</t>
        </is>
      </c>
      <c r="B198" s="1" t="n">
        <v>45230.53109953704</v>
      </c>
      <c r="C198" s="1" t="n">
        <v>45918</v>
      </c>
      <c r="D198" t="inlineStr">
        <is>
          <t>DALARNAS LÄN</t>
        </is>
      </c>
      <c r="E198" t="inlineStr">
        <is>
          <t>HEDEMORA</t>
        </is>
      </c>
      <c r="G198" t="n">
        <v>0.6</v>
      </c>
      <c r="H198" t="n">
        <v>0</v>
      </c>
      <c r="I198" t="n">
        <v>0</v>
      </c>
      <c r="J198" t="n">
        <v>0</v>
      </c>
      <c r="K198" t="n">
        <v>0</v>
      </c>
      <c r="L198" t="n">
        <v>0</v>
      </c>
      <c r="M198" t="n">
        <v>0</v>
      </c>
      <c r="N198" t="n">
        <v>0</v>
      </c>
      <c r="O198" t="n">
        <v>0</v>
      </c>
      <c r="P198" t="n">
        <v>0</v>
      </c>
      <c r="Q198" t="n">
        <v>0</v>
      </c>
      <c r="R198" s="2" t="inlineStr"/>
    </row>
    <row r="199" ht="15" customHeight="1">
      <c r="A199" t="inlineStr">
        <is>
          <t>A 52199-2021</t>
        </is>
      </c>
      <c r="B199" s="1" t="n">
        <v>44462</v>
      </c>
      <c r="C199" s="1" t="n">
        <v>45918</v>
      </c>
      <c r="D199" t="inlineStr">
        <is>
          <t>DALARNAS LÄN</t>
        </is>
      </c>
      <c r="E199" t="inlineStr">
        <is>
          <t>HEDEMORA</t>
        </is>
      </c>
      <c r="F199" t="inlineStr">
        <is>
          <t>Bergvik skog väst AB</t>
        </is>
      </c>
      <c r="G199" t="n">
        <v>4.4</v>
      </c>
      <c r="H199" t="n">
        <v>0</v>
      </c>
      <c r="I199" t="n">
        <v>0</v>
      </c>
      <c r="J199" t="n">
        <v>0</v>
      </c>
      <c r="K199" t="n">
        <v>0</v>
      </c>
      <c r="L199" t="n">
        <v>0</v>
      </c>
      <c r="M199" t="n">
        <v>0</v>
      </c>
      <c r="N199" t="n">
        <v>0</v>
      </c>
      <c r="O199" t="n">
        <v>0</v>
      </c>
      <c r="P199" t="n">
        <v>0</v>
      </c>
      <c r="Q199" t="n">
        <v>0</v>
      </c>
      <c r="R199" s="2" t="inlineStr"/>
    </row>
    <row r="200" ht="15" customHeight="1">
      <c r="A200" t="inlineStr">
        <is>
          <t>A 63941-2023</t>
        </is>
      </c>
      <c r="B200" s="1" t="n">
        <v>45278.61277777778</v>
      </c>
      <c r="C200" s="1" t="n">
        <v>45918</v>
      </c>
      <c r="D200" t="inlineStr">
        <is>
          <t>DALARNAS LÄN</t>
        </is>
      </c>
      <c r="E200" t="inlineStr">
        <is>
          <t>HEDEMORA</t>
        </is>
      </c>
      <c r="G200" t="n">
        <v>1.1</v>
      </c>
      <c r="H200" t="n">
        <v>0</v>
      </c>
      <c r="I200" t="n">
        <v>0</v>
      </c>
      <c r="J200" t="n">
        <v>0</v>
      </c>
      <c r="K200" t="n">
        <v>0</v>
      </c>
      <c r="L200" t="n">
        <v>0</v>
      </c>
      <c r="M200" t="n">
        <v>0</v>
      </c>
      <c r="N200" t="n">
        <v>0</v>
      </c>
      <c r="O200" t="n">
        <v>0</v>
      </c>
      <c r="P200" t="n">
        <v>0</v>
      </c>
      <c r="Q200" t="n">
        <v>0</v>
      </c>
      <c r="R200" s="2" t="inlineStr"/>
    </row>
    <row r="201" ht="15" customHeight="1">
      <c r="A201" t="inlineStr">
        <is>
          <t>A 61849-2022</t>
        </is>
      </c>
      <c r="B201" s="1" t="n">
        <v>44917</v>
      </c>
      <c r="C201" s="1" t="n">
        <v>45918</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21868-2025</t>
        </is>
      </c>
      <c r="B202" s="1" t="n">
        <v>45784.3721412037</v>
      </c>
      <c r="C202" s="1" t="n">
        <v>45918</v>
      </c>
      <c r="D202" t="inlineStr">
        <is>
          <t>DALARNAS LÄN</t>
        </is>
      </c>
      <c r="E202" t="inlineStr">
        <is>
          <t>HEDEMORA</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8342-2025</t>
        </is>
      </c>
      <c r="B203" s="1" t="n">
        <v>45708.67251157408</v>
      </c>
      <c r="C203" s="1" t="n">
        <v>45918</v>
      </c>
      <c r="D203" t="inlineStr">
        <is>
          <t>DALARNAS LÄN</t>
        </is>
      </c>
      <c r="E203" t="inlineStr">
        <is>
          <t>HEDEMORA</t>
        </is>
      </c>
      <c r="G203" t="n">
        <v>0.8</v>
      </c>
      <c r="H203" t="n">
        <v>0</v>
      </c>
      <c r="I203" t="n">
        <v>0</v>
      </c>
      <c r="J203" t="n">
        <v>0</v>
      </c>
      <c r="K203" t="n">
        <v>0</v>
      </c>
      <c r="L203" t="n">
        <v>0</v>
      </c>
      <c r="M203" t="n">
        <v>0</v>
      </c>
      <c r="N203" t="n">
        <v>0</v>
      </c>
      <c r="O203" t="n">
        <v>0</v>
      </c>
      <c r="P203" t="n">
        <v>0</v>
      </c>
      <c r="Q203" t="n">
        <v>0</v>
      </c>
      <c r="R203" s="2" t="inlineStr"/>
    </row>
    <row r="204" ht="15" customHeight="1">
      <c r="A204" t="inlineStr">
        <is>
          <t>A 28029-2023</t>
        </is>
      </c>
      <c r="B204" s="1" t="n">
        <v>45099</v>
      </c>
      <c r="C204" s="1" t="n">
        <v>45918</v>
      </c>
      <c r="D204" t="inlineStr">
        <is>
          <t>DALARNAS LÄN</t>
        </is>
      </c>
      <c r="E204" t="inlineStr">
        <is>
          <t>HEDEMORA</t>
        </is>
      </c>
      <c r="G204" t="n">
        <v>0.6</v>
      </c>
      <c r="H204" t="n">
        <v>0</v>
      </c>
      <c r="I204" t="n">
        <v>0</v>
      </c>
      <c r="J204" t="n">
        <v>0</v>
      </c>
      <c r="K204" t="n">
        <v>0</v>
      </c>
      <c r="L204" t="n">
        <v>0</v>
      </c>
      <c r="M204" t="n">
        <v>0</v>
      </c>
      <c r="N204" t="n">
        <v>0</v>
      </c>
      <c r="O204" t="n">
        <v>0</v>
      </c>
      <c r="P204" t="n">
        <v>0</v>
      </c>
      <c r="Q204" t="n">
        <v>0</v>
      </c>
      <c r="R204" s="2" t="inlineStr"/>
    </row>
    <row r="205" ht="15" customHeight="1">
      <c r="A205" t="inlineStr">
        <is>
          <t>A 48380-2024</t>
        </is>
      </c>
      <c r="B205" s="1" t="n">
        <v>45590</v>
      </c>
      <c r="C205" s="1" t="n">
        <v>45918</v>
      </c>
      <c r="D205" t="inlineStr">
        <is>
          <t>DALARNAS LÄN</t>
        </is>
      </c>
      <c r="E205" t="inlineStr">
        <is>
          <t>HEDEMORA</t>
        </is>
      </c>
      <c r="G205" t="n">
        <v>1.5</v>
      </c>
      <c r="H205" t="n">
        <v>0</v>
      </c>
      <c r="I205" t="n">
        <v>0</v>
      </c>
      <c r="J205" t="n">
        <v>0</v>
      </c>
      <c r="K205" t="n">
        <v>0</v>
      </c>
      <c r="L205" t="n">
        <v>0</v>
      </c>
      <c r="M205" t="n">
        <v>0</v>
      </c>
      <c r="N205" t="n">
        <v>0</v>
      </c>
      <c r="O205" t="n">
        <v>0</v>
      </c>
      <c r="P205" t="n">
        <v>0</v>
      </c>
      <c r="Q205" t="n">
        <v>0</v>
      </c>
      <c r="R205" s="2" t="inlineStr"/>
    </row>
    <row r="206" ht="15" customHeight="1">
      <c r="A206" t="inlineStr">
        <is>
          <t>A 43785-2023</t>
        </is>
      </c>
      <c r="B206" s="1" t="n">
        <v>45187</v>
      </c>
      <c r="C206" s="1" t="n">
        <v>45918</v>
      </c>
      <c r="D206" t="inlineStr">
        <is>
          <t>DALARNAS LÄN</t>
        </is>
      </c>
      <c r="E206" t="inlineStr">
        <is>
          <t>HEDEMORA</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6210-2024</t>
        </is>
      </c>
      <c r="B207" s="1" t="n">
        <v>45337</v>
      </c>
      <c r="C207" s="1" t="n">
        <v>45918</v>
      </c>
      <c r="D207" t="inlineStr">
        <is>
          <t>DALARNAS LÄN</t>
        </is>
      </c>
      <c r="E207" t="inlineStr">
        <is>
          <t>HEDEMORA</t>
        </is>
      </c>
      <c r="G207" t="n">
        <v>2.6</v>
      </c>
      <c r="H207" t="n">
        <v>0</v>
      </c>
      <c r="I207" t="n">
        <v>0</v>
      </c>
      <c r="J207" t="n">
        <v>0</v>
      </c>
      <c r="K207" t="n">
        <v>0</v>
      </c>
      <c r="L207" t="n">
        <v>0</v>
      </c>
      <c r="M207" t="n">
        <v>0</v>
      </c>
      <c r="N207" t="n">
        <v>0</v>
      </c>
      <c r="O207" t="n">
        <v>0</v>
      </c>
      <c r="P207" t="n">
        <v>0</v>
      </c>
      <c r="Q207" t="n">
        <v>0</v>
      </c>
      <c r="R207" s="2" t="inlineStr"/>
    </row>
    <row r="208" ht="15" customHeight="1">
      <c r="A208" t="inlineStr">
        <is>
          <t>A 21869-2025</t>
        </is>
      </c>
      <c r="B208" s="1" t="n">
        <v>45784.37449074074</v>
      </c>
      <c r="C208" s="1" t="n">
        <v>45918</v>
      </c>
      <c r="D208" t="inlineStr">
        <is>
          <t>DALARNAS LÄN</t>
        </is>
      </c>
      <c r="E208" t="inlineStr">
        <is>
          <t>HEDEMORA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32071-2021</t>
        </is>
      </c>
      <c r="B209" s="1" t="n">
        <v>44370.90546296296</v>
      </c>
      <c r="C209" s="1" t="n">
        <v>45918</v>
      </c>
      <c r="D209" t="inlineStr">
        <is>
          <t>DALARNAS LÄN</t>
        </is>
      </c>
      <c r="E209" t="inlineStr">
        <is>
          <t>HEDEMORA</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60780-2024</t>
        </is>
      </c>
      <c r="B210" s="1" t="n">
        <v>45644.59017361111</v>
      </c>
      <c r="C210" s="1" t="n">
        <v>45918</v>
      </c>
      <c r="D210" t="inlineStr">
        <is>
          <t>DALARNAS LÄN</t>
        </is>
      </c>
      <c r="E210" t="inlineStr">
        <is>
          <t>HEDEMORA</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29050-2023</t>
        </is>
      </c>
      <c r="B211" s="1" t="n">
        <v>45104</v>
      </c>
      <c r="C211" s="1" t="n">
        <v>45918</v>
      </c>
      <c r="D211" t="inlineStr">
        <is>
          <t>DALARNAS LÄN</t>
        </is>
      </c>
      <c r="E211" t="inlineStr">
        <is>
          <t>HEDEMORA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25150-2023</t>
        </is>
      </c>
      <c r="B212" s="1" t="n">
        <v>45086</v>
      </c>
      <c r="C212" s="1" t="n">
        <v>45918</v>
      </c>
      <c r="D212" t="inlineStr">
        <is>
          <t>DALARNAS LÄN</t>
        </is>
      </c>
      <c r="E212" t="inlineStr">
        <is>
          <t>HEDEMORA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29585-2024</t>
        </is>
      </c>
      <c r="B213" s="1" t="n">
        <v>45484.57728009259</v>
      </c>
      <c r="C213" s="1" t="n">
        <v>45918</v>
      </c>
      <c r="D213" t="inlineStr">
        <is>
          <t>DALARNAS LÄN</t>
        </is>
      </c>
      <c r="E213" t="inlineStr">
        <is>
          <t>HEDEMORA</t>
        </is>
      </c>
      <c r="F213" t="inlineStr">
        <is>
          <t>Bergvik skog väst AB</t>
        </is>
      </c>
      <c r="G213" t="n">
        <v>8.1</v>
      </c>
      <c r="H213" t="n">
        <v>0</v>
      </c>
      <c r="I213" t="n">
        <v>0</v>
      </c>
      <c r="J213" t="n">
        <v>0</v>
      </c>
      <c r="K213" t="n">
        <v>0</v>
      </c>
      <c r="L213" t="n">
        <v>0</v>
      </c>
      <c r="M213" t="n">
        <v>0</v>
      </c>
      <c r="N213" t="n">
        <v>0</v>
      </c>
      <c r="O213" t="n">
        <v>0</v>
      </c>
      <c r="P213" t="n">
        <v>0</v>
      </c>
      <c r="Q213" t="n">
        <v>0</v>
      </c>
      <c r="R213" s="2" t="inlineStr"/>
    </row>
    <row r="214" ht="15" customHeight="1">
      <c r="A214" t="inlineStr">
        <is>
          <t>A 51256-2024</t>
        </is>
      </c>
      <c r="B214" s="1" t="n">
        <v>45603.68902777778</v>
      </c>
      <c r="C214" s="1" t="n">
        <v>45918</v>
      </c>
      <c r="D214" t="inlineStr">
        <is>
          <t>DALARNAS LÄN</t>
        </is>
      </c>
      <c r="E214" t="inlineStr">
        <is>
          <t>HEDEMORA</t>
        </is>
      </c>
      <c r="G214" t="n">
        <v>1.3</v>
      </c>
      <c r="H214" t="n">
        <v>0</v>
      </c>
      <c r="I214" t="n">
        <v>0</v>
      </c>
      <c r="J214" t="n">
        <v>0</v>
      </c>
      <c r="K214" t="n">
        <v>0</v>
      </c>
      <c r="L214" t="n">
        <v>0</v>
      </c>
      <c r="M214" t="n">
        <v>0</v>
      </c>
      <c r="N214" t="n">
        <v>0</v>
      </c>
      <c r="O214" t="n">
        <v>0</v>
      </c>
      <c r="P214" t="n">
        <v>0</v>
      </c>
      <c r="Q214" t="n">
        <v>0</v>
      </c>
      <c r="R214" s="2" t="inlineStr"/>
    </row>
    <row r="215" ht="15" customHeight="1">
      <c r="A215" t="inlineStr">
        <is>
          <t>A 61886-2022</t>
        </is>
      </c>
      <c r="B215" s="1" t="n">
        <v>44917.67582175926</v>
      </c>
      <c r="C215" s="1" t="n">
        <v>45918</v>
      </c>
      <c r="D215" t="inlineStr">
        <is>
          <t>DALARNAS LÄN</t>
        </is>
      </c>
      <c r="E215" t="inlineStr">
        <is>
          <t>HEDEMORA</t>
        </is>
      </c>
      <c r="G215" t="n">
        <v>1.9</v>
      </c>
      <c r="H215" t="n">
        <v>0</v>
      </c>
      <c r="I215" t="n">
        <v>0</v>
      </c>
      <c r="J215" t="n">
        <v>0</v>
      </c>
      <c r="K215" t="n">
        <v>0</v>
      </c>
      <c r="L215" t="n">
        <v>0</v>
      </c>
      <c r="M215" t="n">
        <v>0</v>
      </c>
      <c r="N215" t="n">
        <v>0</v>
      </c>
      <c r="O215" t="n">
        <v>0</v>
      </c>
      <c r="P215" t="n">
        <v>0</v>
      </c>
      <c r="Q215" t="n">
        <v>0</v>
      </c>
      <c r="R215" s="2" t="inlineStr"/>
    </row>
    <row r="216" ht="15" customHeight="1">
      <c r="A216" t="inlineStr">
        <is>
          <t>A 30205-2022</t>
        </is>
      </c>
      <c r="B216" s="1" t="n">
        <v>44757.74415509259</v>
      </c>
      <c r="C216" s="1" t="n">
        <v>45918</v>
      </c>
      <c r="D216" t="inlineStr">
        <is>
          <t>DALARNAS LÄN</t>
        </is>
      </c>
      <c r="E216" t="inlineStr">
        <is>
          <t>HEDEMORA</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53586-2023</t>
        </is>
      </c>
      <c r="B217" s="1" t="n">
        <v>45230.52603009259</v>
      </c>
      <c r="C217" s="1" t="n">
        <v>45918</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61533-2021</t>
        </is>
      </c>
      <c r="B218" s="1" t="n">
        <v>44501</v>
      </c>
      <c r="C218" s="1" t="n">
        <v>45918</v>
      </c>
      <c r="D218" t="inlineStr">
        <is>
          <t>DALARNAS LÄN</t>
        </is>
      </c>
      <c r="E218" t="inlineStr">
        <is>
          <t>HEDEMORA</t>
        </is>
      </c>
      <c r="G218" t="n">
        <v>1.6</v>
      </c>
      <c r="H218" t="n">
        <v>0</v>
      </c>
      <c r="I218" t="n">
        <v>0</v>
      </c>
      <c r="J218" t="n">
        <v>0</v>
      </c>
      <c r="K218" t="n">
        <v>0</v>
      </c>
      <c r="L218" t="n">
        <v>0</v>
      </c>
      <c r="M218" t="n">
        <v>0</v>
      </c>
      <c r="N218" t="n">
        <v>0</v>
      </c>
      <c r="O218" t="n">
        <v>0</v>
      </c>
      <c r="P218" t="n">
        <v>0</v>
      </c>
      <c r="Q218" t="n">
        <v>0</v>
      </c>
      <c r="R218" s="2" t="inlineStr"/>
    </row>
    <row r="219" ht="15" customHeight="1">
      <c r="A219" t="inlineStr">
        <is>
          <t>A 50333-2023</t>
        </is>
      </c>
      <c r="B219" s="1" t="n">
        <v>45216</v>
      </c>
      <c r="C219" s="1" t="n">
        <v>45918</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18572-2025</t>
        </is>
      </c>
      <c r="B220" s="1" t="n">
        <v>45763</v>
      </c>
      <c r="C220" s="1" t="n">
        <v>45918</v>
      </c>
      <c r="D220" t="inlineStr">
        <is>
          <t>DALARNAS LÄN</t>
        </is>
      </c>
      <c r="E220" t="inlineStr">
        <is>
          <t>HEDEMORA</t>
        </is>
      </c>
      <c r="G220" t="n">
        <v>0.9</v>
      </c>
      <c r="H220" t="n">
        <v>0</v>
      </c>
      <c r="I220" t="n">
        <v>0</v>
      </c>
      <c r="J220" t="n">
        <v>0</v>
      </c>
      <c r="K220" t="n">
        <v>0</v>
      </c>
      <c r="L220" t="n">
        <v>0</v>
      </c>
      <c r="M220" t="n">
        <v>0</v>
      </c>
      <c r="N220" t="n">
        <v>0</v>
      </c>
      <c r="O220" t="n">
        <v>0</v>
      </c>
      <c r="P220" t="n">
        <v>0</v>
      </c>
      <c r="Q220" t="n">
        <v>0</v>
      </c>
      <c r="R220" s="2" t="inlineStr"/>
    </row>
    <row r="221" ht="15" customHeight="1">
      <c r="A221" t="inlineStr">
        <is>
          <t>A 19920-2025</t>
        </is>
      </c>
      <c r="B221" s="1" t="n">
        <v>45771</v>
      </c>
      <c r="C221" s="1" t="n">
        <v>45918</v>
      </c>
      <c r="D221" t="inlineStr">
        <is>
          <t>DALARNAS LÄN</t>
        </is>
      </c>
      <c r="E221" t="inlineStr">
        <is>
          <t>HEDEMORA</t>
        </is>
      </c>
      <c r="G221" t="n">
        <v>2.8</v>
      </c>
      <c r="H221" t="n">
        <v>0</v>
      </c>
      <c r="I221" t="n">
        <v>0</v>
      </c>
      <c r="J221" t="n">
        <v>0</v>
      </c>
      <c r="K221" t="n">
        <v>0</v>
      </c>
      <c r="L221" t="n">
        <v>0</v>
      </c>
      <c r="M221" t="n">
        <v>0</v>
      </c>
      <c r="N221" t="n">
        <v>0</v>
      </c>
      <c r="O221" t="n">
        <v>0</v>
      </c>
      <c r="P221" t="n">
        <v>0</v>
      </c>
      <c r="Q221" t="n">
        <v>0</v>
      </c>
      <c r="R221" s="2" t="inlineStr"/>
    </row>
    <row r="222" ht="15" customHeight="1">
      <c r="A222" t="inlineStr">
        <is>
          <t>A 62188-2023</t>
        </is>
      </c>
      <c r="B222" s="1" t="n">
        <v>45267</v>
      </c>
      <c r="C222" s="1" t="n">
        <v>45918</v>
      </c>
      <c r="D222" t="inlineStr">
        <is>
          <t>DALARNAS LÄN</t>
        </is>
      </c>
      <c r="E222" t="inlineStr">
        <is>
          <t>HEDEMORA</t>
        </is>
      </c>
      <c r="G222" t="n">
        <v>2.1</v>
      </c>
      <c r="H222" t="n">
        <v>0</v>
      </c>
      <c r="I222" t="n">
        <v>0</v>
      </c>
      <c r="J222" t="n">
        <v>0</v>
      </c>
      <c r="K222" t="n">
        <v>0</v>
      </c>
      <c r="L222" t="n">
        <v>0</v>
      </c>
      <c r="M222" t="n">
        <v>0</v>
      </c>
      <c r="N222" t="n">
        <v>0</v>
      </c>
      <c r="O222" t="n">
        <v>0</v>
      </c>
      <c r="P222" t="n">
        <v>0</v>
      </c>
      <c r="Q222" t="n">
        <v>0</v>
      </c>
      <c r="R222" s="2" t="inlineStr"/>
    </row>
    <row r="223" ht="15" customHeight="1">
      <c r="A223" t="inlineStr">
        <is>
          <t>A 23435-2025</t>
        </is>
      </c>
      <c r="B223" s="1" t="n">
        <v>45792.37162037037</v>
      </c>
      <c r="C223" s="1" t="n">
        <v>45918</v>
      </c>
      <c r="D223" t="inlineStr">
        <is>
          <t>DALARNAS LÄN</t>
        </is>
      </c>
      <c r="E223" t="inlineStr">
        <is>
          <t>HEDEMORA</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7916-2024</t>
        </is>
      </c>
      <c r="B224" s="1" t="n">
        <v>45350.46259259259</v>
      </c>
      <c r="C224" s="1" t="n">
        <v>45918</v>
      </c>
      <c r="D224" t="inlineStr">
        <is>
          <t>DALARNAS LÄN</t>
        </is>
      </c>
      <c r="E224" t="inlineStr">
        <is>
          <t>HEDEMORA</t>
        </is>
      </c>
      <c r="G224" t="n">
        <v>5.8</v>
      </c>
      <c r="H224" t="n">
        <v>0</v>
      </c>
      <c r="I224" t="n">
        <v>0</v>
      </c>
      <c r="J224" t="n">
        <v>0</v>
      </c>
      <c r="K224" t="n">
        <v>0</v>
      </c>
      <c r="L224" t="n">
        <v>0</v>
      </c>
      <c r="M224" t="n">
        <v>0</v>
      </c>
      <c r="N224" t="n">
        <v>0</v>
      </c>
      <c r="O224" t="n">
        <v>0</v>
      </c>
      <c r="P224" t="n">
        <v>0</v>
      </c>
      <c r="Q224" t="n">
        <v>0</v>
      </c>
      <c r="R224" s="2" t="inlineStr"/>
    </row>
    <row r="225" ht="15" customHeight="1">
      <c r="A225" t="inlineStr">
        <is>
          <t>A 1917-2022</t>
        </is>
      </c>
      <c r="B225" s="1" t="n">
        <v>44574</v>
      </c>
      <c r="C225" s="1" t="n">
        <v>45918</v>
      </c>
      <c r="D225" t="inlineStr">
        <is>
          <t>DALARNAS LÄN</t>
        </is>
      </c>
      <c r="E225" t="inlineStr">
        <is>
          <t>HEDEMORA</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31825-2024</t>
        </is>
      </c>
      <c r="B226" s="1" t="n">
        <v>45509.60949074074</v>
      </c>
      <c r="C226" s="1" t="n">
        <v>45918</v>
      </c>
      <c r="D226" t="inlineStr">
        <is>
          <t>DALARNAS LÄN</t>
        </is>
      </c>
      <c r="E226" t="inlineStr">
        <is>
          <t>HEDEMORA</t>
        </is>
      </c>
      <c r="G226" t="n">
        <v>0.1</v>
      </c>
      <c r="H226" t="n">
        <v>0</v>
      </c>
      <c r="I226" t="n">
        <v>0</v>
      </c>
      <c r="J226" t="n">
        <v>0</v>
      </c>
      <c r="K226" t="n">
        <v>0</v>
      </c>
      <c r="L226" t="n">
        <v>0</v>
      </c>
      <c r="M226" t="n">
        <v>0</v>
      </c>
      <c r="N226" t="n">
        <v>0</v>
      </c>
      <c r="O226" t="n">
        <v>0</v>
      </c>
      <c r="P226" t="n">
        <v>0</v>
      </c>
      <c r="Q226" t="n">
        <v>0</v>
      </c>
      <c r="R226" s="2" t="inlineStr"/>
    </row>
    <row r="227" ht="15" customHeight="1">
      <c r="A227" t="inlineStr">
        <is>
          <t>A 26452-2024</t>
        </is>
      </c>
      <c r="B227" s="1" t="n">
        <v>45469.51145833333</v>
      </c>
      <c r="C227" s="1" t="n">
        <v>45918</v>
      </c>
      <c r="D227" t="inlineStr">
        <is>
          <t>DALARNAS LÄN</t>
        </is>
      </c>
      <c r="E227" t="inlineStr">
        <is>
          <t>HEDEMORA</t>
        </is>
      </c>
      <c r="G227" t="n">
        <v>2.3</v>
      </c>
      <c r="H227" t="n">
        <v>0</v>
      </c>
      <c r="I227" t="n">
        <v>0</v>
      </c>
      <c r="J227" t="n">
        <v>0</v>
      </c>
      <c r="K227" t="n">
        <v>0</v>
      </c>
      <c r="L227" t="n">
        <v>0</v>
      </c>
      <c r="M227" t="n">
        <v>0</v>
      </c>
      <c r="N227" t="n">
        <v>0</v>
      </c>
      <c r="O227" t="n">
        <v>0</v>
      </c>
      <c r="P227" t="n">
        <v>0</v>
      </c>
      <c r="Q227" t="n">
        <v>0</v>
      </c>
      <c r="R227" s="2" t="inlineStr"/>
    </row>
    <row r="228" ht="15" customHeight="1">
      <c r="A228" t="inlineStr">
        <is>
          <t>A 60808-2024</t>
        </is>
      </c>
      <c r="B228" s="1" t="n">
        <v>45644.61251157407</v>
      </c>
      <c r="C228" s="1" t="n">
        <v>45918</v>
      </c>
      <c r="D228" t="inlineStr">
        <is>
          <t>DALARNAS LÄN</t>
        </is>
      </c>
      <c r="E228" t="inlineStr">
        <is>
          <t>HEDEMORA</t>
        </is>
      </c>
      <c r="G228" t="n">
        <v>6</v>
      </c>
      <c r="H228" t="n">
        <v>0</v>
      </c>
      <c r="I228" t="n">
        <v>0</v>
      </c>
      <c r="J228" t="n">
        <v>0</v>
      </c>
      <c r="K228" t="n">
        <v>0</v>
      </c>
      <c r="L228" t="n">
        <v>0</v>
      </c>
      <c r="M228" t="n">
        <v>0</v>
      </c>
      <c r="N228" t="n">
        <v>0</v>
      </c>
      <c r="O228" t="n">
        <v>0</v>
      </c>
      <c r="P228" t="n">
        <v>0</v>
      </c>
      <c r="Q228" t="n">
        <v>0</v>
      </c>
      <c r="R228" s="2" t="inlineStr"/>
    </row>
    <row r="229" ht="15" customHeight="1">
      <c r="A229" t="inlineStr">
        <is>
          <t>A 14951-2025</t>
        </is>
      </c>
      <c r="B229" s="1" t="n">
        <v>45743.57695601852</v>
      </c>
      <c r="C229" s="1" t="n">
        <v>45918</v>
      </c>
      <c r="D229" t="inlineStr">
        <is>
          <t>DALARNAS LÄN</t>
        </is>
      </c>
      <c r="E229" t="inlineStr">
        <is>
          <t>HEDEMORA</t>
        </is>
      </c>
      <c r="G229" t="n">
        <v>1.6</v>
      </c>
      <c r="H229" t="n">
        <v>0</v>
      </c>
      <c r="I229" t="n">
        <v>0</v>
      </c>
      <c r="J229" t="n">
        <v>0</v>
      </c>
      <c r="K229" t="n">
        <v>0</v>
      </c>
      <c r="L229" t="n">
        <v>0</v>
      </c>
      <c r="M229" t="n">
        <v>0</v>
      </c>
      <c r="N229" t="n">
        <v>0</v>
      </c>
      <c r="O229" t="n">
        <v>0</v>
      </c>
      <c r="P229" t="n">
        <v>0</v>
      </c>
      <c r="Q229" t="n">
        <v>0</v>
      </c>
      <c r="R229" s="2" t="inlineStr"/>
    </row>
    <row r="230" ht="15" customHeight="1">
      <c r="A230" t="inlineStr">
        <is>
          <t>A 385-2024</t>
        </is>
      </c>
      <c r="B230" s="1" t="n">
        <v>45296</v>
      </c>
      <c r="C230" s="1" t="n">
        <v>45918</v>
      </c>
      <c r="D230" t="inlineStr">
        <is>
          <t>DALARNAS LÄN</t>
        </is>
      </c>
      <c r="E230" t="inlineStr">
        <is>
          <t>HEDEMORA</t>
        </is>
      </c>
      <c r="G230" t="n">
        <v>1.7</v>
      </c>
      <c r="H230" t="n">
        <v>0</v>
      </c>
      <c r="I230" t="n">
        <v>0</v>
      </c>
      <c r="J230" t="n">
        <v>0</v>
      </c>
      <c r="K230" t="n">
        <v>0</v>
      </c>
      <c r="L230" t="n">
        <v>0</v>
      </c>
      <c r="M230" t="n">
        <v>0</v>
      </c>
      <c r="N230" t="n">
        <v>0</v>
      </c>
      <c r="O230" t="n">
        <v>0</v>
      </c>
      <c r="P230" t="n">
        <v>0</v>
      </c>
      <c r="Q230" t="n">
        <v>0</v>
      </c>
      <c r="R230" s="2" t="inlineStr"/>
    </row>
    <row r="231" ht="15" customHeight="1">
      <c r="A231" t="inlineStr">
        <is>
          <t>A 29123-2021</t>
        </is>
      </c>
      <c r="B231" s="1" t="n">
        <v>44358</v>
      </c>
      <c r="C231" s="1" t="n">
        <v>45918</v>
      </c>
      <c r="D231" t="inlineStr">
        <is>
          <t>DALARNAS LÄN</t>
        </is>
      </c>
      <c r="E231" t="inlineStr">
        <is>
          <t>HEDEMORA</t>
        </is>
      </c>
      <c r="G231" t="n">
        <v>5.6</v>
      </c>
      <c r="H231" t="n">
        <v>0</v>
      </c>
      <c r="I231" t="n">
        <v>0</v>
      </c>
      <c r="J231" t="n">
        <v>0</v>
      </c>
      <c r="K231" t="n">
        <v>0</v>
      </c>
      <c r="L231" t="n">
        <v>0</v>
      </c>
      <c r="M231" t="n">
        <v>0</v>
      </c>
      <c r="N231" t="n">
        <v>0</v>
      </c>
      <c r="O231" t="n">
        <v>0</v>
      </c>
      <c r="P231" t="n">
        <v>0</v>
      </c>
      <c r="Q231" t="n">
        <v>0</v>
      </c>
      <c r="R231" s="2" t="inlineStr"/>
    </row>
    <row r="232" ht="15" customHeight="1">
      <c r="A232" t="inlineStr">
        <is>
          <t>A 25195-2024</t>
        </is>
      </c>
      <c r="B232" s="1" t="n">
        <v>45462</v>
      </c>
      <c r="C232" s="1" t="n">
        <v>45918</v>
      </c>
      <c r="D232" t="inlineStr">
        <is>
          <t>DALARNAS LÄN</t>
        </is>
      </c>
      <c r="E232" t="inlineStr">
        <is>
          <t>HEDEMORA</t>
        </is>
      </c>
      <c r="F232" t="inlineStr">
        <is>
          <t>Övriga statliga verk och myndigheter</t>
        </is>
      </c>
      <c r="G232" t="n">
        <v>3.3</v>
      </c>
      <c r="H232" t="n">
        <v>0</v>
      </c>
      <c r="I232" t="n">
        <v>0</v>
      </c>
      <c r="J232" t="n">
        <v>0</v>
      </c>
      <c r="K232" t="n">
        <v>0</v>
      </c>
      <c r="L232" t="n">
        <v>0</v>
      </c>
      <c r="M232" t="n">
        <v>0</v>
      </c>
      <c r="N232" t="n">
        <v>0</v>
      </c>
      <c r="O232" t="n">
        <v>0</v>
      </c>
      <c r="P232" t="n">
        <v>0</v>
      </c>
      <c r="Q232" t="n">
        <v>0</v>
      </c>
      <c r="R232" s="2" t="inlineStr"/>
    </row>
    <row r="233" ht="15" customHeight="1">
      <c r="A233" t="inlineStr">
        <is>
          <t>A 38947-2023</t>
        </is>
      </c>
      <c r="B233" s="1" t="n">
        <v>45163.61209490741</v>
      </c>
      <c r="C233" s="1" t="n">
        <v>45918</v>
      </c>
      <c r="D233" t="inlineStr">
        <is>
          <t>DALARNAS LÄN</t>
        </is>
      </c>
      <c r="E233" t="inlineStr">
        <is>
          <t>HEDEMORA</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38951-2023</t>
        </is>
      </c>
      <c r="B234" s="1" t="n">
        <v>45163.61413194444</v>
      </c>
      <c r="C234" s="1" t="n">
        <v>45918</v>
      </c>
      <c r="D234" t="inlineStr">
        <is>
          <t>DALARNAS LÄN</t>
        </is>
      </c>
      <c r="E234" t="inlineStr">
        <is>
          <t>HEDEMORA</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55881-2023</t>
        </is>
      </c>
      <c r="B235" s="1" t="n">
        <v>45239</v>
      </c>
      <c r="C235" s="1" t="n">
        <v>45918</v>
      </c>
      <c r="D235" t="inlineStr">
        <is>
          <t>DALARNAS LÄN</t>
        </is>
      </c>
      <c r="E235" t="inlineStr">
        <is>
          <t>HEDEMORA</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25021-2025</t>
        </is>
      </c>
      <c r="B236" s="1" t="n">
        <v>45799.64574074074</v>
      </c>
      <c r="C236" s="1" t="n">
        <v>45918</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19397-2024</t>
        </is>
      </c>
      <c r="B237" s="1" t="n">
        <v>45429.38474537037</v>
      </c>
      <c r="C237" s="1" t="n">
        <v>45918</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15833-2025</t>
        </is>
      </c>
      <c r="B238" s="1" t="n">
        <v>45748.85107638889</v>
      </c>
      <c r="C238" s="1" t="n">
        <v>45918</v>
      </c>
      <c r="D238" t="inlineStr">
        <is>
          <t>DALARNAS LÄN</t>
        </is>
      </c>
      <c r="E238" t="inlineStr">
        <is>
          <t>HEDEMORA</t>
        </is>
      </c>
      <c r="G238" t="n">
        <v>0.4</v>
      </c>
      <c r="H238" t="n">
        <v>0</v>
      </c>
      <c r="I238" t="n">
        <v>0</v>
      </c>
      <c r="J238" t="n">
        <v>0</v>
      </c>
      <c r="K238" t="n">
        <v>0</v>
      </c>
      <c r="L238" t="n">
        <v>0</v>
      </c>
      <c r="M238" t="n">
        <v>0</v>
      </c>
      <c r="N238" t="n">
        <v>0</v>
      </c>
      <c r="O238" t="n">
        <v>0</v>
      </c>
      <c r="P238" t="n">
        <v>0</v>
      </c>
      <c r="Q238" t="n">
        <v>0</v>
      </c>
      <c r="R238" s="2" t="inlineStr"/>
    </row>
    <row r="239" ht="15" customHeight="1">
      <c r="A239" t="inlineStr">
        <is>
          <t>A 62046-2022</t>
        </is>
      </c>
      <c r="B239" s="1" t="n">
        <v>44918.5633912037</v>
      </c>
      <c r="C239" s="1" t="n">
        <v>45918</v>
      </c>
      <c r="D239" t="inlineStr">
        <is>
          <t>DALARNAS LÄN</t>
        </is>
      </c>
      <c r="E239" t="inlineStr">
        <is>
          <t>HEDEMORA</t>
        </is>
      </c>
      <c r="G239" t="n">
        <v>1.2</v>
      </c>
      <c r="H239" t="n">
        <v>0</v>
      </c>
      <c r="I239" t="n">
        <v>0</v>
      </c>
      <c r="J239" t="n">
        <v>0</v>
      </c>
      <c r="K239" t="n">
        <v>0</v>
      </c>
      <c r="L239" t="n">
        <v>0</v>
      </c>
      <c r="M239" t="n">
        <v>0</v>
      </c>
      <c r="N239" t="n">
        <v>0</v>
      </c>
      <c r="O239" t="n">
        <v>0</v>
      </c>
      <c r="P239" t="n">
        <v>0</v>
      </c>
      <c r="Q239" t="n">
        <v>0</v>
      </c>
      <c r="R239" s="2" t="inlineStr"/>
    </row>
    <row r="240" ht="15" customHeight="1">
      <c r="A240" t="inlineStr">
        <is>
          <t>A 26204-2025</t>
        </is>
      </c>
      <c r="B240" s="1" t="n">
        <v>45805.51065972223</v>
      </c>
      <c r="C240" s="1" t="n">
        <v>45918</v>
      </c>
      <c r="D240" t="inlineStr">
        <is>
          <t>DALARNAS LÄN</t>
        </is>
      </c>
      <c r="E240" t="inlineStr">
        <is>
          <t>HEDEMORA</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43621-2024</t>
        </is>
      </c>
      <c r="B241" s="1" t="n">
        <v>45569.48200231481</v>
      </c>
      <c r="C241" s="1" t="n">
        <v>45918</v>
      </c>
      <c r="D241" t="inlineStr">
        <is>
          <t>DALARNAS LÄN</t>
        </is>
      </c>
      <c r="E241" t="inlineStr">
        <is>
          <t>HEDEMORA</t>
        </is>
      </c>
      <c r="G241" t="n">
        <v>2.4</v>
      </c>
      <c r="H241" t="n">
        <v>0</v>
      </c>
      <c r="I241" t="n">
        <v>0</v>
      </c>
      <c r="J241" t="n">
        <v>0</v>
      </c>
      <c r="K241" t="n">
        <v>0</v>
      </c>
      <c r="L241" t="n">
        <v>0</v>
      </c>
      <c r="M241" t="n">
        <v>0</v>
      </c>
      <c r="N241" t="n">
        <v>0</v>
      </c>
      <c r="O241" t="n">
        <v>0</v>
      </c>
      <c r="P241" t="n">
        <v>0</v>
      </c>
      <c r="Q241" t="n">
        <v>0</v>
      </c>
      <c r="R241" s="2" t="inlineStr"/>
    </row>
    <row r="242" ht="15" customHeight="1">
      <c r="A242" t="inlineStr">
        <is>
          <t>A 6972-2025</t>
        </is>
      </c>
      <c r="B242" s="1" t="n">
        <v>45701.53790509259</v>
      </c>
      <c r="C242" s="1" t="n">
        <v>45918</v>
      </c>
      <c r="D242" t="inlineStr">
        <is>
          <t>DALARNAS LÄN</t>
        </is>
      </c>
      <c r="E242" t="inlineStr">
        <is>
          <t>HEDEMORA</t>
        </is>
      </c>
      <c r="G242" t="n">
        <v>4.9</v>
      </c>
      <c r="H242" t="n">
        <v>0</v>
      </c>
      <c r="I242" t="n">
        <v>0</v>
      </c>
      <c r="J242" t="n">
        <v>0</v>
      </c>
      <c r="K242" t="n">
        <v>0</v>
      </c>
      <c r="L242" t="n">
        <v>0</v>
      </c>
      <c r="M242" t="n">
        <v>0</v>
      </c>
      <c r="N242" t="n">
        <v>0</v>
      </c>
      <c r="O242" t="n">
        <v>0</v>
      </c>
      <c r="P242" t="n">
        <v>0</v>
      </c>
      <c r="Q242" t="n">
        <v>0</v>
      </c>
      <c r="R242" s="2" t="inlineStr"/>
    </row>
    <row r="243" ht="15" customHeight="1">
      <c r="A243" t="inlineStr">
        <is>
          <t>A 26705-2025</t>
        </is>
      </c>
      <c r="B243" s="1" t="n">
        <v>45810.45325231482</v>
      </c>
      <c r="C243" s="1" t="n">
        <v>45918</v>
      </c>
      <c r="D243" t="inlineStr">
        <is>
          <t>DALARNAS LÄN</t>
        </is>
      </c>
      <c r="E243" t="inlineStr">
        <is>
          <t>HEDEMORA</t>
        </is>
      </c>
      <c r="G243" t="n">
        <v>1.9</v>
      </c>
      <c r="H243" t="n">
        <v>0</v>
      </c>
      <c r="I243" t="n">
        <v>0</v>
      </c>
      <c r="J243" t="n">
        <v>0</v>
      </c>
      <c r="K243" t="n">
        <v>0</v>
      </c>
      <c r="L243" t="n">
        <v>0</v>
      </c>
      <c r="M243" t="n">
        <v>0</v>
      </c>
      <c r="N243" t="n">
        <v>0</v>
      </c>
      <c r="O243" t="n">
        <v>0</v>
      </c>
      <c r="P243" t="n">
        <v>0</v>
      </c>
      <c r="Q243" t="n">
        <v>0</v>
      </c>
      <c r="R243" s="2" t="inlineStr"/>
    </row>
    <row r="244" ht="15" customHeight="1">
      <c r="A244" t="inlineStr">
        <is>
          <t>A 29301-2023</t>
        </is>
      </c>
      <c r="B244" s="1" t="n">
        <v>45105</v>
      </c>
      <c r="C244" s="1" t="n">
        <v>45918</v>
      </c>
      <c r="D244" t="inlineStr">
        <is>
          <t>DALARNAS LÄN</t>
        </is>
      </c>
      <c r="E244" t="inlineStr">
        <is>
          <t>HEDEMORA</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34409-2022</t>
        </is>
      </c>
      <c r="B245" s="1" t="n">
        <v>44792</v>
      </c>
      <c r="C245" s="1" t="n">
        <v>45918</v>
      </c>
      <c r="D245" t="inlineStr">
        <is>
          <t>DALARNAS LÄN</t>
        </is>
      </c>
      <c r="E245" t="inlineStr">
        <is>
          <t>HEDEMORA</t>
        </is>
      </c>
      <c r="G245" t="n">
        <v>13.7</v>
      </c>
      <c r="H245" t="n">
        <v>0</v>
      </c>
      <c r="I245" t="n">
        <v>0</v>
      </c>
      <c r="J245" t="n">
        <v>0</v>
      </c>
      <c r="K245" t="n">
        <v>0</v>
      </c>
      <c r="L245" t="n">
        <v>0</v>
      </c>
      <c r="M245" t="n">
        <v>0</v>
      </c>
      <c r="N245" t="n">
        <v>0</v>
      </c>
      <c r="O245" t="n">
        <v>0</v>
      </c>
      <c r="P245" t="n">
        <v>0</v>
      </c>
      <c r="Q245" t="n">
        <v>0</v>
      </c>
      <c r="R245" s="2" t="inlineStr"/>
    </row>
    <row r="246" ht="15" customHeight="1">
      <c r="A246" t="inlineStr">
        <is>
          <t>A 18522-2021</t>
        </is>
      </c>
      <c r="B246" s="1" t="n">
        <v>44306.4405787037</v>
      </c>
      <c r="C246" s="1" t="n">
        <v>45918</v>
      </c>
      <c r="D246" t="inlineStr">
        <is>
          <t>DALARNAS LÄN</t>
        </is>
      </c>
      <c r="E246" t="inlineStr">
        <is>
          <t>HEDEMORA</t>
        </is>
      </c>
      <c r="G246" t="n">
        <v>7</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44438.72253472222</v>
      </c>
      <c r="C247" s="1" t="n">
        <v>45918</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34932-2024</t>
        </is>
      </c>
      <c r="B248" s="1" t="n">
        <v>45527.45431712963</v>
      </c>
      <c r="C248" s="1" t="n">
        <v>45918</v>
      </c>
      <c r="D248" t="inlineStr">
        <is>
          <t>DALARNAS LÄN</t>
        </is>
      </c>
      <c r="E248" t="inlineStr">
        <is>
          <t>HEDEMORA</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53923-2024</t>
        </is>
      </c>
      <c r="B249" s="1" t="n">
        <v>45615.79806712963</v>
      </c>
      <c r="C249" s="1" t="n">
        <v>45918</v>
      </c>
      <c r="D249" t="inlineStr">
        <is>
          <t>DALARNAS LÄN</t>
        </is>
      </c>
      <c r="E249" t="inlineStr">
        <is>
          <t>HEDEMORA</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17645-2022</t>
        </is>
      </c>
      <c r="B250" s="1" t="n">
        <v>44680.47903935185</v>
      </c>
      <c r="C250" s="1" t="n">
        <v>45918</v>
      </c>
      <c r="D250" t="inlineStr">
        <is>
          <t>DALARNAS LÄN</t>
        </is>
      </c>
      <c r="E250" t="inlineStr">
        <is>
          <t>HEDEMORA</t>
        </is>
      </c>
      <c r="G250" t="n">
        <v>1.3</v>
      </c>
      <c r="H250" t="n">
        <v>0</v>
      </c>
      <c r="I250" t="n">
        <v>0</v>
      </c>
      <c r="J250" t="n">
        <v>0</v>
      </c>
      <c r="K250" t="n">
        <v>0</v>
      </c>
      <c r="L250" t="n">
        <v>0</v>
      </c>
      <c r="M250" t="n">
        <v>0</v>
      </c>
      <c r="N250" t="n">
        <v>0</v>
      </c>
      <c r="O250" t="n">
        <v>0</v>
      </c>
      <c r="P250" t="n">
        <v>0</v>
      </c>
      <c r="Q250" t="n">
        <v>0</v>
      </c>
      <c r="R250" s="2" t="inlineStr"/>
    </row>
    <row r="251" ht="15" customHeight="1">
      <c r="A251" t="inlineStr">
        <is>
          <t>A 44384-2024</t>
        </is>
      </c>
      <c r="B251" s="1" t="n">
        <v>45573.67782407408</v>
      </c>
      <c r="C251" s="1" t="n">
        <v>45918</v>
      </c>
      <c r="D251" t="inlineStr">
        <is>
          <t>DALARNAS LÄN</t>
        </is>
      </c>
      <c r="E251" t="inlineStr">
        <is>
          <t>HEDEMORA</t>
        </is>
      </c>
      <c r="F251" t="inlineStr">
        <is>
          <t>Bergvik skog väst AB</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44388-2024</t>
        </is>
      </c>
      <c r="B252" s="1" t="n">
        <v>45573.68875</v>
      </c>
      <c r="C252" s="1" t="n">
        <v>45918</v>
      </c>
      <c r="D252" t="inlineStr">
        <is>
          <t>DALARNAS LÄN</t>
        </is>
      </c>
      <c r="E252" t="inlineStr">
        <is>
          <t>HEDEMORA</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39530-2024</t>
        </is>
      </c>
      <c r="B253" s="1" t="n">
        <v>45551</v>
      </c>
      <c r="C253" s="1" t="n">
        <v>45918</v>
      </c>
      <c r="D253" t="inlineStr">
        <is>
          <t>DALARNAS LÄN</t>
        </is>
      </c>
      <c r="E253" t="inlineStr">
        <is>
          <t>HEDEMORA</t>
        </is>
      </c>
      <c r="F253" t="inlineStr">
        <is>
          <t>Bergvik skog väst AB</t>
        </is>
      </c>
      <c r="G253" t="n">
        <v>13.8</v>
      </c>
      <c r="H253" t="n">
        <v>0</v>
      </c>
      <c r="I253" t="n">
        <v>0</v>
      </c>
      <c r="J253" t="n">
        <v>0</v>
      </c>
      <c r="K253" t="n">
        <v>0</v>
      </c>
      <c r="L253" t="n">
        <v>0</v>
      </c>
      <c r="M253" t="n">
        <v>0</v>
      </c>
      <c r="N253" t="n">
        <v>0</v>
      </c>
      <c r="O253" t="n">
        <v>0</v>
      </c>
      <c r="P253" t="n">
        <v>0</v>
      </c>
      <c r="Q253" t="n">
        <v>0</v>
      </c>
      <c r="R253" s="2" t="inlineStr"/>
    </row>
    <row r="254" ht="15" customHeight="1">
      <c r="A254" t="inlineStr">
        <is>
          <t>A 19689-2025</t>
        </is>
      </c>
      <c r="B254" s="1" t="n">
        <v>45770.88462962963</v>
      </c>
      <c r="C254" s="1" t="n">
        <v>45918</v>
      </c>
      <c r="D254" t="inlineStr">
        <is>
          <t>DALARNAS LÄN</t>
        </is>
      </c>
      <c r="E254" t="inlineStr">
        <is>
          <t>HEDEMORA</t>
        </is>
      </c>
      <c r="G254" t="n">
        <v>1.1</v>
      </c>
      <c r="H254" t="n">
        <v>0</v>
      </c>
      <c r="I254" t="n">
        <v>0</v>
      </c>
      <c r="J254" t="n">
        <v>0</v>
      </c>
      <c r="K254" t="n">
        <v>0</v>
      </c>
      <c r="L254" t="n">
        <v>0</v>
      </c>
      <c r="M254" t="n">
        <v>0</v>
      </c>
      <c r="N254" t="n">
        <v>0</v>
      </c>
      <c r="O254" t="n">
        <v>0</v>
      </c>
      <c r="P254" t="n">
        <v>0</v>
      </c>
      <c r="Q254" t="n">
        <v>0</v>
      </c>
      <c r="R254" s="2" t="inlineStr"/>
    </row>
    <row r="255" ht="15" customHeight="1">
      <c r="A255" t="inlineStr">
        <is>
          <t>A 39531-2024</t>
        </is>
      </c>
      <c r="B255" s="1" t="n">
        <v>45551</v>
      </c>
      <c r="C255" s="1" t="n">
        <v>45918</v>
      </c>
      <c r="D255" t="inlineStr">
        <is>
          <t>DALARNAS LÄN</t>
        </is>
      </c>
      <c r="E255" t="inlineStr">
        <is>
          <t>HEDEMORA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39552-2024</t>
        </is>
      </c>
      <c r="B256" s="1" t="n">
        <v>45551</v>
      </c>
      <c r="C256" s="1" t="n">
        <v>45918</v>
      </c>
      <c r="D256" t="inlineStr">
        <is>
          <t>DALARNAS LÄN</t>
        </is>
      </c>
      <c r="E256" t="inlineStr">
        <is>
          <t>HEDEMORA</t>
        </is>
      </c>
      <c r="F256" t="inlineStr">
        <is>
          <t>Bergvik skog väst AB</t>
        </is>
      </c>
      <c r="G256" t="n">
        <v>24.1</v>
      </c>
      <c r="H256" t="n">
        <v>0</v>
      </c>
      <c r="I256" t="n">
        <v>0</v>
      </c>
      <c r="J256" t="n">
        <v>0</v>
      </c>
      <c r="K256" t="n">
        <v>0</v>
      </c>
      <c r="L256" t="n">
        <v>0</v>
      </c>
      <c r="M256" t="n">
        <v>0</v>
      </c>
      <c r="N256" t="n">
        <v>0</v>
      </c>
      <c r="O256" t="n">
        <v>0</v>
      </c>
      <c r="P256" t="n">
        <v>0</v>
      </c>
      <c r="Q256" t="n">
        <v>0</v>
      </c>
      <c r="R256" s="2" t="inlineStr"/>
    </row>
    <row r="257" ht="15" customHeight="1">
      <c r="A257" t="inlineStr">
        <is>
          <t>A 1973-2022</t>
        </is>
      </c>
      <c r="B257" s="1" t="n">
        <v>44575</v>
      </c>
      <c r="C257" s="1" t="n">
        <v>45918</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29303-2023</t>
        </is>
      </c>
      <c r="B258" s="1" t="n">
        <v>45105</v>
      </c>
      <c r="C258" s="1" t="n">
        <v>45918</v>
      </c>
      <c r="D258" t="inlineStr">
        <is>
          <t>DALARNAS LÄN</t>
        </is>
      </c>
      <c r="E258" t="inlineStr">
        <is>
          <t>HEDEMORA</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17600-2025</t>
        </is>
      </c>
      <c r="B259" s="1" t="n">
        <v>45757.71063657408</v>
      </c>
      <c r="C259" s="1" t="n">
        <v>45918</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59232-2023</t>
        </is>
      </c>
      <c r="B260" s="1" t="n">
        <v>45253.5053587963</v>
      </c>
      <c r="C260" s="1" t="n">
        <v>45918</v>
      </c>
      <c r="D260" t="inlineStr">
        <is>
          <t>DALARNAS LÄN</t>
        </is>
      </c>
      <c r="E260" t="inlineStr">
        <is>
          <t>HEDEMORA</t>
        </is>
      </c>
      <c r="G260" t="n">
        <v>3.7</v>
      </c>
      <c r="H260" t="n">
        <v>0</v>
      </c>
      <c r="I260" t="n">
        <v>0</v>
      </c>
      <c r="J260" t="n">
        <v>0</v>
      </c>
      <c r="K260" t="n">
        <v>0</v>
      </c>
      <c r="L260" t="n">
        <v>0</v>
      </c>
      <c r="M260" t="n">
        <v>0</v>
      </c>
      <c r="N260" t="n">
        <v>0</v>
      </c>
      <c r="O260" t="n">
        <v>0</v>
      </c>
      <c r="P260" t="n">
        <v>0</v>
      </c>
      <c r="Q260" t="n">
        <v>0</v>
      </c>
      <c r="R260" s="2" t="inlineStr"/>
    </row>
    <row r="261" ht="15" customHeight="1">
      <c r="A261" t="inlineStr">
        <is>
          <t>A 25691-2022</t>
        </is>
      </c>
      <c r="B261" s="1" t="n">
        <v>44733</v>
      </c>
      <c r="C261" s="1" t="n">
        <v>45918</v>
      </c>
      <c r="D261" t="inlineStr">
        <is>
          <t>DALARNAS LÄN</t>
        </is>
      </c>
      <c r="E261" t="inlineStr">
        <is>
          <t>HEDEMORA</t>
        </is>
      </c>
      <c r="G261" t="n">
        <v>0.7</v>
      </c>
      <c r="H261" t="n">
        <v>0</v>
      </c>
      <c r="I261" t="n">
        <v>0</v>
      </c>
      <c r="J261" t="n">
        <v>0</v>
      </c>
      <c r="K261" t="n">
        <v>0</v>
      </c>
      <c r="L261" t="n">
        <v>0</v>
      </c>
      <c r="M261" t="n">
        <v>0</v>
      </c>
      <c r="N261" t="n">
        <v>0</v>
      </c>
      <c r="O261" t="n">
        <v>0</v>
      </c>
      <c r="P261" t="n">
        <v>0</v>
      </c>
      <c r="Q261" t="n">
        <v>0</v>
      </c>
      <c r="R261" s="2" t="inlineStr"/>
    </row>
    <row r="262" ht="15" customHeight="1">
      <c r="A262" t="inlineStr">
        <is>
          <t>A 28183-2025</t>
        </is>
      </c>
      <c r="B262" s="1" t="n">
        <v>45818.4021875</v>
      </c>
      <c r="C262" s="1" t="n">
        <v>45918</v>
      </c>
      <c r="D262" t="inlineStr">
        <is>
          <t>DALARNAS LÄN</t>
        </is>
      </c>
      <c r="E262" t="inlineStr">
        <is>
          <t>HEDEMORA</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60475-2022</t>
        </is>
      </c>
      <c r="B263" s="1" t="n">
        <v>44911.41222222222</v>
      </c>
      <c r="C263" s="1" t="n">
        <v>45918</v>
      </c>
      <c r="D263" t="inlineStr">
        <is>
          <t>DALARNAS LÄN</t>
        </is>
      </c>
      <c r="E263" t="inlineStr">
        <is>
          <t>HEDEMORA</t>
        </is>
      </c>
      <c r="G263" t="n">
        <v>1</v>
      </c>
      <c r="H263" t="n">
        <v>0</v>
      </c>
      <c r="I263" t="n">
        <v>0</v>
      </c>
      <c r="J263" t="n">
        <v>0</v>
      </c>
      <c r="K263" t="n">
        <v>0</v>
      </c>
      <c r="L263" t="n">
        <v>0</v>
      </c>
      <c r="M263" t="n">
        <v>0</v>
      </c>
      <c r="N263" t="n">
        <v>0</v>
      </c>
      <c r="O263" t="n">
        <v>0</v>
      </c>
      <c r="P263" t="n">
        <v>0</v>
      </c>
      <c r="Q263" t="n">
        <v>0</v>
      </c>
      <c r="R263" s="2" t="inlineStr"/>
    </row>
    <row r="264" ht="15" customHeight="1">
      <c r="A264" t="inlineStr">
        <is>
          <t>A 3089-2024</t>
        </is>
      </c>
      <c r="B264" s="1" t="n">
        <v>45316</v>
      </c>
      <c r="C264" s="1" t="n">
        <v>45918</v>
      </c>
      <c r="D264" t="inlineStr">
        <is>
          <t>DALARNAS LÄN</t>
        </is>
      </c>
      <c r="E264" t="inlineStr">
        <is>
          <t>HEDEMORA</t>
        </is>
      </c>
      <c r="G264" t="n">
        <v>5.5</v>
      </c>
      <c r="H264" t="n">
        <v>0</v>
      </c>
      <c r="I264" t="n">
        <v>0</v>
      </c>
      <c r="J264" t="n">
        <v>0</v>
      </c>
      <c r="K264" t="n">
        <v>0</v>
      </c>
      <c r="L264" t="n">
        <v>0</v>
      </c>
      <c r="M264" t="n">
        <v>0</v>
      </c>
      <c r="N264" t="n">
        <v>0</v>
      </c>
      <c r="O264" t="n">
        <v>0</v>
      </c>
      <c r="P264" t="n">
        <v>0</v>
      </c>
      <c r="Q264" t="n">
        <v>0</v>
      </c>
      <c r="R264" s="2" t="inlineStr"/>
    </row>
    <row r="265" ht="15" customHeight="1">
      <c r="A265" t="inlineStr">
        <is>
          <t>A 29587-2024</t>
        </is>
      </c>
      <c r="B265" s="1" t="n">
        <v>45484.5799537037</v>
      </c>
      <c r="C265" s="1" t="n">
        <v>45918</v>
      </c>
      <c r="D265" t="inlineStr">
        <is>
          <t>DALARNAS LÄN</t>
        </is>
      </c>
      <c r="E265" t="inlineStr">
        <is>
          <t>HEDEMORA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63925-2023</t>
        </is>
      </c>
      <c r="B266" s="1" t="n">
        <v>45278</v>
      </c>
      <c r="C266" s="1" t="n">
        <v>45918</v>
      </c>
      <c r="D266" t="inlineStr">
        <is>
          <t>DALARNAS LÄN</t>
        </is>
      </c>
      <c r="E266" t="inlineStr">
        <is>
          <t>HEDEMORA</t>
        </is>
      </c>
      <c r="G266" t="n">
        <v>5.2</v>
      </c>
      <c r="H266" t="n">
        <v>0</v>
      </c>
      <c r="I266" t="n">
        <v>0</v>
      </c>
      <c r="J266" t="n">
        <v>0</v>
      </c>
      <c r="K266" t="n">
        <v>0</v>
      </c>
      <c r="L266" t="n">
        <v>0</v>
      </c>
      <c r="M266" t="n">
        <v>0</v>
      </c>
      <c r="N266" t="n">
        <v>0</v>
      </c>
      <c r="O266" t="n">
        <v>0</v>
      </c>
      <c r="P266" t="n">
        <v>0</v>
      </c>
      <c r="Q266" t="n">
        <v>0</v>
      </c>
      <c r="R266" s="2" t="inlineStr"/>
    </row>
    <row r="267" ht="15" customHeight="1">
      <c r="A267" t="inlineStr">
        <is>
          <t>A 28180-2025</t>
        </is>
      </c>
      <c r="B267" s="1" t="n">
        <v>45818.39755787037</v>
      </c>
      <c r="C267" s="1" t="n">
        <v>45918</v>
      </c>
      <c r="D267" t="inlineStr">
        <is>
          <t>DALARNAS LÄN</t>
        </is>
      </c>
      <c r="E267" t="inlineStr">
        <is>
          <t>HEDEMORA</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28182-2025</t>
        </is>
      </c>
      <c r="B268" s="1" t="n">
        <v>45818.40069444444</v>
      </c>
      <c r="C268" s="1" t="n">
        <v>45918</v>
      </c>
      <c r="D268" t="inlineStr">
        <is>
          <t>DALARNAS LÄN</t>
        </is>
      </c>
      <c r="E268" t="inlineStr">
        <is>
          <t>HEDEMORA</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53584-2023</t>
        </is>
      </c>
      <c r="B269" s="1" t="n">
        <v>45230</v>
      </c>
      <c r="C269" s="1" t="n">
        <v>45918</v>
      </c>
      <c r="D269" t="inlineStr">
        <is>
          <t>DALARNAS LÄN</t>
        </is>
      </c>
      <c r="E269" t="inlineStr">
        <is>
          <t>HEDEMORA</t>
        </is>
      </c>
      <c r="G269" t="n">
        <v>6.6</v>
      </c>
      <c r="H269" t="n">
        <v>0</v>
      </c>
      <c r="I269" t="n">
        <v>0</v>
      </c>
      <c r="J269" t="n">
        <v>0</v>
      </c>
      <c r="K269" t="n">
        <v>0</v>
      </c>
      <c r="L269" t="n">
        <v>0</v>
      </c>
      <c r="M269" t="n">
        <v>0</v>
      </c>
      <c r="N269" t="n">
        <v>0</v>
      </c>
      <c r="O269" t="n">
        <v>0</v>
      </c>
      <c r="P269" t="n">
        <v>0</v>
      </c>
      <c r="Q269" t="n">
        <v>0</v>
      </c>
      <c r="R269" s="2" t="inlineStr"/>
    </row>
    <row r="270" ht="15" customHeight="1">
      <c r="A270" t="inlineStr">
        <is>
          <t>A 60786-2023</t>
        </is>
      </c>
      <c r="B270" s="1" t="n">
        <v>45260.64891203704</v>
      </c>
      <c r="C270" s="1" t="n">
        <v>45918</v>
      </c>
      <c r="D270" t="inlineStr">
        <is>
          <t>DALARNAS LÄN</t>
        </is>
      </c>
      <c r="E270" t="inlineStr">
        <is>
          <t>HEDEMORA</t>
        </is>
      </c>
      <c r="G270" t="n">
        <v>7.1</v>
      </c>
      <c r="H270" t="n">
        <v>0</v>
      </c>
      <c r="I270" t="n">
        <v>0</v>
      </c>
      <c r="J270" t="n">
        <v>0</v>
      </c>
      <c r="K270" t="n">
        <v>0</v>
      </c>
      <c r="L270" t="n">
        <v>0</v>
      </c>
      <c r="M270" t="n">
        <v>0</v>
      </c>
      <c r="N270" t="n">
        <v>0</v>
      </c>
      <c r="O270" t="n">
        <v>0</v>
      </c>
      <c r="P270" t="n">
        <v>0</v>
      </c>
      <c r="Q270" t="n">
        <v>0</v>
      </c>
      <c r="R270" s="2" t="inlineStr"/>
    </row>
    <row r="271" ht="15" customHeight="1">
      <c r="A271" t="inlineStr">
        <is>
          <t>A 26612-2021</t>
        </is>
      </c>
      <c r="B271" s="1" t="n">
        <v>44348.64942129629</v>
      </c>
      <c r="C271" s="1" t="n">
        <v>45918</v>
      </c>
      <c r="D271" t="inlineStr">
        <is>
          <t>DALARNAS LÄN</t>
        </is>
      </c>
      <c r="E271" t="inlineStr">
        <is>
          <t>HEDEMORA</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60408-2021</t>
        </is>
      </c>
      <c r="B272" s="1" t="n">
        <v>44495</v>
      </c>
      <c r="C272" s="1" t="n">
        <v>45918</v>
      </c>
      <c r="D272" t="inlineStr">
        <is>
          <t>DALARNAS LÄN</t>
        </is>
      </c>
      <c r="E272" t="inlineStr">
        <is>
          <t>HEDEMORA</t>
        </is>
      </c>
      <c r="G272" t="n">
        <v>0.7</v>
      </c>
      <c r="H272" t="n">
        <v>0</v>
      </c>
      <c r="I272" t="n">
        <v>0</v>
      </c>
      <c r="J272" t="n">
        <v>0</v>
      </c>
      <c r="K272" t="n">
        <v>0</v>
      </c>
      <c r="L272" t="n">
        <v>0</v>
      </c>
      <c r="M272" t="n">
        <v>0</v>
      </c>
      <c r="N272" t="n">
        <v>0</v>
      </c>
      <c r="O272" t="n">
        <v>0</v>
      </c>
      <c r="P272" t="n">
        <v>0</v>
      </c>
      <c r="Q272" t="n">
        <v>0</v>
      </c>
      <c r="R272" s="2" t="inlineStr"/>
    </row>
    <row r="273" ht="15" customHeight="1">
      <c r="A273" t="inlineStr">
        <is>
          <t>A 29690-2025</t>
        </is>
      </c>
      <c r="B273" s="1" t="n">
        <v>45825.53508101852</v>
      </c>
      <c r="C273" s="1" t="n">
        <v>45918</v>
      </c>
      <c r="D273" t="inlineStr">
        <is>
          <t>DALARNAS LÄN</t>
        </is>
      </c>
      <c r="E273" t="inlineStr">
        <is>
          <t>HEDEMORA</t>
        </is>
      </c>
      <c r="G273" t="n">
        <v>4.1</v>
      </c>
      <c r="H273" t="n">
        <v>0</v>
      </c>
      <c r="I273" t="n">
        <v>0</v>
      </c>
      <c r="J273" t="n">
        <v>0</v>
      </c>
      <c r="K273" t="n">
        <v>0</v>
      </c>
      <c r="L273" t="n">
        <v>0</v>
      </c>
      <c r="M273" t="n">
        <v>0</v>
      </c>
      <c r="N273" t="n">
        <v>0</v>
      </c>
      <c r="O273" t="n">
        <v>0</v>
      </c>
      <c r="P273" t="n">
        <v>0</v>
      </c>
      <c r="Q273" t="n">
        <v>0</v>
      </c>
      <c r="R273" s="2" t="inlineStr"/>
    </row>
    <row r="274" ht="15" customHeight="1">
      <c r="A274" t="inlineStr">
        <is>
          <t>A 6556-2023</t>
        </is>
      </c>
      <c r="B274" s="1" t="n">
        <v>44961</v>
      </c>
      <c r="C274" s="1" t="n">
        <v>45918</v>
      </c>
      <c r="D274" t="inlineStr">
        <is>
          <t>DALARNAS LÄN</t>
        </is>
      </c>
      <c r="E274" t="inlineStr">
        <is>
          <t>HEDEMORA</t>
        </is>
      </c>
      <c r="G274" t="n">
        <v>3.7</v>
      </c>
      <c r="H274" t="n">
        <v>0</v>
      </c>
      <c r="I274" t="n">
        <v>0</v>
      </c>
      <c r="J274" t="n">
        <v>0</v>
      </c>
      <c r="K274" t="n">
        <v>0</v>
      </c>
      <c r="L274" t="n">
        <v>0</v>
      </c>
      <c r="M274" t="n">
        <v>0</v>
      </c>
      <c r="N274" t="n">
        <v>0</v>
      </c>
      <c r="O274" t="n">
        <v>0</v>
      </c>
      <c r="P274" t="n">
        <v>0</v>
      </c>
      <c r="Q274" t="n">
        <v>0</v>
      </c>
      <c r="R274" s="2" t="inlineStr"/>
    </row>
    <row r="275" ht="15" customHeight="1">
      <c r="A275" t="inlineStr">
        <is>
          <t>A 22222-2023</t>
        </is>
      </c>
      <c r="B275" s="1" t="n">
        <v>45069.93758101852</v>
      </c>
      <c r="C275" s="1" t="n">
        <v>45918</v>
      </c>
      <c r="D275" t="inlineStr">
        <is>
          <t>DALARNAS LÄN</t>
        </is>
      </c>
      <c r="E275" t="inlineStr">
        <is>
          <t>HEDEMORA</t>
        </is>
      </c>
      <c r="F275" t="inlineStr">
        <is>
          <t>Sveaskog</t>
        </is>
      </c>
      <c r="G275" t="n">
        <v>3</v>
      </c>
      <c r="H275" t="n">
        <v>0</v>
      </c>
      <c r="I275" t="n">
        <v>0</v>
      </c>
      <c r="J275" t="n">
        <v>0</v>
      </c>
      <c r="K275" t="n">
        <v>0</v>
      </c>
      <c r="L275" t="n">
        <v>0</v>
      </c>
      <c r="M275" t="n">
        <v>0</v>
      </c>
      <c r="N275" t="n">
        <v>0</v>
      </c>
      <c r="O275" t="n">
        <v>0</v>
      </c>
      <c r="P275" t="n">
        <v>0</v>
      </c>
      <c r="Q275" t="n">
        <v>0</v>
      </c>
      <c r="R275" s="2" t="inlineStr"/>
    </row>
    <row r="276" ht="15" customHeight="1">
      <c r="A276" t="inlineStr">
        <is>
          <t>A 57745-2024</t>
        </is>
      </c>
      <c r="B276" s="1" t="n">
        <v>45630.77605324074</v>
      </c>
      <c r="C276" s="1" t="n">
        <v>45918</v>
      </c>
      <c r="D276" t="inlineStr">
        <is>
          <t>DALARNAS LÄN</t>
        </is>
      </c>
      <c r="E276" t="inlineStr">
        <is>
          <t>HEDEMORA</t>
        </is>
      </c>
      <c r="G276" t="n">
        <v>1.1</v>
      </c>
      <c r="H276" t="n">
        <v>0</v>
      </c>
      <c r="I276" t="n">
        <v>0</v>
      </c>
      <c r="J276" t="n">
        <v>0</v>
      </c>
      <c r="K276" t="n">
        <v>0</v>
      </c>
      <c r="L276" t="n">
        <v>0</v>
      </c>
      <c r="M276" t="n">
        <v>0</v>
      </c>
      <c r="N276" t="n">
        <v>0</v>
      </c>
      <c r="O276" t="n">
        <v>0</v>
      </c>
      <c r="P276" t="n">
        <v>0</v>
      </c>
      <c r="Q276" t="n">
        <v>0</v>
      </c>
      <c r="R276" s="2" t="inlineStr"/>
    </row>
    <row r="277" ht="15" customHeight="1">
      <c r="A277" t="inlineStr">
        <is>
          <t>A 62401-2023</t>
        </is>
      </c>
      <c r="B277" s="1" t="n">
        <v>45268</v>
      </c>
      <c r="C277" s="1" t="n">
        <v>45918</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48320-2024</t>
        </is>
      </c>
      <c r="B278" s="1" t="n">
        <v>45590.4999537037</v>
      </c>
      <c r="C278" s="1" t="n">
        <v>45918</v>
      </c>
      <c r="D278" t="inlineStr">
        <is>
          <t>DALARNAS LÄN</t>
        </is>
      </c>
      <c r="E278" t="inlineStr">
        <is>
          <t>HEDEMORA</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30582-2025</t>
        </is>
      </c>
      <c r="B279" s="1" t="n">
        <v>45831.42349537037</v>
      </c>
      <c r="C279" s="1" t="n">
        <v>45918</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30472-2025</t>
        </is>
      </c>
      <c r="B280" s="1" t="n">
        <v>45827.94671296296</v>
      </c>
      <c r="C280" s="1" t="n">
        <v>45918</v>
      </c>
      <c r="D280" t="inlineStr">
        <is>
          <t>DALARNAS LÄN</t>
        </is>
      </c>
      <c r="E280" t="inlineStr">
        <is>
          <t>HEDEMORA</t>
        </is>
      </c>
      <c r="G280" t="n">
        <v>1.1</v>
      </c>
      <c r="H280" t="n">
        <v>0</v>
      </c>
      <c r="I280" t="n">
        <v>0</v>
      </c>
      <c r="J280" t="n">
        <v>0</v>
      </c>
      <c r="K280" t="n">
        <v>0</v>
      </c>
      <c r="L280" t="n">
        <v>0</v>
      </c>
      <c r="M280" t="n">
        <v>0</v>
      </c>
      <c r="N280" t="n">
        <v>0</v>
      </c>
      <c r="O280" t="n">
        <v>0</v>
      </c>
      <c r="P280" t="n">
        <v>0</v>
      </c>
      <c r="Q280" t="n">
        <v>0</v>
      </c>
      <c r="R280" s="2" t="inlineStr"/>
    </row>
    <row r="281" ht="15" customHeight="1">
      <c r="A281" t="inlineStr">
        <is>
          <t>A 58111-2020</t>
        </is>
      </c>
      <c r="B281" s="1" t="n">
        <v>44144</v>
      </c>
      <c r="C281" s="1" t="n">
        <v>45918</v>
      </c>
      <c r="D281" t="inlineStr">
        <is>
          <t>DALARNAS LÄN</t>
        </is>
      </c>
      <c r="E281" t="inlineStr">
        <is>
          <t>HEDEMORA</t>
        </is>
      </c>
      <c r="G281" t="n">
        <v>3.1</v>
      </c>
      <c r="H281" t="n">
        <v>0</v>
      </c>
      <c r="I281" t="n">
        <v>0</v>
      </c>
      <c r="J281" t="n">
        <v>0</v>
      </c>
      <c r="K281" t="n">
        <v>0</v>
      </c>
      <c r="L281" t="n">
        <v>0</v>
      </c>
      <c r="M281" t="n">
        <v>0</v>
      </c>
      <c r="N281" t="n">
        <v>0</v>
      </c>
      <c r="O281" t="n">
        <v>0</v>
      </c>
      <c r="P281" t="n">
        <v>0</v>
      </c>
      <c r="Q281" t="n">
        <v>0</v>
      </c>
      <c r="R281" s="2" t="inlineStr"/>
    </row>
    <row r="282" ht="15" customHeight="1">
      <c r="A282" t="inlineStr">
        <is>
          <t>A 30471-2025</t>
        </is>
      </c>
      <c r="B282" s="1" t="n">
        <v>45827.94552083333</v>
      </c>
      <c r="C282" s="1" t="n">
        <v>45918</v>
      </c>
      <c r="D282" t="inlineStr">
        <is>
          <t>DALARNAS LÄN</t>
        </is>
      </c>
      <c r="E282" t="inlineStr">
        <is>
          <t>HEDEMORA</t>
        </is>
      </c>
      <c r="G282" t="n">
        <v>0.3</v>
      </c>
      <c r="H282" t="n">
        <v>0</v>
      </c>
      <c r="I282" t="n">
        <v>0</v>
      </c>
      <c r="J282" t="n">
        <v>0</v>
      </c>
      <c r="K282" t="n">
        <v>0</v>
      </c>
      <c r="L282" t="n">
        <v>0</v>
      </c>
      <c r="M282" t="n">
        <v>0</v>
      </c>
      <c r="N282" t="n">
        <v>0</v>
      </c>
      <c r="O282" t="n">
        <v>0</v>
      </c>
      <c r="P282" t="n">
        <v>0</v>
      </c>
      <c r="Q282" t="n">
        <v>0</v>
      </c>
      <c r="R282" s="2" t="inlineStr"/>
    </row>
    <row r="283" ht="15" customHeight="1">
      <c r="A283" t="inlineStr">
        <is>
          <t>A 58841-2023</t>
        </is>
      </c>
      <c r="B283" s="1" t="n">
        <v>45252.42115740741</v>
      </c>
      <c r="C283" s="1" t="n">
        <v>45918</v>
      </c>
      <c r="D283" t="inlineStr">
        <is>
          <t>DALARNAS LÄN</t>
        </is>
      </c>
      <c r="E283" t="inlineStr">
        <is>
          <t>HEDEMORA</t>
        </is>
      </c>
      <c r="G283" t="n">
        <v>14.8</v>
      </c>
      <c r="H283" t="n">
        <v>0</v>
      </c>
      <c r="I283" t="n">
        <v>0</v>
      </c>
      <c r="J283" t="n">
        <v>0</v>
      </c>
      <c r="K283" t="n">
        <v>0</v>
      </c>
      <c r="L283" t="n">
        <v>0</v>
      </c>
      <c r="M283" t="n">
        <v>0</v>
      </c>
      <c r="N283" t="n">
        <v>0</v>
      </c>
      <c r="O283" t="n">
        <v>0</v>
      </c>
      <c r="P283" t="n">
        <v>0</v>
      </c>
      <c r="Q283" t="n">
        <v>0</v>
      </c>
      <c r="R283" s="2" t="inlineStr"/>
    </row>
    <row r="284" ht="15" customHeight="1">
      <c r="A284" t="inlineStr">
        <is>
          <t>A 48254-2023</t>
        </is>
      </c>
      <c r="B284" s="1" t="n">
        <v>45205.53241898148</v>
      </c>
      <c r="C284" s="1" t="n">
        <v>45918</v>
      </c>
      <c r="D284" t="inlineStr">
        <is>
          <t>DALARNAS LÄN</t>
        </is>
      </c>
      <c r="E284" t="inlineStr">
        <is>
          <t>HEDEMORA</t>
        </is>
      </c>
      <c r="F284" t="inlineStr">
        <is>
          <t>Sveaskog</t>
        </is>
      </c>
      <c r="G284" t="n">
        <v>1.5</v>
      </c>
      <c r="H284" t="n">
        <v>0</v>
      </c>
      <c r="I284" t="n">
        <v>0</v>
      </c>
      <c r="J284" t="n">
        <v>0</v>
      </c>
      <c r="K284" t="n">
        <v>0</v>
      </c>
      <c r="L284" t="n">
        <v>0</v>
      </c>
      <c r="M284" t="n">
        <v>0</v>
      </c>
      <c r="N284" t="n">
        <v>0</v>
      </c>
      <c r="O284" t="n">
        <v>0</v>
      </c>
      <c r="P284" t="n">
        <v>0</v>
      </c>
      <c r="Q284" t="n">
        <v>0</v>
      </c>
      <c r="R284" s="2" t="inlineStr"/>
      <c r="U284">
        <f>HYPERLINK("https://klasma.github.io/Logging_2083/knärot/A 48254-2023 karta knärot.png", "A 48254-2023")</f>
        <v/>
      </c>
      <c r="V284">
        <f>HYPERLINK("https://klasma.github.io/Logging_2083/klagomål/A 48254-2023 FSC-klagomål.docx", "A 48254-2023")</f>
        <v/>
      </c>
      <c r="W284">
        <f>HYPERLINK("https://klasma.github.io/Logging_2083/klagomålsmail/A 48254-2023 FSC-klagomål mail.docx", "A 48254-2023")</f>
        <v/>
      </c>
      <c r="X284">
        <f>HYPERLINK("https://klasma.github.io/Logging_2083/tillsyn/A 48254-2023 tillsynsbegäran.docx", "A 48254-2023")</f>
        <v/>
      </c>
      <c r="Y284">
        <f>HYPERLINK("https://klasma.github.io/Logging_2083/tillsynsmail/A 48254-2023 tillsynsbegäran mail.docx", "A 48254-2023")</f>
        <v/>
      </c>
    </row>
    <row r="285" ht="15" customHeight="1">
      <c r="A285" t="inlineStr">
        <is>
          <t>A 19988-2025</t>
        </is>
      </c>
      <c r="B285" s="1" t="n">
        <v>45771.72665509259</v>
      </c>
      <c r="C285" s="1" t="n">
        <v>45918</v>
      </c>
      <c r="D285" t="inlineStr">
        <is>
          <t>DALARNAS LÄN</t>
        </is>
      </c>
      <c r="E285" t="inlineStr">
        <is>
          <t>HEDEMORA</t>
        </is>
      </c>
      <c r="G285" t="n">
        <v>0.7</v>
      </c>
      <c r="H285" t="n">
        <v>0</v>
      </c>
      <c r="I285" t="n">
        <v>0</v>
      </c>
      <c r="J285" t="n">
        <v>0</v>
      </c>
      <c r="K285" t="n">
        <v>0</v>
      </c>
      <c r="L285" t="n">
        <v>0</v>
      </c>
      <c r="M285" t="n">
        <v>0</v>
      </c>
      <c r="N285" t="n">
        <v>0</v>
      </c>
      <c r="O285" t="n">
        <v>0</v>
      </c>
      <c r="P285" t="n">
        <v>0</v>
      </c>
      <c r="Q285" t="n">
        <v>0</v>
      </c>
      <c r="R285" s="2" t="inlineStr"/>
    </row>
    <row r="286" ht="15" customHeight="1">
      <c r="A286" t="inlineStr">
        <is>
          <t>A 65057-2023</t>
        </is>
      </c>
      <c r="B286" s="1" t="n">
        <v>45287</v>
      </c>
      <c r="C286" s="1" t="n">
        <v>45918</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63908-2021</t>
        </is>
      </c>
      <c r="B287" s="1" t="n">
        <v>44509.6580787037</v>
      </c>
      <c r="C287" s="1" t="n">
        <v>45918</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20272-2025</t>
        </is>
      </c>
      <c r="B288" s="1" t="n">
        <v>45773.71663194444</v>
      </c>
      <c r="C288" s="1" t="n">
        <v>45918</v>
      </c>
      <c r="D288" t="inlineStr">
        <is>
          <t>DALARNAS LÄN</t>
        </is>
      </c>
      <c r="E288" t="inlineStr">
        <is>
          <t>HEDEMORA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9314-2024</t>
        </is>
      </c>
      <c r="B289" s="1" t="n">
        <v>45358</v>
      </c>
      <c r="C289" s="1" t="n">
        <v>45918</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55882-2023</t>
        </is>
      </c>
      <c r="B290" s="1" t="n">
        <v>45239</v>
      </c>
      <c r="C290" s="1" t="n">
        <v>45918</v>
      </c>
      <c r="D290" t="inlineStr">
        <is>
          <t>DALARNAS LÄN</t>
        </is>
      </c>
      <c r="E290" t="inlineStr">
        <is>
          <t>HEDEMORA</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55832-2024</t>
        </is>
      </c>
      <c r="B291" s="1" t="n">
        <v>45623.48604166666</v>
      </c>
      <c r="C291" s="1" t="n">
        <v>45918</v>
      </c>
      <c r="D291" t="inlineStr">
        <is>
          <t>DALARNAS LÄN</t>
        </is>
      </c>
      <c r="E291" t="inlineStr">
        <is>
          <t>HEDEMORA</t>
        </is>
      </c>
      <c r="G291" t="n">
        <v>3</v>
      </c>
      <c r="H291" t="n">
        <v>0</v>
      </c>
      <c r="I291" t="n">
        <v>0</v>
      </c>
      <c r="J291" t="n">
        <v>0</v>
      </c>
      <c r="K291" t="n">
        <v>0</v>
      </c>
      <c r="L291" t="n">
        <v>0</v>
      </c>
      <c r="M291" t="n">
        <v>0</v>
      </c>
      <c r="N291" t="n">
        <v>0</v>
      </c>
      <c r="O291" t="n">
        <v>0</v>
      </c>
      <c r="P291" t="n">
        <v>0</v>
      </c>
      <c r="Q291" t="n">
        <v>0</v>
      </c>
      <c r="R291" s="2" t="inlineStr"/>
    </row>
    <row r="292" ht="15" customHeight="1">
      <c r="A292" t="inlineStr">
        <is>
          <t>A 60774-2022</t>
        </is>
      </c>
      <c r="B292" s="1" t="n">
        <v>44914.37917824074</v>
      </c>
      <c r="C292" s="1" t="n">
        <v>45918</v>
      </c>
      <c r="D292" t="inlineStr">
        <is>
          <t>DALARNAS LÄN</t>
        </is>
      </c>
      <c r="E292" t="inlineStr">
        <is>
          <t>HEDEMORA</t>
        </is>
      </c>
      <c r="G292" t="n">
        <v>11.5</v>
      </c>
      <c r="H292" t="n">
        <v>0</v>
      </c>
      <c r="I292" t="n">
        <v>0</v>
      </c>
      <c r="J292" t="n">
        <v>0</v>
      </c>
      <c r="K292" t="n">
        <v>0</v>
      </c>
      <c r="L292" t="n">
        <v>0</v>
      </c>
      <c r="M292" t="n">
        <v>0</v>
      </c>
      <c r="N292" t="n">
        <v>0</v>
      </c>
      <c r="O292" t="n">
        <v>0</v>
      </c>
      <c r="P292" t="n">
        <v>0</v>
      </c>
      <c r="Q292" t="n">
        <v>0</v>
      </c>
      <c r="R292" s="2" t="inlineStr"/>
    </row>
    <row r="293" ht="15" customHeight="1">
      <c r="A293" t="inlineStr">
        <is>
          <t>A 32865-2025</t>
        </is>
      </c>
      <c r="B293" s="1" t="n">
        <v>45839.58767361111</v>
      </c>
      <c r="C293" s="1" t="n">
        <v>45918</v>
      </c>
      <c r="D293" t="inlineStr">
        <is>
          <t>DALARNAS LÄN</t>
        </is>
      </c>
      <c r="E293" t="inlineStr">
        <is>
          <t>HEDEMORA</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37573-2025</t>
        </is>
      </c>
      <c r="B294" s="1" t="n">
        <v>45880.37711805556</v>
      </c>
      <c r="C294" s="1" t="n">
        <v>45918</v>
      </c>
      <c r="D294" t="inlineStr">
        <is>
          <t>DALARNAS LÄN</t>
        </is>
      </c>
      <c r="E294" t="inlineStr">
        <is>
          <t>HEDEMORA</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32869-2025</t>
        </is>
      </c>
      <c r="B295" s="1" t="n">
        <v>45839.58927083333</v>
      </c>
      <c r="C295" s="1" t="n">
        <v>45918</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26449-2024</t>
        </is>
      </c>
      <c r="B296" s="1" t="n">
        <v>45469.50783564815</v>
      </c>
      <c r="C296" s="1" t="n">
        <v>45918</v>
      </c>
      <c r="D296" t="inlineStr">
        <is>
          <t>DALARNAS LÄN</t>
        </is>
      </c>
      <c r="E296" t="inlineStr">
        <is>
          <t>HEDEMORA</t>
        </is>
      </c>
      <c r="G296" t="n">
        <v>4.5</v>
      </c>
      <c r="H296" t="n">
        <v>0</v>
      </c>
      <c r="I296" t="n">
        <v>0</v>
      </c>
      <c r="J296" t="n">
        <v>0</v>
      </c>
      <c r="K296" t="n">
        <v>0</v>
      </c>
      <c r="L296" t="n">
        <v>0</v>
      </c>
      <c r="M296" t="n">
        <v>0</v>
      </c>
      <c r="N296" t="n">
        <v>0</v>
      </c>
      <c r="O296" t="n">
        <v>0</v>
      </c>
      <c r="P296" t="n">
        <v>0</v>
      </c>
      <c r="Q296" t="n">
        <v>0</v>
      </c>
      <c r="R296" s="2" t="inlineStr"/>
    </row>
    <row r="297" ht="15" customHeight="1">
      <c r="A297" t="inlineStr">
        <is>
          <t>A 19990-2025</t>
        </is>
      </c>
      <c r="B297" s="1" t="n">
        <v>45771.73082175926</v>
      </c>
      <c r="C297" s="1" t="n">
        <v>45918</v>
      </c>
      <c r="D297" t="inlineStr">
        <is>
          <t>DALARNAS LÄN</t>
        </is>
      </c>
      <c r="E297" t="inlineStr">
        <is>
          <t>HEDEMORA</t>
        </is>
      </c>
      <c r="G297" t="n">
        <v>0.5</v>
      </c>
      <c r="H297" t="n">
        <v>0</v>
      </c>
      <c r="I297" t="n">
        <v>0</v>
      </c>
      <c r="J297" t="n">
        <v>0</v>
      </c>
      <c r="K297" t="n">
        <v>0</v>
      </c>
      <c r="L297" t="n">
        <v>0</v>
      </c>
      <c r="M297" t="n">
        <v>0</v>
      </c>
      <c r="N297" t="n">
        <v>0</v>
      </c>
      <c r="O297" t="n">
        <v>0</v>
      </c>
      <c r="P297" t="n">
        <v>0</v>
      </c>
      <c r="Q297" t="n">
        <v>0</v>
      </c>
      <c r="R297" s="2" t="inlineStr"/>
    </row>
    <row r="298" ht="15" customHeight="1">
      <c r="A298" t="inlineStr">
        <is>
          <t>A 21763-2024</t>
        </is>
      </c>
      <c r="B298" s="1" t="n">
        <v>45442.60204861111</v>
      </c>
      <c r="C298" s="1" t="n">
        <v>45918</v>
      </c>
      <c r="D298" t="inlineStr">
        <is>
          <t>DALARNAS LÄN</t>
        </is>
      </c>
      <c r="E298" t="inlineStr">
        <is>
          <t>HEDEMORA</t>
        </is>
      </c>
      <c r="G298" t="n">
        <v>1.6</v>
      </c>
      <c r="H298" t="n">
        <v>0</v>
      </c>
      <c r="I298" t="n">
        <v>0</v>
      </c>
      <c r="J298" t="n">
        <v>0</v>
      </c>
      <c r="K298" t="n">
        <v>0</v>
      </c>
      <c r="L298" t="n">
        <v>0</v>
      </c>
      <c r="M298" t="n">
        <v>0</v>
      </c>
      <c r="N298" t="n">
        <v>0</v>
      </c>
      <c r="O298" t="n">
        <v>0</v>
      </c>
      <c r="P298" t="n">
        <v>0</v>
      </c>
      <c r="Q298" t="n">
        <v>0</v>
      </c>
      <c r="R298" s="2" t="inlineStr"/>
    </row>
    <row r="299" ht="15" customHeight="1">
      <c r="A299" t="inlineStr">
        <is>
          <t>A 37574-2025</t>
        </is>
      </c>
      <c r="B299" s="1" t="n">
        <v>45880.37949074074</v>
      </c>
      <c r="C299" s="1" t="n">
        <v>45918</v>
      </c>
      <c r="D299" t="inlineStr">
        <is>
          <t>DALARNAS LÄN</t>
        </is>
      </c>
      <c r="E299" t="inlineStr">
        <is>
          <t>HEDEMORA</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17594-2025</t>
        </is>
      </c>
      <c r="B300" s="1" t="n">
        <v>45757</v>
      </c>
      <c r="C300" s="1" t="n">
        <v>45918</v>
      </c>
      <c r="D300" t="inlineStr">
        <is>
          <t>DALARNAS LÄN</t>
        </is>
      </c>
      <c r="E300" t="inlineStr">
        <is>
          <t>HEDEMORA</t>
        </is>
      </c>
      <c r="G300" t="n">
        <v>0.6</v>
      </c>
      <c r="H300" t="n">
        <v>0</v>
      </c>
      <c r="I300" t="n">
        <v>0</v>
      </c>
      <c r="J300" t="n">
        <v>0</v>
      </c>
      <c r="K300" t="n">
        <v>0</v>
      </c>
      <c r="L300" t="n">
        <v>0</v>
      </c>
      <c r="M300" t="n">
        <v>0</v>
      </c>
      <c r="N300" t="n">
        <v>0</v>
      </c>
      <c r="O300" t="n">
        <v>0</v>
      </c>
      <c r="P300" t="n">
        <v>0</v>
      </c>
      <c r="Q300" t="n">
        <v>0</v>
      </c>
      <c r="R300" s="2" t="inlineStr"/>
    </row>
    <row r="301" ht="15" customHeight="1">
      <c r="A301" t="inlineStr">
        <is>
          <t>A 42894-2024</t>
        </is>
      </c>
      <c r="B301" s="1" t="n">
        <v>45566.82304398148</v>
      </c>
      <c r="C301" s="1" t="n">
        <v>45918</v>
      </c>
      <c r="D301" t="inlineStr">
        <is>
          <t>DALARNAS LÄN</t>
        </is>
      </c>
      <c r="E301" t="inlineStr">
        <is>
          <t>HEDEMORA</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42895-2024</t>
        </is>
      </c>
      <c r="B302" s="1" t="n">
        <v>45566.82385416667</v>
      </c>
      <c r="C302" s="1" t="n">
        <v>45918</v>
      </c>
      <c r="D302" t="inlineStr">
        <is>
          <t>DALARNAS LÄN</t>
        </is>
      </c>
      <c r="E302" t="inlineStr">
        <is>
          <t>HEDEMORA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31365-2024</t>
        </is>
      </c>
      <c r="B303" s="1" t="n">
        <v>45505.37086805556</v>
      </c>
      <c r="C303" s="1" t="n">
        <v>45918</v>
      </c>
      <c r="D303" t="inlineStr">
        <is>
          <t>DALARNAS LÄN</t>
        </is>
      </c>
      <c r="E303" t="inlineStr">
        <is>
          <t>HEDEMORA</t>
        </is>
      </c>
      <c r="G303" t="n">
        <v>0.4</v>
      </c>
      <c r="H303" t="n">
        <v>0</v>
      </c>
      <c r="I303" t="n">
        <v>0</v>
      </c>
      <c r="J303" t="n">
        <v>0</v>
      </c>
      <c r="K303" t="n">
        <v>0</v>
      </c>
      <c r="L303" t="n">
        <v>0</v>
      </c>
      <c r="M303" t="n">
        <v>0</v>
      </c>
      <c r="N303" t="n">
        <v>0</v>
      </c>
      <c r="O303" t="n">
        <v>0</v>
      </c>
      <c r="P303" t="n">
        <v>0</v>
      </c>
      <c r="Q303" t="n">
        <v>0</v>
      </c>
      <c r="R303" s="2" t="inlineStr"/>
    </row>
    <row r="304" ht="15" customHeight="1">
      <c r="A304" t="inlineStr">
        <is>
          <t>A 36935-2024</t>
        </is>
      </c>
      <c r="B304" s="1" t="n">
        <v>45538.56925925926</v>
      </c>
      <c r="C304" s="1" t="n">
        <v>45918</v>
      </c>
      <c r="D304" t="inlineStr">
        <is>
          <t>DALARNAS LÄN</t>
        </is>
      </c>
      <c r="E304" t="inlineStr">
        <is>
          <t>HEDEMORA</t>
        </is>
      </c>
      <c r="G304" t="n">
        <v>1.4</v>
      </c>
      <c r="H304" t="n">
        <v>0</v>
      </c>
      <c r="I304" t="n">
        <v>0</v>
      </c>
      <c r="J304" t="n">
        <v>0</v>
      </c>
      <c r="K304" t="n">
        <v>0</v>
      </c>
      <c r="L304" t="n">
        <v>0</v>
      </c>
      <c r="M304" t="n">
        <v>0</v>
      </c>
      <c r="N304" t="n">
        <v>0</v>
      </c>
      <c r="O304" t="n">
        <v>0</v>
      </c>
      <c r="P304" t="n">
        <v>0</v>
      </c>
      <c r="Q304" t="n">
        <v>0</v>
      </c>
      <c r="R304" s="2" t="inlineStr"/>
    </row>
    <row r="305" ht="15" customHeight="1">
      <c r="A305" t="inlineStr">
        <is>
          <t>A 33009-2025</t>
        </is>
      </c>
      <c r="B305" s="1" t="n">
        <v>45840</v>
      </c>
      <c r="C305" s="1" t="n">
        <v>45918</v>
      </c>
      <c r="D305" t="inlineStr">
        <is>
          <t>DALARNAS LÄN</t>
        </is>
      </c>
      <c r="E305" t="inlineStr">
        <is>
          <t>HEDEMORA</t>
        </is>
      </c>
      <c r="F305" t="inlineStr">
        <is>
          <t>Kyrkan</t>
        </is>
      </c>
      <c r="G305" t="n">
        <v>7.6</v>
      </c>
      <c r="H305" t="n">
        <v>0</v>
      </c>
      <c r="I305" t="n">
        <v>0</v>
      </c>
      <c r="J305" t="n">
        <v>0</v>
      </c>
      <c r="K305" t="n">
        <v>0</v>
      </c>
      <c r="L305" t="n">
        <v>0</v>
      </c>
      <c r="M305" t="n">
        <v>0</v>
      </c>
      <c r="N305" t="n">
        <v>0</v>
      </c>
      <c r="O305" t="n">
        <v>0</v>
      </c>
      <c r="P305" t="n">
        <v>0</v>
      </c>
      <c r="Q305" t="n">
        <v>0</v>
      </c>
      <c r="R305" s="2" t="inlineStr"/>
    </row>
    <row r="306" ht="15" customHeight="1">
      <c r="A306" t="inlineStr">
        <is>
          <t>A 29640-2024</t>
        </is>
      </c>
      <c r="B306" s="1" t="n">
        <v>45484.69837962963</v>
      </c>
      <c r="C306" s="1" t="n">
        <v>45918</v>
      </c>
      <c r="D306" t="inlineStr">
        <is>
          <t>DALARNAS LÄN</t>
        </is>
      </c>
      <c r="E306" t="inlineStr">
        <is>
          <t>HEDEMORA</t>
        </is>
      </c>
      <c r="F306" t="inlineStr">
        <is>
          <t>Bergvik skog väst AB</t>
        </is>
      </c>
      <c r="G306" t="n">
        <v>8.6</v>
      </c>
      <c r="H306" t="n">
        <v>0</v>
      </c>
      <c r="I306" t="n">
        <v>0</v>
      </c>
      <c r="J306" t="n">
        <v>0</v>
      </c>
      <c r="K306" t="n">
        <v>0</v>
      </c>
      <c r="L306" t="n">
        <v>0</v>
      </c>
      <c r="M306" t="n">
        <v>0</v>
      </c>
      <c r="N306" t="n">
        <v>0</v>
      </c>
      <c r="O306" t="n">
        <v>0</v>
      </c>
      <c r="P306" t="n">
        <v>0</v>
      </c>
      <c r="Q306" t="n">
        <v>0</v>
      </c>
      <c r="R306" s="2" t="inlineStr"/>
    </row>
    <row r="307" ht="15" customHeight="1">
      <c r="A307" t="inlineStr">
        <is>
          <t>A 33286-2025</t>
        </is>
      </c>
      <c r="B307" s="1" t="n">
        <v>45840.81065972222</v>
      </c>
      <c r="C307" s="1" t="n">
        <v>45918</v>
      </c>
      <c r="D307" t="inlineStr">
        <is>
          <t>DALARNAS LÄN</t>
        </is>
      </c>
      <c r="E307" t="inlineStr">
        <is>
          <t>HEDEMORA</t>
        </is>
      </c>
      <c r="F307" t="inlineStr">
        <is>
          <t>Sveaskog</t>
        </is>
      </c>
      <c r="G307" t="n">
        <v>7.1</v>
      </c>
      <c r="H307" t="n">
        <v>0</v>
      </c>
      <c r="I307" t="n">
        <v>0</v>
      </c>
      <c r="J307" t="n">
        <v>0</v>
      </c>
      <c r="K307" t="n">
        <v>0</v>
      </c>
      <c r="L307" t="n">
        <v>0</v>
      </c>
      <c r="M307" t="n">
        <v>0</v>
      </c>
      <c r="N307" t="n">
        <v>0</v>
      </c>
      <c r="O307" t="n">
        <v>0</v>
      </c>
      <c r="P307" t="n">
        <v>0</v>
      </c>
      <c r="Q307" t="n">
        <v>0</v>
      </c>
      <c r="R307" s="2" t="inlineStr"/>
    </row>
    <row r="308" ht="15" customHeight="1">
      <c r="A308" t="inlineStr">
        <is>
          <t>A 33287-2025</t>
        </is>
      </c>
      <c r="B308" s="1" t="n">
        <v>45840.81216435185</v>
      </c>
      <c r="C308" s="1" t="n">
        <v>45918</v>
      </c>
      <c r="D308" t="inlineStr">
        <is>
          <t>DALARNAS LÄN</t>
        </is>
      </c>
      <c r="E308" t="inlineStr">
        <is>
          <t>HEDEMORA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33288-2025</t>
        </is>
      </c>
      <c r="B309" s="1" t="n">
        <v>45840</v>
      </c>
      <c r="C309" s="1" t="n">
        <v>45918</v>
      </c>
      <c r="D309" t="inlineStr">
        <is>
          <t>DALARNAS LÄN</t>
        </is>
      </c>
      <c r="E309" t="inlineStr">
        <is>
          <t>HEDEMORA</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12136-2025</t>
        </is>
      </c>
      <c r="B310" s="1" t="n">
        <v>45729.39300925926</v>
      </c>
      <c r="C310" s="1" t="n">
        <v>45918</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38725-2025</t>
        </is>
      </c>
      <c r="B311" s="1" t="n">
        <v>45887.30237268518</v>
      </c>
      <c r="C311" s="1" t="n">
        <v>45918</v>
      </c>
      <c r="D311" t="inlineStr">
        <is>
          <t>DALARNAS LÄN</t>
        </is>
      </c>
      <c r="E311" t="inlineStr">
        <is>
          <t>HEDEMORA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37762-2024</t>
        </is>
      </c>
      <c r="B312" s="1" t="n">
        <v>45541.79369212963</v>
      </c>
      <c r="C312" s="1" t="n">
        <v>45918</v>
      </c>
      <c r="D312" t="inlineStr">
        <is>
          <t>DALARNAS LÄN</t>
        </is>
      </c>
      <c r="E312" t="inlineStr">
        <is>
          <t>HEDEMORA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20666-2024</t>
        </is>
      </c>
      <c r="B313" s="1" t="n">
        <v>45436</v>
      </c>
      <c r="C313" s="1" t="n">
        <v>45918</v>
      </c>
      <c r="D313" t="inlineStr">
        <is>
          <t>DALARNAS LÄN</t>
        </is>
      </c>
      <c r="E313" t="inlineStr">
        <is>
          <t>HEDEMORA</t>
        </is>
      </c>
      <c r="G313" t="n">
        <v>5.1</v>
      </c>
      <c r="H313" t="n">
        <v>0</v>
      </c>
      <c r="I313" t="n">
        <v>0</v>
      </c>
      <c r="J313" t="n">
        <v>0</v>
      </c>
      <c r="K313" t="n">
        <v>0</v>
      </c>
      <c r="L313" t="n">
        <v>0</v>
      </c>
      <c r="M313" t="n">
        <v>0</v>
      </c>
      <c r="N313" t="n">
        <v>0</v>
      </c>
      <c r="O313" t="n">
        <v>0</v>
      </c>
      <c r="P313" t="n">
        <v>0</v>
      </c>
      <c r="Q313" t="n">
        <v>0</v>
      </c>
      <c r="R313" s="2" t="inlineStr"/>
    </row>
    <row r="314" ht="15" customHeight="1">
      <c r="A314" t="inlineStr">
        <is>
          <t>A 6441-2021</t>
        </is>
      </c>
      <c r="B314" s="1" t="n">
        <v>44235</v>
      </c>
      <c r="C314" s="1" t="n">
        <v>45918</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36299-2024</t>
        </is>
      </c>
      <c r="B315" s="1" t="n">
        <v>45534.6090625</v>
      </c>
      <c r="C315" s="1" t="n">
        <v>45918</v>
      </c>
      <c r="D315" t="inlineStr">
        <is>
          <t>DALARNAS LÄN</t>
        </is>
      </c>
      <c r="E315" t="inlineStr">
        <is>
          <t>HEDEMORA</t>
        </is>
      </c>
      <c r="F315" t="inlineStr">
        <is>
          <t>Sveaskog</t>
        </is>
      </c>
      <c r="G315" t="n">
        <v>5.3</v>
      </c>
      <c r="H315" t="n">
        <v>0</v>
      </c>
      <c r="I315" t="n">
        <v>0</v>
      </c>
      <c r="J315" t="n">
        <v>0</v>
      </c>
      <c r="K315" t="n">
        <v>0</v>
      </c>
      <c r="L315" t="n">
        <v>0</v>
      </c>
      <c r="M315" t="n">
        <v>0</v>
      </c>
      <c r="N315" t="n">
        <v>0</v>
      </c>
      <c r="O315" t="n">
        <v>0</v>
      </c>
      <c r="P315" t="n">
        <v>0</v>
      </c>
      <c r="Q315" t="n">
        <v>0</v>
      </c>
      <c r="R315" s="2" t="inlineStr"/>
    </row>
    <row r="316" ht="15" customHeight="1">
      <c r="A316" t="inlineStr">
        <is>
          <t>A 19987-2025</t>
        </is>
      </c>
      <c r="B316" s="1" t="n">
        <v>45771.72193287037</v>
      </c>
      <c r="C316" s="1" t="n">
        <v>45918</v>
      </c>
      <c r="D316" t="inlineStr">
        <is>
          <t>DALARNAS LÄN</t>
        </is>
      </c>
      <c r="E316" t="inlineStr">
        <is>
          <t>HEDEMORA</t>
        </is>
      </c>
      <c r="G316" t="n">
        <v>3</v>
      </c>
      <c r="H316" t="n">
        <v>0</v>
      </c>
      <c r="I316" t="n">
        <v>0</v>
      </c>
      <c r="J316" t="n">
        <v>0</v>
      </c>
      <c r="K316" t="n">
        <v>0</v>
      </c>
      <c r="L316" t="n">
        <v>0</v>
      </c>
      <c r="M316" t="n">
        <v>0</v>
      </c>
      <c r="N316" t="n">
        <v>0</v>
      </c>
      <c r="O316" t="n">
        <v>0</v>
      </c>
      <c r="P316" t="n">
        <v>0</v>
      </c>
      <c r="Q316" t="n">
        <v>0</v>
      </c>
      <c r="R316" s="2" t="inlineStr"/>
    </row>
    <row r="317" ht="15" customHeight="1">
      <c r="A317" t="inlineStr">
        <is>
          <t>A 39393-2025</t>
        </is>
      </c>
      <c r="B317" s="1" t="n">
        <v>45889.62287037037</v>
      </c>
      <c r="C317" s="1" t="n">
        <v>45918</v>
      </c>
      <c r="D317" t="inlineStr">
        <is>
          <t>DALARNAS LÄN</t>
        </is>
      </c>
      <c r="E317" t="inlineStr">
        <is>
          <t>HEDEMORA</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36306-2024</t>
        </is>
      </c>
      <c r="B318" s="1" t="n">
        <v>45534.61327546297</v>
      </c>
      <c r="C318" s="1" t="n">
        <v>45918</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39390-2025</t>
        </is>
      </c>
      <c r="B319" s="1" t="n">
        <v>45889.6240625</v>
      </c>
      <c r="C319" s="1" t="n">
        <v>45918</v>
      </c>
      <c r="D319" t="inlineStr">
        <is>
          <t>DALARNAS LÄN</t>
        </is>
      </c>
      <c r="E319" t="inlineStr">
        <is>
          <t>HEDEMORA</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56668-2024</t>
        </is>
      </c>
      <c r="B320" s="1" t="n">
        <v>45626.41185185185</v>
      </c>
      <c r="C320" s="1" t="n">
        <v>45918</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25643-2024</t>
        </is>
      </c>
      <c r="B321" s="1" t="n">
        <v>45463.66436342592</v>
      </c>
      <c r="C321" s="1" t="n">
        <v>45918</v>
      </c>
      <c r="D321" t="inlineStr">
        <is>
          <t>DALARNAS LÄN</t>
        </is>
      </c>
      <c r="E321" t="inlineStr">
        <is>
          <t>HEDEMORA</t>
        </is>
      </c>
      <c r="F321" t="inlineStr">
        <is>
          <t>Sveaskog</t>
        </is>
      </c>
      <c r="G321" t="n">
        <v>8</v>
      </c>
      <c r="H321" t="n">
        <v>0</v>
      </c>
      <c r="I321" t="n">
        <v>0</v>
      </c>
      <c r="J321" t="n">
        <v>0</v>
      </c>
      <c r="K321" t="n">
        <v>0</v>
      </c>
      <c r="L321" t="n">
        <v>0</v>
      </c>
      <c r="M321" t="n">
        <v>0</v>
      </c>
      <c r="N321" t="n">
        <v>0</v>
      </c>
      <c r="O321" t="n">
        <v>0</v>
      </c>
      <c r="P321" t="n">
        <v>0</v>
      </c>
      <c r="Q321" t="n">
        <v>0</v>
      </c>
      <c r="R321" s="2" t="inlineStr"/>
    </row>
    <row r="322" ht="15" customHeight="1">
      <c r="A322" t="inlineStr">
        <is>
          <t>A 14949-2025</t>
        </is>
      </c>
      <c r="B322" s="1" t="n">
        <v>45743.5745949074</v>
      </c>
      <c r="C322" s="1" t="n">
        <v>45918</v>
      </c>
      <c r="D322" t="inlineStr">
        <is>
          <t>DALARNAS LÄN</t>
        </is>
      </c>
      <c r="E322" t="inlineStr">
        <is>
          <t>HEDEMORA</t>
        </is>
      </c>
      <c r="G322" t="n">
        <v>2.5</v>
      </c>
      <c r="H322" t="n">
        <v>0</v>
      </c>
      <c r="I322" t="n">
        <v>0</v>
      </c>
      <c r="J322" t="n">
        <v>0</v>
      </c>
      <c r="K322" t="n">
        <v>0</v>
      </c>
      <c r="L322" t="n">
        <v>0</v>
      </c>
      <c r="M322" t="n">
        <v>0</v>
      </c>
      <c r="N322" t="n">
        <v>0</v>
      </c>
      <c r="O322" t="n">
        <v>0</v>
      </c>
      <c r="P322" t="n">
        <v>0</v>
      </c>
      <c r="Q322" t="n">
        <v>0</v>
      </c>
      <c r="R322" s="2" t="inlineStr"/>
    </row>
    <row r="323" ht="15" customHeight="1">
      <c r="A323" t="inlineStr">
        <is>
          <t>A 12133-2025</t>
        </is>
      </c>
      <c r="B323" s="1" t="n">
        <v>45729.38878472222</v>
      </c>
      <c r="C323" s="1" t="n">
        <v>45918</v>
      </c>
      <c r="D323" t="inlineStr">
        <is>
          <t>DALARNAS LÄN</t>
        </is>
      </c>
      <c r="E323" t="inlineStr">
        <is>
          <t>HEDEMORA</t>
        </is>
      </c>
      <c r="G323" t="n">
        <v>4.8</v>
      </c>
      <c r="H323" t="n">
        <v>0</v>
      </c>
      <c r="I323" t="n">
        <v>0</v>
      </c>
      <c r="J323" t="n">
        <v>0</v>
      </c>
      <c r="K323" t="n">
        <v>0</v>
      </c>
      <c r="L323" t="n">
        <v>0</v>
      </c>
      <c r="M323" t="n">
        <v>0</v>
      </c>
      <c r="N323" t="n">
        <v>0</v>
      </c>
      <c r="O323" t="n">
        <v>0</v>
      </c>
      <c r="P323" t="n">
        <v>0</v>
      </c>
      <c r="Q323" t="n">
        <v>0</v>
      </c>
      <c r="R323" s="2" t="inlineStr"/>
    </row>
    <row r="324" ht="15" customHeight="1">
      <c r="A324" t="inlineStr">
        <is>
          <t>A 28813-2024</t>
        </is>
      </c>
      <c r="B324" s="1" t="n">
        <v>45478.641875</v>
      </c>
      <c r="C324" s="1" t="n">
        <v>45918</v>
      </c>
      <c r="D324" t="inlineStr">
        <is>
          <t>DALARNAS LÄN</t>
        </is>
      </c>
      <c r="E324" t="inlineStr">
        <is>
          <t>HEDEMORA</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14953-2025</t>
        </is>
      </c>
      <c r="B325" s="1" t="n">
        <v>45743.5819675926</v>
      </c>
      <c r="C325" s="1" t="n">
        <v>45918</v>
      </c>
      <c r="D325" t="inlineStr">
        <is>
          <t>DALARNAS LÄN</t>
        </is>
      </c>
      <c r="E325" t="inlineStr">
        <is>
          <t>HEDEMORA</t>
        </is>
      </c>
      <c r="G325" t="n">
        <v>6.6</v>
      </c>
      <c r="H325" t="n">
        <v>0</v>
      </c>
      <c r="I325" t="n">
        <v>0</v>
      </c>
      <c r="J325" t="n">
        <v>0</v>
      </c>
      <c r="K325" t="n">
        <v>0</v>
      </c>
      <c r="L325" t="n">
        <v>0</v>
      </c>
      <c r="M325" t="n">
        <v>0</v>
      </c>
      <c r="N325" t="n">
        <v>0</v>
      </c>
      <c r="O325" t="n">
        <v>0</v>
      </c>
      <c r="P325" t="n">
        <v>0</v>
      </c>
      <c r="Q325" t="n">
        <v>0</v>
      </c>
      <c r="R325" s="2" t="inlineStr"/>
    </row>
    <row r="326" ht="15" customHeight="1">
      <c r="A326" t="inlineStr">
        <is>
          <t>A 39389-2025</t>
        </is>
      </c>
      <c r="B326" s="1" t="n">
        <v>45889.62181712963</v>
      </c>
      <c r="C326" s="1" t="n">
        <v>45918</v>
      </c>
      <c r="D326" t="inlineStr">
        <is>
          <t>DALARNAS LÄN</t>
        </is>
      </c>
      <c r="E326" t="inlineStr">
        <is>
          <t>HEDEMORA</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34734-2025</t>
        </is>
      </c>
      <c r="B327" s="1" t="n">
        <v>45848</v>
      </c>
      <c r="C327" s="1" t="n">
        <v>45918</v>
      </c>
      <c r="D327" t="inlineStr">
        <is>
          <t>DALARNAS LÄN</t>
        </is>
      </c>
      <c r="E327" t="inlineStr">
        <is>
          <t>HEDEMORA</t>
        </is>
      </c>
      <c r="G327" t="n">
        <v>2.5</v>
      </c>
      <c r="H327" t="n">
        <v>0</v>
      </c>
      <c r="I327" t="n">
        <v>0</v>
      </c>
      <c r="J327" t="n">
        <v>0</v>
      </c>
      <c r="K327" t="n">
        <v>0</v>
      </c>
      <c r="L327" t="n">
        <v>0</v>
      </c>
      <c r="M327" t="n">
        <v>0</v>
      </c>
      <c r="N327" t="n">
        <v>0</v>
      </c>
      <c r="O327" t="n">
        <v>0</v>
      </c>
      <c r="P327" t="n">
        <v>0</v>
      </c>
      <c r="Q327" t="n">
        <v>0</v>
      </c>
      <c r="R327" s="2" t="inlineStr"/>
    </row>
    <row r="328" ht="15" customHeight="1">
      <c r="A328" t="inlineStr">
        <is>
          <t>A 40456-2025</t>
        </is>
      </c>
      <c r="B328" s="1" t="n">
        <v>45895.64342592593</v>
      </c>
      <c r="C328" s="1" t="n">
        <v>45918</v>
      </c>
      <c r="D328" t="inlineStr">
        <is>
          <t>DALARNAS LÄN</t>
        </is>
      </c>
      <c r="E328" t="inlineStr">
        <is>
          <t>HEDEMORA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35103-2025</t>
        </is>
      </c>
      <c r="B329" s="1" t="n">
        <v>45852.56914351852</v>
      </c>
      <c r="C329" s="1" t="n">
        <v>45918</v>
      </c>
      <c r="D329" t="inlineStr">
        <is>
          <t>DALARNAS LÄN</t>
        </is>
      </c>
      <c r="E329" t="inlineStr">
        <is>
          <t>HEDEMORA</t>
        </is>
      </c>
      <c r="G329" t="n">
        <v>6.2</v>
      </c>
      <c r="H329" t="n">
        <v>0</v>
      </c>
      <c r="I329" t="n">
        <v>0</v>
      </c>
      <c r="J329" t="n">
        <v>0</v>
      </c>
      <c r="K329" t="n">
        <v>0</v>
      </c>
      <c r="L329" t="n">
        <v>0</v>
      </c>
      <c r="M329" t="n">
        <v>0</v>
      </c>
      <c r="N329" t="n">
        <v>0</v>
      </c>
      <c r="O329" t="n">
        <v>0</v>
      </c>
      <c r="P329" t="n">
        <v>0</v>
      </c>
      <c r="Q329" t="n">
        <v>0</v>
      </c>
      <c r="R329" s="2" t="inlineStr"/>
    </row>
    <row r="330" ht="15" customHeight="1">
      <c r="A330" t="inlineStr">
        <is>
          <t>A 40419-2025</t>
        </is>
      </c>
      <c r="B330" s="1" t="n">
        <v>45895.57958333333</v>
      </c>
      <c r="C330" s="1" t="n">
        <v>45918</v>
      </c>
      <c r="D330" t="inlineStr">
        <is>
          <t>DALARNAS LÄN</t>
        </is>
      </c>
      <c r="E330" t="inlineStr">
        <is>
          <t>HEDEMORA</t>
        </is>
      </c>
      <c r="G330" t="n">
        <v>3.1</v>
      </c>
      <c r="H330" t="n">
        <v>0</v>
      </c>
      <c r="I330" t="n">
        <v>0</v>
      </c>
      <c r="J330" t="n">
        <v>0</v>
      </c>
      <c r="K330" t="n">
        <v>0</v>
      </c>
      <c r="L330" t="n">
        <v>0</v>
      </c>
      <c r="M330" t="n">
        <v>0</v>
      </c>
      <c r="N330" t="n">
        <v>0</v>
      </c>
      <c r="O330" t="n">
        <v>0</v>
      </c>
      <c r="P330" t="n">
        <v>0</v>
      </c>
      <c r="Q330" t="n">
        <v>0</v>
      </c>
      <c r="R330" s="2" t="inlineStr"/>
    </row>
    <row r="331" ht="15" customHeight="1">
      <c r="A331" t="inlineStr">
        <is>
          <t>A 40421-2025</t>
        </is>
      </c>
      <c r="B331" s="1" t="n">
        <v>45895.58449074074</v>
      </c>
      <c r="C331" s="1" t="n">
        <v>45918</v>
      </c>
      <c r="D331" t="inlineStr">
        <is>
          <t>DALARNAS LÄN</t>
        </is>
      </c>
      <c r="E331" t="inlineStr">
        <is>
          <t>HEDEMORA</t>
        </is>
      </c>
      <c r="G331" t="n">
        <v>1.7</v>
      </c>
      <c r="H331" t="n">
        <v>0</v>
      </c>
      <c r="I331" t="n">
        <v>0</v>
      </c>
      <c r="J331" t="n">
        <v>0</v>
      </c>
      <c r="K331" t="n">
        <v>0</v>
      </c>
      <c r="L331" t="n">
        <v>0</v>
      </c>
      <c r="M331" t="n">
        <v>0</v>
      </c>
      <c r="N331" t="n">
        <v>0</v>
      </c>
      <c r="O331" t="n">
        <v>0</v>
      </c>
      <c r="P331" t="n">
        <v>0</v>
      </c>
      <c r="Q331" t="n">
        <v>0</v>
      </c>
      <c r="R331" s="2" t="inlineStr"/>
    </row>
    <row r="332" ht="15" customHeight="1">
      <c r="A332" t="inlineStr">
        <is>
          <t>A 15048-2025</t>
        </is>
      </c>
      <c r="B332" s="1" t="n">
        <v>45743.69820601852</v>
      </c>
      <c r="C332" s="1" t="n">
        <v>45918</v>
      </c>
      <c r="D332" t="inlineStr">
        <is>
          <t>DALARNAS LÄN</t>
        </is>
      </c>
      <c r="E332" t="inlineStr">
        <is>
          <t>HEDEMORA</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15054-2025</t>
        </is>
      </c>
      <c r="B333" s="1" t="n">
        <v>45743.70199074074</v>
      </c>
      <c r="C333" s="1" t="n">
        <v>45918</v>
      </c>
      <c r="D333" t="inlineStr">
        <is>
          <t>DALARNAS LÄN</t>
        </is>
      </c>
      <c r="E333" t="inlineStr">
        <is>
          <t>HEDEMORA</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42510-2025</t>
        </is>
      </c>
      <c r="B334" s="1" t="n">
        <v>45905.54068287037</v>
      </c>
      <c r="C334" s="1" t="n">
        <v>45918</v>
      </c>
      <c r="D334" t="inlineStr">
        <is>
          <t>DALARNAS LÄN</t>
        </is>
      </c>
      <c r="E334" t="inlineStr">
        <is>
          <t>HEDEMORA</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36075-2025</t>
        </is>
      </c>
      <c r="B335" s="1" t="n">
        <v>45866.43974537037</v>
      </c>
      <c r="C335" s="1" t="n">
        <v>45918</v>
      </c>
      <c r="D335" t="inlineStr">
        <is>
          <t>DALARNAS LÄN</t>
        </is>
      </c>
      <c r="E335" t="inlineStr">
        <is>
          <t>HEDEMORA</t>
        </is>
      </c>
      <c r="G335" t="n">
        <v>0.8</v>
      </c>
      <c r="H335" t="n">
        <v>0</v>
      </c>
      <c r="I335" t="n">
        <v>0</v>
      </c>
      <c r="J335" t="n">
        <v>0</v>
      </c>
      <c r="K335" t="n">
        <v>0</v>
      </c>
      <c r="L335" t="n">
        <v>0</v>
      </c>
      <c r="M335" t="n">
        <v>0</v>
      </c>
      <c r="N335" t="n">
        <v>0</v>
      </c>
      <c r="O335" t="n">
        <v>0</v>
      </c>
      <c r="P335" t="n">
        <v>0</v>
      </c>
      <c r="Q335" t="n">
        <v>0</v>
      </c>
      <c r="R335" s="2" t="inlineStr"/>
    </row>
    <row r="336" ht="15" customHeight="1">
      <c r="A336" t="inlineStr">
        <is>
          <t>A 36103-2025</t>
        </is>
      </c>
      <c r="B336" s="1" t="n">
        <v>45866.55335648148</v>
      </c>
      <c r="C336" s="1" t="n">
        <v>45918</v>
      </c>
      <c r="D336" t="inlineStr">
        <is>
          <t>DALARNAS LÄN</t>
        </is>
      </c>
      <c r="E336" t="inlineStr">
        <is>
          <t>HEDEMORA</t>
        </is>
      </c>
      <c r="G336" t="n">
        <v>2.3</v>
      </c>
      <c r="H336" t="n">
        <v>0</v>
      </c>
      <c r="I336" t="n">
        <v>0</v>
      </c>
      <c r="J336" t="n">
        <v>0</v>
      </c>
      <c r="K336" t="n">
        <v>0</v>
      </c>
      <c r="L336" t="n">
        <v>0</v>
      </c>
      <c r="M336" t="n">
        <v>0</v>
      </c>
      <c r="N336" t="n">
        <v>0</v>
      </c>
      <c r="O336" t="n">
        <v>0</v>
      </c>
      <c r="P336" t="n">
        <v>0</v>
      </c>
      <c r="Q336" t="n">
        <v>0</v>
      </c>
      <c r="R336" s="2" t="inlineStr"/>
    </row>
    <row r="337" ht="15" customHeight="1">
      <c r="A337" t="inlineStr">
        <is>
          <t>A 36117-2025</t>
        </is>
      </c>
      <c r="B337" s="1" t="n">
        <v>45866.58664351852</v>
      </c>
      <c r="C337" s="1" t="n">
        <v>45918</v>
      </c>
      <c r="D337" t="inlineStr">
        <is>
          <t>DALARNAS LÄN</t>
        </is>
      </c>
      <c r="E337" t="inlineStr">
        <is>
          <t>HEDEMORA</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42645-2025</t>
        </is>
      </c>
      <c r="B338" s="1" t="n">
        <v>45906.40199074074</v>
      </c>
      <c r="C338" s="1" t="n">
        <v>45918</v>
      </c>
      <c r="D338" t="inlineStr">
        <is>
          <t>DALARNAS LÄN</t>
        </is>
      </c>
      <c r="E338" t="inlineStr">
        <is>
          <t>HEDEMORA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36206-2025</t>
        </is>
      </c>
      <c r="B339" s="1" t="n">
        <v>45867.45057870371</v>
      </c>
      <c r="C339" s="1" t="n">
        <v>45918</v>
      </c>
      <c r="D339" t="inlineStr">
        <is>
          <t>DALARNAS LÄN</t>
        </is>
      </c>
      <c r="E339" t="inlineStr">
        <is>
          <t>HEDEMORA</t>
        </is>
      </c>
      <c r="G339" t="n">
        <v>0.1</v>
      </c>
      <c r="H339" t="n">
        <v>0</v>
      </c>
      <c r="I339" t="n">
        <v>0</v>
      </c>
      <c r="J339" t="n">
        <v>0</v>
      </c>
      <c r="K339" t="n">
        <v>0</v>
      </c>
      <c r="L339" t="n">
        <v>0</v>
      </c>
      <c r="M339" t="n">
        <v>0</v>
      </c>
      <c r="N339" t="n">
        <v>0</v>
      </c>
      <c r="O339" t="n">
        <v>0</v>
      </c>
      <c r="P339" t="n">
        <v>0</v>
      </c>
      <c r="Q339" t="n">
        <v>0</v>
      </c>
      <c r="R339" s="2" t="inlineStr"/>
    </row>
    <row r="340" ht="15" customHeight="1">
      <c r="A340" t="inlineStr">
        <is>
          <t>A 43193-2025</t>
        </is>
      </c>
      <c r="B340" s="1" t="n">
        <v>45910.42417824074</v>
      </c>
      <c r="C340" s="1" t="n">
        <v>45918</v>
      </c>
      <c r="D340" t="inlineStr">
        <is>
          <t>DALARNAS LÄN</t>
        </is>
      </c>
      <c r="E340" t="inlineStr">
        <is>
          <t>HEDEMORA</t>
        </is>
      </c>
      <c r="G340" t="n">
        <v>3.9</v>
      </c>
      <c r="H340" t="n">
        <v>0</v>
      </c>
      <c r="I340" t="n">
        <v>0</v>
      </c>
      <c r="J340" t="n">
        <v>0</v>
      </c>
      <c r="K340" t="n">
        <v>0</v>
      </c>
      <c r="L340" t="n">
        <v>0</v>
      </c>
      <c r="M340" t="n">
        <v>0</v>
      </c>
      <c r="N340" t="n">
        <v>0</v>
      </c>
      <c r="O340" t="n">
        <v>0</v>
      </c>
      <c r="P340" t="n">
        <v>0</v>
      </c>
      <c r="Q340" t="n">
        <v>0</v>
      </c>
      <c r="R340" s="2" t="inlineStr"/>
    </row>
    <row r="341" ht="15" customHeight="1">
      <c r="A341" t="inlineStr">
        <is>
          <t>A 19690-2025</t>
        </is>
      </c>
      <c r="B341" s="1" t="n">
        <v>45770.88761574074</v>
      </c>
      <c r="C341" s="1" t="n">
        <v>45918</v>
      </c>
      <c r="D341" t="inlineStr">
        <is>
          <t>DALARNAS LÄN</t>
        </is>
      </c>
      <c r="E341" t="inlineStr">
        <is>
          <t>HEDEMORA</t>
        </is>
      </c>
      <c r="G341" t="n">
        <v>1.6</v>
      </c>
      <c r="H341" t="n">
        <v>0</v>
      </c>
      <c r="I341" t="n">
        <v>0</v>
      </c>
      <c r="J341" t="n">
        <v>0</v>
      </c>
      <c r="K341" t="n">
        <v>0</v>
      </c>
      <c r="L341" t="n">
        <v>0</v>
      </c>
      <c r="M341" t="n">
        <v>0</v>
      </c>
      <c r="N341" t="n">
        <v>0</v>
      </c>
      <c r="O341" t="n">
        <v>0</v>
      </c>
      <c r="P341" t="n">
        <v>0</v>
      </c>
      <c r="Q341" t="n">
        <v>0</v>
      </c>
      <c r="R341" s="2" t="inlineStr"/>
    </row>
    <row r="342" ht="15" customHeight="1">
      <c r="A342" t="inlineStr">
        <is>
          <t>A 34185-2025</t>
        </is>
      </c>
      <c r="B342" s="1" t="n">
        <v>45845</v>
      </c>
      <c r="C342" s="1" t="n">
        <v>45918</v>
      </c>
      <c r="D342" t="inlineStr">
        <is>
          <t>DALARNAS LÄN</t>
        </is>
      </c>
      <c r="E342" t="inlineStr">
        <is>
          <t>HEDEMORA</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19688-2025</t>
        </is>
      </c>
      <c r="B343" s="1" t="n">
        <v>45770.88217592592</v>
      </c>
      <c r="C343" s="1" t="n">
        <v>45918</v>
      </c>
      <c r="D343" t="inlineStr">
        <is>
          <t>DALARNAS LÄN</t>
        </is>
      </c>
      <c r="E343" t="inlineStr">
        <is>
          <t>HEDEMORA</t>
        </is>
      </c>
      <c r="G343" t="n">
        <v>1.9</v>
      </c>
      <c r="H343" t="n">
        <v>0</v>
      </c>
      <c r="I343" t="n">
        <v>0</v>
      </c>
      <c r="J343" t="n">
        <v>0</v>
      </c>
      <c r="K343" t="n">
        <v>0</v>
      </c>
      <c r="L343" t="n">
        <v>0</v>
      </c>
      <c r="M343" t="n">
        <v>0</v>
      </c>
      <c r="N343" t="n">
        <v>0</v>
      </c>
      <c r="O343" t="n">
        <v>0</v>
      </c>
      <c r="P343" t="n">
        <v>0</v>
      </c>
      <c r="Q343" t="n">
        <v>0</v>
      </c>
      <c r="R343" s="2" t="inlineStr"/>
    </row>
    <row r="344" ht="15" customHeight="1">
      <c r="A344" t="inlineStr">
        <is>
          <t>A 36656-2025</t>
        </is>
      </c>
      <c r="B344" s="1" t="n">
        <v>45873.34642361111</v>
      </c>
      <c r="C344" s="1" t="n">
        <v>45918</v>
      </c>
      <c r="D344" t="inlineStr">
        <is>
          <t>DALARNAS LÄN</t>
        </is>
      </c>
      <c r="E344" t="inlineStr">
        <is>
          <t>HEDEMORA</t>
        </is>
      </c>
      <c r="G344" t="n">
        <v>1.7</v>
      </c>
      <c r="H344" t="n">
        <v>0</v>
      </c>
      <c r="I344" t="n">
        <v>0</v>
      </c>
      <c r="J344" t="n">
        <v>0</v>
      </c>
      <c r="K344" t="n">
        <v>0</v>
      </c>
      <c r="L344" t="n">
        <v>0</v>
      </c>
      <c r="M344" t="n">
        <v>0</v>
      </c>
      <c r="N344" t="n">
        <v>0</v>
      </c>
      <c r="O344" t="n">
        <v>0</v>
      </c>
      <c r="P344" t="n">
        <v>0</v>
      </c>
      <c r="Q344" t="n">
        <v>0</v>
      </c>
      <c r="R344" s="2" t="inlineStr"/>
    </row>
    <row r="345" ht="15" customHeight="1">
      <c r="A345" t="inlineStr">
        <is>
          <t>A 21864-2025</t>
        </is>
      </c>
      <c r="B345" s="1" t="n">
        <v>45784</v>
      </c>
      <c r="C345" s="1" t="n">
        <v>45918</v>
      </c>
      <c r="D345" t="inlineStr">
        <is>
          <t>DALARNAS LÄN</t>
        </is>
      </c>
      <c r="E345" t="inlineStr">
        <is>
          <t>HEDEMORA</t>
        </is>
      </c>
      <c r="F345" t="inlineStr">
        <is>
          <t>Sveaskog</t>
        </is>
      </c>
      <c r="G345" t="n">
        <v>5.1</v>
      </c>
      <c r="H345" t="n">
        <v>0</v>
      </c>
      <c r="I345" t="n">
        <v>0</v>
      </c>
      <c r="J345" t="n">
        <v>0</v>
      </c>
      <c r="K345" t="n">
        <v>0</v>
      </c>
      <c r="L345" t="n">
        <v>0</v>
      </c>
      <c r="M345" t="n">
        <v>0</v>
      </c>
      <c r="N345" t="n">
        <v>0</v>
      </c>
      <c r="O345" t="n">
        <v>0</v>
      </c>
      <c r="P345" t="n">
        <v>0</v>
      </c>
      <c r="Q345" t="n">
        <v>0</v>
      </c>
      <c r="R345" s="2" t="inlineStr"/>
    </row>
    <row r="346" ht="15" customHeight="1">
      <c r="A346" t="inlineStr">
        <is>
          <t>A 20271-2025</t>
        </is>
      </c>
      <c r="B346" s="1" t="n">
        <v>45773.71568287037</v>
      </c>
      <c r="C346" s="1" t="n">
        <v>45918</v>
      </c>
      <c r="D346" t="inlineStr">
        <is>
          <t>DALARNAS LÄN</t>
        </is>
      </c>
      <c r="E346" t="inlineStr">
        <is>
          <t>HEDEMORA</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20273-2025</t>
        </is>
      </c>
      <c r="B347" s="1" t="n">
        <v>45773.71921296296</v>
      </c>
      <c r="C347" s="1" t="n">
        <v>45918</v>
      </c>
      <c r="D347" t="inlineStr">
        <is>
          <t>DALARNAS LÄN</t>
        </is>
      </c>
      <c r="E347" t="inlineStr">
        <is>
          <t>HEDEMORA</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29128-2025</t>
        </is>
      </c>
      <c r="B348" s="1" t="n">
        <v>45821.60116898148</v>
      </c>
      <c r="C348" s="1" t="n">
        <v>45918</v>
      </c>
      <c r="D348" t="inlineStr">
        <is>
          <t>DALARNAS LÄN</t>
        </is>
      </c>
      <c r="E348" t="inlineStr">
        <is>
          <t>HEDEMORA</t>
        </is>
      </c>
      <c r="F348" t="inlineStr">
        <is>
          <t>Sveaskog</t>
        </is>
      </c>
      <c r="G348" t="n">
        <v>15.5</v>
      </c>
      <c r="H348" t="n">
        <v>0</v>
      </c>
      <c r="I348" t="n">
        <v>0</v>
      </c>
      <c r="J348" t="n">
        <v>0</v>
      </c>
      <c r="K348" t="n">
        <v>0</v>
      </c>
      <c r="L348" t="n">
        <v>0</v>
      </c>
      <c r="M348" t="n">
        <v>0</v>
      </c>
      <c r="N348" t="n">
        <v>0</v>
      </c>
      <c r="O348" t="n">
        <v>0</v>
      </c>
      <c r="P348" t="n">
        <v>0</v>
      </c>
      <c r="Q348" t="n">
        <v>0</v>
      </c>
      <c r="R348" s="2" t="inlineStr"/>
    </row>
    <row r="349">
      <c r="A349" t="inlineStr">
        <is>
          <t>A 29792-2025</t>
        </is>
      </c>
      <c r="B349" s="1" t="n">
        <v>45825.66416666667</v>
      </c>
      <c r="C349" s="1" t="n">
        <v>45918</v>
      </c>
      <c r="D349" t="inlineStr">
        <is>
          <t>DALARNAS LÄN</t>
        </is>
      </c>
      <c r="E349" t="inlineStr">
        <is>
          <t>HEDEMORA</t>
        </is>
      </c>
      <c r="F349" t="inlineStr">
        <is>
          <t>Sveaskog</t>
        </is>
      </c>
      <c r="G349" t="n">
        <v>26.3</v>
      </c>
      <c r="H349" t="n">
        <v>0</v>
      </c>
      <c r="I349" t="n">
        <v>0</v>
      </c>
      <c r="J349" t="n">
        <v>0</v>
      </c>
      <c r="K349" t="n">
        <v>0</v>
      </c>
      <c r="L349" t="n">
        <v>0</v>
      </c>
      <c r="M349" t="n">
        <v>0</v>
      </c>
      <c r="N349" t="n">
        <v>0</v>
      </c>
      <c r="O349" t="n">
        <v>0</v>
      </c>
      <c r="P349" t="n">
        <v>0</v>
      </c>
      <c r="Q349" t="n">
        <v>0</v>
      </c>
      <c r="R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2025-09-18T08:58:17Z</dcterms:created>
  <dcterms:modified xmlns:dcterms="http://purl.org/dc/terms/" xmlns:xsi="http://www.w3.org/2001/XMLSchema-instance" xsi:type="dcterms:W3CDTF">2025-09-18T08:58:17Z</dcterms:modified>
</cp:coreProperties>
</file>