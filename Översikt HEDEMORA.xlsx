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45780</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19094-2025</t>
        </is>
      </c>
      <c r="B113" s="1" t="n">
        <v>45767</v>
      </c>
      <c r="C113" s="1" t="n">
        <v>45780</v>
      </c>
      <c r="D113" t="inlineStr">
        <is>
          <t>DALARNAS LÄN</t>
        </is>
      </c>
      <c r="E113" t="inlineStr">
        <is>
          <t>HEDEMORA</t>
        </is>
      </c>
      <c r="F113" t="inlineStr">
        <is>
          <t>Sveaskog</t>
        </is>
      </c>
      <c r="G113" t="n">
        <v>16.9</v>
      </c>
      <c r="H113" t="n">
        <v>1</v>
      </c>
      <c r="I113" t="n">
        <v>1</v>
      </c>
      <c r="J113" t="n">
        <v>0</v>
      </c>
      <c r="K113" t="n">
        <v>0</v>
      </c>
      <c r="L113" t="n">
        <v>0</v>
      </c>
      <c r="M113" t="n">
        <v>0</v>
      </c>
      <c r="N113" t="n">
        <v>0</v>
      </c>
      <c r="O113" t="n">
        <v>0</v>
      </c>
      <c r="P113" t="n">
        <v>0</v>
      </c>
      <c r="Q113" t="n">
        <v>1</v>
      </c>
      <c r="R113" s="2" t="inlineStr">
        <is>
          <t>Plattlummer</t>
        </is>
      </c>
      <c r="S113">
        <f>HYPERLINK("https://klasma.github.io/Logging_202083/artfynd/A 19094-2025 artfynd.xlsx", "A 19094-2025")</f>
        <v/>
      </c>
      <c r="T113">
        <f>HYPERLINK("https://klasma.github.io/Logging_202083/kartor/A 19094-2025 karta.png", "A 19094-2025")</f>
        <v/>
      </c>
      <c r="V113">
        <f>HYPERLINK("https://klasma.github.io/Logging_202083/klagomål/A 19094-2025 FSC-klagomål.docx", "A 19094-2025")</f>
        <v/>
      </c>
      <c r="W113">
        <f>HYPERLINK("https://klasma.github.io/Logging_202083/klagomålsmail/A 19094-2025 FSC-klagomål mail.docx", "A 19094-2025")</f>
        <v/>
      </c>
      <c r="X113">
        <f>HYPERLINK("https://klasma.github.io/Logging_202083/tillsyn/A 19094-2025 tillsynsbegäran.docx", "A 19094-2025")</f>
        <v/>
      </c>
      <c r="Y113">
        <f>HYPERLINK("https://klasma.github.io/Logging_202083/tillsynsmail/A 19094-2025 tillsynsbegäran mail.docx", "A 19094-2025")</f>
        <v/>
      </c>
    </row>
    <row r="114" ht="15" customHeight="1">
      <c r="A114" t="inlineStr">
        <is>
          <t>A 19016-2019</t>
        </is>
      </c>
      <c r="B114" s="1" t="n">
        <v>43563</v>
      </c>
      <c r="C114" s="1" t="n">
        <v>45780</v>
      </c>
      <c r="D114" t="inlineStr">
        <is>
          <t>DALARNAS LÄN</t>
        </is>
      </c>
      <c r="E114" t="inlineStr">
        <is>
          <t>HEDEMORA</t>
        </is>
      </c>
      <c r="G114" t="n">
        <v>1</v>
      </c>
      <c r="H114" t="n">
        <v>0</v>
      </c>
      <c r="I114" t="n">
        <v>0</v>
      </c>
      <c r="J114" t="n">
        <v>0</v>
      </c>
      <c r="K114" t="n">
        <v>0</v>
      </c>
      <c r="L114" t="n">
        <v>0</v>
      </c>
      <c r="M114" t="n">
        <v>0</v>
      </c>
      <c r="N114" t="n">
        <v>0</v>
      </c>
      <c r="O114" t="n">
        <v>0</v>
      </c>
      <c r="P114" t="n">
        <v>0</v>
      </c>
      <c r="Q114" t="n">
        <v>0</v>
      </c>
      <c r="R114" s="2" t="inlineStr"/>
    </row>
    <row r="115" ht="15" customHeight="1">
      <c r="A115" t="inlineStr">
        <is>
          <t>A 21235-2019</t>
        </is>
      </c>
      <c r="B115" s="1" t="n">
        <v>43579</v>
      </c>
      <c r="C115" s="1" t="n">
        <v>45780</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21212-2019</t>
        </is>
      </c>
      <c r="B116" s="1" t="n">
        <v>43579</v>
      </c>
      <c r="C116" s="1" t="n">
        <v>45780</v>
      </c>
      <c r="D116" t="inlineStr">
        <is>
          <t>DALARNAS LÄN</t>
        </is>
      </c>
      <c r="E116" t="inlineStr">
        <is>
          <t>HEDEMORA</t>
        </is>
      </c>
      <c r="G116" t="n">
        <v>0.9</v>
      </c>
      <c r="H116" t="n">
        <v>0</v>
      </c>
      <c r="I116" t="n">
        <v>0</v>
      </c>
      <c r="J116" t="n">
        <v>0</v>
      </c>
      <c r="K116" t="n">
        <v>0</v>
      </c>
      <c r="L116" t="n">
        <v>0</v>
      </c>
      <c r="M116" t="n">
        <v>0</v>
      </c>
      <c r="N116" t="n">
        <v>0</v>
      </c>
      <c r="O116" t="n">
        <v>0</v>
      </c>
      <c r="P116" t="n">
        <v>0</v>
      </c>
      <c r="Q116" t="n">
        <v>0</v>
      </c>
      <c r="R116" s="2" t="inlineStr"/>
    </row>
    <row r="117" ht="15" customHeight="1">
      <c r="A117" t="inlineStr">
        <is>
          <t>A 22494-2019</t>
        </is>
      </c>
      <c r="B117" s="1" t="n">
        <v>43587</v>
      </c>
      <c r="C117" s="1" t="n">
        <v>45780</v>
      </c>
      <c r="D117" t="inlineStr">
        <is>
          <t>DALARNAS LÄN</t>
        </is>
      </c>
      <c r="E117" t="inlineStr">
        <is>
          <t>HEDEMORA</t>
        </is>
      </c>
      <c r="G117" t="n">
        <v>5.3</v>
      </c>
      <c r="H117" t="n">
        <v>0</v>
      </c>
      <c r="I117" t="n">
        <v>0</v>
      </c>
      <c r="J117" t="n">
        <v>0</v>
      </c>
      <c r="K117" t="n">
        <v>0</v>
      </c>
      <c r="L117" t="n">
        <v>0</v>
      </c>
      <c r="M117" t="n">
        <v>0</v>
      </c>
      <c r="N117" t="n">
        <v>0</v>
      </c>
      <c r="O117" t="n">
        <v>0</v>
      </c>
      <c r="P117" t="n">
        <v>0</v>
      </c>
      <c r="Q117" t="n">
        <v>0</v>
      </c>
      <c r="R117" s="2" t="inlineStr"/>
    </row>
    <row r="118" ht="15" customHeight="1">
      <c r="A118" t="inlineStr">
        <is>
          <t>A 22810-2019</t>
        </is>
      </c>
      <c r="B118" s="1" t="n">
        <v>43590</v>
      </c>
      <c r="C118" s="1" t="n">
        <v>45780</v>
      </c>
      <c r="D118" t="inlineStr">
        <is>
          <t>DALARNAS LÄN</t>
        </is>
      </c>
      <c r="E118" t="inlineStr">
        <is>
          <t>HEDEMORA</t>
        </is>
      </c>
      <c r="G118" t="n">
        <v>0.5</v>
      </c>
      <c r="H118" t="n">
        <v>0</v>
      </c>
      <c r="I118" t="n">
        <v>0</v>
      </c>
      <c r="J118" t="n">
        <v>0</v>
      </c>
      <c r="K118" t="n">
        <v>0</v>
      </c>
      <c r="L118" t="n">
        <v>0</v>
      </c>
      <c r="M118" t="n">
        <v>0</v>
      </c>
      <c r="N118" t="n">
        <v>0</v>
      </c>
      <c r="O118" t="n">
        <v>0</v>
      </c>
      <c r="P118" t="n">
        <v>0</v>
      </c>
      <c r="Q118" t="n">
        <v>0</v>
      </c>
      <c r="R118" s="2" t="inlineStr"/>
    </row>
    <row r="119" ht="15" customHeight="1">
      <c r="A119" t="inlineStr">
        <is>
          <t>A 23492-2019</t>
        </is>
      </c>
      <c r="B119" s="1" t="n">
        <v>43594</v>
      </c>
      <c r="C119" s="1" t="n">
        <v>45780</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23804-2019</t>
        </is>
      </c>
      <c r="B120" s="1" t="n">
        <v>43595</v>
      </c>
      <c r="C120" s="1" t="n">
        <v>45780</v>
      </c>
      <c r="D120" t="inlineStr">
        <is>
          <t>DALARNAS LÄN</t>
        </is>
      </c>
      <c r="E120" t="inlineStr">
        <is>
          <t>HEDEMORA</t>
        </is>
      </c>
      <c r="G120" t="n">
        <v>1.3</v>
      </c>
      <c r="H120" t="n">
        <v>0</v>
      </c>
      <c r="I120" t="n">
        <v>0</v>
      </c>
      <c r="J120" t="n">
        <v>0</v>
      </c>
      <c r="K120" t="n">
        <v>0</v>
      </c>
      <c r="L120" t="n">
        <v>0</v>
      </c>
      <c r="M120" t="n">
        <v>0</v>
      </c>
      <c r="N120" t="n">
        <v>0</v>
      </c>
      <c r="O120" t="n">
        <v>0</v>
      </c>
      <c r="P120" t="n">
        <v>0</v>
      </c>
      <c r="Q120" t="n">
        <v>0</v>
      </c>
      <c r="R120" s="2" t="inlineStr"/>
    </row>
    <row r="121" ht="15" customHeight="1">
      <c r="A121" t="inlineStr">
        <is>
          <t>A 23808-2019</t>
        </is>
      </c>
      <c r="B121" s="1" t="n">
        <v>43595</v>
      </c>
      <c r="C121" s="1" t="n">
        <v>45780</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24904-2019</t>
        </is>
      </c>
      <c r="B122" s="1" t="n">
        <v>43602</v>
      </c>
      <c r="C122" s="1" t="n">
        <v>45780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26162-2019</t>
        </is>
      </c>
      <c r="B123" s="1" t="n">
        <v>43609</v>
      </c>
      <c r="C123" s="1" t="n">
        <v>45780</v>
      </c>
      <c r="D123" t="inlineStr">
        <is>
          <t>DALARNAS LÄN</t>
        </is>
      </c>
      <c r="E123" t="inlineStr">
        <is>
          <t>HEDEMORA</t>
        </is>
      </c>
      <c r="F123" t="inlineStr">
        <is>
          <t>Sveaskog</t>
        </is>
      </c>
      <c r="G123" t="n">
        <v>12.8</v>
      </c>
      <c r="H123" t="n">
        <v>0</v>
      </c>
      <c r="I123" t="n">
        <v>0</v>
      </c>
      <c r="J123" t="n">
        <v>0</v>
      </c>
      <c r="K123" t="n">
        <v>0</v>
      </c>
      <c r="L123" t="n">
        <v>0</v>
      </c>
      <c r="M123" t="n">
        <v>0</v>
      </c>
      <c r="N123" t="n">
        <v>0</v>
      </c>
      <c r="O123" t="n">
        <v>0</v>
      </c>
      <c r="P123" t="n">
        <v>0</v>
      </c>
      <c r="Q123" t="n">
        <v>0</v>
      </c>
      <c r="R123" s="2" t="inlineStr"/>
    </row>
    <row r="124" ht="15" customHeight="1">
      <c r="A124" t="inlineStr">
        <is>
          <t>A 26167-2019</t>
        </is>
      </c>
      <c r="B124" s="1" t="n">
        <v>43609</v>
      </c>
      <c r="C124" s="1" t="n">
        <v>45780</v>
      </c>
      <c r="D124" t="inlineStr">
        <is>
          <t>DALARNAS LÄN</t>
        </is>
      </c>
      <c r="E124" t="inlineStr">
        <is>
          <t>HEDEMORA</t>
        </is>
      </c>
      <c r="F124" t="inlineStr">
        <is>
          <t>Sveaskog</t>
        </is>
      </c>
      <c r="G124" t="n">
        <v>7</v>
      </c>
      <c r="H124" t="n">
        <v>0</v>
      </c>
      <c r="I124" t="n">
        <v>0</v>
      </c>
      <c r="J124" t="n">
        <v>0</v>
      </c>
      <c r="K124" t="n">
        <v>0</v>
      </c>
      <c r="L124" t="n">
        <v>0</v>
      </c>
      <c r="M124" t="n">
        <v>0</v>
      </c>
      <c r="N124" t="n">
        <v>0</v>
      </c>
      <c r="O124" t="n">
        <v>0</v>
      </c>
      <c r="P124" t="n">
        <v>0</v>
      </c>
      <c r="Q124" t="n">
        <v>0</v>
      </c>
      <c r="R124" s="2" t="inlineStr"/>
    </row>
    <row r="125" ht="15" customHeight="1">
      <c r="A125" t="inlineStr">
        <is>
          <t>A 27393-2019</t>
        </is>
      </c>
      <c r="B125" s="1" t="n">
        <v>43616</v>
      </c>
      <c r="C125" s="1" t="n">
        <v>45780</v>
      </c>
      <c r="D125" t="inlineStr">
        <is>
          <t>DALARNAS LÄN</t>
        </is>
      </c>
      <c r="E125" t="inlineStr">
        <is>
          <t>HEDEMORA</t>
        </is>
      </c>
      <c r="G125" t="n">
        <v>1.4</v>
      </c>
      <c r="H125" t="n">
        <v>0</v>
      </c>
      <c r="I125" t="n">
        <v>0</v>
      </c>
      <c r="J125" t="n">
        <v>0</v>
      </c>
      <c r="K125" t="n">
        <v>0</v>
      </c>
      <c r="L125" t="n">
        <v>0</v>
      </c>
      <c r="M125" t="n">
        <v>0</v>
      </c>
      <c r="N125" t="n">
        <v>0</v>
      </c>
      <c r="O125" t="n">
        <v>0</v>
      </c>
      <c r="P125" t="n">
        <v>0</v>
      </c>
      <c r="Q125" t="n">
        <v>0</v>
      </c>
      <c r="R125" s="2" t="inlineStr"/>
    </row>
    <row r="126" ht="15" customHeight="1">
      <c r="A126" t="inlineStr">
        <is>
          <t>A 27949-2019</t>
        </is>
      </c>
      <c r="B126" s="1" t="n">
        <v>43620</v>
      </c>
      <c r="C126" s="1" t="n">
        <v>45780</v>
      </c>
      <c r="D126" t="inlineStr">
        <is>
          <t>DALARNAS LÄN</t>
        </is>
      </c>
      <c r="E126" t="inlineStr">
        <is>
          <t>HEDEMORA</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28696-2019</t>
        </is>
      </c>
      <c r="B127" s="1" t="n">
        <v>43627</v>
      </c>
      <c r="C127" s="1" t="n">
        <v>45780</v>
      </c>
      <c r="D127" t="inlineStr">
        <is>
          <t>DALARNAS LÄN</t>
        </is>
      </c>
      <c r="E127" t="inlineStr">
        <is>
          <t>HEDEMORA</t>
        </is>
      </c>
      <c r="G127" t="n">
        <v>3.2</v>
      </c>
      <c r="H127" t="n">
        <v>0</v>
      </c>
      <c r="I127" t="n">
        <v>0</v>
      </c>
      <c r="J127" t="n">
        <v>0</v>
      </c>
      <c r="K127" t="n">
        <v>0</v>
      </c>
      <c r="L127" t="n">
        <v>0</v>
      </c>
      <c r="M127" t="n">
        <v>0</v>
      </c>
      <c r="N127" t="n">
        <v>0</v>
      </c>
      <c r="O127" t="n">
        <v>0</v>
      </c>
      <c r="P127" t="n">
        <v>0</v>
      </c>
      <c r="Q127" t="n">
        <v>0</v>
      </c>
      <c r="R127" s="2" t="inlineStr"/>
    </row>
    <row r="128" ht="15" customHeight="1">
      <c r="A128" t="inlineStr">
        <is>
          <t>A 30497-2019</t>
        </is>
      </c>
      <c r="B128" s="1" t="n">
        <v>43635</v>
      </c>
      <c r="C128" s="1" t="n">
        <v>45780</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30687-2019</t>
        </is>
      </c>
      <c r="B129" s="1" t="n">
        <v>43636</v>
      </c>
      <c r="C129" s="1" t="n">
        <v>45780</v>
      </c>
      <c r="D129" t="inlineStr">
        <is>
          <t>DALARNAS LÄN</t>
        </is>
      </c>
      <c r="E129" t="inlineStr">
        <is>
          <t>HEDEMORA</t>
        </is>
      </c>
      <c r="G129" t="n">
        <v>0.6</v>
      </c>
      <c r="H129" t="n">
        <v>0</v>
      </c>
      <c r="I129" t="n">
        <v>0</v>
      </c>
      <c r="J129" t="n">
        <v>0</v>
      </c>
      <c r="K129" t="n">
        <v>0</v>
      </c>
      <c r="L129" t="n">
        <v>0</v>
      </c>
      <c r="M129" t="n">
        <v>0</v>
      </c>
      <c r="N129" t="n">
        <v>0</v>
      </c>
      <c r="O129" t="n">
        <v>0</v>
      </c>
      <c r="P129" t="n">
        <v>0</v>
      </c>
      <c r="Q129" t="n">
        <v>0</v>
      </c>
      <c r="R129" s="2" t="inlineStr"/>
    </row>
    <row r="130" ht="15" customHeight="1">
      <c r="A130" t="inlineStr">
        <is>
          <t>A 34027-2019</t>
        </is>
      </c>
      <c r="B130" s="1" t="n">
        <v>43654</v>
      </c>
      <c r="C130" s="1" t="n">
        <v>45780</v>
      </c>
      <c r="D130" t="inlineStr">
        <is>
          <t>DALARNAS LÄN</t>
        </is>
      </c>
      <c r="E130" t="inlineStr">
        <is>
          <t>HEDEMORA</t>
        </is>
      </c>
      <c r="G130" t="n">
        <v>3.7</v>
      </c>
      <c r="H130" t="n">
        <v>0</v>
      </c>
      <c r="I130" t="n">
        <v>0</v>
      </c>
      <c r="J130" t="n">
        <v>0</v>
      </c>
      <c r="K130" t="n">
        <v>0</v>
      </c>
      <c r="L130" t="n">
        <v>0</v>
      </c>
      <c r="M130" t="n">
        <v>0</v>
      </c>
      <c r="N130" t="n">
        <v>0</v>
      </c>
      <c r="O130" t="n">
        <v>0</v>
      </c>
      <c r="P130" t="n">
        <v>0</v>
      </c>
      <c r="Q130" t="n">
        <v>0</v>
      </c>
      <c r="R130" s="2" t="inlineStr"/>
    </row>
    <row r="131" ht="15" customHeight="1">
      <c r="A131" t="inlineStr">
        <is>
          <t>A 35855-2019</t>
        </is>
      </c>
      <c r="B131" s="1" t="n">
        <v>43665</v>
      </c>
      <c r="C131" s="1" t="n">
        <v>45780</v>
      </c>
      <c r="D131" t="inlineStr">
        <is>
          <t>DALARNAS LÄN</t>
        </is>
      </c>
      <c r="E131" t="inlineStr">
        <is>
          <t>HEDEMORA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40919-2019</t>
        </is>
      </c>
      <c r="B132" s="1" t="n">
        <v>43697</v>
      </c>
      <c r="C132" s="1" t="n">
        <v>45780</v>
      </c>
      <c r="D132" t="inlineStr">
        <is>
          <t>DALARNAS LÄN</t>
        </is>
      </c>
      <c r="E132" t="inlineStr">
        <is>
          <t>HEDEMORA</t>
        </is>
      </c>
      <c r="G132" t="n">
        <v>2.1</v>
      </c>
      <c r="H132" t="n">
        <v>0</v>
      </c>
      <c r="I132" t="n">
        <v>0</v>
      </c>
      <c r="J132" t="n">
        <v>0</v>
      </c>
      <c r="K132" t="n">
        <v>0</v>
      </c>
      <c r="L132" t="n">
        <v>0</v>
      </c>
      <c r="M132" t="n">
        <v>0</v>
      </c>
      <c r="N132" t="n">
        <v>0</v>
      </c>
      <c r="O132" t="n">
        <v>0</v>
      </c>
      <c r="P132" t="n">
        <v>0</v>
      </c>
      <c r="Q132" t="n">
        <v>0</v>
      </c>
      <c r="R132" s="2" t="inlineStr"/>
    </row>
    <row r="133" ht="15" customHeight="1">
      <c r="A133" t="inlineStr">
        <is>
          <t>A 41399-2019</t>
        </is>
      </c>
      <c r="B133" s="1" t="n">
        <v>43698</v>
      </c>
      <c r="C133" s="1" t="n">
        <v>45780</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43530-2019</t>
        </is>
      </c>
      <c r="B134" s="1" t="n">
        <v>43706</v>
      </c>
      <c r="C134" s="1" t="n">
        <v>45780</v>
      </c>
      <c r="D134" t="inlineStr">
        <is>
          <t>DALARNAS LÄN</t>
        </is>
      </c>
      <c r="E134" t="inlineStr">
        <is>
          <t>HEDEMORA</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46775-2019</t>
        </is>
      </c>
      <c r="B135" s="1" t="n">
        <v>43720</v>
      </c>
      <c r="C135" s="1" t="n">
        <v>45780</v>
      </c>
      <c r="D135" t="inlineStr">
        <is>
          <t>DALARNAS LÄN</t>
        </is>
      </c>
      <c r="E135" t="inlineStr">
        <is>
          <t>HEDEMORA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46795-2019</t>
        </is>
      </c>
      <c r="B136" s="1" t="n">
        <v>43720</v>
      </c>
      <c r="C136" s="1" t="n">
        <v>45780</v>
      </c>
      <c r="D136" t="inlineStr">
        <is>
          <t>DALARNAS LÄN</t>
        </is>
      </c>
      <c r="E136" t="inlineStr">
        <is>
          <t>HEDEMORA</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47882-2019</t>
        </is>
      </c>
      <c r="B137" s="1" t="n">
        <v>43725</v>
      </c>
      <c r="C137" s="1" t="n">
        <v>45780</v>
      </c>
      <c r="D137" t="inlineStr">
        <is>
          <t>DALARNAS LÄN</t>
        </is>
      </c>
      <c r="E137" t="inlineStr">
        <is>
          <t>HEDEMORA</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49197-2019</t>
        </is>
      </c>
      <c r="B138" s="1" t="n">
        <v>43731</v>
      </c>
      <c r="C138" s="1" t="n">
        <v>45780</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49300-2019</t>
        </is>
      </c>
      <c r="B139" s="1" t="n">
        <v>43731</v>
      </c>
      <c r="C139" s="1" t="n">
        <v>45780</v>
      </c>
      <c r="D139" t="inlineStr">
        <is>
          <t>DALARNAS LÄN</t>
        </is>
      </c>
      <c r="E139" t="inlineStr">
        <is>
          <t>HEDEMORA</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49324-2019</t>
        </is>
      </c>
      <c r="B140" s="1" t="n">
        <v>43731</v>
      </c>
      <c r="C140" s="1" t="n">
        <v>45780</v>
      </c>
      <c r="D140" t="inlineStr">
        <is>
          <t>DALARNAS LÄN</t>
        </is>
      </c>
      <c r="E140" t="inlineStr">
        <is>
          <t>HEDEMORA</t>
        </is>
      </c>
      <c r="F140" t="inlineStr">
        <is>
          <t>Sveaskog</t>
        </is>
      </c>
      <c r="G140" t="n">
        <v>0.5</v>
      </c>
      <c r="H140" t="n">
        <v>0</v>
      </c>
      <c r="I140" t="n">
        <v>0</v>
      </c>
      <c r="J140" t="n">
        <v>0</v>
      </c>
      <c r="K140" t="n">
        <v>0</v>
      </c>
      <c r="L140" t="n">
        <v>0</v>
      </c>
      <c r="M140" t="n">
        <v>0</v>
      </c>
      <c r="N140" t="n">
        <v>0</v>
      </c>
      <c r="O140" t="n">
        <v>0</v>
      </c>
      <c r="P140" t="n">
        <v>0</v>
      </c>
      <c r="Q140" t="n">
        <v>0</v>
      </c>
      <c r="R140" s="2" t="inlineStr"/>
    </row>
    <row r="141" ht="15" customHeight="1">
      <c r="A141" t="inlineStr">
        <is>
          <t>A 50183-2019</t>
        </is>
      </c>
      <c r="B141" s="1" t="n">
        <v>43734</v>
      </c>
      <c r="C141" s="1" t="n">
        <v>45780</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51877-2019</t>
        </is>
      </c>
      <c r="B142" s="1" t="n">
        <v>43741</v>
      </c>
      <c r="C142" s="1" t="n">
        <v>45780</v>
      </c>
      <c r="D142" t="inlineStr">
        <is>
          <t>DALARNAS LÄN</t>
        </is>
      </c>
      <c r="E142" t="inlineStr">
        <is>
          <t>HEDEMORA</t>
        </is>
      </c>
      <c r="G142" t="n">
        <v>3.3</v>
      </c>
      <c r="H142" t="n">
        <v>0</v>
      </c>
      <c r="I142" t="n">
        <v>0</v>
      </c>
      <c r="J142" t="n">
        <v>0</v>
      </c>
      <c r="K142" t="n">
        <v>0</v>
      </c>
      <c r="L142" t="n">
        <v>0</v>
      </c>
      <c r="M142" t="n">
        <v>0</v>
      </c>
      <c r="N142" t="n">
        <v>0</v>
      </c>
      <c r="O142" t="n">
        <v>0</v>
      </c>
      <c r="P142" t="n">
        <v>0</v>
      </c>
      <c r="Q142" t="n">
        <v>0</v>
      </c>
      <c r="R142" s="2" t="inlineStr"/>
    </row>
    <row r="143" ht="15" customHeight="1">
      <c r="A143" t="inlineStr">
        <is>
          <t>A 53323-2019</t>
        </is>
      </c>
      <c r="B143" s="1" t="n">
        <v>43748</v>
      </c>
      <c r="C143" s="1" t="n">
        <v>45780</v>
      </c>
      <c r="D143" t="inlineStr">
        <is>
          <t>DALARNAS LÄN</t>
        </is>
      </c>
      <c r="E143" t="inlineStr">
        <is>
          <t>HEDEMORA</t>
        </is>
      </c>
      <c r="G143" t="n">
        <v>2.2</v>
      </c>
      <c r="H143" t="n">
        <v>0</v>
      </c>
      <c r="I143" t="n">
        <v>0</v>
      </c>
      <c r="J143" t="n">
        <v>0</v>
      </c>
      <c r="K143" t="n">
        <v>0</v>
      </c>
      <c r="L143" t="n">
        <v>0</v>
      </c>
      <c r="M143" t="n">
        <v>0</v>
      </c>
      <c r="N143" t="n">
        <v>0</v>
      </c>
      <c r="O143" t="n">
        <v>0</v>
      </c>
      <c r="P143" t="n">
        <v>0</v>
      </c>
      <c r="Q143" t="n">
        <v>0</v>
      </c>
      <c r="R143" s="2" t="inlineStr"/>
    </row>
    <row r="144" ht="15" customHeight="1">
      <c r="A144" t="inlineStr">
        <is>
          <t>A 54358-2019</t>
        </is>
      </c>
      <c r="B144" s="1" t="n">
        <v>43754</v>
      </c>
      <c r="C144" s="1" t="n">
        <v>45780</v>
      </c>
      <c r="D144" t="inlineStr">
        <is>
          <t>DALARNAS LÄN</t>
        </is>
      </c>
      <c r="E144" t="inlineStr">
        <is>
          <t>HEDEMORA</t>
        </is>
      </c>
      <c r="G144" t="n">
        <v>5.2</v>
      </c>
      <c r="H144" t="n">
        <v>0</v>
      </c>
      <c r="I144" t="n">
        <v>0</v>
      </c>
      <c r="J144" t="n">
        <v>0</v>
      </c>
      <c r="K144" t="n">
        <v>0</v>
      </c>
      <c r="L144" t="n">
        <v>0</v>
      </c>
      <c r="M144" t="n">
        <v>0</v>
      </c>
      <c r="N144" t="n">
        <v>0</v>
      </c>
      <c r="O144" t="n">
        <v>0</v>
      </c>
      <c r="P144" t="n">
        <v>0</v>
      </c>
      <c r="Q144" t="n">
        <v>0</v>
      </c>
      <c r="R144" s="2" t="inlineStr"/>
    </row>
    <row r="145" ht="15" customHeight="1">
      <c r="A145" t="inlineStr">
        <is>
          <t>A 60139-2019</t>
        </is>
      </c>
      <c r="B145" s="1" t="n">
        <v>43779</v>
      </c>
      <c r="C145" s="1" t="n">
        <v>45780</v>
      </c>
      <c r="D145" t="inlineStr">
        <is>
          <t>DALARNAS LÄN</t>
        </is>
      </c>
      <c r="E145" t="inlineStr">
        <is>
          <t>HEDEMORA</t>
        </is>
      </c>
      <c r="G145" t="n">
        <v>3.6</v>
      </c>
      <c r="H145" t="n">
        <v>0</v>
      </c>
      <c r="I145" t="n">
        <v>0</v>
      </c>
      <c r="J145" t="n">
        <v>0</v>
      </c>
      <c r="K145" t="n">
        <v>0</v>
      </c>
      <c r="L145" t="n">
        <v>0</v>
      </c>
      <c r="M145" t="n">
        <v>0</v>
      </c>
      <c r="N145" t="n">
        <v>0</v>
      </c>
      <c r="O145" t="n">
        <v>0</v>
      </c>
      <c r="P145" t="n">
        <v>0</v>
      </c>
      <c r="Q145" t="n">
        <v>0</v>
      </c>
      <c r="R145" s="2" t="inlineStr"/>
    </row>
    <row r="146" ht="15" customHeight="1">
      <c r="A146" t="inlineStr">
        <is>
          <t>A 60319-2019</t>
        </is>
      </c>
      <c r="B146" s="1" t="n">
        <v>43780</v>
      </c>
      <c r="C146" s="1" t="n">
        <v>45780</v>
      </c>
      <c r="D146" t="inlineStr">
        <is>
          <t>DALARNAS LÄN</t>
        </is>
      </c>
      <c r="E146" t="inlineStr">
        <is>
          <t>HEDEMORA</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60318-2019</t>
        </is>
      </c>
      <c r="B147" s="1" t="n">
        <v>43780</v>
      </c>
      <c r="C147" s="1" t="n">
        <v>45780</v>
      </c>
      <c r="D147" t="inlineStr">
        <is>
          <t>DALARNAS LÄN</t>
        </is>
      </c>
      <c r="E147" t="inlineStr">
        <is>
          <t>HEDEMORA</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60461-2019</t>
        </is>
      </c>
      <c r="B148" s="1" t="n">
        <v>43780</v>
      </c>
      <c r="C148" s="1" t="n">
        <v>45780</v>
      </c>
      <c r="D148" t="inlineStr">
        <is>
          <t>DALARNAS LÄN</t>
        </is>
      </c>
      <c r="E148" t="inlineStr">
        <is>
          <t>HEDEMORA</t>
        </is>
      </c>
      <c r="G148" t="n">
        <v>2.8</v>
      </c>
      <c r="H148" t="n">
        <v>0</v>
      </c>
      <c r="I148" t="n">
        <v>0</v>
      </c>
      <c r="J148" t="n">
        <v>0</v>
      </c>
      <c r="K148" t="n">
        <v>0</v>
      </c>
      <c r="L148" t="n">
        <v>0</v>
      </c>
      <c r="M148" t="n">
        <v>0</v>
      </c>
      <c r="N148" t="n">
        <v>0</v>
      </c>
      <c r="O148" t="n">
        <v>0</v>
      </c>
      <c r="P148" t="n">
        <v>0</v>
      </c>
      <c r="Q148" t="n">
        <v>0</v>
      </c>
      <c r="R148" s="2" t="inlineStr"/>
    </row>
    <row r="149" ht="15" customHeight="1">
      <c r="A149" t="inlineStr">
        <is>
          <t>A 60543-2019</t>
        </is>
      </c>
      <c r="B149" s="1" t="n">
        <v>43781</v>
      </c>
      <c r="C149" s="1" t="n">
        <v>45780</v>
      </c>
      <c r="D149" t="inlineStr">
        <is>
          <t>DALARNAS LÄN</t>
        </is>
      </c>
      <c r="E149" t="inlineStr">
        <is>
          <t>HEDEMORA</t>
        </is>
      </c>
      <c r="G149" t="n">
        <v>4.6</v>
      </c>
      <c r="H149" t="n">
        <v>0</v>
      </c>
      <c r="I149" t="n">
        <v>0</v>
      </c>
      <c r="J149" t="n">
        <v>0</v>
      </c>
      <c r="K149" t="n">
        <v>0</v>
      </c>
      <c r="L149" t="n">
        <v>0</v>
      </c>
      <c r="M149" t="n">
        <v>0</v>
      </c>
      <c r="N149" t="n">
        <v>0</v>
      </c>
      <c r="O149" t="n">
        <v>0</v>
      </c>
      <c r="P149" t="n">
        <v>0</v>
      </c>
      <c r="Q149" t="n">
        <v>0</v>
      </c>
      <c r="R149" s="2" t="inlineStr"/>
    </row>
    <row r="150" ht="15" customHeight="1">
      <c r="A150" t="inlineStr">
        <is>
          <t>A 60529-2019</t>
        </is>
      </c>
      <c r="B150" s="1" t="n">
        <v>43781</v>
      </c>
      <c r="C150" s="1" t="n">
        <v>45780</v>
      </c>
      <c r="D150" t="inlineStr">
        <is>
          <t>DALARNAS LÄN</t>
        </is>
      </c>
      <c r="E150" t="inlineStr">
        <is>
          <t>HEDEMORA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60556-2019</t>
        </is>
      </c>
      <c r="B151" s="1" t="n">
        <v>43781</v>
      </c>
      <c r="C151" s="1" t="n">
        <v>45780</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61007-2019</t>
        </is>
      </c>
      <c r="B152" s="1" t="n">
        <v>43782</v>
      </c>
      <c r="C152" s="1" t="n">
        <v>45780</v>
      </c>
      <c r="D152" t="inlineStr">
        <is>
          <t>DALARNAS LÄN</t>
        </is>
      </c>
      <c r="E152" t="inlineStr">
        <is>
          <t>HEDEMORA</t>
        </is>
      </c>
      <c r="G152" t="n">
        <v>0.8</v>
      </c>
      <c r="H152" t="n">
        <v>0</v>
      </c>
      <c r="I152" t="n">
        <v>0</v>
      </c>
      <c r="J152" t="n">
        <v>0</v>
      </c>
      <c r="K152" t="n">
        <v>0</v>
      </c>
      <c r="L152" t="n">
        <v>0</v>
      </c>
      <c r="M152" t="n">
        <v>0</v>
      </c>
      <c r="N152" t="n">
        <v>0</v>
      </c>
      <c r="O152" t="n">
        <v>0</v>
      </c>
      <c r="P152" t="n">
        <v>0</v>
      </c>
      <c r="Q152" t="n">
        <v>0</v>
      </c>
      <c r="R152" s="2" t="inlineStr"/>
    </row>
    <row r="153" ht="15" customHeight="1">
      <c r="A153" t="inlineStr">
        <is>
          <t>A 61382-2019</t>
        </is>
      </c>
      <c r="B153" s="1" t="n">
        <v>43783</v>
      </c>
      <c r="C153" s="1" t="n">
        <v>45780</v>
      </c>
      <c r="D153" t="inlineStr">
        <is>
          <t>DALARNAS LÄN</t>
        </is>
      </c>
      <c r="E153" t="inlineStr">
        <is>
          <t>HEDEMORA</t>
        </is>
      </c>
      <c r="G153" t="n">
        <v>1.8</v>
      </c>
      <c r="H153" t="n">
        <v>0</v>
      </c>
      <c r="I153" t="n">
        <v>0</v>
      </c>
      <c r="J153" t="n">
        <v>0</v>
      </c>
      <c r="K153" t="n">
        <v>0</v>
      </c>
      <c r="L153" t="n">
        <v>0</v>
      </c>
      <c r="M153" t="n">
        <v>0</v>
      </c>
      <c r="N153" t="n">
        <v>0</v>
      </c>
      <c r="O153" t="n">
        <v>0</v>
      </c>
      <c r="P153" t="n">
        <v>0</v>
      </c>
      <c r="Q153" t="n">
        <v>0</v>
      </c>
      <c r="R153" s="2" t="inlineStr"/>
    </row>
    <row r="154" ht="15" customHeight="1">
      <c r="A154" t="inlineStr">
        <is>
          <t>A 63101-2019</t>
        </is>
      </c>
      <c r="B154" s="1" t="n">
        <v>43791</v>
      </c>
      <c r="C154" s="1" t="n">
        <v>45780</v>
      </c>
      <c r="D154" t="inlineStr">
        <is>
          <t>DALARNAS LÄN</t>
        </is>
      </c>
      <c r="E154" t="inlineStr">
        <is>
          <t>HEDEMORA</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65308-2019</t>
        </is>
      </c>
      <c r="B155" s="1" t="n">
        <v>43802</v>
      </c>
      <c r="C155" s="1" t="n">
        <v>45780</v>
      </c>
      <c r="D155" t="inlineStr">
        <is>
          <t>DALARNAS LÄN</t>
        </is>
      </c>
      <c r="E155" t="inlineStr">
        <is>
          <t>HEDEMORA</t>
        </is>
      </c>
      <c r="F155" t="inlineStr">
        <is>
          <t>Sveaskog</t>
        </is>
      </c>
      <c r="G155" t="n">
        <v>2.1</v>
      </c>
      <c r="H155" t="n">
        <v>0</v>
      </c>
      <c r="I155" t="n">
        <v>0</v>
      </c>
      <c r="J155" t="n">
        <v>0</v>
      </c>
      <c r="K155" t="n">
        <v>0</v>
      </c>
      <c r="L155" t="n">
        <v>0</v>
      </c>
      <c r="M155" t="n">
        <v>0</v>
      </c>
      <c r="N155" t="n">
        <v>0</v>
      </c>
      <c r="O155" t="n">
        <v>0</v>
      </c>
      <c r="P155" t="n">
        <v>0</v>
      </c>
      <c r="Q155" t="n">
        <v>0</v>
      </c>
      <c r="R155" s="2" t="inlineStr"/>
    </row>
    <row r="156" ht="15" customHeight="1">
      <c r="A156" t="inlineStr">
        <is>
          <t>A 65315-2019</t>
        </is>
      </c>
      <c r="B156" s="1" t="n">
        <v>43802</v>
      </c>
      <c r="C156" s="1" t="n">
        <v>45780</v>
      </c>
      <c r="D156" t="inlineStr">
        <is>
          <t>DALARNAS LÄN</t>
        </is>
      </c>
      <c r="E156" t="inlineStr">
        <is>
          <t>HEDEMORA</t>
        </is>
      </c>
      <c r="F156" t="inlineStr">
        <is>
          <t>Sveaskog</t>
        </is>
      </c>
      <c r="G156" t="n">
        <v>2.3</v>
      </c>
      <c r="H156" t="n">
        <v>0</v>
      </c>
      <c r="I156" t="n">
        <v>0</v>
      </c>
      <c r="J156" t="n">
        <v>0</v>
      </c>
      <c r="K156" t="n">
        <v>0</v>
      </c>
      <c r="L156" t="n">
        <v>0</v>
      </c>
      <c r="M156" t="n">
        <v>0</v>
      </c>
      <c r="N156" t="n">
        <v>0</v>
      </c>
      <c r="O156" t="n">
        <v>0</v>
      </c>
      <c r="P156" t="n">
        <v>0</v>
      </c>
      <c r="Q156" t="n">
        <v>0</v>
      </c>
      <c r="R156" s="2" t="inlineStr"/>
    </row>
    <row r="157" ht="15" customHeight="1">
      <c r="A157" t="inlineStr">
        <is>
          <t>A 68856-2019</t>
        </is>
      </c>
      <c r="B157" s="1" t="n">
        <v>43820</v>
      </c>
      <c r="C157" s="1" t="n">
        <v>45780</v>
      </c>
      <c r="D157" t="inlineStr">
        <is>
          <t>DALARNAS LÄN</t>
        </is>
      </c>
      <c r="E157" t="inlineStr">
        <is>
          <t>HEDEMORA</t>
        </is>
      </c>
      <c r="G157" t="n">
        <v>17.6</v>
      </c>
      <c r="H157" t="n">
        <v>0</v>
      </c>
      <c r="I157" t="n">
        <v>0</v>
      </c>
      <c r="J157" t="n">
        <v>0</v>
      </c>
      <c r="K157" t="n">
        <v>0</v>
      </c>
      <c r="L157" t="n">
        <v>0</v>
      </c>
      <c r="M157" t="n">
        <v>0</v>
      </c>
      <c r="N157" t="n">
        <v>0</v>
      </c>
      <c r="O157" t="n">
        <v>0</v>
      </c>
      <c r="P157" t="n">
        <v>0</v>
      </c>
      <c r="Q157" t="n">
        <v>0</v>
      </c>
      <c r="R157" s="2" t="inlineStr"/>
    </row>
    <row r="158" ht="15" customHeight="1">
      <c r="A158" t="inlineStr">
        <is>
          <t>A 1215-2020</t>
        </is>
      </c>
      <c r="B158" s="1" t="n">
        <v>43840</v>
      </c>
      <c r="C158" s="1" t="n">
        <v>45780</v>
      </c>
      <c r="D158" t="inlineStr">
        <is>
          <t>DALARNAS LÄN</t>
        </is>
      </c>
      <c r="E158" t="inlineStr">
        <is>
          <t>HEDEMORA</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2390-2020</t>
        </is>
      </c>
      <c r="B159" s="1" t="n">
        <v>43847</v>
      </c>
      <c r="C159" s="1" t="n">
        <v>45780</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2846-2020</t>
        </is>
      </c>
      <c r="B160" s="1" t="n">
        <v>43850</v>
      </c>
      <c r="C160" s="1" t="n">
        <v>45780</v>
      </c>
      <c r="D160" t="inlineStr">
        <is>
          <t>DALARNAS LÄN</t>
        </is>
      </c>
      <c r="E160" t="inlineStr">
        <is>
          <t>HEDEMORA</t>
        </is>
      </c>
      <c r="G160" t="n">
        <v>4.2</v>
      </c>
      <c r="H160" t="n">
        <v>0</v>
      </c>
      <c r="I160" t="n">
        <v>0</v>
      </c>
      <c r="J160" t="n">
        <v>0</v>
      </c>
      <c r="K160" t="n">
        <v>0</v>
      </c>
      <c r="L160" t="n">
        <v>0</v>
      </c>
      <c r="M160" t="n">
        <v>0</v>
      </c>
      <c r="N160" t="n">
        <v>0</v>
      </c>
      <c r="O160" t="n">
        <v>0</v>
      </c>
      <c r="P160" t="n">
        <v>0</v>
      </c>
      <c r="Q160" t="n">
        <v>0</v>
      </c>
      <c r="R160" s="2" t="inlineStr"/>
    </row>
    <row r="161" ht="15" customHeight="1">
      <c r="A161" t="inlineStr">
        <is>
          <t>A 2915-2020</t>
        </is>
      </c>
      <c r="B161" s="1" t="n">
        <v>43850</v>
      </c>
      <c r="C161" s="1" t="n">
        <v>45780</v>
      </c>
      <c r="D161" t="inlineStr">
        <is>
          <t>DALARNAS LÄN</t>
        </is>
      </c>
      <c r="E161" t="inlineStr">
        <is>
          <t>HEDEMORA</t>
        </is>
      </c>
      <c r="G161" t="n">
        <v>0.8</v>
      </c>
      <c r="H161" t="n">
        <v>0</v>
      </c>
      <c r="I161" t="n">
        <v>0</v>
      </c>
      <c r="J161" t="n">
        <v>0</v>
      </c>
      <c r="K161" t="n">
        <v>0</v>
      </c>
      <c r="L161" t="n">
        <v>0</v>
      </c>
      <c r="M161" t="n">
        <v>0</v>
      </c>
      <c r="N161" t="n">
        <v>0</v>
      </c>
      <c r="O161" t="n">
        <v>0</v>
      </c>
      <c r="P161" t="n">
        <v>0</v>
      </c>
      <c r="Q161" t="n">
        <v>0</v>
      </c>
      <c r="R161" s="2" t="inlineStr"/>
    </row>
    <row r="162" ht="15" customHeight="1">
      <c r="A162" t="inlineStr">
        <is>
          <t>A 3127-2020</t>
        </is>
      </c>
      <c r="B162" s="1" t="n">
        <v>43851</v>
      </c>
      <c r="C162" s="1" t="n">
        <v>45780</v>
      </c>
      <c r="D162" t="inlineStr">
        <is>
          <t>DALARNAS LÄN</t>
        </is>
      </c>
      <c r="E162" t="inlineStr">
        <is>
          <t>HEDEMORA</t>
        </is>
      </c>
      <c r="G162" t="n">
        <v>1.5</v>
      </c>
      <c r="H162" t="n">
        <v>0</v>
      </c>
      <c r="I162" t="n">
        <v>0</v>
      </c>
      <c r="J162" t="n">
        <v>0</v>
      </c>
      <c r="K162" t="n">
        <v>0</v>
      </c>
      <c r="L162" t="n">
        <v>0</v>
      </c>
      <c r="M162" t="n">
        <v>0</v>
      </c>
      <c r="N162" t="n">
        <v>0</v>
      </c>
      <c r="O162" t="n">
        <v>0</v>
      </c>
      <c r="P162" t="n">
        <v>0</v>
      </c>
      <c r="Q162" t="n">
        <v>0</v>
      </c>
      <c r="R162" s="2" t="inlineStr"/>
    </row>
    <row r="163" ht="15" customHeight="1">
      <c r="A163" t="inlineStr">
        <is>
          <t>A 5353-2020</t>
        </is>
      </c>
      <c r="B163" s="1" t="n">
        <v>43860</v>
      </c>
      <c r="C163" s="1" t="n">
        <v>45780</v>
      </c>
      <c r="D163" t="inlineStr">
        <is>
          <t>DALARNAS LÄN</t>
        </is>
      </c>
      <c r="E163" t="inlineStr">
        <is>
          <t>HEDEMORA</t>
        </is>
      </c>
      <c r="G163" t="n">
        <v>2.4</v>
      </c>
      <c r="H163" t="n">
        <v>0</v>
      </c>
      <c r="I163" t="n">
        <v>0</v>
      </c>
      <c r="J163" t="n">
        <v>0</v>
      </c>
      <c r="K163" t="n">
        <v>0</v>
      </c>
      <c r="L163" t="n">
        <v>0</v>
      </c>
      <c r="M163" t="n">
        <v>0</v>
      </c>
      <c r="N163" t="n">
        <v>0</v>
      </c>
      <c r="O163" t="n">
        <v>0</v>
      </c>
      <c r="P163" t="n">
        <v>0</v>
      </c>
      <c r="Q163" t="n">
        <v>0</v>
      </c>
      <c r="R163" s="2" t="inlineStr"/>
    </row>
    <row r="164" ht="15" customHeight="1">
      <c r="A164" t="inlineStr">
        <is>
          <t>A 5752-2020</t>
        </is>
      </c>
      <c r="B164" s="1" t="n">
        <v>43864</v>
      </c>
      <c r="C164" s="1" t="n">
        <v>45780</v>
      </c>
      <c r="D164" t="inlineStr">
        <is>
          <t>DALARNAS LÄN</t>
        </is>
      </c>
      <c r="E164" t="inlineStr">
        <is>
          <t>HEDEMORA</t>
        </is>
      </c>
      <c r="G164" t="n">
        <v>2.6</v>
      </c>
      <c r="H164" t="n">
        <v>0</v>
      </c>
      <c r="I164" t="n">
        <v>0</v>
      </c>
      <c r="J164" t="n">
        <v>0</v>
      </c>
      <c r="K164" t="n">
        <v>0</v>
      </c>
      <c r="L164" t="n">
        <v>0</v>
      </c>
      <c r="M164" t="n">
        <v>0</v>
      </c>
      <c r="N164" t="n">
        <v>0</v>
      </c>
      <c r="O164" t="n">
        <v>0</v>
      </c>
      <c r="P164" t="n">
        <v>0</v>
      </c>
      <c r="Q164" t="n">
        <v>0</v>
      </c>
      <c r="R164" s="2" t="inlineStr"/>
    </row>
    <row r="165" ht="15" customHeight="1">
      <c r="A165" t="inlineStr">
        <is>
          <t>A 5763-2020</t>
        </is>
      </c>
      <c r="B165" s="1" t="n">
        <v>43864</v>
      </c>
      <c r="C165" s="1" t="n">
        <v>45780</v>
      </c>
      <c r="D165" t="inlineStr">
        <is>
          <t>DALARNAS LÄN</t>
        </is>
      </c>
      <c r="E165" t="inlineStr">
        <is>
          <t>HEDEMORA</t>
        </is>
      </c>
      <c r="G165" t="n">
        <v>0.9</v>
      </c>
      <c r="H165" t="n">
        <v>0</v>
      </c>
      <c r="I165" t="n">
        <v>0</v>
      </c>
      <c r="J165" t="n">
        <v>0</v>
      </c>
      <c r="K165" t="n">
        <v>0</v>
      </c>
      <c r="L165" t="n">
        <v>0</v>
      </c>
      <c r="M165" t="n">
        <v>0</v>
      </c>
      <c r="N165" t="n">
        <v>0</v>
      </c>
      <c r="O165" t="n">
        <v>0</v>
      </c>
      <c r="P165" t="n">
        <v>0</v>
      </c>
      <c r="Q165" t="n">
        <v>0</v>
      </c>
      <c r="R165" s="2" t="inlineStr"/>
    </row>
    <row r="166" ht="15" customHeight="1">
      <c r="A166" t="inlineStr">
        <is>
          <t>A 5950-2020</t>
        </is>
      </c>
      <c r="B166" s="1" t="n">
        <v>43864</v>
      </c>
      <c r="C166" s="1" t="n">
        <v>45780</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6795-2020</t>
        </is>
      </c>
      <c r="B167" s="1" t="n">
        <v>43867</v>
      </c>
      <c r="C167" s="1" t="n">
        <v>45780</v>
      </c>
      <c r="D167" t="inlineStr">
        <is>
          <t>DALARNAS LÄN</t>
        </is>
      </c>
      <c r="E167" t="inlineStr">
        <is>
          <t>HEDEMORA</t>
        </is>
      </c>
      <c r="F167" t="inlineStr">
        <is>
          <t>Sveaskog</t>
        </is>
      </c>
      <c r="G167" t="n">
        <v>0.3</v>
      </c>
      <c r="H167" t="n">
        <v>0</v>
      </c>
      <c r="I167" t="n">
        <v>0</v>
      </c>
      <c r="J167" t="n">
        <v>0</v>
      </c>
      <c r="K167" t="n">
        <v>0</v>
      </c>
      <c r="L167" t="n">
        <v>0</v>
      </c>
      <c r="M167" t="n">
        <v>0</v>
      </c>
      <c r="N167" t="n">
        <v>0</v>
      </c>
      <c r="O167" t="n">
        <v>0</v>
      </c>
      <c r="P167" t="n">
        <v>0</v>
      </c>
      <c r="Q167" t="n">
        <v>0</v>
      </c>
      <c r="R167" s="2" t="inlineStr"/>
    </row>
    <row r="168" ht="15" customHeight="1">
      <c r="A168" t="inlineStr">
        <is>
          <t>A 6794-2020</t>
        </is>
      </c>
      <c r="B168" s="1" t="n">
        <v>43867</v>
      </c>
      <c r="C168" s="1" t="n">
        <v>45780</v>
      </c>
      <c r="D168" t="inlineStr">
        <is>
          <t>DALARNAS LÄN</t>
        </is>
      </c>
      <c r="E168" t="inlineStr">
        <is>
          <t>HEDEMORA</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7209-2020</t>
        </is>
      </c>
      <c r="B169" s="1" t="n">
        <v>43871</v>
      </c>
      <c r="C169" s="1" t="n">
        <v>45780</v>
      </c>
      <c r="D169" t="inlineStr">
        <is>
          <t>DALARNAS LÄN</t>
        </is>
      </c>
      <c r="E169" t="inlineStr">
        <is>
          <t>HEDEMORA</t>
        </is>
      </c>
      <c r="G169" t="n">
        <v>1.1</v>
      </c>
      <c r="H169" t="n">
        <v>0</v>
      </c>
      <c r="I169" t="n">
        <v>0</v>
      </c>
      <c r="J169" t="n">
        <v>0</v>
      </c>
      <c r="K169" t="n">
        <v>0</v>
      </c>
      <c r="L169" t="n">
        <v>0</v>
      </c>
      <c r="M169" t="n">
        <v>0</v>
      </c>
      <c r="N169" t="n">
        <v>0</v>
      </c>
      <c r="O169" t="n">
        <v>0</v>
      </c>
      <c r="P169" t="n">
        <v>0</v>
      </c>
      <c r="Q169" t="n">
        <v>0</v>
      </c>
      <c r="R169" s="2" t="inlineStr"/>
    </row>
    <row r="170" ht="15" customHeight="1">
      <c r="A170" t="inlineStr">
        <is>
          <t>A 7434-2020</t>
        </is>
      </c>
      <c r="B170" s="1" t="n">
        <v>43871</v>
      </c>
      <c r="C170" s="1" t="n">
        <v>45780</v>
      </c>
      <c r="D170" t="inlineStr">
        <is>
          <t>DALARNAS LÄN</t>
        </is>
      </c>
      <c r="E170" t="inlineStr">
        <is>
          <t>HEDEMORA</t>
        </is>
      </c>
      <c r="G170" t="n">
        <v>4.3</v>
      </c>
      <c r="H170" t="n">
        <v>0</v>
      </c>
      <c r="I170" t="n">
        <v>0</v>
      </c>
      <c r="J170" t="n">
        <v>0</v>
      </c>
      <c r="K170" t="n">
        <v>0</v>
      </c>
      <c r="L170" t="n">
        <v>0</v>
      </c>
      <c r="M170" t="n">
        <v>0</v>
      </c>
      <c r="N170" t="n">
        <v>0</v>
      </c>
      <c r="O170" t="n">
        <v>0</v>
      </c>
      <c r="P170" t="n">
        <v>0</v>
      </c>
      <c r="Q170" t="n">
        <v>0</v>
      </c>
      <c r="R170" s="2" t="inlineStr"/>
    </row>
    <row r="171" ht="15" customHeight="1">
      <c r="A171" t="inlineStr">
        <is>
          <t>A 8181-2020</t>
        </is>
      </c>
      <c r="B171" s="1" t="n">
        <v>43874</v>
      </c>
      <c r="C171" s="1" t="n">
        <v>45780</v>
      </c>
      <c r="D171" t="inlineStr">
        <is>
          <t>DALARNAS LÄN</t>
        </is>
      </c>
      <c r="E171" t="inlineStr">
        <is>
          <t>HEDEMORA</t>
        </is>
      </c>
      <c r="G171" t="n">
        <v>2.4</v>
      </c>
      <c r="H171" t="n">
        <v>0</v>
      </c>
      <c r="I171" t="n">
        <v>0</v>
      </c>
      <c r="J171" t="n">
        <v>0</v>
      </c>
      <c r="K171" t="n">
        <v>0</v>
      </c>
      <c r="L171" t="n">
        <v>0</v>
      </c>
      <c r="M171" t="n">
        <v>0</v>
      </c>
      <c r="N171" t="n">
        <v>0</v>
      </c>
      <c r="O171" t="n">
        <v>0</v>
      </c>
      <c r="P171" t="n">
        <v>0</v>
      </c>
      <c r="Q171" t="n">
        <v>0</v>
      </c>
      <c r="R171" s="2" t="inlineStr"/>
    </row>
    <row r="172" ht="15" customHeight="1">
      <c r="A172" t="inlineStr">
        <is>
          <t>A 8489-2020</t>
        </is>
      </c>
      <c r="B172" s="1" t="n">
        <v>43875</v>
      </c>
      <c r="C172" s="1" t="n">
        <v>45780</v>
      </c>
      <c r="D172" t="inlineStr">
        <is>
          <t>DALARNAS LÄN</t>
        </is>
      </c>
      <c r="E172" t="inlineStr">
        <is>
          <t>HEDEMORA</t>
        </is>
      </c>
      <c r="G172" t="n">
        <v>0.5</v>
      </c>
      <c r="H172" t="n">
        <v>0</v>
      </c>
      <c r="I172" t="n">
        <v>0</v>
      </c>
      <c r="J172" t="n">
        <v>0</v>
      </c>
      <c r="K172" t="n">
        <v>0</v>
      </c>
      <c r="L172" t="n">
        <v>0</v>
      </c>
      <c r="M172" t="n">
        <v>0</v>
      </c>
      <c r="N172" t="n">
        <v>0</v>
      </c>
      <c r="O172" t="n">
        <v>0</v>
      </c>
      <c r="P172" t="n">
        <v>0</v>
      </c>
      <c r="Q172" t="n">
        <v>0</v>
      </c>
      <c r="R172" s="2" t="inlineStr"/>
    </row>
    <row r="173" ht="15" customHeight="1">
      <c r="A173" t="inlineStr">
        <is>
          <t>A 9042-2020</t>
        </is>
      </c>
      <c r="B173" s="1" t="n">
        <v>43879</v>
      </c>
      <c r="C173" s="1" t="n">
        <v>45780</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9054-2020</t>
        </is>
      </c>
      <c r="B174" s="1" t="n">
        <v>43879</v>
      </c>
      <c r="C174" s="1" t="n">
        <v>45780</v>
      </c>
      <c r="D174" t="inlineStr">
        <is>
          <t>DALARNAS LÄN</t>
        </is>
      </c>
      <c r="E174" t="inlineStr">
        <is>
          <t>HEDEMORA</t>
        </is>
      </c>
      <c r="G174" t="n">
        <v>1.1</v>
      </c>
      <c r="H174" t="n">
        <v>0</v>
      </c>
      <c r="I174" t="n">
        <v>0</v>
      </c>
      <c r="J174" t="n">
        <v>0</v>
      </c>
      <c r="K174" t="n">
        <v>0</v>
      </c>
      <c r="L174" t="n">
        <v>0</v>
      </c>
      <c r="M174" t="n">
        <v>0</v>
      </c>
      <c r="N174" t="n">
        <v>0</v>
      </c>
      <c r="O174" t="n">
        <v>0</v>
      </c>
      <c r="P174" t="n">
        <v>0</v>
      </c>
      <c r="Q174" t="n">
        <v>0</v>
      </c>
      <c r="R174" s="2" t="inlineStr"/>
    </row>
    <row r="175" ht="15" customHeight="1">
      <c r="A175" t="inlineStr">
        <is>
          <t>A 9491-2020</t>
        </is>
      </c>
      <c r="B175" s="1" t="n">
        <v>43880</v>
      </c>
      <c r="C175" s="1" t="n">
        <v>45780</v>
      </c>
      <c r="D175" t="inlineStr">
        <is>
          <t>DALARNAS LÄN</t>
        </is>
      </c>
      <c r="E175" t="inlineStr">
        <is>
          <t>HEDEMORA</t>
        </is>
      </c>
      <c r="G175" t="n">
        <v>1.9</v>
      </c>
      <c r="H175" t="n">
        <v>0</v>
      </c>
      <c r="I175" t="n">
        <v>0</v>
      </c>
      <c r="J175" t="n">
        <v>0</v>
      </c>
      <c r="K175" t="n">
        <v>0</v>
      </c>
      <c r="L175" t="n">
        <v>0</v>
      </c>
      <c r="M175" t="n">
        <v>0</v>
      </c>
      <c r="N175" t="n">
        <v>0</v>
      </c>
      <c r="O175" t="n">
        <v>0</v>
      </c>
      <c r="P175" t="n">
        <v>0</v>
      </c>
      <c r="Q175" t="n">
        <v>0</v>
      </c>
      <c r="R175" s="2" t="inlineStr"/>
    </row>
    <row r="176" ht="15" customHeight="1">
      <c r="A176" t="inlineStr">
        <is>
          <t>A 9714-2020</t>
        </is>
      </c>
      <c r="B176" s="1" t="n">
        <v>43881</v>
      </c>
      <c r="C176" s="1" t="n">
        <v>45780</v>
      </c>
      <c r="D176" t="inlineStr">
        <is>
          <t>DALARNAS LÄN</t>
        </is>
      </c>
      <c r="E176" t="inlineStr">
        <is>
          <t>HEDEMORA</t>
        </is>
      </c>
      <c r="G176" t="n">
        <v>0.6</v>
      </c>
      <c r="H176" t="n">
        <v>0</v>
      </c>
      <c r="I176" t="n">
        <v>0</v>
      </c>
      <c r="J176" t="n">
        <v>0</v>
      </c>
      <c r="K176" t="n">
        <v>0</v>
      </c>
      <c r="L176" t="n">
        <v>0</v>
      </c>
      <c r="M176" t="n">
        <v>0</v>
      </c>
      <c r="N176" t="n">
        <v>0</v>
      </c>
      <c r="O176" t="n">
        <v>0</v>
      </c>
      <c r="P176" t="n">
        <v>0</v>
      </c>
      <c r="Q176" t="n">
        <v>0</v>
      </c>
      <c r="R176" s="2" t="inlineStr"/>
    </row>
    <row r="177" ht="15" customHeight="1">
      <c r="A177" t="inlineStr">
        <is>
          <t>A 10507-2020</t>
        </is>
      </c>
      <c r="B177" s="1" t="n">
        <v>43886</v>
      </c>
      <c r="C177" s="1" t="n">
        <v>45780</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11894-2020</t>
        </is>
      </c>
      <c r="B178" s="1" t="n">
        <v>43894</v>
      </c>
      <c r="C178" s="1" t="n">
        <v>45780</v>
      </c>
      <c r="D178" t="inlineStr">
        <is>
          <t>DALARNAS LÄN</t>
        </is>
      </c>
      <c r="E178" t="inlineStr">
        <is>
          <t>HEDEMORA</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13872-2020</t>
        </is>
      </c>
      <c r="B179" s="1" t="n">
        <v>43906</v>
      </c>
      <c r="C179" s="1" t="n">
        <v>45780</v>
      </c>
      <c r="D179" t="inlineStr">
        <is>
          <t>DALARNAS LÄN</t>
        </is>
      </c>
      <c r="E179" t="inlineStr">
        <is>
          <t>HEDEMORA</t>
        </is>
      </c>
      <c r="F179" t="inlineStr">
        <is>
          <t>Övriga Aktiebolag</t>
        </is>
      </c>
      <c r="G179" t="n">
        <v>5.4</v>
      </c>
      <c r="H179" t="n">
        <v>0</v>
      </c>
      <c r="I179" t="n">
        <v>0</v>
      </c>
      <c r="J179" t="n">
        <v>0</v>
      </c>
      <c r="K179" t="n">
        <v>0</v>
      </c>
      <c r="L179" t="n">
        <v>0</v>
      </c>
      <c r="M179" t="n">
        <v>0</v>
      </c>
      <c r="N179" t="n">
        <v>0</v>
      </c>
      <c r="O179" t="n">
        <v>0</v>
      </c>
      <c r="P179" t="n">
        <v>0</v>
      </c>
      <c r="Q179" t="n">
        <v>0</v>
      </c>
      <c r="R179" s="2" t="inlineStr"/>
    </row>
    <row r="180" ht="15" customHeight="1">
      <c r="A180" t="inlineStr">
        <is>
          <t>A 14117-2020</t>
        </is>
      </c>
      <c r="B180" s="1" t="n">
        <v>43907</v>
      </c>
      <c r="C180" s="1" t="n">
        <v>45780</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14554-2020</t>
        </is>
      </c>
      <c r="B181" s="1" t="n">
        <v>43908</v>
      </c>
      <c r="C181" s="1" t="n">
        <v>45780</v>
      </c>
      <c r="D181" t="inlineStr">
        <is>
          <t>DALARNAS LÄN</t>
        </is>
      </c>
      <c r="E181" t="inlineStr">
        <is>
          <t>HEDEMORA</t>
        </is>
      </c>
      <c r="G181" t="n">
        <v>0.8</v>
      </c>
      <c r="H181" t="n">
        <v>0</v>
      </c>
      <c r="I181" t="n">
        <v>0</v>
      </c>
      <c r="J181" t="n">
        <v>0</v>
      </c>
      <c r="K181" t="n">
        <v>0</v>
      </c>
      <c r="L181" t="n">
        <v>0</v>
      </c>
      <c r="M181" t="n">
        <v>0</v>
      </c>
      <c r="N181" t="n">
        <v>0</v>
      </c>
      <c r="O181" t="n">
        <v>0</v>
      </c>
      <c r="P181" t="n">
        <v>0</v>
      </c>
      <c r="Q181" t="n">
        <v>0</v>
      </c>
      <c r="R181" s="2" t="inlineStr"/>
      <c r="U181">
        <f>HYPERLINK("https://klasma.github.io/Logging_2083/knärot/A 14554-2020 karta knärot.png", "A 14554-2020")</f>
        <v/>
      </c>
      <c r="V181">
        <f>HYPERLINK("https://klasma.github.io/Logging_2083/klagomål/A 14554-2020 FSC-klagomål.docx", "A 14554-2020")</f>
        <v/>
      </c>
      <c r="W181">
        <f>HYPERLINK("https://klasma.github.io/Logging_2083/klagomålsmail/A 14554-2020 FSC-klagomål mail.docx", "A 14554-2020")</f>
        <v/>
      </c>
      <c r="X181">
        <f>HYPERLINK("https://klasma.github.io/Logging_2083/tillsyn/A 14554-2020 tillsynsbegäran.docx", "A 14554-2020")</f>
        <v/>
      </c>
      <c r="Y181">
        <f>HYPERLINK("https://klasma.github.io/Logging_2083/tillsynsmail/A 14554-2020 tillsynsbegäran mail.docx", "A 14554-2020")</f>
        <v/>
      </c>
    </row>
    <row r="182" ht="15" customHeight="1">
      <c r="A182" t="inlineStr">
        <is>
          <t>A 16641-2020</t>
        </is>
      </c>
      <c r="B182" s="1" t="n">
        <v>43910</v>
      </c>
      <c r="C182" s="1" t="n">
        <v>45780</v>
      </c>
      <c r="D182" t="inlineStr">
        <is>
          <t>DALARNAS LÄN</t>
        </is>
      </c>
      <c r="E182" t="inlineStr">
        <is>
          <t>HEDEMORA</t>
        </is>
      </c>
      <c r="G182" t="n">
        <v>3.3</v>
      </c>
      <c r="H182" t="n">
        <v>0</v>
      </c>
      <c r="I182" t="n">
        <v>0</v>
      </c>
      <c r="J182" t="n">
        <v>0</v>
      </c>
      <c r="K182" t="n">
        <v>0</v>
      </c>
      <c r="L182" t="n">
        <v>0</v>
      </c>
      <c r="M182" t="n">
        <v>0</v>
      </c>
      <c r="N182" t="n">
        <v>0</v>
      </c>
      <c r="O182" t="n">
        <v>0</v>
      </c>
      <c r="P182" t="n">
        <v>0</v>
      </c>
      <c r="Q182" t="n">
        <v>0</v>
      </c>
      <c r="R182" s="2" t="inlineStr"/>
    </row>
    <row r="183" ht="15" customHeight="1">
      <c r="A183" t="inlineStr">
        <is>
          <t>A 17585-2020</t>
        </is>
      </c>
      <c r="B183" s="1" t="n">
        <v>43923</v>
      </c>
      <c r="C183" s="1" t="n">
        <v>45780</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18955-2020</t>
        </is>
      </c>
      <c r="B184" s="1" t="n">
        <v>43935</v>
      </c>
      <c r="C184" s="1" t="n">
        <v>45780</v>
      </c>
      <c r="D184" t="inlineStr">
        <is>
          <t>DALARNAS LÄN</t>
        </is>
      </c>
      <c r="E184" t="inlineStr">
        <is>
          <t>HEDEMORA</t>
        </is>
      </c>
      <c r="G184" t="n">
        <v>1.4</v>
      </c>
      <c r="H184" t="n">
        <v>0</v>
      </c>
      <c r="I184" t="n">
        <v>0</v>
      </c>
      <c r="J184" t="n">
        <v>0</v>
      </c>
      <c r="K184" t="n">
        <v>0</v>
      </c>
      <c r="L184" t="n">
        <v>0</v>
      </c>
      <c r="M184" t="n">
        <v>0</v>
      </c>
      <c r="N184" t="n">
        <v>0</v>
      </c>
      <c r="O184" t="n">
        <v>0</v>
      </c>
      <c r="P184" t="n">
        <v>0</v>
      </c>
      <c r="Q184" t="n">
        <v>0</v>
      </c>
      <c r="R184" s="2" t="inlineStr"/>
    </row>
    <row r="185" ht="15" customHeight="1">
      <c r="A185" t="inlineStr">
        <is>
          <t>A 18824-2020</t>
        </is>
      </c>
      <c r="B185" s="1" t="n">
        <v>43935</v>
      </c>
      <c r="C185" s="1" t="n">
        <v>45780</v>
      </c>
      <c r="D185" t="inlineStr">
        <is>
          <t>DALARNAS LÄN</t>
        </is>
      </c>
      <c r="E185" t="inlineStr">
        <is>
          <t>HEDEMORA</t>
        </is>
      </c>
      <c r="F185" t="inlineStr">
        <is>
          <t>Sveaskog</t>
        </is>
      </c>
      <c r="G185" t="n">
        <v>22.7</v>
      </c>
      <c r="H185" t="n">
        <v>0</v>
      </c>
      <c r="I185" t="n">
        <v>0</v>
      </c>
      <c r="J185" t="n">
        <v>0</v>
      </c>
      <c r="K185" t="n">
        <v>0</v>
      </c>
      <c r="L185" t="n">
        <v>0</v>
      </c>
      <c r="M185" t="n">
        <v>0</v>
      </c>
      <c r="N185" t="n">
        <v>0</v>
      </c>
      <c r="O185" t="n">
        <v>0</v>
      </c>
      <c r="P185" t="n">
        <v>0</v>
      </c>
      <c r="Q185" t="n">
        <v>0</v>
      </c>
      <c r="R185" s="2" t="inlineStr"/>
    </row>
    <row r="186" ht="15" customHeight="1">
      <c r="A186" t="inlineStr">
        <is>
          <t>A 20804-2020</t>
        </is>
      </c>
      <c r="B186" s="1" t="n">
        <v>43949</v>
      </c>
      <c r="C186" s="1" t="n">
        <v>45780</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21254-2020</t>
        </is>
      </c>
      <c r="B187" s="1" t="n">
        <v>43955</v>
      </c>
      <c r="C187" s="1" t="n">
        <v>45780</v>
      </c>
      <c r="D187" t="inlineStr">
        <is>
          <t>DALARNAS LÄN</t>
        </is>
      </c>
      <c r="E187" t="inlineStr">
        <is>
          <t>HEDEMORA</t>
        </is>
      </c>
      <c r="F187" t="inlineStr">
        <is>
          <t>Sveaskog</t>
        </is>
      </c>
      <c r="G187" t="n">
        <v>8.4</v>
      </c>
      <c r="H187" t="n">
        <v>0</v>
      </c>
      <c r="I187" t="n">
        <v>0</v>
      </c>
      <c r="J187" t="n">
        <v>0</v>
      </c>
      <c r="K187" t="n">
        <v>0</v>
      </c>
      <c r="L187" t="n">
        <v>0</v>
      </c>
      <c r="M187" t="n">
        <v>0</v>
      </c>
      <c r="N187" t="n">
        <v>0</v>
      </c>
      <c r="O187" t="n">
        <v>0</v>
      </c>
      <c r="P187" t="n">
        <v>0</v>
      </c>
      <c r="Q187" t="n">
        <v>0</v>
      </c>
      <c r="R187" s="2" t="inlineStr"/>
    </row>
    <row r="188" ht="15" customHeight="1">
      <c r="A188" t="inlineStr">
        <is>
          <t>A 21252-2020</t>
        </is>
      </c>
      <c r="B188" s="1" t="n">
        <v>43955</v>
      </c>
      <c r="C188" s="1" t="n">
        <v>45780</v>
      </c>
      <c r="D188" t="inlineStr">
        <is>
          <t>DALARNAS LÄN</t>
        </is>
      </c>
      <c r="E188" t="inlineStr">
        <is>
          <t>HEDEMORA</t>
        </is>
      </c>
      <c r="F188" t="inlineStr">
        <is>
          <t>Sveaskog</t>
        </is>
      </c>
      <c r="G188" t="n">
        <v>4.8</v>
      </c>
      <c r="H188" t="n">
        <v>0</v>
      </c>
      <c r="I188" t="n">
        <v>0</v>
      </c>
      <c r="J188" t="n">
        <v>0</v>
      </c>
      <c r="K188" t="n">
        <v>0</v>
      </c>
      <c r="L188" t="n">
        <v>0</v>
      </c>
      <c r="M188" t="n">
        <v>0</v>
      </c>
      <c r="N188" t="n">
        <v>0</v>
      </c>
      <c r="O188" t="n">
        <v>0</v>
      </c>
      <c r="P188" t="n">
        <v>0</v>
      </c>
      <c r="Q188" t="n">
        <v>0</v>
      </c>
      <c r="R188" s="2" t="inlineStr"/>
    </row>
    <row r="189" ht="15" customHeight="1">
      <c r="A189" t="inlineStr">
        <is>
          <t>A 21458-2020</t>
        </is>
      </c>
      <c r="B189" s="1" t="n">
        <v>43956</v>
      </c>
      <c r="C189" s="1" t="n">
        <v>45780</v>
      </c>
      <c r="D189" t="inlineStr">
        <is>
          <t>DALARNAS LÄN</t>
        </is>
      </c>
      <c r="E189" t="inlineStr">
        <is>
          <t>HEDEMORA</t>
        </is>
      </c>
      <c r="G189" t="n">
        <v>3.4</v>
      </c>
      <c r="H189" t="n">
        <v>0</v>
      </c>
      <c r="I189" t="n">
        <v>0</v>
      </c>
      <c r="J189" t="n">
        <v>0</v>
      </c>
      <c r="K189" t="n">
        <v>0</v>
      </c>
      <c r="L189" t="n">
        <v>0</v>
      </c>
      <c r="M189" t="n">
        <v>0</v>
      </c>
      <c r="N189" t="n">
        <v>0</v>
      </c>
      <c r="O189" t="n">
        <v>0</v>
      </c>
      <c r="P189" t="n">
        <v>0</v>
      </c>
      <c r="Q189" t="n">
        <v>0</v>
      </c>
      <c r="R189" s="2" t="inlineStr"/>
    </row>
    <row r="190" ht="15" customHeight="1">
      <c r="A190" t="inlineStr">
        <is>
          <t>A 22374-2020</t>
        </is>
      </c>
      <c r="B190" s="1" t="n">
        <v>43962</v>
      </c>
      <c r="C190" s="1" t="n">
        <v>45780</v>
      </c>
      <c r="D190" t="inlineStr">
        <is>
          <t>DALARNAS LÄN</t>
        </is>
      </c>
      <c r="E190" t="inlineStr">
        <is>
          <t>HEDEMORA</t>
        </is>
      </c>
      <c r="F190" t="inlineStr">
        <is>
          <t>Kommuner</t>
        </is>
      </c>
      <c r="G190" t="n">
        <v>9.1</v>
      </c>
      <c r="H190" t="n">
        <v>0</v>
      </c>
      <c r="I190" t="n">
        <v>0</v>
      </c>
      <c r="J190" t="n">
        <v>0</v>
      </c>
      <c r="K190" t="n">
        <v>0</v>
      </c>
      <c r="L190" t="n">
        <v>0</v>
      </c>
      <c r="M190" t="n">
        <v>0</v>
      </c>
      <c r="N190" t="n">
        <v>0</v>
      </c>
      <c r="O190" t="n">
        <v>0</v>
      </c>
      <c r="P190" t="n">
        <v>0</v>
      </c>
      <c r="Q190" t="n">
        <v>0</v>
      </c>
      <c r="R190" s="2" t="inlineStr"/>
    </row>
    <row r="191" ht="15" customHeight="1">
      <c r="A191" t="inlineStr">
        <is>
          <t>A 23402-2020</t>
        </is>
      </c>
      <c r="B191" s="1" t="n">
        <v>43968</v>
      </c>
      <c r="C191" s="1" t="n">
        <v>45780</v>
      </c>
      <c r="D191" t="inlineStr">
        <is>
          <t>DALARNAS LÄN</t>
        </is>
      </c>
      <c r="E191" t="inlineStr">
        <is>
          <t>HEDEMORA</t>
        </is>
      </c>
      <c r="G191" t="n">
        <v>2.9</v>
      </c>
      <c r="H191" t="n">
        <v>0</v>
      </c>
      <c r="I191" t="n">
        <v>0</v>
      </c>
      <c r="J191" t="n">
        <v>0</v>
      </c>
      <c r="K191" t="n">
        <v>0</v>
      </c>
      <c r="L191" t="n">
        <v>0</v>
      </c>
      <c r="M191" t="n">
        <v>0</v>
      </c>
      <c r="N191" t="n">
        <v>0</v>
      </c>
      <c r="O191" t="n">
        <v>0</v>
      </c>
      <c r="P191" t="n">
        <v>0</v>
      </c>
      <c r="Q191" t="n">
        <v>0</v>
      </c>
      <c r="R191" s="2" t="inlineStr"/>
    </row>
    <row r="192" ht="15" customHeight="1">
      <c r="A192" t="inlineStr">
        <is>
          <t>A 23401-2020</t>
        </is>
      </c>
      <c r="B192" s="1" t="n">
        <v>43968</v>
      </c>
      <c r="C192" s="1" t="n">
        <v>45780</v>
      </c>
      <c r="D192" t="inlineStr">
        <is>
          <t>DALARNAS LÄN</t>
        </is>
      </c>
      <c r="E192" t="inlineStr">
        <is>
          <t>HEDEMORA</t>
        </is>
      </c>
      <c r="G192" t="n">
        <v>2.5</v>
      </c>
      <c r="H192" t="n">
        <v>0</v>
      </c>
      <c r="I192" t="n">
        <v>0</v>
      </c>
      <c r="J192" t="n">
        <v>0</v>
      </c>
      <c r="K192" t="n">
        <v>0</v>
      </c>
      <c r="L192" t="n">
        <v>0</v>
      </c>
      <c r="M192" t="n">
        <v>0</v>
      </c>
      <c r="N192" t="n">
        <v>0</v>
      </c>
      <c r="O192" t="n">
        <v>0</v>
      </c>
      <c r="P192" t="n">
        <v>0</v>
      </c>
      <c r="Q192" t="n">
        <v>0</v>
      </c>
      <c r="R192" s="2" t="inlineStr"/>
    </row>
    <row r="193" ht="15" customHeight="1">
      <c r="A193" t="inlineStr">
        <is>
          <t>A 23872-2020</t>
        </is>
      </c>
      <c r="B193" s="1" t="n">
        <v>43971</v>
      </c>
      <c r="C193" s="1" t="n">
        <v>45780</v>
      </c>
      <c r="D193" t="inlineStr">
        <is>
          <t>DALARNAS LÄN</t>
        </is>
      </c>
      <c r="E193" t="inlineStr">
        <is>
          <t>HEDEMORA</t>
        </is>
      </c>
      <c r="G193" t="n">
        <v>3.5</v>
      </c>
      <c r="H193" t="n">
        <v>0</v>
      </c>
      <c r="I193" t="n">
        <v>0</v>
      </c>
      <c r="J193" t="n">
        <v>0</v>
      </c>
      <c r="K193" t="n">
        <v>0</v>
      </c>
      <c r="L193" t="n">
        <v>0</v>
      </c>
      <c r="M193" t="n">
        <v>0</v>
      </c>
      <c r="N193" t="n">
        <v>0</v>
      </c>
      <c r="O193" t="n">
        <v>0</v>
      </c>
      <c r="P193" t="n">
        <v>0</v>
      </c>
      <c r="Q193" t="n">
        <v>0</v>
      </c>
      <c r="R193" s="2" t="inlineStr"/>
    </row>
    <row r="194" ht="15" customHeight="1">
      <c r="A194" t="inlineStr">
        <is>
          <t>A 25623-2020</t>
        </is>
      </c>
      <c r="B194" s="1" t="n">
        <v>43983</v>
      </c>
      <c r="C194" s="1" t="n">
        <v>45780</v>
      </c>
      <c r="D194" t="inlineStr">
        <is>
          <t>DALARNAS LÄN</t>
        </is>
      </c>
      <c r="E194" t="inlineStr">
        <is>
          <t>HEDEMORA</t>
        </is>
      </c>
      <c r="G194" t="n">
        <v>1.5</v>
      </c>
      <c r="H194" t="n">
        <v>0</v>
      </c>
      <c r="I194" t="n">
        <v>0</v>
      </c>
      <c r="J194" t="n">
        <v>0</v>
      </c>
      <c r="K194" t="n">
        <v>0</v>
      </c>
      <c r="L194" t="n">
        <v>0</v>
      </c>
      <c r="M194" t="n">
        <v>0</v>
      </c>
      <c r="N194" t="n">
        <v>0</v>
      </c>
      <c r="O194" t="n">
        <v>0</v>
      </c>
      <c r="P194" t="n">
        <v>0</v>
      </c>
      <c r="Q194" t="n">
        <v>0</v>
      </c>
      <c r="R194" s="2" t="inlineStr"/>
    </row>
    <row r="195" ht="15" customHeight="1">
      <c r="A195" t="inlineStr">
        <is>
          <t>A 25657-2020</t>
        </is>
      </c>
      <c r="B195" s="1" t="n">
        <v>43983</v>
      </c>
      <c r="C195" s="1" t="n">
        <v>45780</v>
      </c>
      <c r="D195" t="inlineStr">
        <is>
          <t>DALARNAS LÄN</t>
        </is>
      </c>
      <c r="E195" t="inlineStr">
        <is>
          <t>HEDEMORA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27050-2020</t>
        </is>
      </c>
      <c r="B196" s="1" t="n">
        <v>43991</v>
      </c>
      <c r="C196" s="1" t="n">
        <v>45780</v>
      </c>
      <c r="D196" t="inlineStr">
        <is>
          <t>DALARNAS LÄN</t>
        </is>
      </c>
      <c r="E196" t="inlineStr">
        <is>
          <t>HEDEMORA</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27076-2020</t>
        </is>
      </c>
      <c r="B197" s="1" t="n">
        <v>43991</v>
      </c>
      <c r="C197" s="1" t="n">
        <v>45780</v>
      </c>
      <c r="D197" t="inlineStr">
        <is>
          <t>DALARNAS LÄN</t>
        </is>
      </c>
      <c r="E197" t="inlineStr">
        <is>
          <t>HEDEMORA</t>
        </is>
      </c>
      <c r="F197" t="inlineStr">
        <is>
          <t>Övriga Aktiebolag</t>
        </is>
      </c>
      <c r="G197" t="n">
        <v>10.4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45780</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45780</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45780</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45780</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45780</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45780</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45780</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45780</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45780</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45780</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45780</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45780</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45780</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45780</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45780</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45780</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45780</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45780</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45780</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45780</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45780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45780</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45780</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45780</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45780</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45780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45780</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45780</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45780</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45780</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45780</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45780</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45780</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45780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45780</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45780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45780</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45780</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45780</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45780</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45780</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45780</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45780</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45780</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45780</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45780</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45780</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45780</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45780</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45780</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45780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45780</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45780</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45780</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45780</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45780</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45780</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45780</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45780</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45780</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45780</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45780</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45780</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45780</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45780</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45780</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45780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45780</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45780</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45780</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45780</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45780</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45780</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45780</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45780</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45780</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45780</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45780</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45780</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45780</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45780</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45780</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45780</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45780</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45780</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45780</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45780</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45780</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45780</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45780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45780</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45780</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45780</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45780</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45780</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45780</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45780</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45780</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45780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45780</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45780</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45780</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45780</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45780</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45780</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45780</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45780</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45780</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45780</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45780</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45780</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45780</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45780</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45780</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45780</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45780</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45780</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45780</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45780</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45780</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45780</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45780</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45780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45780</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45780</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45780</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45780</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45780</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45780</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45780</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45780</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45780</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45780</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45780</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45780</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45780</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45780</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45780</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45780</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45780</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45780</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45780</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45780</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45780</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45780</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45780</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45780</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45780</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45780</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45780</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45780</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45780</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45780</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45780</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45780</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49890-2022</t>
        </is>
      </c>
      <c r="B353" s="1" t="n">
        <v>44864</v>
      </c>
      <c r="C353" s="1" t="n">
        <v>45780</v>
      </c>
      <c r="D353" t="inlineStr">
        <is>
          <t>DALARNAS LÄN</t>
        </is>
      </c>
      <c r="E353" t="inlineStr">
        <is>
          <t>HEDEMORA</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51181-2022</t>
        </is>
      </c>
      <c r="B354" s="1" t="n">
        <v>44868</v>
      </c>
      <c r="C354" s="1" t="n">
        <v>45780</v>
      </c>
      <c r="D354" t="inlineStr">
        <is>
          <t>DALARNAS LÄN</t>
        </is>
      </c>
      <c r="E354" t="inlineStr">
        <is>
          <t>HEDEMORA</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51167-2022</t>
        </is>
      </c>
      <c r="B355" s="1" t="n">
        <v>44868</v>
      </c>
      <c r="C355" s="1" t="n">
        <v>45780</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51520-2022</t>
        </is>
      </c>
      <c r="B356" s="1" t="n">
        <v>44869</v>
      </c>
      <c r="C356" s="1" t="n">
        <v>45780</v>
      </c>
      <c r="D356" t="inlineStr">
        <is>
          <t>DALARNAS LÄN</t>
        </is>
      </c>
      <c r="E356" t="inlineStr">
        <is>
          <t>HEDEMORA</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52822-2022</t>
        </is>
      </c>
      <c r="B357" s="1" t="n">
        <v>44875</v>
      </c>
      <c r="C357" s="1" t="n">
        <v>45780</v>
      </c>
      <c r="D357" t="inlineStr">
        <is>
          <t>DALARNAS LÄN</t>
        </is>
      </c>
      <c r="E357" t="inlineStr">
        <is>
          <t>HEDEMORA</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53875-2022</t>
        </is>
      </c>
      <c r="B358" s="1" t="n">
        <v>44880</v>
      </c>
      <c r="C358" s="1" t="n">
        <v>45780</v>
      </c>
      <c r="D358" t="inlineStr">
        <is>
          <t>DALARNAS LÄN</t>
        </is>
      </c>
      <c r="E358" t="inlineStr">
        <is>
          <t>HEDEMORA</t>
        </is>
      </c>
      <c r="F358" t="inlineStr">
        <is>
          <t>Bergvik skog väst AB</t>
        </is>
      </c>
      <c r="G358" t="n">
        <v>6.8</v>
      </c>
      <c r="H358" t="n">
        <v>0</v>
      </c>
      <c r="I358" t="n">
        <v>0</v>
      </c>
      <c r="J358" t="n">
        <v>0</v>
      </c>
      <c r="K358" t="n">
        <v>0</v>
      </c>
      <c r="L358" t="n">
        <v>0</v>
      </c>
      <c r="M358" t="n">
        <v>0</v>
      </c>
      <c r="N358" t="n">
        <v>0</v>
      </c>
      <c r="O358" t="n">
        <v>0</v>
      </c>
      <c r="P358" t="n">
        <v>0</v>
      </c>
      <c r="Q358" t="n">
        <v>0</v>
      </c>
      <c r="R358" s="2" t="inlineStr"/>
    </row>
    <row r="359" ht="15" customHeight="1">
      <c r="A359" t="inlineStr">
        <is>
          <t>A 53894-2022</t>
        </is>
      </c>
      <c r="B359" s="1" t="n">
        <v>44880</v>
      </c>
      <c r="C359" s="1" t="n">
        <v>45780</v>
      </c>
      <c r="D359" t="inlineStr">
        <is>
          <t>DALARNAS LÄN</t>
        </is>
      </c>
      <c r="E359" t="inlineStr">
        <is>
          <t>HEDEMORA</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53896-2022</t>
        </is>
      </c>
      <c r="B360" s="1" t="n">
        <v>44880</v>
      </c>
      <c r="C360" s="1" t="n">
        <v>45780</v>
      </c>
      <c r="D360" t="inlineStr">
        <is>
          <t>DALARNAS LÄN</t>
        </is>
      </c>
      <c r="E360" t="inlineStr">
        <is>
          <t>HEDEMORA</t>
        </is>
      </c>
      <c r="F360" t="inlineStr">
        <is>
          <t>Sveaskog</t>
        </is>
      </c>
      <c r="G360" t="n">
        <v>2.7</v>
      </c>
      <c r="H360" t="n">
        <v>0</v>
      </c>
      <c r="I360" t="n">
        <v>0</v>
      </c>
      <c r="J360" t="n">
        <v>0</v>
      </c>
      <c r="K360" t="n">
        <v>0</v>
      </c>
      <c r="L360" t="n">
        <v>0</v>
      </c>
      <c r="M360" t="n">
        <v>0</v>
      </c>
      <c r="N360" t="n">
        <v>0</v>
      </c>
      <c r="O360" t="n">
        <v>0</v>
      </c>
      <c r="P360" t="n">
        <v>0</v>
      </c>
      <c r="Q360" t="n">
        <v>0</v>
      </c>
      <c r="R360" s="2" t="inlineStr"/>
    </row>
    <row r="361" ht="15" customHeight="1">
      <c r="A361" t="inlineStr">
        <is>
          <t>A 53895-2022</t>
        </is>
      </c>
      <c r="B361" s="1" t="n">
        <v>44880</v>
      </c>
      <c r="C361" s="1" t="n">
        <v>45780</v>
      </c>
      <c r="D361" t="inlineStr">
        <is>
          <t>DALARNAS LÄN</t>
        </is>
      </c>
      <c r="E361" t="inlineStr">
        <is>
          <t>HEDEMORA</t>
        </is>
      </c>
      <c r="F361" t="inlineStr">
        <is>
          <t>Sveaskog</t>
        </is>
      </c>
      <c r="G361" t="n">
        <v>4.6</v>
      </c>
      <c r="H361" t="n">
        <v>0</v>
      </c>
      <c r="I361" t="n">
        <v>0</v>
      </c>
      <c r="J361" t="n">
        <v>0</v>
      </c>
      <c r="K361" t="n">
        <v>0</v>
      </c>
      <c r="L361" t="n">
        <v>0</v>
      </c>
      <c r="M361" t="n">
        <v>0</v>
      </c>
      <c r="N361" t="n">
        <v>0</v>
      </c>
      <c r="O361" t="n">
        <v>0</v>
      </c>
      <c r="P361" t="n">
        <v>0</v>
      </c>
      <c r="Q361" t="n">
        <v>0</v>
      </c>
      <c r="R361" s="2" t="inlineStr"/>
    </row>
    <row r="362" ht="15" customHeight="1">
      <c r="A362" t="inlineStr">
        <is>
          <t>A 54198-2022</t>
        </is>
      </c>
      <c r="B362" s="1" t="n">
        <v>44881</v>
      </c>
      <c r="C362" s="1" t="n">
        <v>45780</v>
      </c>
      <c r="D362" t="inlineStr">
        <is>
          <t>DALARNAS LÄN</t>
        </is>
      </c>
      <c r="E362" t="inlineStr">
        <is>
          <t>HEDEMORA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55143-2022</t>
        </is>
      </c>
      <c r="B363" s="1" t="n">
        <v>44886</v>
      </c>
      <c r="C363" s="1" t="n">
        <v>45780</v>
      </c>
      <c r="D363" t="inlineStr">
        <is>
          <t>DALARNAS LÄN</t>
        </is>
      </c>
      <c r="E363" t="inlineStr">
        <is>
          <t>HEDEMORA</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55145-2022</t>
        </is>
      </c>
      <c r="B364" s="1" t="n">
        <v>44886</v>
      </c>
      <c r="C364" s="1" t="n">
        <v>45780</v>
      </c>
      <c r="D364" t="inlineStr">
        <is>
          <t>DALARNAS LÄN</t>
        </is>
      </c>
      <c r="E364" t="inlineStr">
        <is>
          <t>HEDEMORA</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55142-2022</t>
        </is>
      </c>
      <c r="B365" s="1" t="n">
        <v>44886</v>
      </c>
      <c r="C365" s="1" t="n">
        <v>45780</v>
      </c>
      <c r="D365" t="inlineStr">
        <is>
          <t>DALARNAS LÄN</t>
        </is>
      </c>
      <c r="E365" t="inlineStr">
        <is>
          <t>HEDEMORA</t>
        </is>
      </c>
      <c r="F365" t="inlineStr">
        <is>
          <t>Sveaskog</t>
        </is>
      </c>
      <c r="G365" t="n">
        <v>6.4</v>
      </c>
      <c r="H365" t="n">
        <v>0</v>
      </c>
      <c r="I365" t="n">
        <v>0</v>
      </c>
      <c r="J365" t="n">
        <v>0</v>
      </c>
      <c r="K365" t="n">
        <v>0</v>
      </c>
      <c r="L365" t="n">
        <v>0</v>
      </c>
      <c r="M365" t="n">
        <v>0</v>
      </c>
      <c r="N365" t="n">
        <v>0</v>
      </c>
      <c r="O365" t="n">
        <v>0</v>
      </c>
      <c r="P365" t="n">
        <v>0</v>
      </c>
      <c r="Q365" t="n">
        <v>0</v>
      </c>
      <c r="R365" s="2" t="inlineStr"/>
    </row>
    <row r="366" ht="15" customHeight="1">
      <c r="A366" t="inlineStr">
        <is>
          <t>A 57143-2022</t>
        </is>
      </c>
      <c r="B366" s="1" t="n">
        <v>44895</v>
      </c>
      <c r="C366" s="1" t="n">
        <v>45780</v>
      </c>
      <c r="D366" t="inlineStr">
        <is>
          <t>DALARNAS LÄN</t>
        </is>
      </c>
      <c r="E366" t="inlineStr">
        <is>
          <t>HEDEMORA</t>
        </is>
      </c>
      <c r="F366" t="inlineStr">
        <is>
          <t>Bergvik skog väst AB</t>
        </is>
      </c>
      <c r="G366" t="n">
        <v>9.9</v>
      </c>
      <c r="H366" t="n">
        <v>0</v>
      </c>
      <c r="I366" t="n">
        <v>0</v>
      </c>
      <c r="J366" t="n">
        <v>0</v>
      </c>
      <c r="K366" t="n">
        <v>0</v>
      </c>
      <c r="L366" t="n">
        <v>0</v>
      </c>
      <c r="M366" t="n">
        <v>0</v>
      </c>
      <c r="N366" t="n">
        <v>0</v>
      </c>
      <c r="O366" t="n">
        <v>0</v>
      </c>
      <c r="P366" t="n">
        <v>0</v>
      </c>
      <c r="Q366" t="n">
        <v>0</v>
      </c>
      <c r="R366" s="2" t="inlineStr"/>
    </row>
    <row r="367" ht="15" customHeight="1">
      <c r="A367" t="inlineStr">
        <is>
          <t>A 58005-2022</t>
        </is>
      </c>
      <c r="B367" s="1" t="n">
        <v>44900</v>
      </c>
      <c r="C367" s="1" t="n">
        <v>45780</v>
      </c>
      <c r="D367" t="inlineStr">
        <is>
          <t>DALARNAS LÄN</t>
        </is>
      </c>
      <c r="E367" t="inlineStr">
        <is>
          <t>HEDEMORA</t>
        </is>
      </c>
      <c r="G367" t="n">
        <v>2.2</v>
      </c>
      <c r="H367" t="n">
        <v>0</v>
      </c>
      <c r="I367" t="n">
        <v>0</v>
      </c>
      <c r="J367" t="n">
        <v>0</v>
      </c>
      <c r="K367" t="n">
        <v>0</v>
      </c>
      <c r="L367" t="n">
        <v>0</v>
      </c>
      <c r="M367" t="n">
        <v>0</v>
      </c>
      <c r="N367" t="n">
        <v>0</v>
      </c>
      <c r="O367" t="n">
        <v>0</v>
      </c>
      <c r="P367" t="n">
        <v>0</v>
      </c>
      <c r="Q367" t="n">
        <v>0</v>
      </c>
      <c r="R367" s="2" t="inlineStr"/>
    </row>
    <row r="368" ht="15" customHeight="1">
      <c r="A368" t="inlineStr">
        <is>
          <t>A 58018-2022</t>
        </is>
      </c>
      <c r="B368" s="1" t="n">
        <v>44900</v>
      </c>
      <c r="C368" s="1" t="n">
        <v>45780</v>
      </c>
      <c r="D368" t="inlineStr">
        <is>
          <t>DALARNAS LÄN</t>
        </is>
      </c>
      <c r="E368" t="inlineStr">
        <is>
          <t>HEDEMORA</t>
        </is>
      </c>
      <c r="G368" t="n">
        <v>3.6</v>
      </c>
      <c r="H368" t="n">
        <v>0</v>
      </c>
      <c r="I368" t="n">
        <v>0</v>
      </c>
      <c r="J368" t="n">
        <v>0</v>
      </c>
      <c r="K368" t="n">
        <v>0</v>
      </c>
      <c r="L368" t="n">
        <v>0</v>
      </c>
      <c r="M368" t="n">
        <v>0</v>
      </c>
      <c r="N368" t="n">
        <v>0</v>
      </c>
      <c r="O368" t="n">
        <v>0</v>
      </c>
      <c r="P368" t="n">
        <v>0</v>
      </c>
      <c r="Q368" t="n">
        <v>0</v>
      </c>
      <c r="R368" s="2" t="inlineStr"/>
    </row>
    <row r="369" ht="15" customHeight="1">
      <c r="A369" t="inlineStr">
        <is>
          <t>A 59088-2022</t>
        </is>
      </c>
      <c r="B369" s="1" t="n">
        <v>44904</v>
      </c>
      <c r="C369" s="1" t="n">
        <v>45780</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59280-2022</t>
        </is>
      </c>
      <c r="B370" s="1" t="n">
        <v>44904</v>
      </c>
      <c r="C370" s="1" t="n">
        <v>45780</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60077-2022</t>
        </is>
      </c>
      <c r="B371" s="1" t="n">
        <v>44909</v>
      </c>
      <c r="C371" s="1" t="n">
        <v>45780</v>
      </c>
      <c r="D371" t="inlineStr">
        <is>
          <t>DALARNAS LÄN</t>
        </is>
      </c>
      <c r="E371" t="inlineStr">
        <is>
          <t>HEDEMORA</t>
        </is>
      </c>
      <c r="G371" t="n">
        <v>1.8</v>
      </c>
      <c r="H371" t="n">
        <v>0</v>
      </c>
      <c r="I371" t="n">
        <v>0</v>
      </c>
      <c r="J371" t="n">
        <v>0</v>
      </c>
      <c r="K371" t="n">
        <v>0</v>
      </c>
      <c r="L371" t="n">
        <v>0</v>
      </c>
      <c r="M371" t="n">
        <v>0</v>
      </c>
      <c r="N371" t="n">
        <v>0</v>
      </c>
      <c r="O371" t="n">
        <v>0</v>
      </c>
      <c r="P371" t="n">
        <v>0</v>
      </c>
      <c r="Q371" t="n">
        <v>0</v>
      </c>
      <c r="R371" s="2" t="inlineStr"/>
    </row>
    <row r="372" ht="15" customHeight="1">
      <c r="A372" t="inlineStr">
        <is>
          <t>A 60078-2022</t>
        </is>
      </c>
      <c r="B372" s="1" t="n">
        <v>44909</v>
      </c>
      <c r="C372" s="1" t="n">
        <v>45780</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60475-2022</t>
        </is>
      </c>
      <c r="B373" s="1" t="n">
        <v>44911</v>
      </c>
      <c r="C373" s="1" t="n">
        <v>45780</v>
      </c>
      <c r="D373" t="inlineStr">
        <is>
          <t>DALARNAS LÄN</t>
        </is>
      </c>
      <c r="E373" t="inlineStr">
        <is>
          <t>HEDEMORA</t>
        </is>
      </c>
      <c r="G373" t="n">
        <v>1</v>
      </c>
      <c r="H373" t="n">
        <v>0</v>
      </c>
      <c r="I373" t="n">
        <v>0</v>
      </c>
      <c r="J373" t="n">
        <v>0</v>
      </c>
      <c r="K373" t="n">
        <v>0</v>
      </c>
      <c r="L373" t="n">
        <v>0</v>
      </c>
      <c r="M373" t="n">
        <v>0</v>
      </c>
      <c r="N373" t="n">
        <v>0</v>
      </c>
      <c r="O373" t="n">
        <v>0</v>
      </c>
      <c r="P373" t="n">
        <v>0</v>
      </c>
      <c r="Q373" t="n">
        <v>0</v>
      </c>
      <c r="R373" s="2" t="inlineStr"/>
    </row>
    <row r="374" ht="15" customHeight="1">
      <c r="A374" t="inlineStr">
        <is>
          <t>A 60774-2022</t>
        </is>
      </c>
      <c r="B374" s="1" t="n">
        <v>44914</v>
      </c>
      <c r="C374" s="1" t="n">
        <v>45780</v>
      </c>
      <c r="D374" t="inlineStr">
        <is>
          <t>DALARNAS LÄN</t>
        </is>
      </c>
      <c r="E374" t="inlineStr">
        <is>
          <t>HEDEMORA</t>
        </is>
      </c>
      <c r="G374" t="n">
        <v>11.5</v>
      </c>
      <c r="H374" t="n">
        <v>0</v>
      </c>
      <c r="I374" t="n">
        <v>0</v>
      </c>
      <c r="J374" t="n">
        <v>0</v>
      </c>
      <c r="K374" t="n">
        <v>0</v>
      </c>
      <c r="L374" t="n">
        <v>0</v>
      </c>
      <c r="M374" t="n">
        <v>0</v>
      </c>
      <c r="N374" t="n">
        <v>0</v>
      </c>
      <c r="O374" t="n">
        <v>0</v>
      </c>
      <c r="P374" t="n">
        <v>0</v>
      </c>
      <c r="Q374" t="n">
        <v>0</v>
      </c>
      <c r="R374" s="2" t="inlineStr"/>
    </row>
    <row r="375" ht="15" customHeight="1">
      <c r="A375" t="inlineStr">
        <is>
          <t>A 61849-2022</t>
        </is>
      </c>
      <c r="B375" s="1" t="n">
        <v>44917</v>
      </c>
      <c r="C375" s="1" t="n">
        <v>45780</v>
      </c>
      <c r="D375" t="inlineStr">
        <is>
          <t>DALARNAS LÄN</t>
        </is>
      </c>
      <c r="E375" t="inlineStr">
        <is>
          <t>HEDEMORA</t>
        </is>
      </c>
      <c r="G375" t="n">
        <v>1.9</v>
      </c>
      <c r="H375" t="n">
        <v>0</v>
      </c>
      <c r="I375" t="n">
        <v>0</v>
      </c>
      <c r="J375" t="n">
        <v>0</v>
      </c>
      <c r="K375" t="n">
        <v>0</v>
      </c>
      <c r="L375" t="n">
        <v>0</v>
      </c>
      <c r="M375" t="n">
        <v>0</v>
      </c>
      <c r="N375" t="n">
        <v>0</v>
      </c>
      <c r="O375" t="n">
        <v>0</v>
      </c>
      <c r="P375" t="n">
        <v>0</v>
      </c>
      <c r="Q375" t="n">
        <v>0</v>
      </c>
      <c r="R375" s="2" t="inlineStr"/>
    </row>
    <row r="376" ht="15" customHeight="1">
      <c r="A376" t="inlineStr">
        <is>
          <t>A 61883-2022</t>
        </is>
      </c>
      <c r="B376" s="1" t="n">
        <v>44917</v>
      </c>
      <c r="C376" s="1" t="n">
        <v>45780</v>
      </c>
      <c r="D376" t="inlineStr">
        <is>
          <t>DALARNAS LÄN</t>
        </is>
      </c>
      <c r="E376" t="inlineStr">
        <is>
          <t>HEDEMORA</t>
        </is>
      </c>
      <c r="G376" t="n">
        <v>2.3</v>
      </c>
      <c r="H376" t="n">
        <v>0</v>
      </c>
      <c r="I376" t="n">
        <v>0</v>
      </c>
      <c r="J376" t="n">
        <v>0</v>
      </c>
      <c r="K376" t="n">
        <v>0</v>
      </c>
      <c r="L376" t="n">
        <v>0</v>
      </c>
      <c r="M376" t="n">
        <v>0</v>
      </c>
      <c r="N376" t="n">
        <v>0</v>
      </c>
      <c r="O376" t="n">
        <v>0</v>
      </c>
      <c r="P376" t="n">
        <v>0</v>
      </c>
      <c r="Q376" t="n">
        <v>0</v>
      </c>
      <c r="R376" s="2" t="inlineStr"/>
    </row>
    <row r="377" ht="15" customHeight="1">
      <c r="A377" t="inlineStr">
        <is>
          <t>A 61886-2022</t>
        </is>
      </c>
      <c r="B377" s="1" t="n">
        <v>44917</v>
      </c>
      <c r="C377" s="1" t="n">
        <v>45780</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62051-2022</t>
        </is>
      </c>
      <c r="B378" s="1" t="n">
        <v>44918</v>
      </c>
      <c r="C378" s="1" t="n">
        <v>45780</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62046-2022</t>
        </is>
      </c>
      <c r="B379" s="1" t="n">
        <v>44918</v>
      </c>
      <c r="C379" s="1" t="n">
        <v>45780</v>
      </c>
      <c r="D379" t="inlineStr">
        <is>
          <t>DALARNAS LÄN</t>
        </is>
      </c>
      <c r="E379" t="inlineStr">
        <is>
          <t>HEDEMORA</t>
        </is>
      </c>
      <c r="G379" t="n">
        <v>1.2</v>
      </c>
      <c r="H379" t="n">
        <v>0</v>
      </c>
      <c r="I379" t="n">
        <v>0</v>
      </c>
      <c r="J379" t="n">
        <v>0</v>
      </c>
      <c r="K379" t="n">
        <v>0</v>
      </c>
      <c r="L379" t="n">
        <v>0</v>
      </c>
      <c r="M379" t="n">
        <v>0</v>
      </c>
      <c r="N379" t="n">
        <v>0</v>
      </c>
      <c r="O379" t="n">
        <v>0</v>
      </c>
      <c r="P379" t="n">
        <v>0</v>
      </c>
      <c r="Q379" t="n">
        <v>0</v>
      </c>
      <c r="R379" s="2" t="inlineStr"/>
    </row>
    <row r="380" ht="15" customHeight="1">
      <c r="A380" t="inlineStr">
        <is>
          <t>A 566-2023</t>
        </is>
      </c>
      <c r="B380" s="1" t="n">
        <v>44925</v>
      </c>
      <c r="C380" s="1" t="n">
        <v>45780</v>
      </c>
      <c r="D380" t="inlineStr">
        <is>
          <t>DALARNAS LÄN</t>
        </is>
      </c>
      <c r="E380" t="inlineStr">
        <is>
          <t>HEDEMORA</t>
        </is>
      </c>
      <c r="G380" t="n">
        <v>13.7</v>
      </c>
      <c r="H380" t="n">
        <v>0</v>
      </c>
      <c r="I380" t="n">
        <v>0</v>
      </c>
      <c r="J380" t="n">
        <v>0</v>
      </c>
      <c r="K380" t="n">
        <v>0</v>
      </c>
      <c r="L380" t="n">
        <v>0</v>
      </c>
      <c r="M380" t="n">
        <v>0</v>
      </c>
      <c r="N380" t="n">
        <v>0</v>
      </c>
      <c r="O380" t="n">
        <v>0</v>
      </c>
      <c r="P380" t="n">
        <v>0</v>
      </c>
      <c r="Q380" t="n">
        <v>0</v>
      </c>
      <c r="R380" s="2" t="inlineStr"/>
    </row>
    <row r="381" ht="15" customHeight="1">
      <c r="A381" t="inlineStr">
        <is>
          <t>A 1140-2023</t>
        </is>
      </c>
      <c r="B381" s="1" t="n">
        <v>44935</v>
      </c>
      <c r="C381" s="1" t="n">
        <v>45780</v>
      </c>
      <c r="D381" t="inlineStr">
        <is>
          <t>DALARNAS LÄN</t>
        </is>
      </c>
      <c r="E381" t="inlineStr">
        <is>
          <t>HEDEMORA</t>
        </is>
      </c>
      <c r="G381" t="n">
        <v>3.5</v>
      </c>
      <c r="H381" t="n">
        <v>0</v>
      </c>
      <c r="I381" t="n">
        <v>0</v>
      </c>
      <c r="J381" t="n">
        <v>0</v>
      </c>
      <c r="K381" t="n">
        <v>0</v>
      </c>
      <c r="L381" t="n">
        <v>0</v>
      </c>
      <c r="M381" t="n">
        <v>0</v>
      </c>
      <c r="N381" t="n">
        <v>0</v>
      </c>
      <c r="O381" t="n">
        <v>0</v>
      </c>
      <c r="P381" t="n">
        <v>0</v>
      </c>
      <c r="Q381" t="n">
        <v>0</v>
      </c>
      <c r="R381" s="2" t="inlineStr"/>
    </row>
    <row r="382" ht="15" customHeight="1">
      <c r="A382" t="inlineStr">
        <is>
          <t>A 2996-2023</t>
        </is>
      </c>
      <c r="B382" s="1" t="n">
        <v>44945</v>
      </c>
      <c r="C382" s="1" t="n">
        <v>45780</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5010-2023</t>
        </is>
      </c>
      <c r="B383" s="1" t="n">
        <v>44956</v>
      </c>
      <c r="C383" s="1" t="n">
        <v>45780</v>
      </c>
      <c r="D383" t="inlineStr">
        <is>
          <t>DALARNAS LÄN</t>
        </is>
      </c>
      <c r="E383" t="inlineStr">
        <is>
          <t>HEDEMORA</t>
        </is>
      </c>
      <c r="F383" t="inlineStr">
        <is>
          <t>Bergvik skog väst AB</t>
        </is>
      </c>
      <c r="G383" t="n">
        <v>5</v>
      </c>
      <c r="H383" t="n">
        <v>0</v>
      </c>
      <c r="I383" t="n">
        <v>0</v>
      </c>
      <c r="J383" t="n">
        <v>0</v>
      </c>
      <c r="K383" t="n">
        <v>0</v>
      </c>
      <c r="L383" t="n">
        <v>0</v>
      </c>
      <c r="M383" t="n">
        <v>0</v>
      </c>
      <c r="N383" t="n">
        <v>0</v>
      </c>
      <c r="O383" t="n">
        <v>0</v>
      </c>
      <c r="P383" t="n">
        <v>0</v>
      </c>
      <c r="Q383" t="n">
        <v>0</v>
      </c>
      <c r="R383" s="2" t="inlineStr"/>
    </row>
    <row r="384" ht="15" customHeight="1">
      <c r="A384" t="inlineStr">
        <is>
          <t>A 6556-2023</t>
        </is>
      </c>
      <c r="B384" s="1" t="n">
        <v>44961</v>
      </c>
      <c r="C384" s="1" t="n">
        <v>45780</v>
      </c>
      <c r="D384" t="inlineStr">
        <is>
          <t>DALARNAS LÄN</t>
        </is>
      </c>
      <c r="E384" t="inlineStr">
        <is>
          <t>HEDEMORA</t>
        </is>
      </c>
      <c r="G384" t="n">
        <v>3.7</v>
      </c>
      <c r="H384" t="n">
        <v>0</v>
      </c>
      <c r="I384" t="n">
        <v>0</v>
      </c>
      <c r="J384" t="n">
        <v>0</v>
      </c>
      <c r="K384" t="n">
        <v>0</v>
      </c>
      <c r="L384" t="n">
        <v>0</v>
      </c>
      <c r="M384" t="n">
        <v>0</v>
      </c>
      <c r="N384" t="n">
        <v>0</v>
      </c>
      <c r="O384" t="n">
        <v>0</v>
      </c>
      <c r="P384" t="n">
        <v>0</v>
      </c>
      <c r="Q384" t="n">
        <v>0</v>
      </c>
      <c r="R384" s="2" t="inlineStr"/>
    </row>
    <row r="385" ht="15" customHeight="1">
      <c r="A385" t="inlineStr">
        <is>
          <t>A 6806-2023</t>
        </is>
      </c>
      <c r="B385" s="1" t="n">
        <v>44967</v>
      </c>
      <c r="C385" s="1" t="n">
        <v>45780</v>
      </c>
      <c r="D385" t="inlineStr">
        <is>
          <t>DALARNAS LÄN</t>
        </is>
      </c>
      <c r="E385" t="inlineStr">
        <is>
          <t>HEDEMORA</t>
        </is>
      </c>
      <c r="G385" t="n">
        <v>0.8</v>
      </c>
      <c r="H385" t="n">
        <v>0</v>
      </c>
      <c r="I385" t="n">
        <v>0</v>
      </c>
      <c r="J385" t="n">
        <v>0</v>
      </c>
      <c r="K385" t="n">
        <v>0</v>
      </c>
      <c r="L385" t="n">
        <v>0</v>
      </c>
      <c r="M385" t="n">
        <v>0</v>
      </c>
      <c r="N385" t="n">
        <v>0</v>
      </c>
      <c r="O385" t="n">
        <v>0</v>
      </c>
      <c r="P385" t="n">
        <v>0</v>
      </c>
      <c r="Q385" t="n">
        <v>0</v>
      </c>
      <c r="R385" s="2" t="inlineStr"/>
    </row>
    <row r="386" ht="15" customHeight="1">
      <c r="A386" t="inlineStr">
        <is>
          <t>A 8715-2023</t>
        </is>
      </c>
      <c r="B386" s="1" t="n">
        <v>44978</v>
      </c>
      <c r="C386" s="1" t="n">
        <v>45780</v>
      </c>
      <c r="D386" t="inlineStr">
        <is>
          <t>DALARNAS LÄN</t>
        </is>
      </c>
      <c r="E386" t="inlineStr">
        <is>
          <t>HEDEMORA</t>
        </is>
      </c>
      <c r="G386" t="n">
        <v>4.4</v>
      </c>
      <c r="H386" t="n">
        <v>0</v>
      </c>
      <c r="I386" t="n">
        <v>0</v>
      </c>
      <c r="J386" t="n">
        <v>0</v>
      </c>
      <c r="K386" t="n">
        <v>0</v>
      </c>
      <c r="L386" t="n">
        <v>0</v>
      </c>
      <c r="M386" t="n">
        <v>0</v>
      </c>
      <c r="N386" t="n">
        <v>0</v>
      </c>
      <c r="O386" t="n">
        <v>0</v>
      </c>
      <c r="P386" t="n">
        <v>0</v>
      </c>
      <c r="Q386" t="n">
        <v>0</v>
      </c>
      <c r="R386" s="2" t="inlineStr"/>
    </row>
    <row r="387" ht="15" customHeight="1">
      <c r="A387" t="inlineStr">
        <is>
          <t>A 9635-2023</t>
        </is>
      </c>
      <c r="B387" s="1" t="n">
        <v>44984</v>
      </c>
      <c r="C387" s="1" t="n">
        <v>45780</v>
      </c>
      <c r="D387" t="inlineStr">
        <is>
          <t>DALARNAS LÄN</t>
        </is>
      </c>
      <c r="E387" t="inlineStr">
        <is>
          <t>HEDEMORA</t>
        </is>
      </c>
      <c r="G387" t="n">
        <v>2.5</v>
      </c>
      <c r="H387" t="n">
        <v>0</v>
      </c>
      <c r="I387" t="n">
        <v>0</v>
      </c>
      <c r="J387" t="n">
        <v>0</v>
      </c>
      <c r="K387" t="n">
        <v>0</v>
      </c>
      <c r="L387" t="n">
        <v>0</v>
      </c>
      <c r="M387" t="n">
        <v>0</v>
      </c>
      <c r="N387" t="n">
        <v>0</v>
      </c>
      <c r="O387" t="n">
        <v>0</v>
      </c>
      <c r="P387" t="n">
        <v>0</v>
      </c>
      <c r="Q387" t="n">
        <v>0</v>
      </c>
      <c r="R387" s="2" t="inlineStr"/>
    </row>
    <row r="388" ht="15" customHeight="1">
      <c r="A388" t="inlineStr">
        <is>
          <t>A 9920-2023</t>
        </is>
      </c>
      <c r="B388" s="1" t="n">
        <v>44985</v>
      </c>
      <c r="C388" s="1" t="n">
        <v>45780</v>
      </c>
      <c r="D388" t="inlineStr">
        <is>
          <t>DALARNAS LÄN</t>
        </is>
      </c>
      <c r="E388" t="inlineStr">
        <is>
          <t>HEDEMORA</t>
        </is>
      </c>
      <c r="G388" t="n">
        <v>0.7</v>
      </c>
      <c r="H388" t="n">
        <v>0</v>
      </c>
      <c r="I388" t="n">
        <v>0</v>
      </c>
      <c r="J388" t="n">
        <v>0</v>
      </c>
      <c r="K388" t="n">
        <v>0</v>
      </c>
      <c r="L388" t="n">
        <v>0</v>
      </c>
      <c r="M388" t="n">
        <v>0</v>
      </c>
      <c r="N388" t="n">
        <v>0</v>
      </c>
      <c r="O388" t="n">
        <v>0</v>
      </c>
      <c r="P388" t="n">
        <v>0</v>
      </c>
      <c r="Q388" t="n">
        <v>0</v>
      </c>
      <c r="R388" s="2" t="inlineStr"/>
    </row>
    <row r="389" ht="15" customHeight="1">
      <c r="A389" t="inlineStr">
        <is>
          <t>A 9918-2023</t>
        </is>
      </c>
      <c r="B389" s="1" t="n">
        <v>44985</v>
      </c>
      <c r="C389" s="1" t="n">
        <v>45780</v>
      </c>
      <c r="D389" t="inlineStr">
        <is>
          <t>DALARNAS LÄN</t>
        </is>
      </c>
      <c r="E389" t="inlineStr">
        <is>
          <t>HEDEMORA</t>
        </is>
      </c>
      <c r="G389" t="n">
        <v>1.7</v>
      </c>
      <c r="H389" t="n">
        <v>0</v>
      </c>
      <c r="I389" t="n">
        <v>0</v>
      </c>
      <c r="J389" t="n">
        <v>0</v>
      </c>
      <c r="K389" t="n">
        <v>0</v>
      </c>
      <c r="L389" t="n">
        <v>0</v>
      </c>
      <c r="M389" t="n">
        <v>0</v>
      </c>
      <c r="N389" t="n">
        <v>0</v>
      </c>
      <c r="O389" t="n">
        <v>0</v>
      </c>
      <c r="P389" t="n">
        <v>0</v>
      </c>
      <c r="Q389" t="n">
        <v>0</v>
      </c>
      <c r="R389" s="2" t="inlineStr"/>
    </row>
    <row r="390" ht="15" customHeight="1">
      <c r="A390" t="inlineStr">
        <is>
          <t>A 9922-2023</t>
        </is>
      </c>
      <c r="B390" s="1" t="n">
        <v>44985</v>
      </c>
      <c r="C390" s="1" t="n">
        <v>45780</v>
      </c>
      <c r="D390" t="inlineStr">
        <is>
          <t>DALARNAS LÄN</t>
        </is>
      </c>
      <c r="E390" t="inlineStr">
        <is>
          <t>HEDEMORA</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9972-2023</t>
        </is>
      </c>
      <c r="B391" s="1" t="n">
        <v>44985</v>
      </c>
      <c r="C391" s="1" t="n">
        <v>45780</v>
      </c>
      <c r="D391" t="inlineStr">
        <is>
          <t>DALARNAS LÄN</t>
        </is>
      </c>
      <c r="E391" t="inlineStr">
        <is>
          <t>HEDEMORA</t>
        </is>
      </c>
      <c r="G391" t="n">
        <v>4.1</v>
      </c>
      <c r="H391" t="n">
        <v>0</v>
      </c>
      <c r="I391" t="n">
        <v>0</v>
      </c>
      <c r="J391" t="n">
        <v>0</v>
      </c>
      <c r="K391" t="n">
        <v>0</v>
      </c>
      <c r="L391" t="n">
        <v>0</v>
      </c>
      <c r="M391" t="n">
        <v>0</v>
      </c>
      <c r="N391" t="n">
        <v>0</v>
      </c>
      <c r="O391" t="n">
        <v>0</v>
      </c>
      <c r="P391" t="n">
        <v>0</v>
      </c>
      <c r="Q391" t="n">
        <v>0</v>
      </c>
      <c r="R391" s="2" t="inlineStr"/>
    </row>
    <row r="392" ht="15" customHeight="1">
      <c r="A392" t="inlineStr">
        <is>
          <t>A 11920-2023</t>
        </is>
      </c>
      <c r="B392" s="1" t="n">
        <v>44995</v>
      </c>
      <c r="C392" s="1" t="n">
        <v>45780</v>
      </c>
      <c r="D392" t="inlineStr">
        <is>
          <t>DALARNAS LÄN</t>
        </is>
      </c>
      <c r="E392" t="inlineStr">
        <is>
          <t>HEDEMORA</t>
        </is>
      </c>
      <c r="G392" t="n">
        <v>10.6</v>
      </c>
      <c r="H392" t="n">
        <v>0</v>
      </c>
      <c r="I392" t="n">
        <v>0</v>
      </c>
      <c r="J392" t="n">
        <v>0</v>
      </c>
      <c r="K392" t="n">
        <v>0</v>
      </c>
      <c r="L392" t="n">
        <v>0</v>
      </c>
      <c r="M392" t="n">
        <v>0</v>
      </c>
      <c r="N392" t="n">
        <v>0</v>
      </c>
      <c r="O392" t="n">
        <v>0</v>
      </c>
      <c r="P392" t="n">
        <v>0</v>
      </c>
      <c r="Q392" t="n">
        <v>0</v>
      </c>
      <c r="R392" s="2" t="inlineStr"/>
    </row>
    <row r="393" ht="15" customHeight="1">
      <c r="A393" t="inlineStr">
        <is>
          <t>A 12259-2023</t>
        </is>
      </c>
      <c r="B393" s="1" t="n">
        <v>44998</v>
      </c>
      <c r="C393" s="1" t="n">
        <v>45780</v>
      </c>
      <c r="D393" t="inlineStr">
        <is>
          <t>DALARNAS LÄN</t>
        </is>
      </c>
      <c r="E393" t="inlineStr">
        <is>
          <t>HEDEMORA</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13457-2023</t>
        </is>
      </c>
      <c r="B394" s="1" t="n">
        <v>45005</v>
      </c>
      <c r="C394" s="1" t="n">
        <v>45780</v>
      </c>
      <c r="D394" t="inlineStr">
        <is>
          <t>DALARNAS LÄN</t>
        </is>
      </c>
      <c r="E394" t="inlineStr">
        <is>
          <t>HEDEMORA</t>
        </is>
      </c>
      <c r="F394" t="inlineStr">
        <is>
          <t>Bergvik skog väst AB</t>
        </is>
      </c>
      <c r="G394" t="n">
        <v>3.1</v>
      </c>
      <c r="H394" t="n">
        <v>0</v>
      </c>
      <c r="I394" t="n">
        <v>0</v>
      </c>
      <c r="J394" t="n">
        <v>0</v>
      </c>
      <c r="K394" t="n">
        <v>0</v>
      </c>
      <c r="L394" t="n">
        <v>0</v>
      </c>
      <c r="M394" t="n">
        <v>0</v>
      </c>
      <c r="N394" t="n">
        <v>0</v>
      </c>
      <c r="O394" t="n">
        <v>0</v>
      </c>
      <c r="P394" t="n">
        <v>0</v>
      </c>
      <c r="Q394" t="n">
        <v>0</v>
      </c>
      <c r="R394" s="2" t="inlineStr"/>
    </row>
    <row r="395" ht="15" customHeight="1">
      <c r="A395" t="inlineStr">
        <is>
          <t>A 13596-2023</t>
        </is>
      </c>
      <c r="B395" s="1" t="n">
        <v>45005</v>
      </c>
      <c r="C395" s="1" t="n">
        <v>45780</v>
      </c>
      <c r="D395" t="inlineStr">
        <is>
          <t>DALARNAS LÄN</t>
        </is>
      </c>
      <c r="E395" t="inlineStr">
        <is>
          <t>HEDEMORA</t>
        </is>
      </c>
      <c r="G395" t="n">
        <v>3.7</v>
      </c>
      <c r="H395" t="n">
        <v>0</v>
      </c>
      <c r="I395" t="n">
        <v>0</v>
      </c>
      <c r="J395" t="n">
        <v>0</v>
      </c>
      <c r="K395" t="n">
        <v>0</v>
      </c>
      <c r="L395" t="n">
        <v>0</v>
      </c>
      <c r="M395" t="n">
        <v>0</v>
      </c>
      <c r="N395" t="n">
        <v>0</v>
      </c>
      <c r="O395" t="n">
        <v>0</v>
      </c>
      <c r="P395" t="n">
        <v>0</v>
      </c>
      <c r="Q395" t="n">
        <v>0</v>
      </c>
      <c r="R395" s="2" t="inlineStr"/>
    </row>
    <row r="396" ht="15" customHeight="1">
      <c r="A396" t="inlineStr">
        <is>
          <t>A 14787-2023</t>
        </is>
      </c>
      <c r="B396" s="1" t="n">
        <v>45014</v>
      </c>
      <c r="C396" s="1" t="n">
        <v>45780</v>
      </c>
      <c r="D396" t="inlineStr">
        <is>
          <t>DALARNAS LÄN</t>
        </is>
      </c>
      <c r="E396" t="inlineStr">
        <is>
          <t>HEDEMORA</t>
        </is>
      </c>
      <c r="G396" t="n">
        <v>3.5</v>
      </c>
      <c r="H396" t="n">
        <v>0</v>
      </c>
      <c r="I396" t="n">
        <v>0</v>
      </c>
      <c r="J396" t="n">
        <v>0</v>
      </c>
      <c r="K396" t="n">
        <v>0</v>
      </c>
      <c r="L396" t="n">
        <v>0</v>
      </c>
      <c r="M396" t="n">
        <v>0</v>
      </c>
      <c r="N396" t="n">
        <v>0</v>
      </c>
      <c r="O396" t="n">
        <v>0</v>
      </c>
      <c r="P396" t="n">
        <v>0</v>
      </c>
      <c r="Q396" t="n">
        <v>0</v>
      </c>
      <c r="R396" s="2" t="inlineStr"/>
    </row>
    <row r="397" ht="15" customHeight="1">
      <c r="A397" t="inlineStr">
        <is>
          <t>A 14954-2023</t>
        </is>
      </c>
      <c r="B397" s="1" t="n">
        <v>45015</v>
      </c>
      <c r="C397" s="1" t="n">
        <v>45780</v>
      </c>
      <c r="D397" t="inlineStr">
        <is>
          <t>DALARNAS LÄN</t>
        </is>
      </c>
      <c r="E397" t="inlineStr">
        <is>
          <t>HEDEMORA</t>
        </is>
      </c>
      <c r="G397" t="n">
        <v>5.3</v>
      </c>
      <c r="H397" t="n">
        <v>0</v>
      </c>
      <c r="I397" t="n">
        <v>0</v>
      </c>
      <c r="J397" t="n">
        <v>0</v>
      </c>
      <c r="K397" t="n">
        <v>0</v>
      </c>
      <c r="L397" t="n">
        <v>0</v>
      </c>
      <c r="M397" t="n">
        <v>0</v>
      </c>
      <c r="N397" t="n">
        <v>0</v>
      </c>
      <c r="O397" t="n">
        <v>0</v>
      </c>
      <c r="P397" t="n">
        <v>0</v>
      </c>
      <c r="Q397" t="n">
        <v>0</v>
      </c>
      <c r="R397" s="2" t="inlineStr"/>
    </row>
    <row r="398" ht="15" customHeight="1">
      <c r="A398" t="inlineStr">
        <is>
          <t>A 15858-2023</t>
        </is>
      </c>
      <c r="B398" s="1" t="n">
        <v>45022</v>
      </c>
      <c r="C398" s="1" t="n">
        <v>45780</v>
      </c>
      <c r="D398" t="inlineStr">
        <is>
          <t>DALARNAS LÄN</t>
        </is>
      </c>
      <c r="E398" t="inlineStr">
        <is>
          <t>HEDEMORA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15863-2023</t>
        </is>
      </c>
      <c r="B399" s="1" t="n">
        <v>45022</v>
      </c>
      <c r="C399" s="1" t="n">
        <v>45780</v>
      </c>
      <c r="D399" t="inlineStr">
        <is>
          <t>DALARNAS LÄN</t>
        </is>
      </c>
      <c r="E399" t="inlineStr">
        <is>
          <t>HEDEMORA</t>
        </is>
      </c>
      <c r="F399" t="inlineStr">
        <is>
          <t>Bergvik skog väst AB</t>
        </is>
      </c>
      <c r="G399" t="n">
        <v>4.7</v>
      </c>
      <c r="H399" t="n">
        <v>0</v>
      </c>
      <c r="I399" t="n">
        <v>0</v>
      </c>
      <c r="J399" t="n">
        <v>0</v>
      </c>
      <c r="K399" t="n">
        <v>0</v>
      </c>
      <c r="L399" t="n">
        <v>0</v>
      </c>
      <c r="M399" t="n">
        <v>0</v>
      </c>
      <c r="N399" t="n">
        <v>0</v>
      </c>
      <c r="O399" t="n">
        <v>0</v>
      </c>
      <c r="P399" t="n">
        <v>0</v>
      </c>
      <c r="Q399" t="n">
        <v>0</v>
      </c>
      <c r="R399" s="2" t="inlineStr"/>
    </row>
    <row r="400" ht="15" customHeight="1">
      <c r="A400" t="inlineStr">
        <is>
          <t>A 16046-2023</t>
        </is>
      </c>
      <c r="B400" s="1" t="n">
        <v>45027</v>
      </c>
      <c r="C400" s="1" t="n">
        <v>45780</v>
      </c>
      <c r="D400" t="inlineStr">
        <is>
          <t>DALARNAS LÄN</t>
        </is>
      </c>
      <c r="E400" t="inlineStr">
        <is>
          <t>HEDEMORA</t>
        </is>
      </c>
      <c r="G400" t="n">
        <v>2.8</v>
      </c>
      <c r="H400" t="n">
        <v>0</v>
      </c>
      <c r="I400" t="n">
        <v>0</v>
      </c>
      <c r="J400" t="n">
        <v>0</v>
      </c>
      <c r="K400" t="n">
        <v>0</v>
      </c>
      <c r="L400" t="n">
        <v>0</v>
      </c>
      <c r="M400" t="n">
        <v>0</v>
      </c>
      <c r="N400" t="n">
        <v>0</v>
      </c>
      <c r="O400" t="n">
        <v>0</v>
      </c>
      <c r="P400" t="n">
        <v>0</v>
      </c>
      <c r="Q400" t="n">
        <v>0</v>
      </c>
      <c r="R400" s="2" t="inlineStr"/>
    </row>
    <row r="401" ht="15" customHeight="1">
      <c r="A401" t="inlineStr">
        <is>
          <t>A 16589-2023</t>
        </is>
      </c>
      <c r="B401" s="1" t="n">
        <v>45030</v>
      </c>
      <c r="C401" s="1" t="n">
        <v>45780</v>
      </c>
      <c r="D401" t="inlineStr">
        <is>
          <t>DALARNAS LÄN</t>
        </is>
      </c>
      <c r="E401" t="inlineStr">
        <is>
          <t>HEDEMORA</t>
        </is>
      </c>
      <c r="G401" t="n">
        <v>0.9</v>
      </c>
      <c r="H401" t="n">
        <v>0</v>
      </c>
      <c r="I401" t="n">
        <v>0</v>
      </c>
      <c r="J401" t="n">
        <v>0</v>
      </c>
      <c r="K401" t="n">
        <v>0</v>
      </c>
      <c r="L401" t="n">
        <v>0</v>
      </c>
      <c r="M401" t="n">
        <v>0</v>
      </c>
      <c r="N401" t="n">
        <v>0</v>
      </c>
      <c r="O401" t="n">
        <v>0</v>
      </c>
      <c r="P401" t="n">
        <v>0</v>
      </c>
      <c r="Q401" t="n">
        <v>0</v>
      </c>
      <c r="R401" s="2" t="inlineStr"/>
    </row>
    <row r="402" ht="15" customHeight="1">
      <c r="A402" t="inlineStr">
        <is>
          <t>A 16821-2023</t>
        </is>
      </c>
      <c r="B402" s="1" t="n">
        <v>45033</v>
      </c>
      <c r="C402" s="1" t="n">
        <v>45780</v>
      </c>
      <c r="D402" t="inlineStr">
        <is>
          <t>DALARNAS LÄN</t>
        </is>
      </c>
      <c r="E402" t="inlineStr">
        <is>
          <t>HEDEMORA</t>
        </is>
      </c>
      <c r="G402" t="n">
        <v>2.1</v>
      </c>
      <c r="H402" t="n">
        <v>0</v>
      </c>
      <c r="I402" t="n">
        <v>0</v>
      </c>
      <c r="J402" t="n">
        <v>0</v>
      </c>
      <c r="K402" t="n">
        <v>0</v>
      </c>
      <c r="L402" t="n">
        <v>0</v>
      </c>
      <c r="M402" t="n">
        <v>0</v>
      </c>
      <c r="N402" t="n">
        <v>0</v>
      </c>
      <c r="O402" t="n">
        <v>0</v>
      </c>
      <c r="P402" t="n">
        <v>0</v>
      </c>
      <c r="Q402" t="n">
        <v>0</v>
      </c>
      <c r="R402" s="2" t="inlineStr"/>
    </row>
    <row r="403" ht="15" customHeight="1">
      <c r="A403" t="inlineStr">
        <is>
          <t>A 17247-2023</t>
        </is>
      </c>
      <c r="B403" s="1" t="n">
        <v>45035</v>
      </c>
      <c r="C403" s="1" t="n">
        <v>45780</v>
      </c>
      <c r="D403" t="inlineStr">
        <is>
          <t>DALARNAS LÄN</t>
        </is>
      </c>
      <c r="E403" t="inlineStr">
        <is>
          <t>HEDEMORA</t>
        </is>
      </c>
      <c r="G403" t="n">
        <v>2.2</v>
      </c>
      <c r="H403" t="n">
        <v>0</v>
      </c>
      <c r="I403" t="n">
        <v>0</v>
      </c>
      <c r="J403" t="n">
        <v>0</v>
      </c>
      <c r="K403" t="n">
        <v>0</v>
      </c>
      <c r="L403" t="n">
        <v>0</v>
      </c>
      <c r="M403" t="n">
        <v>0</v>
      </c>
      <c r="N403" t="n">
        <v>0</v>
      </c>
      <c r="O403" t="n">
        <v>0</v>
      </c>
      <c r="P403" t="n">
        <v>0</v>
      </c>
      <c r="Q403" t="n">
        <v>0</v>
      </c>
      <c r="R403" s="2" t="inlineStr"/>
    </row>
    <row r="404" ht="15" customHeight="1">
      <c r="A404" t="inlineStr">
        <is>
          <t>A 18470-2023</t>
        </is>
      </c>
      <c r="B404" s="1" t="n">
        <v>45042</v>
      </c>
      <c r="C404" s="1" t="n">
        <v>45780</v>
      </c>
      <c r="D404" t="inlineStr">
        <is>
          <t>DALARNAS LÄN</t>
        </is>
      </c>
      <c r="E404" t="inlineStr">
        <is>
          <t>HEDEMORA</t>
        </is>
      </c>
      <c r="G404" t="n">
        <v>2.5</v>
      </c>
      <c r="H404" t="n">
        <v>0</v>
      </c>
      <c r="I404" t="n">
        <v>0</v>
      </c>
      <c r="J404" t="n">
        <v>0</v>
      </c>
      <c r="K404" t="n">
        <v>0</v>
      </c>
      <c r="L404" t="n">
        <v>0</v>
      </c>
      <c r="M404" t="n">
        <v>0</v>
      </c>
      <c r="N404" t="n">
        <v>0</v>
      </c>
      <c r="O404" t="n">
        <v>0</v>
      </c>
      <c r="P404" t="n">
        <v>0</v>
      </c>
      <c r="Q404" t="n">
        <v>0</v>
      </c>
      <c r="R404" s="2" t="inlineStr"/>
    </row>
    <row r="405" ht="15" customHeight="1">
      <c r="A405" t="inlineStr">
        <is>
          <t>A 20153-2023</t>
        </is>
      </c>
      <c r="B405" s="1" t="n">
        <v>45055</v>
      </c>
      <c r="C405" s="1" t="n">
        <v>45780</v>
      </c>
      <c r="D405" t="inlineStr">
        <is>
          <t>DALARNAS LÄN</t>
        </is>
      </c>
      <c r="E405" t="inlineStr">
        <is>
          <t>HEDEMORA</t>
        </is>
      </c>
      <c r="G405" t="n">
        <v>1.7</v>
      </c>
      <c r="H405" t="n">
        <v>0</v>
      </c>
      <c r="I405" t="n">
        <v>0</v>
      </c>
      <c r="J405" t="n">
        <v>0</v>
      </c>
      <c r="K405" t="n">
        <v>0</v>
      </c>
      <c r="L405" t="n">
        <v>0</v>
      </c>
      <c r="M405" t="n">
        <v>0</v>
      </c>
      <c r="N405" t="n">
        <v>0</v>
      </c>
      <c r="O405" t="n">
        <v>0</v>
      </c>
      <c r="P405" t="n">
        <v>0</v>
      </c>
      <c r="Q405" t="n">
        <v>0</v>
      </c>
      <c r="R405" s="2" t="inlineStr"/>
    </row>
    <row r="406" ht="15" customHeight="1">
      <c r="A406" t="inlineStr">
        <is>
          <t>A 20224-2023</t>
        </is>
      </c>
      <c r="B406" s="1" t="n">
        <v>45055</v>
      </c>
      <c r="C406" s="1" t="n">
        <v>45780</v>
      </c>
      <c r="D406" t="inlineStr">
        <is>
          <t>DALARNAS LÄN</t>
        </is>
      </c>
      <c r="E406" t="inlineStr">
        <is>
          <t>HEDEMORA</t>
        </is>
      </c>
      <c r="F406" t="inlineStr">
        <is>
          <t>Bergvik skog väst AB</t>
        </is>
      </c>
      <c r="G406" t="n">
        <v>5.2</v>
      </c>
      <c r="H406" t="n">
        <v>0</v>
      </c>
      <c r="I406" t="n">
        <v>0</v>
      </c>
      <c r="J406" t="n">
        <v>0</v>
      </c>
      <c r="K406" t="n">
        <v>0</v>
      </c>
      <c r="L406" t="n">
        <v>0</v>
      </c>
      <c r="M406" t="n">
        <v>0</v>
      </c>
      <c r="N406" t="n">
        <v>0</v>
      </c>
      <c r="O406" t="n">
        <v>0</v>
      </c>
      <c r="P406" t="n">
        <v>0</v>
      </c>
      <c r="Q406" t="n">
        <v>0</v>
      </c>
      <c r="R406" s="2" t="inlineStr"/>
    </row>
    <row r="407" ht="15" customHeight="1">
      <c r="A407" t="inlineStr">
        <is>
          <t>A 20226-2023</t>
        </is>
      </c>
      <c r="B407" s="1" t="n">
        <v>45055</v>
      </c>
      <c r="C407" s="1" t="n">
        <v>45780</v>
      </c>
      <c r="D407" t="inlineStr">
        <is>
          <t>DALARNAS LÄN</t>
        </is>
      </c>
      <c r="E407" t="inlineStr">
        <is>
          <t>HEDEMORA</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20237-2023</t>
        </is>
      </c>
      <c r="B408" s="1" t="n">
        <v>45055</v>
      </c>
      <c r="C408" s="1" t="n">
        <v>45780</v>
      </c>
      <c r="D408" t="inlineStr">
        <is>
          <t>DALARNAS LÄN</t>
        </is>
      </c>
      <c r="E408" t="inlineStr">
        <is>
          <t>HEDEMORA</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20229-2023</t>
        </is>
      </c>
      <c r="B409" s="1" t="n">
        <v>45055</v>
      </c>
      <c r="C409" s="1" t="n">
        <v>45780</v>
      </c>
      <c r="D409" t="inlineStr">
        <is>
          <t>DALARNAS LÄN</t>
        </is>
      </c>
      <c r="E409" t="inlineStr">
        <is>
          <t>HEDEMORA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20233-2023</t>
        </is>
      </c>
      <c r="B410" s="1" t="n">
        <v>45055</v>
      </c>
      <c r="C410" s="1" t="n">
        <v>45780</v>
      </c>
      <c r="D410" t="inlineStr">
        <is>
          <t>DALARNAS LÄN</t>
        </is>
      </c>
      <c r="E410" t="inlineStr">
        <is>
          <t>HEDEMORA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20239-2023</t>
        </is>
      </c>
      <c r="B411" s="1" t="n">
        <v>45055</v>
      </c>
      <c r="C411" s="1" t="n">
        <v>45780</v>
      </c>
      <c r="D411" t="inlineStr">
        <is>
          <t>DALARNAS LÄN</t>
        </is>
      </c>
      <c r="E411" t="inlineStr">
        <is>
          <t>HEDEMORA</t>
        </is>
      </c>
      <c r="F411" t="inlineStr">
        <is>
          <t>Bergvik skog väst AB</t>
        </is>
      </c>
      <c r="G411" t="n">
        <v>5</v>
      </c>
      <c r="H411" t="n">
        <v>0</v>
      </c>
      <c r="I411" t="n">
        <v>0</v>
      </c>
      <c r="J411" t="n">
        <v>0</v>
      </c>
      <c r="K411" t="n">
        <v>0</v>
      </c>
      <c r="L411" t="n">
        <v>0</v>
      </c>
      <c r="M411" t="n">
        <v>0</v>
      </c>
      <c r="N411" t="n">
        <v>0</v>
      </c>
      <c r="O411" t="n">
        <v>0</v>
      </c>
      <c r="P411" t="n">
        <v>0</v>
      </c>
      <c r="Q411" t="n">
        <v>0</v>
      </c>
      <c r="R411" s="2" t="inlineStr"/>
    </row>
    <row r="412" ht="15" customHeight="1">
      <c r="A412" t="inlineStr">
        <is>
          <t>A 21093-2023</t>
        </is>
      </c>
      <c r="B412" s="1" t="n">
        <v>45061</v>
      </c>
      <c r="C412" s="1" t="n">
        <v>45780</v>
      </c>
      <c r="D412" t="inlineStr">
        <is>
          <t>DALARNAS LÄN</t>
        </is>
      </c>
      <c r="E412" t="inlineStr">
        <is>
          <t>HEDEMORA</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21096-2023</t>
        </is>
      </c>
      <c r="B413" s="1" t="n">
        <v>45061</v>
      </c>
      <c r="C413" s="1" t="n">
        <v>45780</v>
      </c>
      <c r="D413" t="inlineStr">
        <is>
          <t>DALARNAS LÄN</t>
        </is>
      </c>
      <c r="E413" t="inlineStr">
        <is>
          <t>HEDEMORA</t>
        </is>
      </c>
      <c r="F413" t="inlineStr">
        <is>
          <t>Sveaskog</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21092-2023</t>
        </is>
      </c>
      <c r="B414" s="1" t="n">
        <v>45061</v>
      </c>
      <c r="C414" s="1" t="n">
        <v>45780</v>
      </c>
      <c r="D414" t="inlineStr">
        <is>
          <t>DALARNAS LÄN</t>
        </is>
      </c>
      <c r="E414" t="inlineStr">
        <is>
          <t>HEDEMORA</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21657-2023</t>
        </is>
      </c>
      <c r="B415" s="1" t="n">
        <v>45063</v>
      </c>
      <c r="C415" s="1" t="n">
        <v>45780</v>
      </c>
      <c r="D415" t="inlineStr">
        <is>
          <t>DALARNAS LÄN</t>
        </is>
      </c>
      <c r="E415" t="inlineStr">
        <is>
          <t>HEDEMORA</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21763-2023</t>
        </is>
      </c>
      <c r="B416" s="1" t="n">
        <v>45065</v>
      </c>
      <c r="C416" s="1" t="n">
        <v>45780</v>
      </c>
      <c r="D416" t="inlineStr">
        <is>
          <t>DALARNAS LÄN</t>
        </is>
      </c>
      <c r="E416" t="inlineStr">
        <is>
          <t>HEDEMORA</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21762-2023</t>
        </is>
      </c>
      <c r="B417" s="1" t="n">
        <v>45065</v>
      </c>
      <c r="C417" s="1" t="n">
        <v>45780</v>
      </c>
      <c r="D417" t="inlineStr">
        <is>
          <t>DALARNAS LÄN</t>
        </is>
      </c>
      <c r="E417" t="inlineStr">
        <is>
          <t>HEDEMORA</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22222-2023</t>
        </is>
      </c>
      <c r="B418" s="1" t="n">
        <v>45070</v>
      </c>
      <c r="C418" s="1" t="n">
        <v>45780</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22273-2023</t>
        </is>
      </c>
      <c r="B419" s="1" t="n">
        <v>45070</v>
      </c>
      <c r="C419" s="1" t="n">
        <v>45780</v>
      </c>
      <c r="D419" t="inlineStr">
        <is>
          <t>DALARNAS LÄN</t>
        </is>
      </c>
      <c r="E419" t="inlineStr">
        <is>
          <t>HEDEMORA</t>
        </is>
      </c>
      <c r="G419" t="n">
        <v>1.3</v>
      </c>
      <c r="H419" t="n">
        <v>0</v>
      </c>
      <c r="I419" t="n">
        <v>0</v>
      </c>
      <c r="J419" t="n">
        <v>0</v>
      </c>
      <c r="K419" t="n">
        <v>0</v>
      </c>
      <c r="L419" t="n">
        <v>0</v>
      </c>
      <c r="M419" t="n">
        <v>0</v>
      </c>
      <c r="N419" t="n">
        <v>0</v>
      </c>
      <c r="O419" t="n">
        <v>0</v>
      </c>
      <c r="P419" t="n">
        <v>0</v>
      </c>
      <c r="Q419" t="n">
        <v>0</v>
      </c>
      <c r="R419" s="2" t="inlineStr"/>
    </row>
    <row r="420" ht="15" customHeight="1">
      <c r="A420" t="inlineStr">
        <is>
          <t>A 22270-2023</t>
        </is>
      </c>
      <c r="B420" s="1" t="n">
        <v>45070</v>
      </c>
      <c r="C420" s="1" t="n">
        <v>45780</v>
      </c>
      <c r="D420" t="inlineStr">
        <is>
          <t>DALARNAS LÄN</t>
        </is>
      </c>
      <c r="E420" t="inlineStr">
        <is>
          <t>HEDEMORA</t>
        </is>
      </c>
      <c r="G420" t="n">
        <v>1.8</v>
      </c>
      <c r="H420" t="n">
        <v>0</v>
      </c>
      <c r="I420" t="n">
        <v>0</v>
      </c>
      <c r="J420" t="n">
        <v>0</v>
      </c>
      <c r="K420" t="n">
        <v>0</v>
      </c>
      <c r="L420" t="n">
        <v>0</v>
      </c>
      <c r="M420" t="n">
        <v>0</v>
      </c>
      <c r="N420" t="n">
        <v>0</v>
      </c>
      <c r="O420" t="n">
        <v>0</v>
      </c>
      <c r="P420" t="n">
        <v>0</v>
      </c>
      <c r="Q420" t="n">
        <v>0</v>
      </c>
      <c r="R420" s="2" t="inlineStr"/>
    </row>
    <row r="421" ht="15" customHeight="1">
      <c r="A421" t="inlineStr">
        <is>
          <t>A 22726-2023</t>
        </is>
      </c>
      <c r="B421" s="1" t="n">
        <v>45071</v>
      </c>
      <c r="C421" s="1" t="n">
        <v>45780</v>
      </c>
      <c r="D421" t="inlineStr">
        <is>
          <t>DALARNAS LÄN</t>
        </is>
      </c>
      <c r="E421" t="inlineStr">
        <is>
          <t>HEDEMORA</t>
        </is>
      </c>
      <c r="G421" t="n">
        <v>0.8</v>
      </c>
      <c r="H421" t="n">
        <v>0</v>
      </c>
      <c r="I421" t="n">
        <v>0</v>
      </c>
      <c r="J421" t="n">
        <v>0</v>
      </c>
      <c r="K421" t="n">
        <v>0</v>
      </c>
      <c r="L421" t="n">
        <v>0</v>
      </c>
      <c r="M421" t="n">
        <v>0</v>
      </c>
      <c r="N421" t="n">
        <v>0</v>
      </c>
      <c r="O421" t="n">
        <v>0</v>
      </c>
      <c r="P421" t="n">
        <v>0</v>
      </c>
      <c r="Q421" t="n">
        <v>0</v>
      </c>
      <c r="R421" s="2" t="inlineStr"/>
    </row>
    <row r="422" ht="15" customHeight="1">
      <c r="A422" t="inlineStr">
        <is>
          <t>A 23501-2023</t>
        </is>
      </c>
      <c r="B422" s="1" t="n">
        <v>45076</v>
      </c>
      <c r="C422" s="1" t="n">
        <v>45780</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23934-2023</t>
        </is>
      </c>
      <c r="B423" s="1" t="n">
        <v>45078</v>
      </c>
      <c r="C423" s="1" t="n">
        <v>45780</v>
      </c>
      <c r="D423" t="inlineStr">
        <is>
          <t>DALARNAS LÄN</t>
        </is>
      </c>
      <c r="E423" t="inlineStr">
        <is>
          <t>HEDEMORA</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23968-2023</t>
        </is>
      </c>
      <c r="B424" s="1" t="n">
        <v>45078</v>
      </c>
      <c r="C424" s="1" t="n">
        <v>45780</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24569-2023</t>
        </is>
      </c>
      <c r="B425" s="1" t="n">
        <v>45083</v>
      </c>
      <c r="C425" s="1" t="n">
        <v>45780</v>
      </c>
      <c r="D425" t="inlineStr">
        <is>
          <t>DALARNAS LÄN</t>
        </is>
      </c>
      <c r="E425" t="inlineStr">
        <is>
          <t>HEDEMORA</t>
        </is>
      </c>
      <c r="F425" t="inlineStr">
        <is>
          <t>Sveaskog</t>
        </is>
      </c>
      <c r="G425" t="n">
        <v>34.6</v>
      </c>
      <c r="H425" t="n">
        <v>0</v>
      </c>
      <c r="I425" t="n">
        <v>0</v>
      </c>
      <c r="J425" t="n">
        <v>0</v>
      </c>
      <c r="K425" t="n">
        <v>0</v>
      </c>
      <c r="L425" t="n">
        <v>0</v>
      </c>
      <c r="M425" t="n">
        <v>0</v>
      </c>
      <c r="N425" t="n">
        <v>0</v>
      </c>
      <c r="O425" t="n">
        <v>0</v>
      </c>
      <c r="P425" t="n">
        <v>0</v>
      </c>
      <c r="Q425" t="n">
        <v>0</v>
      </c>
      <c r="R425" s="2" t="inlineStr"/>
    </row>
    <row r="426" ht="15" customHeight="1">
      <c r="A426" t="inlineStr">
        <is>
          <t>A 24780-2023</t>
        </is>
      </c>
      <c r="B426" s="1" t="n">
        <v>45084</v>
      </c>
      <c r="C426" s="1" t="n">
        <v>45780</v>
      </c>
      <c r="D426" t="inlineStr">
        <is>
          <t>DALARNAS LÄN</t>
        </is>
      </c>
      <c r="E426" t="inlineStr">
        <is>
          <t>HEDEMORA</t>
        </is>
      </c>
      <c r="F426" t="inlineStr">
        <is>
          <t>Sveaskog</t>
        </is>
      </c>
      <c r="G426" t="n">
        <v>3.5</v>
      </c>
      <c r="H426" t="n">
        <v>0</v>
      </c>
      <c r="I426" t="n">
        <v>0</v>
      </c>
      <c r="J426" t="n">
        <v>0</v>
      </c>
      <c r="K426" t="n">
        <v>0</v>
      </c>
      <c r="L426" t="n">
        <v>0</v>
      </c>
      <c r="M426" t="n">
        <v>0</v>
      </c>
      <c r="N426" t="n">
        <v>0</v>
      </c>
      <c r="O426" t="n">
        <v>0</v>
      </c>
      <c r="P426" t="n">
        <v>0</v>
      </c>
      <c r="Q426" t="n">
        <v>0</v>
      </c>
      <c r="R426" s="2" t="inlineStr"/>
    </row>
    <row r="427" ht="15" customHeight="1">
      <c r="A427" t="inlineStr">
        <is>
          <t>A 24660-2023</t>
        </is>
      </c>
      <c r="B427" s="1" t="n">
        <v>45084</v>
      </c>
      <c r="C427" s="1" t="n">
        <v>45780</v>
      </c>
      <c r="D427" t="inlineStr">
        <is>
          <t>DALARNAS LÄN</t>
        </is>
      </c>
      <c r="E427" t="inlineStr">
        <is>
          <t>HEDEMORA</t>
        </is>
      </c>
      <c r="G427" t="n">
        <v>1.7</v>
      </c>
      <c r="H427" t="n">
        <v>0</v>
      </c>
      <c r="I427" t="n">
        <v>0</v>
      </c>
      <c r="J427" t="n">
        <v>0</v>
      </c>
      <c r="K427" t="n">
        <v>0</v>
      </c>
      <c r="L427" t="n">
        <v>0</v>
      </c>
      <c r="M427" t="n">
        <v>0</v>
      </c>
      <c r="N427" t="n">
        <v>0</v>
      </c>
      <c r="O427" t="n">
        <v>0</v>
      </c>
      <c r="P427" t="n">
        <v>0</v>
      </c>
      <c r="Q427" t="n">
        <v>0</v>
      </c>
      <c r="R427" s="2" t="inlineStr"/>
    </row>
    <row r="428" ht="15" customHeight="1">
      <c r="A428" t="inlineStr">
        <is>
          <t>A 24792-2023</t>
        </is>
      </c>
      <c r="B428" s="1" t="n">
        <v>45084</v>
      </c>
      <c r="C428" s="1" t="n">
        <v>45780</v>
      </c>
      <c r="D428" t="inlineStr">
        <is>
          <t>DALARNAS LÄN</t>
        </is>
      </c>
      <c r="E428" t="inlineStr">
        <is>
          <t>HEDEMORA</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24864-2023</t>
        </is>
      </c>
      <c r="B429" s="1" t="n">
        <v>45085</v>
      </c>
      <c r="C429" s="1" t="n">
        <v>45780</v>
      </c>
      <c r="D429" t="inlineStr">
        <is>
          <t>DALARNAS LÄN</t>
        </is>
      </c>
      <c r="E429" t="inlineStr">
        <is>
          <t>HEDEMORA</t>
        </is>
      </c>
      <c r="G429" t="n">
        <v>13.2</v>
      </c>
      <c r="H429" t="n">
        <v>0</v>
      </c>
      <c r="I429" t="n">
        <v>0</v>
      </c>
      <c r="J429" t="n">
        <v>0</v>
      </c>
      <c r="K429" t="n">
        <v>0</v>
      </c>
      <c r="L429" t="n">
        <v>0</v>
      </c>
      <c r="M429" t="n">
        <v>0</v>
      </c>
      <c r="N429" t="n">
        <v>0</v>
      </c>
      <c r="O429" t="n">
        <v>0</v>
      </c>
      <c r="P429" t="n">
        <v>0</v>
      </c>
      <c r="Q429" t="n">
        <v>0</v>
      </c>
      <c r="R429" s="2" t="inlineStr"/>
    </row>
    <row r="430" ht="15" customHeight="1">
      <c r="A430" t="inlineStr">
        <is>
          <t>A 25150-2023</t>
        </is>
      </c>
      <c r="B430" s="1" t="n">
        <v>45086</v>
      </c>
      <c r="C430" s="1" t="n">
        <v>45780</v>
      </c>
      <c r="D430" t="inlineStr">
        <is>
          <t>DALARNAS LÄN</t>
        </is>
      </c>
      <c r="E430" t="inlineStr">
        <is>
          <t>HEDEMORA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25155-2023</t>
        </is>
      </c>
      <c r="B431" s="1" t="n">
        <v>45086</v>
      </c>
      <c r="C431" s="1" t="n">
        <v>45780</v>
      </c>
      <c r="D431" t="inlineStr">
        <is>
          <t>DALARNAS LÄN</t>
        </is>
      </c>
      <c r="E431" t="inlineStr">
        <is>
          <t>HEDEMORA</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26232-2023</t>
        </is>
      </c>
      <c r="B432" s="1" t="n">
        <v>45091</v>
      </c>
      <c r="C432" s="1" t="n">
        <v>45780</v>
      </c>
      <c r="D432" t="inlineStr">
        <is>
          <t>DALARNAS LÄN</t>
        </is>
      </c>
      <c r="E432" t="inlineStr">
        <is>
          <t>HEDEMORA</t>
        </is>
      </c>
      <c r="G432" t="n">
        <v>3.1</v>
      </c>
      <c r="H432" t="n">
        <v>0</v>
      </c>
      <c r="I432" t="n">
        <v>0</v>
      </c>
      <c r="J432" t="n">
        <v>0</v>
      </c>
      <c r="K432" t="n">
        <v>0</v>
      </c>
      <c r="L432" t="n">
        <v>0</v>
      </c>
      <c r="M432" t="n">
        <v>0</v>
      </c>
      <c r="N432" t="n">
        <v>0</v>
      </c>
      <c r="O432" t="n">
        <v>0</v>
      </c>
      <c r="P432" t="n">
        <v>0</v>
      </c>
      <c r="Q432" t="n">
        <v>0</v>
      </c>
      <c r="R432" s="2" t="inlineStr"/>
    </row>
    <row r="433" ht="15" customHeight="1">
      <c r="A433" t="inlineStr">
        <is>
          <t>A 27695-2023</t>
        </is>
      </c>
      <c r="B433" s="1" t="n">
        <v>45097</v>
      </c>
      <c r="C433" s="1" t="n">
        <v>45780</v>
      </c>
      <c r="D433" t="inlineStr">
        <is>
          <t>DALARNAS LÄN</t>
        </is>
      </c>
      <c r="E433" t="inlineStr">
        <is>
          <t>HEDEMORA</t>
        </is>
      </c>
      <c r="F433" t="inlineStr">
        <is>
          <t>Sveaskog</t>
        </is>
      </c>
      <c r="G433" t="n">
        <v>6.5</v>
      </c>
      <c r="H433" t="n">
        <v>0</v>
      </c>
      <c r="I433" t="n">
        <v>0</v>
      </c>
      <c r="J433" t="n">
        <v>0</v>
      </c>
      <c r="K433" t="n">
        <v>0</v>
      </c>
      <c r="L433" t="n">
        <v>0</v>
      </c>
      <c r="M433" t="n">
        <v>0</v>
      </c>
      <c r="N433" t="n">
        <v>0</v>
      </c>
      <c r="O433" t="n">
        <v>0</v>
      </c>
      <c r="P433" t="n">
        <v>0</v>
      </c>
      <c r="Q433" t="n">
        <v>0</v>
      </c>
      <c r="R433" s="2" t="inlineStr"/>
    </row>
    <row r="434" ht="15" customHeight="1">
      <c r="A434" t="inlineStr">
        <is>
          <t>A 27696-2023</t>
        </is>
      </c>
      <c r="B434" s="1" t="n">
        <v>45097</v>
      </c>
      <c r="C434" s="1" t="n">
        <v>45780</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27965-2023</t>
        </is>
      </c>
      <c r="B435" s="1" t="n">
        <v>45098</v>
      </c>
      <c r="C435" s="1" t="n">
        <v>45780</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27963-2023</t>
        </is>
      </c>
      <c r="B436" s="1" t="n">
        <v>45098</v>
      </c>
      <c r="C436" s="1" t="n">
        <v>45780</v>
      </c>
      <c r="D436" t="inlineStr">
        <is>
          <t>DALARNAS LÄN</t>
        </is>
      </c>
      <c r="E436" t="inlineStr">
        <is>
          <t>HEDEMORA</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28029-2023</t>
        </is>
      </c>
      <c r="B437" s="1" t="n">
        <v>45099</v>
      </c>
      <c r="C437" s="1" t="n">
        <v>45780</v>
      </c>
      <c r="D437" t="inlineStr">
        <is>
          <t>DALARNAS LÄN</t>
        </is>
      </c>
      <c r="E437" t="inlineStr">
        <is>
          <t>HEDEMORA</t>
        </is>
      </c>
      <c r="G437" t="n">
        <v>0.6</v>
      </c>
      <c r="H437" t="n">
        <v>0</v>
      </c>
      <c r="I437" t="n">
        <v>0</v>
      </c>
      <c r="J437" t="n">
        <v>0</v>
      </c>
      <c r="K437" t="n">
        <v>0</v>
      </c>
      <c r="L437" t="n">
        <v>0</v>
      </c>
      <c r="M437" t="n">
        <v>0</v>
      </c>
      <c r="N437" t="n">
        <v>0</v>
      </c>
      <c r="O437" t="n">
        <v>0</v>
      </c>
      <c r="P437" t="n">
        <v>0</v>
      </c>
      <c r="Q437" t="n">
        <v>0</v>
      </c>
      <c r="R437" s="2" t="inlineStr"/>
    </row>
    <row r="438" ht="15" customHeight="1">
      <c r="A438" t="inlineStr">
        <is>
          <t>A 28398-2023</t>
        </is>
      </c>
      <c r="B438" s="1" t="n">
        <v>45100</v>
      </c>
      <c r="C438" s="1" t="n">
        <v>45780</v>
      </c>
      <c r="D438" t="inlineStr">
        <is>
          <t>DALARNAS LÄN</t>
        </is>
      </c>
      <c r="E438" t="inlineStr">
        <is>
          <t>HEDEMORA</t>
        </is>
      </c>
      <c r="F438" t="inlineStr">
        <is>
          <t>Sveaskog</t>
        </is>
      </c>
      <c r="G438" t="n">
        <v>9.4</v>
      </c>
      <c r="H438" t="n">
        <v>0</v>
      </c>
      <c r="I438" t="n">
        <v>0</v>
      </c>
      <c r="J438" t="n">
        <v>0</v>
      </c>
      <c r="K438" t="n">
        <v>0</v>
      </c>
      <c r="L438" t="n">
        <v>0</v>
      </c>
      <c r="M438" t="n">
        <v>0</v>
      </c>
      <c r="N438" t="n">
        <v>0</v>
      </c>
      <c r="O438" t="n">
        <v>0</v>
      </c>
      <c r="P438" t="n">
        <v>0</v>
      </c>
      <c r="Q438" t="n">
        <v>0</v>
      </c>
      <c r="R438" s="2" t="inlineStr"/>
    </row>
    <row r="439" ht="15" customHeight="1">
      <c r="A439" t="inlineStr">
        <is>
          <t>A 29050-2023</t>
        </is>
      </c>
      <c r="B439" s="1" t="n">
        <v>45104</v>
      </c>
      <c r="C439" s="1" t="n">
        <v>45780</v>
      </c>
      <c r="D439" t="inlineStr">
        <is>
          <t>DALARNAS LÄN</t>
        </is>
      </c>
      <c r="E439" t="inlineStr">
        <is>
          <t>HEDEMORA</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29301-2023</t>
        </is>
      </c>
      <c r="B440" s="1" t="n">
        <v>45105</v>
      </c>
      <c r="C440" s="1" t="n">
        <v>45780</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29303-2023</t>
        </is>
      </c>
      <c r="B441" s="1" t="n">
        <v>45105</v>
      </c>
      <c r="C441" s="1" t="n">
        <v>45780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30013-2023</t>
        </is>
      </c>
      <c r="B442" s="1" t="n">
        <v>45109</v>
      </c>
      <c r="C442" s="1" t="n">
        <v>45780</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30430-2023</t>
        </is>
      </c>
      <c r="B443" s="1" t="n">
        <v>45111</v>
      </c>
      <c r="C443" s="1" t="n">
        <v>45780</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30428-2023</t>
        </is>
      </c>
      <c r="B444" s="1" t="n">
        <v>45111</v>
      </c>
      <c r="C444" s="1" t="n">
        <v>45780</v>
      </c>
      <c r="D444" t="inlineStr">
        <is>
          <t>DALARNAS LÄN</t>
        </is>
      </c>
      <c r="E444" t="inlineStr">
        <is>
          <t>HEDEMORA</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30939-2023</t>
        </is>
      </c>
      <c r="B445" s="1" t="n">
        <v>45113</v>
      </c>
      <c r="C445" s="1" t="n">
        <v>45780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31103-2023</t>
        </is>
      </c>
      <c r="B446" s="1" t="n">
        <v>45113</v>
      </c>
      <c r="C446" s="1" t="n">
        <v>45780</v>
      </c>
      <c r="D446" t="inlineStr">
        <is>
          <t>DALARNAS LÄN</t>
        </is>
      </c>
      <c r="E446" t="inlineStr">
        <is>
          <t>HEDEMORA</t>
        </is>
      </c>
      <c r="G446" t="n">
        <v>1.6</v>
      </c>
      <c r="H446" t="n">
        <v>0</v>
      </c>
      <c r="I446" t="n">
        <v>0</v>
      </c>
      <c r="J446" t="n">
        <v>0</v>
      </c>
      <c r="K446" t="n">
        <v>0</v>
      </c>
      <c r="L446" t="n">
        <v>0</v>
      </c>
      <c r="M446" t="n">
        <v>0</v>
      </c>
      <c r="N446" t="n">
        <v>0</v>
      </c>
      <c r="O446" t="n">
        <v>0</v>
      </c>
      <c r="P446" t="n">
        <v>0</v>
      </c>
      <c r="Q446" t="n">
        <v>0</v>
      </c>
      <c r="R446" s="2" t="inlineStr"/>
    </row>
    <row r="447" ht="15" customHeight="1">
      <c r="A447" t="inlineStr">
        <is>
          <t>A 31253-2023</t>
        </is>
      </c>
      <c r="B447" s="1" t="n">
        <v>45114</v>
      </c>
      <c r="C447" s="1" t="n">
        <v>45780</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33469-2023</t>
        </is>
      </c>
      <c r="B448" s="1" t="n">
        <v>45118</v>
      </c>
      <c r="C448" s="1" t="n">
        <v>45780</v>
      </c>
      <c r="D448" t="inlineStr">
        <is>
          <t>DALARNAS LÄN</t>
        </is>
      </c>
      <c r="E448" t="inlineStr">
        <is>
          <t>HEDEMORA</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33475-2023</t>
        </is>
      </c>
      <c r="B449" s="1" t="n">
        <v>45118</v>
      </c>
      <c r="C449" s="1" t="n">
        <v>45780</v>
      </c>
      <c r="D449" t="inlineStr">
        <is>
          <t>DALARNAS LÄN</t>
        </is>
      </c>
      <c r="E449" t="inlineStr">
        <is>
          <t>HEDEMORA</t>
        </is>
      </c>
      <c r="F449" t="inlineStr">
        <is>
          <t>Bergvik skog väst AB</t>
        </is>
      </c>
      <c r="G449" t="n">
        <v>7.8</v>
      </c>
      <c r="H449" t="n">
        <v>0</v>
      </c>
      <c r="I449" t="n">
        <v>0</v>
      </c>
      <c r="J449" t="n">
        <v>0</v>
      </c>
      <c r="K449" t="n">
        <v>0</v>
      </c>
      <c r="L449" t="n">
        <v>0</v>
      </c>
      <c r="M449" t="n">
        <v>0</v>
      </c>
      <c r="N449" t="n">
        <v>0</v>
      </c>
      <c r="O449" t="n">
        <v>0</v>
      </c>
      <c r="P449" t="n">
        <v>0</v>
      </c>
      <c r="Q449" t="n">
        <v>0</v>
      </c>
      <c r="R449" s="2" t="inlineStr"/>
    </row>
    <row r="450" ht="15" customHeight="1">
      <c r="A450" t="inlineStr">
        <is>
          <t>A 33775-2023</t>
        </is>
      </c>
      <c r="B450" s="1" t="n">
        <v>45120</v>
      </c>
      <c r="C450" s="1" t="n">
        <v>45780</v>
      </c>
      <c r="D450" t="inlineStr">
        <is>
          <t>DALARNAS LÄN</t>
        </is>
      </c>
      <c r="E450" t="inlineStr">
        <is>
          <t>HEDEMORA</t>
        </is>
      </c>
      <c r="G450" t="n">
        <v>3</v>
      </c>
      <c r="H450" t="n">
        <v>0</v>
      </c>
      <c r="I450" t="n">
        <v>0</v>
      </c>
      <c r="J450" t="n">
        <v>0</v>
      </c>
      <c r="K450" t="n">
        <v>0</v>
      </c>
      <c r="L450" t="n">
        <v>0</v>
      </c>
      <c r="M450" t="n">
        <v>0</v>
      </c>
      <c r="N450" t="n">
        <v>0</v>
      </c>
      <c r="O450" t="n">
        <v>0</v>
      </c>
      <c r="P450" t="n">
        <v>0</v>
      </c>
      <c r="Q450" t="n">
        <v>0</v>
      </c>
      <c r="R450" s="2" t="inlineStr"/>
    </row>
    <row r="451" ht="15" customHeight="1">
      <c r="A451" t="inlineStr">
        <is>
          <t>A 32598-2023</t>
        </is>
      </c>
      <c r="B451" s="1" t="n">
        <v>45121</v>
      </c>
      <c r="C451" s="1" t="n">
        <v>45780</v>
      </c>
      <c r="D451" t="inlineStr">
        <is>
          <t>DALARNAS LÄN</t>
        </is>
      </c>
      <c r="E451" t="inlineStr">
        <is>
          <t>HEDEMORA</t>
        </is>
      </c>
      <c r="F451" t="inlineStr">
        <is>
          <t>Sveaskog</t>
        </is>
      </c>
      <c r="G451" t="n">
        <v>0.8</v>
      </c>
      <c r="H451" t="n">
        <v>0</v>
      </c>
      <c r="I451" t="n">
        <v>0</v>
      </c>
      <c r="J451" t="n">
        <v>0</v>
      </c>
      <c r="K451" t="n">
        <v>0</v>
      </c>
      <c r="L451" t="n">
        <v>0</v>
      </c>
      <c r="M451" t="n">
        <v>0</v>
      </c>
      <c r="N451" t="n">
        <v>0</v>
      </c>
      <c r="O451" t="n">
        <v>0</v>
      </c>
      <c r="P451" t="n">
        <v>0</v>
      </c>
      <c r="Q451" t="n">
        <v>0</v>
      </c>
      <c r="R451" s="2" t="inlineStr"/>
    </row>
    <row r="452" ht="15" customHeight="1">
      <c r="A452" t="inlineStr">
        <is>
          <t>A 32607-2023</t>
        </is>
      </c>
      <c r="B452" s="1" t="n">
        <v>45121</v>
      </c>
      <c r="C452" s="1" t="n">
        <v>45780</v>
      </c>
      <c r="D452" t="inlineStr">
        <is>
          <t>DALARNAS LÄN</t>
        </is>
      </c>
      <c r="E452" t="inlineStr">
        <is>
          <t>HEDEMORA</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32720-2023</t>
        </is>
      </c>
      <c r="B453" s="1" t="n">
        <v>45121</v>
      </c>
      <c r="C453" s="1" t="n">
        <v>45780</v>
      </c>
      <c r="D453" t="inlineStr">
        <is>
          <t>DALARNAS LÄN</t>
        </is>
      </c>
      <c r="E453" t="inlineStr">
        <is>
          <t>HEDEMORA</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32721-2023</t>
        </is>
      </c>
      <c r="B454" s="1" t="n">
        <v>45121</v>
      </c>
      <c r="C454" s="1" t="n">
        <v>45780</v>
      </c>
      <c r="D454" t="inlineStr">
        <is>
          <t>DALARNAS LÄN</t>
        </is>
      </c>
      <c r="E454" t="inlineStr">
        <is>
          <t>HEDEMORA</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32719-2023</t>
        </is>
      </c>
      <c r="B455" s="1" t="n">
        <v>45121</v>
      </c>
      <c r="C455" s="1" t="n">
        <v>45780</v>
      </c>
      <c r="D455" t="inlineStr">
        <is>
          <t>DALARNAS LÄN</t>
        </is>
      </c>
      <c r="E455" t="inlineStr">
        <is>
          <t>HEDEMORA</t>
        </is>
      </c>
      <c r="F455" t="inlineStr">
        <is>
          <t>Sveaskog</t>
        </is>
      </c>
      <c r="G455" t="n">
        <v>10.2</v>
      </c>
      <c r="H455" t="n">
        <v>0</v>
      </c>
      <c r="I455" t="n">
        <v>0</v>
      </c>
      <c r="J455" t="n">
        <v>0</v>
      </c>
      <c r="K455" t="n">
        <v>0</v>
      </c>
      <c r="L455" t="n">
        <v>0</v>
      </c>
      <c r="M455" t="n">
        <v>0</v>
      </c>
      <c r="N455" t="n">
        <v>0</v>
      </c>
      <c r="O455" t="n">
        <v>0</v>
      </c>
      <c r="P455" t="n">
        <v>0</v>
      </c>
      <c r="Q455" t="n">
        <v>0</v>
      </c>
      <c r="R455" s="2" t="inlineStr"/>
    </row>
    <row r="456" ht="15" customHeight="1">
      <c r="A456" t="inlineStr">
        <is>
          <t>A 33314-2023</t>
        </is>
      </c>
      <c r="B456" s="1" t="n">
        <v>45127</v>
      </c>
      <c r="C456" s="1" t="n">
        <v>45780</v>
      </c>
      <c r="D456" t="inlineStr">
        <is>
          <t>DALARNAS LÄN</t>
        </is>
      </c>
      <c r="E456" t="inlineStr">
        <is>
          <t>HEDEMORA</t>
        </is>
      </c>
      <c r="F456" t="inlineStr">
        <is>
          <t>Bergvik skog väst AB</t>
        </is>
      </c>
      <c r="G456" t="n">
        <v>3.6</v>
      </c>
      <c r="H456" t="n">
        <v>0</v>
      </c>
      <c r="I456" t="n">
        <v>0</v>
      </c>
      <c r="J456" t="n">
        <v>0</v>
      </c>
      <c r="K456" t="n">
        <v>0</v>
      </c>
      <c r="L456" t="n">
        <v>0</v>
      </c>
      <c r="M456" t="n">
        <v>0</v>
      </c>
      <c r="N456" t="n">
        <v>0</v>
      </c>
      <c r="O456" t="n">
        <v>0</v>
      </c>
      <c r="P456" t="n">
        <v>0</v>
      </c>
      <c r="Q456" t="n">
        <v>0</v>
      </c>
      <c r="R456" s="2" t="inlineStr"/>
    </row>
    <row r="457" ht="15" customHeight="1">
      <c r="A457" t="inlineStr">
        <is>
          <t>A 33313-2023</t>
        </is>
      </c>
      <c r="B457" s="1" t="n">
        <v>45127</v>
      </c>
      <c r="C457" s="1" t="n">
        <v>45780</v>
      </c>
      <c r="D457" t="inlineStr">
        <is>
          <t>DALARNAS LÄN</t>
        </is>
      </c>
      <c r="E457" t="inlineStr">
        <is>
          <t>HEDEMORA</t>
        </is>
      </c>
      <c r="F457" t="inlineStr">
        <is>
          <t>Bergvik skog väst AB</t>
        </is>
      </c>
      <c r="G457" t="n">
        <v>8.6</v>
      </c>
      <c r="H457" t="n">
        <v>0</v>
      </c>
      <c r="I457" t="n">
        <v>0</v>
      </c>
      <c r="J457" t="n">
        <v>0</v>
      </c>
      <c r="K457" t="n">
        <v>0</v>
      </c>
      <c r="L457" t="n">
        <v>0</v>
      </c>
      <c r="M457" t="n">
        <v>0</v>
      </c>
      <c r="N457" t="n">
        <v>0</v>
      </c>
      <c r="O457" t="n">
        <v>0</v>
      </c>
      <c r="P457" t="n">
        <v>0</v>
      </c>
      <c r="Q457" t="n">
        <v>0</v>
      </c>
      <c r="R457" s="2" t="inlineStr"/>
    </row>
    <row r="458" ht="15" customHeight="1">
      <c r="A458" t="inlineStr">
        <is>
          <t>A 33315-2023</t>
        </is>
      </c>
      <c r="B458" s="1" t="n">
        <v>45127</v>
      </c>
      <c r="C458" s="1" t="n">
        <v>45780</v>
      </c>
      <c r="D458" t="inlineStr">
        <is>
          <t>DALARNAS LÄN</t>
        </is>
      </c>
      <c r="E458" t="inlineStr">
        <is>
          <t>HEDEMORA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35240-2023</t>
        </is>
      </c>
      <c r="B459" s="1" t="n">
        <v>45145</v>
      </c>
      <c r="C459" s="1" t="n">
        <v>45780</v>
      </c>
      <c r="D459" t="inlineStr">
        <is>
          <t>DALARNAS LÄN</t>
        </is>
      </c>
      <c r="E459" t="inlineStr">
        <is>
          <t>HEDEMORA</t>
        </is>
      </c>
      <c r="G459" t="n">
        <v>0.7</v>
      </c>
      <c r="H459" t="n">
        <v>0</v>
      </c>
      <c r="I459" t="n">
        <v>0</v>
      </c>
      <c r="J459" t="n">
        <v>0</v>
      </c>
      <c r="K459" t="n">
        <v>0</v>
      </c>
      <c r="L459" t="n">
        <v>0</v>
      </c>
      <c r="M459" t="n">
        <v>0</v>
      </c>
      <c r="N459" t="n">
        <v>0</v>
      </c>
      <c r="O459" t="n">
        <v>0</v>
      </c>
      <c r="P459" t="n">
        <v>0</v>
      </c>
      <c r="Q459" t="n">
        <v>0</v>
      </c>
      <c r="R459" s="2" t="inlineStr"/>
    </row>
    <row r="460" ht="15" customHeight="1">
      <c r="A460" t="inlineStr">
        <is>
          <t>A 36049-2023</t>
        </is>
      </c>
      <c r="B460" s="1" t="n">
        <v>45149</v>
      </c>
      <c r="C460" s="1" t="n">
        <v>45780</v>
      </c>
      <c r="D460" t="inlineStr">
        <is>
          <t>DALARNAS LÄN</t>
        </is>
      </c>
      <c r="E460" t="inlineStr">
        <is>
          <t>HEDEMORA</t>
        </is>
      </c>
      <c r="G460" t="n">
        <v>3.6</v>
      </c>
      <c r="H460" t="n">
        <v>0</v>
      </c>
      <c r="I460" t="n">
        <v>0</v>
      </c>
      <c r="J460" t="n">
        <v>0</v>
      </c>
      <c r="K460" t="n">
        <v>0</v>
      </c>
      <c r="L460" t="n">
        <v>0</v>
      </c>
      <c r="M460" t="n">
        <v>0</v>
      </c>
      <c r="N460" t="n">
        <v>0</v>
      </c>
      <c r="O460" t="n">
        <v>0</v>
      </c>
      <c r="P460" t="n">
        <v>0</v>
      </c>
      <c r="Q460" t="n">
        <v>0</v>
      </c>
      <c r="R460" s="2" t="inlineStr"/>
    </row>
    <row r="461" ht="15" customHeight="1">
      <c r="A461" t="inlineStr">
        <is>
          <t>A 38032-2023</t>
        </is>
      </c>
      <c r="B461" s="1" t="n">
        <v>45160</v>
      </c>
      <c r="C461" s="1" t="n">
        <v>45780</v>
      </c>
      <c r="D461" t="inlineStr">
        <is>
          <t>DALARNAS LÄN</t>
        </is>
      </c>
      <c r="E461" t="inlineStr">
        <is>
          <t>HEDEMORA</t>
        </is>
      </c>
      <c r="G461" t="n">
        <v>2.8</v>
      </c>
      <c r="H461" t="n">
        <v>0</v>
      </c>
      <c r="I461" t="n">
        <v>0</v>
      </c>
      <c r="J461" t="n">
        <v>0</v>
      </c>
      <c r="K461" t="n">
        <v>0</v>
      </c>
      <c r="L461" t="n">
        <v>0</v>
      </c>
      <c r="M461" t="n">
        <v>0</v>
      </c>
      <c r="N461" t="n">
        <v>0</v>
      </c>
      <c r="O461" t="n">
        <v>0</v>
      </c>
      <c r="P461" t="n">
        <v>0</v>
      </c>
      <c r="Q461" t="n">
        <v>0</v>
      </c>
      <c r="R461" s="2" t="inlineStr"/>
    </row>
    <row r="462" ht="15" customHeight="1">
      <c r="A462" t="inlineStr">
        <is>
          <t>A 38957-2023</t>
        </is>
      </c>
      <c r="B462" s="1" t="n">
        <v>45163</v>
      </c>
      <c r="C462" s="1" t="n">
        <v>45780</v>
      </c>
      <c r="D462" t="inlineStr">
        <is>
          <t>DALARNAS LÄN</t>
        </is>
      </c>
      <c r="E462" t="inlineStr">
        <is>
          <t>HEDEMORA</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38947-2023</t>
        </is>
      </c>
      <c r="B463" s="1" t="n">
        <v>45163</v>
      </c>
      <c r="C463" s="1" t="n">
        <v>45780</v>
      </c>
      <c r="D463" t="inlineStr">
        <is>
          <t>DALARNAS LÄN</t>
        </is>
      </c>
      <c r="E463" t="inlineStr">
        <is>
          <t>HEDEMORA</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38951-2023</t>
        </is>
      </c>
      <c r="B464" s="1" t="n">
        <v>45163</v>
      </c>
      <c r="C464" s="1" t="n">
        <v>45780</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41445-2023</t>
        </is>
      </c>
      <c r="B465" s="1" t="n">
        <v>45170</v>
      </c>
      <c r="C465" s="1" t="n">
        <v>45780</v>
      </c>
      <c r="D465" t="inlineStr">
        <is>
          <t>DALARNAS LÄN</t>
        </is>
      </c>
      <c r="E465" t="inlineStr">
        <is>
          <t>HEDEMORA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40707-2023</t>
        </is>
      </c>
      <c r="B466" s="1" t="n">
        <v>45170</v>
      </c>
      <c r="C466" s="1" t="n">
        <v>45780</v>
      </c>
      <c r="D466" t="inlineStr">
        <is>
          <t>DALARNAS LÄN</t>
        </is>
      </c>
      <c r="E466" t="inlineStr">
        <is>
          <t>HEDEMORA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41458-2023</t>
        </is>
      </c>
      <c r="B467" s="1" t="n">
        <v>45170</v>
      </c>
      <c r="C467" s="1" t="n">
        <v>45780</v>
      </c>
      <c r="D467" t="inlineStr">
        <is>
          <t>DALARNAS LÄN</t>
        </is>
      </c>
      <c r="E467" t="inlineStr">
        <is>
          <t>HEDEMORA</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41294-2023</t>
        </is>
      </c>
      <c r="B468" s="1" t="n">
        <v>45170</v>
      </c>
      <c r="C468" s="1" t="n">
        <v>45780</v>
      </c>
      <c r="D468" t="inlineStr">
        <is>
          <t>DALARNAS LÄN</t>
        </is>
      </c>
      <c r="E468" t="inlineStr">
        <is>
          <t>HEDEMORA</t>
        </is>
      </c>
      <c r="F468" t="inlineStr">
        <is>
          <t>Bergvik skog väst AB</t>
        </is>
      </c>
      <c r="G468" t="n">
        <v>16.2</v>
      </c>
      <c r="H468" t="n">
        <v>0</v>
      </c>
      <c r="I468" t="n">
        <v>0</v>
      </c>
      <c r="J468" t="n">
        <v>0</v>
      </c>
      <c r="K468" t="n">
        <v>0</v>
      </c>
      <c r="L468" t="n">
        <v>0</v>
      </c>
      <c r="M468" t="n">
        <v>0</v>
      </c>
      <c r="N468" t="n">
        <v>0</v>
      </c>
      <c r="O468" t="n">
        <v>0</v>
      </c>
      <c r="P468" t="n">
        <v>0</v>
      </c>
      <c r="Q468" t="n">
        <v>0</v>
      </c>
      <c r="R468" s="2" t="inlineStr"/>
    </row>
    <row r="469" ht="15" customHeight="1">
      <c r="A469" t="inlineStr">
        <is>
          <t>A 41435-2023</t>
        </is>
      </c>
      <c r="B469" s="1" t="n">
        <v>45170</v>
      </c>
      <c r="C469" s="1" t="n">
        <v>45780</v>
      </c>
      <c r="D469" t="inlineStr">
        <is>
          <t>DALARNAS LÄN</t>
        </is>
      </c>
      <c r="E469" t="inlineStr">
        <is>
          <t>HEDEMORA</t>
        </is>
      </c>
      <c r="G469" t="n">
        <v>2.9</v>
      </c>
      <c r="H469" t="n">
        <v>0</v>
      </c>
      <c r="I469" t="n">
        <v>0</v>
      </c>
      <c r="J469" t="n">
        <v>0</v>
      </c>
      <c r="K469" t="n">
        <v>0</v>
      </c>
      <c r="L469" t="n">
        <v>0</v>
      </c>
      <c r="M469" t="n">
        <v>0</v>
      </c>
      <c r="N469" t="n">
        <v>0</v>
      </c>
      <c r="O469" t="n">
        <v>0</v>
      </c>
      <c r="P469" t="n">
        <v>0</v>
      </c>
      <c r="Q469" t="n">
        <v>0</v>
      </c>
      <c r="R469" s="2" t="inlineStr"/>
    </row>
    <row r="470" ht="15" customHeight="1">
      <c r="A470" t="inlineStr">
        <is>
          <t>A 41462-2023</t>
        </is>
      </c>
      <c r="B470" s="1" t="n">
        <v>45170</v>
      </c>
      <c r="C470" s="1" t="n">
        <v>45780</v>
      </c>
      <c r="D470" t="inlineStr">
        <is>
          <t>DALARNAS LÄN</t>
        </is>
      </c>
      <c r="E470" t="inlineStr">
        <is>
          <t>HEDEMORA</t>
        </is>
      </c>
      <c r="F470" t="inlineStr">
        <is>
          <t>Bergvik skog väst AB</t>
        </is>
      </c>
      <c r="G470" t="n">
        <v>5.4</v>
      </c>
      <c r="H470" t="n">
        <v>0</v>
      </c>
      <c r="I470" t="n">
        <v>0</v>
      </c>
      <c r="J470" t="n">
        <v>0</v>
      </c>
      <c r="K470" t="n">
        <v>0</v>
      </c>
      <c r="L470" t="n">
        <v>0</v>
      </c>
      <c r="M470" t="n">
        <v>0</v>
      </c>
      <c r="N470" t="n">
        <v>0</v>
      </c>
      <c r="O470" t="n">
        <v>0</v>
      </c>
      <c r="P470" t="n">
        <v>0</v>
      </c>
      <c r="Q470" t="n">
        <v>0</v>
      </c>
      <c r="R470" s="2" t="inlineStr"/>
    </row>
    <row r="471" ht="15" customHeight="1">
      <c r="A471" t="inlineStr">
        <is>
          <t>A 41523-2023</t>
        </is>
      </c>
      <c r="B471" s="1" t="n">
        <v>45172</v>
      </c>
      <c r="C471" s="1" t="n">
        <v>45780</v>
      </c>
      <c r="D471" t="inlineStr">
        <is>
          <t>DALARNAS LÄN</t>
        </is>
      </c>
      <c r="E471" t="inlineStr">
        <is>
          <t>HEDEMORA</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40919-2023</t>
        </is>
      </c>
      <c r="B472" s="1" t="n">
        <v>45173</v>
      </c>
      <c r="C472" s="1" t="n">
        <v>45780</v>
      </c>
      <c r="D472" t="inlineStr">
        <is>
          <t>DALARNAS LÄN</t>
        </is>
      </c>
      <c r="E472" t="inlineStr">
        <is>
          <t>HEDEMORA</t>
        </is>
      </c>
      <c r="F472" t="inlineStr">
        <is>
          <t>Bergvik skog väst AB</t>
        </is>
      </c>
      <c r="G472" t="n">
        <v>2.6</v>
      </c>
      <c r="H472" t="n">
        <v>0</v>
      </c>
      <c r="I472" t="n">
        <v>0</v>
      </c>
      <c r="J472" t="n">
        <v>0</v>
      </c>
      <c r="K472" t="n">
        <v>0</v>
      </c>
      <c r="L472" t="n">
        <v>0</v>
      </c>
      <c r="M472" t="n">
        <v>0</v>
      </c>
      <c r="N472" t="n">
        <v>0</v>
      </c>
      <c r="O472" t="n">
        <v>0</v>
      </c>
      <c r="P472" t="n">
        <v>0</v>
      </c>
      <c r="Q472" t="n">
        <v>0</v>
      </c>
      <c r="R472" s="2" t="inlineStr"/>
    </row>
    <row r="473" ht="15" customHeight="1">
      <c r="A473" t="inlineStr">
        <is>
          <t>A 40923-2023</t>
        </is>
      </c>
      <c r="B473" s="1" t="n">
        <v>45173</v>
      </c>
      <c r="C473" s="1" t="n">
        <v>45780</v>
      </c>
      <c r="D473" t="inlineStr">
        <is>
          <t>DALARNAS LÄN</t>
        </is>
      </c>
      <c r="E473" t="inlineStr">
        <is>
          <t>HEDEMORA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40918-2023</t>
        </is>
      </c>
      <c r="B474" s="1" t="n">
        <v>45173</v>
      </c>
      <c r="C474" s="1" t="n">
        <v>45780</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40922-2023</t>
        </is>
      </c>
      <c r="B475" s="1" t="n">
        <v>45173</v>
      </c>
      <c r="C475" s="1" t="n">
        <v>45780</v>
      </c>
      <c r="D475" t="inlineStr">
        <is>
          <t>DALARNAS LÄN</t>
        </is>
      </c>
      <c r="E475" t="inlineStr">
        <is>
          <t>HEDEMORA</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40921-2023</t>
        </is>
      </c>
      <c r="B476" s="1" t="n">
        <v>45173</v>
      </c>
      <c r="C476" s="1" t="n">
        <v>45780</v>
      </c>
      <c r="D476" t="inlineStr">
        <is>
          <t>DALARNAS LÄN</t>
        </is>
      </c>
      <c r="E476" t="inlineStr">
        <is>
          <t>HEDEMORA</t>
        </is>
      </c>
      <c r="F476" t="inlineStr">
        <is>
          <t>Bergvik skog väst AB</t>
        </is>
      </c>
      <c r="G476" t="n">
        <v>1.8</v>
      </c>
      <c r="H476" t="n">
        <v>0</v>
      </c>
      <c r="I476" t="n">
        <v>0</v>
      </c>
      <c r="J476" t="n">
        <v>0</v>
      </c>
      <c r="K476" t="n">
        <v>0</v>
      </c>
      <c r="L476" t="n">
        <v>0</v>
      </c>
      <c r="M476" t="n">
        <v>0</v>
      </c>
      <c r="N476" t="n">
        <v>0</v>
      </c>
      <c r="O476" t="n">
        <v>0</v>
      </c>
      <c r="P476" t="n">
        <v>0</v>
      </c>
      <c r="Q476" t="n">
        <v>0</v>
      </c>
      <c r="R476" s="2" t="inlineStr"/>
    </row>
    <row r="477" ht="15" customHeight="1">
      <c r="A477" t="inlineStr">
        <is>
          <t>A 41324-2023</t>
        </is>
      </c>
      <c r="B477" s="1" t="n">
        <v>45174</v>
      </c>
      <c r="C477" s="1" t="n">
        <v>45780</v>
      </c>
      <c r="D477" t="inlineStr">
        <is>
          <t>DALARNAS LÄN</t>
        </is>
      </c>
      <c r="E477" t="inlineStr">
        <is>
          <t>HEDEMORA</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41642-2023</t>
        </is>
      </c>
      <c r="B478" s="1" t="n">
        <v>45175</v>
      </c>
      <c r="C478" s="1" t="n">
        <v>45780</v>
      </c>
      <c r="D478" t="inlineStr">
        <is>
          <t>DALARNAS LÄN</t>
        </is>
      </c>
      <c r="E478" t="inlineStr">
        <is>
          <t>HEDEMORA</t>
        </is>
      </c>
      <c r="G478" t="n">
        <v>2.8</v>
      </c>
      <c r="H478" t="n">
        <v>0</v>
      </c>
      <c r="I478" t="n">
        <v>0</v>
      </c>
      <c r="J478" t="n">
        <v>0</v>
      </c>
      <c r="K478" t="n">
        <v>0</v>
      </c>
      <c r="L478" t="n">
        <v>0</v>
      </c>
      <c r="M478" t="n">
        <v>0</v>
      </c>
      <c r="N478" t="n">
        <v>0</v>
      </c>
      <c r="O478" t="n">
        <v>0</v>
      </c>
      <c r="P478" t="n">
        <v>0</v>
      </c>
      <c r="Q478" t="n">
        <v>0</v>
      </c>
      <c r="R478" s="2" t="inlineStr"/>
    </row>
    <row r="479" ht="15" customHeight="1">
      <c r="A479" t="inlineStr">
        <is>
          <t>A 42387-2023</t>
        </is>
      </c>
      <c r="B479" s="1" t="n">
        <v>45180</v>
      </c>
      <c r="C479" s="1" t="n">
        <v>45780</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42618-2023</t>
        </is>
      </c>
      <c r="B480" s="1" t="n">
        <v>45181</v>
      </c>
      <c r="C480" s="1" t="n">
        <v>45780</v>
      </c>
      <c r="D480" t="inlineStr">
        <is>
          <t>DALARNAS LÄN</t>
        </is>
      </c>
      <c r="E480" t="inlineStr">
        <is>
          <t>HEDEMORA</t>
        </is>
      </c>
      <c r="G480" t="n">
        <v>3.8</v>
      </c>
      <c r="H480" t="n">
        <v>0</v>
      </c>
      <c r="I480" t="n">
        <v>0</v>
      </c>
      <c r="J480" t="n">
        <v>0</v>
      </c>
      <c r="K480" t="n">
        <v>0</v>
      </c>
      <c r="L480" t="n">
        <v>0</v>
      </c>
      <c r="M480" t="n">
        <v>0</v>
      </c>
      <c r="N480" t="n">
        <v>0</v>
      </c>
      <c r="O480" t="n">
        <v>0</v>
      </c>
      <c r="P480" t="n">
        <v>0</v>
      </c>
      <c r="Q480" t="n">
        <v>0</v>
      </c>
      <c r="R480" s="2" t="inlineStr"/>
    </row>
    <row r="481" ht="15" customHeight="1">
      <c r="A481" t="inlineStr">
        <is>
          <t>A 43621-2023</t>
        </is>
      </c>
      <c r="B481" s="1" t="n">
        <v>45184</v>
      </c>
      <c r="C481" s="1" t="n">
        <v>45780</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43785-2023</t>
        </is>
      </c>
      <c r="B482" s="1" t="n">
        <v>45187</v>
      </c>
      <c r="C482" s="1" t="n">
        <v>45780</v>
      </c>
      <c r="D482" t="inlineStr">
        <is>
          <t>DALARNAS LÄN</t>
        </is>
      </c>
      <c r="E482" t="inlineStr">
        <is>
          <t>HEDEMORA</t>
        </is>
      </c>
      <c r="F482" t="inlineStr">
        <is>
          <t>Sveaskog</t>
        </is>
      </c>
      <c r="G482" t="n">
        <v>5.7</v>
      </c>
      <c r="H482" t="n">
        <v>0</v>
      </c>
      <c r="I482" t="n">
        <v>0</v>
      </c>
      <c r="J482" t="n">
        <v>0</v>
      </c>
      <c r="K482" t="n">
        <v>0</v>
      </c>
      <c r="L482" t="n">
        <v>0</v>
      </c>
      <c r="M482" t="n">
        <v>0</v>
      </c>
      <c r="N482" t="n">
        <v>0</v>
      </c>
      <c r="O482" t="n">
        <v>0</v>
      </c>
      <c r="P482" t="n">
        <v>0</v>
      </c>
      <c r="Q482" t="n">
        <v>0</v>
      </c>
      <c r="R482" s="2" t="inlineStr"/>
    </row>
    <row r="483" ht="15" customHeight="1">
      <c r="A483" t="inlineStr">
        <is>
          <t>A 43675-2023</t>
        </is>
      </c>
      <c r="B483" s="1" t="n">
        <v>45187</v>
      </c>
      <c r="C483" s="1" t="n">
        <v>45780</v>
      </c>
      <c r="D483" t="inlineStr">
        <is>
          <t>DALARNAS LÄN</t>
        </is>
      </c>
      <c r="E483" t="inlineStr">
        <is>
          <t>HEDEMORA</t>
        </is>
      </c>
      <c r="G483" t="n">
        <v>1.5</v>
      </c>
      <c r="H483" t="n">
        <v>0</v>
      </c>
      <c r="I483" t="n">
        <v>0</v>
      </c>
      <c r="J483" t="n">
        <v>0</v>
      </c>
      <c r="K483" t="n">
        <v>0</v>
      </c>
      <c r="L483" t="n">
        <v>0</v>
      </c>
      <c r="M483" t="n">
        <v>0</v>
      </c>
      <c r="N483" t="n">
        <v>0</v>
      </c>
      <c r="O483" t="n">
        <v>0</v>
      </c>
      <c r="P483" t="n">
        <v>0</v>
      </c>
      <c r="Q483" t="n">
        <v>0</v>
      </c>
      <c r="R483" s="2" t="inlineStr"/>
      <c r="U483">
        <f>HYPERLINK("https://klasma.github.io/Logging_2083/knärot/A 43675-2023 karta knärot.png", "A 43675-2023")</f>
        <v/>
      </c>
      <c r="V483">
        <f>HYPERLINK("https://klasma.github.io/Logging_2083/klagomål/A 43675-2023 FSC-klagomål.docx", "A 43675-2023")</f>
        <v/>
      </c>
      <c r="W483">
        <f>HYPERLINK("https://klasma.github.io/Logging_2083/klagomålsmail/A 43675-2023 FSC-klagomål mail.docx", "A 43675-2023")</f>
        <v/>
      </c>
      <c r="X483">
        <f>HYPERLINK("https://klasma.github.io/Logging_2083/tillsyn/A 43675-2023 tillsynsbegäran.docx", "A 43675-2023")</f>
        <v/>
      </c>
      <c r="Y483">
        <f>HYPERLINK("https://klasma.github.io/Logging_2083/tillsynsmail/A 43675-2023 tillsynsbegäran mail.docx", "A 43675-2023")</f>
        <v/>
      </c>
    </row>
    <row r="484" ht="15" customHeight="1">
      <c r="A484" t="inlineStr">
        <is>
          <t>A 44587-2023</t>
        </is>
      </c>
      <c r="B484" s="1" t="n">
        <v>45189</v>
      </c>
      <c r="C484" s="1" t="n">
        <v>45780</v>
      </c>
      <c r="D484" t="inlineStr">
        <is>
          <t>DALARNAS LÄN</t>
        </is>
      </c>
      <c r="E484" t="inlineStr">
        <is>
          <t>HEDEMORA</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44750-2023</t>
        </is>
      </c>
      <c r="B485" s="1" t="n">
        <v>45190</v>
      </c>
      <c r="C485" s="1" t="n">
        <v>45780</v>
      </c>
      <c r="D485" t="inlineStr">
        <is>
          <t>DALARNAS LÄN</t>
        </is>
      </c>
      <c r="E485" t="inlineStr">
        <is>
          <t>HEDEMORA</t>
        </is>
      </c>
      <c r="G485" t="n">
        <v>5.4</v>
      </c>
      <c r="H485" t="n">
        <v>0</v>
      </c>
      <c r="I485" t="n">
        <v>0</v>
      </c>
      <c r="J485" t="n">
        <v>0</v>
      </c>
      <c r="K485" t="n">
        <v>0</v>
      </c>
      <c r="L485" t="n">
        <v>0</v>
      </c>
      <c r="M485" t="n">
        <v>0</v>
      </c>
      <c r="N485" t="n">
        <v>0</v>
      </c>
      <c r="O485" t="n">
        <v>0</v>
      </c>
      <c r="P485" t="n">
        <v>0</v>
      </c>
      <c r="Q485" t="n">
        <v>0</v>
      </c>
      <c r="R485" s="2" t="inlineStr"/>
    </row>
    <row r="486" ht="15" customHeight="1">
      <c r="A486" t="inlineStr">
        <is>
          <t>A 46217-2023</t>
        </is>
      </c>
      <c r="B486" s="1" t="n">
        <v>45190</v>
      </c>
      <c r="C486" s="1" t="n">
        <v>45780</v>
      </c>
      <c r="D486" t="inlineStr">
        <is>
          <t>DALARNAS LÄN</t>
        </is>
      </c>
      <c r="E486" t="inlineStr">
        <is>
          <t>HEDEMORA</t>
        </is>
      </c>
      <c r="F486" t="inlineStr">
        <is>
          <t>Bergvik skog väst AB</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45186-2023</t>
        </is>
      </c>
      <c r="B487" s="1" t="n">
        <v>45191</v>
      </c>
      <c r="C487" s="1" t="n">
        <v>45780</v>
      </c>
      <c r="D487" t="inlineStr">
        <is>
          <t>DALARNAS LÄN</t>
        </is>
      </c>
      <c r="E487" t="inlineStr">
        <is>
          <t>HEDEMORA</t>
        </is>
      </c>
      <c r="F487" t="inlineStr">
        <is>
          <t>Sveaskog</t>
        </is>
      </c>
      <c r="G487" t="n">
        <v>18.9</v>
      </c>
      <c r="H487" t="n">
        <v>0</v>
      </c>
      <c r="I487" t="n">
        <v>0</v>
      </c>
      <c r="J487" t="n">
        <v>0</v>
      </c>
      <c r="K487" t="n">
        <v>0</v>
      </c>
      <c r="L487" t="n">
        <v>0</v>
      </c>
      <c r="M487" t="n">
        <v>0</v>
      </c>
      <c r="N487" t="n">
        <v>0</v>
      </c>
      <c r="O487" t="n">
        <v>0</v>
      </c>
      <c r="P487" t="n">
        <v>0</v>
      </c>
      <c r="Q487" t="n">
        <v>0</v>
      </c>
      <c r="R487" s="2" t="inlineStr"/>
    </row>
    <row r="488" ht="15" customHeight="1">
      <c r="A488" t="inlineStr">
        <is>
          <t>A 45589-2023</t>
        </is>
      </c>
      <c r="B488" s="1" t="n">
        <v>45194</v>
      </c>
      <c r="C488" s="1" t="n">
        <v>45780</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48204-2023</t>
        </is>
      </c>
      <c r="B489" s="1" t="n">
        <v>45205</v>
      </c>
      <c r="C489" s="1" t="n">
        <v>45780</v>
      </c>
      <c r="D489" t="inlineStr">
        <is>
          <t>DALARNAS LÄN</t>
        </is>
      </c>
      <c r="E489" t="inlineStr">
        <is>
          <t>HEDEMORA</t>
        </is>
      </c>
      <c r="F489" t="inlineStr">
        <is>
          <t>Kyrkan</t>
        </is>
      </c>
      <c r="G489" t="n">
        <v>21.8</v>
      </c>
      <c r="H489" t="n">
        <v>0</v>
      </c>
      <c r="I489" t="n">
        <v>0</v>
      </c>
      <c r="J489" t="n">
        <v>0</v>
      </c>
      <c r="K489" t="n">
        <v>0</v>
      </c>
      <c r="L489" t="n">
        <v>0</v>
      </c>
      <c r="M489" t="n">
        <v>0</v>
      </c>
      <c r="N489" t="n">
        <v>0</v>
      </c>
      <c r="O489" t="n">
        <v>0</v>
      </c>
      <c r="P489" t="n">
        <v>0</v>
      </c>
      <c r="Q489" t="n">
        <v>0</v>
      </c>
      <c r="R489" s="2" t="inlineStr"/>
      <c r="U489">
        <f>HYPERLINK("https://klasma.github.io/Logging_2083/knärot/A 48204-2023 karta knärot.png", "A 48204-2023")</f>
        <v/>
      </c>
      <c r="V489">
        <f>HYPERLINK("https://klasma.github.io/Logging_2083/klagomål/A 48204-2023 FSC-klagomål.docx", "A 48204-2023")</f>
        <v/>
      </c>
      <c r="W489">
        <f>HYPERLINK("https://klasma.github.io/Logging_2083/klagomålsmail/A 48204-2023 FSC-klagomål mail.docx", "A 48204-2023")</f>
        <v/>
      </c>
      <c r="X489">
        <f>HYPERLINK("https://klasma.github.io/Logging_2083/tillsyn/A 48204-2023 tillsynsbegäran.docx", "A 48204-2023")</f>
        <v/>
      </c>
      <c r="Y489">
        <f>HYPERLINK("https://klasma.github.io/Logging_2083/tillsynsmail/A 48204-2023 tillsynsbegäran mail.docx", "A 48204-2023")</f>
        <v/>
      </c>
    </row>
    <row r="490" ht="15" customHeight="1">
      <c r="A490" t="inlineStr">
        <is>
          <t>A 48254-2023</t>
        </is>
      </c>
      <c r="B490" s="1" t="n">
        <v>45205</v>
      </c>
      <c r="C490" s="1" t="n">
        <v>45780</v>
      </c>
      <c r="D490" t="inlineStr">
        <is>
          <t>DALARNAS LÄN</t>
        </is>
      </c>
      <c r="E490" t="inlineStr">
        <is>
          <t>HEDEMORA</t>
        </is>
      </c>
      <c r="F490" t="inlineStr">
        <is>
          <t>Sveaskog</t>
        </is>
      </c>
      <c r="G490" t="n">
        <v>1.5</v>
      </c>
      <c r="H490" t="n">
        <v>0</v>
      </c>
      <c r="I490" t="n">
        <v>0</v>
      </c>
      <c r="J490" t="n">
        <v>0</v>
      </c>
      <c r="K490" t="n">
        <v>0</v>
      </c>
      <c r="L490" t="n">
        <v>0</v>
      </c>
      <c r="M490" t="n">
        <v>0</v>
      </c>
      <c r="N490" t="n">
        <v>0</v>
      </c>
      <c r="O490" t="n">
        <v>0</v>
      </c>
      <c r="P490" t="n">
        <v>0</v>
      </c>
      <c r="Q490" t="n">
        <v>0</v>
      </c>
      <c r="R490" s="2" t="inlineStr"/>
      <c r="U490">
        <f>HYPERLINK("https://klasma.github.io/Logging_2083/knärot/A 48254-2023 karta knärot.png", "A 48254-2023")</f>
        <v/>
      </c>
      <c r="V490">
        <f>HYPERLINK("https://klasma.github.io/Logging_2083/klagomål/A 48254-2023 FSC-klagomål.docx", "A 48254-2023")</f>
        <v/>
      </c>
      <c r="W490">
        <f>HYPERLINK("https://klasma.github.io/Logging_2083/klagomålsmail/A 48254-2023 FSC-klagomål mail.docx", "A 48254-2023")</f>
        <v/>
      </c>
      <c r="X490">
        <f>HYPERLINK("https://klasma.github.io/Logging_2083/tillsyn/A 48254-2023 tillsynsbegäran.docx", "A 48254-2023")</f>
        <v/>
      </c>
      <c r="Y490">
        <f>HYPERLINK("https://klasma.github.io/Logging_2083/tillsynsmail/A 48254-2023 tillsynsbegäran mail.docx", "A 48254-2023")</f>
        <v/>
      </c>
    </row>
    <row r="491" ht="15" customHeight="1">
      <c r="A491" t="inlineStr">
        <is>
          <t>A 48834-2023</t>
        </is>
      </c>
      <c r="B491" s="1" t="n">
        <v>45209</v>
      </c>
      <c r="C491" s="1" t="n">
        <v>45780</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48826-2023</t>
        </is>
      </c>
      <c r="B492" s="1" t="n">
        <v>45209</v>
      </c>
      <c r="C492" s="1" t="n">
        <v>45780</v>
      </c>
      <c r="D492" t="inlineStr">
        <is>
          <t>DALARNAS LÄN</t>
        </is>
      </c>
      <c r="E492" t="inlineStr">
        <is>
          <t>HEDEMORA</t>
        </is>
      </c>
      <c r="G492" t="n">
        <v>1</v>
      </c>
      <c r="H492" t="n">
        <v>0</v>
      </c>
      <c r="I492" t="n">
        <v>0</v>
      </c>
      <c r="J492" t="n">
        <v>0</v>
      </c>
      <c r="K492" t="n">
        <v>0</v>
      </c>
      <c r="L492" t="n">
        <v>0</v>
      </c>
      <c r="M492" t="n">
        <v>0</v>
      </c>
      <c r="N492" t="n">
        <v>0</v>
      </c>
      <c r="O492" t="n">
        <v>0</v>
      </c>
      <c r="P492" t="n">
        <v>0</v>
      </c>
      <c r="Q492" t="n">
        <v>0</v>
      </c>
      <c r="R492" s="2" t="inlineStr"/>
    </row>
    <row r="493" ht="15" customHeight="1">
      <c r="A493" t="inlineStr">
        <is>
          <t>A 50333-2023</t>
        </is>
      </c>
      <c r="B493" s="1" t="n">
        <v>45216</v>
      </c>
      <c r="C493" s="1" t="n">
        <v>45780</v>
      </c>
      <c r="D493" t="inlineStr">
        <is>
          <t>DALARNAS LÄN</t>
        </is>
      </c>
      <c r="E493" t="inlineStr">
        <is>
          <t>HEDEMORA</t>
        </is>
      </c>
      <c r="G493" t="n">
        <v>1.1</v>
      </c>
      <c r="H493" t="n">
        <v>0</v>
      </c>
      <c r="I493" t="n">
        <v>0</v>
      </c>
      <c r="J493" t="n">
        <v>0</v>
      </c>
      <c r="K493" t="n">
        <v>0</v>
      </c>
      <c r="L493" t="n">
        <v>0</v>
      </c>
      <c r="M493" t="n">
        <v>0</v>
      </c>
      <c r="N493" t="n">
        <v>0</v>
      </c>
      <c r="O493" t="n">
        <v>0</v>
      </c>
      <c r="P493" t="n">
        <v>0</v>
      </c>
      <c r="Q493" t="n">
        <v>0</v>
      </c>
      <c r="R493" s="2" t="inlineStr"/>
    </row>
    <row r="494" ht="15" customHeight="1">
      <c r="A494" t="inlineStr">
        <is>
          <t>A 50885-2023</t>
        </is>
      </c>
      <c r="B494" s="1" t="n">
        <v>45218</v>
      </c>
      <c r="C494" s="1" t="n">
        <v>45780</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51879-2023</t>
        </is>
      </c>
      <c r="B495" s="1" t="n">
        <v>45223</v>
      </c>
      <c r="C495" s="1" t="n">
        <v>45780</v>
      </c>
      <c r="D495" t="inlineStr">
        <is>
          <t>DALARNAS LÄN</t>
        </is>
      </c>
      <c r="E495" t="inlineStr">
        <is>
          <t>HEDEMORA</t>
        </is>
      </c>
      <c r="G495" t="n">
        <v>2.1</v>
      </c>
      <c r="H495" t="n">
        <v>0</v>
      </c>
      <c r="I495" t="n">
        <v>0</v>
      </c>
      <c r="J495" t="n">
        <v>0</v>
      </c>
      <c r="K495" t="n">
        <v>0</v>
      </c>
      <c r="L495" t="n">
        <v>0</v>
      </c>
      <c r="M495" t="n">
        <v>0</v>
      </c>
      <c r="N495" t="n">
        <v>0</v>
      </c>
      <c r="O495" t="n">
        <v>0</v>
      </c>
      <c r="P495" t="n">
        <v>0</v>
      </c>
      <c r="Q495" t="n">
        <v>0</v>
      </c>
      <c r="R495" s="2" t="inlineStr"/>
    </row>
    <row r="496" ht="15" customHeight="1">
      <c r="A496" t="inlineStr">
        <is>
          <t>A 52967-2023</t>
        </is>
      </c>
      <c r="B496" s="1" t="n">
        <v>45226</v>
      </c>
      <c r="C496" s="1" t="n">
        <v>45780</v>
      </c>
      <c r="D496" t="inlineStr">
        <is>
          <t>DALARNAS LÄN</t>
        </is>
      </c>
      <c r="E496" t="inlineStr">
        <is>
          <t>HEDEMORA</t>
        </is>
      </c>
      <c r="F496" t="inlineStr">
        <is>
          <t>Bergvik skog väst AB</t>
        </is>
      </c>
      <c r="G496" t="n">
        <v>8.5</v>
      </c>
      <c r="H496" t="n">
        <v>0</v>
      </c>
      <c r="I496" t="n">
        <v>0</v>
      </c>
      <c r="J496" t="n">
        <v>0</v>
      </c>
      <c r="K496" t="n">
        <v>0</v>
      </c>
      <c r="L496" t="n">
        <v>0</v>
      </c>
      <c r="M496" t="n">
        <v>0</v>
      </c>
      <c r="N496" t="n">
        <v>0</v>
      </c>
      <c r="O496" t="n">
        <v>0</v>
      </c>
      <c r="P496" t="n">
        <v>0</v>
      </c>
      <c r="Q496" t="n">
        <v>0</v>
      </c>
      <c r="R496" s="2" t="inlineStr"/>
    </row>
    <row r="497" ht="15" customHeight="1">
      <c r="A497" t="inlineStr">
        <is>
          <t>A 53743-2023</t>
        </is>
      </c>
      <c r="B497" s="1" t="n">
        <v>45230</v>
      </c>
      <c r="C497" s="1" t="n">
        <v>45780</v>
      </c>
      <c r="D497" t="inlineStr">
        <is>
          <t>DALARNAS LÄN</t>
        </is>
      </c>
      <c r="E497" t="inlineStr">
        <is>
          <t>HEDEMORA</t>
        </is>
      </c>
      <c r="G497" t="n">
        <v>3.8</v>
      </c>
      <c r="H497" t="n">
        <v>0</v>
      </c>
      <c r="I497" t="n">
        <v>0</v>
      </c>
      <c r="J497" t="n">
        <v>0</v>
      </c>
      <c r="K497" t="n">
        <v>0</v>
      </c>
      <c r="L497" t="n">
        <v>0</v>
      </c>
      <c r="M497" t="n">
        <v>0</v>
      </c>
      <c r="N497" t="n">
        <v>0</v>
      </c>
      <c r="O497" t="n">
        <v>0</v>
      </c>
      <c r="P497" t="n">
        <v>0</v>
      </c>
      <c r="Q497" t="n">
        <v>0</v>
      </c>
      <c r="R497" s="2" t="inlineStr"/>
    </row>
    <row r="498" ht="15" customHeight="1">
      <c r="A498" t="inlineStr">
        <is>
          <t>A 53588-2023</t>
        </is>
      </c>
      <c r="B498" s="1" t="n">
        <v>45230</v>
      </c>
      <c r="C498" s="1" t="n">
        <v>45780</v>
      </c>
      <c r="D498" t="inlineStr">
        <is>
          <t>DALARNAS LÄN</t>
        </is>
      </c>
      <c r="E498" t="inlineStr">
        <is>
          <t>HEDEMORA</t>
        </is>
      </c>
      <c r="G498" t="n">
        <v>0.6</v>
      </c>
      <c r="H498" t="n">
        <v>0</v>
      </c>
      <c r="I498" t="n">
        <v>0</v>
      </c>
      <c r="J498" t="n">
        <v>0</v>
      </c>
      <c r="K498" t="n">
        <v>0</v>
      </c>
      <c r="L498" t="n">
        <v>0</v>
      </c>
      <c r="M498" t="n">
        <v>0</v>
      </c>
      <c r="N498" t="n">
        <v>0</v>
      </c>
      <c r="O498" t="n">
        <v>0</v>
      </c>
      <c r="P498" t="n">
        <v>0</v>
      </c>
      <c r="Q498" t="n">
        <v>0</v>
      </c>
      <c r="R498" s="2" t="inlineStr"/>
    </row>
    <row r="499" ht="15" customHeight="1">
      <c r="A499" t="inlineStr">
        <is>
          <t>A 53584-2023</t>
        </is>
      </c>
      <c r="B499" s="1" t="n">
        <v>45230</v>
      </c>
      <c r="C499" s="1" t="n">
        <v>45780</v>
      </c>
      <c r="D499" t="inlineStr">
        <is>
          <t>DALARNAS LÄN</t>
        </is>
      </c>
      <c r="E499" t="inlineStr">
        <is>
          <t>HEDEMORA</t>
        </is>
      </c>
      <c r="G499" t="n">
        <v>6.6</v>
      </c>
      <c r="H499" t="n">
        <v>0</v>
      </c>
      <c r="I499" t="n">
        <v>0</v>
      </c>
      <c r="J499" t="n">
        <v>0</v>
      </c>
      <c r="K499" t="n">
        <v>0</v>
      </c>
      <c r="L499" t="n">
        <v>0</v>
      </c>
      <c r="M499" t="n">
        <v>0</v>
      </c>
      <c r="N499" t="n">
        <v>0</v>
      </c>
      <c r="O499" t="n">
        <v>0</v>
      </c>
      <c r="P499" t="n">
        <v>0</v>
      </c>
      <c r="Q499" t="n">
        <v>0</v>
      </c>
      <c r="R499" s="2" t="inlineStr"/>
    </row>
    <row r="500" ht="15" customHeight="1">
      <c r="A500" t="inlineStr">
        <is>
          <t>A 53576-2023</t>
        </is>
      </c>
      <c r="B500" s="1" t="n">
        <v>45230</v>
      </c>
      <c r="C500" s="1" t="n">
        <v>45780</v>
      </c>
      <c r="D500" t="inlineStr">
        <is>
          <t>DALARNAS LÄN</t>
        </is>
      </c>
      <c r="E500" t="inlineStr">
        <is>
          <t>HEDEMORA</t>
        </is>
      </c>
      <c r="G500" t="n">
        <v>0.9</v>
      </c>
      <c r="H500" t="n">
        <v>0</v>
      </c>
      <c r="I500" t="n">
        <v>0</v>
      </c>
      <c r="J500" t="n">
        <v>0</v>
      </c>
      <c r="K500" t="n">
        <v>0</v>
      </c>
      <c r="L500" t="n">
        <v>0</v>
      </c>
      <c r="M500" t="n">
        <v>0</v>
      </c>
      <c r="N500" t="n">
        <v>0</v>
      </c>
      <c r="O500" t="n">
        <v>0</v>
      </c>
      <c r="P500" t="n">
        <v>0</v>
      </c>
      <c r="Q500" t="n">
        <v>0</v>
      </c>
      <c r="R500" s="2" t="inlineStr"/>
    </row>
    <row r="501" ht="15" customHeight="1">
      <c r="A501" t="inlineStr">
        <is>
          <t>A 53568-2023</t>
        </is>
      </c>
      <c r="B501" s="1" t="n">
        <v>45230</v>
      </c>
      <c r="C501" s="1" t="n">
        <v>45780</v>
      </c>
      <c r="D501" t="inlineStr">
        <is>
          <t>DALARNAS LÄN</t>
        </is>
      </c>
      <c r="E501" t="inlineStr">
        <is>
          <t>HEDEMORA</t>
        </is>
      </c>
      <c r="G501" t="n">
        <v>1.2</v>
      </c>
      <c r="H501" t="n">
        <v>0</v>
      </c>
      <c r="I501" t="n">
        <v>0</v>
      </c>
      <c r="J501" t="n">
        <v>0</v>
      </c>
      <c r="K501" t="n">
        <v>0</v>
      </c>
      <c r="L501" t="n">
        <v>0</v>
      </c>
      <c r="M501" t="n">
        <v>0</v>
      </c>
      <c r="N501" t="n">
        <v>0</v>
      </c>
      <c r="O501" t="n">
        <v>0</v>
      </c>
      <c r="P501" t="n">
        <v>0</v>
      </c>
      <c r="Q501" t="n">
        <v>0</v>
      </c>
      <c r="R501" s="2" t="inlineStr"/>
    </row>
    <row r="502" ht="15" customHeight="1">
      <c r="A502" t="inlineStr">
        <is>
          <t>A 53586-2023</t>
        </is>
      </c>
      <c r="B502" s="1" t="n">
        <v>45230</v>
      </c>
      <c r="C502" s="1" t="n">
        <v>45780</v>
      </c>
      <c r="D502" t="inlineStr">
        <is>
          <t>DALARNAS LÄN</t>
        </is>
      </c>
      <c r="E502" t="inlineStr">
        <is>
          <t>HEDEMORA</t>
        </is>
      </c>
      <c r="G502" t="n">
        <v>2.4</v>
      </c>
      <c r="H502" t="n">
        <v>0</v>
      </c>
      <c r="I502" t="n">
        <v>0</v>
      </c>
      <c r="J502" t="n">
        <v>0</v>
      </c>
      <c r="K502" t="n">
        <v>0</v>
      </c>
      <c r="L502" t="n">
        <v>0</v>
      </c>
      <c r="M502" t="n">
        <v>0</v>
      </c>
      <c r="N502" t="n">
        <v>0</v>
      </c>
      <c r="O502" t="n">
        <v>0</v>
      </c>
      <c r="P502" t="n">
        <v>0</v>
      </c>
      <c r="Q502" t="n">
        <v>0</v>
      </c>
      <c r="R502" s="2" t="inlineStr"/>
    </row>
    <row r="503" ht="15" customHeight="1">
      <c r="A503" t="inlineStr">
        <is>
          <t>A 54423-2023</t>
        </is>
      </c>
      <c r="B503" s="1" t="n">
        <v>45233</v>
      </c>
      <c r="C503" s="1" t="n">
        <v>45780</v>
      </c>
      <c r="D503" t="inlineStr">
        <is>
          <t>DALARNAS LÄN</t>
        </is>
      </c>
      <c r="E503" t="inlineStr">
        <is>
          <t>HEDEMORA</t>
        </is>
      </c>
      <c r="G503" t="n">
        <v>3.4</v>
      </c>
      <c r="H503" t="n">
        <v>0</v>
      </c>
      <c r="I503" t="n">
        <v>0</v>
      </c>
      <c r="J503" t="n">
        <v>0</v>
      </c>
      <c r="K503" t="n">
        <v>0</v>
      </c>
      <c r="L503" t="n">
        <v>0</v>
      </c>
      <c r="M503" t="n">
        <v>0</v>
      </c>
      <c r="N503" t="n">
        <v>0</v>
      </c>
      <c r="O503" t="n">
        <v>0</v>
      </c>
      <c r="P503" t="n">
        <v>0</v>
      </c>
      <c r="Q503" t="n">
        <v>0</v>
      </c>
      <c r="R503" s="2" t="inlineStr"/>
    </row>
    <row r="504" ht="15" customHeight="1">
      <c r="A504" t="inlineStr">
        <is>
          <t>A 54440-2023</t>
        </is>
      </c>
      <c r="B504" s="1" t="n">
        <v>45233</v>
      </c>
      <c r="C504" s="1" t="n">
        <v>45780</v>
      </c>
      <c r="D504" t="inlineStr">
        <is>
          <t>DALARNAS LÄN</t>
        </is>
      </c>
      <c r="E504" t="inlineStr">
        <is>
          <t>HEDEMORA</t>
        </is>
      </c>
      <c r="G504" t="n">
        <v>1.1</v>
      </c>
      <c r="H504" t="n">
        <v>0</v>
      </c>
      <c r="I504" t="n">
        <v>0</v>
      </c>
      <c r="J504" t="n">
        <v>0</v>
      </c>
      <c r="K504" t="n">
        <v>0</v>
      </c>
      <c r="L504" t="n">
        <v>0</v>
      </c>
      <c r="M504" t="n">
        <v>0</v>
      </c>
      <c r="N504" t="n">
        <v>0</v>
      </c>
      <c r="O504" t="n">
        <v>0</v>
      </c>
      <c r="P504" t="n">
        <v>0</v>
      </c>
      <c r="Q504" t="n">
        <v>0</v>
      </c>
      <c r="R504" s="2" t="inlineStr"/>
    </row>
    <row r="505" ht="15" customHeight="1">
      <c r="A505" t="inlineStr">
        <is>
          <t>A 55881-2023</t>
        </is>
      </c>
      <c r="B505" s="1" t="n">
        <v>45239</v>
      </c>
      <c r="C505" s="1" t="n">
        <v>45780</v>
      </c>
      <c r="D505" t="inlineStr">
        <is>
          <t>DALARNAS LÄN</t>
        </is>
      </c>
      <c r="E505" t="inlineStr">
        <is>
          <t>HEDEMORA</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55882-2023</t>
        </is>
      </c>
      <c r="B506" s="1" t="n">
        <v>45239</v>
      </c>
      <c r="C506" s="1" t="n">
        <v>45780</v>
      </c>
      <c r="D506" t="inlineStr">
        <is>
          <t>DALARNAS LÄN</t>
        </is>
      </c>
      <c r="E506" t="inlineStr">
        <is>
          <t>HEDEMORA</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55981-2023</t>
        </is>
      </c>
      <c r="B507" s="1" t="n">
        <v>45240</v>
      </c>
      <c r="C507" s="1" t="n">
        <v>45780</v>
      </c>
      <c r="D507" t="inlineStr">
        <is>
          <t>DALARNAS LÄN</t>
        </is>
      </c>
      <c r="E507" t="inlineStr">
        <is>
          <t>HEDEMORA</t>
        </is>
      </c>
      <c r="G507" t="n">
        <v>3.2</v>
      </c>
      <c r="H507" t="n">
        <v>0</v>
      </c>
      <c r="I507" t="n">
        <v>0</v>
      </c>
      <c r="J507" t="n">
        <v>0</v>
      </c>
      <c r="K507" t="n">
        <v>0</v>
      </c>
      <c r="L507" t="n">
        <v>0</v>
      </c>
      <c r="M507" t="n">
        <v>0</v>
      </c>
      <c r="N507" t="n">
        <v>0</v>
      </c>
      <c r="O507" t="n">
        <v>0</v>
      </c>
      <c r="P507" t="n">
        <v>0</v>
      </c>
      <c r="Q507" t="n">
        <v>0</v>
      </c>
      <c r="R507" s="2" t="inlineStr"/>
    </row>
    <row r="508" ht="15" customHeight="1">
      <c r="A508" t="inlineStr">
        <is>
          <t>A 57486-2023</t>
        </is>
      </c>
      <c r="B508" s="1" t="n">
        <v>45246</v>
      </c>
      <c r="C508" s="1" t="n">
        <v>45780</v>
      </c>
      <c r="D508" t="inlineStr">
        <is>
          <t>DALARNAS LÄN</t>
        </is>
      </c>
      <c r="E508" t="inlineStr">
        <is>
          <t>HEDEMORA</t>
        </is>
      </c>
      <c r="F508" t="inlineStr">
        <is>
          <t>Bergvik skog väst AB</t>
        </is>
      </c>
      <c r="G508" t="n">
        <v>4.2</v>
      </c>
      <c r="H508" t="n">
        <v>0</v>
      </c>
      <c r="I508" t="n">
        <v>0</v>
      </c>
      <c r="J508" t="n">
        <v>0</v>
      </c>
      <c r="K508" t="n">
        <v>0</v>
      </c>
      <c r="L508" t="n">
        <v>0</v>
      </c>
      <c r="M508" t="n">
        <v>0</v>
      </c>
      <c r="N508" t="n">
        <v>0</v>
      </c>
      <c r="O508" t="n">
        <v>0</v>
      </c>
      <c r="P508" t="n">
        <v>0</v>
      </c>
      <c r="Q508" t="n">
        <v>0</v>
      </c>
      <c r="R508" s="2" t="inlineStr"/>
    </row>
    <row r="509" ht="15" customHeight="1">
      <c r="A509" t="inlineStr">
        <is>
          <t>A 58841-2023</t>
        </is>
      </c>
      <c r="B509" s="1" t="n">
        <v>45252</v>
      </c>
      <c r="C509" s="1" t="n">
        <v>45780</v>
      </c>
      <c r="D509" t="inlineStr">
        <is>
          <t>DALARNAS LÄN</t>
        </is>
      </c>
      <c r="E509" t="inlineStr">
        <is>
          <t>HEDEMORA</t>
        </is>
      </c>
      <c r="G509" t="n">
        <v>14.8</v>
      </c>
      <c r="H509" t="n">
        <v>0</v>
      </c>
      <c r="I509" t="n">
        <v>0</v>
      </c>
      <c r="J509" t="n">
        <v>0</v>
      </c>
      <c r="K509" t="n">
        <v>0</v>
      </c>
      <c r="L509" t="n">
        <v>0</v>
      </c>
      <c r="M509" t="n">
        <v>0</v>
      </c>
      <c r="N509" t="n">
        <v>0</v>
      </c>
      <c r="O509" t="n">
        <v>0</v>
      </c>
      <c r="P509" t="n">
        <v>0</v>
      </c>
      <c r="Q509" t="n">
        <v>0</v>
      </c>
      <c r="R509" s="2" t="inlineStr"/>
    </row>
    <row r="510" ht="15" customHeight="1">
      <c r="A510" t="inlineStr">
        <is>
          <t>A 59249-2023</t>
        </is>
      </c>
      <c r="B510" s="1" t="n">
        <v>45253</v>
      </c>
      <c r="C510" s="1" t="n">
        <v>45780</v>
      </c>
      <c r="D510" t="inlineStr">
        <is>
          <t>DALARNAS LÄN</t>
        </is>
      </c>
      <c r="E510" t="inlineStr">
        <is>
          <t>HEDEMORA</t>
        </is>
      </c>
      <c r="G510" t="n">
        <v>1.2</v>
      </c>
      <c r="H510" t="n">
        <v>0</v>
      </c>
      <c r="I510" t="n">
        <v>0</v>
      </c>
      <c r="J510" t="n">
        <v>0</v>
      </c>
      <c r="K510" t="n">
        <v>0</v>
      </c>
      <c r="L510" t="n">
        <v>0</v>
      </c>
      <c r="M510" t="n">
        <v>0</v>
      </c>
      <c r="N510" t="n">
        <v>0</v>
      </c>
      <c r="O510" t="n">
        <v>0</v>
      </c>
      <c r="P510" t="n">
        <v>0</v>
      </c>
      <c r="Q510" t="n">
        <v>0</v>
      </c>
      <c r="R510" s="2" t="inlineStr"/>
    </row>
    <row r="511" ht="15" customHeight="1">
      <c r="A511" t="inlineStr">
        <is>
          <t>A 59235-2023</t>
        </is>
      </c>
      <c r="B511" s="1" t="n">
        <v>45253</v>
      </c>
      <c r="C511" s="1" t="n">
        <v>45780</v>
      </c>
      <c r="D511" t="inlineStr">
        <is>
          <t>DALARNAS LÄN</t>
        </is>
      </c>
      <c r="E511" t="inlineStr">
        <is>
          <t>HEDEMORA</t>
        </is>
      </c>
      <c r="G511" t="n">
        <v>2.4</v>
      </c>
      <c r="H511" t="n">
        <v>0</v>
      </c>
      <c r="I511" t="n">
        <v>0</v>
      </c>
      <c r="J511" t="n">
        <v>0</v>
      </c>
      <c r="K511" t="n">
        <v>0</v>
      </c>
      <c r="L511" t="n">
        <v>0</v>
      </c>
      <c r="M511" t="n">
        <v>0</v>
      </c>
      <c r="N511" t="n">
        <v>0</v>
      </c>
      <c r="O511" t="n">
        <v>0</v>
      </c>
      <c r="P511" t="n">
        <v>0</v>
      </c>
      <c r="Q511" t="n">
        <v>0</v>
      </c>
      <c r="R511" s="2" t="inlineStr"/>
    </row>
    <row r="512" ht="15" customHeight="1">
      <c r="A512" t="inlineStr">
        <is>
          <t>A 59140-2023</t>
        </is>
      </c>
      <c r="B512" s="1" t="n">
        <v>45253</v>
      </c>
      <c r="C512" s="1" t="n">
        <v>45780</v>
      </c>
      <c r="D512" t="inlineStr">
        <is>
          <t>DALARNAS LÄN</t>
        </is>
      </c>
      <c r="E512" t="inlineStr">
        <is>
          <t>HEDEMORA</t>
        </is>
      </c>
      <c r="F512" t="inlineStr">
        <is>
          <t>Sveaskog</t>
        </is>
      </c>
      <c r="G512" t="n">
        <v>6.7</v>
      </c>
      <c r="H512" t="n">
        <v>0</v>
      </c>
      <c r="I512" t="n">
        <v>0</v>
      </c>
      <c r="J512" t="n">
        <v>0</v>
      </c>
      <c r="K512" t="n">
        <v>0</v>
      </c>
      <c r="L512" t="n">
        <v>0</v>
      </c>
      <c r="M512" t="n">
        <v>0</v>
      </c>
      <c r="N512" t="n">
        <v>0</v>
      </c>
      <c r="O512" t="n">
        <v>0</v>
      </c>
      <c r="P512" t="n">
        <v>0</v>
      </c>
      <c r="Q512" t="n">
        <v>0</v>
      </c>
      <c r="R512" s="2" t="inlineStr"/>
    </row>
    <row r="513" ht="15" customHeight="1">
      <c r="A513" t="inlineStr">
        <is>
          <t>A 59232-2023</t>
        </is>
      </c>
      <c r="B513" s="1" t="n">
        <v>45253</v>
      </c>
      <c r="C513" s="1" t="n">
        <v>45780</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59515-2023</t>
        </is>
      </c>
      <c r="B514" s="1" t="n">
        <v>45253</v>
      </c>
      <c r="C514" s="1" t="n">
        <v>45780</v>
      </c>
      <c r="D514" t="inlineStr">
        <is>
          <t>DALARNAS LÄN</t>
        </is>
      </c>
      <c r="E514" t="inlineStr">
        <is>
          <t>HEDEMORA</t>
        </is>
      </c>
      <c r="G514" t="n">
        <v>5.1</v>
      </c>
      <c r="H514" t="n">
        <v>0</v>
      </c>
      <c r="I514" t="n">
        <v>0</v>
      </c>
      <c r="J514" t="n">
        <v>0</v>
      </c>
      <c r="K514" t="n">
        <v>0</v>
      </c>
      <c r="L514" t="n">
        <v>0</v>
      </c>
      <c r="M514" t="n">
        <v>0</v>
      </c>
      <c r="N514" t="n">
        <v>0</v>
      </c>
      <c r="O514" t="n">
        <v>0</v>
      </c>
      <c r="P514" t="n">
        <v>0</v>
      </c>
      <c r="Q514" t="n">
        <v>0</v>
      </c>
      <c r="R514" s="2" t="inlineStr"/>
    </row>
    <row r="515" ht="15" customHeight="1">
      <c r="A515" t="inlineStr">
        <is>
          <t>A 59519-2023</t>
        </is>
      </c>
      <c r="B515" s="1" t="n">
        <v>45253</v>
      </c>
      <c r="C515" s="1" t="n">
        <v>45780</v>
      </c>
      <c r="D515" t="inlineStr">
        <is>
          <t>DALARNAS LÄN</t>
        </is>
      </c>
      <c r="E515" t="inlineStr">
        <is>
          <t>HEDEMORA</t>
        </is>
      </c>
      <c r="G515" t="n">
        <v>1.9</v>
      </c>
      <c r="H515" t="n">
        <v>0</v>
      </c>
      <c r="I515" t="n">
        <v>0</v>
      </c>
      <c r="J515" t="n">
        <v>0</v>
      </c>
      <c r="K515" t="n">
        <v>0</v>
      </c>
      <c r="L515" t="n">
        <v>0</v>
      </c>
      <c r="M515" t="n">
        <v>0</v>
      </c>
      <c r="N515" t="n">
        <v>0</v>
      </c>
      <c r="O515" t="n">
        <v>0</v>
      </c>
      <c r="P515" t="n">
        <v>0</v>
      </c>
      <c r="Q515" t="n">
        <v>0</v>
      </c>
      <c r="R515" s="2" t="inlineStr"/>
    </row>
    <row r="516" ht="15" customHeight="1">
      <c r="A516" t="inlineStr">
        <is>
          <t>A 59632-2023</t>
        </is>
      </c>
      <c r="B516" s="1" t="n">
        <v>45254</v>
      </c>
      <c r="C516" s="1" t="n">
        <v>45780</v>
      </c>
      <c r="D516" t="inlineStr">
        <is>
          <t>DALARNAS LÄN</t>
        </is>
      </c>
      <c r="E516" t="inlineStr">
        <is>
          <t>HEDEMORA</t>
        </is>
      </c>
      <c r="G516" t="n">
        <v>1.4</v>
      </c>
      <c r="H516" t="n">
        <v>0</v>
      </c>
      <c r="I516" t="n">
        <v>0</v>
      </c>
      <c r="J516" t="n">
        <v>0</v>
      </c>
      <c r="K516" t="n">
        <v>0</v>
      </c>
      <c r="L516" t="n">
        <v>0</v>
      </c>
      <c r="M516" t="n">
        <v>0</v>
      </c>
      <c r="N516" t="n">
        <v>0</v>
      </c>
      <c r="O516" t="n">
        <v>0</v>
      </c>
      <c r="P516" t="n">
        <v>0</v>
      </c>
      <c r="Q516" t="n">
        <v>0</v>
      </c>
      <c r="R516" s="2" t="inlineStr"/>
    </row>
    <row r="517" ht="15" customHeight="1">
      <c r="A517" t="inlineStr">
        <is>
          <t>A 59728-2023</t>
        </is>
      </c>
      <c r="B517" s="1" t="n">
        <v>45257</v>
      </c>
      <c r="C517" s="1" t="n">
        <v>45780</v>
      </c>
      <c r="D517" t="inlineStr">
        <is>
          <t>DALARNAS LÄN</t>
        </is>
      </c>
      <c r="E517" t="inlineStr">
        <is>
          <t>HEDEMORA</t>
        </is>
      </c>
      <c r="G517" t="n">
        <v>3.7</v>
      </c>
      <c r="H517" t="n">
        <v>0</v>
      </c>
      <c r="I517" t="n">
        <v>0</v>
      </c>
      <c r="J517" t="n">
        <v>0</v>
      </c>
      <c r="K517" t="n">
        <v>0</v>
      </c>
      <c r="L517" t="n">
        <v>0</v>
      </c>
      <c r="M517" t="n">
        <v>0</v>
      </c>
      <c r="N517" t="n">
        <v>0</v>
      </c>
      <c r="O517" t="n">
        <v>0</v>
      </c>
      <c r="P517" t="n">
        <v>0</v>
      </c>
      <c r="Q517" t="n">
        <v>0</v>
      </c>
      <c r="R517" s="2" t="inlineStr"/>
    </row>
    <row r="518" ht="15" customHeight="1">
      <c r="A518" t="inlineStr">
        <is>
          <t>A 60496-2023</t>
        </is>
      </c>
      <c r="B518" s="1" t="n">
        <v>45259</v>
      </c>
      <c r="C518" s="1" t="n">
        <v>45780</v>
      </c>
      <c r="D518" t="inlineStr">
        <is>
          <t>DALARNAS LÄN</t>
        </is>
      </c>
      <c r="E518" t="inlineStr">
        <is>
          <t>HEDEMORA</t>
        </is>
      </c>
      <c r="G518" t="n">
        <v>0.8</v>
      </c>
      <c r="H518" t="n">
        <v>0</v>
      </c>
      <c r="I518" t="n">
        <v>0</v>
      </c>
      <c r="J518" t="n">
        <v>0</v>
      </c>
      <c r="K518" t="n">
        <v>0</v>
      </c>
      <c r="L518" t="n">
        <v>0</v>
      </c>
      <c r="M518" t="n">
        <v>0</v>
      </c>
      <c r="N518" t="n">
        <v>0</v>
      </c>
      <c r="O518" t="n">
        <v>0</v>
      </c>
      <c r="P518" t="n">
        <v>0</v>
      </c>
      <c r="Q518" t="n">
        <v>0</v>
      </c>
      <c r="R518" s="2" t="inlineStr"/>
      <c r="U518">
        <f>HYPERLINK("https://klasma.github.io/Logging_2083/knärot/A 60496-2023 karta knärot.png", "A 60496-2023")</f>
        <v/>
      </c>
      <c r="V518">
        <f>HYPERLINK("https://klasma.github.io/Logging_2083/klagomål/A 60496-2023 FSC-klagomål.docx", "A 60496-2023")</f>
        <v/>
      </c>
      <c r="W518">
        <f>HYPERLINK("https://klasma.github.io/Logging_2083/klagomålsmail/A 60496-2023 FSC-klagomål mail.docx", "A 60496-2023")</f>
        <v/>
      </c>
      <c r="X518">
        <f>HYPERLINK("https://klasma.github.io/Logging_2083/tillsyn/A 60496-2023 tillsynsbegäran.docx", "A 60496-2023")</f>
        <v/>
      </c>
      <c r="Y518">
        <f>HYPERLINK("https://klasma.github.io/Logging_2083/tillsynsmail/A 60496-2023 tillsynsbegäran mail.docx", "A 60496-2023")</f>
        <v/>
      </c>
    </row>
    <row r="519" ht="15" customHeight="1">
      <c r="A519" t="inlineStr">
        <is>
          <t>A 60767-2023</t>
        </is>
      </c>
      <c r="B519" s="1" t="n">
        <v>45260</v>
      </c>
      <c r="C519" s="1" t="n">
        <v>45780</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60806-2023</t>
        </is>
      </c>
      <c r="B520" s="1" t="n">
        <v>45260</v>
      </c>
      <c r="C520" s="1" t="n">
        <v>45780</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60786-2023</t>
        </is>
      </c>
      <c r="B521" s="1" t="n">
        <v>45260</v>
      </c>
      <c r="C521" s="1" t="n">
        <v>45780</v>
      </c>
      <c r="D521" t="inlineStr">
        <is>
          <t>DALARNAS LÄN</t>
        </is>
      </c>
      <c r="E521" t="inlineStr">
        <is>
          <t>HEDEMORA</t>
        </is>
      </c>
      <c r="G521" t="n">
        <v>7.1</v>
      </c>
      <c r="H521" t="n">
        <v>0</v>
      </c>
      <c r="I521" t="n">
        <v>0</v>
      </c>
      <c r="J521" t="n">
        <v>0</v>
      </c>
      <c r="K521" t="n">
        <v>0</v>
      </c>
      <c r="L521" t="n">
        <v>0</v>
      </c>
      <c r="M521" t="n">
        <v>0</v>
      </c>
      <c r="N521" t="n">
        <v>0</v>
      </c>
      <c r="O521" t="n">
        <v>0</v>
      </c>
      <c r="P521" t="n">
        <v>0</v>
      </c>
      <c r="Q521" t="n">
        <v>0</v>
      </c>
      <c r="R521" s="2" t="inlineStr"/>
    </row>
    <row r="522" ht="15" customHeight="1">
      <c r="A522" t="inlineStr">
        <is>
          <t>A 60811-2023</t>
        </is>
      </c>
      <c r="B522" s="1" t="n">
        <v>45260</v>
      </c>
      <c r="C522" s="1" t="n">
        <v>45780</v>
      </c>
      <c r="D522" t="inlineStr">
        <is>
          <t>DALARNAS LÄN</t>
        </is>
      </c>
      <c r="E522" t="inlineStr">
        <is>
          <t>HEDEMORA</t>
        </is>
      </c>
      <c r="G522" t="n">
        <v>3.9</v>
      </c>
      <c r="H522" t="n">
        <v>0</v>
      </c>
      <c r="I522" t="n">
        <v>0</v>
      </c>
      <c r="J522" t="n">
        <v>0</v>
      </c>
      <c r="K522" t="n">
        <v>0</v>
      </c>
      <c r="L522" t="n">
        <v>0</v>
      </c>
      <c r="M522" t="n">
        <v>0</v>
      </c>
      <c r="N522" t="n">
        <v>0</v>
      </c>
      <c r="O522" t="n">
        <v>0</v>
      </c>
      <c r="P522" t="n">
        <v>0</v>
      </c>
      <c r="Q522" t="n">
        <v>0</v>
      </c>
      <c r="R522" s="2" t="inlineStr"/>
    </row>
    <row r="523" ht="15" customHeight="1">
      <c r="A523" t="inlineStr">
        <is>
          <t>A 61671-2023</t>
        </is>
      </c>
      <c r="B523" s="1" t="n">
        <v>45265</v>
      </c>
      <c r="C523" s="1" t="n">
        <v>45780</v>
      </c>
      <c r="D523" t="inlineStr">
        <is>
          <t>DALARNAS LÄN</t>
        </is>
      </c>
      <c r="E523" t="inlineStr">
        <is>
          <t>HEDEMORA</t>
        </is>
      </c>
      <c r="F523" t="inlineStr">
        <is>
          <t>Bergvik skog väst AB</t>
        </is>
      </c>
      <c r="G523" t="n">
        <v>6.5</v>
      </c>
      <c r="H523" t="n">
        <v>0</v>
      </c>
      <c r="I523" t="n">
        <v>0</v>
      </c>
      <c r="J523" t="n">
        <v>0</v>
      </c>
      <c r="K523" t="n">
        <v>0</v>
      </c>
      <c r="L523" t="n">
        <v>0</v>
      </c>
      <c r="M523" t="n">
        <v>0</v>
      </c>
      <c r="N523" t="n">
        <v>0</v>
      </c>
      <c r="O523" t="n">
        <v>0</v>
      </c>
      <c r="P523" t="n">
        <v>0</v>
      </c>
      <c r="Q523" t="n">
        <v>0</v>
      </c>
      <c r="R523" s="2" t="inlineStr"/>
    </row>
    <row r="524" ht="15" customHeight="1">
      <c r="A524" t="inlineStr">
        <is>
          <t>A 62054-2023</t>
        </is>
      </c>
      <c r="B524" s="1" t="n">
        <v>45265</v>
      </c>
      <c r="C524" s="1" t="n">
        <v>45780</v>
      </c>
      <c r="D524" t="inlineStr">
        <is>
          <t>DALARNAS LÄN</t>
        </is>
      </c>
      <c r="E524" t="inlineStr">
        <is>
          <t>HEDEMORA</t>
        </is>
      </c>
      <c r="G524" t="n">
        <v>2.3</v>
      </c>
      <c r="H524" t="n">
        <v>0</v>
      </c>
      <c r="I524" t="n">
        <v>0</v>
      </c>
      <c r="J524" t="n">
        <v>0</v>
      </c>
      <c r="K524" t="n">
        <v>0</v>
      </c>
      <c r="L524" t="n">
        <v>0</v>
      </c>
      <c r="M524" t="n">
        <v>0</v>
      </c>
      <c r="N524" t="n">
        <v>0</v>
      </c>
      <c r="O524" t="n">
        <v>0</v>
      </c>
      <c r="P524" t="n">
        <v>0</v>
      </c>
      <c r="Q524" t="n">
        <v>0</v>
      </c>
      <c r="R524" s="2" t="inlineStr"/>
    </row>
    <row r="525" ht="15" customHeight="1">
      <c r="A525" t="inlineStr">
        <is>
          <t>A 62188-2023</t>
        </is>
      </c>
      <c r="B525" s="1" t="n">
        <v>45267</v>
      </c>
      <c r="C525" s="1" t="n">
        <v>45780</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62386-2023</t>
        </is>
      </c>
      <c r="B526" s="1" t="n">
        <v>45268</v>
      </c>
      <c r="C526" s="1" t="n">
        <v>45780</v>
      </c>
      <c r="D526" t="inlineStr">
        <is>
          <t>DALARNAS LÄN</t>
        </is>
      </c>
      <c r="E526" t="inlineStr">
        <is>
          <t>HEDEMORA</t>
        </is>
      </c>
      <c r="G526" t="n">
        <v>1.7</v>
      </c>
      <c r="H526" t="n">
        <v>0</v>
      </c>
      <c r="I526" t="n">
        <v>0</v>
      </c>
      <c r="J526" t="n">
        <v>0</v>
      </c>
      <c r="K526" t="n">
        <v>0</v>
      </c>
      <c r="L526" t="n">
        <v>0</v>
      </c>
      <c r="M526" t="n">
        <v>0</v>
      </c>
      <c r="N526" t="n">
        <v>0</v>
      </c>
      <c r="O526" t="n">
        <v>0</v>
      </c>
      <c r="P526" t="n">
        <v>0</v>
      </c>
      <c r="Q526" t="n">
        <v>0</v>
      </c>
      <c r="R526" s="2" t="inlineStr"/>
    </row>
    <row r="527" ht="15" customHeight="1">
      <c r="A527" t="inlineStr">
        <is>
          <t>A 62401-2023</t>
        </is>
      </c>
      <c r="B527" s="1" t="n">
        <v>45268</v>
      </c>
      <c r="C527" s="1" t="n">
        <v>45780</v>
      </c>
      <c r="D527" t="inlineStr">
        <is>
          <t>DALARNAS LÄN</t>
        </is>
      </c>
      <c r="E527" t="inlineStr">
        <is>
          <t>HEDEMORA</t>
        </is>
      </c>
      <c r="G527" t="n">
        <v>1.6</v>
      </c>
      <c r="H527" t="n">
        <v>0</v>
      </c>
      <c r="I527" t="n">
        <v>0</v>
      </c>
      <c r="J527" t="n">
        <v>0</v>
      </c>
      <c r="K527" t="n">
        <v>0</v>
      </c>
      <c r="L527" t="n">
        <v>0</v>
      </c>
      <c r="M527" t="n">
        <v>0</v>
      </c>
      <c r="N527" t="n">
        <v>0</v>
      </c>
      <c r="O527" t="n">
        <v>0</v>
      </c>
      <c r="P527" t="n">
        <v>0</v>
      </c>
      <c r="Q527" t="n">
        <v>0</v>
      </c>
      <c r="R527" s="2" t="inlineStr"/>
    </row>
    <row r="528" ht="15" customHeight="1">
      <c r="A528" t="inlineStr">
        <is>
          <t>A 62398-2023</t>
        </is>
      </c>
      <c r="B528" s="1" t="n">
        <v>45268</v>
      </c>
      <c r="C528" s="1" t="n">
        <v>45780</v>
      </c>
      <c r="D528" t="inlineStr">
        <is>
          <t>DALARNAS LÄN</t>
        </is>
      </c>
      <c r="E528" t="inlineStr">
        <is>
          <t>HEDEMORA</t>
        </is>
      </c>
      <c r="G528" t="n">
        <v>2.1</v>
      </c>
      <c r="H528" t="n">
        <v>0</v>
      </c>
      <c r="I528" t="n">
        <v>0</v>
      </c>
      <c r="J528" t="n">
        <v>0</v>
      </c>
      <c r="K528" t="n">
        <v>0</v>
      </c>
      <c r="L528" t="n">
        <v>0</v>
      </c>
      <c r="M528" t="n">
        <v>0</v>
      </c>
      <c r="N528" t="n">
        <v>0</v>
      </c>
      <c r="O528" t="n">
        <v>0</v>
      </c>
      <c r="P528" t="n">
        <v>0</v>
      </c>
      <c r="Q528" t="n">
        <v>0</v>
      </c>
      <c r="R528" s="2" t="inlineStr"/>
    </row>
    <row r="529" ht="15" customHeight="1">
      <c r="A529" t="inlineStr">
        <is>
          <t>A 62374-2023</t>
        </is>
      </c>
      <c r="B529" s="1" t="n">
        <v>45268</v>
      </c>
      <c r="C529" s="1" t="n">
        <v>45780</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63543-2023</t>
        </is>
      </c>
      <c r="B530" s="1" t="n">
        <v>45275</v>
      </c>
      <c r="C530" s="1" t="n">
        <v>45780</v>
      </c>
      <c r="D530" t="inlineStr">
        <is>
          <t>DALARNAS LÄN</t>
        </is>
      </c>
      <c r="E530" t="inlineStr">
        <is>
          <t>HEDEMORA</t>
        </is>
      </c>
      <c r="G530" t="n">
        <v>1.3</v>
      </c>
      <c r="H530" t="n">
        <v>0</v>
      </c>
      <c r="I530" t="n">
        <v>0</v>
      </c>
      <c r="J530" t="n">
        <v>0</v>
      </c>
      <c r="K530" t="n">
        <v>0</v>
      </c>
      <c r="L530" t="n">
        <v>0</v>
      </c>
      <c r="M530" t="n">
        <v>0</v>
      </c>
      <c r="N530" t="n">
        <v>0</v>
      </c>
      <c r="O530" t="n">
        <v>0</v>
      </c>
      <c r="P530" t="n">
        <v>0</v>
      </c>
      <c r="Q530" t="n">
        <v>0</v>
      </c>
      <c r="R530" s="2" t="inlineStr"/>
    </row>
    <row r="531" ht="15" customHeight="1">
      <c r="A531" t="inlineStr">
        <is>
          <t>A 63925-2023</t>
        </is>
      </c>
      <c r="B531" s="1" t="n">
        <v>45278</v>
      </c>
      <c r="C531" s="1" t="n">
        <v>45780</v>
      </c>
      <c r="D531" t="inlineStr">
        <is>
          <t>DALARNAS LÄN</t>
        </is>
      </c>
      <c r="E531" t="inlineStr">
        <is>
          <t>HEDEMORA</t>
        </is>
      </c>
      <c r="G531" t="n">
        <v>5.2</v>
      </c>
      <c r="H531" t="n">
        <v>0</v>
      </c>
      <c r="I531" t="n">
        <v>0</v>
      </c>
      <c r="J531" t="n">
        <v>0</v>
      </c>
      <c r="K531" t="n">
        <v>0</v>
      </c>
      <c r="L531" t="n">
        <v>0</v>
      </c>
      <c r="M531" t="n">
        <v>0</v>
      </c>
      <c r="N531" t="n">
        <v>0</v>
      </c>
      <c r="O531" t="n">
        <v>0</v>
      </c>
      <c r="P531" t="n">
        <v>0</v>
      </c>
      <c r="Q531" t="n">
        <v>0</v>
      </c>
      <c r="R531" s="2" t="inlineStr"/>
    </row>
    <row r="532" ht="15" customHeight="1">
      <c r="A532" t="inlineStr">
        <is>
          <t>A 63929-2023</t>
        </is>
      </c>
      <c r="B532" s="1" t="n">
        <v>45278</v>
      </c>
      <c r="C532" s="1" t="n">
        <v>45780</v>
      </c>
      <c r="D532" t="inlineStr">
        <is>
          <t>DALARNAS LÄN</t>
        </is>
      </c>
      <c r="E532" t="inlineStr">
        <is>
          <t>HEDEMORA</t>
        </is>
      </c>
      <c r="G532" t="n">
        <v>0.4</v>
      </c>
      <c r="H532" t="n">
        <v>0</v>
      </c>
      <c r="I532" t="n">
        <v>0</v>
      </c>
      <c r="J532" t="n">
        <v>0</v>
      </c>
      <c r="K532" t="n">
        <v>0</v>
      </c>
      <c r="L532" t="n">
        <v>0</v>
      </c>
      <c r="M532" t="n">
        <v>0</v>
      </c>
      <c r="N532" t="n">
        <v>0</v>
      </c>
      <c r="O532" t="n">
        <v>0</v>
      </c>
      <c r="P532" t="n">
        <v>0</v>
      </c>
      <c r="Q532" t="n">
        <v>0</v>
      </c>
      <c r="R532" s="2" t="inlineStr"/>
    </row>
    <row r="533" ht="15" customHeight="1">
      <c r="A533" t="inlineStr">
        <is>
          <t>A 63941-2023</t>
        </is>
      </c>
      <c r="B533" s="1" t="n">
        <v>45278</v>
      </c>
      <c r="C533" s="1" t="n">
        <v>45780</v>
      </c>
      <c r="D533" t="inlineStr">
        <is>
          <t>DALARNAS LÄN</t>
        </is>
      </c>
      <c r="E533" t="inlineStr">
        <is>
          <t>HEDEMORA</t>
        </is>
      </c>
      <c r="G533" t="n">
        <v>1.1</v>
      </c>
      <c r="H533" t="n">
        <v>0</v>
      </c>
      <c r="I533" t="n">
        <v>0</v>
      </c>
      <c r="J533" t="n">
        <v>0</v>
      </c>
      <c r="K533" t="n">
        <v>0</v>
      </c>
      <c r="L533" t="n">
        <v>0</v>
      </c>
      <c r="M533" t="n">
        <v>0</v>
      </c>
      <c r="N533" t="n">
        <v>0</v>
      </c>
      <c r="O533" t="n">
        <v>0</v>
      </c>
      <c r="P533" t="n">
        <v>0</v>
      </c>
      <c r="Q533" t="n">
        <v>0</v>
      </c>
      <c r="R533" s="2" t="inlineStr"/>
    </row>
    <row r="534" ht="15" customHeight="1">
      <c r="A534" t="inlineStr">
        <is>
          <t>A 63926-2023</t>
        </is>
      </c>
      <c r="B534" s="1" t="n">
        <v>45278</v>
      </c>
      <c r="C534" s="1" t="n">
        <v>45780</v>
      </c>
      <c r="D534" t="inlineStr">
        <is>
          <t>DALARNAS LÄN</t>
        </is>
      </c>
      <c r="E534" t="inlineStr">
        <is>
          <t>HEDEMORA</t>
        </is>
      </c>
      <c r="G534" t="n">
        <v>5</v>
      </c>
      <c r="H534" t="n">
        <v>0</v>
      </c>
      <c r="I534" t="n">
        <v>0</v>
      </c>
      <c r="J534" t="n">
        <v>0</v>
      </c>
      <c r="K534" t="n">
        <v>0</v>
      </c>
      <c r="L534" t="n">
        <v>0</v>
      </c>
      <c r="M534" t="n">
        <v>0</v>
      </c>
      <c r="N534" t="n">
        <v>0</v>
      </c>
      <c r="O534" t="n">
        <v>0</v>
      </c>
      <c r="P534" t="n">
        <v>0</v>
      </c>
      <c r="Q534" t="n">
        <v>0</v>
      </c>
      <c r="R534" s="2" t="inlineStr"/>
    </row>
    <row r="535" ht="15" customHeight="1">
      <c r="A535" t="inlineStr">
        <is>
          <t>A 63911-2023</t>
        </is>
      </c>
      <c r="B535" s="1" t="n">
        <v>45278</v>
      </c>
      <c r="C535" s="1" t="n">
        <v>45780</v>
      </c>
      <c r="D535" t="inlineStr">
        <is>
          <t>DALARNAS LÄN</t>
        </is>
      </c>
      <c r="E535" t="inlineStr">
        <is>
          <t>HEDEMORA</t>
        </is>
      </c>
      <c r="G535" t="n">
        <v>8.9</v>
      </c>
      <c r="H535" t="n">
        <v>0</v>
      </c>
      <c r="I535" t="n">
        <v>0</v>
      </c>
      <c r="J535" t="n">
        <v>0</v>
      </c>
      <c r="K535" t="n">
        <v>0</v>
      </c>
      <c r="L535" t="n">
        <v>0</v>
      </c>
      <c r="M535" t="n">
        <v>0</v>
      </c>
      <c r="N535" t="n">
        <v>0</v>
      </c>
      <c r="O535" t="n">
        <v>0</v>
      </c>
      <c r="P535" t="n">
        <v>0</v>
      </c>
      <c r="Q535" t="n">
        <v>0</v>
      </c>
      <c r="R535" s="2" t="inlineStr"/>
    </row>
    <row r="536" ht="15" customHeight="1">
      <c r="A536" t="inlineStr">
        <is>
          <t>A 64276-2023</t>
        </is>
      </c>
      <c r="B536" s="1" t="n">
        <v>45280</v>
      </c>
      <c r="C536" s="1" t="n">
        <v>45780</v>
      </c>
      <c r="D536" t="inlineStr">
        <is>
          <t>DALARNAS LÄN</t>
        </is>
      </c>
      <c r="E536" t="inlineStr">
        <is>
          <t>HEDEMORA</t>
        </is>
      </c>
      <c r="G536" t="n">
        <v>3.5</v>
      </c>
      <c r="H536" t="n">
        <v>0</v>
      </c>
      <c r="I536" t="n">
        <v>0</v>
      </c>
      <c r="J536" t="n">
        <v>0</v>
      </c>
      <c r="K536" t="n">
        <v>0</v>
      </c>
      <c r="L536" t="n">
        <v>0</v>
      </c>
      <c r="M536" t="n">
        <v>0</v>
      </c>
      <c r="N536" t="n">
        <v>0</v>
      </c>
      <c r="O536" t="n">
        <v>0</v>
      </c>
      <c r="P536" t="n">
        <v>0</v>
      </c>
      <c r="Q536" t="n">
        <v>0</v>
      </c>
      <c r="R536" s="2" t="inlineStr"/>
    </row>
    <row r="537" ht="15" customHeight="1">
      <c r="A537" t="inlineStr">
        <is>
          <t>A 64965-2023</t>
        </is>
      </c>
      <c r="B537" s="1" t="n">
        <v>45283</v>
      </c>
      <c r="C537" s="1" t="n">
        <v>45780</v>
      </c>
      <c r="D537" t="inlineStr">
        <is>
          <t>DALARNAS LÄN</t>
        </is>
      </c>
      <c r="E537" t="inlineStr">
        <is>
          <t>HEDEMORA</t>
        </is>
      </c>
      <c r="G537" t="n">
        <v>6</v>
      </c>
      <c r="H537" t="n">
        <v>0</v>
      </c>
      <c r="I537" t="n">
        <v>0</v>
      </c>
      <c r="J537" t="n">
        <v>0</v>
      </c>
      <c r="K537" t="n">
        <v>0</v>
      </c>
      <c r="L537" t="n">
        <v>0</v>
      </c>
      <c r="M537" t="n">
        <v>0</v>
      </c>
      <c r="N537" t="n">
        <v>0</v>
      </c>
      <c r="O537" t="n">
        <v>0</v>
      </c>
      <c r="P537" t="n">
        <v>0</v>
      </c>
      <c r="Q537" t="n">
        <v>0</v>
      </c>
      <c r="R537" s="2" t="inlineStr"/>
    </row>
    <row r="538" ht="15" customHeight="1">
      <c r="A538" t="inlineStr">
        <is>
          <t>A 64964-2023</t>
        </is>
      </c>
      <c r="B538" s="1" t="n">
        <v>45283</v>
      </c>
      <c r="C538" s="1" t="n">
        <v>45780</v>
      </c>
      <c r="D538" t="inlineStr">
        <is>
          <t>DALARNAS LÄN</t>
        </is>
      </c>
      <c r="E538" t="inlineStr">
        <is>
          <t>HEDEMORA</t>
        </is>
      </c>
      <c r="G538" t="n">
        <v>0.9</v>
      </c>
      <c r="H538" t="n">
        <v>0</v>
      </c>
      <c r="I538" t="n">
        <v>0</v>
      </c>
      <c r="J538" t="n">
        <v>0</v>
      </c>
      <c r="K538" t="n">
        <v>0</v>
      </c>
      <c r="L538" t="n">
        <v>0</v>
      </c>
      <c r="M538" t="n">
        <v>0</v>
      </c>
      <c r="N538" t="n">
        <v>0</v>
      </c>
      <c r="O538" t="n">
        <v>0</v>
      </c>
      <c r="P538" t="n">
        <v>0</v>
      </c>
      <c r="Q538" t="n">
        <v>0</v>
      </c>
      <c r="R538" s="2" t="inlineStr"/>
    </row>
    <row r="539" ht="15" customHeight="1">
      <c r="A539" t="inlineStr">
        <is>
          <t>A 65057-2023</t>
        </is>
      </c>
      <c r="B539" s="1" t="n">
        <v>45287</v>
      </c>
      <c r="C539" s="1" t="n">
        <v>45780</v>
      </c>
      <c r="D539" t="inlineStr">
        <is>
          <t>DALARNAS LÄN</t>
        </is>
      </c>
      <c r="E539" t="inlineStr">
        <is>
          <t>HEDEMORA</t>
        </is>
      </c>
      <c r="G539" t="n">
        <v>1.8</v>
      </c>
      <c r="H539" t="n">
        <v>0</v>
      </c>
      <c r="I539" t="n">
        <v>0</v>
      </c>
      <c r="J539" t="n">
        <v>0</v>
      </c>
      <c r="K539" t="n">
        <v>0</v>
      </c>
      <c r="L539" t="n">
        <v>0</v>
      </c>
      <c r="M539" t="n">
        <v>0</v>
      </c>
      <c r="N539" t="n">
        <v>0</v>
      </c>
      <c r="O539" t="n">
        <v>0</v>
      </c>
      <c r="P539" t="n">
        <v>0</v>
      </c>
      <c r="Q539" t="n">
        <v>0</v>
      </c>
      <c r="R539" s="2" t="inlineStr"/>
    </row>
    <row r="540" ht="15" customHeight="1">
      <c r="A540" t="inlineStr">
        <is>
          <t>A 385-2024</t>
        </is>
      </c>
      <c r="B540" s="1" t="n">
        <v>45296</v>
      </c>
      <c r="C540" s="1" t="n">
        <v>45780</v>
      </c>
      <c r="D540" t="inlineStr">
        <is>
          <t>DALARNAS LÄN</t>
        </is>
      </c>
      <c r="E540" t="inlineStr">
        <is>
          <t>HEDEMORA</t>
        </is>
      </c>
      <c r="G540" t="n">
        <v>1.7</v>
      </c>
      <c r="H540" t="n">
        <v>0</v>
      </c>
      <c r="I540" t="n">
        <v>0</v>
      </c>
      <c r="J540" t="n">
        <v>0</v>
      </c>
      <c r="K540" t="n">
        <v>0</v>
      </c>
      <c r="L540" t="n">
        <v>0</v>
      </c>
      <c r="M540" t="n">
        <v>0</v>
      </c>
      <c r="N540" t="n">
        <v>0</v>
      </c>
      <c r="O540" t="n">
        <v>0</v>
      </c>
      <c r="P540" t="n">
        <v>0</v>
      </c>
      <c r="Q540" t="n">
        <v>0</v>
      </c>
      <c r="R540" s="2" t="inlineStr"/>
    </row>
    <row r="541" ht="15" customHeight="1">
      <c r="A541" t="inlineStr">
        <is>
          <t>A 1072-2024</t>
        </is>
      </c>
      <c r="B541" s="1" t="n">
        <v>45302</v>
      </c>
      <c r="C541" s="1" t="n">
        <v>45780</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1168-2024</t>
        </is>
      </c>
      <c r="B542" s="1" t="n">
        <v>45302</v>
      </c>
      <c r="C542" s="1" t="n">
        <v>45780</v>
      </c>
      <c r="D542" t="inlineStr">
        <is>
          <t>DALARNAS LÄN</t>
        </is>
      </c>
      <c r="E542" t="inlineStr">
        <is>
          <t>HEDEMORA</t>
        </is>
      </c>
      <c r="G542" t="n">
        <v>1.4</v>
      </c>
      <c r="H542" t="n">
        <v>0</v>
      </c>
      <c r="I542" t="n">
        <v>0</v>
      </c>
      <c r="J542" t="n">
        <v>0</v>
      </c>
      <c r="K542" t="n">
        <v>0</v>
      </c>
      <c r="L542" t="n">
        <v>0</v>
      </c>
      <c r="M542" t="n">
        <v>0</v>
      </c>
      <c r="N542" t="n">
        <v>0</v>
      </c>
      <c r="O542" t="n">
        <v>0</v>
      </c>
      <c r="P542" t="n">
        <v>0</v>
      </c>
      <c r="Q542" t="n">
        <v>0</v>
      </c>
      <c r="R542" s="2" t="inlineStr"/>
    </row>
    <row r="543" ht="15" customHeight="1">
      <c r="A543" t="inlineStr">
        <is>
          <t>A 2915-2024</t>
        </is>
      </c>
      <c r="B543" s="1" t="n">
        <v>45315</v>
      </c>
      <c r="C543" s="1" t="n">
        <v>45780</v>
      </c>
      <c r="D543" t="inlineStr">
        <is>
          <t>DALARNAS LÄN</t>
        </is>
      </c>
      <c r="E543" t="inlineStr">
        <is>
          <t>HEDEMORA</t>
        </is>
      </c>
      <c r="G543" t="n">
        <v>2</v>
      </c>
      <c r="H543" t="n">
        <v>0</v>
      </c>
      <c r="I543" t="n">
        <v>0</v>
      </c>
      <c r="J543" t="n">
        <v>0</v>
      </c>
      <c r="K543" t="n">
        <v>0</v>
      </c>
      <c r="L543" t="n">
        <v>0</v>
      </c>
      <c r="M543" t="n">
        <v>0</v>
      </c>
      <c r="N543" t="n">
        <v>0</v>
      </c>
      <c r="O543" t="n">
        <v>0</v>
      </c>
      <c r="P543" t="n">
        <v>0</v>
      </c>
      <c r="Q543" t="n">
        <v>0</v>
      </c>
      <c r="R543" s="2" t="inlineStr"/>
    </row>
    <row r="544" ht="15" customHeight="1">
      <c r="A544" t="inlineStr">
        <is>
          <t>A 3089-2024</t>
        </is>
      </c>
      <c r="B544" s="1" t="n">
        <v>45316</v>
      </c>
      <c r="C544" s="1" t="n">
        <v>45780</v>
      </c>
      <c r="D544" t="inlineStr">
        <is>
          <t>DALARNAS LÄN</t>
        </is>
      </c>
      <c r="E544" t="inlineStr">
        <is>
          <t>HEDEMORA</t>
        </is>
      </c>
      <c r="G544" t="n">
        <v>5.5</v>
      </c>
      <c r="H544" t="n">
        <v>0</v>
      </c>
      <c r="I544" t="n">
        <v>0</v>
      </c>
      <c r="J544" t="n">
        <v>0</v>
      </c>
      <c r="K544" t="n">
        <v>0</v>
      </c>
      <c r="L544" t="n">
        <v>0</v>
      </c>
      <c r="M544" t="n">
        <v>0</v>
      </c>
      <c r="N544" t="n">
        <v>0</v>
      </c>
      <c r="O544" t="n">
        <v>0</v>
      </c>
      <c r="P544" t="n">
        <v>0</v>
      </c>
      <c r="Q544" t="n">
        <v>0</v>
      </c>
      <c r="R544" s="2" t="inlineStr"/>
    </row>
    <row r="545" ht="15" customHeight="1">
      <c r="A545" t="inlineStr">
        <is>
          <t>A 4391-2024</t>
        </is>
      </c>
      <c r="B545" s="1" t="n">
        <v>45327</v>
      </c>
      <c r="C545" s="1" t="n">
        <v>45780</v>
      </c>
      <c r="D545" t="inlineStr">
        <is>
          <t>DALARNAS LÄN</t>
        </is>
      </c>
      <c r="E545" t="inlineStr">
        <is>
          <t>HEDEMORA</t>
        </is>
      </c>
      <c r="G545" t="n">
        <v>2.6</v>
      </c>
      <c r="H545" t="n">
        <v>0</v>
      </c>
      <c r="I545" t="n">
        <v>0</v>
      </c>
      <c r="J545" t="n">
        <v>0</v>
      </c>
      <c r="K545" t="n">
        <v>0</v>
      </c>
      <c r="L545" t="n">
        <v>0</v>
      </c>
      <c r="M545" t="n">
        <v>0</v>
      </c>
      <c r="N545" t="n">
        <v>0</v>
      </c>
      <c r="O545" t="n">
        <v>0</v>
      </c>
      <c r="P545" t="n">
        <v>0</v>
      </c>
      <c r="Q545" t="n">
        <v>0</v>
      </c>
      <c r="R545" s="2" t="inlineStr"/>
    </row>
    <row r="546" ht="15" customHeight="1">
      <c r="A546" t="inlineStr">
        <is>
          <t>A 6210-2024</t>
        </is>
      </c>
      <c r="B546" s="1" t="n">
        <v>45337</v>
      </c>
      <c r="C546" s="1" t="n">
        <v>45780</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6880-2024</t>
        </is>
      </c>
      <c r="B547" s="1" t="n">
        <v>45342</v>
      </c>
      <c r="C547" s="1" t="n">
        <v>45780</v>
      </c>
      <c r="D547" t="inlineStr">
        <is>
          <t>DALARNAS LÄN</t>
        </is>
      </c>
      <c r="E547" t="inlineStr">
        <is>
          <t>HEDEMORA</t>
        </is>
      </c>
      <c r="G547" t="n">
        <v>4.1</v>
      </c>
      <c r="H547" t="n">
        <v>0</v>
      </c>
      <c r="I547" t="n">
        <v>0</v>
      </c>
      <c r="J547" t="n">
        <v>0</v>
      </c>
      <c r="K547" t="n">
        <v>0</v>
      </c>
      <c r="L547" t="n">
        <v>0</v>
      </c>
      <c r="M547" t="n">
        <v>0</v>
      </c>
      <c r="N547" t="n">
        <v>0</v>
      </c>
      <c r="O547" t="n">
        <v>0</v>
      </c>
      <c r="P547" t="n">
        <v>0</v>
      </c>
      <c r="Q547" t="n">
        <v>0</v>
      </c>
      <c r="R547" s="2" t="inlineStr"/>
    </row>
    <row r="548" ht="15" customHeight="1">
      <c r="A548" t="inlineStr">
        <is>
          <t>A 6881-2024</t>
        </is>
      </c>
      <c r="B548" s="1" t="n">
        <v>45342</v>
      </c>
      <c r="C548" s="1" t="n">
        <v>45780</v>
      </c>
      <c r="D548" t="inlineStr">
        <is>
          <t>DALARNAS LÄN</t>
        </is>
      </c>
      <c r="E548" t="inlineStr">
        <is>
          <t>HEDEMORA</t>
        </is>
      </c>
      <c r="G548" t="n">
        <v>2.5</v>
      </c>
      <c r="H548" t="n">
        <v>0</v>
      </c>
      <c r="I548" t="n">
        <v>0</v>
      </c>
      <c r="J548" t="n">
        <v>0</v>
      </c>
      <c r="K548" t="n">
        <v>0</v>
      </c>
      <c r="L548" t="n">
        <v>0</v>
      </c>
      <c r="M548" t="n">
        <v>0</v>
      </c>
      <c r="N548" t="n">
        <v>0</v>
      </c>
      <c r="O548" t="n">
        <v>0</v>
      </c>
      <c r="P548" t="n">
        <v>0</v>
      </c>
      <c r="Q548" t="n">
        <v>0</v>
      </c>
      <c r="R548" s="2" t="inlineStr"/>
    </row>
    <row r="549" ht="15" customHeight="1">
      <c r="A549" t="inlineStr">
        <is>
          <t>A 7914-2024</t>
        </is>
      </c>
      <c r="B549" s="1" t="n">
        <v>45350</v>
      </c>
      <c r="C549" s="1" t="n">
        <v>45780</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7916-2024</t>
        </is>
      </c>
      <c r="B550" s="1" t="n">
        <v>45350</v>
      </c>
      <c r="C550" s="1" t="n">
        <v>45780</v>
      </c>
      <c r="D550" t="inlineStr">
        <is>
          <t>DALARNAS LÄN</t>
        </is>
      </c>
      <c r="E550" t="inlineStr">
        <is>
          <t>HEDEMORA</t>
        </is>
      </c>
      <c r="G550" t="n">
        <v>5.8</v>
      </c>
      <c r="H550" t="n">
        <v>0</v>
      </c>
      <c r="I550" t="n">
        <v>0</v>
      </c>
      <c r="J550" t="n">
        <v>0</v>
      </c>
      <c r="K550" t="n">
        <v>0</v>
      </c>
      <c r="L550" t="n">
        <v>0</v>
      </c>
      <c r="M550" t="n">
        <v>0</v>
      </c>
      <c r="N550" t="n">
        <v>0</v>
      </c>
      <c r="O550" t="n">
        <v>0</v>
      </c>
      <c r="P550" t="n">
        <v>0</v>
      </c>
      <c r="Q550" t="n">
        <v>0</v>
      </c>
      <c r="R550" s="2" t="inlineStr"/>
    </row>
    <row r="551" ht="15" customHeight="1">
      <c r="A551" t="inlineStr">
        <is>
          <t>A 9314-2024</t>
        </is>
      </c>
      <c r="B551" s="1" t="n">
        <v>45358</v>
      </c>
      <c r="C551" s="1" t="n">
        <v>45780</v>
      </c>
      <c r="D551" t="inlineStr">
        <is>
          <t>DALARNAS LÄN</t>
        </is>
      </c>
      <c r="E551" t="inlineStr">
        <is>
          <t>HEDEMORA</t>
        </is>
      </c>
      <c r="G551" t="n">
        <v>1.4</v>
      </c>
      <c r="H551" t="n">
        <v>0</v>
      </c>
      <c r="I551" t="n">
        <v>0</v>
      </c>
      <c r="J551" t="n">
        <v>0</v>
      </c>
      <c r="K551" t="n">
        <v>0</v>
      </c>
      <c r="L551" t="n">
        <v>0</v>
      </c>
      <c r="M551" t="n">
        <v>0</v>
      </c>
      <c r="N551" t="n">
        <v>0</v>
      </c>
      <c r="O551" t="n">
        <v>0</v>
      </c>
      <c r="P551" t="n">
        <v>0</v>
      </c>
      <c r="Q551" t="n">
        <v>0</v>
      </c>
      <c r="R551" s="2" t="inlineStr"/>
    </row>
    <row r="552" ht="15" customHeight="1">
      <c r="A552" t="inlineStr">
        <is>
          <t>A 9313-2024</t>
        </is>
      </c>
      <c r="B552" s="1" t="n">
        <v>45358</v>
      </c>
      <c r="C552" s="1" t="n">
        <v>45780</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12126-2024</t>
        </is>
      </c>
      <c r="B553" s="1" t="n">
        <v>45377</v>
      </c>
      <c r="C553" s="1" t="n">
        <v>45780</v>
      </c>
      <c r="D553" t="inlineStr">
        <is>
          <t>DALARNAS LÄN</t>
        </is>
      </c>
      <c r="E553" t="inlineStr">
        <is>
          <t>HEDEMORA</t>
        </is>
      </c>
      <c r="G553" t="n">
        <v>1.5</v>
      </c>
      <c r="H553" t="n">
        <v>0</v>
      </c>
      <c r="I553" t="n">
        <v>0</v>
      </c>
      <c r="J553" t="n">
        <v>0</v>
      </c>
      <c r="K553" t="n">
        <v>0</v>
      </c>
      <c r="L553" t="n">
        <v>0</v>
      </c>
      <c r="M553" t="n">
        <v>0</v>
      </c>
      <c r="N553" t="n">
        <v>0</v>
      </c>
      <c r="O553" t="n">
        <v>0</v>
      </c>
      <c r="P553" t="n">
        <v>0</v>
      </c>
      <c r="Q553" t="n">
        <v>0</v>
      </c>
      <c r="R553" s="2" t="inlineStr"/>
    </row>
    <row r="554" ht="15" customHeight="1">
      <c r="A554" t="inlineStr">
        <is>
          <t>A 12030-2024</t>
        </is>
      </c>
      <c r="B554" s="1" t="n">
        <v>45377</v>
      </c>
      <c r="C554" s="1" t="n">
        <v>45780</v>
      </c>
      <c r="D554" t="inlineStr">
        <is>
          <t>DALARNAS LÄN</t>
        </is>
      </c>
      <c r="E554" t="inlineStr">
        <is>
          <t>HEDEMORA</t>
        </is>
      </c>
      <c r="G554" t="n">
        <v>0.7</v>
      </c>
      <c r="H554" t="n">
        <v>0</v>
      </c>
      <c r="I554" t="n">
        <v>0</v>
      </c>
      <c r="J554" t="n">
        <v>0</v>
      </c>
      <c r="K554" t="n">
        <v>0</v>
      </c>
      <c r="L554" t="n">
        <v>0</v>
      </c>
      <c r="M554" t="n">
        <v>0</v>
      </c>
      <c r="N554" t="n">
        <v>0</v>
      </c>
      <c r="O554" t="n">
        <v>0</v>
      </c>
      <c r="P554" t="n">
        <v>0</v>
      </c>
      <c r="Q554" t="n">
        <v>0</v>
      </c>
      <c r="R554" s="2" t="inlineStr"/>
    </row>
    <row r="555" ht="15" customHeight="1">
      <c r="A555" t="inlineStr">
        <is>
          <t>A 13657-2024</t>
        </is>
      </c>
      <c r="B555" s="1" t="n">
        <v>45390</v>
      </c>
      <c r="C555" s="1" t="n">
        <v>45780</v>
      </c>
      <c r="D555" t="inlineStr">
        <is>
          <t>DALARNAS LÄN</t>
        </is>
      </c>
      <c r="E555" t="inlineStr">
        <is>
          <t>HEDEMORA</t>
        </is>
      </c>
      <c r="G555" t="n">
        <v>3.1</v>
      </c>
      <c r="H555" t="n">
        <v>0</v>
      </c>
      <c r="I555" t="n">
        <v>0</v>
      </c>
      <c r="J555" t="n">
        <v>0</v>
      </c>
      <c r="K555" t="n">
        <v>0</v>
      </c>
      <c r="L555" t="n">
        <v>0</v>
      </c>
      <c r="M555" t="n">
        <v>0</v>
      </c>
      <c r="N555" t="n">
        <v>0</v>
      </c>
      <c r="O555" t="n">
        <v>0</v>
      </c>
      <c r="P555" t="n">
        <v>0</v>
      </c>
      <c r="Q555" t="n">
        <v>0</v>
      </c>
      <c r="R555" s="2" t="inlineStr"/>
    </row>
    <row r="556" ht="15" customHeight="1">
      <c r="A556" t="inlineStr">
        <is>
          <t>A 14120-2024</t>
        </is>
      </c>
      <c r="B556" s="1" t="n">
        <v>45392</v>
      </c>
      <c r="C556" s="1" t="n">
        <v>45780</v>
      </c>
      <c r="D556" t="inlineStr">
        <is>
          <t>DALARNAS LÄN</t>
        </is>
      </c>
      <c r="E556" t="inlineStr">
        <is>
          <t>HEDEMORA</t>
        </is>
      </c>
      <c r="G556" t="n">
        <v>1.2</v>
      </c>
      <c r="H556" t="n">
        <v>0</v>
      </c>
      <c r="I556" t="n">
        <v>0</v>
      </c>
      <c r="J556" t="n">
        <v>0</v>
      </c>
      <c r="K556" t="n">
        <v>0</v>
      </c>
      <c r="L556" t="n">
        <v>0</v>
      </c>
      <c r="M556" t="n">
        <v>0</v>
      </c>
      <c r="N556" t="n">
        <v>0</v>
      </c>
      <c r="O556" t="n">
        <v>0</v>
      </c>
      <c r="P556" t="n">
        <v>0</v>
      </c>
      <c r="Q556" t="n">
        <v>0</v>
      </c>
      <c r="R556" s="2" t="inlineStr"/>
    </row>
    <row r="557" ht="15" customHeight="1">
      <c r="A557" t="inlineStr">
        <is>
          <t>A 15345-2024</t>
        </is>
      </c>
      <c r="B557" s="1" t="n">
        <v>45400</v>
      </c>
      <c r="C557" s="1" t="n">
        <v>45780</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16413-2024</t>
        </is>
      </c>
      <c r="B558" s="1" t="n">
        <v>45407</v>
      </c>
      <c r="C558" s="1" t="n">
        <v>45780</v>
      </c>
      <c r="D558" t="inlineStr">
        <is>
          <t>DALARNAS LÄN</t>
        </is>
      </c>
      <c r="E558" t="inlineStr">
        <is>
          <t>HEDEMORA</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16410-2024</t>
        </is>
      </c>
      <c r="B559" s="1" t="n">
        <v>45407</v>
      </c>
      <c r="C559" s="1" t="n">
        <v>45780</v>
      </c>
      <c r="D559" t="inlineStr">
        <is>
          <t>DALARNAS LÄN</t>
        </is>
      </c>
      <c r="E559" t="inlineStr">
        <is>
          <t>HEDEMORA</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16408-2024</t>
        </is>
      </c>
      <c r="B560" s="1" t="n">
        <v>45407</v>
      </c>
      <c r="C560" s="1" t="n">
        <v>45780</v>
      </c>
      <c r="D560" t="inlineStr">
        <is>
          <t>DALARNAS LÄN</t>
        </is>
      </c>
      <c r="E560" t="inlineStr">
        <is>
          <t>HEDEMORA</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18223-2024</t>
        </is>
      </c>
      <c r="B561" s="1" t="n">
        <v>45421</v>
      </c>
      <c r="C561" s="1" t="n">
        <v>45780</v>
      </c>
      <c r="D561" t="inlineStr">
        <is>
          <t>DALARNAS LÄN</t>
        </is>
      </c>
      <c r="E561" t="inlineStr">
        <is>
          <t>HEDEMORA</t>
        </is>
      </c>
      <c r="F561" t="inlineStr">
        <is>
          <t>Sveaskog</t>
        </is>
      </c>
      <c r="G561" t="n">
        <v>29.8</v>
      </c>
      <c r="H561" t="n">
        <v>0</v>
      </c>
      <c r="I561" t="n">
        <v>0</v>
      </c>
      <c r="J561" t="n">
        <v>0</v>
      </c>
      <c r="K561" t="n">
        <v>0</v>
      </c>
      <c r="L561" t="n">
        <v>0</v>
      </c>
      <c r="M561" t="n">
        <v>0</v>
      </c>
      <c r="N561" t="n">
        <v>0</v>
      </c>
      <c r="O561" t="n">
        <v>0</v>
      </c>
      <c r="P561" t="n">
        <v>0</v>
      </c>
      <c r="Q561" t="n">
        <v>0</v>
      </c>
      <c r="R561" s="2" t="inlineStr"/>
    </row>
    <row r="562" ht="15" customHeight="1">
      <c r="A562" t="inlineStr">
        <is>
          <t>A 18699-2024</t>
        </is>
      </c>
      <c r="B562" s="1" t="n">
        <v>45426</v>
      </c>
      <c r="C562" s="1" t="n">
        <v>45780</v>
      </c>
      <c r="D562" t="inlineStr">
        <is>
          <t>DALARNAS LÄN</t>
        </is>
      </c>
      <c r="E562" t="inlineStr">
        <is>
          <t>HEDEMORA</t>
        </is>
      </c>
      <c r="G562" t="n">
        <v>6.6</v>
      </c>
      <c r="H562" t="n">
        <v>0</v>
      </c>
      <c r="I562" t="n">
        <v>0</v>
      </c>
      <c r="J562" t="n">
        <v>0</v>
      </c>
      <c r="K562" t="n">
        <v>0</v>
      </c>
      <c r="L562" t="n">
        <v>0</v>
      </c>
      <c r="M562" t="n">
        <v>0</v>
      </c>
      <c r="N562" t="n">
        <v>0</v>
      </c>
      <c r="O562" t="n">
        <v>0</v>
      </c>
      <c r="P562" t="n">
        <v>0</v>
      </c>
      <c r="Q562" t="n">
        <v>0</v>
      </c>
      <c r="R562" s="2" t="inlineStr"/>
    </row>
    <row r="563" ht="15" customHeight="1">
      <c r="A563" t="inlineStr">
        <is>
          <t>A 19353-2024</t>
        </is>
      </c>
      <c r="B563" s="1" t="n">
        <v>45429</v>
      </c>
      <c r="C563" s="1" t="n">
        <v>45780</v>
      </c>
      <c r="D563" t="inlineStr">
        <is>
          <t>DALARNAS LÄN</t>
        </is>
      </c>
      <c r="E563" t="inlineStr">
        <is>
          <t>HEDEMORA</t>
        </is>
      </c>
      <c r="F563" t="inlineStr">
        <is>
          <t>Sveaskog</t>
        </is>
      </c>
      <c r="G563" t="n">
        <v>16.3</v>
      </c>
      <c r="H563" t="n">
        <v>0</v>
      </c>
      <c r="I563" t="n">
        <v>0</v>
      </c>
      <c r="J563" t="n">
        <v>0</v>
      </c>
      <c r="K563" t="n">
        <v>0</v>
      </c>
      <c r="L563" t="n">
        <v>0</v>
      </c>
      <c r="M563" t="n">
        <v>0</v>
      </c>
      <c r="N563" t="n">
        <v>0</v>
      </c>
      <c r="O563" t="n">
        <v>0</v>
      </c>
      <c r="P563" t="n">
        <v>0</v>
      </c>
      <c r="Q563" t="n">
        <v>0</v>
      </c>
      <c r="R563" s="2" t="inlineStr"/>
    </row>
    <row r="564" ht="15" customHeight="1">
      <c r="A564" t="inlineStr">
        <is>
          <t>A 19397-2024</t>
        </is>
      </c>
      <c r="B564" s="1" t="n">
        <v>45429</v>
      </c>
      <c r="C564" s="1" t="n">
        <v>45780</v>
      </c>
      <c r="D564" t="inlineStr">
        <is>
          <t>DALARNAS LÄN</t>
        </is>
      </c>
      <c r="E564" t="inlineStr">
        <is>
          <t>HEDEMORA</t>
        </is>
      </c>
      <c r="G564" t="n">
        <v>1.8</v>
      </c>
      <c r="H564" t="n">
        <v>0</v>
      </c>
      <c r="I564" t="n">
        <v>0</v>
      </c>
      <c r="J564" t="n">
        <v>0</v>
      </c>
      <c r="K564" t="n">
        <v>0</v>
      </c>
      <c r="L564" t="n">
        <v>0</v>
      </c>
      <c r="M564" t="n">
        <v>0</v>
      </c>
      <c r="N564" t="n">
        <v>0</v>
      </c>
      <c r="O564" t="n">
        <v>0</v>
      </c>
      <c r="P564" t="n">
        <v>0</v>
      </c>
      <c r="Q564" t="n">
        <v>0</v>
      </c>
      <c r="R564" s="2" t="inlineStr"/>
    </row>
    <row r="565" ht="15" customHeight="1">
      <c r="A565" t="inlineStr">
        <is>
          <t>A 19473-2024</t>
        </is>
      </c>
      <c r="B565" s="1" t="n">
        <v>45429</v>
      </c>
      <c r="C565" s="1" t="n">
        <v>45780</v>
      </c>
      <c r="D565" t="inlineStr">
        <is>
          <t>DALARNAS LÄN</t>
        </is>
      </c>
      <c r="E565" t="inlineStr">
        <is>
          <t>HEDEMORA</t>
        </is>
      </c>
      <c r="G565" t="n">
        <v>2.5</v>
      </c>
      <c r="H565" t="n">
        <v>0</v>
      </c>
      <c r="I565" t="n">
        <v>0</v>
      </c>
      <c r="J565" t="n">
        <v>0</v>
      </c>
      <c r="K565" t="n">
        <v>0</v>
      </c>
      <c r="L565" t="n">
        <v>0</v>
      </c>
      <c r="M565" t="n">
        <v>0</v>
      </c>
      <c r="N565" t="n">
        <v>0</v>
      </c>
      <c r="O565" t="n">
        <v>0</v>
      </c>
      <c r="P565" t="n">
        <v>0</v>
      </c>
      <c r="Q565" t="n">
        <v>0</v>
      </c>
      <c r="R565" s="2" t="inlineStr"/>
    </row>
    <row r="566" ht="15" customHeight="1">
      <c r="A566" t="inlineStr">
        <is>
          <t>A 19604-2024</t>
        </is>
      </c>
      <c r="B566" s="1" t="n">
        <v>45431</v>
      </c>
      <c r="C566" s="1" t="n">
        <v>45780</v>
      </c>
      <c r="D566" t="inlineStr">
        <is>
          <t>DALARNAS LÄN</t>
        </is>
      </c>
      <c r="E566" t="inlineStr">
        <is>
          <t>HEDEMORA</t>
        </is>
      </c>
      <c r="F566" t="inlineStr">
        <is>
          <t>Bergvik skog väst AB</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20078-2024</t>
        </is>
      </c>
      <c r="B567" s="1" t="n">
        <v>45434</v>
      </c>
      <c r="C567" s="1" t="n">
        <v>45780</v>
      </c>
      <c r="D567" t="inlineStr">
        <is>
          <t>DALARNAS LÄN</t>
        </is>
      </c>
      <c r="E567" t="inlineStr">
        <is>
          <t>HEDEMORA</t>
        </is>
      </c>
      <c r="G567" t="n">
        <v>6.5</v>
      </c>
      <c r="H567" t="n">
        <v>0</v>
      </c>
      <c r="I567" t="n">
        <v>0</v>
      </c>
      <c r="J567" t="n">
        <v>0</v>
      </c>
      <c r="K567" t="n">
        <v>0</v>
      </c>
      <c r="L567" t="n">
        <v>0</v>
      </c>
      <c r="M567" t="n">
        <v>0</v>
      </c>
      <c r="N567" t="n">
        <v>0</v>
      </c>
      <c r="O567" t="n">
        <v>0</v>
      </c>
      <c r="P567" t="n">
        <v>0</v>
      </c>
      <c r="Q567" t="n">
        <v>0</v>
      </c>
      <c r="R567" s="2" t="inlineStr"/>
    </row>
    <row r="568" ht="15" customHeight="1">
      <c r="A568" t="inlineStr">
        <is>
          <t>A 20235-2024</t>
        </is>
      </c>
      <c r="B568" s="1" t="n">
        <v>45434</v>
      </c>
      <c r="C568" s="1" t="n">
        <v>45780</v>
      </c>
      <c r="D568" t="inlineStr">
        <is>
          <t>DALARNAS LÄN</t>
        </is>
      </c>
      <c r="E568" t="inlineStr">
        <is>
          <t>HEDEMORA</t>
        </is>
      </c>
      <c r="G568" t="n">
        <v>1.3</v>
      </c>
      <c r="H568" t="n">
        <v>0</v>
      </c>
      <c r="I568" t="n">
        <v>0</v>
      </c>
      <c r="J568" t="n">
        <v>0</v>
      </c>
      <c r="K568" t="n">
        <v>0</v>
      </c>
      <c r="L568" t="n">
        <v>0</v>
      </c>
      <c r="M568" t="n">
        <v>0</v>
      </c>
      <c r="N568" t="n">
        <v>0</v>
      </c>
      <c r="O568" t="n">
        <v>0</v>
      </c>
      <c r="P568" t="n">
        <v>0</v>
      </c>
      <c r="Q568" t="n">
        <v>0</v>
      </c>
      <c r="R568" s="2" t="inlineStr"/>
    </row>
    <row r="569" ht="15" customHeight="1">
      <c r="A569" t="inlineStr">
        <is>
          <t>A 20504-2024</t>
        </is>
      </c>
      <c r="B569" s="1" t="n">
        <v>45436</v>
      </c>
      <c r="C569" s="1" t="n">
        <v>45780</v>
      </c>
      <c r="D569" t="inlineStr">
        <is>
          <t>DALARNAS LÄN</t>
        </is>
      </c>
      <c r="E569" t="inlineStr">
        <is>
          <t>HEDEMORA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20503-2024</t>
        </is>
      </c>
      <c r="B570" s="1" t="n">
        <v>45436</v>
      </c>
      <c r="C570" s="1" t="n">
        <v>45780</v>
      </c>
      <c r="D570" t="inlineStr">
        <is>
          <t>DALARNAS LÄN</t>
        </is>
      </c>
      <c r="E570" t="inlineStr">
        <is>
          <t>HEDEMORA</t>
        </is>
      </c>
      <c r="F570" t="inlineStr">
        <is>
          <t>Sveaskog</t>
        </is>
      </c>
      <c r="G570" t="n">
        <v>5.1</v>
      </c>
      <c r="H570" t="n">
        <v>0</v>
      </c>
      <c r="I570" t="n">
        <v>0</v>
      </c>
      <c r="J570" t="n">
        <v>0</v>
      </c>
      <c r="K570" t="n">
        <v>0</v>
      </c>
      <c r="L570" t="n">
        <v>0</v>
      </c>
      <c r="M570" t="n">
        <v>0</v>
      </c>
      <c r="N570" t="n">
        <v>0</v>
      </c>
      <c r="O570" t="n">
        <v>0</v>
      </c>
      <c r="P570" t="n">
        <v>0</v>
      </c>
      <c r="Q570" t="n">
        <v>0</v>
      </c>
      <c r="R570" s="2" t="inlineStr"/>
    </row>
    <row r="571" ht="15" customHeight="1">
      <c r="A571" t="inlineStr">
        <is>
          <t>A 20666-2024</t>
        </is>
      </c>
      <c r="B571" s="1" t="n">
        <v>45436</v>
      </c>
      <c r="C571" s="1" t="n">
        <v>45780</v>
      </c>
      <c r="D571" t="inlineStr">
        <is>
          <t>DALARNAS LÄN</t>
        </is>
      </c>
      <c r="E571" t="inlineStr">
        <is>
          <t>HEDEMORA</t>
        </is>
      </c>
      <c r="G571" t="n">
        <v>5.1</v>
      </c>
      <c r="H571" t="n">
        <v>0</v>
      </c>
      <c r="I571" t="n">
        <v>0</v>
      </c>
      <c r="J571" t="n">
        <v>0</v>
      </c>
      <c r="K571" t="n">
        <v>0</v>
      </c>
      <c r="L571" t="n">
        <v>0</v>
      </c>
      <c r="M571" t="n">
        <v>0</v>
      </c>
      <c r="N571" t="n">
        <v>0</v>
      </c>
      <c r="O571" t="n">
        <v>0</v>
      </c>
      <c r="P571" t="n">
        <v>0</v>
      </c>
      <c r="Q571" t="n">
        <v>0</v>
      </c>
      <c r="R571" s="2" t="inlineStr"/>
    </row>
    <row r="572" ht="15" customHeight="1">
      <c r="A572" t="inlineStr">
        <is>
          <t>A 20670-2024</t>
        </is>
      </c>
      <c r="B572" s="1" t="n">
        <v>45436</v>
      </c>
      <c r="C572" s="1" t="n">
        <v>45780</v>
      </c>
      <c r="D572" t="inlineStr">
        <is>
          <t>DALARNAS LÄN</t>
        </is>
      </c>
      <c r="E572" t="inlineStr">
        <is>
          <t>HEDEMORA</t>
        </is>
      </c>
      <c r="G572" t="n">
        <v>2.7</v>
      </c>
      <c r="H572" t="n">
        <v>0</v>
      </c>
      <c r="I572" t="n">
        <v>0</v>
      </c>
      <c r="J572" t="n">
        <v>0</v>
      </c>
      <c r="K572" t="n">
        <v>0</v>
      </c>
      <c r="L572" t="n">
        <v>0</v>
      </c>
      <c r="M572" t="n">
        <v>0</v>
      </c>
      <c r="N572" t="n">
        <v>0</v>
      </c>
      <c r="O572" t="n">
        <v>0</v>
      </c>
      <c r="P572" t="n">
        <v>0</v>
      </c>
      <c r="Q572" t="n">
        <v>0</v>
      </c>
      <c r="R572" s="2" t="inlineStr"/>
    </row>
    <row r="573" ht="15" customHeight="1">
      <c r="A573" t="inlineStr">
        <is>
          <t>A 21270-2024</t>
        </is>
      </c>
      <c r="B573" s="1" t="n">
        <v>45440</v>
      </c>
      <c r="C573" s="1" t="n">
        <v>45780</v>
      </c>
      <c r="D573" t="inlineStr">
        <is>
          <t>DALARNAS LÄN</t>
        </is>
      </c>
      <c r="E573" t="inlineStr">
        <is>
          <t>HEDEMORA</t>
        </is>
      </c>
      <c r="G573" t="n">
        <v>4.7</v>
      </c>
      <c r="H573" t="n">
        <v>0</v>
      </c>
      <c r="I573" t="n">
        <v>0</v>
      </c>
      <c r="J573" t="n">
        <v>0</v>
      </c>
      <c r="K573" t="n">
        <v>0</v>
      </c>
      <c r="L573" t="n">
        <v>0</v>
      </c>
      <c r="M573" t="n">
        <v>0</v>
      </c>
      <c r="N573" t="n">
        <v>0</v>
      </c>
      <c r="O573" t="n">
        <v>0</v>
      </c>
      <c r="P573" t="n">
        <v>0</v>
      </c>
      <c r="Q573" t="n">
        <v>0</v>
      </c>
      <c r="R573" s="2" t="inlineStr"/>
    </row>
    <row r="574" ht="15" customHeight="1">
      <c r="A574" t="inlineStr">
        <is>
          <t>A 21514-2024</t>
        </is>
      </c>
      <c r="B574" s="1" t="n">
        <v>45441</v>
      </c>
      <c r="C574" s="1" t="n">
        <v>45780</v>
      </c>
      <c r="D574" t="inlineStr">
        <is>
          <t>DALARNAS LÄN</t>
        </is>
      </c>
      <c r="E574" t="inlineStr">
        <is>
          <t>HEDEMORA</t>
        </is>
      </c>
      <c r="G574" t="n">
        <v>1.5</v>
      </c>
      <c r="H574" t="n">
        <v>0</v>
      </c>
      <c r="I574" t="n">
        <v>0</v>
      </c>
      <c r="J574" t="n">
        <v>0</v>
      </c>
      <c r="K574" t="n">
        <v>0</v>
      </c>
      <c r="L574" t="n">
        <v>0</v>
      </c>
      <c r="M574" t="n">
        <v>0</v>
      </c>
      <c r="N574" t="n">
        <v>0</v>
      </c>
      <c r="O574" t="n">
        <v>0</v>
      </c>
      <c r="P574" t="n">
        <v>0</v>
      </c>
      <c r="Q574" t="n">
        <v>0</v>
      </c>
      <c r="R574" s="2" t="inlineStr"/>
    </row>
    <row r="575" ht="15" customHeight="1">
      <c r="A575" t="inlineStr">
        <is>
          <t>A 21539-2024</t>
        </is>
      </c>
      <c r="B575" s="1" t="n">
        <v>45441</v>
      </c>
      <c r="C575" s="1" t="n">
        <v>45780</v>
      </c>
      <c r="D575" t="inlineStr">
        <is>
          <t>DALARNAS LÄN</t>
        </is>
      </c>
      <c r="E575" t="inlineStr">
        <is>
          <t>HEDEMORA</t>
        </is>
      </c>
      <c r="F575" t="inlineStr">
        <is>
          <t>Sveaskog</t>
        </is>
      </c>
      <c r="G575" t="n">
        <v>11.9</v>
      </c>
      <c r="H575" t="n">
        <v>0</v>
      </c>
      <c r="I575" t="n">
        <v>0</v>
      </c>
      <c r="J575" t="n">
        <v>0</v>
      </c>
      <c r="K575" t="n">
        <v>0</v>
      </c>
      <c r="L575" t="n">
        <v>0</v>
      </c>
      <c r="M575" t="n">
        <v>0</v>
      </c>
      <c r="N575" t="n">
        <v>0</v>
      </c>
      <c r="O575" t="n">
        <v>0</v>
      </c>
      <c r="P575" t="n">
        <v>0</v>
      </c>
      <c r="Q575" t="n">
        <v>0</v>
      </c>
      <c r="R575" s="2" t="inlineStr"/>
    </row>
    <row r="576" ht="15" customHeight="1">
      <c r="A576" t="inlineStr">
        <is>
          <t>A 21595-2024</t>
        </is>
      </c>
      <c r="B576" s="1" t="n">
        <v>45441</v>
      </c>
      <c r="C576" s="1" t="n">
        <v>45780</v>
      </c>
      <c r="D576" t="inlineStr">
        <is>
          <t>DALARNAS LÄN</t>
        </is>
      </c>
      <c r="E576" t="inlineStr">
        <is>
          <t>HEDEMORA</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21538-2024</t>
        </is>
      </c>
      <c r="B577" s="1" t="n">
        <v>45441</v>
      </c>
      <c r="C577" s="1" t="n">
        <v>45780</v>
      </c>
      <c r="D577" t="inlineStr">
        <is>
          <t>DALARNAS LÄN</t>
        </is>
      </c>
      <c r="E577" t="inlineStr">
        <is>
          <t>HEDEMORA</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21763-2024</t>
        </is>
      </c>
      <c r="B578" s="1" t="n">
        <v>45442</v>
      </c>
      <c r="C578" s="1" t="n">
        <v>45780</v>
      </c>
      <c r="D578" t="inlineStr">
        <is>
          <t>DALARNAS LÄN</t>
        </is>
      </c>
      <c r="E578" t="inlineStr">
        <is>
          <t>HEDEMORA</t>
        </is>
      </c>
      <c r="G578" t="n">
        <v>1.6</v>
      </c>
      <c r="H578" t="n">
        <v>0</v>
      </c>
      <c r="I578" t="n">
        <v>0</v>
      </c>
      <c r="J578" t="n">
        <v>0</v>
      </c>
      <c r="K578" t="n">
        <v>0</v>
      </c>
      <c r="L578" t="n">
        <v>0</v>
      </c>
      <c r="M578" t="n">
        <v>0</v>
      </c>
      <c r="N578" t="n">
        <v>0</v>
      </c>
      <c r="O578" t="n">
        <v>0</v>
      </c>
      <c r="P578" t="n">
        <v>0</v>
      </c>
      <c r="Q578" t="n">
        <v>0</v>
      </c>
      <c r="R578" s="2" t="inlineStr"/>
    </row>
    <row r="579" ht="15" customHeight="1">
      <c r="A579" t="inlineStr">
        <is>
          <t>A 21823-2024</t>
        </is>
      </c>
      <c r="B579" s="1" t="n">
        <v>45442</v>
      </c>
      <c r="C579" s="1" t="n">
        <v>45780</v>
      </c>
      <c r="D579" t="inlineStr">
        <is>
          <t>DALARNAS LÄN</t>
        </is>
      </c>
      <c r="E579" t="inlineStr">
        <is>
          <t>HEDEMORA</t>
        </is>
      </c>
      <c r="F579" t="inlineStr">
        <is>
          <t>Sveaskog</t>
        </is>
      </c>
      <c r="G579" t="n">
        <v>5.3</v>
      </c>
      <c r="H579" t="n">
        <v>0</v>
      </c>
      <c r="I579" t="n">
        <v>0</v>
      </c>
      <c r="J579" t="n">
        <v>0</v>
      </c>
      <c r="K579" t="n">
        <v>0</v>
      </c>
      <c r="L579" t="n">
        <v>0</v>
      </c>
      <c r="M579" t="n">
        <v>0</v>
      </c>
      <c r="N579" t="n">
        <v>0</v>
      </c>
      <c r="O579" t="n">
        <v>0</v>
      </c>
      <c r="P579" t="n">
        <v>0</v>
      </c>
      <c r="Q579" t="n">
        <v>0</v>
      </c>
      <c r="R579" s="2" t="inlineStr"/>
    </row>
    <row r="580" ht="15" customHeight="1">
      <c r="A580" t="inlineStr">
        <is>
          <t>A 22588-2024</t>
        </is>
      </c>
      <c r="B580" s="1" t="n">
        <v>45447</v>
      </c>
      <c r="C580" s="1" t="n">
        <v>45780</v>
      </c>
      <c r="D580" t="inlineStr">
        <is>
          <t>DALARNAS LÄN</t>
        </is>
      </c>
      <c r="E580" t="inlineStr">
        <is>
          <t>HEDEMORA</t>
        </is>
      </c>
      <c r="G580" t="n">
        <v>8.4</v>
      </c>
      <c r="H580" t="n">
        <v>0</v>
      </c>
      <c r="I580" t="n">
        <v>0</v>
      </c>
      <c r="J580" t="n">
        <v>0</v>
      </c>
      <c r="K580" t="n">
        <v>0</v>
      </c>
      <c r="L580" t="n">
        <v>0</v>
      </c>
      <c r="M580" t="n">
        <v>0</v>
      </c>
      <c r="N580" t="n">
        <v>0</v>
      </c>
      <c r="O580" t="n">
        <v>0</v>
      </c>
      <c r="P580" t="n">
        <v>0</v>
      </c>
      <c r="Q580" t="n">
        <v>0</v>
      </c>
      <c r="R580" s="2" t="inlineStr"/>
    </row>
    <row r="581" ht="15" customHeight="1">
      <c r="A581" t="inlineStr">
        <is>
          <t>A 22914-2024</t>
        </is>
      </c>
      <c r="B581" s="1" t="n">
        <v>45448</v>
      </c>
      <c r="C581" s="1" t="n">
        <v>45780</v>
      </c>
      <c r="D581" t="inlineStr">
        <is>
          <t>DALARNAS LÄN</t>
        </is>
      </c>
      <c r="E581" t="inlineStr">
        <is>
          <t>HEDEMORA</t>
        </is>
      </c>
      <c r="G581" t="n">
        <v>2</v>
      </c>
      <c r="H581" t="n">
        <v>0</v>
      </c>
      <c r="I581" t="n">
        <v>0</v>
      </c>
      <c r="J581" t="n">
        <v>0</v>
      </c>
      <c r="K581" t="n">
        <v>0</v>
      </c>
      <c r="L581" t="n">
        <v>0</v>
      </c>
      <c r="M581" t="n">
        <v>0</v>
      </c>
      <c r="N581" t="n">
        <v>0</v>
      </c>
      <c r="O581" t="n">
        <v>0</v>
      </c>
      <c r="P581" t="n">
        <v>0</v>
      </c>
      <c r="Q581" t="n">
        <v>0</v>
      </c>
      <c r="R581" s="2" t="inlineStr"/>
    </row>
    <row r="582" ht="15" customHeight="1">
      <c r="A582" t="inlineStr">
        <is>
          <t>A 23826-2024</t>
        </is>
      </c>
      <c r="B582" s="1" t="n">
        <v>45455</v>
      </c>
      <c r="C582" s="1" t="n">
        <v>45780</v>
      </c>
      <c r="D582" t="inlineStr">
        <is>
          <t>DALARNAS LÄN</t>
        </is>
      </c>
      <c r="E582" t="inlineStr">
        <is>
          <t>HEDEMORA</t>
        </is>
      </c>
      <c r="G582" t="n">
        <v>1.2</v>
      </c>
      <c r="H582" t="n">
        <v>0</v>
      </c>
      <c r="I582" t="n">
        <v>0</v>
      </c>
      <c r="J582" t="n">
        <v>0</v>
      </c>
      <c r="K582" t="n">
        <v>0</v>
      </c>
      <c r="L582" t="n">
        <v>0</v>
      </c>
      <c r="M582" t="n">
        <v>0</v>
      </c>
      <c r="N582" t="n">
        <v>0</v>
      </c>
      <c r="O582" t="n">
        <v>0</v>
      </c>
      <c r="P582" t="n">
        <v>0</v>
      </c>
      <c r="Q582" t="n">
        <v>0</v>
      </c>
      <c r="R582" s="2" t="inlineStr"/>
    </row>
    <row r="583" ht="15" customHeight="1">
      <c r="A583" t="inlineStr">
        <is>
          <t>A 24382-2024</t>
        </is>
      </c>
      <c r="B583" s="1" t="n">
        <v>45457</v>
      </c>
      <c r="C583" s="1" t="n">
        <v>45780</v>
      </c>
      <c r="D583" t="inlineStr">
        <is>
          <t>DALARNAS LÄN</t>
        </is>
      </c>
      <c r="E583" t="inlineStr">
        <is>
          <t>HEDEMORA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24486-2024</t>
        </is>
      </c>
      <c r="B584" s="1" t="n">
        <v>45459</v>
      </c>
      <c r="C584" s="1" t="n">
        <v>45780</v>
      </c>
      <c r="D584" t="inlineStr">
        <is>
          <t>DALARNAS LÄN</t>
        </is>
      </c>
      <c r="E584" t="inlineStr">
        <is>
          <t>HEDEMORA</t>
        </is>
      </c>
      <c r="G584" t="n">
        <v>0.3</v>
      </c>
      <c r="H584" t="n">
        <v>0</v>
      </c>
      <c r="I584" t="n">
        <v>0</v>
      </c>
      <c r="J584" t="n">
        <v>0</v>
      </c>
      <c r="K584" t="n">
        <v>0</v>
      </c>
      <c r="L584" t="n">
        <v>0</v>
      </c>
      <c r="M584" t="n">
        <v>0</v>
      </c>
      <c r="N584" t="n">
        <v>0</v>
      </c>
      <c r="O584" t="n">
        <v>0</v>
      </c>
      <c r="P584" t="n">
        <v>0</v>
      </c>
      <c r="Q584" t="n">
        <v>0</v>
      </c>
      <c r="R584" s="2" t="inlineStr"/>
    </row>
    <row r="585" ht="15" customHeight="1">
      <c r="A585" t="inlineStr">
        <is>
          <t>A 25206-2024</t>
        </is>
      </c>
      <c r="B585" s="1" t="n">
        <v>45462</v>
      </c>
      <c r="C585" s="1" t="n">
        <v>45780</v>
      </c>
      <c r="D585" t="inlineStr">
        <is>
          <t>DALARNAS LÄN</t>
        </is>
      </c>
      <c r="E585" t="inlineStr">
        <is>
          <t>HEDEMORA</t>
        </is>
      </c>
      <c r="G585" t="n">
        <v>2.1</v>
      </c>
      <c r="H585" t="n">
        <v>0</v>
      </c>
      <c r="I585" t="n">
        <v>0</v>
      </c>
      <c r="J585" t="n">
        <v>0</v>
      </c>
      <c r="K585" t="n">
        <v>0</v>
      </c>
      <c r="L585" t="n">
        <v>0</v>
      </c>
      <c r="M585" t="n">
        <v>0</v>
      </c>
      <c r="N585" t="n">
        <v>0</v>
      </c>
      <c r="O585" t="n">
        <v>0</v>
      </c>
      <c r="P585" t="n">
        <v>0</v>
      </c>
      <c r="Q585" t="n">
        <v>0</v>
      </c>
      <c r="R585" s="2" t="inlineStr"/>
    </row>
    <row r="586" ht="15" customHeight="1">
      <c r="A586" t="inlineStr">
        <is>
          <t>A 25195-2024</t>
        </is>
      </c>
      <c r="B586" s="1" t="n">
        <v>45462</v>
      </c>
      <c r="C586" s="1" t="n">
        <v>45780</v>
      </c>
      <c r="D586" t="inlineStr">
        <is>
          <t>DALARNAS LÄN</t>
        </is>
      </c>
      <c r="E586" t="inlineStr">
        <is>
          <t>HEDEMORA</t>
        </is>
      </c>
      <c r="F586" t="inlineStr">
        <is>
          <t>Övriga statliga verk och myndigheter</t>
        </is>
      </c>
      <c r="G586" t="n">
        <v>3.3</v>
      </c>
      <c r="H586" t="n">
        <v>0</v>
      </c>
      <c r="I586" t="n">
        <v>0</v>
      </c>
      <c r="J586" t="n">
        <v>0</v>
      </c>
      <c r="K586" t="n">
        <v>0</v>
      </c>
      <c r="L586" t="n">
        <v>0</v>
      </c>
      <c r="M586" t="n">
        <v>0</v>
      </c>
      <c r="N586" t="n">
        <v>0</v>
      </c>
      <c r="O586" t="n">
        <v>0</v>
      </c>
      <c r="P586" t="n">
        <v>0</v>
      </c>
      <c r="Q586" t="n">
        <v>0</v>
      </c>
      <c r="R586" s="2" t="inlineStr"/>
    </row>
    <row r="587" ht="15" customHeight="1">
      <c r="A587" t="inlineStr">
        <is>
          <t>A 25643-2024</t>
        </is>
      </c>
      <c r="B587" s="1" t="n">
        <v>45463</v>
      </c>
      <c r="C587" s="1" t="n">
        <v>45780</v>
      </c>
      <c r="D587" t="inlineStr">
        <is>
          <t>DALARNAS LÄN</t>
        </is>
      </c>
      <c r="E587" t="inlineStr">
        <is>
          <t>HEDEMORA</t>
        </is>
      </c>
      <c r="F587" t="inlineStr">
        <is>
          <t>Sveaskog</t>
        </is>
      </c>
      <c r="G587" t="n">
        <v>8</v>
      </c>
      <c r="H587" t="n">
        <v>0</v>
      </c>
      <c r="I587" t="n">
        <v>0</v>
      </c>
      <c r="J587" t="n">
        <v>0</v>
      </c>
      <c r="K587" t="n">
        <v>0</v>
      </c>
      <c r="L587" t="n">
        <v>0</v>
      </c>
      <c r="M587" t="n">
        <v>0</v>
      </c>
      <c r="N587" t="n">
        <v>0</v>
      </c>
      <c r="O587" t="n">
        <v>0</v>
      </c>
      <c r="P587" t="n">
        <v>0</v>
      </c>
      <c r="Q587" t="n">
        <v>0</v>
      </c>
      <c r="R587" s="2" t="inlineStr"/>
    </row>
    <row r="588" ht="15" customHeight="1">
      <c r="A588" t="inlineStr">
        <is>
          <t>A 25645-2024</t>
        </is>
      </c>
      <c r="B588" s="1" t="n">
        <v>45463</v>
      </c>
      <c r="C588" s="1" t="n">
        <v>45780</v>
      </c>
      <c r="D588" t="inlineStr">
        <is>
          <t>DALARNAS LÄN</t>
        </is>
      </c>
      <c r="E588" t="inlineStr">
        <is>
          <t>HEDEMORA</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26452-2024</t>
        </is>
      </c>
      <c r="B589" s="1" t="n">
        <v>45469</v>
      </c>
      <c r="C589" s="1" t="n">
        <v>45780</v>
      </c>
      <c r="D589" t="inlineStr">
        <is>
          <t>DALARNAS LÄN</t>
        </is>
      </c>
      <c r="E589" t="inlineStr">
        <is>
          <t>HEDEMORA</t>
        </is>
      </c>
      <c r="G589" t="n">
        <v>2.3</v>
      </c>
      <c r="H589" t="n">
        <v>0</v>
      </c>
      <c r="I589" t="n">
        <v>0</v>
      </c>
      <c r="J589" t="n">
        <v>0</v>
      </c>
      <c r="K589" t="n">
        <v>0</v>
      </c>
      <c r="L589" t="n">
        <v>0</v>
      </c>
      <c r="M589" t="n">
        <v>0</v>
      </c>
      <c r="N589" t="n">
        <v>0</v>
      </c>
      <c r="O589" t="n">
        <v>0</v>
      </c>
      <c r="P589" t="n">
        <v>0</v>
      </c>
      <c r="Q589" t="n">
        <v>0</v>
      </c>
      <c r="R589" s="2" t="inlineStr"/>
    </row>
    <row r="590" ht="15" customHeight="1">
      <c r="A590" t="inlineStr">
        <is>
          <t>A 26449-2024</t>
        </is>
      </c>
      <c r="B590" s="1" t="n">
        <v>45469</v>
      </c>
      <c r="C590" s="1" t="n">
        <v>45780</v>
      </c>
      <c r="D590" t="inlineStr">
        <is>
          <t>DALARNAS LÄN</t>
        </is>
      </c>
      <c r="E590" t="inlineStr">
        <is>
          <t>HEDEMORA</t>
        </is>
      </c>
      <c r="G590" t="n">
        <v>4.5</v>
      </c>
      <c r="H590" t="n">
        <v>0</v>
      </c>
      <c r="I590" t="n">
        <v>0</v>
      </c>
      <c r="J590" t="n">
        <v>0</v>
      </c>
      <c r="K590" t="n">
        <v>0</v>
      </c>
      <c r="L590" t="n">
        <v>0</v>
      </c>
      <c r="M590" t="n">
        <v>0</v>
      </c>
      <c r="N590" t="n">
        <v>0</v>
      </c>
      <c r="O590" t="n">
        <v>0</v>
      </c>
      <c r="P590" t="n">
        <v>0</v>
      </c>
      <c r="Q590" t="n">
        <v>0</v>
      </c>
      <c r="R590" s="2" t="inlineStr"/>
    </row>
    <row r="591" ht="15" customHeight="1">
      <c r="A591" t="inlineStr">
        <is>
          <t>A 26431-2024</t>
        </is>
      </c>
      <c r="B591" s="1" t="n">
        <v>45469</v>
      </c>
      <c r="C591" s="1" t="n">
        <v>45780</v>
      </c>
      <c r="D591" t="inlineStr">
        <is>
          <t>DALARNAS LÄN</t>
        </is>
      </c>
      <c r="E591" t="inlineStr">
        <is>
          <t>HEDEMORA</t>
        </is>
      </c>
      <c r="G591" t="n">
        <v>1.6</v>
      </c>
      <c r="H591" t="n">
        <v>0</v>
      </c>
      <c r="I591" t="n">
        <v>0</v>
      </c>
      <c r="J591" t="n">
        <v>0</v>
      </c>
      <c r="K591" t="n">
        <v>0</v>
      </c>
      <c r="L591" t="n">
        <v>0</v>
      </c>
      <c r="M591" t="n">
        <v>0</v>
      </c>
      <c r="N591" t="n">
        <v>0</v>
      </c>
      <c r="O591" t="n">
        <v>0</v>
      </c>
      <c r="P591" t="n">
        <v>0</v>
      </c>
      <c r="Q591" t="n">
        <v>0</v>
      </c>
      <c r="R591" s="2" t="inlineStr"/>
      <c r="U591">
        <f>HYPERLINK("https://klasma.github.io/Logging_2083/knärot/A 26431-2024 karta knärot.png", "A 26431-2024")</f>
        <v/>
      </c>
      <c r="V591">
        <f>HYPERLINK("https://klasma.github.io/Logging_2083/klagomål/A 26431-2024 FSC-klagomål.docx", "A 26431-2024")</f>
        <v/>
      </c>
      <c r="W591">
        <f>HYPERLINK("https://klasma.github.io/Logging_2083/klagomålsmail/A 26431-2024 FSC-klagomål mail.docx", "A 26431-2024")</f>
        <v/>
      </c>
      <c r="X591">
        <f>HYPERLINK("https://klasma.github.io/Logging_2083/tillsyn/A 26431-2024 tillsynsbegäran.docx", "A 26431-2024")</f>
        <v/>
      </c>
      <c r="Y591">
        <f>HYPERLINK("https://klasma.github.io/Logging_2083/tillsynsmail/A 26431-2024 tillsynsbegäran mail.docx", "A 26431-2024")</f>
        <v/>
      </c>
    </row>
    <row r="592" ht="15" customHeight="1">
      <c r="A592" t="inlineStr">
        <is>
          <t>A 27610-2024</t>
        </is>
      </c>
      <c r="B592" s="1" t="n">
        <v>45474</v>
      </c>
      <c r="C592" s="1" t="n">
        <v>45780</v>
      </c>
      <c r="D592" t="inlineStr">
        <is>
          <t>DALARNAS LÄN</t>
        </is>
      </c>
      <c r="E592" t="inlineStr">
        <is>
          <t>HEDEMORA</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27609-2024</t>
        </is>
      </c>
      <c r="B593" s="1" t="n">
        <v>45474</v>
      </c>
      <c r="C593" s="1" t="n">
        <v>45780</v>
      </c>
      <c r="D593" t="inlineStr">
        <is>
          <t>DALARNAS LÄN</t>
        </is>
      </c>
      <c r="E593" t="inlineStr">
        <is>
          <t>HEDEMORA</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28148-2024</t>
        </is>
      </c>
      <c r="B594" s="1" t="n">
        <v>45476</v>
      </c>
      <c r="C594" s="1" t="n">
        <v>45780</v>
      </c>
      <c r="D594" t="inlineStr">
        <is>
          <t>DALARNAS LÄN</t>
        </is>
      </c>
      <c r="E594" t="inlineStr">
        <is>
          <t>HEDEMORA</t>
        </is>
      </c>
      <c r="F594" t="inlineStr">
        <is>
          <t>Sveaskog</t>
        </is>
      </c>
      <c r="G594" t="n">
        <v>2.4</v>
      </c>
      <c r="H594" t="n">
        <v>0</v>
      </c>
      <c r="I594" t="n">
        <v>0</v>
      </c>
      <c r="J594" t="n">
        <v>0</v>
      </c>
      <c r="K594" t="n">
        <v>0</v>
      </c>
      <c r="L594" t="n">
        <v>0</v>
      </c>
      <c r="M594" t="n">
        <v>0</v>
      </c>
      <c r="N594" t="n">
        <v>0</v>
      </c>
      <c r="O594" t="n">
        <v>0</v>
      </c>
      <c r="P594" t="n">
        <v>0</v>
      </c>
      <c r="Q594" t="n">
        <v>0</v>
      </c>
      <c r="R594" s="2" t="inlineStr"/>
    </row>
    <row r="595" ht="15" customHeight="1">
      <c r="A595" t="inlineStr">
        <is>
          <t>A 28149-2024</t>
        </is>
      </c>
      <c r="B595" s="1" t="n">
        <v>45476</v>
      </c>
      <c r="C595" s="1" t="n">
        <v>45780</v>
      </c>
      <c r="D595" t="inlineStr">
        <is>
          <t>DALARNAS LÄN</t>
        </is>
      </c>
      <c r="E595" t="inlineStr">
        <is>
          <t>HEDEMORA</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28813-2024</t>
        </is>
      </c>
      <c r="B596" s="1" t="n">
        <v>45478</v>
      </c>
      <c r="C596" s="1" t="n">
        <v>45780</v>
      </c>
      <c r="D596" t="inlineStr">
        <is>
          <t>DALARNAS LÄN</t>
        </is>
      </c>
      <c r="E596" t="inlineStr">
        <is>
          <t>HEDEMORA</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29225-2024</t>
        </is>
      </c>
      <c r="B597" s="1" t="n">
        <v>45482</v>
      </c>
      <c r="C597" s="1" t="n">
        <v>45780</v>
      </c>
      <c r="D597" t="inlineStr">
        <is>
          <t>DALARNAS LÄN</t>
        </is>
      </c>
      <c r="E597" t="inlineStr">
        <is>
          <t>HEDEMORA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29585-2024</t>
        </is>
      </c>
      <c r="B598" s="1" t="n">
        <v>45484</v>
      </c>
      <c r="C598" s="1" t="n">
        <v>45780</v>
      </c>
      <c r="D598" t="inlineStr">
        <is>
          <t>DALARNAS LÄN</t>
        </is>
      </c>
      <c r="E598" t="inlineStr">
        <is>
          <t>HEDEMORA</t>
        </is>
      </c>
      <c r="F598" t="inlineStr">
        <is>
          <t>Bergvik skog väst AB</t>
        </is>
      </c>
      <c r="G598" t="n">
        <v>8.1</v>
      </c>
      <c r="H598" t="n">
        <v>0</v>
      </c>
      <c r="I598" t="n">
        <v>0</v>
      </c>
      <c r="J598" t="n">
        <v>0</v>
      </c>
      <c r="K598" t="n">
        <v>0</v>
      </c>
      <c r="L598" t="n">
        <v>0</v>
      </c>
      <c r="M598" t="n">
        <v>0</v>
      </c>
      <c r="N598" t="n">
        <v>0</v>
      </c>
      <c r="O598" t="n">
        <v>0</v>
      </c>
      <c r="P598" t="n">
        <v>0</v>
      </c>
      <c r="Q598" t="n">
        <v>0</v>
      </c>
      <c r="R598" s="2" t="inlineStr"/>
    </row>
    <row r="599" ht="15" customHeight="1">
      <c r="A599" t="inlineStr">
        <is>
          <t>A 29640-2024</t>
        </is>
      </c>
      <c r="B599" s="1" t="n">
        <v>45484</v>
      </c>
      <c r="C599" s="1" t="n">
        <v>45780</v>
      </c>
      <c r="D599" t="inlineStr">
        <is>
          <t>DALARNAS LÄN</t>
        </is>
      </c>
      <c r="E599" t="inlineStr">
        <is>
          <t>HEDEMORA</t>
        </is>
      </c>
      <c r="F599" t="inlineStr">
        <is>
          <t>Bergvik skog väst AB</t>
        </is>
      </c>
      <c r="G599" t="n">
        <v>8.6</v>
      </c>
      <c r="H599" t="n">
        <v>0</v>
      </c>
      <c r="I599" t="n">
        <v>0</v>
      </c>
      <c r="J599" t="n">
        <v>0</v>
      </c>
      <c r="K599" t="n">
        <v>0</v>
      </c>
      <c r="L599" t="n">
        <v>0</v>
      </c>
      <c r="M599" t="n">
        <v>0</v>
      </c>
      <c r="N599" t="n">
        <v>0</v>
      </c>
      <c r="O599" t="n">
        <v>0</v>
      </c>
      <c r="P599" t="n">
        <v>0</v>
      </c>
      <c r="Q599" t="n">
        <v>0</v>
      </c>
      <c r="R599" s="2" t="inlineStr"/>
    </row>
    <row r="600" ht="15" customHeight="1">
      <c r="A600" t="inlineStr">
        <is>
          <t>A 29591-2024</t>
        </is>
      </c>
      <c r="B600" s="1" t="n">
        <v>45484</v>
      </c>
      <c r="C600" s="1" t="n">
        <v>45780</v>
      </c>
      <c r="D600" t="inlineStr">
        <is>
          <t>DALARNAS LÄN</t>
        </is>
      </c>
      <c r="E600" t="inlineStr">
        <is>
          <t>HEDEMORA</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29587-2024</t>
        </is>
      </c>
      <c r="B601" s="1" t="n">
        <v>45484</v>
      </c>
      <c r="C601" s="1" t="n">
        <v>45780</v>
      </c>
      <c r="D601" t="inlineStr">
        <is>
          <t>DALARNAS LÄN</t>
        </is>
      </c>
      <c r="E601" t="inlineStr">
        <is>
          <t>HEDEMORA</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29833-2024</t>
        </is>
      </c>
      <c r="B602" s="1" t="n">
        <v>45485</v>
      </c>
      <c r="C602" s="1" t="n">
        <v>45780</v>
      </c>
      <c r="D602" t="inlineStr">
        <is>
          <t>DALARNAS LÄN</t>
        </is>
      </c>
      <c r="E602" t="inlineStr">
        <is>
          <t>HEDEMORA</t>
        </is>
      </c>
      <c r="G602" t="n">
        <v>0.9</v>
      </c>
      <c r="H602" t="n">
        <v>0</v>
      </c>
      <c r="I602" t="n">
        <v>0</v>
      </c>
      <c r="J602" t="n">
        <v>0</v>
      </c>
      <c r="K602" t="n">
        <v>0</v>
      </c>
      <c r="L602" t="n">
        <v>0</v>
      </c>
      <c r="M602" t="n">
        <v>0</v>
      </c>
      <c r="N602" t="n">
        <v>0</v>
      </c>
      <c r="O602" t="n">
        <v>0</v>
      </c>
      <c r="P602" t="n">
        <v>0</v>
      </c>
      <c r="Q602" t="n">
        <v>0</v>
      </c>
      <c r="R602" s="2" t="inlineStr"/>
    </row>
    <row r="603" ht="15" customHeight="1">
      <c r="A603" t="inlineStr">
        <is>
          <t>A 29932-2024</t>
        </is>
      </c>
      <c r="B603" s="1" t="n">
        <v>45488</v>
      </c>
      <c r="C603" s="1" t="n">
        <v>45780</v>
      </c>
      <c r="D603" t="inlineStr">
        <is>
          <t>DALARNAS LÄN</t>
        </is>
      </c>
      <c r="E603" t="inlineStr">
        <is>
          <t>HEDEMORA</t>
        </is>
      </c>
      <c r="G603" t="n">
        <v>11.4</v>
      </c>
      <c r="H603" t="n">
        <v>0</v>
      </c>
      <c r="I603" t="n">
        <v>0</v>
      </c>
      <c r="J603" t="n">
        <v>0</v>
      </c>
      <c r="K603" t="n">
        <v>0</v>
      </c>
      <c r="L603" t="n">
        <v>0</v>
      </c>
      <c r="M603" t="n">
        <v>0</v>
      </c>
      <c r="N603" t="n">
        <v>0</v>
      </c>
      <c r="O603" t="n">
        <v>0</v>
      </c>
      <c r="P603" t="n">
        <v>0</v>
      </c>
      <c r="Q603" t="n">
        <v>0</v>
      </c>
      <c r="R603" s="2" t="inlineStr"/>
    </row>
    <row r="604" ht="15" customHeight="1">
      <c r="A604" t="inlineStr">
        <is>
          <t>A 30252-2024</t>
        </is>
      </c>
      <c r="B604" s="1" t="n">
        <v>45490</v>
      </c>
      <c r="C604" s="1" t="n">
        <v>45780</v>
      </c>
      <c r="D604" t="inlineStr">
        <is>
          <t>DALARNAS LÄN</t>
        </is>
      </c>
      <c r="E604" t="inlineStr">
        <is>
          <t>HEDEMORA</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30265-2024</t>
        </is>
      </c>
      <c r="B605" s="1" t="n">
        <v>45490</v>
      </c>
      <c r="C605" s="1" t="n">
        <v>45780</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30905-2024</t>
        </is>
      </c>
      <c r="B606" s="1" t="n">
        <v>45498</v>
      </c>
      <c r="C606" s="1" t="n">
        <v>45780</v>
      </c>
      <c r="D606" t="inlineStr">
        <is>
          <t>DALARNAS LÄN</t>
        </is>
      </c>
      <c r="E606" t="inlineStr">
        <is>
          <t>HEDEMORA</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30908-2024</t>
        </is>
      </c>
      <c r="B607" s="1" t="n">
        <v>45498</v>
      </c>
      <c r="C607" s="1" t="n">
        <v>45780</v>
      </c>
      <c r="D607" t="inlineStr">
        <is>
          <t>DALARNAS LÄN</t>
        </is>
      </c>
      <c r="E607" t="inlineStr">
        <is>
          <t>HEDEMORA</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31229-2024</t>
        </is>
      </c>
      <c r="B608" s="1" t="n">
        <v>45503</v>
      </c>
      <c r="C608" s="1" t="n">
        <v>45780</v>
      </c>
      <c r="D608" t="inlineStr">
        <is>
          <t>DALARNAS LÄN</t>
        </is>
      </c>
      <c r="E608" t="inlineStr">
        <is>
          <t>HEDEMORA</t>
        </is>
      </c>
      <c r="G608" t="n">
        <v>3.4</v>
      </c>
      <c r="H608" t="n">
        <v>0</v>
      </c>
      <c r="I608" t="n">
        <v>0</v>
      </c>
      <c r="J608" t="n">
        <v>0</v>
      </c>
      <c r="K608" t="n">
        <v>0</v>
      </c>
      <c r="L608" t="n">
        <v>0</v>
      </c>
      <c r="M608" t="n">
        <v>0</v>
      </c>
      <c r="N608" t="n">
        <v>0</v>
      </c>
      <c r="O608" t="n">
        <v>0</v>
      </c>
      <c r="P608" t="n">
        <v>0</v>
      </c>
      <c r="Q608" t="n">
        <v>0</v>
      </c>
      <c r="R608" s="2" t="inlineStr"/>
    </row>
    <row r="609" ht="15" customHeight="1">
      <c r="A609" t="inlineStr">
        <is>
          <t>A 31365-2024</t>
        </is>
      </c>
      <c r="B609" s="1" t="n">
        <v>45505</v>
      </c>
      <c r="C609" s="1" t="n">
        <v>45780</v>
      </c>
      <c r="D609" t="inlineStr">
        <is>
          <t>DALARNAS LÄN</t>
        </is>
      </c>
      <c r="E609" t="inlineStr">
        <is>
          <t>HEDEMORA</t>
        </is>
      </c>
      <c r="G609" t="n">
        <v>0.4</v>
      </c>
      <c r="H609" t="n">
        <v>0</v>
      </c>
      <c r="I609" t="n">
        <v>0</v>
      </c>
      <c r="J609" t="n">
        <v>0</v>
      </c>
      <c r="K609" t="n">
        <v>0</v>
      </c>
      <c r="L609" t="n">
        <v>0</v>
      </c>
      <c r="M609" t="n">
        <v>0</v>
      </c>
      <c r="N609" t="n">
        <v>0</v>
      </c>
      <c r="O609" t="n">
        <v>0</v>
      </c>
      <c r="P609" t="n">
        <v>0</v>
      </c>
      <c r="Q609" t="n">
        <v>0</v>
      </c>
      <c r="R609" s="2" t="inlineStr"/>
    </row>
    <row r="610" ht="15" customHeight="1">
      <c r="A610" t="inlineStr">
        <is>
          <t>A 31364-2024</t>
        </is>
      </c>
      <c r="B610" s="1" t="n">
        <v>45505</v>
      </c>
      <c r="C610" s="1" t="n">
        <v>45780</v>
      </c>
      <c r="D610" t="inlineStr">
        <is>
          <t>DALARNAS LÄN</t>
        </is>
      </c>
      <c r="E610" t="inlineStr">
        <is>
          <t>HEDEMORA</t>
        </is>
      </c>
      <c r="G610" t="n">
        <v>2</v>
      </c>
      <c r="H610" t="n">
        <v>0</v>
      </c>
      <c r="I610" t="n">
        <v>0</v>
      </c>
      <c r="J610" t="n">
        <v>0</v>
      </c>
      <c r="K610" t="n">
        <v>0</v>
      </c>
      <c r="L610" t="n">
        <v>0</v>
      </c>
      <c r="M610" t="n">
        <v>0</v>
      </c>
      <c r="N610" t="n">
        <v>0</v>
      </c>
      <c r="O610" t="n">
        <v>0</v>
      </c>
      <c r="P610" t="n">
        <v>0</v>
      </c>
      <c r="Q610" t="n">
        <v>0</v>
      </c>
      <c r="R610" s="2" t="inlineStr"/>
    </row>
    <row r="611" ht="15" customHeight="1">
      <c r="A611" t="inlineStr">
        <is>
          <t>A 31825-2024</t>
        </is>
      </c>
      <c r="B611" s="1" t="n">
        <v>45509</v>
      </c>
      <c r="C611" s="1" t="n">
        <v>45780</v>
      </c>
      <c r="D611" t="inlineStr">
        <is>
          <t>DALARNAS LÄN</t>
        </is>
      </c>
      <c r="E611" t="inlineStr">
        <is>
          <t>HEDEMORA</t>
        </is>
      </c>
      <c r="G611" t="n">
        <v>0.1</v>
      </c>
      <c r="H611" t="n">
        <v>0</v>
      </c>
      <c r="I611" t="n">
        <v>0</v>
      </c>
      <c r="J611" t="n">
        <v>0</v>
      </c>
      <c r="K611" t="n">
        <v>0</v>
      </c>
      <c r="L611" t="n">
        <v>0</v>
      </c>
      <c r="M611" t="n">
        <v>0</v>
      </c>
      <c r="N611" t="n">
        <v>0</v>
      </c>
      <c r="O611" t="n">
        <v>0</v>
      </c>
      <c r="P611" t="n">
        <v>0</v>
      </c>
      <c r="Q611" t="n">
        <v>0</v>
      </c>
      <c r="R611" s="2" t="inlineStr"/>
    </row>
    <row r="612" ht="15" customHeight="1">
      <c r="A612" t="inlineStr">
        <is>
          <t>A 31968-2024</t>
        </is>
      </c>
      <c r="B612" s="1" t="n">
        <v>45510</v>
      </c>
      <c r="C612" s="1" t="n">
        <v>45780</v>
      </c>
      <c r="D612" t="inlineStr">
        <is>
          <t>DALARNAS LÄN</t>
        </is>
      </c>
      <c r="E612" t="inlineStr">
        <is>
          <t>HEDEMORA</t>
        </is>
      </c>
      <c r="G612" t="n">
        <v>1.2</v>
      </c>
      <c r="H612" t="n">
        <v>0</v>
      </c>
      <c r="I612" t="n">
        <v>0</v>
      </c>
      <c r="J612" t="n">
        <v>0</v>
      </c>
      <c r="K612" t="n">
        <v>0</v>
      </c>
      <c r="L612" t="n">
        <v>0</v>
      </c>
      <c r="M612" t="n">
        <v>0</v>
      </c>
      <c r="N612" t="n">
        <v>0</v>
      </c>
      <c r="O612" t="n">
        <v>0</v>
      </c>
      <c r="P612" t="n">
        <v>0</v>
      </c>
      <c r="Q612" t="n">
        <v>0</v>
      </c>
      <c r="R612" s="2" t="inlineStr"/>
    </row>
    <row r="613" ht="15" customHeight="1">
      <c r="A613" t="inlineStr">
        <is>
          <t>A 32625-2024</t>
        </is>
      </c>
      <c r="B613" s="1" t="n">
        <v>45513</v>
      </c>
      <c r="C613" s="1" t="n">
        <v>45780</v>
      </c>
      <c r="D613" t="inlineStr">
        <is>
          <t>DALARNAS LÄN</t>
        </is>
      </c>
      <c r="E613" t="inlineStr">
        <is>
          <t>HEDEMORA</t>
        </is>
      </c>
      <c r="F613" t="inlineStr">
        <is>
          <t>Sveaskog</t>
        </is>
      </c>
      <c r="G613" t="n">
        <v>5.5</v>
      </c>
      <c r="H613" t="n">
        <v>0</v>
      </c>
      <c r="I613" t="n">
        <v>0</v>
      </c>
      <c r="J613" t="n">
        <v>0</v>
      </c>
      <c r="K613" t="n">
        <v>0</v>
      </c>
      <c r="L613" t="n">
        <v>0</v>
      </c>
      <c r="M613" t="n">
        <v>0</v>
      </c>
      <c r="N613" t="n">
        <v>0</v>
      </c>
      <c r="O613" t="n">
        <v>0</v>
      </c>
      <c r="P613" t="n">
        <v>0</v>
      </c>
      <c r="Q613" t="n">
        <v>0</v>
      </c>
      <c r="R613" s="2" t="inlineStr"/>
    </row>
    <row r="614" ht="15" customHeight="1">
      <c r="A614" t="inlineStr">
        <is>
          <t>A 33020-2024</t>
        </is>
      </c>
      <c r="B614" s="1" t="n">
        <v>45517</v>
      </c>
      <c r="C614" s="1" t="n">
        <v>45780</v>
      </c>
      <c r="D614" t="inlineStr">
        <is>
          <t>DALARNAS LÄN</t>
        </is>
      </c>
      <c r="E614" t="inlineStr">
        <is>
          <t>HEDEMORA</t>
        </is>
      </c>
      <c r="G614" t="n">
        <v>4.6</v>
      </c>
      <c r="H614" t="n">
        <v>0</v>
      </c>
      <c r="I614" t="n">
        <v>0</v>
      </c>
      <c r="J614" t="n">
        <v>0</v>
      </c>
      <c r="K614" t="n">
        <v>0</v>
      </c>
      <c r="L614" t="n">
        <v>0</v>
      </c>
      <c r="M614" t="n">
        <v>0</v>
      </c>
      <c r="N614" t="n">
        <v>0</v>
      </c>
      <c r="O614" t="n">
        <v>0</v>
      </c>
      <c r="P614" t="n">
        <v>0</v>
      </c>
      <c r="Q614" t="n">
        <v>0</v>
      </c>
      <c r="R614" s="2" t="inlineStr"/>
    </row>
    <row r="615" ht="15" customHeight="1">
      <c r="A615" t="inlineStr">
        <is>
          <t>A 33244-2024</t>
        </is>
      </c>
      <c r="B615" s="1" t="n">
        <v>45518</v>
      </c>
      <c r="C615" s="1" t="n">
        <v>45780</v>
      </c>
      <c r="D615" t="inlineStr">
        <is>
          <t>DALARNAS LÄN</t>
        </is>
      </c>
      <c r="E615" t="inlineStr">
        <is>
          <t>HEDEMORA</t>
        </is>
      </c>
      <c r="G615" t="n">
        <v>2</v>
      </c>
      <c r="H615" t="n">
        <v>0</v>
      </c>
      <c r="I615" t="n">
        <v>0</v>
      </c>
      <c r="J615" t="n">
        <v>0</v>
      </c>
      <c r="K615" t="n">
        <v>0</v>
      </c>
      <c r="L615" t="n">
        <v>0</v>
      </c>
      <c r="M615" t="n">
        <v>0</v>
      </c>
      <c r="N615" t="n">
        <v>0</v>
      </c>
      <c r="O615" t="n">
        <v>0</v>
      </c>
      <c r="P615" t="n">
        <v>0</v>
      </c>
      <c r="Q615" t="n">
        <v>0</v>
      </c>
      <c r="R615" s="2" t="inlineStr"/>
    </row>
    <row r="616" ht="15" customHeight="1">
      <c r="A616" t="inlineStr">
        <is>
          <t>A 33192-2024</t>
        </is>
      </c>
      <c r="B616" s="1" t="n">
        <v>45518</v>
      </c>
      <c r="C616" s="1" t="n">
        <v>45780</v>
      </c>
      <c r="D616" t="inlineStr">
        <is>
          <t>DALARNAS LÄN</t>
        </is>
      </c>
      <c r="E616" t="inlineStr">
        <is>
          <t>HEDEMORA</t>
        </is>
      </c>
      <c r="G616" t="n">
        <v>1.5</v>
      </c>
      <c r="H616" t="n">
        <v>0</v>
      </c>
      <c r="I616" t="n">
        <v>0</v>
      </c>
      <c r="J616" t="n">
        <v>0</v>
      </c>
      <c r="K616" t="n">
        <v>0</v>
      </c>
      <c r="L616" t="n">
        <v>0</v>
      </c>
      <c r="M616" t="n">
        <v>0</v>
      </c>
      <c r="N616" t="n">
        <v>0</v>
      </c>
      <c r="O616" t="n">
        <v>0</v>
      </c>
      <c r="P616" t="n">
        <v>0</v>
      </c>
      <c r="Q616" t="n">
        <v>0</v>
      </c>
      <c r="R616" s="2" t="inlineStr"/>
    </row>
    <row r="617" ht="15" customHeight="1">
      <c r="A617" t="inlineStr">
        <is>
          <t>A 34537-2024</t>
        </is>
      </c>
      <c r="B617" s="1" t="n">
        <v>45525</v>
      </c>
      <c r="C617" s="1" t="n">
        <v>45780</v>
      </c>
      <c r="D617" t="inlineStr">
        <is>
          <t>DALARNAS LÄN</t>
        </is>
      </c>
      <c r="E617" t="inlineStr">
        <is>
          <t>HEDEMORA</t>
        </is>
      </c>
      <c r="G617" t="n">
        <v>8.4</v>
      </c>
      <c r="H617" t="n">
        <v>0</v>
      </c>
      <c r="I617" t="n">
        <v>0</v>
      </c>
      <c r="J617" t="n">
        <v>0</v>
      </c>
      <c r="K617" t="n">
        <v>0</v>
      </c>
      <c r="L617" t="n">
        <v>0</v>
      </c>
      <c r="M617" t="n">
        <v>0</v>
      </c>
      <c r="N617" t="n">
        <v>0</v>
      </c>
      <c r="O617" t="n">
        <v>0</v>
      </c>
      <c r="P617" t="n">
        <v>0</v>
      </c>
      <c r="Q617" t="n">
        <v>0</v>
      </c>
      <c r="R617" s="2" t="inlineStr"/>
    </row>
    <row r="618" ht="15" customHeight="1">
      <c r="A618" t="inlineStr">
        <is>
          <t>A 34930-2024</t>
        </is>
      </c>
      <c r="B618" s="1" t="n">
        <v>45527</v>
      </c>
      <c r="C618" s="1" t="n">
        <v>45780</v>
      </c>
      <c r="D618" t="inlineStr">
        <is>
          <t>DALARNAS LÄN</t>
        </is>
      </c>
      <c r="E618" t="inlineStr">
        <is>
          <t>HEDEMORA</t>
        </is>
      </c>
      <c r="F618" t="inlineStr">
        <is>
          <t>Sveaskog</t>
        </is>
      </c>
      <c r="G618" t="n">
        <v>6.1</v>
      </c>
      <c r="H618" t="n">
        <v>0</v>
      </c>
      <c r="I618" t="n">
        <v>0</v>
      </c>
      <c r="J618" t="n">
        <v>0</v>
      </c>
      <c r="K618" t="n">
        <v>0</v>
      </c>
      <c r="L618" t="n">
        <v>0</v>
      </c>
      <c r="M618" t="n">
        <v>0</v>
      </c>
      <c r="N618" t="n">
        <v>0</v>
      </c>
      <c r="O618" t="n">
        <v>0</v>
      </c>
      <c r="P618" t="n">
        <v>0</v>
      </c>
      <c r="Q618" t="n">
        <v>0</v>
      </c>
      <c r="R618" s="2" t="inlineStr"/>
    </row>
    <row r="619" ht="15" customHeight="1">
      <c r="A619" t="inlineStr">
        <is>
          <t>A 34929-2024</t>
        </is>
      </c>
      <c r="B619" s="1" t="n">
        <v>45527</v>
      </c>
      <c r="C619" s="1" t="n">
        <v>45780</v>
      </c>
      <c r="D619" t="inlineStr">
        <is>
          <t>DALARNAS LÄN</t>
        </is>
      </c>
      <c r="E619" t="inlineStr">
        <is>
          <t>HEDEMORA</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34928-2024</t>
        </is>
      </c>
      <c r="B620" s="1" t="n">
        <v>45527</v>
      </c>
      <c r="C620" s="1" t="n">
        <v>45780</v>
      </c>
      <c r="D620" t="inlineStr">
        <is>
          <t>DALARNAS LÄN</t>
        </is>
      </c>
      <c r="E620" t="inlineStr">
        <is>
          <t>HEDEMORA</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34932-2024</t>
        </is>
      </c>
      <c r="B621" s="1" t="n">
        <v>45527</v>
      </c>
      <c r="C621" s="1" t="n">
        <v>45780</v>
      </c>
      <c r="D621" t="inlineStr">
        <is>
          <t>DALARNAS LÄN</t>
        </is>
      </c>
      <c r="E621" t="inlineStr">
        <is>
          <t>HEDEMORA</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34931-2024</t>
        </is>
      </c>
      <c r="B622" s="1" t="n">
        <v>45527</v>
      </c>
      <c r="C622" s="1" t="n">
        <v>45780</v>
      </c>
      <c r="D622" t="inlineStr">
        <is>
          <t>DALARNAS LÄN</t>
        </is>
      </c>
      <c r="E622" t="inlineStr">
        <is>
          <t>HEDEMORA</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35847-2024</t>
        </is>
      </c>
      <c r="B623" s="1" t="n">
        <v>45532</v>
      </c>
      <c r="C623" s="1" t="n">
        <v>45780</v>
      </c>
      <c r="D623" t="inlineStr">
        <is>
          <t>DALARNAS LÄN</t>
        </is>
      </c>
      <c r="E623" t="inlineStr">
        <is>
          <t>HEDEMORA</t>
        </is>
      </c>
      <c r="G623" t="n">
        <v>4.4</v>
      </c>
      <c r="H623" t="n">
        <v>0</v>
      </c>
      <c r="I623" t="n">
        <v>0</v>
      </c>
      <c r="J623" t="n">
        <v>0</v>
      </c>
      <c r="K623" t="n">
        <v>0</v>
      </c>
      <c r="L623" t="n">
        <v>0</v>
      </c>
      <c r="M623" t="n">
        <v>0</v>
      </c>
      <c r="N623" t="n">
        <v>0</v>
      </c>
      <c r="O623" t="n">
        <v>0</v>
      </c>
      <c r="P623" t="n">
        <v>0</v>
      </c>
      <c r="Q623" t="n">
        <v>0</v>
      </c>
      <c r="R623" s="2" t="inlineStr"/>
    </row>
    <row r="624" ht="15" customHeight="1">
      <c r="A624" t="inlineStr">
        <is>
          <t>A 36298-2024</t>
        </is>
      </c>
      <c r="B624" s="1" t="n">
        <v>45534</v>
      </c>
      <c r="C624" s="1" t="n">
        <v>45780</v>
      </c>
      <c r="D624" t="inlineStr">
        <is>
          <t>DALARNAS LÄN</t>
        </is>
      </c>
      <c r="E624" t="inlineStr">
        <is>
          <t>HEDEMORA</t>
        </is>
      </c>
      <c r="F624" t="inlineStr">
        <is>
          <t>Kommuner</t>
        </is>
      </c>
      <c r="G624" t="n">
        <v>3.4</v>
      </c>
      <c r="H624" t="n">
        <v>0</v>
      </c>
      <c r="I624" t="n">
        <v>0</v>
      </c>
      <c r="J624" t="n">
        <v>0</v>
      </c>
      <c r="K624" t="n">
        <v>0</v>
      </c>
      <c r="L624" t="n">
        <v>0</v>
      </c>
      <c r="M624" t="n">
        <v>0</v>
      </c>
      <c r="N624" t="n">
        <v>0</v>
      </c>
      <c r="O624" t="n">
        <v>0</v>
      </c>
      <c r="P624" t="n">
        <v>0</v>
      </c>
      <c r="Q624" t="n">
        <v>0</v>
      </c>
      <c r="R624" s="2" t="inlineStr"/>
    </row>
    <row r="625" ht="15" customHeight="1">
      <c r="A625" t="inlineStr">
        <is>
          <t>A 36306-2024</t>
        </is>
      </c>
      <c r="B625" s="1" t="n">
        <v>45534</v>
      </c>
      <c r="C625" s="1" t="n">
        <v>45780</v>
      </c>
      <c r="D625" t="inlineStr">
        <is>
          <t>DALARNAS LÄN</t>
        </is>
      </c>
      <c r="E625" t="inlineStr">
        <is>
          <t>HEDEMORA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36299-2024</t>
        </is>
      </c>
      <c r="B626" s="1" t="n">
        <v>45534</v>
      </c>
      <c r="C626" s="1" t="n">
        <v>45780</v>
      </c>
      <c r="D626" t="inlineStr">
        <is>
          <t>DALARNAS LÄN</t>
        </is>
      </c>
      <c r="E626" t="inlineStr">
        <is>
          <t>HEDEMORA</t>
        </is>
      </c>
      <c r="F626" t="inlineStr">
        <is>
          <t>Sveaskog</t>
        </is>
      </c>
      <c r="G626" t="n">
        <v>5.3</v>
      </c>
      <c r="H626" t="n">
        <v>0</v>
      </c>
      <c r="I626" t="n">
        <v>0</v>
      </c>
      <c r="J626" t="n">
        <v>0</v>
      </c>
      <c r="K626" t="n">
        <v>0</v>
      </c>
      <c r="L626" t="n">
        <v>0</v>
      </c>
      <c r="M626" t="n">
        <v>0</v>
      </c>
      <c r="N626" t="n">
        <v>0</v>
      </c>
      <c r="O626" t="n">
        <v>0</v>
      </c>
      <c r="P626" t="n">
        <v>0</v>
      </c>
      <c r="Q626" t="n">
        <v>0</v>
      </c>
      <c r="R626" s="2" t="inlineStr"/>
    </row>
    <row r="627" ht="15" customHeight="1">
      <c r="A627" t="inlineStr">
        <is>
          <t>A 36304-2024</t>
        </is>
      </c>
      <c r="B627" s="1" t="n">
        <v>45534</v>
      </c>
      <c r="C627" s="1" t="n">
        <v>45780</v>
      </c>
      <c r="D627" t="inlineStr">
        <is>
          <t>DALARNAS LÄN</t>
        </is>
      </c>
      <c r="E627" t="inlineStr">
        <is>
          <t>HEDEMORA</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36560-2024</t>
        </is>
      </c>
      <c r="B628" s="1" t="n">
        <v>45537</v>
      </c>
      <c r="C628" s="1" t="n">
        <v>45780</v>
      </c>
      <c r="D628" t="inlineStr">
        <is>
          <t>DALARNAS LÄN</t>
        </is>
      </c>
      <c r="E628" t="inlineStr">
        <is>
          <t>HEDEMORA</t>
        </is>
      </c>
      <c r="F628" t="inlineStr">
        <is>
          <t>Sveaskog</t>
        </is>
      </c>
      <c r="G628" t="n">
        <v>5.6</v>
      </c>
      <c r="H628" t="n">
        <v>0</v>
      </c>
      <c r="I628" t="n">
        <v>0</v>
      </c>
      <c r="J628" t="n">
        <v>0</v>
      </c>
      <c r="K628" t="n">
        <v>0</v>
      </c>
      <c r="L628" t="n">
        <v>0</v>
      </c>
      <c r="M628" t="n">
        <v>0</v>
      </c>
      <c r="N628" t="n">
        <v>0</v>
      </c>
      <c r="O628" t="n">
        <v>0</v>
      </c>
      <c r="P628" t="n">
        <v>0</v>
      </c>
      <c r="Q628" t="n">
        <v>0</v>
      </c>
      <c r="R628" s="2" t="inlineStr"/>
    </row>
    <row r="629" ht="15" customHeight="1">
      <c r="A629" t="inlineStr">
        <is>
          <t>A 36507-2024</t>
        </is>
      </c>
      <c r="B629" s="1" t="n">
        <v>45537</v>
      </c>
      <c r="C629" s="1" t="n">
        <v>45780</v>
      </c>
      <c r="D629" t="inlineStr">
        <is>
          <t>DALARNAS LÄN</t>
        </is>
      </c>
      <c r="E629" t="inlineStr">
        <is>
          <t>HEDEMORA</t>
        </is>
      </c>
      <c r="G629" t="n">
        <v>1.7</v>
      </c>
      <c r="H629" t="n">
        <v>0</v>
      </c>
      <c r="I629" t="n">
        <v>0</v>
      </c>
      <c r="J629" t="n">
        <v>0</v>
      </c>
      <c r="K629" t="n">
        <v>0</v>
      </c>
      <c r="L629" t="n">
        <v>0</v>
      </c>
      <c r="M629" t="n">
        <v>0</v>
      </c>
      <c r="N629" t="n">
        <v>0</v>
      </c>
      <c r="O629" t="n">
        <v>0</v>
      </c>
      <c r="P629" t="n">
        <v>0</v>
      </c>
      <c r="Q629" t="n">
        <v>0</v>
      </c>
      <c r="R629" s="2" t="inlineStr"/>
    </row>
    <row r="630" ht="15" customHeight="1">
      <c r="A630" t="inlineStr">
        <is>
          <t>A 36935-2024</t>
        </is>
      </c>
      <c r="B630" s="1" t="n">
        <v>45538</v>
      </c>
      <c r="C630" s="1" t="n">
        <v>45780</v>
      </c>
      <c r="D630" t="inlineStr">
        <is>
          <t>DALARNAS LÄN</t>
        </is>
      </c>
      <c r="E630" t="inlineStr">
        <is>
          <t>HEDEMORA</t>
        </is>
      </c>
      <c r="G630" t="n">
        <v>1.4</v>
      </c>
      <c r="H630" t="n">
        <v>0</v>
      </c>
      <c r="I630" t="n">
        <v>0</v>
      </c>
      <c r="J630" t="n">
        <v>0</v>
      </c>
      <c r="K630" t="n">
        <v>0</v>
      </c>
      <c r="L630" t="n">
        <v>0</v>
      </c>
      <c r="M630" t="n">
        <v>0</v>
      </c>
      <c r="N630" t="n">
        <v>0</v>
      </c>
      <c r="O630" t="n">
        <v>0</v>
      </c>
      <c r="P630" t="n">
        <v>0</v>
      </c>
      <c r="Q630" t="n">
        <v>0</v>
      </c>
      <c r="R630" s="2" t="inlineStr"/>
    </row>
    <row r="631" ht="15" customHeight="1">
      <c r="A631" t="inlineStr">
        <is>
          <t>A 36938-2024</t>
        </is>
      </c>
      <c r="B631" s="1" t="n">
        <v>45538</v>
      </c>
      <c r="C631" s="1" t="n">
        <v>45780</v>
      </c>
      <c r="D631" t="inlineStr">
        <is>
          <t>DALARNAS LÄN</t>
        </is>
      </c>
      <c r="E631" t="inlineStr">
        <is>
          <t>HEDEMORA</t>
        </is>
      </c>
      <c r="G631" t="n">
        <v>0.6</v>
      </c>
      <c r="H631" t="n">
        <v>0</v>
      </c>
      <c r="I631" t="n">
        <v>0</v>
      </c>
      <c r="J631" t="n">
        <v>0</v>
      </c>
      <c r="K631" t="n">
        <v>0</v>
      </c>
      <c r="L631" t="n">
        <v>0</v>
      </c>
      <c r="M631" t="n">
        <v>0</v>
      </c>
      <c r="N631" t="n">
        <v>0</v>
      </c>
      <c r="O631" t="n">
        <v>0</v>
      </c>
      <c r="P631" t="n">
        <v>0</v>
      </c>
      <c r="Q631" t="n">
        <v>0</v>
      </c>
      <c r="R631" s="2" t="inlineStr"/>
    </row>
    <row r="632" ht="15" customHeight="1">
      <c r="A632" t="inlineStr">
        <is>
          <t>A 37449-2024</t>
        </is>
      </c>
      <c r="B632" s="1" t="n">
        <v>45540</v>
      </c>
      <c r="C632" s="1" t="n">
        <v>45780</v>
      </c>
      <c r="D632" t="inlineStr">
        <is>
          <t>DALARNAS LÄN</t>
        </is>
      </c>
      <c r="E632" t="inlineStr">
        <is>
          <t>HEDEMORA</t>
        </is>
      </c>
      <c r="F632" t="inlineStr">
        <is>
          <t>Bergvik skog väst AB</t>
        </is>
      </c>
      <c r="G632" t="n">
        <v>10.1</v>
      </c>
      <c r="H632" t="n">
        <v>0</v>
      </c>
      <c r="I632" t="n">
        <v>0</v>
      </c>
      <c r="J632" t="n">
        <v>0</v>
      </c>
      <c r="K632" t="n">
        <v>0</v>
      </c>
      <c r="L632" t="n">
        <v>0</v>
      </c>
      <c r="M632" t="n">
        <v>0</v>
      </c>
      <c r="N632" t="n">
        <v>0</v>
      </c>
      <c r="O632" t="n">
        <v>0</v>
      </c>
      <c r="P632" t="n">
        <v>0</v>
      </c>
      <c r="Q632" t="n">
        <v>0</v>
      </c>
      <c r="R632" s="2" t="inlineStr"/>
    </row>
    <row r="633" ht="15" customHeight="1">
      <c r="A633" t="inlineStr">
        <is>
          <t>A 37759-2024</t>
        </is>
      </c>
      <c r="B633" s="1" t="n">
        <v>45541</v>
      </c>
      <c r="C633" s="1" t="n">
        <v>45780</v>
      </c>
      <c r="D633" t="inlineStr">
        <is>
          <t>DALARNAS LÄN</t>
        </is>
      </c>
      <c r="E633" t="inlineStr">
        <is>
          <t>HEDEMORA</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37761-2024</t>
        </is>
      </c>
      <c r="B634" s="1" t="n">
        <v>45541</v>
      </c>
      <c r="C634" s="1" t="n">
        <v>45780</v>
      </c>
      <c r="D634" t="inlineStr">
        <is>
          <t>DALARNAS LÄN</t>
        </is>
      </c>
      <c r="E634" t="inlineStr">
        <is>
          <t>HEDEMORA</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37762-2024</t>
        </is>
      </c>
      <c r="B635" s="1" t="n">
        <v>45541</v>
      </c>
      <c r="C635" s="1" t="n">
        <v>45780</v>
      </c>
      <c r="D635" t="inlineStr">
        <is>
          <t>DALARNAS LÄN</t>
        </is>
      </c>
      <c r="E635" t="inlineStr">
        <is>
          <t>HEDEMORA</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37766-2024</t>
        </is>
      </c>
      <c r="B636" s="1" t="n">
        <v>45541</v>
      </c>
      <c r="C636" s="1" t="n">
        <v>45780</v>
      </c>
      <c r="D636" t="inlineStr">
        <is>
          <t>DALARNAS LÄN</t>
        </is>
      </c>
      <c r="E636" t="inlineStr">
        <is>
          <t>HEDEMORA</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37805-2024</t>
        </is>
      </c>
      <c r="B637" s="1" t="n">
        <v>45543</v>
      </c>
      <c r="C637" s="1" t="n">
        <v>45780</v>
      </c>
      <c r="D637" t="inlineStr">
        <is>
          <t>DALARNAS LÄN</t>
        </is>
      </c>
      <c r="E637" t="inlineStr">
        <is>
          <t>HEDEMORA</t>
        </is>
      </c>
      <c r="F637" t="inlineStr">
        <is>
          <t>Bergvik skog väst AB</t>
        </is>
      </c>
      <c r="G637" t="n">
        <v>9</v>
      </c>
      <c r="H637" t="n">
        <v>0</v>
      </c>
      <c r="I637" t="n">
        <v>0</v>
      </c>
      <c r="J637" t="n">
        <v>0</v>
      </c>
      <c r="K637" t="n">
        <v>0</v>
      </c>
      <c r="L637" t="n">
        <v>0</v>
      </c>
      <c r="M637" t="n">
        <v>0</v>
      </c>
      <c r="N637" t="n">
        <v>0</v>
      </c>
      <c r="O637" t="n">
        <v>0</v>
      </c>
      <c r="P637" t="n">
        <v>0</v>
      </c>
      <c r="Q637" t="n">
        <v>0</v>
      </c>
      <c r="R637" s="2" t="inlineStr"/>
    </row>
    <row r="638" ht="15" customHeight="1">
      <c r="A638" t="inlineStr">
        <is>
          <t>A 37804-2024</t>
        </is>
      </c>
      <c r="B638" s="1" t="n">
        <v>45543</v>
      </c>
      <c r="C638" s="1" t="n">
        <v>45780</v>
      </c>
      <c r="D638" t="inlineStr">
        <is>
          <t>DALARNAS LÄN</t>
        </is>
      </c>
      <c r="E638" t="inlineStr">
        <is>
          <t>HEDEMORA</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37806-2024</t>
        </is>
      </c>
      <c r="B639" s="1" t="n">
        <v>45543</v>
      </c>
      <c r="C639" s="1" t="n">
        <v>45780</v>
      </c>
      <c r="D639" t="inlineStr">
        <is>
          <t>DALARNAS LÄN</t>
        </is>
      </c>
      <c r="E639" t="inlineStr">
        <is>
          <t>HEDEMORA</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39209-2024</t>
        </is>
      </c>
      <c r="B640" s="1" t="n">
        <v>45548</v>
      </c>
      <c r="C640" s="1" t="n">
        <v>45780</v>
      </c>
      <c r="D640" t="inlineStr">
        <is>
          <t>DALARNAS LÄN</t>
        </is>
      </c>
      <c r="E640" t="inlineStr">
        <is>
          <t>HEDEMORA</t>
        </is>
      </c>
      <c r="G640" t="n">
        <v>2.6</v>
      </c>
      <c r="H640" t="n">
        <v>0</v>
      </c>
      <c r="I640" t="n">
        <v>0</v>
      </c>
      <c r="J640" t="n">
        <v>0</v>
      </c>
      <c r="K640" t="n">
        <v>0</v>
      </c>
      <c r="L640" t="n">
        <v>0</v>
      </c>
      <c r="M640" t="n">
        <v>0</v>
      </c>
      <c r="N640" t="n">
        <v>0</v>
      </c>
      <c r="O640" t="n">
        <v>0</v>
      </c>
      <c r="P640" t="n">
        <v>0</v>
      </c>
      <c r="Q640" t="n">
        <v>0</v>
      </c>
      <c r="R640" s="2" t="inlineStr"/>
    </row>
    <row r="641" ht="15" customHeight="1">
      <c r="A641" t="inlineStr">
        <is>
          <t>A 39531-2024</t>
        </is>
      </c>
      <c r="B641" s="1" t="n">
        <v>45551</v>
      </c>
      <c r="C641" s="1" t="n">
        <v>45780</v>
      </c>
      <c r="D641" t="inlineStr">
        <is>
          <t>DALARNAS LÄN</t>
        </is>
      </c>
      <c r="E641" t="inlineStr">
        <is>
          <t>HEDEMORA</t>
        </is>
      </c>
      <c r="F641" t="inlineStr">
        <is>
          <t>Bergvik skog väst AB</t>
        </is>
      </c>
      <c r="G641" t="n">
        <v>1.9</v>
      </c>
      <c r="H641" t="n">
        <v>0</v>
      </c>
      <c r="I641" t="n">
        <v>0</v>
      </c>
      <c r="J641" t="n">
        <v>0</v>
      </c>
      <c r="K641" t="n">
        <v>0</v>
      </c>
      <c r="L641" t="n">
        <v>0</v>
      </c>
      <c r="M641" t="n">
        <v>0</v>
      </c>
      <c r="N641" t="n">
        <v>0</v>
      </c>
      <c r="O641" t="n">
        <v>0</v>
      </c>
      <c r="P641" t="n">
        <v>0</v>
      </c>
      <c r="Q641" t="n">
        <v>0</v>
      </c>
      <c r="R641" s="2" t="inlineStr"/>
    </row>
    <row r="642" ht="15" customHeight="1">
      <c r="A642" t="inlineStr">
        <is>
          <t>A 39552-2024</t>
        </is>
      </c>
      <c r="B642" s="1" t="n">
        <v>45551</v>
      </c>
      <c r="C642" s="1" t="n">
        <v>45780</v>
      </c>
      <c r="D642" t="inlineStr">
        <is>
          <t>DALARNAS LÄN</t>
        </is>
      </c>
      <c r="E642" t="inlineStr">
        <is>
          <t>HEDEMORA</t>
        </is>
      </c>
      <c r="F642" t="inlineStr">
        <is>
          <t>Bergvik skog väst AB</t>
        </is>
      </c>
      <c r="G642" t="n">
        <v>24.1</v>
      </c>
      <c r="H642" t="n">
        <v>0</v>
      </c>
      <c r="I642" t="n">
        <v>0</v>
      </c>
      <c r="J642" t="n">
        <v>0</v>
      </c>
      <c r="K642" t="n">
        <v>0</v>
      </c>
      <c r="L642" t="n">
        <v>0</v>
      </c>
      <c r="M642" t="n">
        <v>0</v>
      </c>
      <c r="N642" t="n">
        <v>0</v>
      </c>
      <c r="O642" t="n">
        <v>0</v>
      </c>
      <c r="P642" t="n">
        <v>0</v>
      </c>
      <c r="Q642" t="n">
        <v>0</v>
      </c>
      <c r="R642" s="2" t="inlineStr"/>
    </row>
    <row r="643" ht="15" customHeight="1">
      <c r="A643" t="inlineStr">
        <is>
          <t>A 39530-2024</t>
        </is>
      </c>
      <c r="B643" s="1" t="n">
        <v>45551</v>
      </c>
      <c r="C643" s="1" t="n">
        <v>45780</v>
      </c>
      <c r="D643" t="inlineStr">
        <is>
          <t>DALARNAS LÄN</t>
        </is>
      </c>
      <c r="E643" t="inlineStr">
        <is>
          <t>HEDEMORA</t>
        </is>
      </c>
      <c r="F643" t="inlineStr">
        <is>
          <t>Bergvik skog väst AB</t>
        </is>
      </c>
      <c r="G643" t="n">
        <v>13.8</v>
      </c>
      <c r="H643" t="n">
        <v>0</v>
      </c>
      <c r="I643" t="n">
        <v>0</v>
      </c>
      <c r="J643" t="n">
        <v>0</v>
      </c>
      <c r="K643" t="n">
        <v>0</v>
      </c>
      <c r="L643" t="n">
        <v>0</v>
      </c>
      <c r="M643" t="n">
        <v>0</v>
      </c>
      <c r="N643" t="n">
        <v>0</v>
      </c>
      <c r="O643" t="n">
        <v>0</v>
      </c>
      <c r="P643" t="n">
        <v>0</v>
      </c>
      <c r="Q643" t="n">
        <v>0</v>
      </c>
      <c r="R643" s="2" t="inlineStr"/>
    </row>
    <row r="644" ht="15" customHeight="1">
      <c r="A644" t="inlineStr">
        <is>
          <t>A 40801-2024</t>
        </is>
      </c>
      <c r="B644" s="1" t="n">
        <v>45558</v>
      </c>
      <c r="C644" s="1" t="n">
        <v>45780</v>
      </c>
      <c r="D644" t="inlineStr">
        <is>
          <t>DALARNAS LÄN</t>
        </is>
      </c>
      <c r="E644" t="inlineStr">
        <is>
          <t>HEDEMORA</t>
        </is>
      </c>
      <c r="G644" t="n">
        <v>2.2</v>
      </c>
      <c r="H644" t="n">
        <v>0</v>
      </c>
      <c r="I644" t="n">
        <v>0</v>
      </c>
      <c r="J644" t="n">
        <v>0</v>
      </c>
      <c r="K644" t="n">
        <v>0</v>
      </c>
      <c r="L644" t="n">
        <v>0</v>
      </c>
      <c r="M644" t="n">
        <v>0</v>
      </c>
      <c r="N644" t="n">
        <v>0</v>
      </c>
      <c r="O644" t="n">
        <v>0</v>
      </c>
      <c r="P644" t="n">
        <v>0</v>
      </c>
      <c r="Q644" t="n">
        <v>0</v>
      </c>
      <c r="R644" s="2" t="inlineStr"/>
    </row>
    <row r="645" ht="15" customHeight="1">
      <c r="A645" t="inlineStr">
        <is>
          <t>A 42586-2024</t>
        </is>
      </c>
      <c r="B645" s="1" t="n">
        <v>45565</v>
      </c>
      <c r="C645" s="1" t="n">
        <v>45780</v>
      </c>
      <c r="D645" t="inlineStr">
        <is>
          <t>DALARNAS LÄN</t>
        </is>
      </c>
      <c r="E645" t="inlineStr">
        <is>
          <t>HEDEMORA</t>
        </is>
      </c>
      <c r="G645" t="n">
        <v>0.8</v>
      </c>
      <c r="H645" t="n">
        <v>0</v>
      </c>
      <c r="I645" t="n">
        <v>0</v>
      </c>
      <c r="J645" t="n">
        <v>0</v>
      </c>
      <c r="K645" t="n">
        <v>0</v>
      </c>
      <c r="L645" t="n">
        <v>0</v>
      </c>
      <c r="M645" t="n">
        <v>0</v>
      </c>
      <c r="N645" t="n">
        <v>0</v>
      </c>
      <c r="O645" t="n">
        <v>0</v>
      </c>
      <c r="P645" t="n">
        <v>0</v>
      </c>
      <c r="Q645" t="n">
        <v>0</v>
      </c>
      <c r="R645" s="2" t="inlineStr"/>
    </row>
    <row r="646" ht="15" customHeight="1">
      <c r="A646" t="inlineStr">
        <is>
          <t>A 42891-2024</t>
        </is>
      </c>
      <c r="B646" s="1" t="n">
        <v>45566</v>
      </c>
      <c r="C646" s="1" t="n">
        <v>45780</v>
      </c>
      <c r="D646" t="inlineStr">
        <is>
          <t>DALARNAS LÄN</t>
        </is>
      </c>
      <c r="E646" t="inlineStr">
        <is>
          <t>HEDEMORA</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42890-2024</t>
        </is>
      </c>
      <c r="B647" s="1" t="n">
        <v>45566</v>
      </c>
      <c r="C647" s="1" t="n">
        <v>45780</v>
      </c>
      <c r="D647" t="inlineStr">
        <is>
          <t>DALARNAS LÄN</t>
        </is>
      </c>
      <c r="E647" t="inlineStr">
        <is>
          <t>HEDEMORA</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42894-2024</t>
        </is>
      </c>
      <c r="B648" s="1" t="n">
        <v>45566</v>
      </c>
      <c r="C648" s="1" t="n">
        <v>45780</v>
      </c>
      <c r="D648" t="inlineStr">
        <is>
          <t>DALARNAS LÄN</t>
        </is>
      </c>
      <c r="E648" t="inlineStr">
        <is>
          <t>HEDEMORA</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42892-2024</t>
        </is>
      </c>
      <c r="B649" s="1" t="n">
        <v>45566</v>
      </c>
      <c r="C649" s="1" t="n">
        <v>45780</v>
      </c>
      <c r="D649" t="inlineStr">
        <is>
          <t>DALARNAS LÄN</t>
        </is>
      </c>
      <c r="E649" t="inlineStr">
        <is>
          <t>HEDEMORA</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42895-2024</t>
        </is>
      </c>
      <c r="B650" s="1" t="n">
        <v>45566</v>
      </c>
      <c r="C650" s="1" t="n">
        <v>45780</v>
      </c>
      <c r="D650" t="inlineStr">
        <is>
          <t>DALARNAS LÄN</t>
        </is>
      </c>
      <c r="E650" t="inlineStr">
        <is>
          <t>HEDEMORA</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43621-2024</t>
        </is>
      </c>
      <c r="B651" s="1" t="n">
        <v>45569</v>
      </c>
      <c r="C651" s="1" t="n">
        <v>45780</v>
      </c>
      <c r="D651" t="inlineStr">
        <is>
          <t>DALARNAS LÄN</t>
        </is>
      </c>
      <c r="E651" t="inlineStr">
        <is>
          <t>HEDEMORA</t>
        </is>
      </c>
      <c r="G651" t="n">
        <v>2.4</v>
      </c>
      <c r="H651" t="n">
        <v>0</v>
      </c>
      <c r="I651" t="n">
        <v>0</v>
      </c>
      <c r="J651" t="n">
        <v>0</v>
      </c>
      <c r="K651" t="n">
        <v>0</v>
      </c>
      <c r="L651" t="n">
        <v>0</v>
      </c>
      <c r="M651" t="n">
        <v>0</v>
      </c>
      <c r="N651" t="n">
        <v>0</v>
      </c>
      <c r="O651" t="n">
        <v>0</v>
      </c>
      <c r="P651" t="n">
        <v>0</v>
      </c>
      <c r="Q651" t="n">
        <v>0</v>
      </c>
      <c r="R651" s="2" t="inlineStr"/>
    </row>
    <row r="652" ht="15" customHeight="1">
      <c r="A652" t="inlineStr">
        <is>
          <t>A 43626-2024</t>
        </is>
      </c>
      <c r="B652" s="1" t="n">
        <v>45569</v>
      </c>
      <c r="C652" s="1" t="n">
        <v>45780</v>
      </c>
      <c r="D652" t="inlineStr">
        <is>
          <t>DALARNAS LÄN</t>
        </is>
      </c>
      <c r="E652" t="inlineStr">
        <is>
          <t>HEDEMORA</t>
        </is>
      </c>
      <c r="G652" t="n">
        <v>4.1</v>
      </c>
      <c r="H652" t="n">
        <v>0</v>
      </c>
      <c r="I652" t="n">
        <v>0</v>
      </c>
      <c r="J652" t="n">
        <v>0</v>
      </c>
      <c r="K652" t="n">
        <v>0</v>
      </c>
      <c r="L652" t="n">
        <v>0</v>
      </c>
      <c r="M652" t="n">
        <v>0</v>
      </c>
      <c r="N652" t="n">
        <v>0</v>
      </c>
      <c r="O652" t="n">
        <v>0</v>
      </c>
      <c r="P652" t="n">
        <v>0</v>
      </c>
      <c r="Q652" t="n">
        <v>0</v>
      </c>
      <c r="R652" s="2" t="inlineStr"/>
    </row>
    <row r="653" ht="15" customHeight="1">
      <c r="A653" t="inlineStr">
        <is>
          <t>A 44388-2024</t>
        </is>
      </c>
      <c r="B653" s="1" t="n">
        <v>45573</v>
      </c>
      <c r="C653" s="1" t="n">
        <v>45780</v>
      </c>
      <c r="D653" t="inlineStr">
        <is>
          <t>DALARNAS LÄN</t>
        </is>
      </c>
      <c r="E653" t="inlineStr">
        <is>
          <t>HEDEMORA</t>
        </is>
      </c>
      <c r="F653" t="inlineStr">
        <is>
          <t>Bergvik skog väst AB</t>
        </is>
      </c>
      <c r="G653" t="n">
        <v>0.8</v>
      </c>
      <c r="H653" t="n">
        <v>0</v>
      </c>
      <c r="I653" t="n">
        <v>0</v>
      </c>
      <c r="J653" t="n">
        <v>0</v>
      </c>
      <c r="K653" t="n">
        <v>0</v>
      </c>
      <c r="L653" t="n">
        <v>0</v>
      </c>
      <c r="M653" t="n">
        <v>0</v>
      </c>
      <c r="N653" t="n">
        <v>0</v>
      </c>
      <c r="O653" t="n">
        <v>0</v>
      </c>
      <c r="P653" t="n">
        <v>0</v>
      </c>
      <c r="Q653" t="n">
        <v>0</v>
      </c>
      <c r="R653" s="2" t="inlineStr"/>
    </row>
    <row r="654" ht="15" customHeight="1">
      <c r="A654" t="inlineStr">
        <is>
          <t>A 44384-2024</t>
        </is>
      </c>
      <c r="B654" s="1" t="n">
        <v>45573</v>
      </c>
      <c r="C654" s="1" t="n">
        <v>45780</v>
      </c>
      <c r="D654" t="inlineStr">
        <is>
          <t>DALARNAS LÄN</t>
        </is>
      </c>
      <c r="E654" t="inlineStr">
        <is>
          <t>HEDEMORA</t>
        </is>
      </c>
      <c r="F654" t="inlineStr">
        <is>
          <t>Bergvik skog väst AB</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44851-2024</t>
        </is>
      </c>
      <c r="B655" s="1" t="n">
        <v>45574</v>
      </c>
      <c r="C655" s="1" t="n">
        <v>45780</v>
      </c>
      <c r="D655" t="inlineStr">
        <is>
          <t>DALARNAS LÄN</t>
        </is>
      </c>
      <c r="E655" t="inlineStr">
        <is>
          <t>HEDEMORA</t>
        </is>
      </c>
      <c r="G655" t="n">
        <v>4.7</v>
      </c>
      <c r="H655" t="n">
        <v>0</v>
      </c>
      <c r="I655" t="n">
        <v>0</v>
      </c>
      <c r="J655" t="n">
        <v>0</v>
      </c>
      <c r="K655" t="n">
        <v>0</v>
      </c>
      <c r="L655" t="n">
        <v>0</v>
      </c>
      <c r="M655" t="n">
        <v>0</v>
      </c>
      <c r="N655" t="n">
        <v>0</v>
      </c>
      <c r="O655" t="n">
        <v>0</v>
      </c>
      <c r="P655" t="n">
        <v>0</v>
      </c>
      <c r="Q655" t="n">
        <v>0</v>
      </c>
      <c r="R655" s="2" t="inlineStr"/>
    </row>
    <row r="656" ht="15" customHeight="1">
      <c r="A656" t="inlineStr">
        <is>
          <t>A 45377-2024</t>
        </is>
      </c>
      <c r="B656" s="1" t="n">
        <v>45576</v>
      </c>
      <c r="C656" s="1" t="n">
        <v>45780</v>
      </c>
      <c r="D656" t="inlineStr">
        <is>
          <t>DALARNAS LÄN</t>
        </is>
      </c>
      <c r="E656" t="inlineStr">
        <is>
          <t>HEDEMORA</t>
        </is>
      </c>
      <c r="G656" t="n">
        <v>1.4</v>
      </c>
      <c r="H656" t="n">
        <v>0</v>
      </c>
      <c r="I656" t="n">
        <v>0</v>
      </c>
      <c r="J656" t="n">
        <v>0</v>
      </c>
      <c r="K656" t="n">
        <v>0</v>
      </c>
      <c r="L656" t="n">
        <v>0</v>
      </c>
      <c r="M656" t="n">
        <v>0</v>
      </c>
      <c r="N656" t="n">
        <v>0</v>
      </c>
      <c r="O656" t="n">
        <v>0</v>
      </c>
      <c r="P656" t="n">
        <v>0</v>
      </c>
      <c r="Q656" t="n">
        <v>0</v>
      </c>
      <c r="R656" s="2" t="inlineStr"/>
    </row>
    <row r="657" ht="15" customHeight="1">
      <c r="A657" t="inlineStr">
        <is>
          <t>A 45709-2024</t>
        </is>
      </c>
      <c r="B657" s="1" t="n">
        <v>45579</v>
      </c>
      <c r="C657" s="1" t="n">
        <v>45780</v>
      </c>
      <c r="D657" t="inlineStr">
        <is>
          <t>DALARNAS LÄN</t>
        </is>
      </c>
      <c r="E657" t="inlineStr">
        <is>
          <t>HEDEMORA</t>
        </is>
      </c>
      <c r="G657" t="n">
        <v>4.5</v>
      </c>
      <c r="H657" t="n">
        <v>0</v>
      </c>
      <c r="I657" t="n">
        <v>0</v>
      </c>
      <c r="J657" t="n">
        <v>0</v>
      </c>
      <c r="K657" t="n">
        <v>0</v>
      </c>
      <c r="L657" t="n">
        <v>0</v>
      </c>
      <c r="M657" t="n">
        <v>0</v>
      </c>
      <c r="N657" t="n">
        <v>0</v>
      </c>
      <c r="O657" t="n">
        <v>0</v>
      </c>
      <c r="P657" t="n">
        <v>0</v>
      </c>
      <c r="Q657" t="n">
        <v>0</v>
      </c>
      <c r="R657" s="2" t="inlineStr"/>
    </row>
    <row r="658" ht="15" customHeight="1">
      <c r="A658" t="inlineStr">
        <is>
          <t>A 45730-2024</t>
        </is>
      </c>
      <c r="B658" s="1" t="n">
        <v>45579</v>
      </c>
      <c r="C658" s="1" t="n">
        <v>45780</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46825-2024</t>
        </is>
      </c>
      <c r="B659" s="1" t="n">
        <v>45583</v>
      </c>
      <c r="C659" s="1" t="n">
        <v>45780</v>
      </c>
      <c r="D659" t="inlineStr">
        <is>
          <t>DALARNAS LÄN</t>
        </is>
      </c>
      <c r="E659" t="inlineStr">
        <is>
          <t>HEDEMORA</t>
        </is>
      </c>
      <c r="G659" t="n">
        <v>1.1</v>
      </c>
      <c r="H659" t="n">
        <v>0</v>
      </c>
      <c r="I659" t="n">
        <v>0</v>
      </c>
      <c r="J659" t="n">
        <v>0</v>
      </c>
      <c r="K659" t="n">
        <v>0</v>
      </c>
      <c r="L659" t="n">
        <v>0</v>
      </c>
      <c r="M659" t="n">
        <v>0</v>
      </c>
      <c r="N659" t="n">
        <v>0</v>
      </c>
      <c r="O659" t="n">
        <v>0</v>
      </c>
      <c r="P659" t="n">
        <v>0</v>
      </c>
      <c r="Q659" t="n">
        <v>0</v>
      </c>
      <c r="R659" s="2" t="inlineStr"/>
    </row>
    <row r="660" ht="15" customHeight="1">
      <c r="A660" t="inlineStr">
        <is>
          <t>A 48320-2024</t>
        </is>
      </c>
      <c r="B660" s="1" t="n">
        <v>45590</v>
      </c>
      <c r="C660" s="1" t="n">
        <v>45780</v>
      </c>
      <c r="D660" t="inlineStr">
        <is>
          <t>DALARNAS LÄN</t>
        </is>
      </c>
      <c r="E660" t="inlineStr">
        <is>
          <t>HEDEMORA</t>
        </is>
      </c>
      <c r="F660" t="inlineStr">
        <is>
          <t>Sveaskog</t>
        </is>
      </c>
      <c r="G660" t="n">
        <v>4.9</v>
      </c>
      <c r="H660" t="n">
        <v>0</v>
      </c>
      <c r="I660" t="n">
        <v>0</v>
      </c>
      <c r="J660" t="n">
        <v>0</v>
      </c>
      <c r="K660" t="n">
        <v>0</v>
      </c>
      <c r="L660" t="n">
        <v>0</v>
      </c>
      <c r="M660" t="n">
        <v>0</v>
      </c>
      <c r="N660" t="n">
        <v>0</v>
      </c>
      <c r="O660" t="n">
        <v>0</v>
      </c>
      <c r="P660" t="n">
        <v>0</v>
      </c>
      <c r="Q660" t="n">
        <v>0</v>
      </c>
      <c r="R660" s="2" t="inlineStr"/>
    </row>
    <row r="661" ht="15" customHeight="1">
      <c r="A661" t="inlineStr">
        <is>
          <t>A 48380-2024</t>
        </is>
      </c>
      <c r="B661" s="1" t="n">
        <v>45590</v>
      </c>
      <c r="C661" s="1" t="n">
        <v>45780</v>
      </c>
      <c r="D661" t="inlineStr">
        <is>
          <t>DALARNAS LÄN</t>
        </is>
      </c>
      <c r="E661" t="inlineStr">
        <is>
          <t>HEDEMORA</t>
        </is>
      </c>
      <c r="G661" t="n">
        <v>1.5</v>
      </c>
      <c r="H661" t="n">
        <v>0</v>
      </c>
      <c r="I661" t="n">
        <v>0</v>
      </c>
      <c r="J661" t="n">
        <v>0</v>
      </c>
      <c r="K661" t="n">
        <v>0</v>
      </c>
      <c r="L661" t="n">
        <v>0</v>
      </c>
      <c r="M661" t="n">
        <v>0</v>
      </c>
      <c r="N661" t="n">
        <v>0</v>
      </c>
      <c r="O661" t="n">
        <v>0</v>
      </c>
      <c r="P661" t="n">
        <v>0</v>
      </c>
      <c r="Q661" t="n">
        <v>0</v>
      </c>
      <c r="R661" s="2" t="inlineStr"/>
    </row>
    <row r="662" ht="15" customHeight="1">
      <c r="A662" t="inlineStr">
        <is>
          <t>A 48321-2024</t>
        </is>
      </c>
      <c r="B662" s="1" t="n">
        <v>45590</v>
      </c>
      <c r="C662" s="1" t="n">
        <v>45780</v>
      </c>
      <c r="D662" t="inlineStr">
        <is>
          <t>DALARNAS LÄN</t>
        </is>
      </c>
      <c r="E662" t="inlineStr">
        <is>
          <t>HEDEMORA</t>
        </is>
      </c>
      <c r="F662" t="inlineStr">
        <is>
          <t>Sveaskog</t>
        </is>
      </c>
      <c r="G662" t="n">
        <v>5.2</v>
      </c>
      <c r="H662" t="n">
        <v>0</v>
      </c>
      <c r="I662" t="n">
        <v>0</v>
      </c>
      <c r="J662" t="n">
        <v>0</v>
      </c>
      <c r="K662" t="n">
        <v>0</v>
      </c>
      <c r="L662" t="n">
        <v>0</v>
      </c>
      <c r="M662" t="n">
        <v>0</v>
      </c>
      <c r="N662" t="n">
        <v>0</v>
      </c>
      <c r="O662" t="n">
        <v>0</v>
      </c>
      <c r="P662" t="n">
        <v>0</v>
      </c>
      <c r="Q662" t="n">
        <v>0</v>
      </c>
      <c r="R662" s="2" t="inlineStr"/>
    </row>
    <row r="663" ht="15" customHeight="1">
      <c r="A663" t="inlineStr">
        <is>
          <t>A 48371-2024</t>
        </is>
      </c>
      <c r="B663" s="1" t="n">
        <v>45590</v>
      </c>
      <c r="C663" s="1" t="n">
        <v>45780</v>
      </c>
      <c r="D663" t="inlineStr">
        <is>
          <t>DALARNAS LÄN</t>
        </is>
      </c>
      <c r="E663" t="inlineStr">
        <is>
          <t>HEDEMORA</t>
        </is>
      </c>
      <c r="G663" t="n">
        <v>8</v>
      </c>
      <c r="H663" t="n">
        <v>0</v>
      </c>
      <c r="I663" t="n">
        <v>0</v>
      </c>
      <c r="J663" t="n">
        <v>0</v>
      </c>
      <c r="K663" t="n">
        <v>0</v>
      </c>
      <c r="L663" t="n">
        <v>0</v>
      </c>
      <c r="M663" t="n">
        <v>0</v>
      </c>
      <c r="N663" t="n">
        <v>0</v>
      </c>
      <c r="O663" t="n">
        <v>0</v>
      </c>
      <c r="P663" t="n">
        <v>0</v>
      </c>
      <c r="Q663" t="n">
        <v>0</v>
      </c>
      <c r="R663" s="2" t="inlineStr"/>
    </row>
    <row r="664" ht="15" customHeight="1">
      <c r="A664" t="inlineStr">
        <is>
          <t>A 49351-2024</t>
        </is>
      </c>
      <c r="B664" s="1" t="n">
        <v>45595</v>
      </c>
      <c r="C664" s="1" t="n">
        <v>45780</v>
      </c>
      <c r="D664" t="inlineStr">
        <is>
          <t>DALARNAS LÄN</t>
        </is>
      </c>
      <c r="E664" t="inlineStr">
        <is>
          <t>HEDEMORA</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51256-2024</t>
        </is>
      </c>
      <c r="B665" s="1" t="n">
        <v>45603</v>
      </c>
      <c r="C665" s="1" t="n">
        <v>45780</v>
      </c>
      <c r="D665" t="inlineStr">
        <is>
          <t>DALARNAS LÄN</t>
        </is>
      </c>
      <c r="E665" t="inlineStr">
        <is>
          <t>HEDEMORA</t>
        </is>
      </c>
      <c r="G665" t="n">
        <v>1.3</v>
      </c>
      <c r="H665" t="n">
        <v>0</v>
      </c>
      <c r="I665" t="n">
        <v>0</v>
      </c>
      <c r="J665" t="n">
        <v>0</v>
      </c>
      <c r="K665" t="n">
        <v>0</v>
      </c>
      <c r="L665" t="n">
        <v>0</v>
      </c>
      <c r="M665" t="n">
        <v>0</v>
      </c>
      <c r="N665" t="n">
        <v>0</v>
      </c>
      <c r="O665" t="n">
        <v>0</v>
      </c>
      <c r="P665" t="n">
        <v>0</v>
      </c>
      <c r="Q665" t="n">
        <v>0</v>
      </c>
      <c r="R665" s="2" t="inlineStr"/>
    </row>
    <row r="666" ht="15" customHeight="1">
      <c r="A666" t="inlineStr">
        <is>
          <t>A 51543-2024</t>
        </is>
      </c>
      <c r="B666" s="1" t="n">
        <v>45604</v>
      </c>
      <c r="C666" s="1" t="n">
        <v>45780</v>
      </c>
      <c r="D666" t="inlineStr">
        <is>
          <t>DALARNAS LÄN</t>
        </is>
      </c>
      <c r="E666" t="inlineStr">
        <is>
          <t>HEDEMORA</t>
        </is>
      </c>
      <c r="F666" t="inlineStr">
        <is>
          <t>Sveaskog</t>
        </is>
      </c>
      <c r="G666" t="n">
        <v>15.1</v>
      </c>
      <c r="H666" t="n">
        <v>0</v>
      </c>
      <c r="I666" t="n">
        <v>0</v>
      </c>
      <c r="J666" t="n">
        <v>0</v>
      </c>
      <c r="K666" t="n">
        <v>0</v>
      </c>
      <c r="L666" t="n">
        <v>0</v>
      </c>
      <c r="M666" t="n">
        <v>0</v>
      </c>
      <c r="N666" t="n">
        <v>0</v>
      </c>
      <c r="O666" t="n">
        <v>0</v>
      </c>
      <c r="P666" t="n">
        <v>0</v>
      </c>
      <c r="Q666" t="n">
        <v>0</v>
      </c>
      <c r="R666" s="2" t="inlineStr"/>
    </row>
    <row r="667" ht="15" customHeight="1">
      <c r="A667" t="inlineStr">
        <is>
          <t>A 52945-2024</t>
        </is>
      </c>
      <c r="B667" s="1" t="n">
        <v>45610</v>
      </c>
      <c r="C667" s="1" t="n">
        <v>45780</v>
      </c>
      <c r="D667" t="inlineStr">
        <is>
          <t>DALARNAS LÄN</t>
        </is>
      </c>
      <c r="E667" t="inlineStr">
        <is>
          <t>HEDEMORA</t>
        </is>
      </c>
      <c r="F667" t="inlineStr">
        <is>
          <t>Sveaskog</t>
        </is>
      </c>
      <c r="G667" t="n">
        <v>5</v>
      </c>
      <c r="H667" t="n">
        <v>0</v>
      </c>
      <c r="I667" t="n">
        <v>0</v>
      </c>
      <c r="J667" t="n">
        <v>0</v>
      </c>
      <c r="K667" t="n">
        <v>0</v>
      </c>
      <c r="L667" t="n">
        <v>0</v>
      </c>
      <c r="M667" t="n">
        <v>0</v>
      </c>
      <c r="N667" t="n">
        <v>0</v>
      </c>
      <c r="O667" t="n">
        <v>0</v>
      </c>
      <c r="P667" t="n">
        <v>0</v>
      </c>
      <c r="Q667" t="n">
        <v>0</v>
      </c>
      <c r="R667" s="2" t="inlineStr"/>
    </row>
    <row r="668" ht="15" customHeight="1">
      <c r="A668" t="inlineStr">
        <is>
          <t>A 52944-2024</t>
        </is>
      </c>
      <c r="B668" s="1" t="n">
        <v>45610</v>
      </c>
      <c r="C668" s="1" t="n">
        <v>45780</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52942-2024</t>
        </is>
      </c>
      <c r="B669" s="1" t="n">
        <v>45610</v>
      </c>
      <c r="C669" s="1" t="n">
        <v>45780</v>
      </c>
      <c r="D669" t="inlineStr">
        <is>
          <t>DALARNAS LÄN</t>
        </is>
      </c>
      <c r="E669" t="inlineStr">
        <is>
          <t>HEDEMORA</t>
        </is>
      </c>
      <c r="F669" t="inlineStr">
        <is>
          <t>Sveaskog</t>
        </is>
      </c>
      <c r="G669" t="n">
        <v>14.5</v>
      </c>
      <c r="H669" t="n">
        <v>0</v>
      </c>
      <c r="I669" t="n">
        <v>0</v>
      </c>
      <c r="J669" t="n">
        <v>0</v>
      </c>
      <c r="K669" t="n">
        <v>0</v>
      </c>
      <c r="L669" t="n">
        <v>0</v>
      </c>
      <c r="M669" t="n">
        <v>0</v>
      </c>
      <c r="N669" t="n">
        <v>0</v>
      </c>
      <c r="O669" t="n">
        <v>0</v>
      </c>
      <c r="P669" t="n">
        <v>0</v>
      </c>
      <c r="Q669" t="n">
        <v>0</v>
      </c>
      <c r="R669" s="2" t="inlineStr"/>
    </row>
    <row r="670" ht="15" customHeight="1">
      <c r="A670" t="inlineStr">
        <is>
          <t>A 53922-2024</t>
        </is>
      </c>
      <c r="B670" s="1" t="n">
        <v>45615</v>
      </c>
      <c r="C670" s="1" t="n">
        <v>45780</v>
      </c>
      <c r="D670" t="inlineStr">
        <is>
          <t>DALARNAS LÄN</t>
        </is>
      </c>
      <c r="E670" t="inlineStr">
        <is>
          <t>HEDEMORA</t>
        </is>
      </c>
      <c r="F670" t="inlineStr">
        <is>
          <t>Sveaskog</t>
        </is>
      </c>
      <c r="G670" t="n">
        <v>2.6</v>
      </c>
      <c r="H670" t="n">
        <v>0</v>
      </c>
      <c r="I670" t="n">
        <v>0</v>
      </c>
      <c r="J670" t="n">
        <v>0</v>
      </c>
      <c r="K670" t="n">
        <v>0</v>
      </c>
      <c r="L670" t="n">
        <v>0</v>
      </c>
      <c r="M670" t="n">
        <v>0</v>
      </c>
      <c r="N670" t="n">
        <v>0</v>
      </c>
      <c r="O670" t="n">
        <v>0</v>
      </c>
      <c r="P670" t="n">
        <v>0</v>
      </c>
      <c r="Q670" t="n">
        <v>0</v>
      </c>
      <c r="R670" s="2" t="inlineStr"/>
    </row>
    <row r="671" ht="15" customHeight="1">
      <c r="A671" t="inlineStr">
        <is>
          <t>A 53923-2024</t>
        </is>
      </c>
      <c r="B671" s="1" t="n">
        <v>45615</v>
      </c>
      <c r="C671" s="1" t="n">
        <v>45780</v>
      </c>
      <c r="D671" t="inlineStr">
        <is>
          <t>DALARNAS LÄN</t>
        </is>
      </c>
      <c r="E671" t="inlineStr">
        <is>
          <t>HEDEMORA</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54120-2024</t>
        </is>
      </c>
      <c r="B672" s="1" t="n">
        <v>45616</v>
      </c>
      <c r="C672" s="1" t="n">
        <v>45780</v>
      </c>
      <c r="D672" t="inlineStr">
        <is>
          <t>DALARNAS LÄN</t>
        </is>
      </c>
      <c r="E672" t="inlineStr">
        <is>
          <t>HEDEMORA</t>
        </is>
      </c>
      <c r="G672" t="n">
        <v>7.7</v>
      </c>
      <c r="H672" t="n">
        <v>0</v>
      </c>
      <c r="I672" t="n">
        <v>0</v>
      </c>
      <c r="J672" t="n">
        <v>0</v>
      </c>
      <c r="K672" t="n">
        <v>0</v>
      </c>
      <c r="L672" t="n">
        <v>0</v>
      </c>
      <c r="M672" t="n">
        <v>0</v>
      </c>
      <c r="N672" t="n">
        <v>0</v>
      </c>
      <c r="O672" t="n">
        <v>0</v>
      </c>
      <c r="P672" t="n">
        <v>0</v>
      </c>
      <c r="Q672" t="n">
        <v>0</v>
      </c>
      <c r="R672" s="2" t="inlineStr"/>
    </row>
    <row r="673" ht="15" customHeight="1">
      <c r="A673" t="inlineStr">
        <is>
          <t>A 54312-2024</t>
        </is>
      </c>
      <c r="B673" s="1" t="n">
        <v>45617</v>
      </c>
      <c r="C673" s="1" t="n">
        <v>45780</v>
      </c>
      <c r="D673" t="inlineStr">
        <is>
          <t>DALARNAS LÄN</t>
        </is>
      </c>
      <c r="E673" t="inlineStr">
        <is>
          <t>HEDEMORA</t>
        </is>
      </c>
      <c r="F673" t="inlineStr">
        <is>
          <t>Bergvik skog väst AB</t>
        </is>
      </c>
      <c r="G673" t="n">
        <v>13.9</v>
      </c>
      <c r="H673" t="n">
        <v>0</v>
      </c>
      <c r="I673" t="n">
        <v>0</v>
      </c>
      <c r="J673" t="n">
        <v>0</v>
      </c>
      <c r="K673" t="n">
        <v>0</v>
      </c>
      <c r="L673" t="n">
        <v>0</v>
      </c>
      <c r="M673" t="n">
        <v>0</v>
      </c>
      <c r="N673" t="n">
        <v>0</v>
      </c>
      <c r="O673" t="n">
        <v>0</v>
      </c>
      <c r="P673" t="n">
        <v>0</v>
      </c>
      <c r="Q673" t="n">
        <v>0</v>
      </c>
      <c r="R673" s="2" t="inlineStr"/>
    </row>
    <row r="674" ht="15" customHeight="1">
      <c r="A674" t="inlineStr">
        <is>
          <t>A 55392-2024</t>
        </is>
      </c>
      <c r="B674" s="1" t="n">
        <v>45622</v>
      </c>
      <c r="C674" s="1" t="n">
        <v>45780</v>
      </c>
      <c r="D674" t="inlineStr">
        <is>
          <t>DALARNAS LÄN</t>
        </is>
      </c>
      <c r="E674" t="inlineStr">
        <is>
          <t>HEDEMORA</t>
        </is>
      </c>
      <c r="G674" t="n">
        <v>3</v>
      </c>
      <c r="H674" t="n">
        <v>0</v>
      </c>
      <c r="I674" t="n">
        <v>0</v>
      </c>
      <c r="J674" t="n">
        <v>0</v>
      </c>
      <c r="K674" t="n">
        <v>0</v>
      </c>
      <c r="L674" t="n">
        <v>0</v>
      </c>
      <c r="M674" t="n">
        <v>0</v>
      </c>
      <c r="N674" t="n">
        <v>0</v>
      </c>
      <c r="O674" t="n">
        <v>0</v>
      </c>
      <c r="P674" t="n">
        <v>0</v>
      </c>
      <c r="Q674" t="n">
        <v>0</v>
      </c>
      <c r="R674" s="2" t="inlineStr"/>
    </row>
    <row r="675" ht="15" customHeight="1">
      <c r="A675" t="inlineStr">
        <is>
          <t>A 55832-2024</t>
        </is>
      </c>
      <c r="B675" s="1" t="n">
        <v>45623</v>
      </c>
      <c r="C675" s="1" t="n">
        <v>45780</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56620-2024</t>
        </is>
      </c>
      <c r="B676" s="1" t="n">
        <v>45625</v>
      </c>
      <c r="C676" s="1" t="n">
        <v>45780</v>
      </c>
      <c r="D676" t="inlineStr">
        <is>
          <t>DALARNAS LÄN</t>
        </is>
      </c>
      <c r="E676" t="inlineStr">
        <is>
          <t>HEDEMORA</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56668-2024</t>
        </is>
      </c>
      <c r="B677" s="1" t="n">
        <v>45626</v>
      </c>
      <c r="C677" s="1" t="n">
        <v>45780</v>
      </c>
      <c r="D677" t="inlineStr">
        <is>
          <t>DALARNAS LÄN</t>
        </is>
      </c>
      <c r="E677" t="inlineStr">
        <is>
          <t>HEDEMORA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56884-2024</t>
        </is>
      </c>
      <c r="B678" s="1" t="n">
        <v>45628</v>
      </c>
      <c r="C678" s="1" t="n">
        <v>45780</v>
      </c>
      <c r="D678" t="inlineStr">
        <is>
          <t>DALARNAS LÄN</t>
        </is>
      </c>
      <c r="E678" t="inlineStr">
        <is>
          <t>HEDEMORA</t>
        </is>
      </c>
      <c r="G678" t="n">
        <v>2.1</v>
      </c>
      <c r="H678" t="n">
        <v>0</v>
      </c>
      <c r="I678" t="n">
        <v>0</v>
      </c>
      <c r="J678" t="n">
        <v>0</v>
      </c>
      <c r="K678" t="n">
        <v>0</v>
      </c>
      <c r="L678" t="n">
        <v>0</v>
      </c>
      <c r="M678" t="n">
        <v>0</v>
      </c>
      <c r="N678" t="n">
        <v>0</v>
      </c>
      <c r="O678" t="n">
        <v>0</v>
      </c>
      <c r="P678" t="n">
        <v>0</v>
      </c>
      <c r="Q678" t="n">
        <v>0</v>
      </c>
      <c r="R678" s="2" t="inlineStr"/>
    </row>
    <row r="679" ht="15" customHeight="1">
      <c r="A679" t="inlineStr">
        <is>
          <t>A 57745-2024</t>
        </is>
      </c>
      <c r="B679" s="1" t="n">
        <v>45630</v>
      </c>
      <c r="C679" s="1" t="n">
        <v>45780</v>
      </c>
      <c r="D679" t="inlineStr">
        <is>
          <t>DALARNAS LÄN</t>
        </is>
      </c>
      <c r="E679" t="inlineStr">
        <is>
          <t>HEDEMORA</t>
        </is>
      </c>
      <c r="G679" t="n">
        <v>1.1</v>
      </c>
      <c r="H679" t="n">
        <v>0</v>
      </c>
      <c r="I679" t="n">
        <v>0</v>
      </c>
      <c r="J679" t="n">
        <v>0</v>
      </c>
      <c r="K679" t="n">
        <v>0</v>
      </c>
      <c r="L679" t="n">
        <v>0</v>
      </c>
      <c r="M679" t="n">
        <v>0</v>
      </c>
      <c r="N679" t="n">
        <v>0</v>
      </c>
      <c r="O679" t="n">
        <v>0</v>
      </c>
      <c r="P679" t="n">
        <v>0</v>
      </c>
      <c r="Q679" t="n">
        <v>0</v>
      </c>
      <c r="R679" s="2" t="inlineStr"/>
    </row>
    <row r="680" ht="15" customHeight="1">
      <c r="A680" t="inlineStr">
        <is>
          <t>A 60808-2024</t>
        </is>
      </c>
      <c r="B680" s="1" t="n">
        <v>45644</v>
      </c>
      <c r="C680" s="1" t="n">
        <v>45780</v>
      </c>
      <c r="D680" t="inlineStr">
        <is>
          <t>DALARNAS LÄN</t>
        </is>
      </c>
      <c r="E680" t="inlineStr">
        <is>
          <t>HEDEMORA</t>
        </is>
      </c>
      <c r="G680" t="n">
        <v>6</v>
      </c>
      <c r="H680" t="n">
        <v>0</v>
      </c>
      <c r="I680" t="n">
        <v>0</v>
      </c>
      <c r="J680" t="n">
        <v>0</v>
      </c>
      <c r="K680" t="n">
        <v>0</v>
      </c>
      <c r="L680" t="n">
        <v>0</v>
      </c>
      <c r="M680" t="n">
        <v>0</v>
      </c>
      <c r="N680" t="n">
        <v>0</v>
      </c>
      <c r="O680" t="n">
        <v>0</v>
      </c>
      <c r="P680" t="n">
        <v>0</v>
      </c>
      <c r="Q680" t="n">
        <v>0</v>
      </c>
      <c r="R680" s="2" t="inlineStr"/>
    </row>
    <row r="681" ht="15" customHeight="1">
      <c r="A681" t="inlineStr">
        <is>
          <t>A 60780-2024</t>
        </is>
      </c>
      <c r="B681" s="1" t="n">
        <v>45644</v>
      </c>
      <c r="C681" s="1" t="n">
        <v>45780</v>
      </c>
      <c r="D681" t="inlineStr">
        <is>
          <t>DALARNAS LÄN</t>
        </is>
      </c>
      <c r="E681" t="inlineStr">
        <is>
          <t>HEDEMORA</t>
        </is>
      </c>
      <c r="F681" t="inlineStr">
        <is>
          <t>Sveaskog</t>
        </is>
      </c>
      <c r="G681" t="n">
        <v>4.3</v>
      </c>
      <c r="H681" t="n">
        <v>0</v>
      </c>
      <c r="I681" t="n">
        <v>0</v>
      </c>
      <c r="J681" t="n">
        <v>0</v>
      </c>
      <c r="K681" t="n">
        <v>0</v>
      </c>
      <c r="L681" t="n">
        <v>0</v>
      </c>
      <c r="M681" t="n">
        <v>0</v>
      </c>
      <c r="N681" t="n">
        <v>0</v>
      </c>
      <c r="O681" t="n">
        <v>0</v>
      </c>
      <c r="P681" t="n">
        <v>0</v>
      </c>
      <c r="Q681" t="n">
        <v>0</v>
      </c>
      <c r="R681" s="2" t="inlineStr"/>
    </row>
    <row r="682" ht="15" customHeight="1">
      <c r="A682" t="inlineStr">
        <is>
          <t>A 61519-2024</t>
        </is>
      </c>
      <c r="B682" s="1" t="n">
        <v>45646</v>
      </c>
      <c r="C682" s="1" t="n">
        <v>45780</v>
      </c>
      <c r="D682" t="inlineStr">
        <is>
          <t>DALARNAS LÄN</t>
        </is>
      </c>
      <c r="E682" t="inlineStr">
        <is>
          <t>HEDEMORA</t>
        </is>
      </c>
      <c r="G682" t="n">
        <v>4</v>
      </c>
      <c r="H682" t="n">
        <v>0</v>
      </c>
      <c r="I682" t="n">
        <v>0</v>
      </c>
      <c r="J682" t="n">
        <v>0</v>
      </c>
      <c r="K682" t="n">
        <v>0</v>
      </c>
      <c r="L682" t="n">
        <v>0</v>
      </c>
      <c r="M682" t="n">
        <v>0</v>
      </c>
      <c r="N682" t="n">
        <v>0</v>
      </c>
      <c r="O682" t="n">
        <v>0</v>
      </c>
      <c r="P682" t="n">
        <v>0</v>
      </c>
      <c r="Q682" t="n">
        <v>0</v>
      </c>
      <c r="R682" s="2" t="inlineStr"/>
    </row>
    <row r="683" ht="15" customHeight="1">
      <c r="A683" t="inlineStr">
        <is>
          <t>A 193-2025</t>
        </is>
      </c>
      <c r="B683" s="1" t="n">
        <v>45649</v>
      </c>
      <c r="C683" s="1" t="n">
        <v>45780</v>
      </c>
      <c r="D683" t="inlineStr">
        <is>
          <t>DALARNAS LÄN</t>
        </is>
      </c>
      <c r="E683" t="inlineStr">
        <is>
          <t>HEDEMORA</t>
        </is>
      </c>
      <c r="G683" t="n">
        <v>2</v>
      </c>
      <c r="H683" t="n">
        <v>0</v>
      </c>
      <c r="I683" t="n">
        <v>0</v>
      </c>
      <c r="J683" t="n">
        <v>0</v>
      </c>
      <c r="K683" t="n">
        <v>0</v>
      </c>
      <c r="L683" t="n">
        <v>0</v>
      </c>
      <c r="M683" t="n">
        <v>0</v>
      </c>
      <c r="N683" t="n">
        <v>0</v>
      </c>
      <c r="O683" t="n">
        <v>0</v>
      </c>
      <c r="P683" t="n">
        <v>0</v>
      </c>
      <c r="Q683" t="n">
        <v>0</v>
      </c>
      <c r="R683" s="2" t="inlineStr"/>
      <c r="U683">
        <f>HYPERLINK("https://klasma.github.io/Logging_2083/knärot/A 193-2025 karta knärot.png", "A 193-2025")</f>
        <v/>
      </c>
      <c r="V683">
        <f>HYPERLINK("https://klasma.github.io/Logging_2083/klagomål/A 193-2025 FSC-klagomål.docx", "A 193-2025")</f>
        <v/>
      </c>
      <c r="W683">
        <f>HYPERLINK("https://klasma.github.io/Logging_2083/klagomålsmail/A 193-2025 FSC-klagomål mail.docx", "A 193-2025")</f>
        <v/>
      </c>
      <c r="X683">
        <f>HYPERLINK("https://klasma.github.io/Logging_2083/tillsyn/A 193-2025 tillsynsbegäran.docx", "A 193-2025")</f>
        <v/>
      </c>
      <c r="Y683">
        <f>HYPERLINK("https://klasma.github.io/Logging_2083/tillsynsmail/A 193-2025 tillsynsbegäran mail.docx", "A 193-2025")</f>
        <v/>
      </c>
    </row>
    <row r="684" ht="15" customHeight="1">
      <c r="A684" t="inlineStr">
        <is>
          <t>A 183-2025</t>
        </is>
      </c>
      <c r="B684" s="1" t="n">
        <v>45659</v>
      </c>
      <c r="C684" s="1" t="n">
        <v>45780</v>
      </c>
      <c r="D684" t="inlineStr">
        <is>
          <t>DALARNAS LÄN</t>
        </is>
      </c>
      <c r="E684" t="inlineStr">
        <is>
          <t>HEDEMORA</t>
        </is>
      </c>
      <c r="G684" t="n">
        <v>2.4</v>
      </c>
      <c r="H684" t="n">
        <v>0</v>
      </c>
      <c r="I684" t="n">
        <v>0</v>
      </c>
      <c r="J684" t="n">
        <v>0</v>
      </c>
      <c r="K684" t="n">
        <v>0</v>
      </c>
      <c r="L684" t="n">
        <v>0</v>
      </c>
      <c r="M684" t="n">
        <v>0</v>
      </c>
      <c r="N684" t="n">
        <v>0</v>
      </c>
      <c r="O684" t="n">
        <v>0</v>
      </c>
      <c r="P684" t="n">
        <v>0</v>
      </c>
      <c r="Q684" t="n">
        <v>0</v>
      </c>
      <c r="R684" s="2" t="inlineStr"/>
    </row>
    <row r="685" ht="15" customHeight="1">
      <c r="A685" t="inlineStr">
        <is>
          <t>A 3825-2025</t>
        </is>
      </c>
      <c r="B685" s="1" t="n">
        <v>45681</v>
      </c>
      <c r="C685" s="1" t="n">
        <v>45780</v>
      </c>
      <c r="D685" t="inlineStr">
        <is>
          <t>DALARNAS LÄN</t>
        </is>
      </c>
      <c r="E685" t="inlineStr">
        <is>
          <t>HEDEMORA</t>
        </is>
      </c>
      <c r="G685" t="n">
        <v>2.1</v>
      </c>
      <c r="H685" t="n">
        <v>0</v>
      </c>
      <c r="I685" t="n">
        <v>0</v>
      </c>
      <c r="J685" t="n">
        <v>0</v>
      </c>
      <c r="K685" t="n">
        <v>0</v>
      </c>
      <c r="L685" t="n">
        <v>0</v>
      </c>
      <c r="M685" t="n">
        <v>0</v>
      </c>
      <c r="N685" t="n">
        <v>0</v>
      </c>
      <c r="O685" t="n">
        <v>0</v>
      </c>
      <c r="P685" t="n">
        <v>0</v>
      </c>
      <c r="Q685" t="n">
        <v>0</v>
      </c>
      <c r="R685" s="2" t="inlineStr"/>
    </row>
    <row r="686" ht="15" customHeight="1">
      <c r="A686" t="inlineStr">
        <is>
          <t>A 3593-2025</t>
        </is>
      </c>
      <c r="B686" s="1" t="n">
        <v>45681</v>
      </c>
      <c r="C686" s="1" t="n">
        <v>45780</v>
      </c>
      <c r="D686" t="inlineStr">
        <is>
          <t>DALARNAS LÄN</t>
        </is>
      </c>
      <c r="E686" t="inlineStr">
        <is>
          <t>HEDEMORA</t>
        </is>
      </c>
      <c r="G686" t="n">
        <v>1.5</v>
      </c>
      <c r="H686" t="n">
        <v>0</v>
      </c>
      <c r="I686" t="n">
        <v>0</v>
      </c>
      <c r="J686" t="n">
        <v>0</v>
      </c>
      <c r="K686" t="n">
        <v>0</v>
      </c>
      <c r="L686" t="n">
        <v>0</v>
      </c>
      <c r="M686" t="n">
        <v>0</v>
      </c>
      <c r="N686" t="n">
        <v>0</v>
      </c>
      <c r="O686" t="n">
        <v>0</v>
      </c>
      <c r="P686" t="n">
        <v>0</v>
      </c>
      <c r="Q686" t="n">
        <v>0</v>
      </c>
      <c r="R686" s="2" t="inlineStr"/>
    </row>
    <row r="687" ht="15" customHeight="1">
      <c r="A687" t="inlineStr">
        <is>
          <t>A 5766-2025</t>
        </is>
      </c>
      <c r="B687" s="1" t="n">
        <v>45694</v>
      </c>
      <c r="C687" s="1" t="n">
        <v>45780</v>
      </c>
      <c r="D687" t="inlineStr">
        <is>
          <t>DALARNAS LÄN</t>
        </is>
      </c>
      <c r="E687" t="inlineStr">
        <is>
          <t>HEDEMORA</t>
        </is>
      </c>
      <c r="G687" t="n">
        <v>4.9</v>
      </c>
      <c r="H687" t="n">
        <v>0</v>
      </c>
      <c r="I687" t="n">
        <v>0</v>
      </c>
      <c r="J687" t="n">
        <v>0</v>
      </c>
      <c r="K687" t="n">
        <v>0</v>
      </c>
      <c r="L687" t="n">
        <v>0</v>
      </c>
      <c r="M687" t="n">
        <v>0</v>
      </c>
      <c r="N687" t="n">
        <v>0</v>
      </c>
      <c r="O687" t="n">
        <v>0</v>
      </c>
      <c r="P687" t="n">
        <v>0</v>
      </c>
      <c r="Q687" t="n">
        <v>0</v>
      </c>
      <c r="R687" s="2" t="inlineStr"/>
    </row>
    <row r="688" ht="15" customHeight="1">
      <c r="A688" t="inlineStr">
        <is>
          <t>A 7052-2025</t>
        </is>
      </c>
      <c r="B688" s="1" t="n">
        <v>45701</v>
      </c>
      <c r="C688" s="1" t="n">
        <v>45780</v>
      </c>
      <c r="D688" t="inlineStr">
        <is>
          <t>DALARNAS LÄN</t>
        </is>
      </c>
      <c r="E688" t="inlineStr">
        <is>
          <t>HEDEMORA</t>
        </is>
      </c>
      <c r="G688" t="n">
        <v>0.9</v>
      </c>
      <c r="H688" t="n">
        <v>0</v>
      </c>
      <c r="I688" t="n">
        <v>0</v>
      </c>
      <c r="J688" t="n">
        <v>0</v>
      </c>
      <c r="K688" t="n">
        <v>0</v>
      </c>
      <c r="L688" t="n">
        <v>0</v>
      </c>
      <c r="M688" t="n">
        <v>0</v>
      </c>
      <c r="N688" t="n">
        <v>0</v>
      </c>
      <c r="O688" t="n">
        <v>0</v>
      </c>
      <c r="P688" t="n">
        <v>0</v>
      </c>
      <c r="Q688" t="n">
        <v>0</v>
      </c>
      <c r="R688" s="2" t="inlineStr"/>
    </row>
    <row r="689" ht="15" customHeight="1">
      <c r="A689" t="inlineStr">
        <is>
          <t>A 6972-2025</t>
        </is>
      </c>
      <c r="B689" s="1" t="n">
        <v>45701</v>
      </c>
      <c r="C689" s="1" t="n">
        <v>45780</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7172-2025</t>
        </is>
      </c>
      <c r="B690" s="1" t="n">
        <v>45702</v>
      </c>
      <c r="C690" s="1" t="n">
        <v>45780</v>
      </c>
      <c r="D690" t="inlineStr">
        <is>
          <t>DALARNAS LÄN</t>
        </is>
      </c>
      <c r="E690" t="inlineStr">
        <is>
          <t>HEDEMORA</t>
        </is>
      </c>
      <c r="G690" t="n">
        <v>0.8</v>
      </c>
      <c r="H690" t="n">
        <v>0</v>
      </c>
      <c r="I690" t="n">
        <v>0</v>
      </c>
      <c r="J690" t="n">
        <v>0</v>
      </c>
      <c r="K690" t="n">
        <v>0</v>
      </c>
      <c r="L690" t="n">
        <v>0</v>
      </c>
      <c r="M690" t="n">
        <v>0</v>
      </c>
      <c r="N690" t="n">
        <v>0</v>
      </c>
      <c r="O690" t="n">
        <v>0</v>
      </c>
      <c r="P690" t="n">
        <v>0</v>
      </c>
      <c r="Q690" t="n">
        <v>0</v>
      </c>
      <c r="R690" s="2" t="inlineStr"/>
    </row>
    <row r="691" ht="15" customHeight="1">
      <c r="A691" t="inlineStr">
        <is>
          <t>A 8342-2025</t>
        </is>
      </c>
      <c r="B691" s="1" t="n">
        <v>45708</v>
      </c>
      <c r="C691" s="1" t="n">
        <v>45780</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8340-2025</t>
        </is>
      </c>
      <c r="B692" s="1" t="n">
        <v>45708</v>
      </c>
      <c r="C692" s="1" t="n">
        <v>45780</v>
      </c>
      <c r="D692" t="inlineStr">
        <is>
          <t>DALARNAS LÄN</t>
        </is>
      </c>
      <c r="E692" t="inlineStr">
        <is>
          <t>HEDEMORA</t>
        </is>
      </c>
      <c r="G692" t="n">
        <v>0.6</v>
      </c>
      <c r="H692" t="n">
        <v>0</v>
      </c>
      <c r="I692" t="n">
        <v>0</v>
      </c>
      <c r="J692" t="n">
        <v>0</v>
      </c>
      <c r="K692" t="n">
        <v>0</v>
      </c>
      <c r="L692" t="n">
        <v>0</v>
      </c>
      <c r="M692" t="n">
        <v>0</v>
      </c>
      <c r="N692" t="n">
        <v>0</v>
      </c>
      <c r="O692" t="n">
        <v>0</v>
      </c>
      <c r="P692" t="n">
        <v>0</v>
      </c>
      <c r="Q692" t="n">
        <v>0</v>
      </c>
      <c r="R692" s="2" t="inlineStr"/>
    </row>
    <row r="693" ht="15" customHeight="1">
      <c r="A693" t="inlineStr">
        <is>
          <t>A 12133-2025</t>
        </is>
      </c>
      <c r="B693" s="1" t="n">
        <v>45729</v>
      </c>
      <c r="C693" s="1" t="n">
        <v>45780</v>
      </c>
      <c r="D693" t="inlineStr">
        <is>
          <t>DALARNAS LÄN</t>
        </is>
      </c>
      <c r="E693" t="inlineStr">
        <is>
          <t>HEDEMORA</t>
        </is>
      </c>
      <c r="G693" t="n">
        <v>4.8</v>
      </c>
      <c r="H693" t="n">
        <v>0</v>
      </c>
      <c r="I693" t="n">
        <v>0</v>
      </c>
      <c r="J693" t="n">
        <v>0</v>
      </c>
      <c r="K693" t="n">
        <v>0</v>
      </c>
      <c r="L693" t="n">
        <v>0</v>
      </c>
      <c r="M693" t="n">
        <v>0</v>
      </c>
      <c r="N693" t="n">
        <v>0</v>
      </c>
      <c r="O693" t="n">
        <v>0</v>
      </c>
      <c r="P693" t="n">
        <v>0</v>
      </c>
      <c r="Q693" t="n">
        <v>0</v>
      </c>
      <c r="R693" s="2" t="inlineStr"/>
    </row>
    <row r="694" ht="15" customHeight="1">
      <c r="A694" t="inlineStr">
        <is>
          <t>A 12136-2025</t>
        </is>
      </c>
      <c r="B694" s="1" t="n">
        <v>45729</v>
      </c>
      <c r="C694" s="1" t="n">
        <v>45780</v>
      </c>
      <c r="D694" t="inlineStr">
        <is>
          <t>DALARNAS LÄN</t>
        </is>
      </c>
      <c r="E694" t="inlineStr">
        <is>
          <t>HEDEMORA</t>
        </is>
      </c>
      <c r="G694" t="n">
        <v>1.5</v>
      </c>
      <c r="H694" t="n">
        <v>0</v>
      </c>
      <c r="I694" t="n">
        <v>0</v>
      </c>
      <c r="J694" t="n">
        <v>0</v>
      </c>
      <c r="K694" t="n">
        <v>0</v>
      </c>
      <c r="L694" t="n">
        <v>0</v>
      </c>
      <c r="M694" t="n">
        <v>0</v>
      </c>
      <c r="N694" t="n">
        <v>0</v>
      </c>
      <c r="O694" t="n">
        <v>0</v>
      </c>
      <c r="P694" t="n">
        <v>0</v>
      </c>
      <c r="Q694" t="n">
        <v>0</v>
      </c>
      <c r="R694" s="2" t="inlineStr"/>
    </row>
    <row r="695" ht="15" customHeight="1">
      <c r="A695" t="inlineStr">
        <is>
          <t>A 13381-2025</t>
        </is>
      </c>
      <c r="B695" s="1" t="n">
        <v>45735</v>
      </c>
      <c r="C695" s="1" t="n">
        <v>45780</v>
      </c>
      <c r="D695" t="inlineStr">
        <is>
          <t>DALARNAS LÄN</t>
        </is>
      </c>
      <c r="E695" t="inlineStr">
        <is>
          <t>HEDEMORA</t>
        </is>
      </c>
      <c r="G695" t="n">
        <v>5.6</v>
      </c>
      <c r="H695" t="n">
        <v>0</v>
      </c>
      <c r="I695" t="n">
        <v>0</v>
      </c>
      <c r="J695" t="n">
        <v>0</v>
      </c>
      <c r="K695" t="n">
        <v>0</v>
      </c>
      <c r="L695" t="n">
        <v>0</v>
      </c>
      <c r="M695" t="n">
        <v>0</v>
      </c>
      <c r="N695" t="n">
        <v>0</v>
      </c>
      <c r="O695" t="n">
        <v>0</v>
      </c>
      <c r="P695" t="n">
        <v>0</v>
      </c>
      <c r="Q695" t="n">
        <v>0</v>
      </c>
      <c r="R695" s="2" t="inlineStr"/>
    </row>
    <row r="696" ht="15" customHeight="1">
      <c r="A696" t="inlineStr">
        <is>
          <t>A 15048-2025</t>
        </is>
      </c>
      <c r="B696" s="1" t="n">
        <v>45743</v>
      </c>
      <c r="C696" s="1" t="n">
        <v>45780</v>
      </c>
      <c r="D696" t="inlineStr">
        <is>
          <t>DALARNAS LÄN</t>
        </is>
      </c>
      <c r="E696" t="inlineStr">
        <is>
          <t>HEDEMORA</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15054-2025</t>
        </is>
      </c>
      <c r="B697" s="1" t="n">
        <v>45743</v>
      </c>
      <c r="C697" s="1" t="n">
        <v>45780</v>
      </c>
      <c r="D697" t="inlineStr">
        <is>
          <t>DALARNAS LÄN</t>
        </is>
      </c>
      <c r="E697" t="inlineStr">
        <is>
          <t>HEDEMORA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14968-2025</t>
        </is>
      </c>
      <c r="B698" s="1" t="n">
        <v>45743</v>
      </c>
      <c r="C698" s="1" t="n">
        <v>45780</v>
      </c>
      <c r="D698" t="inlineStr">
        <is>
          <t>DALARNAS LÄN</t>
        </is>
      </c>
      <c r="E698" t="inlineStr">
        <is>
          <t>HEDEMORA</t>
        </is>
      </c>
      <c r="G698" t="n">
        <v>2.2</v>
      </c>
      <c r="H698" t="n">
        <v>0</v>
      </c>
      <c r="I698" t="n">
        <v>0</v>
      </c>
      <c r="J698" t="n">
        <v>0</v>
      </c>
      <c r="K698" t="n">
        <v>0</v>
      </c>
      <c r="L698" t="n">
        <v>0</v>
      </c>
      <c r="M698" t="n">
        <v>0</v>
      </c>
      <c r="N698" t="n">
        <v>0</v>
      </c>
      <c r="O698" t="n">
        <v>0</v>
      </c>
      <c r="P698" t="n">
        <v>0</v>
      </c>
      <c r="Q698" t="n">
        <v>0</v>
      </c>
      <c r="R698" s="2" t="inlineStr"/>
    </row>
    <row r="699" ht="15" customHeight="1">
      <c r="A699" t="inlineStr">
        <is>
          <t>A 14949-2025</t>
        </is>
      </c>
      <c r="B699" s="1" t="n">
        <v>45743</v>
      </c>
      <c r="C699" s="1" t="n">
        <v>45780</v>
      </c>
      <c r="D699" t="inlineStr">
        <is>
          <t>DALARNAS LÄN</t>
        </is>
      </c>
      <c r="E699" t="inlineStr">
        <is>
          <t>HEDEMORA</t>
        </is>
      </c>
      <c r="G699" t="n">
        <v>2.5</v>
      </c>
      <c r="H699" t="n">
        <v>0</v>
      </c>
      <c r="I699" t="n">
        <v>0</v>
      </c>
      <c r="J699" t="n">
        <v>0</v>
      </c>
      <c r="K699" t="n">
        <v>0</v>
      </c>
      <c r="L699" t="n">
        <v>0</v>
      </c>
      <c r="M699" t="n">
        <v>0</v>
      </c>
      <c r="N699" t="n">
        <v>0</v>
      </c>
      <c r="O699" t="n">
        <v>0</v>
      </c>
      <c r="P699" t="n">
        <v>0</v>
      </c>
      <c r="Q699" t="n">
        <v>0</v>
      </c>
      <c r="R699" s="2" t="inlineStr"/>
    </row>
    <row r="700" ht="15" customHeight="1">
      <c r="A700" t="inlineStr">
        <is>
          <t>A 14951-2025</t>
        </is>
      </c>
      <c r="B700" s="1" t="n">
        <v>45743</v>
      </c>
      <c r="C700" s="1" t="n">
        <v>45780</v>
      </c>
      <c r="D700" t="inlineStr">
        <is>
          <t>DALARNAS LÄN</t>
        </is>
      </c>
      <c r="E700" t="inlineStr">
        <is>
          <t>HEDEMORA</t>
        </is>
      </c>
      <c r="G700" t="n">
        <v>1.6</v>
      </c>
      <c r="H700" t="n">
        <v>0</v>
      </c>
      <c r="I700" t="n">
        <v>0</v>
      </c>
      <c r="J700" t="n">
        <v>0</v>
      </c>
      <c r="K700" t="n">
        <v>0</v>
      </c>
      <c r="L700" t="n">
        <v>0</v>
      </c>
      <c r="M700" t="n">
        <v>0</v>
      </c>
      <c r="N700" t="n">
        <v>0</v>
      </c>
      <c r="O700" t="n">
        <v>0</v>
      </c>
      <c r="P700" t="n">
        <v>0</v>
      </c>
      <c r="Q700" t="n">
        <v>0</v>
      </c>
      <c r="R700" s="2" t="inlineStr"/>
    </row>
    <row r="701" ht="15" customHeight="1">
      <c r="A701" t="inlineStr">
        <is>
          <t>A 14953-2025</t>
        </is>
      </c>
      <c r="B701" s="1" t="n">
        <v>45743</v>
      </c>
      <c r="C701" s="1" t="n">
        <v>45780</v>
      </c>
      <c r="D701" t="inlineStr">
        <is>
          <t>DALARNAS LÄN</t>
        </is>
      </c>
      <c r="E701" t="inlineStr">
        <is>
          <t>HEDEMORA</t>
        </is>
      </c>
      <c r="G701" t="n">
        <v>6.6</v>
      </c>
      <c r="H701" t="n">
        <v>0</v>
      </c>
      <c r="I701" t="n">
        <v>0</v>
      </c>
      <c r="J701" t="n">
        <v>0</v>
      </c>
      <c r="K701" t="n">
        <v>0</v>
      </c>
      <c r="L701" t="n">
        <v>0</v>
      </c>
      <c r="M701" t="n">
        <v>0</v>
      </c>
      <c r="N701" t="n">
        <v>0</v>
      </c>
      <c r="O701" t="n">
        <v>0</v>
      </c>
      <c r="P701" t="n">
        <v>0</v>
      </c>
      <c r="Q701" t="n">
        <v>0</v>
      </c>
      <c r="R701" s="2" t="inlineStr"/>
    </row>
    <row r="702" ht="15" customHeight="1">
      <c r="A702" t="inlineStr">
        <is>
          <t>A 15831-2025</t>
        </is>
      </c>
      <c r="B702" s="1" t="n">
        <v>45748</v>
      </c>
      <c r="C702" s="1" t="n">
        <v>45780</v>
      </c>
      <c r="D702" t="inlineStr">
        <is>
          <t>DALARNAS LÄN</t>
        </is>
      </c>
      <c r="E702" t="inlineStr">
        <is>
          <t>HEDEMORA</t>
        </is>
      </c>
      <c r="G702" t="n">
        <v>2.1</v>
      </c>
      <c r="H702" t="n">
        <v>0</v>
      </c>
      <c r="I702" t="n">
        <v>0</v>
      </c>
      <c r="J702" t="n">
        <v>0</v>
      </c>
      <c r="K702" t="n">
        <v>0</v>
      </c>
      <c r="L702" t="n">
        <v>0</v>
      </c>
      <c r="M702" t="n">
        <v>0</v>
      </c>
      <c r="N702" t="n">
        <v>0</v>
      </c>
      <c r="O702" t="n">
        <v>0</v>
      </c>
      <c r="P702" t="n">
        <v>0</v>
      </c>
      <c r="Q702" t="n">
        <v>0</v>
      </c>
      <c r="R702" s="2" t="inlineStr"/>
    </row>
    <row r="703" ht="15" customHeight="1">
      <c r="A703" t="inlineStr">
        <is>
          <t>A 15835-2025</t>
        </is>
      </c>
      <c r="B703" s="1" t="n">
        <v>45748</v>
      </c>
      <c r="C703" s="1" t="n">
        <v>45780</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15833-2025</t>
        </is>
      </c>
      <c r="B704" s="1" t="n">
        <v>45748</v>
      </c>
      <c r="C704" s="1" t="n">
        <v>45780</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15834-2025</t>
        </is>
      </c>
      <c r="B705" s="1" t="n">
        <v>45748</v>
      </c>
      <c r="C705" s="1" t="n">
        <v>45780</v>
      </c>
      <c r="D705" t="inlineStr">
        <is>
          <t>DALARNAS LÄN</t>
        </is>
      </c>
      <c r="E705" t="inlineStr">
        <is>
          <t>HEDEMORA</t>
        </is>
      </c>
      <c r="G705" t="n">
        <v>1.4</v>
      </c>
      <c r="H705" t="n">
        <v>0</v>
      </c>
      <c r="I705" t="n">
        <v>0</v>
      </c>
      <c r="J705" t="n">
        <v>0</v>
      </c>
      <c r="K705" t="n">
        <v>0</v>
      </c>
      <c r="L705" t="n">
        <v>0</v>
      </c>
      <c r="M705" t="n">
        <v>0</v>
      </c>
      <c r="N705" t="n">
        <v>0</v>
      </c>
      <c r="O705" t="n">
        <v>0</v>
      </c>
      <c r="P705" t="n">
        <v>0</v>
      </c>
      <c r="Q705" t="n">
        <v>0</v>
      </c>
      <c r="R705" s="2" t="inlineStr"/>
    </row>
    <row r="706" ht="15" customHeight="1">
      <c r="A706" t="inlineStr">
        <is>
          <t>A 17222-2025</t>
        </is>
      </c>
      <c r="B706" s="1" t="n">
        <v>45756</v>
      </c>
      <c r="C706" s="1" t="n">
        <v>45780</v>
      </c>
      <c r="D706" t="inlineStr">
        <is>
          <t>DALARNAS LÄN</t>
        </is>
      </c>
      <c r="E706" t="inlineStr">
        <is>
          <t>HEDEMORA</t>
        </is>
      </c>
      <c r="G706" t="n">
        <v>0.5</v>
      </c>
      <c r="H706" t="n">
        <v>0</v>
      </c>
      <c r="I706" t="n">
        <v>0</v>
      </c>
      <c r="J706" t="n">
        <v>0</v>
      </c>
      <c r="K706" t="n">
        <v>0</v>
      </c>
      <c r="L706" t="n">
        <v>0</v>
      </c>
      <c r="M706" t="n">
        <v>0</v>
      </c>
      <c r="N706" t="n">
        <v>0</v>
      </c>
      <c r="O706" t="n">
        <v>0</v>
      </c>
      <c r="P706" t="n">
        <v>0</v>
      </c>
      <c r="Q706" t="n">
        <v>0</v>
      </c>
      <c r="R706" s="2" t="inlineStr"/>
    </row>
    <row r="707" ht="15" customHeight="1">
      <c r="A707" t="inlineStr">
        <is>
          <t>A 17590-2025</t>
        </is>
      </c>
      <c r="B707" s="1" t="n">
        <v>45757</v>
      </c>
      <c r="C707" s="1" t="n">
        <v>45780</v>
      </c>
      <c r="D707" t="inlineStr">
        <is>
          <t>DALARNAS LÄN</t>
        </is>
      </c>
      <c r="E707" t="inlineStr">
        <is>
          <t>HEDEMORA</t>
        </is>
      </c>
      <c r="G707" t="n">
        <v>0.6</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45780</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45780</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45780</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45780</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45780</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45780</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45780</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45780</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45780</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45780</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45780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45780</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45780</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45780</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45780</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c r="A724" t="inlineStr">
        <is>
          <t>A 20969-2025</t>
        </is>
      </c>
      <c r="B724" s="1" t="n">
        <v>45777</v>
      </c>
      <c r="C724" s="1" t="n">
        <v>45780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2025-05-03T18:08:36Z</dcterms:created>
  <dcterms:modified xmlns:dcterms="http://purl.org/dc/terms/" xmlns:xsi="http://www.w3.org/2001/XMLSchema-instance" xsi:type="dcterms:W3CDTF">2025-05-03T18:08:36Z</dcterms:modified>
</cp:coreProperties>
</file>