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45923</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45923</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45923</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45923</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45923</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45923</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45923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45923</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45923</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45923</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45923</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45923</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45923</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45923</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45923</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60557-2021</t>
        </is>
      </c>
      <c r="B20" s="1" t="n">
        <v>44495</v>
      </c>
      <c r="C20" s="1" t="n">
        <v>45923</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992-2024</t>
        </is>
      </c>
      <c r="B21" s="1" t="n">
        <v>45301</v>
      </c>
      <c r="C21" s="1" t="n">
        <v>45923</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45923</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45923</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49872-2021</t>
        </is>
      </c>
      <c r="B24" s="1" t="n">
        <v>44455</v>
      </c>
      <c r="C24" s="1" t="n">
        <v>45923</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57643-2022</t>
        </is>
      </c>
      <c r="B25" s="1" t="n">
        <v>44897</v>
      </c>
      <c r="C25" s="1" t="n">
        <v>45923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45923</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62054-2021</t>
        </is>
      </c>
      <c r="B27" s="1" t="n">
        <v>44502</v>
      </c>
      <c r="C27" s="1" t="n">
        <v>45923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45923</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45923</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49272-2020</t>
        </is>
      </c>
      <c r="B30" s="1" t="n">
        <v>44105</v>
      </c>
      <c r="C30" s="1" t="n">
        <v>45923</v>
      </c>
      <c r="D30" t="inlineStr">
        <is>
          <t>DALARNAS LÄN</t>
        </is>
      </c>
      <c r="E30" t="inlineStr">
        <is>
          <t>HEDEMORA</t>
        </is>
      </c>
      <c r="F30" t="inlineStr">
        <is>
          <t>Sveaskog</t>
        </is>
      </c>
      <c r="G30" t="n">
        <v>2.5</v>
      </c>
      <c r="H30" t="n">
        <v>2</v>
      </c>
      <c r="I30" t="n">
        <v>0</v>
      </c>
      <c r="J30" t="n">
        <v>2</v>
      </c>
      <c r="K30" t="n">
        <v>1</v>
      </c>
      <c r="L30" t="n">
        <v>0</v>
      </c>
      <c r="M30" t="n">
        <v>0</v>
      </c>
      <c r="N30" t="n">
        <v>0</v>
      </c>
      <c r="O30" t="n">
        <v>3</v>
      </c>
      <c r="P30" t="n">
        <v>1</v>
      </c>
      <c r="Q30" t="n">
        <v>3</v>
      </c>
      <c r="R30" s="2" t="inlineStr">
        <is>
          <t>Knärot
Spillkråka
Tallticka</t>
        </is>
      </c>
      <c r="S30">
        <f>HYPERLINK("https://klasma.github.io/Logging_2083/artfynd/A 49272-2020 artfynd.xlsx", "A 49272-2020")</f>
        <v/>
      </c>
      <c r="T30">
        <f>HYPERLINK("https://klasma.github.io/Logging_2083/kartor/A 49272-2020 karta.png", "A 49272-2020")</f>
        <v/>
      </c>
      <c r="U30">
        <f>HYPERLINK("https://klasma.github.io/Logging_2083/knärot/A 49272-2020 karta knärot.png", "A 49272-2020")</f>
        <v/>
      </c>
      <c r="V30">
        <f>HYPERLINK("https://klasma.github.io/Logging_2083/klagomål/A 49272-2020 FSC-klagomål.docx", "A 49272-2020")</f>
        <v/>
      </c>
      <c r="W30">
        <f>HYPERLINK("https://klasma.github.io/Logging_2083/klagomålsmail/A 49272-2020 FSC-klagomål mail.docx", "A 49272-2020")</f>
        <v/>
      </c>
      <c r="X30">
        <f>HYPERLINK("https://klasma.github.io/Logging_2083/tillsyn/A 49272-2020 tillsynsbegäran.docx", "A 49272-2020")</f>
        <v/>
      </c>
      <c r="Y30">
        <f>HYPERLINK("https://klasma.github.io/Logging_2083/tillsynsmail/A 49272-2020 tillsynsbegäran mail.docx", "A 49272-2020")</f>
        <v/>
      </c>
      <c r="Z30">
        <f>HYPERLINK("https://klasma.github.io/Logging_2083/fåglar/A 49272-2020 prioriterade fågelarter.docx", "A 49272-2020")</f>
        <v/>
      </c>
    </row>
    <row r="31" ht="15" customHeight="1">
      <c r="A31" t="inlineStr">
        <is>
          <t>A 4177-2022</t>
        </is>
      </c>
      <c r="B31" s="1" t="n">
        <v>44588</v>
      </c>
      <c r="C31" s="1" t="n">
        <v>45923</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4031-2022</t>
        </is>
      </c>
      <c r="B32" s="1" t="n">
        <v>44588</v>
      </c>
      <c r="C32" s="1" t="n">
        <v>45923</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40765-2025</t>
        </is>
      </c>
      <c r="B33" s="1" t="n">
        <v>45897.39886574074</v>
      </c>
      <c r="C33" s="1" t="n">
        <v>45923</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45923</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54849-2022</t>
        </is>
      </c>
      <c r="B35" s="1" t="n">
        <v>44883</v>
      </c>
      <c r="C35" s="1" t="n">
        <v>45923</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1518-2025</t>
        </is>
      </c>
      <c r="B36" s="1" t="n">
        <v>45670</v>
      </c>
      <c r="C36" s="1" t="n">
        <v>45923</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3152-2022</t>
        </is>
      </c>
      <c r="B37" s="1" t="n">
        <v>44582</v>
      </c>
      <c r="C37" s="1" t="n">
        <v>45923</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43681-2025</t>
        </is>
      </c>
      <c r="B38" s="1" t="n">
        <v>45912.37243055556</v>
      </c>
      <c r="C38" s="1" t="n">
        <v>45923</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45923</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45923</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59035-2023</t>
        </is>
      </c>
      <c r="B41" s="1" t="n">
        <v>45252</v>
      </c>
      <c r="C41" s="1" t="n">
        <v>45923</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56625-2024</t>
        </is>
      </c>
      <c r="B42" s="1" t="n">
        <v>45625</v>
      </c>
      <c r="C42" s="1" t="n">
        <v>45923</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19352-2024</t>
        </is>
      </c>
      <c r="B43" s="1" t="n">
        <v>45429.29493055555</v>
      </c>
      <c r="C43" s="1" t="n">
        <v>45923</v>
      </c>
      <c r="D43" t="inlineStr">
        <is>
          <t>DALARNAS LÄN</t>
        </is>
      </c>
      <c r="E43" t="inlineStr">
        <is>
          <t>HEDEMORA</t>
        </is>
      </c>
      <c r="F43" t="inlineStr">
        <is>
          <t>Sveaskog</t>
        </is>
      </c>
      <c r="G43" t="n">
        <v>22.6</v>
      </c>
      <c r="H43" t="n">
        <v>1</v>
      </c>
      <c r="I43" t="n">
        <v>0</v>
      </c>
      <c r="J43" t="n">
        <v>1</v>
      </c>
      <c r="K43" t="n">
        <v>0</v>
      </c>
      <c r="L43" t="n">
        <v>0</v>
      </c>
      <c r="M43" t="n">
        <v>0</v>
      </c>
      <c r="N43" t="n">
        <v>0</v>
      </c>
      <c r="O43" t="n">
        <v>1</v>
      </c>
      <c r="P43" t="n">
        <v>0</v>
      </c>
      <c r="Q43" t="n">
        <v>2</v>
      </c>
      <c r="R43" s="2" t="inlineStr">
        <is>
          <t>Ullticka
Blåsippa</t>
        </is>
      </c>
      <c r="S43">
        <f>HYPERLINK("https://klasma.github.io/Logging_2083/artfynd/A 19352-2024 artfynd.xlsx", "A 19352-2024")</f>
        <v/>
      </c>
      <c r="T43">
        <f>HYPERLINK("https://klasma.github.io/Logging_2083/kartor/A 19352-2024 karta.png", "A 19352-2024")</f>
        <v/>
      </c>
      <c r="V43">
        <f>HYPERLINK("https://klasma.github.io/Logging_2083/klagomål/A 19352-2024 FSC-klagomål.docx", "A 19352-2024")</f>
        <v/>
      </c>
      <c r="W43">
        <f>HYPERLINK("https://klasma.github.io/Logging_2083/klagomålsmail/A 19352-2024 FSC-klagomål mail.docx", "A 19352-2024")</f>
        <v/>
      </c>
      <c r="X43">
        <f>HYPERLINK("https://klasma.github.io/Logging_2083/tillsyn/A 19352-2024 tillsynsbegäran.docx", "A 19352-2024")</f>
        <v/>
      </c>
      <c r="Y43">
        <f>HYPERLINK("https://klasma.github.io/Logging_2083/tillsynsmail/A 19352-2024 tillsynsbegäran mail.docx", "A 19352-2024")</f>
        <v/>
      </c>
    </row>
    <row r="44" ht="15" customHeight="1">
      <c r="A44" t="inlineStr">
        <is>
          <t>A 45884-2021</t>
        </is>
      </c>
      <c r="B44" s="1" t="n">
        <v>44441</v>
      </c>
      <c r="C44" s="1" t="n">
        <v>45923</v>
      </c>
      <c r="D44" t="inlineStr">
        <is>
          <t>DALARNAS LÄN</t>
        </is>
      </c>
      <c r="E44" t="inlineStr">
        <is>
          <t>HEDEMORA</t>
        </is>
      </c>
      <c r="G44" t="n">
        <v>0.9</v>
      </c>
      <c r="H44" t="n">
        <v>1</v>
      </c>
      <c r="I44" t="n">
        <v>1</v>
      </c>
      <c r="J44" t="n">
        <v>0</v>
      </c>
      <c r="K44" t="n">
        <v>1</v>
      </c>
      <c r="L44" t="n">
        <v>0</v>
      </c>
      <c r="M44" t="n">
        <v>0</v>
      </c>
      <c r="N44" t="n">
        <v>0</v>
      </c>
      <c r="O44" t="n">
        <v>1</v>
      </c>
      <c r="P44" t="n">
        <v>1</v>
      </c>
      <c r="Q44" t="n">
        <v>2</v>
      </c>
      <c r="R44" s="2" t="inlineStr">
        <is>
          <t>Knärot
Bollvitmossa</t>
        </is>
      </c>
      <c r="S44">
        <f>HYPERLINK("https://klasma.github.io/Logging_2083/artfynd/A 45884-2021 artfynd.xlsx", "A 45884-2021")</f>
        <v/>
      </c>
      <c r="T44">
        <f>HYPERLINK("https://klasma.github.io/Logging_2083/kartor/A 45884-2021 karta.png", "A 45884-2021")</f>
        <v/>
      </c>
      <c r="U44">
        <f>HYPERLINK("https://klasma.github.io/Logging_2083/knärot/A 45884-2021 karta knärot.png", "A 45884-2021")</f>
        <v/>
      </c>
      <c r="V44">
        <f>HYPERLINK("https://klasma.github.io/Logging_2083/klagomål/A 45884-2021 FSC-klagomål.docx", "A 45884-2021")</f>
        <v/>
      </c>
      <c r="W44">
        <f>HYPERLINK("https://klasma.github.io/Logging_2083/klagomålsmail/A 45884-2021 FSC-klagomål mail.docx", "A 45884-2021")</f>
        <v/>
      </c>
      <c r="X44">
        <f>HYPERLINK("https://klasma.github.io/Logging_2083/tillsyn/A 45884-2021 tillsynsbegäran.docx", "A 45884-2021")</f>
        <v/>
      </c>
      <c r="Y44">
        <f>HYPERLINK("https://klasma.github.io/Logging_2083/tillsynsmail/A 45884-2021 tillsynsbegäran mail.docx", "A 45884-2021")</f>
        <v/>
      </c>
    </row>
    <row r="45" ht="15" customHeight="1">
      <c r="A45" t="inlineStr">
        <is>
          <t>A 53915-2022</t>
        </is>
      </c>
      <c r="B45" s="1" t="n">
        <v>44880.87587962963</v>
      </c>
      <c r="C45" s="1" t="n">
        <v>45923</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45923</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45923</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45923</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39396-2025</t>
        </is>
      </c>
      <c r="B49" s="1" t="n">
        <v>45889.63289351852</v>
      </c>
      <c r="C49" s="1" t="n">
        <v>45923</v>
      </c>
      <c r="D49" t="inlineStr">
        <is>
          <t>DALARNAS LÄN</t>
        </is>
      </c>
      <c r="E49" t="inlineStr">
        <is>
          <t>HEDEMORA</t>
        </is>
      </c>
      <c r="F49" t="inlineStr">
        <is>
          <t>Sveaskog</t>
        </is>
      </c>
      <c r="G49" t="n">
        <v>4.3</v>
      </c>
      <c r="H49" t="n">
        <v>1</v>
      </c>
      <c r="I49" t="n">
        <v>0</v>
      </c>
      <c r="J49" t="n">
        <v>0</v>
      </c>
      <c r="K49" t="n">
        <v>1</v>
      </c>
      <c r="L49" t="n">
        <v>0</v>
      </c>
      <c r="M49" t="n">
        <v>0</v>
      </c>
      <c r="N49" t="n">
        <v>0</v>
      </c>
      <c r="O49" t="n">
        <v>1</v>
      </c>
      <c r="P49" t="n">
        <v>1</v>
      </c>
      <c r="Q49" t="n">
        <v>1</v>
      </c>
      <c r="R49" s="2" t="inlineStr">
        <is>
          <t>Knärot</t>
        </is>
      </c>
      <c r="S49">
        <f>HYPERLINK("https://klasma.github.io/Logging_2083/artfynd/A 39396-2025 artfynd.xlsx", "A 39396-2025")</f>
        <v/>
      </c>
      <c r="T49">
        <f>HYPERLINK("https://klasma.github.io/Logging_2083/kartor/A 39396-2025 karta.png", "A 39396-2025")</f>
        <v/>
      </c>
      <c r="U49">
        <f>HYPERLINK("https://klasma.github.io/Logging_2083/knärot/A 39396-2025 karta knärot.png", "A 39396-2025")</f>
        <v/>
      </c>
      <c r="V49">
        <f>HYPERLINK("https://klasma.github.io/Logging_2083/klagomål/A 39396-2025 FSC-klagomål.docx", "A 39396-2025")</f>
        <v/>
      </c>
      <c r="W49">
        <f>HYPERLINK("https://klasma.github.io/Logging_2083/klagomålsmail/A 39396-2025 FSC-klagomål mail.docx", "A 39396-2025")</f>
        <v/>
      </c>
      <c r="X49">
        <f>HYPERLINK("https://klasma.github.io/Logging_2083/tillsyn/A 39396-2025 tillsynsbegäran.docx", "A 39396-2025")</f>
        <v/>
      </c>
      <c r="Y49">
        <f>HYPERLINK("https://klasma.github.io/Logging_2083/tillsynsmail/A 39396-2025 tillsynsbegäran mail.docx", "A 39396-2025")</f>
        <v/>
      </c>
    </row>
    <row r="50" ht="15" customHeight="1">
      <c r="A50" t="inlineStr">
        <is>
          <t>A 15036-2025</t>
        </is>
      </c>
      <c r="B50" s="1" t="n">
        <v>45743.68125</v>
      </c>
      <c r="C50" s="1" t="n">
        <v>45923</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53031-2023</t>
        </is>
      </c>
      <c r="B51" s="1" t="n">
        <v>45226</v>
      </c>
      <c r="C51" s="1" t="n">
        <v>45923</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15058-2025</t>
        </is>
      </c>
      <c r="B52" s="1" t="n">
        <v>45743.70716435185</v>
      </c>
      <c r="C52" s="1" t="n">
        <v>45923</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41333-2025</t>
        </is>
      </c>
      <c r="B53" s="1" t="n">
        <v>45899.35854166667</v>
      </c>
      <c r="C53" s="1" t="n">
        <v>45923</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19094-2025</t>
        </is>
      </c>
      <c r="B54" s="1" t="n">
        <v>45767.54942129629</v>
      </c>
      <c r="C54" s="1" t="n">
        <v>45923</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12905-2025</t>
        </is>
      </c>
      <c r="B55" s="1" t="n">
        <v>45733</v>
      </c>
      <c r="C55" s="1" t="n">
        <v>45923</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12905-2025 artfynd.xlsx", "A 12905-2025")</f>
        <v/>
      </c>
      <c r="T55">
        <f>HYPERLINK("https://klasma.github.io/Logging_2083/kartor/A 12905-2025 karta.png", "A 12905-2025")</f>
        <v/>
      </c>
      <c r="U55">
        <f>HYPERLINK("https://klasma.github.io/Logging_2083/knärot/A 12905-2025 karta knärot.png", "A 12905-2025")</f>
        <v/>
      </c>
      <c r="V55">
        <f>HYPERLINK("https://klasma.github.io/Logging_2083/klagomål/A 12905-2025 FSC-klagomål.docx", "A 12905-2025")</f>
        <v/>
      </c>
      <c r="W55">
        <f>HYPERLINK("https://klasma.github.io/Logging_2083/klagomålsmail/A 12905-2025 FSC-klagomål mail.docx", "A 12905-2025")</f>
        <v/>
      </c>
      <c r="X55">
        <f>HYPERLINK("https://klasma.github.io/Logging_2083/tillsyn/A 12905-2025 tillsynsbegäran.docx", "A 12905-2025")</f>
        <v/>
      </c>
      <c r="Y55">
        <f>HYPERLINK("https://klasma.github.io/Logging_2083/tillsynsmail/A 12905-2025 tillsynsbegäran mail.docx", "A 12905-2025")</f>
        <v/>
      </c>
    </row>
    <row r="56" ht="15" customHeight="1">
      <c r="A56" t="inlineStr">
        <is>
          <t>A 41477-2023</t>
        </is>
      </c>
      <c r="B56" s="1" t="n">
        <v>45171</v>
      </c>
      <c r="C56" s="1" t="n">
        <v>45923</v>
      </c>
      <c r="D56" t="inlineStr">
        <is>
          <t>DALARNAS LÄN</t>
        </is>
      </c>
      <c r="E56" t="inlineStr">
        <is>
          <t>HEDEMORA</t>
        </is>
      </c>
      <c r="F56" t="inlineStr">
        <is>
          <t>Bergvik skog väst AB</t>
        </is>
      </c>
      <c r="G56" t="n">
        <v>9.1</v>
      </c>
      <c r="H56" t="n">
        <v>0</v>
      </c>
      <c r="I56" t="n">
        <v>1</v>
      </c>
      <c r="J56" t="n">
        <v>0</v>
      </c>
      <c r="K56" t="n">
        <v>0</v>
      </c>
      <c r="L56" t="n">
        <v>0</v>
      </c>
      <c r="M56" t="n">
        <v>0</v>
      </c>
      <c r="N56" t="n">
        <v>0</v>
      </c>
      <c r="O56" t="n">
        <v>0</v>
      </c>
      <c r="P56" t="n">
        <v>0</v>
      </c>
      <c r="Q56" t="n">
        <v>1</v>
      </c>
      <c r="R56" s="2" t="inlineStr">
        <is>
          <t>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52941-2024</t>
        </is>
      </c>
      <c r="B57" s="1" t="n">
        <v>45610.80650462963</v>
      </c>
      <c r="C57" s="1" t="n">
        <v>45923</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63542-2023</t>
        </is>
      </c>
      <c r="B58" s="1" t="n">
        <v>45275.32708333333</v>
      </c>
      <c r="C58" s="1" t="n">
        <v>45923</v>
      </c>
      <c r="D58" t="inlineStr">
        <is>
          <t>DALARNAS LÄN</t>
        </is>
      </c>
      <c r="E58" t="inlineStr">
        <is>
          <t>HEDEMORA</t>
        </is>
      </c>
      <c r="G58" t="n">
        <v>2.1</v>
      </c>
      <c r="H58" t="n">
        <v>1</v>
      </c>
      <c r="I58" t="n">
        <v>0</v>
      </c>
      <c r="J58" t="n">
        <v>1</v>
      </c>
      <c r="K58" t="n">
        <v>0</v>
      </c>
      <c r="L58" t="n">
        <v>0</v>
      </c>
      <c r="M58" t="n">
        <v>0</v>
      </c>
      <c r="N58" t="n">
        <v>0</v>
      </c>
      <c r="O58" t="n">
        <v>1</v>
      </c>
      <c r="P58" t="n">
        <v>0</v>
      </c>
      <c r="Q58" t="n">
        <v>1</v>
      </c>
      <c r="R58" s="2" t="inlineStr">
        <is>
          <t>Spillkråka</t>
        </is>
      </c>
      <c r="S58">
        <f>HYPERLINK("https://klasma.github.io/Logging_2083/artfynd/A 63542-2023 artfynd.xlsx", "A 63542-2023")</f>
        <v/>
      </c>
      <c r="T58">
        <f>HYPERLINK("https://klasma.github.io/Logging_2083/kartor/A 63542-2023 karta.png", "A 63542-2023")</f>
        <v/>
      </c>
      <c r="V58">
        <f>HYPERLINK("https://klasma.github.io/Logging_2083/klagomål/A 63542-2023 FSC-klagomål.docx", "A 63542-2023")</f>
        <v/>
      </c>
      <c r="W58">
        <f>HYPERLINK("https://klasma.github.io/Logging_2083/klagomålsmail/A 63542-2023 FSC-klagomål mail.docx", "A 63542-2023")</f>
        <v/>
      </c>
      <c r="X58">
        <f>HYPERLINK("https://klasma.github.io/Logging_2083/tillsyn/A 63542-2023 tillsynsbegäran.docx", "A 63542-2023")</f>
        <v/>
      </c>
      <c r="Y58">
        <f>HYPERLINK("https://klasma.github.io/Logging_2083/tillsynsmail/A 63542-2023 tillsynsbegäran mail.docx", "A 63542-2023")</f>
        <v/>
      </c>
      <c r="Z58">
        <f>HYPERLINK("https://klasma.github.io/Logging_2083/fåglar/A 63542-2023 prioriterade fågelarter.docx", "A 63542-2023")</f>
        <v/>
      </c>
    </row>
    <row r="59" ht="15" customHeight="1">
      <c r="A59" t="inlineStr">
        <is>
          <t>A 44598-2025</t>
        </is>
      </c>
      <c r="B59" s="1" t="n">
        <v>45917.43056712963</v>
      </c>
      <c r="C59" s="1" t="n">
        <v>45923</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45277-2025</t>
        </is>
      </c>
      <c r="B60" s="1" t="n">
        <v>45919.71271990741</v>
      </c>
      <c r="C60" s="1" t="n">
        <v>45923</v>
      </c>
      <c r="D60" t="inlineStr">
        <is>
          <t>DALARNAS LÄN</t>
        </is>
      </c>
      <c r="E60" t="inlineStr">
        <is>
          <t>HEDEMORA</t>
        </is>
      </c>
      <c r="G60" t="n">
        <v>6.9</v>
      </c>
      <c r="H60" t="n">
        <v>1</v>
      </c>
      <c r="I60" t="n">
        <v>0</v>
      </c>
      <c r="J60" t="n">
        <v>0</v>
      </c>
      <c r="K60" t="n">
        <v>1</v>
      </c>
      <c r="L60" t="n">
        <v>0</v>
      </c>
      <c r="M60" t="n">
        <v>0</v>
      </c>
      <c r="N60" t="n">
        <v>0</v>
      </c>
      <c r="O60" t="n">
        <v>1</v>
      </c>
      <c r="P60" t="n">
        <v>1</v>
      </c>
      <c r="Q60" t="n">
        <v>1</v>
      </c>
      <c r="R60" s="2" t="inlineStr">
        <is>
          <t>Knärot</t>
        </is>
      </c>
      <c r="S60">
        <f>HYPERLINK("https://klasma.github.io/Logging_2083/artfynd/A 45277-2025 artfynd.xlsx", "A 45277-2025")</f>
        <v/>
      </c>
      <c r="T60">
        <f>HYPERLINK("https://klasma.github.io/Logging_2083/kartor/A 45277-2025 karta.png", "A 45277-2025")</f>
        <v/>
      </c>
      <c r="U60">
        <f>HYPERLINK("https://klasma.github.io/Logging_2083/knärot/A 45277-2025 karta knärot.png", "A 45277-2025")</f>
        <v/>
      </c>
      <c r="V60">
        <f>HYPERLINK("https://klasma.github.io/Logging_2083/klagomål/A 45277-2025 FSC-klagomål.docx", "A 45277-2025")</f>
        <v/>
      </c>
      <c r="W60">
        <f>HYPERLINK("https://klasma.github.io/Logging_2083/klagomålsmail/A 45277-2025 FSC-klagomål mail.docx", "A 45277-2025")</f>
        <v/>
      </c>
      <c r="X60">
        <f>HYPERLINK("https://klasma.github.io/Logging_2083/tillsyn/A 45277-2025 tillsynsbegäran.docx", "A 45277-2025")</f>
        <v/>
      </c>
      <c r="Y60">
        <f>HYPERLINK("https://klasma.github.io/Logging_2083/tillsynsmail/A 45277-2025 tillsynsbegäran mail.docx", "A 45277-2025")</f>
        <v/>
      </c>
    </row>
    <row r="61" ht="15" customHeight="1">
      <c r="A61" t="inlineStr">
        <is>
          <t>A 13986-2023</t>
        </is>
      </c>
      <c r="B61" s="1" t="n">
        <v>45008</v>
      </c>
      <c r="C61" s="1" t="n">
        <v>45923</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42614-2024</t>
        </is>
      </c>
      <c r="B62" s="1" t="n">
        <v>45565</v>
      </c>
      <c r="C62" s="1" t="n">
        <v>45923</v>
      </c>
      <c r="D62" t="inlineStr">
        <is>
          <t>DALARNAS LÄN</t>
        </is>
      </c>
      <c r="E62" t="inlineStr">
        <is>
          <t>HEDEMORA</t>
        </is>
      </c>
      <c r="F62" t="inlineStr">
        <is>
          <t>Sveaskog</t>
        </is>
      </c>
      <c r="G62" t="n">
        <v>3</v>
      </c>
      <c r="H62" t="n">
        <v>1</v>
      </c>
      <c r="I62" t="n">
        <v>0</v>
      </c>
      <c r="J62" t="n">
        <v>1</v>
      </c>
      <c r="K62" t="n">
        <v>0</v>
      </c>
      <c r="L62" t="n">
        <v>0</v>
      </c>
      <c r="M62" t="n">
        <v>0</v>
      </c>
      <c r="N62" t="n">
        <v>0</v>
      </c>
      <c r="O62" t="n">
        <v>1</v>
      </c>
      <c r="P62" t="n">
        <v>0</v>
      </c>
      <c r="Q62" t="n">
        <v>1</v>
      </c>
      <c r="R62" s="2" t="inlineStr">
        <is>
          <t>Talltita</t>
        </is>
      </c>
      <c r="S62">
        <f>HYPERLINK("https://klasma.github.io/Logging_2083/artfynd/A 42614-2024 artfynd.xlsx", "A 42614-2024")</f>
        <v/>
      </c>
      <c r="T62">
        <f>HYPERLINK("https://klasma.github.io/Logging_2083/kartor/A 42614-2024 karta.png", "A 42614-2024")</f>
        <v/>
      </c>
      <c r="V62">
        <f>HYPERLINK("https://klasma.github.io/Logging_2083/klagomål/A 42614-2024 FSC-klagomål.docx", "A 42614-2024")</f>
        <v/>
      </c>
      <c r="W62">
        <f>HYPERLINK("https://klasma.github.io/Logging_2083/klagomålsmail/A 42614-2024 FSC-klagomål mail.docx", "A 42614-2024")</f>
        <v/>
      </c>
      <c r="X62">
        <f>HYPERLINK("https://klasma.github.io/Logging_2083/tillsyn/A 42614-2024 tillsynsbegäran.docx", "A 42614-2024")</f>
        <v/>
      </c>
      <c r="Y62">
        <f>HYPERLINK("https://klasma.github.io/Logging_2083/tillsynsmail/A 42614-2024 tillsynsbegäran mail.docx", "A 42614-2024")</f>
        <v/>
      </c>
      <c r="Z62">
        <f>HYPERLINK("https://klasma.github.io/Logging_2083/fåglar/A 42614-2024 prioriterade fågelarter.docx", "A 42614-2024")</f>
        <v/>
      </c>
    </row>
    <row r="63" ht="15" customHeight="1">
      <c r="A63" t="inlineStr">
        <is>
          <t>A 17590-2025</t>
        </is>
      </c>
      <c r="B63" s="1" t="n">
        <v>45757.69396990741</v>
      </c>
      <c r="C63" s="1" t="n">
        <v>45923</v>
      </c>
      <c r="D63" t="inlineStr">
        <is>
          <t>DALARNAS LÄN</t>
        </is>
      </c>
      <c r="E63" t="inlineStr">
        <is>
          <t>HEDEMORA</t>
        </is>
      </c>
      <c r="G63" t="n">
        <v>0.6</v>
      </c>
      <c r="H63" t="n">
        <v>0</v>
      </c>
      <c r="I63" t="n">
        <v>0</v>
      </c>
      <c r="J63" t="n">
        <v>1</v>
      </c>
      <c r="K63" t="n">
        <v>0</v>
      </c>
      <c r="L63" t="n">
        <v>0</v>
      </c>
      <c r="M63" t="n">
        <v>0</v>
      </c>
      <c r="N63" t="n">
        <v>0</v>
      </c>
      <c r="O63" t="n">
        <v>1</v>
      </c>
      <c r="P63" t="n">
        <v>0</v>
      </c>
      <c r="Q63" t="n">
        <v>1</v>
      </c>
      <c r="R63" s="2" t="inlineStr">
        <is>
          <t>Garnlav</t>
        </is>
      </c>
      <c r="S63">
        <f>HYPERLINK("https://klasma.github.io/Logging_2083/artfynd/A 17590-2025 artfynd.xlsx", "A 17590-2025")</f>
        <v/>
      </c>
      <c r="T63">
        <f>HYPERLINK("https://klasma.github.io/Logging_2083/kartor/A 17590-2025 karta.png", "A 17590-2025")</f>
        <v/>
      </c>
      <c r="V63">
        <f>HYPERLINK("https://klasma.github.io/Logging_2083/klagomål/A 17590-2025 FSC-klagomål.docx", "A 17590-2025")</f>
        <v/>
      </c>
      <c r="W63">
        <f>HYPERLINK("https://klasma.github.io/Logging_2083/klagomålsmail/A 17590-2025 FSC-klagomål mail.docx", "A 17590-2025")</f>
        <v/>
      </c>
      <c r="X63">
        <f>HYPERLINK("https://klasma.github.io/Logging_2083/tillsyn/A 17590-2025 tillsynsbegäran.docx", "A 17590-2025")</f>
        <v/>
      </c>
      <c r="Y63">
        <f>HYPERLINK("https://klasma.github.io/Logging_2083/tillsynsmail/A 17590-2025 tillsynsbegäran mail.docx", "A 17590-2025")</f>
        <v/>
      </c>
    </row>
    <row r="64" ht="15" customHeight="1">
      <c r="A64" t="inlineStr">
        <is>
          <t>A 51111-2021</t>
        </is>
      </c>
      <c r="B64" s="1" t="n">
        <v>44461</v>
      </c>
      <c r="C64" s="1" t="n">
        <v>45923</v>
      </c>
      <c r="D64" t="inlineStr">
        <is>
          <t>DALARNAS LÄN</t>
        </is>
      </c>
      <c r="E64" t="inlineStr">
        <is>
          <t>HEDEMORA</t>
        </is>
      </c>
      <c r="G64" t="n">
        <v>0.9</v>
      </c>
      <c r="H64" t="n">
        <v>1</v>
      </c>
      <c r="I64" t="n">
        <v>0</v>
      </c>
      <c r="J64" t="n">
        <v>0</v>
      </c>
      <c r="K64" t="n">
        <v>1</v>
      </c>
      <c r="L64" t="n">
        <v>0</v>
      </c>
      <c r="M64" t="n">
        <v>0</v>
      </c>
      <c r="N64" t="n">
        <v>0</v>
      </c>
      <c r="O64" t="n">
        <v>1</v>
      </c>
      <c r="P64" t="n">
        <v>1</v>
      </c>
      <c r="Q64" t="n">
        <v>1</v>
      </c>
      <c r="R64" s="2" t="inlineStr">
        <is>
          <t>Knärot</t>
        </is>
      </c>
      <c r="S64">
        <f>HYPERLINK("https://klasma.github.io/Logging_2083/artfynd/A 51111-2021 artfynd.xlsx", "A 51111-2021")</f>
        <v/>
      </c>
      <c r="T64">
        <f>HYPERLINK("https://klasma.github.io/Logging_2083/kartor/A 51111-2021 karta.png", "A 51111-2021")</f>
        <v/>
      </c>
      <c r="U64">
        <f>HYPERLINK("https://klasma.github.io/Logging_2083/knärot/A 51111-2021 karta knärot.png", "A 51111-2021")</f>
        <v/>
      </c>
      <c r="V64">
        <f>HYPERLINK("https://klasma.github.io/Logging_2083/klagomål/A 51111-2021 FSC-klagomål.docx", "A 51111-2021")</f>
        <v/>
      </c>
      <c r="W64">
        <f>HYPERLINK("https://klasma.github.io/Logging_2083/klagomålsmail/A 51111-2021 FSC-klagomål mail.docx", "A 51111-2021")</f>
        <v/>
      </c>
      <c r="X64">
        <f>HYPERLINK("https://klasma.github.io/Logging_2083/tillsyn/A 51111-2021 tillsynsbegäran.docx", "A 51111-2021")</f>
        <v/>
      </c>
      <c r="Y64">
        <f>HYPERLINK("https://klasma.github.io/Logging_2083/tillsynsmail/A 51111-2021 tillsynsbegäran mail.docx", "A 51111-2021")</f>
        <v/>
      </c>
    </row>
    <row r="65" ht="15" customHeight="1">
      <c r="A65" t="inlineStr">
        <is>
          <t>A 23815-2023</t>
        </is>
      </c>
      <c r="B65" s="1" t="n">
        <v>45078</v>
      </c>
      <c r="C65" s="1" t="n">
        <v>45923</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23815-2023 artfynd.xlsx", "A 23815-2023")</f>
        <v/>
      </c>
      <c r="T65">
        <f>HYPERLINK("https://klasma.github.io/Logging_2083/kartor/A 23815-2023 karta.png", "A 23815-2023")</f>
        <v/>
      </c>
      <c r="U65">
        <f>HYPERLINK("https://klasma.github.io/Logging_2083/knärot/A 23815-2023 karta knärot.png", "A 23815-2023")</f>
        <v/>
      </c>
      <c r="V65">
        <f>HYPERLINK("https://klasma.github.io/Logging_2083/klagomål/A 23815-2023 FSC-klagomål.docx", "A 23815-2023")</f>
        <v/>
      </c>
      <c r="W65">
        <f>HYPERLINK("https://klasma.github.io/Logging_2083/klagomålsmail/A 23815-2023 FSC-klagomål mail.docx", "A 23815-2023")</f>
        <v/>
      </c>
      <c r="X65">
        <f>HYPERLINK("https://klasma.github.io/Logging_2083/tillsyn/A 23815-2023 tillsynsbegäran.docx", "A 23815-2023")</f>
        <v/>
      </c>
      <c r="Y65">
        <f>HYPERLINK("https://klasma.github.io/Logging_2083/tillsynsmail/A 23815-2023 tillsynsbegäran mail.docx", "A 23815-2023")</f>
        <v/>
      </c>
    </row>
    <row r="66" ht="15" customHeight="1">
      <c r="A66" t="inlineStr">
        <is>
          <t>A 60017-2024</t>
        </is>
      </c>
      <c r="B66" s="1" t="n">
        <v>45642</v>
      </c>
      <c r="C66" s="1" t="n">
        <v>45923</v>
      </c>
      <c r="D66" t="inlineStr">
        <is>
          <t>DALARNAS LÄN</t>
        </is>
      </c>
      <c r="E66" t="inlineStr">
        <is>
          <t>HEDEMORA</t>
        </is>
      </c>
      <c r="F66" t="inlineStr">
        <is>
          <t>Sveaskog</t>
        </is>
      </c>
      <c r="G66" t="n">
        <v>0.5</v>
      </c>
      <c r="H66" t="n">
        <v>1</v>
      </c>
      <c r="I66" t="n">
        <v>0</v>
      </c>
      <c r="J66" t="n">
        <v>0</v>
      </c>
      <c r="K66" t="n">
        <v>1</v>
      </c>
      <c r="L66" t="n">
        <v>0</v>
      </c>
      <c r="M66" t="n">
        <v>0</v>
      </c>
      <c r="N66" t="n">
        <v>0</v>
      </c>
      <c r="O66" t="n">
        <v>1</v>
      </c>
      <c r="P66" t="n">
        <v>1</v>
      </c>
      <c r="Q66" t="n">
        <v>1</v>
      </c>
      <c r="R66" s="2" t="inlineStr">
        <is>
          <t>Knärot</t>
        </is>
      </c>
      <c r="S66">
        <f>HYPERLINK("https://klasma.github.io/Logging_2083/artfynd/A 60017-2024 artfynd.xlsx", "A 60017-2024")</f>
        <v/>
      </c>
      <c r="T66">
        <f>HYPERLINK("https://klasma.github.io/Logging_2083/kartor/A 60017-2024 karta.png", "A 60017-2024")</f>
        <v/>
      </c>
      <c r="U66">
        <f>HYPERLINK("https://klasma.github.io/Logging_2083/knärot/A 60017-2024 karta knärot.png", "A 60017-2024")</f>
        <v/>
      </c>
      <c r="V66">
        <f>HYPERLINK("https://klasma.github.io/Logging_2083/klagomål/A 60017-2024 FSC-klagomål.docx", "A 60017-2024")</f>
        <v/>
      </c>
      <c r="W66">
        <f>HYPERLINK("https://klasma.github.io/Logging_2083/klagomålsmail/A 60017-2024 FSC-klagomål mail.docx", "A 60017-2024")</f>
        <v/>
      </c>
      <c r="X66">
        <f>HYPERLINK("https://klasma.github.io/Logging_2083/tillsyn/A 60017-2024 tillsynsbegäran.docx", "A 60017-2024")</f>
        <v/>
      </c>
      <c r="Y66">
        <f>HYPERLINK("https://klasma.github.io/Logging_2083/tillsynsmail/A 60017-2024 tillsynsbegäran mail.docx", "A 60017-2024")</f>
        <v/>
      </c>
    </row>
    <row r="67" ht="15" customHeight="1">
      <c r="A67" t="inlineStr">
        <is>
          <t>A 28181-2025</t>
        </is>
      </c>
      <c r="B67" s="1" t="n">
        <v>45818.39921296296</v>
      </c>
      <c r="C67" s="1" t="n">
        <v>45923</v>
      </c>
      <c r="D67" t="inlineStr">
        <is>
          <t>DALARNAS LÄN</t>
        </is>
      </c>
      <c r="E67" t="inlineStr">
        <is>
          <t>HEDEMORA</t>
        </is>
      </c>
      <c r="F67" t="inlineStr">
        <is>
          <t>Sveaskog</t>
        </is>
      </c>
      <c r="G67" t="n">
        <v>2.4</v>
      </c>
      <c r="H67" t="n">
        <v>1</v>
      </c>
      <c r="I67" t="n">
        <v>1</v>
      </c>
      <c r="J67" t="n">
        <v>0</v>
      </c>
      <c r="K67" t="n">
        <v>0</v>
      </c>
      <c r="L67" t="n">
        <v>0</v>
      </c>
      <c r="M67" t="n">
        <v>0</v>
      </c>
      <c r="N67" t="n">
        <v>0</v>
      </c>
      <c r="O67" t="n">
        <v>0</v>
      </c>
      <c r="P67" t="n">
        <v>0</v>
      </c>
      <c r="Q67" t="n">
        <v>1</v>
      </c>
      <c r="R67" s="2" t="inlineStr">
        <is>
          <t>Plattlummer</t>
        </is>
      </c>
      <c r="S67">
        <f>HYPERLINK("https://klasma.github.io/Logging_2083/artfynd/A 28181-2025 artfynd.xlsx", "A 28181-2025")</f>
        <v/>
      </c>
      <c r="T67">
        <f>HYPERLINK("https://klasma.github.io/Logging_2083/kartor/A 28181-2025 karta.png", "A 28181-2025")</f>
        <v/>
      </c>
      <c r="V67">
        <f>HYPERLINK("https://klasma.github.io/Logging_2083/klagomål/A 28181-2025 FSC-klagomål.docx", "A 28181-2025")</f>
        <v/>
      </c>
      <c r="W67">
        <f>HYPERLINK("https://klasma.github.io/Logging_2083/klagomålsmail/A 28181-2025 FSC-klagomål mail.docx", "A 28181-2025")</f>
        <v/>
      </c>
      <c r="X67">
        <f>HYPERLINK("https://klasma.github.io/Logging_2083/tillsyn/A 28181-2025 tillsynsbegäran.docx", "A 28181-2025")</f>
        <v/>
      </c>
      <c r="Y67">
        <f>HYPERLINK("https://klasma.github.io/Logging_2083/tillsynsmail/A 28181-2025 tillsynsbegäran mail.docx", "A 28181-2025")</f>
        <v/>
      </c>
    </row>
    <row r="68" ht="15" customHeight="1">
      <c r="A68" t="inlineStr">
        <is>
          <t>A 53924-2024</t>
        </is>
      </c>
      <c r="B68" s="1" t="n">
        <v>45615</v>
      </c>
      <c r="C68" s="1" t="n">
        <v>45923</v>
      </c>
      <c r="D68" t="inlineStr">
        <is>
          <t>DALARNAS LÄN</t>
        </is>
      </c>
      <c r="E68" t="inlineStr">
        <is>
          <t>HEDEMORA</t>
        </is>
      </c>
      <c r="F68" t="inlineStr">
        <is>
          <t>Sveaskog</t>
        </is>
      </c>
      <c r="G68" t="n">
        <v>3.8</v>
      </c>
      <c r="H68" t="n">
        <v>1</v>
      </c>
      <c r="I68" t="n">
        <v>1</v>
      </c>
      <c r="J68" t="n">
        <v>0</v>
      </c>
      <c r="K68" t="n">
        <v>0</v>
      </c>
      <c r="L68" t="n">
        <v>0</v>
      </c>
      <c r="M68" t="n">
        <v>0</v>
      </c>
      <c r="N68" t="n">
        <v>0</v>
      </c>
      <c r="O68" t="n">
        <v>0</v>
      </c>
      <c r="P68" t="n">
        <v>0</v>
      </c>
      <c r="Q68" t="n">
        <v>1</v>
      </c>
      <c r="R68" s="2" t="inlineStr">
        <is>
          <t>Plattlummer</t>
        </is>
      </c>
      <c r="S68">
        <f>HYPERLINK("https://klasma.github.io/Logging_2083/artfynd/A 53924-2024 artfynd.xlsx", "A 53924-2024")</f>
        <v/>
      </c>
      <c r="T68">
        <f>HYPERLINK("https://klasma.github.io/Logging_2083/kartor/A 53924-2024 karta.png", "A 53924-2024")</f>
        <v/>
      </c>
      <c r="V68">
        <f>HYPERLINK("https://klasma.github.io/Logging_2083/klagomål/A 53924-2024 FSC-klagomål.docx", "A 53924-2024")</f>
        <v/>
      </c>
      <c r="W68">
        <f>HYPERLINK("https://klasma.github.io/Logging_2083/klagomålsmail/A 53924-2024 FSC-klagomål mail.docx", "A 53924-2024")</f>
        <v/>
      </c>
      <c r="X68">
        <f>HYPERLINK("https://klasma.github.io/Logging_2083/tillsyn/A 53924-2024 tillsynsbegäran.docx", "A 53924-2024")</f>
        <v/>
      </c>
      <c r="Y68">
        <f>HYPERLINK("https://klasma.github.io/Logging_2083/tillsynsmail/A 53924-2024 tillsynsbegäran mail.docx", "A 53924-2024")</f>
        <v/>
      </c>
    </row>
    <row r="69" ht="15" customHeight="1">
      <c r="A69" t="inlineStr">
        <is>
          <t>A 33968-2025</t>
        </is>
      </c>
      <c r="B69" s="1" t="n">
        <v>45842</v>
      </c>
      <c r="C69" s="1" t="n">
        <v>45923</v>
      </c>
      <c r="D69" t="inlineStr">
        <is>
          <t>DALARNAS LÄN</t>
        </is>
      </c>
      <c r="E69" t="inlineStr">
        <is>
          <t>HEDEMORA</t>
        </is>
      </c>
      <c r="F69" t="inlineStr">
        <is>
          <t>Sveaskog</t>
        </is>
      </c>
      <c r="G69" t="n">
        <v>1.6</v>
      </c>
      <c r="H69" t="n">
        <v>1</v>
      </c>
      <c r="I69" t="n">
        <v>1</v>
      </c>
      <c r="J69" t="n">
        <v>0</v>
      </c>
      <c r="K69" t="n">
        <v>0</v>
      </c>
      <c r="L69" t="n">
        <v>0</v>
      </c>
      <c r="M69" t="n">
        <v>0</v>
      </c>
      <c r="N69" t="n">
        <v>0</v>
      </c>
      <c r="O69" t="n">
        <v>0</v>
      </c>
      <c r="P69" t="n">
        <v>0</v>
      </c>
      <c r="Q69" t="n">
        <v>1</v>
      </c>
      <c r="R69" s="2" t="inlineStr">
        <is>
          <t>Plattlummer</t>
        </is>
      </c>
      <c r="S69">
        <f>HYPERLINK("https://klasma.github.io/Logging_2083/artfynd/A 33968-2025 artfynd.xlsx", "A 33968-2025")</f>
        <v/>
      </c>
      <c r="T69">
        <f>HYPERLINK("https://klasma.github.io/Logging_2083/kartor/A 33968-2025 karta.png", "A 33968-2025")</f>
        <v/>
      </c>
      <c r="V69">
        <f>HYPERLINK("https://klasma.github.io/Logging_2083/klagomål/A 33968-2025 FSC-klagomål.docx", "A 33968-2025")</f>
        <v/>
      </c>
      <c r="W69">
        <f>HYPERLINK("https://klasma.github.io/Logging_2083/klagomålsmail/A 33968-2025 FSC-klagomål mail.docx", "A 33968-2025")</f>
        <v/>
      </c>
      <c r="X69">
        <f>HYPERLINK("https://klasma.github.io/Logging_2083/tillsyn/A 33968-2025 tillsynsbegäran.docx", "A 33968-2025")</f>
        <v/>
      </c>
      <c r="Y69">
        <f>HYPERLINK("https://klasma.github.io/Logging_2083/tillsynsmail/A 33968-2025 tillsynsbegäran mail.docx", "A 33968-2025")</f>
        <v/>
      </c>
    </row>
    <row r="70" ht="15" customHeight="1">
      <c r="A70" t="inlineStr">
        <is>
          <t>A 15125-2021</t>
        </is>
      </c>
      <c r="B70" s="1" t="n">
        <v>44283</v>
      </c>
      <c r="C70" s="1" t="n">
        <v>45923</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45923</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45923</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45923</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45923</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45923</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45923</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45923</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45923</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45923</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35806-2022</t>
        </is>
      </c>
      <c r="B80" s="1" t="n">
        <v>44802</v>
      </c>
      <c r="C80" s="1" t="n">
        <v>45923</v>
      </c>
      <c r="D80" t="inlineStr">
        <is>
          <t>DALARNAS LÄN</t>
        </is>
      </c>
      <c r="E80" t="inlineStr">
        <is>
          <t>HEDEMORA</t>
        </is>
      </c>
      <c r="G80" t="n">
        <v>1.3</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45923</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15290-2021</t>
        </is>
      </c>
      <c r="B82" s="1" t="n">
        <v>44284.59565972222</v>
      </c>
      <c r="C82" s="1" t="n">
        <v>45923</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45923</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20177-2022</t>
        </is>
      </c>
      <c r="B84" s="1" t="n">
        <v>44698.52960648148</v>
      </c>
      <c r="C84" s="1" t="n">
        <v>45923</v>
      </c>
      <c r="D84" t="inlineStr">
        <is>
          <t>DALARNAS LÄN</t>
        </is>
      </c>
      <c r="E84" t="inlineStr">
        <is>
          <t>HEDEMORA</t>
        </is>
      </c>
      <c r="G84" t="n">
        <v>3.9</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45923</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45923</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45923</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45923</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45923</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45923</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45923</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45923</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45923</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45923</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45923</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45923</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45923</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45923</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45923</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45923</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45923</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45923</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1976-2022</t>
        </is>
      </c>
      <c r="B103" s="1" t="n">
        <v>44575.54618055555</v>
      </c>
      <c r="C103" s="1" t="n">
        <v>45923</v>
      </c>
      <c r="D103" t="inlineStr">
        <is>
          <t>DALARNAS LÄN</t>
        </is>
      </c>
      <c r="E103" t="inlineStr">
        <is>
          <t>HEDEMORA</t>
        </is>
      </c>
      <c r="G103" t="n">
        <v>3.2</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45923</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57779-2020</t>
        </is>
      </c>
      <c r="B105" s="1" t="n">
        <v>44141</v>
      </c>
      <c r="C105" s="1" t="n">
        <v>45923</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45923</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45923</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45923</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45923</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56668-2024</t>
        </is>
      </c>
      <c r="B110" s="1" t="n">
        <v>45626.41185185185</v>
      </c>
      <c r="C110" s="1" t="n">
        <v>45923</v>
      </c>
      <c r="D110" t="inlineStr">
        <is>
          <t>DALARNAS LÄN</t>
        </is>
      </c>
      <c r="E110" t="inlineStr">
        <is>
          <t>HEDEMORA</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29283-2022</t>
        </is>
      </c>
      <c r="B111" s="1" t="n">
        <v>44750.87045138889</v>
      </c>
      <c r="C111" s="1" t="n">
        <v>45923</v>
      </c>
      <c r="D111" t="inlineStr">
        <is>
          <t>DALARNAS LÄN</t>
        </is>
      </c>
      <c r="E111" t="inlineStr">
        <is>
          <t>HEDEMORA</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29284-2022</t>
        </is>
      </c>
      <c r="B112" s="1" t="n">
        <v>44750.87366898148</v>
      </c>
      <c r="C112" s="1" t="n">
        <v>45923</v>
      </c>
      <c r="D112" t="inlineStr">
        <is>
          <t>DALARNAS LÄN</t>
        </is>
      </c>
      <c r="E112" t="inlineStr">
        <is>
          <t>HEDEMORA</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45923</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45923</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45923</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45923</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44065-2021</t>
        </is>
      </c>
      <c r="B117" s="1" t="n">
        <v>44434</v>
      </c>
      <c r="C117" s="1" t="n">
        <v>45923</v>
      </c>
      <c r="D117" t="inlineStr">
        <is>
          <t>DALARNAS LÄN</t>
        </is>
      </c>
      <c r="E117" t="inlineStr">
        <is>
          <t>HEDEMORA</t>
        </is>
      </c>
      <c r="F117" t="inlineStr">
        <is>
          <t>Bergvik skog väst AB</t>
        </is>
      </c>
      <c r="G117" t="n">
        <v>9.1</v>
      </c>
      <c r="H117" t="n">
        <v>0</v>
      </c>
      <c r="I117" t="n">
        <v>0</v>
      </c>
      <c r="J117" t="n">
        <v>0</v>
      </c>
      <c r="K117" t="n">
        <v>0</v>
      </c>
      <c r="L117" t="n">
        <v>0</v>
      </c>
      <c r="M117" t="n">
        <v>0</v>
      </c>
      <c r="N117" t="n">
        <v>0</v>
      </c>
      <c r="O117" t="n">
        <v>0</v>
      </c>
      <c r="P117" t="n">
        <v>0</v>
      </c>
      <c r="Q117" t="n">
        <v>0</v>
      </c>
      <c r="R117" s="2" t="inlineStr"/>
    </row>
    <row r="118" ht="15" customHeight="1">
      <c r="A118" t="inlineStr">
        <is>
          <t>A 3527-2021</t>
        </is>
      </c>
      <c r="B118" s="1" t="n">
        <v>44218</v>
      </c>
      <c r="C118" s="1" t="n">
        <v>45923</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45923</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67282-2021</t>
        </is>
      </c>
      <c r="B120" s="1" t="n">
        <v>44523.6131712963</v>
      </c>
      <c r="C120" s="1" t="n">
        <v>45923</v>
      </c>
      <c r="D120" t="inlineStr">
        <is>
          <t>DALARNAS LÄN</t>
        </is>
      </c>
      <c r="E120" t="inlineStr">
        <is>
          <t>HEDEMORA</t>
        </is>
      </c>
      <c r="F120" t="inlineStr">
        <is>
          <t>Övriga Aktiebolag</t>
        </is>
      </c>
      <c r="G120" t="n">
        <v>3.2</v>
      </c>
      <c r="H120" t="n">
        <v>0</v>
      </c>
      <c r="I120" t="n">
        <v>0</v>
      </c>
      <c r="J120" t="n">
        <v>0</v>
      </c>
      <c r="K120" t="n">
        <v>0</v>
      </c>
      <c r="L120" t="n">
        <v>0</v>
      </c>
      <c r="M120" t="n">
        <v>0</v>
      </c>
      <c r="N120" t="n">
        <v>0</v>
      </c>
      <c r="O120" t="n">
        <v>0</v>
      </c>
      <c r="P120" t="n">
        <v>0</v>
      </c>
      <c r="Q120" t="n">
        <v>0</v>
      </c>
      <c r="R120" s="2" t="inlineStr"/>
    </row>
    <row r="121" ht="15" customHeight="1">
      <c r="A121" t="inlineStr">
        <is>
          <t>A 66064-2020</t>
        </is>
      </c>
      <c r="B121" s="1" t="n">
        <v>44175</v>
      </c>
      <c r="C121" s="1" t="n">
        <v>45923</v>
      </c>
      <c r="D121" t="inlineStr">
        <is>
          <t>DALARNAS LÄN</t>
        </is>
      </c>
      <c r="E121" t="inlineStr">
        <is>
          <t>HEDEMORA</t>
        </is>
      </c>
      <c r="G121" t="n">
        <v>1.7</v>
      </c>
      <c r="H121" t="n">
        <v>0</v>
      </c>
      <c r="I121" t="n">
        <v>0</v>
      </c>
      <c r="J121" t="n">
        <v>0</v>
      </c>
      <c r="K121" t="n">
        <v>0</v>
      </c>
      <c r="L121" t="n">
        <v>0</v>
      </c>
      <c r="M121" t="n">
        <v>0</v>
      </c>
      <c r="N121" t="n">
        <v>0</v>
      </c>
      <c r="O121" t="n">
        <v>0</v>
      </c>
      <c r="P121" t="n">
        <v>0</v>
      </c>
      <c r="Q121" t="n">
        <v>0</v>
      </c>
      <c r="R121" s="2" t="inlineStr"/>
    </row>
    <row r="122" ht="15" customHeight="1">
      <c r="A122" t="inlineStr">
        <is>
          <t>A 48639-2022</t>
        </is>
      </c>
      <c r="B122" s="1" t="n">
        <v>44859</v>
      </c>
      <c r="C122" s="1" t="n">
        <v>45923</v>
      </c>
      <c r="D122" t="inlineStr">
        <is>
          <t>DALARNAS LÄN</t>
        </is>
      </c>
      <c r="E122" t="inlineStr">
        <is>
          <t>HEDEMORA</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23934-2023</t>
        </is>
      </c>
      <c r="B123" s="1" t="n">
        <v>45078.59590277778</v>
      </c>
      <c r="C123" s="1" t="n">
        <v>45923</v>
      </c>
      <c r="D123" t="inlineStr">
        <is>
          <t>DALARNAS LÄN</t>
        </is>
      </c>
      <c r="E123" t="inlineStr">
        <is>
          <t>HEDEMORA</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58841-2023</t>
        </is>
      </c>
      <c r="B124" s="1" t="n">
        <v>45252.42115740741</v>
      </c>
      <c r="C124" s="1" t="n">
        <v>45923</v>
      </c>
      <c r="D124" t="inlineStr">
        <is>
          <t>DALARNAS LÄN</t>
        </is>
      </c>
      <c r="E124" t="inlineStr">
        <is>
          <t>HEDEMORA</t>
        </is>
      </c>
      <c r="G124" t="n">
        <v>14.8</v>
      </c>
      <c r="H124" t="n">
        <v>0</v>
      </c>
      <c r="I124" t="n">
        <v>0</v>
      </c>
      <c r="J124" t="n">
        <v>0</v>
      </c>
      <c r="K124" t="n">
        <v>0</v>
      </c>
      <c r="L124" t="n">
        <v>0</v>
      </c>
      <c r="M124" t="n">
        <v>0</v>
      </c>
      <c r="N124" t="n">
        <v>0</v>
      </c>
      <c r="O124" t="n">
        <v>0</v>
      </c>
      <c r="P124" t="n">
        <v>0</v>
      </c>
      <c r="Q124" t="n">
        <v>0</v>
      </c>
      <c r="R124" s="2" t="inlineStr"/>
    </row>
    <row r="125" ht="15" customHeight="1">
      <c r="A125" t="inlineStr">
        <is>
          <t>A 26452-2024</t>
        </is>
      </c>
      <c r="B125" s="1" t="n">
        <v>45469.51145833333</v>
      </c>
      <c r="C125" s="1" t="n">
        <v>45923</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39389-2025</t>
        </is>
      </c>
      <c r="B126" s="1" t="n">
        <v>45889.62181712963</v>
      </c>
      <c r="C126" s="1" t="n">
        <v>45923</v>
      </c>
      <c r="D126" t="inlineStr">
        <is>
          <t>DALARNAS LÄN</t>
        </is>
      </c>
      <c r="E126" t="inlineStr">
        <is>
          <t>HEDEMORA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39393-2025</t>
        </is>
      </c>
      <c r="B127" s="1" t="n">
        <v>45889.62287037037</v>
      </c>
      <c r="C127" s="1" t="n">
        <v>45923</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53586-2023</t>
        </is>
      </c>
      <c r="B128" s="1" t="n">
        <v>45230.52603009259</v>
      </c>
      <c r="C128" s="1" t="n">
        <v>45923</v>
      </c>
      <c r="D128" t="inlineStr">
        <is>
          <t>DALARNAS LÄN</t>
        </is>
      </c>
      <c r="E128" t="inlineStr">
        <is>
          <t>HEDEMORA</t>
        </is>
      </c>
      <c r="G128" t="n">
        <v>2.4</v>
      </c>
      <c r="H128" t="n">
        <v>0</v>
      </c>
      <c r="I128" t="n">
        <v>0</v>
      </c>
      <c r="J128" t="n">
        <v>0</v>
      </c>
      <c r="K128" t="n">
        <v>0</v>
      </c>
      <c r="L128" t="n">
        <v>0</v>
      </c>
      <c r="M128" t="n">
        <v>0</v>
      </c>
      <c r="N128" t="n">
        <v>0</v>
      </c>
      <c r="O128" t="n">
        <v>0</v>
      </c>
      <c r="P128" t="n">
        <v>0</v>
      </c>
      <c r="Q128" t="n">
        <v>0</v>
      </c>
      <c r="R128" s="2" t="inlineStr"/>
    </row>
    <row r="129" ht="15" customHeight="1">
      <c r="A129" t="inlineStr">
        <is>
          <t>A 37759-2024</t>
        </is>
      </c>
      <c r="B129" s="1" t="n">
        <v>45541</v>
      </c>
      <c r="C129" s="1" t="n">
        <v>45923</v>
      </c>
      <c r="D129" t="inlineStr">
        <is>
          <t>DALARNAS LÄN</t>
        </is>
      </c>
      <c r="E129" t="inlineStr">
        <is>
          <t>HEDEMORA</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21514-2024</t>
        </is>
      </c>
      <c r="B130" s="1" t="n">
        <v>45441.57538194444</v>
      </c>
      <c r="C130" s="1" t="n">
        <v>45923</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35103-2025</t>
        </is>
      </c>
      <c r="B131" s="1" t="n">
        <v>45852.56914351852</v>
      </c>
      <c r="C131" s="1" t="n">
        <v>45923</v>
      </c>
      <c r="D131" t="inlineStr">
        <is>
          <t>DALARNAS LÄN</t>
        </is>
      </c>
      <c r="E131" t="inlineStr">
        <is>
          <t>HEDEMORA</t>
        </is>
      </c>
      <c r="G131" t="n">
        <v>6.2</v>
      </c>
      <c r="H131" t="n">
        <v>0</v>
      </c>
      <c r="I131" t="n">
        <v>0</v>
      </c>
      <c r="J131" t="n">
        <v>0</v>
      </c>
      <c r="K131" t="n">
        <v>0</v>
      </c>
      <c r="L131" t="n">
        <v>0</v>
      </c>
      <c r="M131" t="n">
        <v>0</v>
      </c>
      <c r="N131" t="n">
        <v>0</v>
      </c>
      <c r="O131" t="n">
        <v>0</v>
      </c>
      <c r="P131" t="n">
        <v>0</v>
      </c>
      <c r="Q131" t="n">
        <v>0</v>
      </c>
      <c r="R131" s="2" t="inlineStr"/>
    </row>
    <row r="132" ht="15" customHeight="1">
      <c r="A132" t="inlineStr">
        <is>
          <t>A 44957-2021</t>
        </is>
      </c>
      <c r="B132" s="1" t="n">
        <v>44438.71809027778</v>
      </c>
      <c r="C132" s="1" t="n">
        <v>45923</v>
      </c>
      <c r="D132" t="inlineStr">
        <is>
          <t>DALARNAS LÄN</t>
        </is>
      </c>
      <c r="E132" t="inlineStr">
        <is>
          <t>HEDEMORA</t>
        </is>
      </c>
      <c r="F132" t="inlineStr">
        <is>
          <t>Sveaskog</t>
        </is>
      </c>
      <c r="G132" t="n">
        <v>4.5</v>
      </c>
      <c r="H132" t="n">
        <v>0</v>
      </c>
      <c r="I132" t="n">
        <v>0</v>
      </c>
      <c r="J132" t="n">
        <v>0</v>
      </c>
      <c r="K132" t="n">
        <v>0</v>
      </c>
      <c r="L132" t="n">
        <v>0</v>
      </c>
      <c r="M132" t="n">
        <v>0</v>
      </c>
      <c r="N132" t="n">
        <v>0</v>
      </c>
      <c r="O132" t="n">
        <v>0</v>
      </c>
      <c r="P132" t="n">
        <v>0</v>
      </c>
      <c r="Q132" t="n">
        <v>0</v>
      </c>
      <c r="R132" s="2" t="inlineStr"/>
    </row>
    <row r="133" ht="15" customHeight="1">
      <c r="A133" t="inlineStr">
        <is>
          <t>A 40919-2023</t>
        </is>
      </c>
      <c r="B133" s="1" t="n">
        <v>45173.42707175926</v>
      </c>
      <c r="C133" s="1" t="n">
        <v>45923</v>
      </c>
      <c r="D133" t="inlineStr">
        <is>
          <t>DALARNAS LÄN</t>
        </is>
      </c>
      <c r="E133" t="inlineStr">
        <is>
          <t>HEDEMORA</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45377-2024</t>
        </is>
      </c>
      <c r="B134" s="1" t="n">
        <v>45576.51962962963</v>
      </c>
      <c r="C134" s="1" t="n">
        <v>45923</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25643-2024</t>
        </is>
      </c>
      <c r="B135" s="1" t="n">
        <v>45463.66436342592</v>
      </c>
      <c r="C135" s="1" t="n">
        <v>45923</v>
      </c>
      <c r="D135" t="inlineStr">
        <is>
          <t>DALARNAS LÄN</t>
        </is>
      </c>
      <c r="E135" t="inlineStr">
        <is>
          <t>HEDEMORA</t>
        </is>
      </c>
      <c r="F135" t="inlineStr">
        <is>
          <t>Sveaskog</t>
        </is>
      </c>
      <c r="G135" t="n">
        <v>8</v>
      </c>
      <c r="H135" t="n">
        <v>0</v>
      </c>
      <c r="I135" t="n">
        <v>0</v>
      </c>
      <c r="J135" t="n">
        <v>0</v>
      </c>
      <c r="K135" t="n">
        <v>0</v>
      </c>
      <c r="L135" t="n">
        <v>0</v>
      </c>
      <c r="M135" t="n">
        <v>0</v>
      </c>
      <c r="N135" t="n">
        <v>0</v>
      </c>
      <c r="O135" t="n">
        <v>0</v>
      </c>
      <c r="P135" t="n">
        <v>0</v>
      </c>
      <c r="Q135" t="n">
        <v>0</v>
      </c>
      <c r="R135" s="2" t="inlineStr"/>
    </row>
    <row r="136" ht="15" customHeight="1">
      <c r="A136" t="inlineStr">
        <is>
          <t>A 6556-2023</t>
        </is>
      </c>
      <c r="B136" s="1" t="n">
        <v>44961</v>
      </c>
      <c r="C136" s="1" t="n">
        <v>45923</v>
      </c>
      <c r="D136" t="inlineStr">
        <is>
          <t>DALARNAS LÄN</t>
        </is>
      </c>
      <c r="E136" t="inlineStr">
        <is>
          <t>HEDEMORA</t>
        </is>
      </c>
      <c r="G136" t="n">
        <v>3.7</v>
      </c>
      <c r="H136" t="n">
        <v>0</v>
      </c>
      <c r="I136" t="n">
        <v>0</v>
      </c>
      <c r="J136" t="n">
        <v>0</v>
      </c>
      <c r="K136" t="n">
        <v>0</v>
      </c>
      <c r="L136" t="n">
        <v>0</v>
      </c>
      <c r="M136" t="n">
        <v>0</v>
      </c>
      <c r="N136" t="n">
        <v>0</v>
      </c>
      <c r="O136" t="n">
        <v>0</v>
      </c>
      <c r="P136" t="n">
        <v>0</v>
      </c>
      <c r="Q136" t="n">
        <v>0</v>
      </c>
      <c r="R136" s="2" t="inlineStr"/>
    </row>
    <row r="137" ht="15" customHeight="1">
      <c r="A137" t="inlineStr">
        <is>
          <t>A 20666-2024</t>
        </is>
      </c>
      <c r="B137" s="1" t="n">
        <v>45436</v>
      </c>
      <c r="C137" s="1" t="n">
        <v>45923</v>
      </c>
      <c r="D137" t="inlineStr">
        <is>
          <t>DALARNAS LÄN</t>
        </is>
      </c>
      <c r="E137" t="inlineStr">
        <is>
          <t>HEDEMORA</t>
        </is>
      </c>
      <c r="G137" t="n">
        <v>5.1</v>
      </c>
      <c r="H137" t="n">
        <v>0</v>
      </c>
      <c r="I137" t="n">
        <v>0</v>
      </c>
      <c r="J137" t="n">
        <v>0</v>
      </c>
      <c r="K137" t="n">
        <v>0</v>
      </c>
      <c r="L137" t="n">
        <v>0</v>
      </c>
      <c r="M137" t="n">
        <v>0</v>
      </c>
      <c r="N137" t="n">
        <v>0</v>
      </c>
      <c r="O137" t="n">
        <v>0</v>
      </c>
      <c r="P137" t="n">
        <v>0</v>
      </c>
      <c r="Q137" t="n">
        <v>0</v>
      </c>
      <c r="R137" s="2" t="inlineStr"/>
    </row>
    <row r="138" ht="15" customHeight="1">
      <c r="A138" t="inlineStr">
        <is>
          <t>A 39497-2022</t>
        </is>
      </c>
      <c r="B138" s="1" t="n">
        <v>44817</v>
      </c>
      <c r="C138" s="1" t="n">
        <v>45923</v>
      </c>
      <c r="D138" t="inlineStr">
        <is>
          <t>DALARNAS LÄN</t>
        </is>
      </c>
      <c r="E138" t="inlineStr">
        <is>
          <t>HEDEMORA</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55881-2023</t>
        </is>
      </c>
      <c r="B139" s="1" t="n">
        <v>45239</v>
      </c>
      <c r="C139" s="1" t="n">
        <v>45923</v>
      </c>
      <c r="D139" t="inlineStr">
        <is>
          <t>DALARNAS LÄN</t>
        </is>
      </c>
      <c r="E139" t="inlineStr">
        <is>
          <t>HEDEMORA</t>
        </is>
      </c>
      <c r="F139" t="inlineStr">
        <is>
          <t>Sveaskog</t>
        </is>
      </c>
      <c r="G139" t="n">
        <v>3.9</v>
      </c>
      <c r="H139" t="n">
        <v>0</v>
      </c>
      <c r="I139" t="n">
        <v>0</v>
      </c>
      <c r="J139" t="n">
        <v>0</v>
      </c>
      <c r="K139" t="n">
        <v>0</v>
      </c>
      <c r="L139" t="n">
        <v>0</v>
      </c>
      <c r="M139" t="n">
        <v>0</v>
      </c>
      <c r="N139" t="n">
        <v>0</v>
      </c>
      <c r="O139" t="n">
        <v>0</v>
      </c>
      <c r="P139" t="n">
        <v>0</v>
      </c>
      <c r="Q139" t="n">
        <v>0</v>
      </c>
      <c r="R139" s="2" t="inlineStr"/>
    </row>
    <row r="140" ht="15" customHeight="1">
      <c r="A140" t="inlineStr">
        <is>
          <t>A 40419-2025</t>
        </is>
      </c>
      <c r="B140" s="1" t="n">
        <v>45895.57958333333</v>
      </c>
      <c r="C140" s="1" t="n">
        <v>45923</v>
      </c>
      <c r="D140" t="inlineStr">
        <is>
          <t>DALARNAS LÄN</t>
        </is>
      </c>
      <c r="E140" t="inlineStr">
        <is>
          <t>HEDEMORA</t>
        </is>
      </c>
      <c r="G140" t="n">
        <v>3.1</v>
      </c>
      <c r="H140" t="n">
        <v>0</v>
      </c>
      <c r="I140" t="n">
        <v>0</v>
      </c>
      <c r="J140" t="n">
        <v>0</v>
      </c>
      <c r="K140" t="n">
        <v>0</v>
      </c>
      <c r="L140" t="n">
        <v>0</v>
      </c>
      <c r="M140" t="n">
        <v>0</v>
      </c>
      <c r="N140" t="n">
        <v>0</v>
      </c>
      <c r="O140" t="n">
        <v>0</v>
      </c>
      <c r="P140" t="n">
        <v>0</v>
      </c>
      <c r="Q140" t="n">
        <v>0</v>
      </c>
      <c r="R140" s="2" t="inlineStr"/>
    </row>
    <row r="141" ht="15" customHeight="1">
      <c r="A141" t="inlineStr">
        <is>
          <t>A 40421-2025</t>
        </is>
      </c>
      <c r="B141" s="1" t="n">
        <v>45895.58449074074</v>
      </c>
      <c r="C141" s="1" t="n">
        <v>45923</v>
      </c>
      <c r="D141" t="inlineStr">
        <is>
          <t>DALARNAS LÄN</t>
        </is>
      </c>
      <c r="E141" t="inlineStr">
        <is>
          <t>HEDEMORA</t>
        </is>
      </c>
      <c r="G141" t="n">
        <v>1.7</v>
      </c>
      <c r="H141" t="n">
        <v>0</v>
      </c>
      <c r="I141" t="n">
        <v>0</v>
      </c>
      <c r="J141" t="n">
        <v>0</v>
      </c>
      <c r="K141" t="n">
        <v>0</v>
      </c>
      <c r="L141" t="n">
        <v>0</v>
      </c>
      <c r="M141" t="n">
        <v>0</v>
      </c>
      <c r="N141" t="n">
        <v>0</v>
      </c>
      <c r="O141" t="n">
        <v>0</v>
      </c>
      <c r="P141" t="n">
        <v>0</v>
      </c>
      <c r="Q141" t="n">
        <v>0</v>
      </c>
      <c r="R141" s="2" t="inlineStr"/>
    </row>
    <row r="142" ht="15" customHeight="1">
      <c r="A142" t="inlineStr">
        <is>
          <t>A 1917-2022</t>
        </is>
      </c>
      <c r="B142" s="1" t="n">
        <v>44574</v>
      </c>
      <c r="C142" s="1" t="n">
        <v>45923</v>
      </c>
      <c r="D142" t="inlineStr">
        <is>
          <t>DALARNAS LÄN</t>
        </is>
      </c>
      <c r="E142" t="inlineStr">
        <is>
          <t>HEDEMORA</t>
        </is>
      </c>
      <c r="F142" t="inlineStr">
        <is>
          <t>Övriga Aktiebolag</t>
        </is>
      </c>
      <c r="G142" t="n">
        <v>1.4</v>
      </c>
      <c r="H142" t="n">
        <v>0</v>
      </c>
      <c r="I142" t="n">
        <v>0</v>
      </c>
      <c r="J142" t="n">
        <v>0</v>
      </c>
      <c r="K142" t="n">
        <v>0</v>
      </c>
      <c r="L142" t="n">
        <v>0</v>
      </c>
      <c r="M142" t="n">
        <v>0</v>
      </c>
      <c r="N142" t="n">
        <v>0</v>
      </c>
      <c r="O142" t="n">
        <v>0</v>
      </c>
      <c r="P142" t="n">
        <v>0</v>
      </c>
      <c r="Q142" t="n">
        <v>0</v>
      </c>
      <c r="R142" s="2" t="inlineStr"/>
    </row>
    <row r="143" ht="15" customHeight="1">
      <c r="A143" t="inlineStr">
        <is>
          <t>A 14953-2025</t>
        </is>
      </c>
      <c r="B143" s="1" t="n">
        <v>45743.5819675926</v>
      </c>
      <c r="C143" s="1" t="n">
        <v>45923</v>
      </c>
      <c r="D143" t="inlineStr">
        <is>
          <t>DALARNAS LÄN</t>
        </is>
      </c>
      <c r="E143" t="inlineStr">
        <is>
          <t>HEDEMORA</t>
        </is>
      </c>
      <c r="G143" t="n">
        <v>6.6</v>
      </c>
      <c r="H143" t="n">
        <v>0</v>
      </c>
      <c r="I143" t="n">
        <v>0</v>
      </c>
      <c r="J143" t="n">
        <v>0</v>
      </c>
      <c r="K143" t="n">
        <v>0</v>
      </c>
      <c r="L143" t="n">
        <v>0</v>
      </c>
      <c r="M143" t="n">
        <v>0</v>
      </c>
      <c r="N143" t="n">
        <v>0</v>
      </c>
      <c r="O143" t="n">
        <v>0</v>
      </c>
      <c r="P143" t="n">
        <v>0</v>
      </c>
      <c r="Q143" t="n">
        <v>0</v>
      </c>
      <c r="R143" s="2" t="inlineStr"/>
    </row>
    <row r="144" ht="15" customHeight="1">
      <c r="A144" t="inlineStr">
        <is>
          <t>A 40456-2025</t>
        </is>
      </c>
      <c r="B144" s="1" t="n">
        <v>45895.64342592593</v>
      </c>
      <c r="C144" s="1" t="n">
        <v>45923</v>
      </c>
      <c r="D144" t="inlineStr">
        <is>
          <t>DALARNAS LÄN</t>
        </is>
      </c>
      <c r="E144" t="inlineStr">
        <is>
          <t>HEDEMORA</t>
        </is>
      </c>
      <c r="F144" t="inlineStr">
        <is>
          <t>Bergvik skog väst AB</t>
        </is>
      </c>
      <c r="G144" t="n">
        <v>3.3</v>
      </c>
      <c r="H144" t="n">
        <v>0</v>
      </c>
      <c r="I144" t="n">
        <v>0</v>
      </c>
      <c r="J144" t="n">
        <v>0</v>
      </c>
      <c r="K144" t="n">
        <v>0</v>
      </c>
      <c r="L144" t="n">
        <v>0</v>
      </c>
      <c r="M144" t="n">
        <v>0</v>
      </c>
      <c r="N144" t="n">
        <v>0</v>
      </c>
      <c r="O144" t="n">
        <v>0</v>
      </c>
      <c r="P144" t="n">
        <v>0</v>
      </c>
      <c r="Q144" t="n">
        <v>0</v>
      </c>
      <c r="R144" s="2" t="inlineStr"/>
    </row>
    <row r="145" ht="15" customHeight="1">
      <c r="A145" t="inlineStr">
        <is>
          <t>A 15048-2025</t>
        </is>
      </c>
      <c r="B145" s="1" t="n">
        <v>45743.69820601852</v>
      </c>
      <c r="C145" s="1" t="n">
        <v>45923</v>
      </c>
      <c r="D145" t="inlineStr">
        <is>
          <t>DALARNAS LÄN</t>
        </is>
      </c>
      <c r="E145" t="inlineStr">
        <is>
          <t>HEDEMORA</t>
        </is>
      </c>
      <c r="F145" t="inlineStr">
        <is>
          <t>Sveaskog</t>
        </is>
      </c>
      <c r="G145" t="n">
        <v>9.1</v>
      </c>
      <c r="H145" t="n">
        <v>0</v>
      </c>
      <c r="I145" t="n">
        <v>0</v>
      </c>
      <c r="J145" t="n">
        <v>0</v>
      </c>
      <c r="K145" t="n">
        <v>0</v>
      </c>
      <c r="L145" t="n">
        <v>0</v>
      </c>
      <c r="M145" t="n">
        <v>0</v>
      </c>
      <c r="N145" t="n">
        <v>0</v>
      </c>
      <c r="O145" t="n">
        <v>0</v>
      </c>
      <c r="P145" t="n">
        <v>0</v>
      </c>
      <c r="Q145" t="n">
        <v>0</v>
      </c>
      <c r="R145" s="2" t="inlineStr"/>
    </row>
    <row r="146" ht="15" customHeight="1">
      <c r="A146" t="inlineStr">
        <is>
          <t>A 6441-2021</t>
        </is>
      </c>
      <c r="B146" s="1" t="n">
        <v>44235</v>
      </c>
      <c r="C146" s="1" t="n">
        <v>45923</v>
      </c>
      <c r="D146" t="inlineStr">
        <is>
          <t>DALARNAS LÄN</t>
        </is>
      </c>
      <c r="E146" t="inlineStr">
        <is>
          <t>HEDEMORA</t>
        </is>
      </c>
      <c r="G146" t="n">
        <v>0.7</v>
      </c>
      <c r="H146" t="n">
        <v>0</v>
      </c>
      <c r="I146" t="n">
        <v>0</v>
      </c>
      <c r="J146" t="n">
        <v>0</v>
      </c>
      <c r="K146" t="n">
        <v>0</v>
      </c>
      <c r="L146" t="n">
        <v>0</v>
      </c>
      <c r="M146" t="n">
        <v>0</v>
      </c>
      <c r="N146" t="n">
        <v>0</v>
      </c>
      <c r="O146" t="n">
        <v>0</v>
      </c>
      <c r="P146" t="n">
        <v>0</v>
      </c>
      <c r="Q146" t="n">
        <v>0</v>
      </c>
      <c r="R146" s="2" t="inlineStr"/>
    </row>
    <row r="147" ht="15" customHeight="1">
      <c r="A147" t="inlineStr">
        <is>
          <t>A 1973-2022</t>
        </is>
      </c>
      <c r="B147" s="1" t="n">
        <v>44575</v>
      </c>
      <c r="C147" s="1" t="n">
        <v>45923</v>
      </c>
      <c r="D147" t="inlineStr">
        <is>
          <t>DALARNAS LÄN</t>
        </is>
      </c>
      <c r="E147" t="inlineStr">
        <is>
          <t>HEDEMORA</t>
        </is>
      </c>
      <c r="G147" t="n">
        <v>1.2</v>
      </c>
      <c r="H147" t="n">
        <v>0</v>
      </c>
      <c r="I147" t="n">
        <v>0</v>
      </c>
      <c r="J147" t="n">
        <v>0</v>
      </c>
      <c r="K147" t="n">
        <v>0</v>
      </c>
      <c r="L147" t="n">
        <v>0</v>
      </c>
      <c r="M147" t="n">
        <v>0</v>
      </c>
      <c r="N147" t="n">
        <v>0</v>
      </c>
      <c r="O147" t="n">
        <v>0</v>
      </c>
      <c r="P147" t="n">
        <v>0</v>
      </c>
      <c r="Q147" t="n">
        <v>0</v>
      </c>
      <c r="R147" s="2" t="inlineStr"/>
    </row>
    <row r="148" ht="15" customHeight="1">
      <c r="A148" t="inlineStr">
        <is>
          <t>A 49636-2021</t>
        </is>
      </c>
      <c r="B148" s="1" t="n">
        <v>44455</v>
      </c>
      <c r="C148" s="1" t="n">
        <v>45923</v>
      </c>
      <c r="D148" t="inlineStr">
        <is>
          <t>DALARNAS LÄN</t>
        </is>
      </c>
      <c r="E148" t="inlineStr">
        <is>
          <t>HEDEMORA</t>
        </is>
      </c>
      <c r="G148" t="n">
        <v>1.3</v>
      </c>
      <c r="H148" t="n">
        <v>0</v>
      </c>
      <c r="I148" t="n">
        <v>0</v>
      </c>
      <c r="J148" t="n">
        <v>0</v>
      </c>
      <c r="K148" t="n">
        <v>0</v>
      </c>
      <c r="L148" t="n">
        <v>0</v>
      </c>
      <c r="M148" t="n">
        <v>0</v>
      </c>
      <c r="N148" t="n">
        <v>0</v>
      </c>
      <c r="O148" t="n">
        <v>0</v>
      </c>
      <c r="P148" t="n">
        <v>0</v>
      </c>
      <c r="Q148" t="n">
        <v>0</v>
      </c>
      <c r="R148" s="2" t="inlineStr"/>
    </row>
    <row r="149" ht="15" customHeight="1">
      <c r="A149" t="inlineStr">
        <is>
          <t>A 59632-2023</t>
        </is>
      </c>
      <c r="B149" s="1" t="n">
        <v>45254</v>
      </c>
      <c r="C149" s="1" t="n">
        <v>45923</v>
      </c>
      <c r="D149" t="inlineStr">
        <is>
          <t>DALARNAS LÄN</t>
        </is>
      </c>
      <c r="E149" t="inlineStr">
        <is>
          <t>HEDEMORA</t>
        </is>
      </c>
      <c r="G149" t="n">
        <v>1.4</v>
      </c>
      <c r="H149" t="n">
        <v>0</v>
      </c>
      <c r="I149" t="n">
        <v>0</v>
      </c>
      <c r="J149" t="n">
        <v>0</v>
      </c>
      <c r="K149" t="n">
        <v>0</v>
      </c>
      <c r="L149" t="n">
        <v>0</v>
      </c>
      <c r="M149" t="n">
        <v>0</v>
      </c>
      <c r="N149" t="n">
        <v>0</v>
      </c>
      <c r="O149" t="n">
        <v>0</v>
      </c>
      <c r="P149" t="n">
        <v>0</v>
      </c>
      <c r="Q149" t="n">
        <v>0</v>
      </c>
      <c r="R149" s="2" t="inlineStr"/>
    </row>
    <row r="150" ht="15" customHeight="1">
      <c r="A150" t="inlineStr">
        <is>
          <t>A 25645-2024</t>
        </is>
      </c>
      <c r="B150" s="1" t="n">
        <v>45463.66520833333</v>
      </c>
      <c r="C150" s="1" t="n">
        <v>45923</v>
      </c>
      <c r="D150" t="inlineStr">
        <is>
          <t>DALARNAS LÄN</t>
        </is>
      </c>
      <c r="E150" t="inlineStr">
        <is>
          <t>HEDEMORA</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32738-2022</t>
        </is>
      </c>
      <c r="B151" s="1" t="n">
        <v>44783.68931712963</v>
      </c>
      <c r="C151" s="1" t="n">
        <v>45923</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15054-2025</t>
        </is>
      </c>
      <c r="B152" s="1" t="n">
        <v>45743.70199074074</v>
      </c>
      <c r="C152" s="1" t="n">
        <v>45923</v>
      </c>
      <c r="D152" t="inlineStr">
        <is>
          <t>DALARNAS LÄN</t>
        </is>
      </c>
      <c r="E152" t="inlineStr">
        <is>
          <t>HEDEMORA</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60475-2022</t>
        </is>
      </c>
      <c r="B153" s="1" t="n">
        <v>44911.41222222222</v>
      </c>
      <c r="C153" s="1" t="n">
        <v>45923</v>
      </c>
      <c r="D153" t="inlineStr">
        <is>
          <t>DALARNAS LÄN</t>
        </is>
      </c>
      <c r="E153" t="inlineStr">
        <is>
          <t>HEDEMORA</t>
        </is>
      </c>
      <c r="G153" t="n">
        <v>1</v>
      </c>
      <c r="H153" t="n">
        <v>0</v>
      </c>
      <c r="I153" t="n">
        <v>0</v>
      </c>
      <c r="J153" t="n">
        <v>0</v>
      </c>
      <c r="K153" t="n">
        <v>0</v>
      </c>
      <c r="L153" t="n">
        <v>0</v>
      </c>
      <c r="M153" t="n">
        <v>0</v>
      </c>
      <c r="N153" t="n">
        <v>0</v>
      </c>
      <c r="O153" t="n">
        <v>0</v>
      </c>
      <c r="P153" t="n">
        <v>0</v>
      </c>
      <c r="Q153" t="n">
        <v>0</v>
      </c>
      <c r="R153" s="2" t="inlineStr"/>
    </row>
    <row r="154" ht="15" customHeight="1">
      <c r="A154" t="inlineStr">
        <is>
          <t>A 30205-2022</t>
        </is>
      </c>
      <c r="B154" s="1" t="n">
        <v>44757.74415509259</v>
      </c>
      <c r="C154" s="1" t="n">
        <v>45923</v>
      </c>
      <c r="D154" t="inlineStr">
        <is>
          <t>DALARNAS LÄN</t>
        </is>
      </c>
      <c r="E154" t="inlineStr">
        <is>
          <t>HEDEMORA</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54310-2021</t>
        </is>
      </c>
      <c r="B155" s="1" t="n">
        <v>44472.54035879629</v>
      </c>
      <c r="C155" s="1" t="n">
        <v>45923</v>
      </c>
      <c r="D155" t="inlineStr">
        <is>
          <t>DALARNAS LÄN</t>
        </is>
      </c>
      <c r="E155" t="inlineStr">
        <is>
          <t>HEDEMORA</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63908-2021</t>
        </is>
      </c>
      <c r="B156" s="1" t="n">
        <v>44509.6580787037</v>
      </c>
      <c r="C156" s="1" t="n">
        <v>45923</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54423-2023</t>
        </is>
      </c>
      <c r="B157" s="1" t="n">
        <v>45233.41666666666</v>
      </c>
      <c r="C157" s="1" t="n">
        <v>45923</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42510-2025</t>
        </is>
      </c>
      <c r="B158" s="1" t="n">
        <v>45905.54068287037</v>
      </c>
      <c r="C158" s="1" t="n">
        <v>45923</v>
      </c>
      <c r="D158" t="inlineStr">
        <is>
          <t>DALARNAS LÄN</t>
        </is>
      </c>
      <c r="E158" t="inlineStr">
        <is>
          <t>HEDEMORA</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36117-2025</t>
        </is>
      </c>
      <c r="B159" s="1" t="n">
        <v>45866.58664351852</v>
      </c>
      <c r="C159" s="1" t="n">
        <v>45923</v>
      </c>
      <c r="D159" t="inlineStr">
        <is>
          <t>DALARNAS LÄN</t>
        </is>
      </c>
      <c r="E159" t="inlineStr">
        <is>
          <t>HEDEMORA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42645-2025</t>
        </is>
      </c>
      <c r="B160" s="1" t="n">
        <v>45906.40199074074</v>
      </c>
      <c r="C160" s="1" t="n">
        <v>45923</v>
      </c>
      <c r="D160" t="inlineStr">
        <is>
          <t>DALARNAS LÄN</t>
        </is>
      </c>
      <c r="E160" t="inlineStr">
        <is>
          <t>HEDEMORA</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36103-2025</t>
        </is>
      </c>
      <c r="B161" s="1" t="n">
        <v>45866.55335648148</v>
      </c>
      <c r="C161" s="1" t="n">
        <v>45923</v>
      </c>
      <c r="D161" t="inlineStr">
        <is>
          <t>DALARNAS LÄN</t>
        </is>
      </c>
      <c r="E161" t="inlineStr">
        <is>
          <t>HEDEMORA</t>
        </is>
      </c>
      <c r="G161" t="n">
        <v>2.3</v>
      </c>
      <c r="H161" t="n">
        <v>0</v>
      </c>
      <c r="I161" t="n">
        <v>0</v>
      </c>
      <c r="J161" t="n">
        <v>0</v>
      </c>
      <c r="K161" t="n">
        <v>0</v>
      </c>
      <c r="L161" t="n">
        <v>0</v>
      </c>
      <c r="M161" t="n">
        <v>0</v>
      </c>
      <c r="N161" t="n">
        <v>0</v>
      </c>
      <c r="O161" t="n">
        <v>0</v>
      </c>
      <c r="P161" t="n">
        <v>0</v>
      </c>
      <c r="Q161" t="n">
        <v>0</v>
      </c>
      <c r="R161" s="2" t="inlineStr"/>
    </row>
    <row r="162" ht="15" customHeight="1">
      <c r="A162" t="inlineStr">
        <is>
          <t>A 36075-2025</t>
        </is>
      </c>
      <c r="B162" s="1" t="n">
        <v>45866.43974537037</v>
      </c>
      <c r="C162" s="1" t="n">
        <v>45923</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31365-2024</t>
        </is>
      </c>
      <c r="B163" s="1" t="n">
        <v>45505.37086805556</v>
      </c>
      <c r="C163" s="1" t="n">
        <v>45923</v>
      </c>
      <c r="D163" t="inlineStr">
        <is>
          <t>DALARNAS LÄN</t>
        </is>
      </c>
      <c r="E163" t="inlineStr">
        <is>
          <t>HEDEMORA</t>
        </is>
      </c>
      <c r="G163" t="n">
        <v>0.4</v>
      </c>
      <c r="H163" t="n">
        <v>0</v>
      </c>
      <c r="I163" t="n">
        <v>0</v>
      </c>
      <c r="J163" t="n">
        <v>0</v>
      </c>
      <c r="K163" t="n">
        <v>0</v>
      </c>
      <c r="L163" t="n">
        <v>0</v>
      </c>
      <c r="M163" t="n">
        <v>0</v>
      </c>
      <c r="N163" t="n">
        <v>0</v>
      </c>
      <c r="O163" t="n">
        <v>0</v>
      </c>
      <c r="P163" t="n">
        <v>0</v>
      </c>
      <c r="Q163" t="n">
        <v>0</v>
      </c>
      <c r="R163" s="2" t="inlineStr"/>
    </row>
    <row r="164" ht="15" customHeight="1">
      <c r="A164" t="inlineStr">
        <is>
          <t>A 26449-2024</t>
        </is>
      </c>
      <c r="B164" s="1" t="n">
        <v>45469.50783564815</v>
      </c>
      <c r="C164" s="1" t="n">
        <v>45923</v>
      </c>
      <c r="D164" t="inlineStr">
        <is>
          <t>DALARNAS LÄN</t>
        </is>
      </c>
      <c r="E164" t="inlineStr">
        <is>
          <t>HEDEMORA</t>
        </is>
      </c>
      <c r="G164" t="n">
        <v>4.5</v>
      </c>
      <c r="H164" t="n">
        <v>0</v>
      </c>
      <c r="I164" t="n">
        <v>0</v>
      </c>
      <c r="J164" t="n">
        <v>0</v>
      </c>
      <c r="K164" t="n">
        <v>0</v>
      </c>
      <c r="L164" t="n">
        <v>0</v>
      </c>
      <c r="M164" t="n">
        <v>0</v>
      </c>
      <c r="N164" t="n">
        <v>0</v>
      </c>
      <c r="O164" t="n">
        <v>0</v>
      </c>
      <c r="P164" t="n">
        <v>0</v>
      </c>
      <c r="Q164" t="n">
        <v>0</v>
      </c>
      <c r="R164" s="2" t="inlineStr"/>
    </row>
    <row r="165" ht="15" customHeight="1">
      <c r="A165" t="inlineStr">
        <is>
          <t>A 24486-2024</t>
        </is>
      </c>
      <c r="B165" s="1" t="n">
        <v>45459.62336805555</v>
      </c>
      <c r="C165" s="1" t="n">
        <v>45923</v>
      </c>
      <c r="D165" t="inlineStr">
        <is>
          <t>DALARNAS LÄN</t>
        </is>
      </c>
      <c r="E165" t="inlineStr">
        <is>
          <t>HEDEMORA</t>
        </is>
      </c>
      <c r="G165" t="n">
        <v>0.3</v>
      </c>
      <c r="H165" t="n">
        <v>0</v>
      </c>
      <c r="I165" t="n">
        <v>0</v>
      </c>
      <c r="J165" t="n">
        <v>0</v>
      </c>
      <c r="K165" t="n">
        <v>0</v>
      </c>
      <c r="L165" t="n">
        <v>0</v>
      </c>
      <c r="M165" t="n">
        <v>0</v>
      </c>
      <c r="N165" t="n">
        <v>0</v>
      </c>
      <c r="O165" t="n">
        <v>0</v>
      </c>
      <c r="P165" t="n">
        <v>0</v>
      </c>
      <c r="Q165" t="n">
        <v>0</v>
      </c>
      <c r="R165" s="2" t="inlineStr"/>
    </row>
    <row r="166" ht="15" customHeight="1">
      <c r="A166" t="inlineStr">
        <is>
          <t>A 36206-2025</t>
        </is>
      </c>
      <c r="B166" s="1" t="n">
        <v>45867.45057870371</v>
      </c>
      <c r="C166" s="1" t="n">
        <v>45923</v>
      </c>
      <c r="D166" t="inlineStr">
        <is>
          <t>DALARNAS LÄN</t>
        </is>
      </c>
      <c r="E166" t="inlineStr">
        <is>
          <t>HEDEMORA</t>
        </is>
      </c>
      <c r="G166" t="n">
        <v>0.1</v>
      </c>
      <c r="H166" t="n">
        <v>0</v>
      </c>
      <c r="I166" t="n">
        <v>0</v>
      </c>
      <c r="J166" t="n">
        <v>0</v>
      </c>
      <c r="K166" t="n">
        <v>0</v>
      </c>
      <c r="L166" t="n">
        <v>0</v>
      </c>
      <c r="M166" t="n">
        <v>0</v>
      </c>
      <c r="N166" t="n">
        <v>0</v>
      </c>
      <c r="O166" t="n">
        <v>0</v>
      </c>
      <c r="P166" t="n">
        <v>0</v>
      </c>
      <c r="Q166" t="n">
        <v>0</v>
      </c>
      <c r="R166" s="2" t="inlineStr"/>
    </row>
    <row r="167" ht="15" customHeight="1">
      <c r="A167" t="inlineStr">
        <is>
          <t>A 43193-2025</t>
        </is>
      </c>
      <c r="B167" s="1" t="n">
        <v>45910.42417824074</v>
      </c>
      <c r="C167" s="1" t="n">
        <v>45923</v>
      </c>
      <c r="D167" t="inlineStr">
        <is>
          <t>DALARNAS LÄN</t>
        </is>
      </c>
      <c r="E167" t="inlineStr">
        <is>
          <t>HEDEMORA</t>
        </is>
      </c>
      <c r="G167" t="n">
        <v>3.9</v>
      </c>
      <c r="H167" t="n">
        <v>0</v>
      </c>
      <c r="I167" t="n">
        <v>0</v>
      </c>
      <c r="J167" t="n">
        <v>0</v>
      </c>
      <c r="K167" t="n">
        <v>0</v>
      </c>
      <c r="L167" t="n">
        <v>0</v>
      </c>
      <c r="M167" t="n">
        <v>0</v>
      </c>
      <c r="N167" t="n">
        <v>0</v>
      </c>
      <c r="O167" t="n">
        <v>0</v>
      </c>
      <c r="P167" t="n">
        <v>0</v>
      </c>
      <c r="Q167" t="n">
        <v>0</v>
      </c>
      <c r="R167" s="2" t="inlineStr"/>
    </row>
    <row r="168" ht="15" customHeight="1">
      <c r="A168" t="inlineStr">
        <is>
          <t>A 25155-2023</t>
        </is>
      </c>
      <c r="B168" s="1" t="n">
        <v>45086</v>
      </c>
      <c r="C168" s="1" t="n">
        <v>45923</v>
      </c>
      <c r="D168" t="inlineStr">
        <is>
          <t>DALARNAS LÄN</t>
        </is>
      </c>
      <c r="E168" t="inlineStr">
        <is>
          <t>HEDEMORA</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25150-2023</t>
        </is>
      </c>
      <c r="B169" s="1" t="n">
        <v>45086</v>
      </c>
      <c r="C169" s="1" t="n">
        <v>45923</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31825-2024</t>
        </is>
      </c>
      <c r="B170" s="1" t="n">
        <v>45509.60949074074</v>
      </c>
      <c r="C170" s="1" t="n">
        <v>45923</v>
      </c>
      <c r="D170" t="inlineStr">
        <is>
          <t>DALARNAS LÄN</t>
        </is>
      </c>
      <c r="E170" t="inlineStr">
        <is>
          <t>HEDEMORA</t>
        </is>
      </c>
      <c r="G170" t="n">
        <v>0.1</v>
      </c>
      <c r="H170" t="n">
        <v>0</v>
      </c>
      <c r="I170" t="n">
        <v>0</v>
      </c>
      <c r="J170" t="n">
        <v>0</v>
      </c>
      <c r="K170" t="n">
        <v>0</v>
      </c>
      <c r="L170" t="n">
        <v>0</v>
      </c>
      <c r="M170" t="n">
        <v>0</v>
      </c>
      <c r="N170" t="n">
        <v>0</v>
      </c>
      <c r="O170" t="n">
        <v>0</v>
      </c>
      <c r="P170" t="n">
        <v>0</v>
      </c>
      <c r="Q170" t="n">
        <v>0</v>
      </c>
      <c r="R170" s="2" t="inlineStr"/>
    </row>
    <row r="171" ht="15" customHeight="1">
      <c r="A171" t="inlineStr">
        <is>
          <t>A 41523-2023</t>
        </is>
      </c>
      <c r="B171" s="1" t="n">
        <v>45172</v>
      </c>
      <c r="C171" s="1" t="n">
        <v>45923</v>
      </c>
      <c r="D171" t="inlineStr">
        <is>
          <t>DALARNAS LÄN</t>
        </is>
      </c>
      <c r="E171" t="inlineStr">
        <is>
          <t>HEDEMORA</t>
        </is>
      </c>
      <c r="F171" t="inlineStr">
        <is>
          <t>Bergvik skog väst AB</t>
        </is>
      </c>
      <c r="G171" t="n">
        <v>3.7</v>
      </c>
      <c r="H171" t="n">
        <v>0</v>
      </c>
      <c r="I171" t="n">
        <v>0</v>
      </c>
      <c r="J171" t="n">
        <v>0</v>
      </c>
      <c r="K171" t="n">
        <v>0</v>
      </c>
      <c r="L171" t="n">
        <v>0</v>
      </c>
      <c r="M171" t="n">
        <v>0</v>
      </c>
      <c r="N171" t="n">
        <v>0</v>
      </c>
      <c r="O171" t="n">
        <v>0</v>
      </c>
      <c r="P171" t="n">
        <v>0</v>
      </c>
      <c r="Q171" t="n">
        <v>0</v>
      </c>
      <c r="R171" s="2" t="inlineStr"/>
    </row>
    <row r="172" ht="15" customHeight="1">
      <c r="A172" t="inlineStr">
        <is>
          <t>A 30572-2021</t>
        </is>
      </c>
      <c r="B172" s="1" t="n">
        <v>44364.83369212963</v>
      </c>
      <c r="C172" s="1" t="n">
        <v>45923</v>
      </c>
      <c r="D172" t="inlineStr">
        <is>
          <t>DALARNAS LÄN</t>
        </is>
      </c>
      <c r="E172" t="inlineStr">
        <is>
          <t>HEDEMORA</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19688-2025</t>
        </is>
      </c>
      <c r="B173" s="1" t="n">
        <v>45770.88217592592</v>
      </c>
      <c r="C173" s="1" t="n">
        <v>45923</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29587-2024</t>
        </is>
      </c>
      <c r="B174" s="1" t="n">
        <v>45484.5799537037</v>
      </c>
      <c r="C174" s="1" t="n">
        <v>45923</v>
      </c>
      <c r="D174" t="inlineStr">
        <is>
          <t>DALARNAS LÄN</t>
        </is>
      </c>
      <c r="E174" t="inlineStr">
        <is>
          <t>HEDEMORA</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21864-2025</t>
        </is>
      </c>
      <c r="B175" s="1" t="n">
        <v>45784</v>
      </c>
      <c r="C175" s="1" t="n">
        <v>45923</v>
      </c>
      <c r="D175" t="inlineStr">
        <is>
          <t>DALARNAS LÄN</t>
        </is>
      </c>
      <c r="E175" t="inlineStr">
        <is>
          <t>HEDEMORA</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20273-2025</t>
        </is>
      </c>
      <c r="B176" s="1" t="n">
        <v>45773.71921296296</v>
      </c>
      <c r="C176" s="1" t="n">
        <v>45923</v>
      </c>
      <c r="D176" t="inlineStr">
        <is>
          <t>DALARNAS LÄN</t>
        </is>
      </c>
      <c r="E176" t="inlineStr">
        <is>
          <t>HEDEMORA</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36304-2024</t>
        </is>
      </c>
      <c r="B177" s="1" t="n">
        <v>45534.61217592593</v>
      </c>
      <c r="C177" s="1" t="n">
        <v>45923</v>
      </c>
      <c r="D177" t="inlineStr">
        <is>
          <t>DALARNAS LÄN</t>
        </is>
      </c>
      <c r="E177" t="inlineStr">
        <is>
          <t>HEDEMORA</t>
        </is>
      </c>
      <c r="F177" t="inlineStr">
        <is>
          <t>Sveaskog</t>
        </is>
      </c>
      <c r="G177" t="n">
        <v>6.1</v>
      </c>
      <c r="H177" t="n">
        <v>0</v>
      </c>
      <c r="I177" t="n">
        <v>0</v>
      </c>
      <c r="J177" t="n">
        <v>0</v>
      </c>
      <c r="K177" t="n">
        <v>0</v>
      </c>
      <c r="L177" t="n">
        <v>0</v>
      </c>
      <c r="M177" t="n">
        <v>0</v>
      </c>
      <c r="N177" t="n">
        <v>0</v>
      </c>
      <c r="O177" t="n">
        <v>0</v>
      </c>
      <c r="P177" t="n">
        <v>0</v>
      </c>
      <c r="Q177" t="n">
        <v>0</v>
      </c>
      <c r="R177" s="2" t="inlineStr"/>
    </row>
    <row r="178" ht="15" customHeight="1">
      <c r="A178" t="inlineStr">
        <is>
          <t>A 40707-2023</t>
        </is>
      </c>
      <c r="B178" s="1" t="n">
        <v>45170.62489583333</v>
      </c>
      <c r="C178" s="1" t="n">
        <v>45923</v>
      </c>
      <c r="D178" t="inlineStr">
        <is>
          <t>DALARNAS LÄN</t>
        </is>
      </c>
      <c r="E178" t="inlineStr">
        <is>
          <t>HEDEMORA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19689-2025</t>
        </is>
      </c>
      <c r="B179" s="1" t="n">
        <v>45770.88462962963</v>
      </c>
      <c r="C179" s="1" t="n">
        <v>45923</v>
      </c>
      <c r="D179" t="inlineStr">
        <is>
          <t>DALARNAS LÄN</t>
        </is>
      </c>
      <c r="E179" t="inlineStr">
        <is>
          <t>HEDEMORA</t>
        </is>
      </c>
      <c r="G179" t="n">
        <v>1.1</v>
      </c>
      <c r="H179" t="n">
        <v>0</v>
      </c>
      <c r="I179" t="n">
        <v>0</v>
      </c>
      <c r="J179" t="n">
        <v>0</v>
      </c>
      <c r="K179" t="n">
        <v>0</v>
      </c>
      <c r="L179" t="n">
        <v>0</v>
      </c>
      <c r="M179" t="n">
        <v>0</v>
      </c>
      <c r="N179" t="n">
        <v>0</v>
      </c>
      <c r="O179" t="n">
        <v>0</v>
      </c>
      <c r="P179" t="n">
        <v>0</v>
      </c>
      <c r="Q179" t="n">
        <v>0</v>
      </c>
      <c r="R179" s="2" t="inlineStr"/>
    </row>
    <row r="180" ht="15" customHeight="1">
      <c r="A180" t="inlineStr">
        <is>
          <t>A 29128-2025</t>
        </is>
      </c>
      <c r="B180" s="1" t="n">
        <v>45821.60116898148</v>
      </c>
      <c r="C180" s="1" t="n">
        <v>45923</v>
      </c>
      <c r="D180" t="inlineStr">
        <is>
          <t>DALARNAS LÄN</t>
        </is>
      </c>
      <c r="E180" t="inlineStr">
        <is>
          <t>HEDEMORA</t>
        </is>
      </c>
      <c r="F180" t="inlineStr">
        <is>
          <t>Sveaskog</t>
        </is>
      </c>
      <c r="G180" t="n">
        <v>15.5</v>
      </c>
      <c r="H180" t="n">
        <v>0</v>
      </c>
      <c r="I180" t="n">
        <v>0</v>
      </c>
      <c r="J180" t="n">
        <v>0</v>
      </c>
      <c r="K180" t="n">
        <v>0</v>
      </c>
      <c r="L180" t="n">
        <v>0</v>
      </c>
      <c r="M180" t="n">
        <v>0</v>
      </c>
      <c r="N180" t="n">
        <v>0</v>
      </c>
      <c r="O180" t="n">
        <v>0</v>
      </c>
      <c r="P180" t="n">
        <v>0</v>
      </c>
      <c r="Q180" t="n">
        <v>0</v>
      </c>
      <c r="R180" s="2" t="inlineStr"/>
    </row>
    <row r="181" ht="15" customHeight="1">
      <c r="A181" t="inlineStr">
        <is>
          <t>A 30939-2023</t>
        </is>
      </c>
      <c r="B181" s="1" t="n">
        <v>45113.45597222223</v>
      </c>
      <c r="C181" s="1" t="n">
        <v>45923</v>
      </c>
      <c r="D181" t="inlineStr">
        <is>
          <t>DALARNAS LÄN</t>
        </is>
      </c>
      <c r="E181" t="inlineStr">
        <is>
          <t>HEDEMORA</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21092-2023</t>
        </is>
      </c>
      <c r="B182" s="1" t="n">
        <v>45061</v>
      </c>
      <c r="C182" s="1" t="n">
        <v>45923</v>
      </c>
      <c r="D182" t="inlineStr">
        <is>
          <t>DALARNAS LÄN</t>
        </is>
      </c>
      <c r="E182" t="inlineStr">
        <is>
          <t>HEDEMORA</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60774-2022</t>
        </is>
      </c>
      <c r="B183" s="1" t="n">
        <v>44914.37917824074</v>
      </c>
      <c r="C183" s="1" t="n">
        <v>45923</v>
      </c>
      <c r="D183" t="inlineStr">
        <is>
          <t>DALARNAS LÄN</t>
        </is>
      </c>
      <c r="E183" t="inlineStr">
        <is>
          <t>HEDEMORA</t>
        </is>
      </c>
      <c r="G183" t="n">
        <v>11.5</v>
      </c>
      <c r="H183" t="n">
        <v>0</v>
      </c>
      <c r="I183" t="n">
        <v>0</v>
      </c>
      <c r="J183" t="n">
        <v>0</v>
      </c>
      <c r="K183" t="n">
        <v>0</v>
      </c>
      <c r="L183" t="n">
        <v>0</v>
      </c>
      <c r="M183" t="n">
        <v>0</v>
      </c>
      <c r="N183" t="n">
        <v>0</v>
      </c>
      <c r="O183" t="n">
        <v>0</v>
      </c>
      <c r="P183" t="n">
        <v>0</v>
      </c>
      <c r="Q183" t="n">
        <v>0</v>
      </c>
      <c r="R183" s="2" t="inlineStr"/>
    </row>
    <row r="184" ht="15" customHeight="1">
      <c r="A184" t="inlineStr">
        <is>
          <t>A 2996-2023</t>
        </is>
      </c>
      <c r="B184" s="1" t="n">
        <v>44945</v>
      </c>
      <c r="C184" s="1" t="n">
        <v>45923</v>
      </c>
      <c r="D184" t="inlineStr">
        <is>
          <t>DALARNAS LÄN</t>
        </is>
      </c>
      <c r="E184" t="inlineStr">
        <is>
          <t>HEDEMORA</t>
        </is>
      </c>
      <c r="G184" t="n">
        <v>2.1</v>
      </c>
      <c r="H184" t="n">
        <v>0</v>
      </c>
      <c r="I184" t="n">
        <v>0</v>
      </c>
      <c r="J184" t="n">
        <v>0</v>
      </c>
      <c r="K184" t="n">
        <v>0</v>
      </c>
      <c r="L184" t="n">
        <v>0</v>
      </c>
      <c r="M184" t="n">
        <v>0</v>
      </c>
      <c r="N184" t="n">
        <v>0</v>
      </c>
      <c r="O184" t="n">
        <v>0</v>
      </c>
      <c r="P184" t="n">
        <v>0</v>
      </c>
      <c r="Q184" t="n">
        <v>0</v>
      </c>
      <c r="R184" s="2" t="inlineStr"/>
    </row>
    <row r="185" ht="15" customHeight="1">
      <c r="A185" t="inlineStr">
        <is>
          <t>A 19690-2025</t>
        </is>
      </c>
      <c r="B185" s="1" t="n">
        <v>45770.88761574074</v>
      </c>
      <c r="C185" s="1" t="n">
        <v>45923</v>
      </c>
      <c r="D185" t="inlineStr">
        <is>
          <t>DALARNAS LÄN</t>
        </is>
      </c>
      <c r="E185" t="inlineStr">
        <is>
          <t>HEDEMORA</t>
        </is>
      </c>
      <c r="G185" t="n">
        <v>1.6</v>
      </c>
      <c r="H185" t="n">
        <v>0</v>
      </c>
      <c r="I185" t="n">
        <v>0</v>
      </c>
      <c r="J185" t="n">
        <v>0</v>
      </c>
      <c r="K185" t="n">
        <v>0</v>
      </c>
      <c r="L185" t="n">
        <v>0</v>
      </c>
      <c r="M185" t="n">
        <v>0</v>
      </c>
      <c r="N185" t="n">
        <v>0</v>
      </c>
      <c r="O185" t="n">
        <v>0</v>
      </c>
      <c r="P185" t="n">
        <v>0</v>
      </c>
      <c r="Q185" t="n">
        <v>0</v>
      </c>
      <c r="R185" s="2" t="inlineStr"/>
    </row>
    <row r="186" ht="15" customHeight="1">
      <c r="A186" t="inlineStr">
        <is>
          <t>A 36656-2025</t>
        </is>
      </c>
      <c r="B186" s="1" t="n">
        <v>45873.34642361111</v>
      </c>
      <c r="C186" s="1" t="n">
        <v>45923</v>
      </c>
      <c r="D186" t="inlineStr">
        <is>
          <t>DALARNAS LÄN</t>
        </is>
      </c>
      <c r="E186" t="inlineStr">
        <is>
          <t>HEDEMORA</t>
        </is>
      </c>
      <c r="G186" t="n">
        <v>1.7</v>
      </c>
      <c r="H186" t="n">
        <v>0</v>
      </c>
      <c r="I186" t="n">
        <v>0</v>
      </c>
      <c r="J186" t="n">
        <v>0</v>
      </c>
      <c r="K186" t="n">
        <v>0</v>
      </c>
      <c r="L186" t="n">
        <v>0</v>
      </c>
      <c r="M186" t="n">
        <v>0</v>
      </c>
      <c r="N186" t="n">
        <v>0</v>
      </c>
      <c r="O186" t="n">
        <v>0</v>
      </c>
      <c r="P186" t="n">
        <v>0</v>
      </c>
      <c r="Q186" t="n">
        <v>0</v>
      </c>
      <c r="R186" s="2" t="inlineStr"/>
    </row>
    <row r="187" ht="15" customHeight="1">
      <c r="A187" t="inlineStr">
        <is>
          <t>A 62398-2023</t>
        </is>
      </c>
      <c r="B187" s="1" t="n">
        <v>45268</v>
      </c>
      <c r="C187" s="1" t="n">
        <v>45923</v>
      </c>
      <c r="D187" t="inlineStr">
        <is>
          <t>DALARNAS LÄN</t>
        </is>
      </c>
      <c r="E187" t="inlineStr">
        <is>
          <t>HEDEMORA</t>
        </is>
      </c>
      <c r="G187" t="n">
        <v>2.1</v>
      </c>
      <c r="H187" t="n">
        <v>0</v>
      </c>
      <c r="I187" t="n">
        <v>0</v>
      </c>
      <c r="J187" t="n">
        <v>0</v>
      </c>
      <c r="K187" t="n">
        <v>0</v>
      </c>
      <c r="L187" t="n">
        <v>0</v>
      </c>
      <c r="M187" t="n">
        <v>0</v>
      </c>
      <c r="N187" t="n">
        <v>0</v>
      </c>
      <c r="O187" t="n">
        <v>0</v>
      </c>
      <c r="P187" t="n">
        <v>0</v>
      </c>
      <c r="Q187" t="n">
        <v>0</v>
      </c>
      <c r="R187" s="2" t="inlineStr"/>
    </row>
    <row r="188" ht="15" customHeight="1">
      <c r="A188" t="inlineStr">
        <is>
          <t>A 60078-2022</t>
        </is>
      </c>
      <c r="B188" s="1" t="n">
        <v>44909.58811342593</v>
      </c>
      <c r="C188" s="1" t="n">
        <v>45923</v>
      </c>
      <c r="D188" t="inlineStr">
        <is>
          <t>DALARNAS LÄN</t>
        </is>
      </c>
      <c r="E188" t="inlineStr">
        <is>
          <t>HEDEMORA</t>
        </is>
      </c>
      <c r="G188" t="n">
        <v>0.5</v>
      </c>
      <c r="H188" t="n">
        <v>0</v>
      </c>
      <c r="I188" t="n">
        <v>0</v>
      </c>
      <c r="J188" t="n">
        <v>0</v>
      </c>
      <c r="K188" t="n">
        <v>0</v>
      </c>
      <c r="L188" t="n">
        <v>0</v>
      </c>
      <c r="M188" t="n">
        <v>0</v>
      </c>
      <c r="N188" t="n">
        <v>0</v>
      </c>
      <c r="O188" t="n">
        <v>0</v>
      </c>
      <c r="P188" t="n">
        <v>0</v>
      </c>
      <c r="Q188" t="n">
        <v>0</v>
      </c>
      <c r="R188" s="2" t="inlineStr"/>
    </row>
    <row r="189" ht="15" customHeight="1">
      <c r="A189" t="inlineStr">
        <is>
          <t>A 57745-2024</t>
        </is>
      </c>
      <c r="B189" s="1" t="n">
        <v>45630.77605324074</v>
      </c>
      <c r="C189" s="1" t="n">
        <v>45923</v>
      </c>
      <c r="D189" t="inlineStr">
        <is>
          <t>DALARNAS LÄN</t>
        </is>
      </c>
      <c r="E189" t="inlineStr">
        <is>
          <t>HEDEMORA</t>
        </is>
      </c>
      <c r="G189" t="n">
        <v>1.1</v>
      </c>
      <c r="H189" t="n">
        <v>0</v>
      </c>
      <c r="I189" t="n">
        <v>0</v>
      </c>
      <c r="J189" t="n">
        <v>0</v>
      </c>
      <c r="K189" t="n">
        <v>0</v>
      </c>
      <c r="L189" t="n">
        <v>0</v>
      </c>
      <c r="M189" t="n">
        <v>0</v>
      </c>
      <c r="N189" t="n">
        <v>0</v>
      </c>
      <c r="O189" t="n">
        <v>0</v>
      </c>
      <c r="P189" t="n">
        <v>0</v>
      </c>
      <c r="Q189" t="n">
        <v>0</v>
      </c>
      <c r="R189" s="2" t="inlineStr"/>
    </row>
    <row r="190" ht="15" customHeight="1">
      <c r="A190" t="inlineStr">
        <is>
          <t>A 29792-2025</t>
        </is>
      </c>
      <c r="B190" s="1" t="n">
        <v>45825.66416666667</v>
      </c>
      <c r="C190" s="1" t="n">
        <v>45923</v>
      </c>
      <c r="D190" t="inlineStr">
        <is>
          <t>DALARNAS LÄN</t>
        </is>
      </c>
      <c r="E190" t="inlineStr">
        <is>
          <t>HEDEMORA</t>
        </is>
      </c>
      <c r="F190" t="inlineStr">
        <is>
          <t>Sveaskog</t>
        </is>
      </c>
      <c r="G190" t="n">
        <v>26.3</v>
      </c>
      <c r="H190" t="n">
        <v>0</v>
      </c>
      <c r="I190" t="n">
        <v>0</v>
      </c>
      <c r="J190" t="n">
        <v>0</v>
      </c>
      <c r="K190" t="n">
        <v>0</v>
      </c>
      <c r="L190" t="n">
        <v>0</v>
      </c>
      <c r="M190" t="n">
        <v>0</v>
      </c>
      <c r="N190" t="n">
        <v>0</v>
      </c>
      <c r="O190" t="n">
        <v>0</v>
      </c>
      <c r="P190" t="n">
        <v>0</v>
      </c>
      <c r="Q190" t="n">
        <v>0</v>
      </c>
      <c r="R190" s="2" t="inlineStr"/>
    </row>
    <row r="191" ht="15" customHeight="1">
      <c r="A191" t="inlineStr">
        <is>
          <t>A 48320-2024</t>
        </is>
      </c>
      <c r="B191" s="1" t="n">
        <v>45590.4999537037</v>
      </c>
      <c r="C191" s="1" t="n">
        <v>45923</v>
      </c>
      <c r="D191" t="inlineStr">
        <is>
          <t>DALARNAS LÄN</t>
        </is>
      </c>
      <c r="E191" t="inlineStr">
        <is>
          <t>HEDEMORA</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34185-2025</t>
        </is>
      </c>
      <c r="B192" s="1" t="n">
        <v>45845</v>
      </c>
      <c r="C192" s="1" t="n">
        <v>45923</v>
      </c>
      <c r="D192" t="inlineStr">
        <is>
          <t>DALARNAS LÄN</t>
        </is>
      </c>
      <c r="E192" t="inlineStr">
        <is>
          <t>HEDEMORA</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36900-2022</t>
        </is>
      </c>
      <c r="B193" s="1" t="n">
        <v>44805.71435185185</v>
      </c>
      <c r="C193" s="1" t="n">
        <v>45923</v>
      </c>
      <c r="D193" t="inlineStr">
        <is>
          <t>DALARNAS LÄN</t>
        </is>
      </c>
      <c r="E193" t="inlineStr">
        <is>
          <t>HEDEMORA</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53568-2023</t>
        </is>
      </c>
      <c r="B194" s="1" t="n">
        <v>45230.49392361111</v>
      </c>
      <c r="C194" s="1" t="n">
        <v>45923</v>
      </c>
      <c r="D194" t="inlineStr">
        <is>
          <t>DALARNAS LÄN</t>
        </is>
      </c>
      <c r="E194" t="inlineStr">
        <is>
          <t>HEDEMORA</t>
        </is>
      </c>
      <c r="G194" t="n">
        <v>1.2</v>
      </c>
      <c r="H194" t="n">
        <v>0</v>
      </c>
      <c r="I194" t="n">
        <v>0</v>
      </c>
      <c r="J194" t="n">
        <v>0</v>
      </c>
      <c r="K194" t="n">
        <v>0</v>
      </c>
      <c r="L194" t="n">
        <v>0</v>
      </c>
      <c r="M194" t="n">
        <v>0</v>
      </c>
      <c r="N194" t="n">
        <v>0</v>
      </c>
      <c r="O194" t="n">
        <v>0</v>
      </c>
      <c r="P194" t="n">
        <v>0</v>
      </c>
      <c r="Q194" t="n">
        <v>0</v>
      </c>
      <c r="R194" s="2" t="inlineStr"/>
    </row>
    <row r="195" ht="15" customHeight="1">
      <c r="A195" t="inlineStr">
        <is>
          <t>A 60780-2024</t>
        </is>
      </c>
      <c r="B195" s="1" t="n">
        <v>45644.59017361111</v>
      </c>
      <c r="C195" s="1" t="n">
        <v>45923</v>
      </c>
      <c r="D195" t="inlineStr">
        <is>
          <t>DALARNAS LÄN</t>
        </is>
      </c>
      <c r="E195" t="inlineStr">
        <is>
          <t>HEDEMORA</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29303-2023</t>
        </is>
      </c>
      <c r="B196" s="1" t="n">
        <v>45105</v>
      </c>
      <c r="C196" s="1" t="n">
        <v>45923</v>
      </c>
      <c r="D196" t="inlineStr">
        <is>
          <t>DALARNAS LÄN</t>
        </is>
      </c>
      <c r="E196" t="inlineStr">
        <is>
          <t>HEDEMORA</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26431-2024</t>
        </is>
      </c>
      <c r="B197" s="1" t="n">
        <v>45469.48282407408</v>
      </c>
      <c r="C197" s="1" t="n">
        <v>45923</v>
      </c>
      <c r="D197" t="inlineStr">
        <is>
          <t>DALARNAS LÄN</t>
        </is>
      </c>
      <c r="E197" t="inlineStr">
        <is>
          <t>HEDEMORA</t>
        </is>
      </c>
      <c r="G197" t="n">
        <v>1.6</v>
      </c>
      <c r="H197" t="n">
        <v>0</v>
      </c>
      <c r="I197" t="n">
        <v>0</v>
      </c>
      <c r="J197" t="n">
        <v>0</v>
      </c>
      <c r="K197" t="n">
        <v>0</v>
      </c>
      <c r="L197" t="n">
        <v>0</v>
      </c>
      <c r="M197" t="n">
        <v>0</v>
      </c>
      <c r="N197" t="n">
        <v>0</v>
      </c>
      <c r="O197" t="n">
        <v>0</v>
      </c>
      <c r="P197" t="n">
        <v>0</v>
      </c>
      <c r="Q197" t="n">
        <v>0</v>
      </c>
      <c r="R197" s="2" t="inlineStr"/>
      <c r="U197">
        <f>HYPERLINK("https://klasma.github.io/Logging_2083/knärot/A 26431-2024 karta knärot.png", "A 26431-2024")</f>
        <v/>
      </c>
      <c r="V197">
        <f>HYPERLINK("https://klasma.github.io/Logging_2083/klagomål/A 26431-2024 FSC-klagomål.docx", "A 26431-2024")</f>
        <v/>
      </c>
      <c r="W197">
        <f>HYPERLINK("https://klasma.github.io/Logging_2083/klagomålsmail/A 26431-2024 FSC-klagomål mail.docx", "A 26431-2024")</f>
        <v/>
      </c>
      <c r="X197">
        <f>HYPERLINK("https://klasma.github.io/Logging_2083/tillsyn/A 26431-2024 tillsynsbegäran.docx", "A 26431-2024")</f>
        <v/>
      </c>
      <c r="Y197">
        <f>HYPERLINK("https://klasma.github.io/Logging_2083/tillsynsmail/A 26431-2024 tillsynsbegäran mail.docx", "A 26431-2024")</f>
        <v/>
      </c>
    </row>
    <row r="198" ht="15" customHeight="1">
      <c r="A198" t="inlineStr">
        <is>
          <t>A 20271-2025</t>
        </is>
      </c>
      <c r="B198" s="1" t="n">
        <v>45773.71568287037</v>
      </c>
      <c r="C198" s="1" t="n">
        <v>45923</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49904-2021</t>
        </is>
      </c>
      <c r="B199" s="1" t="n">
        <v>44455.77041666667</v>
      </c>
      <c r="C199" s="1" t="n">
        <v>45923</v>
      </c>
      <c r="D199" t="inlineStr">
        <is>
          <t>DALARNAS LÄN</t>
        </is>
      </c>
      <c r="E199" t="inlineStr">
        <is>
          <t>HEDEMORA</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62046-2022</t>
        </is>
      </c>
      <c r="B200" s="1" t="n">
        <v>44918.5633912037</v>
      </c>
      <c r="C200" s="1" t="n">
        <v>45923</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61886-2022</t>
        </is>
      </c>
      <c r="B201" s="1" t="n">
        <v>44917.67582175926</v>
      </c>
      <c r="C201" s="1" t="n">
        <v>45923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23501-2023</t>
        </is>
      </c>
      <c r="B202" s="1" t="n">
        <v>45076.73979166667</v>
      </c>
      <c r="C202" s="1" t="n">
        <v>45923</v>
      </c>
      <c r="D202" t="inlineStr">
        <is>
          <t>DALARNAS LÄN</t>
        </is>
      </c>
      <c r="E202" t="inlineStr">
        <is>
          <t>HEDEMORA</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46217-2023</t>
        </is>
      </c>
      <c r="B203" s="1" t="n">
        <v>45190</v>
      </c>
      <c r="C203" s="1" t="n">
        <v>45923</v>
      </c>
      <c r="D203" t="inlineStr">
        <is>
          <t>DALARNAS LÄN</t>
        </is>
      </c>
      <c r="E203" t="inlineStr">
        <is>
          <t>HEDEMORA</t>
        </is>
      </c>
      <c r="F203" t="inlineStr">
        <is>
          <t>Bergvik skog väst AB</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5766-2025</t>
        </is>
      </c>
      <c r="B204" s="1" t="n">
        <v>45694.57893518519</v>
      </c>
      <c r="C204" s="1" t="n">
        <v>45923</v>
      </c>
      <c r="D204" t="inlineStr">
        <is>
          <t>DALARNAS LÄN</t>
        </is>
      </c>
      <c r="E204" t="inlineStr">
        <is>
          <t>HEDEMORA</t>
        </is>
      </c>
      <c r="G204" t="n">
        <v>4.9</v>
      </c>
      <c r="H204" t="n">
        <v>0</v>
      </c>
      <c r="I204" t="n">
        <v>0</v>
      </c>
      <c r="J204" t="n">
        <v>0</v>
      </c>
      <c r="K204" t="n">
        <v>0</v>
      </c>
      <c r="L204" t="n">
        <v>0</v>
      </c>
      <c r="M204" t="n">
        <v>0</v>
      </c>
      <c r="N204" t="n">
        <v>0</v>
      </c>
      <c r="O204" t="n">
        <v>0</v>
      </c>
      <c r="P204" t="n">
        <v>0</v>
      </c>
      <c r="Q204" t="n">
        <v>0</v>
      </c>
      <c r="R204" s="2" t="inlineStr"/>
    </row>
    <row r="205" ht="15" customHeight="1">
      <c r="A205" t="inlineStr">
        <is>
          <t>A 48254-2023</t>
        </is>
      </c>
      <c r="B205" s="1" t="n">
        <v>45205.53241898148</v>
      </c>
      <c r="C205" s="1" t="n">
        <v>45923</v>
      </c>
      <c r="D205" t="inlineStr">
        <is>
          <t>DALARNAS LÄN</t>
        </is>
      </c>
      <c r="E205" t="inlineStr">
        <is>
          <t>HEDEMORA</t>
        </is>
      </c>
      <c r="F205" t="inlineStr">
        <is>
          <t>Sveaskog</t>
        </is>
      </c>
      <c r="G205" t="n">
        <v>1.5</v>
      </c>
      <c r="H205" t="n">
        <v>0</v>
      </c>
      <c r="I205" t="n">
        <v>0</v>
      </c>
      <c r="J205" t="n">
        <v>0</v>
      </c>
      <c r="K205" t="n">
        <v>0</v>
      </c>
      <c r="L205" t="n">
        <v>0</v>
      </c>
      <c r="M205" t="n">
        <v>0</v>
      </c>
      <c r="N205" t="n">
        <v>0</v>
      </c>
      <c r="O205" t="n">
        <v>0</v>
      </c>
      <c r="P205" t="n">
        <v>0</v>
      </c>
      <c r="Q205" t="n">
        <v>0</v>
      </c>
      <c r="R205" s="2" t="inlineStr"/>
      <c r="U205">
        <f>HYPERLINK("https://klasma.github.io/Logging_2083/knärot/A 48254-2023 karta knärot.png", "A 48254-2023")</f>
        <v/>
      </c>
      <c r="V205">
        <f>HYPERLINK("https://klasma.github.io/Logging_2083/klagomål/A 48254-2023 FSC-klagomål.docx", "A 48254-2023")</f>
        <v/>
      </c>
      <c r="W205">
        <f>HYPERLINK("https://klasma.github.io/Logging_2083/klagomålsmail/A 48254-2023 FSC-klagomål mail.docx", "A 48254-2023")</f>
        <v/>
      </c>
      <c r="X205">
        <f>HYPERLINK("https://klasma.github.io/Logging_2083/tillsyn/A 48254-2023 tillsynsbegäran.docx", "A 48254-2023")</f>
        <v/>
      </c>
      <c r="Y205">
        <f>HYPERLINK("https://klasma.github.io/Logging_2083/tillsynsmail/A 48254-2023 tillsynsbegäran mail.docx", "A 48254-2023")</f>
        <v/>
      </c>
    </row>
    <row r="206" ht="15" customHeight="1">
      <c r="A206" t="inlineStr">
        <is>
          <t>A 36935-2024</t>
        </is>
      </c>
      <c r="B206" s="1" t="n">
        <v>45538.56925925926</v>
      </c>
      <c r="C206" s="1" t="n">
        <v>45923</v>
      </c>
      <c r="D206" t="inlineStr">
        <is>
          <t>DALARNAS LÄN</t>
        </is>
      </c>
      <c r="E206" t="inlineStr">
        <is>
          <t>HEDEMORA</t>
        </is>
      </c>
      <c r="G206" t="n">
        <v>1.4</v>
      </c>
      <c r="H206" t="n">
        <v>0</v>
      </c>
      <c r="I206" t="n">
        <v>0</v>
      </c>
      <c r="J206" t="n">
        <v>0</v>
      </c>
      <c r="K206" t="n">
        <v>0</v>
      </c>
      <c r="L206" t="n">
        <v>0</v>
      </c>
      <c r="M206" t="n">
        <v>0</v>
      </c>
      <c r="N206" t="n">
        <v>0</v>
      </c>
      <c r="O206" t="n">
        <v>0</v>
      </c>
      <c r="P206" t="n">
        <v>0</v>
      </c>
      <c r="Q206" t="n">
        <v>0</v>
      </c>
      <c r="R206" s="2" t="inlineStr"/>
    </row>
    <row r="207" ht="15" customHeight="1">
      <c r="A207" t="inlineStr">
        <is>
          <t>A 44850-2025</t>
        </is>
      </c>
      <c r="B207" s="1" t="n">
        <v>45918.44587962963</v>
      </c>
      <c r="C207" s="1" t="n">
        <v>45923</v>
      </c>
      <c r="D207" t="inlineStr">
        <is>
          <t>DALARNAS LÄN</t>
        </is>
      </c>
      <c r="E207" t="inlineStr">
        <is>
          <t>HEDEMORA</t>
        </is>
      </c>
      <c r="G207" t="n">
        <v>3.9</v>
      </c>
      <c r="H207" t="n">
        <v>0</v>
      </c>
      <c r="I207" t="n">
        <v>0</v>
      </c>
      <c r="J207" t="n">
        <v>0</v>
      </c>
      <c r="K207" t="n">
        <v>0</v>
      </c>
      <c r="L207" t="n">
        <v>0</v>
      </c>
      <c r="M207" t="n">
        <v>0</v>
      </c>
      <c r="N207" t="n">
        <v>0</v>
      </c>
      <c r="O207" t="n">
        <v>0</v>
      </c>
      <c r="P207" t="n">
        <v>0</v>
      </c>
      <c r="Q207" t="n">
        <v>0</v>
      </c>
      <c r="R207" s="2" t="inlineStr"/>
    </row>
    <row r="208" ht="15" customHeight="1">
      <c r="A208" t="inlineStr">
        <is>
          <t>A 45290-2025</t>
        </is>
      </c>
      <c r="B208" s="1" t="n">
        <v>45920.37158564815</v>
      </c>
      <c r="C208" s="1" t="n">
        <v>45923</v>
      </c>
      <c r="D208" t="inlineStr">
        <is>
          <t>DALARNAS LÄN</t>
        </is>
      </c>
      <c r="E208" t="inlineStr">
        <is>
          <t>HEDEMORA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37574-2025</t>
        </is>
      </c>
      <c r="B209" s="1" t="n">
        <v>45880.37949074074</v>
      </c>
      <c r="C209" s="1" t="n">
        <v>45923</v>
      </c>
      <c r="D209" t="inlineStr">
        <is>
          <t>DALARNAS LÄN</t>
        </is>
      </c>
      <c r="E209" t="inlineStr">
        <is>
          <t>HEDEMORA</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37761-2024</t>
        </is>
      </c>
      <c r="B210" s="1" t="n">
        <v>45541.78678240741</v>
      </c>
      <c r="C210" s="1" t="n">
        <v>45923</v>
      </c>
      <c r="D210" t="inlineStr">
        <is>
          <t>DALARNAS LÄN</t>
        </is>
      </c>
      <c r="E210" t="inlineStr">
        <is>
          <t>HEDEMORA</t>
        </is>
      </c>
      <c r="F210" t="inlineStr">
        <is>
          <t>Sveaskog</t>
        </is>
      </c>
      <c r="G210" t="n">
        <v>4.4</v>
      </c>
      <c r="H210" t="n">
        <v>0</v>
      </c>
      <c r="I210" t="n">
        <v>0</v>
      </c>
      <c r="J210" t="n">
        <v>0</v>
      </c>
      <c r="K210" t="n">
        <v>0</v>
      </c>
      <c r="L210" t="n">
        <v>0</v>
      </c>
      <c r="M210" t="n">
        <v>0</v>
      </c>
      <c r="N210" t="n">
        <v>0</v>
      </c>
      <c r="O210" t="n">
        <v>0</v>
      </c>
      <c r="P210" t="n">
        <v>0</v>
      </c>
      <c r="Q210" t="n">
        <v>0</v>
      </c>
      <c r="R210" s="2" t="inlineStr"/>
    </row>
    <row r="211" ht="15" customHeight="1">
      <c r="A211" t="inlineStr">
        <is>
          <t>A 37573-2025</t>
        </is>
      </c>
      <c r="B211" s="1" t="n">
        <v>45880.37711805556</v>
      </c>
      <c r="C211" s="1" t="n">
        <v>45923</v>
      </c>
      <c r="D211" t="inlineStr">
        <is>
          <t>DALARNAS LÄN</t>
        </is>
      </c>
      <c r="E211" t="inlineStr">
        <is>
          <t>HEDEMORA</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25691-2022</t>
        </is>
      </c>
      <c r="B212" s="1" t="n">
        <v>44733</v>
      </c>
      <c r="C212" s="1" t="n">
        <v>45923</v>
      </c>
      <c r="D212" t="inlineStr">
        <is>
          <t>DALARNAS LÄN</t>
        </is>
      </c>
      <c r="E212" t="inlineStr">
        <is>
          <t>HEDEMORA</t>
        </is>
      </c>
      <c r="G212" t="n">
        <v>0.7</v>
      </c>
      <c r="H212" t="n">
        <v>0</v>
      </c>
      <c r="I212" t="n">
        <v>0</v>
      </c>
      <c r="J212" t="n">
        <v>0</v>
      </c>
      <c r="K212" t="n">
        <v>0</v>
      </c>
      <c r="L212" t="n">
        <v>0</v>
      </c>
      <c r="M212" t="n">
        <v>0</v>
      </c>
      <c r="N212" t="n">
        <v>0</v>
      </c>
      <c r="O212" t="n">
        <v>0</v>
      </c>
      <c r="P212" t="n">
        <v>0</v>
      </c>
      <c r="Q212" t="n">
        <v>0</v>
      </c>
      <c r="R212" s="2" t="inlineStr"/>
    </row>
    <row r="213" ht="15" customHeight="1">
      <c r="A213" t="inlineStr">
        <is>
          <t>A 32071-2021</t>
        </is>
      </c>
      <c r="B213" s="1" t="n">
        <v>44370.90546296296</v>
      </c>
      <c r="C213" s="1" t="n">
        <v>45923</v>
      </c>
      <c r="D213" t="inlineStr">
        <is>
          <t>DALARNAS LÄN</t>
        </is>
      </c>
      <c r="E213" t="inlineStr">
        <is>
          <t>HEDEMORA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21763-2024</t>
        </is>
      </c>
      <c r="B214" s="1" t="n">
        <v>45442.60204861111</v>
      </c>
      <c r="C214" s="1" t="n">
        <v>45923</v>
      </c>
      <c r="D214" t="inlineStr">
        <is>
          <t>DALARNAS LÄN</t>
        </is>
      </c>
      <c r="E214" t="inlineStr">
        <is>
          <t>HEDEMORA</t>
        </is>
      </c>
      <c r="G214" t="n">
        <v>1.6</v>
      </c>
      <c r="H214" t="n">
        <v>0</v>
      </c>
      <c r="I214" t="n">
        <v>0</v>
      </c>
      <c r="J214" t="n">
        <v>0</v>
      </c>
      <c r="K214" t="n">
        <v>0</v>
      </c>
      <c r="L214" t="n">
        <v>0</v>
      </c>
      <c r="M214" t="n">
        <v>0</v>
      </c>
      <c r="N214" t="n">
        <v>0</v>
      </c>
      <c r="O214" t="n">
        <v>0</v>
      </c>
      <c r="P214" t="n">
        <v>0</v>
      </c>
      <c r="Q214" t="n">
        <v>0</v>
      </c>
      <c r="R214" s="2" t="inlineStr"/>
    </row>
    <row r="215" ht="15" customHeight="1">
      <c r="A215" t="inlineStr">
        <is>
          <t>A 45291-2025</t>
        </is>
      </c>
      <c r="B215" s="1" t="n">
        <v>45920.3734837963</v>
      </c>
      <c r="C215" s="1" t="n">
        <v>45923</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8342-2025</t>
        </is>
      </c>
      <c r="B216" s="1" t="n">
        <v>45708.67251157408</v>
      </c>
      <c r="C216" s="1" t="n">
        <v>45923</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45097-2025</t>
        </is>
      </c>
      <c r="B217" s="1" t="n">
        <v>45919.38918981481</v>
      </c>
      <c r="C217" s="1" t="n">
        <v>45923</v>
      </c>
      <c r="D217" t="inlineStr">
        <is>
          <t>DALARNAS LÄN</t>
        </is>
      </c>
      <c r="E217" t="inlineStr">
        <is>
          <t>HEDEMORA</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21868-2025</t>
        </is>
      </c>
      <c r="B218" s="1" t="n">
        <v>45784.3721412037</v>
      </c>
      <c r="C218" s="1" t="n">
        <v>45923</v>
      </c>
      <c r="D218" t="inlineStr">
        <is>
          <t>DALARNAS LÄN</t>
        </is>
      </c>
      <c r="E218" t="inlineStr">
        <is>
          <t>HEDEMORA</t>
        </is>
      </c>
      <c r="F218" t="inlineStr">
        <is>
          <t>Sveaskog</t>
        </is>
      </c>
      <c r="G218" t="n">
        <v>10.1</v>
      </c>
      <c r="H218" t="n">
        <v>0</v>
      </c>
      <c r="I218" t="n">
        <v>0</v>
      </c>
      <c r="J218" t="n">
        <v>0</v>
      </c>
      <c r="K218" t="n">
        <v>0</v>
      </c>
      <c r="L218" t="n">
        <v>0</v>
      </c>
      <c r="M218" t="n">
        <v>0</v>
      </c>
      <c r="N218" t="n">
        <v>0</v>
      </c>
      <c r="O218" t="n">
        <v>0</v>
      </c>
      <c r="P218" t="n">
        <v>0</v>
      </c>
      <c r="Q218" t="n">
        <v>0</v>
      </c>
      <c r="R218" s="2" t="inlineStr"/>
    </row>
    <row r="219" ht="15" customHeight="1">
      <c r="A219" t="inlineStr">
        <is>
          <t>A 15833-2025</t>
        </is>
      </c>
      <c r="B219" s="1" t="n">
        <v>45748.85107638889</v>
      </c>
      <c r="C219" s="1" t="n">
        <v>45923</v>
      </c>
      <c r="D219" t="inlineStr">
        <is>
          <t>DALARNAS LÄN</t>
        </is>
      </c>
      <c r="E219" t="inlineStr">
        <is>
          <t>HEDEMORA</t>
        </is>
      </c>
      <c r="G219" t="n">
        <v>0.4</v>
      </c>
      <c r="H219" t="n">
        <v>0</v>
      </c>
      <c r="I219" t="n">
        <v>0</v>
      </c>
      <c r="J219" t="n">
        <v>0</v>
      </c>
      <c r="K219" t="n">
        <v>0</v>
      </c>
      <c r="L219" t="n">
        <v>0</v>
      </c>
      <c r="M219" t="n">
        <v>0</v>
      </c>
      <c r="N219" t="n">
        <v>0</v>
      </c>
      <c r="O219" t="n">
        <v>0</v>
      </c>
      <c r="P219" t="n">
        <v>0</v>
      </c>
      <c r="Q219" t="n">
        <v>0</v>
      </c>
      <c r="R219" s="2" t="inlineStr"/>
    </row>
    <row r="220" ht="15" customHeight="1">
      <c r="A220" t="inlineStr">
        <is>
          <t>A 61849-2022</t>
        </is>
      </c>
      <c r="B220" s="1" t="n">
        <v>44917</v>
      </c>
      <c r="C220" s="1" t="n">
        <v>45923</v>
      </c>
      <c r="D220" t="inlineStr">
        <is>
          <t>DALARNAS LÄN</t>
        </is>
      </c>
      <c r="E220" t="inlineStr">
        <is>
          <t>HEDEMORA</t>
        </is>
      </c>
      <c r="G220" t="n">
        <v>1.9</v>
      </c>
      <c r="H220" t="n">
        <v>0</v>
      </c>
      <c r="I220" t="n">
        <v>0</v>
      </c>
      <c r="J220" t="n">
        <v>0</v>
      </c>
      <c r="K220" t="n">
        <v>0</v>
      </c>
      <c r="L220" t="n">
        <v>0</v>
      </c>
      <c r="M220" t="n">
        <v>0</v>
      </c>
      <c r="N220" t="n">
        <v>0</v>
      </c>
      <c r="O220" t="n">
        <v>0</v>
      </c>
      <c r="P220" t="n">
        <v>0</v>
      </c>
      <c r="Q220" t="n">
        <v>0</v>
      </c>
      <c r="R220" s="2" t="inlineStr"/>
    </row>
    <row r="221" ht="15" customHeight="1">
      <c r="A221" t="inlineStr">
        <is>
          <t>A 53584-2023</t>
        </is>
      </c>
      <c r="B221" s="1" t="n">
        <v>45230</v>
      </c>
      <c r="C221" s="1" t="n">
        <v>45923</v>
      </c>
      <c r="D221" t="inlineStr">
        <is>
          <t>DALARNAS LÄN</t>
        </is>
      </c>
      <c r="E221" t="inlineStr">
        <is>
          <t>HEDEMORA</t>
        </is>
      </c>
      <c r="G221" t="n">
        <v>6.6</v>
      </c>
      <c r="H221" t="n">
        <v>0</v>
      </c>
      <c r="I221" t="n">
        <v>0</v>
      </c>
      <c r="J221" t="n">
        <v>0</v>
      </c>
      <c r="K221" t="n">
        <v>0</v>
      </c>
      <c r="L221" t="n">
        <v>0</v>
      </c>
      <c r="M221" t="n">
        <v>0</v>
      </c>
      <c r="N221" t="n">
        <v>0</v>
      </c>
      <c r="O221" t="n">
        <v>0</v>
      </c>
      <c r="P221" t="n">
        <v>0</v>
      </c>
      <c r="Q221" t="n">
        <v>0</v>
      </c>
      <c r="R221" s="2" t="inlineStr"/>
    </row>
    <row r="222" ht="15" customHeight="1">
      <c r="A222" t="inlineStr">
        <is>
          <t>A 20237-2023</t>
        </is>
      </c>
      <c r="B222" s="1" t="n">
        <v>45055</v>
      </c>
      <c r="C222" s="1" t="n">
        <v>45923</v>
      </c>
      <c r="D222" t="inlineStr">
        <is>
          <t>DALARNAS LÄN</t>
        </is>
      </c>
      <c r="E222" t="inlineStr">
        <is>
          <t>HEDEMORA</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15863-2023</t>
        </is>
      </c>
      <c r="B223" s="1" t="n">
        <v>45022</v>
      </c>
      <c r="C223" s="1" t="n">
        <v>45923</v>
      </c>
      <c r="D223" t="inlineStr">
        <is>
          <t>DALARNAS LÄN</t>
        </is>
      </c>
      <c r="E223" t="inlineStr">
        <is>
          <t>HEDEMORA</t>
        </is>
      </c>
      <c r="F223" t="inlineStr">
        <is>
          <t>Bergvik skog väst AB</t>
        </is>
      </c>
      <c r="G223" t="n">
        <v>4.7</v>
      </c>
      <c r="H223" t="n">
        <v>0</v>
      </c>
      <c r="I223" t="n">
        <v>0</v>
      </c>
      <c r="J223" t="n">
        <v>0</v>
      </c>
      <c r="K223" t="n">
        <v>0</v>
      </c>
      <c r="L223" t="n">
        <v>0</v>
      </c>
      <c r="M223" t="n">
        <v>0</v>
      </c>
      <c r="N223" t="n">
        <v>0</v>
      </c>
      <c r="O223" t="n">
        <v>0</v>
      </c>
      <c r="P223" t="n">
        <v>0</v>
      </c>
      <c r="Q223" t="n">
        <v>0</v>
      </c>
      <c r="R223" s="2" t="inlineStr"/>
    </row>
    <row r="224" ht="15" customHeight="1">
      <c r="A224" t="inlineStr">
        <is>
          <t>A 37762-2024</t>
        </is>
      </c>
      <c r="B224" s="1" t="n">
        <v>45541.79369212963</v>
      </c>
      <c r="C224" s="1" t="n">
        <v>45923</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12136-2025</t>
        </is>
      </c>
      <c r="B225" s="1" t="n">
        <v>45729.39300925926</v>
      </c>
      <c r="C225" s="1" t="n">
        <v>45923</v>
      </c>
      <c r="D225" t="inlineStr">
        <is>
          <t>DALARNAS LÄN</t>
        </is>
      </c>
      <c r="E225" t="inlineStr">
        <is>
          <t>HEDEMORA</t>
        </is>
      </c>
      <c r="G225" t="n">
        <v>1.5</v>
      </c>
      <c r="H225" t="n">
        <v>0</v>
      </c>
      <c r="I225" t="n">
        <v>0</v>
      </c>
      <c r="J225" t="n">
        <v>0</v>
      </c>
      <c r="K225" t="n">
        <v>0</v>
      </c>
      <c r="L225" t="n">
        <v>0</v>
      </c>
      <c r="M225" t="n">
        <v>0</v>
      </c>
      <c r="N225" t="n">
        <v>0</v>
      </c>
      <c r="O225" t="n">
        <v>0</v>
      </c>
      <c r="P225" t="n">
        <v>0</v>
      </c>
      <c r="Q225" t="n">
        <v>0</v>
      </c>
      <c r="R225" s="2" t="inlineStr"/>
    </row>
    <row r="226" ht="15" customHeight="1">
      <c r="A226" t="inlineStr">
        <is>
          <t>A 5010-2023</t>
        </is>
      </c>
      <c r="B226" s="1" t="n">
        <v>44956</v>
      </c>
      <c r="C226" s="1" t="n">
        <v>45923</v>
      </c>
      <c r="D226" t="inlineStr">
        <is>
          <t>DALARNAS LÄN</t>
        </is>
      </c>
      <c r="E226" t="inlineStr">
        <is>
          <t>HEDEMORA</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36299-2024</t>
        </is>
      </c>
      <c r="B227" s="1" t="n">
        <v>45534.6090625</v>
      </c>
      <c r="C227" s="1" t="n">
        <v>45923</v>
      </c>
      <c r="D227" t="inlineStr">
        <is>
          <t>DALARNAS LÄN</t>
        </is>
      </c>
      <c r="E227" t="inlineStr">
        <is>
          <t>HEDEMORA</t>
        </is>
      </c>
      <c r="F227" t="inlineStr">
        <is>
          <t>Sveaskog</t>
        </is>
      </c>
      <c r="G227" t="n">
        <v>5.3</v>
      </c>
      <c r="H227" t="n">
        <v>0</v>
      </c>
      <c r="I227" t="n">
        <v>0</v>
      </c>
      <c r="J227" t="n">
        <v>0</v>
      </c>
      <c r="K227" t="n">
        <v>0</v>
      </c>
      <c r="L227" t="n">
        <v>0</v>
      </c>
      <c r="M227" t="n">
        <v>0</v>
      </c>
      <c r="N227" t="n">
        <v>0</v>
      </c>
      <c r="O227" t="n">
        <v>0</v>
      </c>
      <c r="P227" t="n">
        <v>0</v>
      </c>
      <c r="Q227" t="n">
        <v>0</v>
      </c>
      <c r="R227" s="2" t="inlineStr"/>
    </row>
    <row r="228" ht="15" customHeight="1">
      <c r="A228" t="inlineStr">
        <is>
          <t>A 1978-2021</t>
        </is>
      </c>
      <c r="B228" s="1" t="n">
        <v>44210.67606481481</v>
      </c>
      <c r="C228" s="1" t="n">
        <v>45923</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44384-2024</t>
        </is>
      </c>
      <c r="B229" s="1" t="n">
        <v>45573.67782407408</v>
      </c>
      <c r="C229" s="1" t="n">
        <v>45923</v>
      </c>
      <c r="D229" t="inlineStr">
        <is>
          <t>DALARNAS LÄN</t>
        </is>
      </c>
      <c r="E229" t="inlineStr">
        <is>
          <t>HEDEMORA</t>
        </is>
      </c>
      <c r="F229" t="inlineStr">
        <is>
          <t>Bergvik skog väst AB</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44388-2024</t>
        </is>
      </c>
      <c r="B230" s="1" t="n">
        <v>45573.68875</v>
      </c>
      <c r="C230" s="1" t="n">
        <v>45923</v>
      </c>
      <c r="D230" t="inlineStr">
        <is>
          <t>DALARNAS LÄN</t>
        </is>
      </c>
      <c r="E230" t="inlineStr">
        <is>
          <t>HEDEMORA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50333-2023</t>
        </is>
      </c>
      <c r="B231" s="1" t="n">
        <v>45216</v>
      </c>
      <c r="C231" s="1" t="n">
        <v>45923</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20272-2025</t>
        </is>
      </c>
      <c r="B232" s="1" t="n">
        <v>45773.71663194444</v>
      </c>
      <c r="C232" s="1" t="n">
        <v>45923</v>
      </c>
      <c r="D232" t="inlineStr">
        <is>
          <t>DALARNAS LÄN</t>
        </is>
      </c>
      <c r="E232" t="inlineStr">
        <is>
          <t>HEDEMORA</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22270-2023</t>
        </is>
      </c>
      <c r="B233" s="1" t="n">
        <v>45070.39284722223</v>
      </c>
      <c r="C233" s="1" t="n">
        <v>45923</v>
      </c>
      <c r="D233" t="inlineStr">
        <is>
          <t>DALARNAS LÄN</t>
        </is>
      </c>
      <c r="E233" t="inlineStr">
        <is>
          <t>HEDEMORA</t>
        </is>
      </c>
      <c r="G233" t="n">
        <v>1.8</v>
      </c>
      <c r="H233" t="n">
        <v>0</v>
      </c>
      <c r="I233" t="n">
        <v>0</v>
      </c>
      <c r="J233" t="n">
        <v>0</v>
      </c>
      <c r="K233" t="n">
        <v>0</v>
      </c>
      <c r="L233" t="n">
        <v>0</v>
      </c>
      <c r="M233" t="n">
        <v>0</v>
      </c>
      <c r="N233" t="n">
        <v>0</v>
      </c>
      <c r="O233" t="n">
        <v>0</v>
      </c>
      <c r="P233" t="n">
        <v>0</v>
      </c>
      <c r="Q233" t="n">
        <v>0</v>
      </c>
      <c r="R233" s="2" t="inlineStr"/>
    </row>
    <row r="234" ht="15" customHeight="1">
      <c r="A234" t="inlineStr">
        <is>
          <t>A 18579-2025</t>
        </is>
      </c>
      <c r="B234" s="1" t="n">
        <v>45763</v>
      </c>
      <c r="C234" s="1" t="n">
        <v>45923</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53576-2023</t>
        </is>
      </c>
      <c r="B235" s="1" t="n">
        <v>45230.50288194444</v>
      </c>
      <c r="C235" s="1" t="n">
        <v>45923</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19990-2025</t>
        </is>
      </c>
      <c r="B236" s="1" t="n">
        <v>45771.73082175926</v>
      </c>
      <c r="C236" s="1" t="n">
        <v>45923</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27610-2024</t>
        </is>
      </c>
      <c r="B237" s="1" t="n">
        <v>45474.73221064815</v>
      </c>
      <c r="C237" s="1" t="n">
        <v>45923</v>
      </c>
      <c r="D237" t="inlineStr">
        <is>
          <t>DALARNAS LÄN</t>
        </is>
      </c>
      <c r="E237" t="inlineStr">
        <is>
          <t>HEDEMORA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46825-2024</t>
        </is>
      </c>
      <c r="B238" s="1" t="n">
        <v>45583.58040509259</v>
      </c>
      <c r="C238" s="1" t="n">
        <v>45923</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48323-2021</t>
        </is>
      </c>
      <c r="B239" s="1" t="n">
        <v>44450.84762731481</v>
      </c>
      <c r="C239" s="1" t="n">
        <v>45923</v>
      </c>
      <c r="D239" t="inlineStr">
        <is>
          <t>DALARNAS LÄN</t>
        </is>
      </c>
      <c r="E239" t="inlineStr">
        <is>
          <t>HEDEMORA</t>
        </is>
      </c>
      <c r="G239" t="n">
        <v>0.9</v>
      </c>
      <c r="H239" t="n">
        <v>0</v>
      </c>
      <c r="I239" t="n">
        <v>0</v>
      </c>
      <c r="J239" t="n">
        <v>0</v>
      </c>
      <c r="K239" t="n">
        <v>0</v>
      </c>
      <c r="L239" t="n">
        <v>0</v>
      </c>
      <c r="M239" t="n">
        <v>0</v>
      </c>
      <c r="N239" t="n">
        <v>0</v>
      </c>
      <c r="O239" t="n">
        <v>0</v>
      </c>
      <c r="P239" t="n">
        <v>0</v>
      </c>
      <c r="Q239" t="n">
        <v>0</v>
      </c>
      <c r="R239" s="2" t="inlineStr"/>
    </row>
    <row r="240" ht="15" customHeight="1">
      <c r="A240" t="inlineStr">
        <is>
          <t>A 52942-2024</t>
        </is>
      </c>
      <c r="B240" s="1" t="n">
        <v>45610.8215625</v>
      </c>
      <c r="C240" s="1" t="n">
        <v>45923</v>
      </c>
      <c r="D240" t="inlineStr">
        <is>
          <t>DALARNAS LÄN</t>
        </is>
      </c>
      <c r="E240" t="inlineStr">
        <is>
          <t>HEDEMORA</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44348.64942129629</v>
      </c>
      <c r="C241" s="1" t="n">
        <v>45923</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22273-2023</t>
        </is>
      </c>
      <c r="B242" s="1" t="n">
        <v>45070</v>
      </c>
      <c r="C242" s="1" t="n">
        <v>45923</v>
      </c>
      <c r="D242" t="inlineStr">
        <is>
          <t>DALARNAS LÄN</t>
        </is>
      </c>
      <c r="E242" t="inlineStr">
        <is>
          <t>HEDEMORA</t>
        </is>
      </c>
      <c r="G242" t="n">
        <v>1.3</v>
      </c>
      <c r="H242" t="n">
        <v>0</v>
      </c>
      <c r="I242" t="n">
        <v>0</v>
      </c>
      <c r="J242" t="n">
        <v>0</v>
      </c>
      <c r="K242" t="n">
        <v>0</v>
      </c>
      <c r="L242" t="n">
        <v>0</v>
      </c>
      <c r="M242" t="n">
        <v>0</v>
      </c>
      <c r="N242" t="n">
        <v>0</v>
      </c>
      <c r="O242" t="n">
        <v>0</v>
      </c>
      <c r="P242" t="n">
        <v>0</v>
      </c>
      <c r="Q242" t="n">
        <v>0</v>
      </c>
      <c r="R242" s="2" t="inlineStr"/>
    </row>
    <row r="243" ht="15" customHeight="1">
      <c r="A243" t="inlineStr">
        <is>
          <t>A 68553-2021</t>
        </is>
      </c>
      <c r="B243" s="1" t="n">
        <v>44529</v>
      </c>
      <c r="C243" s="1" t="n">
        <v>45923</v>
      </c>
      <c r="D243" t="inlineStr">
        <is>
          <t>DALARNAS LÄN</t>
        </is>
      </c>
      <c r="E243" t="inlineStr">
        <is>
          <t>HEDEMORA</t>
        </is>
      </c>
      <c r="G243" t="n">
        <v>3</v>
      </c>
      <c r="H243" t="n">
        <v>0</v>
      </c>
      <c r="I243" t="n">
        <v>0</v>
      </c>
      <c r="J243" t="n">
        <v>0</v>
      </c>
      <c r="K243" t="n">
        <v>0</v>
      </c>
      <c r="L243" t="n">
        <v>0</v>
      </c>
      <c r="M243" t="n">
        <v>0</v>
      </c>
      <c r="N243" t="n">
        <v>0</v>
      </c>
      <c r="O243" t="n">
        <v>0</v>
      </c>
      <c r="P243" t="n">
        <v>0</v>
      </c>
      <c r="Q243" t="n">
        <v>0</v>
      </c>
      <c r="R243" s="2" t="inlineStr"/>
    </row>
    <row r="244" ht="15" customHeight="1">
      <c r="A244" t="inlineStr">
        <is>
          <t>A 17600-2025</t>
        </is>
      </c>
      <c r="B244" s="1" t="n">
        <v>45757.71063657408</v>
      </c>
      <c r="C244" s="1" t="n">
        <v>45923</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29123-2021</t>
        </is>
      </c>
      <c r="B245" s="1" t="n">
        <v>44358</v>
      </c>
      <c r="C245" s="1" t="n">
        <v>45923</v>
      </c>
      <c r="D245" t="inlineStr">
        <is>
          <t>DALARNAS LÄN</t>
        </is>
      </c>
      <c r="E245" t="inlineStr">
        <is>
          <t>HEDEMORA</t>
        </is>
      </c>
      <c r="G245" t="n">
        <v>5.6</v>
      </c>
      <c r="H245" t="n">
        <v>0</v>
      </c>
      <c r="I245" t="n">
        <v>0</v>
      </c>
      <c r="J245" t="n">
        <v>0</v>
      </c>
      <c r="K245" t="n">
        <v>0</v>
      </c>
      <c r="L245" t="n">
        <v>0</v>
      </c>
      <c r="M245" t="n">
        <v>0</v>
      </c>
      <c r="N245" t="n">
        <v>0</v>
      </c>
      <c r="O245" t="n">
        <v>0</v>
      </c>
      <c r="P245" t="n">
        <v>0</v>
      </c>
      <c r="Q245" t="n">
        <v>0</v>
      </c>
      <c r="R245" s="2" t="inlineStr"/>
    </row>
    <row r="246" ht="15" customHeight="1">
      <c r="A246" t="inlineStr">
        <is>
          <t>A 28029-2023</t>
        </is>
      </c>
      <c r="B246" s="1" t="n">
        <v>45099</v>
      </c>
      <c r="C246" s="1" t="n">
        <v>45923</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44438.72253472222</v>
      </c>
      <c r="C247" s="1" t="n">
        <v>45923</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59471-2020</t>
        </is>
      </c>
      <c r="B248" s="1" t="n">
        <v>44148</v>
      </c>
      <c r="C248" s="1" t="n">
        <v>45923</v>
      </c>
      <c r="D248" t="inlineStr">
        <is>
          <t>DALARNAS LÄN</t>
        </is>
      </c>
      <c r="E248" t="inlineStr">
        <is>
          <t>HEDEMORA</t>
        </is>
      </c>
      <c r="G248" t="n">
        <v>1.2</v>
      </c>
      <c r="H248" t="n">
        <v>0</v>
      </c>
      <c r="I248" t="n">
        <v>0</v>
      </c>
      <c r="J248" t="n">
        <v>0</v>
      </c>
      <c r="K248" t="n">
        <v>0</v>
      </c>
      <c r="L248" t="n">
        <v>0</v>
      </c>
      <c r="M248" t="n">
        <v>0</v>
      </c>
      <c r="N248" t="n">
        <v>0</v>
      </c>
      <c r="O248" t="n">
        <v>0</v>
      </c>
      <c r="P248" t="n">
        <v>0</v>
      </c>
      <c r="Q248" t="n">
        <v>0</v>
      </c>
      <c r="R248" s="2" t="inlineStr"/>
    </row>
    <row r="249" ht="15" customHeight="1">
      <c r="A249" t="inlineStr">
        <is>
          <t>A 58018-2022</t>
        </is>
      </c>
      <c r="B249" s="1" t="n">
        <v>44900.53383101852</v>
      </c>
      <c r="C249" s="1" t="n">
        <v>45923</v>
      </c>
      <c r="D249" t="inlineStr">
        <is>
          <t>DALARNAS LÄN</t>
        </is>
      </c>
      <c r="E249" t="inlineStr">
        <is>
          <t>HEDEMORA</t>
        </is>
      </c>
      <c r="G249" t="n">
        <v>3.6</v>
      </c>
      <c r="H249" t="n">
        <v>0</v>
      </c>
      <c r="I249" t="n">
        <v>0</v>
      </c>
      <c r="J249" t="n">
        <v>0</v>
      </c>
      <c r="K249" t="n">
        <v>0</v>
      </c>
      <c r="L249" t="n">
        <v>0</v>
      </c>
      <c r="M249" t="n">
        <v>0</v>
      </c>
      <c r="N249" t="n">
        <v>0</v>
      </c>
      <c r="O249" t="n">
        <v>0</v>
      </c>
      <c r="P249" t="n">
        <v>0</v>
      </c>
      <c r="Q249" t="n">
        <v>0</v>
      </c>
      <c r="R249" s="2" t="inlineStr"/>
    </row>
    <row r="250" ht="15" customHeight="1">
      <c r="A250" t="inlineStr">
        <is>
          <t>A 29050-2023</t>
        </is>
      </c>
      <c r="B250" s="1" t="n">
        <v>45104</v>
      </c>
      <c r="C250" s="1" t="n">
        <v>45923</v>
      </c>
      <c r="D250" t="inlineStr">
        <is>
          <t>DALARNAS LÄN</t>
        </is>
      </c>
      <c r="E250" t="inlineStr">
        <is>
          <t>HEDEMORA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63929-2023</t>
        </is>
      </c>
      <c r="B251" s="1" t="n">
        <v>45278.60274305556</v>
      </c>
      <c r="C251" s="1" t="n">
        <v>45923</v>
      </c>
      <c r="D251" t="inlineStr">
        <is>
          <t>DALARNAS LÄN</t>
        </is>
      </c>
      <c r="E251" t="inlineStr">
        <is>
          <t>HEDEMORA</t>
        </is>
      </c>
      <c r="G251" t="n">
        <v>0.4</v>
      </c>
      <c r="H251" t="n">
        <v>0</v>
      </c>
      <c r="I251" t="n">
        <v>0</v>
      </c>
      <c r="J251" t="n">
        <v>0</v>
      </c>
      <c r="K251" t="n">
        <v>0</v>
      </c>
      <c r="L251" t="n">
        <v>0</v>
      </c>
      <c r="M251" t="n">
        <v>0</v>
      </c>
      <c r="N251" t="n">
        <v>0</v>
      </c>
      <c r="O251" t="n">
        <v>0</v>
      </c>
      <c r="P251" t="n">
        <v>0</v>
      </c>
      <c r="Q251" t="n">
        <v>0</v>
      </c>
      <c r="R251" s="2" t="inlineStr"/>
    </row>
    <row r="252" ht="15" customHeight="1">
      <c r="A252" t="inlineStr">
        <is>
          <t>A 61883-2022</t>
        </is>
      </c>
      <c r="B252" s="1" t="n">
        <v>44917.67262731482</v>
      </c>
      <c r="C252" s="1" t="n">
        <v>45923</v>
      </c>
      <c r="D252" t="inlineStr">
        <is>
          <t>DALARNAS LÄN</t>
        </is>
      </c>
      <c r="E252" t="inlineStr">
        <is>
          <t>HEDEMORA</t>
        </is>
      </c>
      <c r="G252" t="n">
        <v>2.3</v>
      </c>
      <c r="H252" t="n">
        <v>0</v>
      </c>
      <c r="I252" t="n">
        <v>0</v>
      </c>
      <c r="J252" t="n">
        <v>0</v>
      </c>
      <c r="K252" t="n">
        <v>0</v>
      </c>
      <c r="L252" t="n">
        <v>0</v>
      </c>
      <c r="M252" t="n">
        <v>0</v>
      </c>
      <c r="N252" t="n">
        <v>0</v>
      </c>
      <c r="O252" t="n">
        <v>0</v>
      </c>
      <c r="P252" t="n">
        <v>0</v>
      </c>
      <c r="Q252" t="n">
        <v>0</v>
      </c>
      <c r="R252" s="2" t="inlineStr"/>
    </row>
    <row r="253" ht="15" customHeight="1">
      <c r="A253" t="inlineStr">
        <is>
          <t>A 37449-2024</t>
        </is>
      </c>
      <c r="B253" s="1" t="n">
        <v>45540</v>
      </c>
      <c r="C253" s="1" t="n">
        <v>45923</v>
      </c>
      <c r="D253" t="inlineStr">
        <is>
          <t>DALARNAS LÄN</t>
        </is>
      </c>
      <c r="E253" t="inlineStr">
        <is>
          <t>HEDEMORA</t>
        </is>
      </c>
      <c r="F253" t="inlineStr">
        <is>
          <t>Bergvik skog väst AB</t>
        </is>
      </c>
      <c r="G253" t="n">
        <v>10.1</v>
      </c>
      <c r="H253" t="n">
        <v>0</v>
      </c>
      <c r="I253" t="n">
        <v>0</v>
      </c>
      <c r="J253" t="n">
        <v>0</v>
      </c>
      <c r="K253" t="n">
        <v>0</v>
      </c>
      <c r="L253" t="n">
        <v>0</v>
      </c>
      <c r="M253" t="n">
        <v>0</v>
      </c>
      <c r="N253" t="n">
        <v>0</v>
      </c>
      <c r="O253" t="n">
        <v>0</v>
      </c>
      <c r="P253" t="n">
        <v>0</v>
      </c>
      <c r="Q253" t="n">
        <v>0</v>
      </c>
      <c r="R253" s="2" t="inlineStr"/>
    </row>
    <row r="254" ht="15" customHeight="1">
      <c r="A254" t="inlineStr">
        <is>
          <t>A 29301-2023</t>
        </is>
      </c>
      <c r="B254" s="1" t="n">
        <v>45105</v>
      </c>
      <c r="C254" s="1" t="n">
        <v>45923</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24427-2022</t>
        </is>
      </c>
      <c r="B255" s="1" t="n">
        <v>44726</v>
      </c>
      <c r="C255" s="1" t="n">
        <v>45923</v>
      </c>
      <c r="D255" t="inlineStr">
        <is>
          <t>DALARNAS LÄN</t>
        </is>
      </c>
      <c r="E255" t="inlineStr">
        <is>
          <t>HEDEMORA</t>
        </is>
      </c>
      <c r="G255" t="n">
        <v>1.7</v>
      </c>
      <c r="H255" t="n">
        <v>0</v>
      </c>
      <c r="I255" t="n">
        <v>0</v>
      </c>
      <c r="J255" t="n">
        <v>0</v>
      </c>
      <c r="K255" t="n">
        <v>0</v>
      </c>
      <c r="L255" t="n">
        <v>0</v>
      </c>
      <c r="M255" t="n">
        <v>0</v>
      </c>
      <c r="N255" t="n">
        <v>0</v>
      </c>
      <c r="O255" t="n">
        <v>0</v>
      </c>
      <c r="P255" t="n">
        <v>0</v>
      </c>
      <c r="Q255" t="n">
        <v>0</v>
      </c>
      <c r="R255" s="2" t="inlineStr"/>
    </row>
    <row r="256" ht="15" customHeight="1">
      <c r="A256" t="inlineStr">
        <is>
          <t>A 40801-2024</t>
        </is>
      </c>
      <c r="B256" s="1" t="n">
        <v>45558.52905092593</v>
      </c>
      <c r="C256" s="1" t="n">
        <v>45923</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7172-2025</t>
        </is>
      </c>
      <c r="B257" s="1" t="n">
        <v>45702.41383101852</v>
      </c>
      <c r="C257" s="1" t="n">
        <v>45923</v>
      </c>
      <c r="D257" t="inlineStr">
        <is>
          <t>DALARNAS LÄN</t>
        </is>
      </c>
      <c r="E257" t="inlineStr">
        <is>
          <t>HEDEMORA</t>
        </is>
      </c>
      <c r="G257" t="n">
        <v>0.8</v>
      </c>
      <c r="H257" t="n">
        <v>0</v>
      </c>
      <c r="I257" t="n">
        <v>0</v>
      </c>
      <c r="J257" t="n">
        <v>0</v>
      </c>
      <c r="K257" t="n">
        <v>0</v>
      </c>
      <c r="L257" t="n">
        <v>0</v>
      </c>
      <c r="M257" t="n">
        <v>0</v>
      </c>
      <c r="N257" t="n">
        <v>0</v>
      </c>
      <c r="O257" t="n">
        <v>0</v>
      </c>
      <c r="P257" t="n">
        <v>0</v>
      </c>
      <c r="Q257" t="n">
        <v>0</v>
      </c>
      <c r="R257" s="2" t="inlineStr"/>
    </row>
    <row r="258" ht="15" customHeight="1">
      <c r="A258" t="inlineStr">
        <is>
          <t>A 36306-2024</t>
        </is>
      </c>
      <c r="B258" s="1" t="n">
        <v>45534.61327546297</v>
      </c>
      <c r="C258" s="1" t="n">
        <v>45923</v>
      </c>
      <c r="D258" t="inlineStr">
        <is>
          <t>DALARNAS LÄN</t>
        </is>
      </c>
      <c r="E258" t="inlineStr">
        <is>
          <t>HEDEMORA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42894-2024</t>
        </is>
      </c>
      <c r="B259" s="1" t="n">
        <v>45566.82304398148</v>
      </c>
      <c r="C259" s="1" t="n">
        <v>45923</v>
      </c>
      <c r="D259" t="inlineStr">
        <is>
          <t>DALARNAS LÄN</t>
        </is>
      </c>
      <c r="E259" t="inlineStr">
        <is>
          <t>HEDEMORA</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42895-2024</t>
        </is>
      </c>
      <c r="B260" s="1" t="n">
        <v>45566.82385416667</v>
      </c>
      <c r="C260" s="1" t="n">
        <v>45923</v>
      </c>
      <c r="D260" t="inlineStr">
        <is>
          <t>DALARNAS LÄN</t>
        </is>
      </c>
      <c r="E260" t="inlineStr">
        <is>
          <t>HEDEMORA</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7914-2024</t>
        </is>
      </c>
      <c r="B261" s="1" t="n">
        <v>45350.46003472222</v>
      </c>
      <c r="C261" s="1" t="n">
        <v>45923</v>
      </c>
      <c r="D261" t="inlineStr">
        <is>
          <t>DALARNAS LÄN</t>
        </is>
      </c>
      <c r="E261" t="inlineStr">
        <is>
          <t>HEDEMORA</t>
        </is>
      </c>
      <c r="G261" t="n">
        <v>4.1</v>
      </c>
      <c r="H261" t="n">
        <v>0</v>
      </c>
      <c r="I261" t="n">
        <v>0</v>
      </c>
      <c r="J261" t="n">
        <v>0</v>
      </c>
      <c r="K261" t="n">
        <v>0</v>
      </c>
      <c r="L261" t="n">
        <v>0</v>
      </c>
      <c r="M261" t="n">
        <v>0</v>
      </c>
      <c r="N261" t="n">
        <v>0</v>
      </c>
      <c r="O261" t="n">
        <v>0</v>
      </c>
      <c r="P261" t="n">
        <v>0</v>
      </c>
      <c r="Q261" t="n">
        <v>0</v>
      </c>
      <c r="R261" s="2" t="inlineStr"/>
    </row>
    <row r="262" ht="15" customHeight="1">
      <c r="A262" t="inlineStr">
        <is>
          <t>A 61533-2021</t>
        </is>
      </c>
      <c r="B262" s="1" t="n">
        <v>44501</v>
      </c>
      <c r="C262" s="1" t="n">
        <v>45923</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29591-2024</t>
        </is>
      </c>
      <c r="B263" s="1" t="n">
        <v>45484.58222222222</v>
      </c>
      <c r="C263" s="1" t="n">
        <v>45923</v>
      </c>
      <c r="D263" t="inlineStr">
        <is>
          <t>DALARNAS LÄN</t>
        </is>
      </c>
      <c r="E263" t="inlineStr">
        <is>
          <t>HEDEMORA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9314-2024</t>
        </is>
      </c>
      <c r="B264" s="1" t="n">
        <v>45358</v>
      </c>
      <c r="C264" s="1" t="n">
        <v>45923</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53588-2023</t>
        </is>
      </c>
      <c r="B265" s="1" t="n">
        <v>45230.53109953704</v>
      </c>
      <c r="C265" s="1" t="n">
        <v>45923</v>
      </c>
      <c r="D265" t="inlineStr">
        <is>
          <t>DALARNAS LÄN</t>
        </is>
      </c>
      <c r="E265" t="inlineStr">
        <is>
          <t>HEDEMORA</t>
        </is>
      </c>
      <c r="G265" t="n">
        <v>0.6</v>
      </c>
      <c r="H265" t="n">
        <v>0</v>
      </c>
      <c r="I265" t="n">
        <v>0</v>
      </c>
      <c r="J265" t="n">
        <v>0</v>
      </c>
      <c r="K265" t="n">
        <v>0</v>
      </c>
      <c r="L265" t="n">
        <v>0</v>
      </c>
      <c r="M265" t="n">
        <v>0</v>
      </c>
      <c r="N265" t="n">
        <v>0</v>
      </c>
      <c r="O265" t="n">
        <v>0</v>
      </c>
      <c r="P265" t="n">
        <v>0</v>
      </c>
      <c r="Q265" t="n">
        <v>0</v>
      </c>
      <c r="R265" s="2" t="inlineStr"/>
    </row>
    <row r="266" ht="15" customHeight="1">
      <c r="A266" t="inlineStr">
        <is>
          <t>A 73099-2021</t>
        </is>
      </c>
      <c r="B266" s="1" t="n">
        <v>44546</v>
      </c>
      <c r="C266" s="1" t="n">
        <v>45923</v>
      </c>
      <c r="D266" t="inlineStr">
        <is>
          <t>DALARNAS LÄN</t>
        </is>
      </c>
      <c r="E266" t="inlineStr">
        <is>
          <t>HEDEMORA</t>
        </is>
      </c>
      <c r="G266" t="n">
        <v>4.5</v>
      </c>
      <c r="H266" t="n">
        <v>0</v>
      </c>
      <c r="I266" t="n">
        <v>0</v>
      </c>
      <c r="J266" t="n">
        <v>0</v>
      </c>
      <c r="K266" t="n">
        <v>0</v>
      </c>
      <c r="L266" t="n">
        <v>0</v>
      </c>
      <c r="M266" t="n">
        <v>0</v>
      </c>
      <c r="N266" t="n">
        <v>0</v>
      </c>
      <c r="O266" t="n">
        <v>0</v>
      </c>
      <c r="P266" t="n">
        <v>0</v>
      </c>
      <c r="Q266" t="n">
        <v>0</v>
      </c>
      <c r="R266" s="2" t="inlineStr"/>
    </row>
    <row r="267" ht="15" customHeight="1">
      <c r="A267" t="inlineStr">
        <is>
          <t>A 55882-2023</t>
        </is>
      </c>
      <c r="B267" s="1" t="n">
        <v>45239</v>
      </c>
      <c r="C267" s="1" t="n">
        <v>45923</v>
      </c>
      <c r="D267" t="inlineStr">
        <is>
          <t>DALARNAS LÄN</t>
        </is>
      </c>
      <c r="E267" t="inlineStr">
        <is>
          <t>HEDEMORA</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50885-2023</t>
        </is>
      </c>
      <c r="B268" s="1" t="n">
        <v>45218.38459490741</v>
      </c>
      <c r="C268" s="1" t="n">
        <v>45923</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65057-2023</t>
        </is>
      </c>
      <c r="B269" s="1" t="n">
        <v>45287</v>
      </c>
      <c r="C269" s="1" t="n">
        <v>45923</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45923</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38947-2023</t>
        </is>
      </c>
      <c r="B271" s="1" t="n">
        <v>45163.61209490741</v>
      </c>
      <c r="C271" s="1" t="n">
        <v>45923</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38951-2023</t>
        </is>
      </c>
      <c r="B272" s="1" t="n">
        <v>45163.61413194444</v>
      </c>
      <c r="C272" s="1" t="n">
        <v>45923</v>
      </c>
      <c r="D272" t="inlineStr">
        <is>
          <t>DALARNAS LÄN</t>
        </is>
      </c>
      <c r="E272" t="inlineStr">
        <is>
          <t>HEDEMORA</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60808-2024</t>
        </is>
      </c>
      <c r="B273" s="1" t="n">
        <v>45644.61251157407</v>
      </c>
      <c r="C273" s="1" t="n">
        <v>45923</v>
      </c>
      <c r="D273" t="inlineStr">
        <is>
          <t>DALARNAS LÄN</t>
        </is>
      </c>
      <c r="E273" t="inlineStr">
        <is>
          <t>HEDEMORA</t>
        </is>
      </c>
      <c r="G273" t="n">
        <v>6</v>
      </c>
      <c r="H273" t="n">
        <v>0</v>
      </c>
      <c r="I273" t="n">
        <v>0</v>
      </c>
      <c r="J273" t="n">
        <v>0</v>
      </c>
      <c r="K273" t="n">
        <v>0</v>
      </c>
      <c r="L273" t="n">
        <v>0</v>
      </c>
      <c r="M273" t="n">
        <v>0</v>
      </c>
      <c r="N273" t="n">
        <v>0</v>
      </c>
      <c r="O273" t="n">
        <v>0</v>
      </c>
      <c r="P273" t="n">
        <v>0</v>
      </c>
      <c r="Q273" t="n">
        <v>0</v>
      </c>
      <c r="R273" s="2" t="inlineStr"/>
    </row>
    <row r="274" ht="15" customHeight="1">
      <c r="A274" t="inlineStr">
        <is>
          <t>A 55832-2024</t>
        </is>
      </c>
      <c r="B274" s="1" t="n">
        <v>45623.48604166666</v>
      </c>
      <c r="C274" s="1" t="n">
        <v>45923</v>
      </c>
      <c r="D274" t="inlineStr">
        <is>
          <t>DALARNAS LÄN</t>
        </is>
      </c>
      <c r="E274" t="inlineStr">
        <is>
          <t>HEDEMORA</t>
        </is>
      </c>
      <c r="G274" t="n">
        <v>3</v>
      </c>
      <c r="H274" t="n">
        <v>0</v>
      </c>
      <c r="I274" t="n">
        <v>0</v>
      </c>
      <c r="J274" t="n">
        <v>0</v>
      </c>
      <c r="K274" t="n">
        <v>0</v>
      </c>
      <c r="L274" t="n">
        <v>0</v>
      </c>
      <c r="M274" t="n">
        <v>0</v>
      </c>
      <c r="N274" t="n">
        <v>0</v>
      </c>
      <c r="O274" t="n">
        <v>0</v>
      </c>
      <c r="P274" t="n">
        <v>0</v>
      </c>
      <c r="Q274" t="n">
        <v>0</v>
      </c>
      <c r="R274" s="2" t="inlineStr"/>
    </row>
    <row r="275" ht="15" customHeight="1">
      <c r="A275" t="inlineStr">
        <is>
          <t>A 52945-2024</t>
        </is>
      </c>
      <c r="B275" s="1" t="n">
        <v>45610.82664351852</v>
      </c>
      <c r="C275" s="1" t="n">
        <v>45923</v>
      </c>
      <c r="D275" t="inlineStr">
        <is>
          <t>DALARNAS LÄN</t>
        </is>
      </c>
      <c r="E275" t="inlineStr">
        <is>
          <t>HEDEMORA</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58111-2020</t>
        </is>
      </c>
      <c r="B276" s="1" t="n">
        <v>44144</v>
      </c>
      <c r="C276" s="1" t="n">
        <v>45923</v>
      </c>
      <c r="D276" t="inlineStr">
        <is>
          <t>DALARNAS LÄN</t>
        </is>
      </c>
      <c r="E276" t="inlineStr">
        <is>
          <t>HEDEMORA</t>
        </is>
      </c>
      <c r="G276" t="n">
        <v>3.1</v>
      </c>
      <c r="H276" t="n">
        <v>0</v>
      </c>
      <c r="I276" t="n">
        <v>0</v>
      </c>
      <c r="J276" t="n">
        <v>0</v>
      </c>
      <c r="K276" t="n">
        <v>0</v>
      </c>
      <c r="L276" t="n">
        <v>0</v>
      </c>
      <c r="M276" t="n">
        <v>0</v>
      </c>
      <c r="N276" t="n">
        <v>0</v>
      </c>
      <c r="O276" t="n">
        <v>0</v>
      </c>
      <c r="P276" t="n">
        <v>0</v>
      </c>
      <c r="Q276" t="n">
        <v>0</v>
      </c>
      <c r="R276" s="2" t="inlineStr"/>
    </row>
    <row r="277" ht="15" customHeight="1">
      <c r="A277" t="inlineStr">
        <is>
          <t>A 56620-2024</t>
        </is>
      </c>
      <c r="B277" s="1" t="n">
        <v>45625</v>
      </c>
      <c r="C277" s="1" t="n">
        <v>45923</v>
      </c>
      <c r="D277" t="inlineStr">
        <is>
          <t>DALARNAS LÄN</t>
        </is>
      </c>
      <c r="E277" t="inlineStr">
        <is>
          <t>HEDEMORA</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20670-2024</t>
        </is>
      </c>
      <c r="B278" s="1" t="n">
        <v>45436</v>
      </c>
      <c r="C278" s="1" t="n">
        <v>45923</v>
      </c>
      <c r="D278" t="inlineStr">
        <is>
          <t>DALARNAS LÄN</t>
        </is>
      </c>
      <c r="E278" t="inlineStr">
        <is>
          <t>HEDEMORA</t>
        </is>
      </c>
      <c r="G278" t="n">
        <v>2.7</v>
      </c>
      <c r="H278" t="n">
        <v>0</v>
      </c>
      <c r="I278" t="n">
        <v>0</v>
      </c>
      <c r="J278" t="n">
        <v>0</v>
      </c>
      <c r="K278" t="n">
        <v>0</v>
      </c>
      <c r="L278" t="n">
        <v>0</v>
      </c>
      <c r="M278" t="n">
        <v>0</v>
      </c>
      <c r="N278" t="n">
        <v>0</v>
      </c>
      <c r="O278" t="n">
        <v>0</v>
      </c>
      <c r="P278" t="n">
        <v>0</v>
      </c>
      <c r="Q278" t="n">
        <v>0</v>
      </c>
      <c r="R278" s="2" t="inlineStr"/>
    </row>
    <row r="279" ht="15" customHeight="1">
      <c r="A279" t="inlineStr">
        <is>
          <t>A 53922-2024</t>
        </is>
      </c>
      <c r="B279" s="1" t="n">
        <v>45615.78459490741</v>
      </c>
      <c r="C279" s="1" t="n">
        <v>45923</v>
      </c>
      <c r="D279" t="inlineStr">
        <is>
          <t>DALARNAS LÄN</t>
        </is>
      </c>
      <c r="E279" t="inlineStr">
        <is>
          <t>HEDEMORA</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14968-2025</t>
        </is>
      </c>
      <c r="B280" s="1" t="n">
        <v>45743.59052083334</v>
      </c>
      <c r="C280" s="1" t="n">
        <v>45923</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14949-2025</t>
        </is>
      </c>
      <c r="B281" s="1" t="n">
        <v>45743.5745949074</v>
      </c>
      <c r="C281" s="1" t="n">
        <v>45923</v>
      </c>
      <c r="D281" t="inlineStr">
        <is>
          <t>DALARNAS LÄN</t>
        </is>
      </c>
      <c r="E281" t="inlineStr">
        <is>
          <t>HEDEMORA</t>
        </is>
      </c>
      <c r="G281" t="n">
        <v>2.5</v>
      </c>
      <c r="H281" t="n">
        <v>0</v>
      </c>
      <c r="I281" t="n">
        <v>0</v>
      </c>
      <c r="J281" t="n">
        <v>0</v>
      </c>
      <c r="K281" t="n">
        <v>0</v>
      </c>
      <c r="L281" t="n">
        <v>0</v>
      </c>
      <c r="M281" t="n">
        <v>0</v>
      </c>
      <c r="N281" t="n">
        <v>0</v>
      </c>
      <c r="O281" t="n">
        <v>0</v>
      </c>
      <c r="P281" t="n">
        <v>0</v>
      </c>
      <c r="Q281" t="n">
        <v>0</v>
      </c>
      <c r="R281" s="2" t="inlineStr"/>
    </row>
    <row r="282" ht="15" customHeight="1">
      <c r="A282" t="inlineStr">
        <is>
          <t>A 27609-2024</t>
        </is>
      </c>
      <c r="B282" s="1" t="n">
        <v>45474.73076388889</v>
      </c>
      <c r="C282" s="1" t="n">
        <v>45923</v>
      </c>
      <c r="D282" t="inlineStr">
        <is>
          <t>DALARNAS LÄN</t>
        </is>
      </c>
      <c r="E282" t="inlineStr">
        <is>
          <t>HEDEMORA</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16413-2024</t>
        </is>
      </c>
      <c r="B283" s="1" t="n">
        <v>45407.64223379629</v>
      </c>
      <c r="C283" s="1" t="n">
        <v>45923</v>
      </c>
      <c r="D283" t="inlineStr">
        <is>
          <t>DALARNAS LÄN</t>
        </is>
      </c>
      <c r="E283" t="inlineStr">
        <is>
          <t>HEDEMORA</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19473-2024</t>
        </is>
      </c>
      <c r="B284" s="1" t="n">
        <v>45429</v>
      </c>
      <c r="C284" s="1" t="n">
        <v>45923</v>
      </c>
      <c r="D284" t="inlineStr">
        <is>
          <t>DALARNAS LÄN</t>
        </is>
      </c>
      <c r="E284" t="inlineStr">
        <is>
          <t>HEDEMORA</t>
        </is>
      </c>
      <c r="G284" t="n">
        <v>2.5</v>
      </c>
      <c r="H284" t="n">
        <v>0</v>
      </c>
      <c r="I284" t="n">
        <v>0</v>
      </c>
      <c r="J284" t="n">
        <v>0</v>
      </c>
      <c r="K284" t="n">
        <v>0</v>
      </c>
      <c r="L284" t="n">
        <v>0</v>
      </c>
      <c r="M284" t="n">
        <v>0</v>
      </c>
      <c r="N284" t="n">
        <v>0</v>
      </c>
      <c r="O284" t="n">
        <v>0</v>
      </c>
      <c r="P284" t="n">
        <v>0</v>
      </c>
      <c r="Q284" t="n">
        <v>0</v>
      </c>
      <c r="R284" s="2" t="inlineStr"/>
    </row>
    <row r="285" ht="15" customHeight="1">
      <c r="A285" t="inlineStr">
        <is>
          <t>A 20965-2025</t>
        </is>
      </c>
      <c r="B285" s="1" t="n">
        <v>45777.45135416667</v>
      </c>
      <c r="C285" s="1" t="n">
        <v>45923</v>
      </c>
      <c r="D285" t="inlineStr">
        <is>
          <t>DALARNAS LÄN</t>
        </is>
      </c>
      <c r="E285" t="inlineStr">
        <is>
          <t>HEDEMORA</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41435-2023</t>
        </is>
      </c>
      <c r="B286" s="1" t="n">
        <v>45170</v>
      </c>
      <c r="C286" s="1" t="n">
        <v>45923</v>
      </c>
      <c r="D286" t="inlineStr">
        <is>
          <t>DALARNAS LÄN</t>
        </is>
      </c>
      <c r="E286" t="inlineStr">
        <is>
          <t>HEDEMORA</t>
        </is>
      </c>
      <c r="G286" t="n">
        <v>2.9</v>
      </c>
      <c r="H286" t="n">
        <v>0</v>
      </c>
      <c r="I286" t="n">
        <v>0</v>
      </c>
      <c r="J286" t="n">
        <v>0</v>
      </c>
      <c r="K286" t="n">
        <v>0</v>
      </c>
      <c r="L286" t="n">
        <v>0</v>
      </c>
      <c r="M286" t="n">
        <v>0</v>
      </c>
      <c r="N286" t="n">
        <v>0</v>
      </c>
      <c r="O286" t="n">
        <v>0</v>
      </c>
      <c r="P286" t="n">
        <v>0</v>
      </c>
      <c r="Q286" t="n">
        <v>0</v>
      </c>
      <c r="R286" s="2" t="inlineStr"/>
    </row>
    <row r="287" ht="15" customHeight="1">
      <c r="A287" t="inlineStr">
        <is>
          <t>A 54312-2024</t>
        </is>
      </c>
      <c r="B287" s="1" t="n">
        <v>45617.3434837963</v>
      </c>
      <c r="C287" s="1" t="n">
        <v>45923</v>
      </c>
      <c r="D287" t="inlineStr">
        <is>
          <t>DALARNAS LÄN</t>
        </is>
      </c>
      <c r="E287" t="inlineStr">
        <is>
          <t>HEDEMORA</t>
        </is>
      </c>
      <c r="F287" t="inlineStr">
        <is>
          <t>Bergvik skog väst AB</t>
        </is>
      </c>
      <c r="G287" t="n">
        <v>13.9</v>
      </c>
      <c r="H287" t="n">
        <v>0</v>
      </c>
      <c r="I287" t="n">
        <v>0</v>
      </c>
      <c r="J287" t="n">
        <v>0</v>
      </c>
      <c r="K287" t="n">
        <v>0</v>
      </c>
      <c r="L287" t="n">
        <v>0</v>
      </c>
      <c r="M287" t="n">
        <v>0</v>
      </c>
      <c r="N287" t="n">
        <v>0</v>
      </c>
      <c r="O287" t="n">
        <v>0</v>
      </c>
      <c r="P287" t="n">
        <v>0</v>
      </c>
      <c r="Q287" t="n">
        <v>0</v>
      </c>
      <c r="R287" s="2" t="inlineStr"/>
    </row>
    <row r="288" ht="15" customHeight="1">
      <c r="A288" t="inlineStr">
        <is>
          <t>A 29585-2024</t>
        </is>
      </c>
      <c r="B288" s="1" t="n">
        <v>45484.57728009259</v>
      </c>
      <c r="C288" s="1" t="n">
        <v>45923</v>
      </c>
      <c r="D288" t="inlineStr">
        <is>
          <t>DALARNAS LÄN</t>
        </is>
      </c>
      <c r="E288" t="inlineStr">
        <is>
          <t>HEDEMORA</t>
        </is>
      </c>
      <c r="F288" t="inlineStr">
        <is>
          <t>Bergvik skog väst AB</t>
        </is>
      </c>
      <c r="G288" t="n">
        <v>8.1</v>
      </c>
      <c r="H288" t="n">
        <v>0</v>
      </c>
      <c r="I288" t="n">
        <v>0</v>
      </c>
      <c r="J288" t="n">
        <v>0</v>
      </c>
      <c r="K288" t="n">
        <v>0</v>
      </c>
      <c r="L288" t="n">
        <v>0</v>
      </c>
      <c r="M288" t="n">
        <v>0</v>
      </c>
      <c r="N288" t="n">
        <v>0</v>
      </c>
      <c r="O288" t="n">
        <v>0</v>
      </c>
      <c r="P288" t="n">
        <v>0</v>
      </c>
      <c r="Q288" t="n">
        <v>0</v>
      </c>
      <c r="R288" s="2" t="inlineStr"/>
    </row>
    <row r="289" ht="15" customHeight="1">
      <c r="A289" t="inlineStr">
        <is>
          <t>A 63941-2023</t>
        </is>
      </c>
      <c r="B289" s="1" t="n">
        <v>45278.61277777778</v>
      </c>
      <c r="C289" s="1" t="n">
        <v>45923</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43785-2023</t>
        </is>
      </c>
      <c r="B290" s="1" t="n">
        <v>45187</v>
      </c>
      <c r="C290" s="1" t="n">
        <v>45923</v>
      </c>
      <c r="D290" t="inlineStr">
        <is>
          <t>DALARNAS LÄN</t>
        </is>
      </c>
      <c r="E290" t="inlineStr">
        <is>
          <t>HEDEMORA</t>
        </is>
      </c>
      <c r="F290" t="inlineStr">
        <is>
          <t>Sveaskog</t>
        </is>
      </c>
      <c r="G290" t="n">
        <v>5.7</v>
      </c>
      <c r="H290" t="n">
        <v>0</v>
      </c>
      <c r="I290" t="n">
        <v>0</v>
      </c>
      <c r="J290" t="n">
        <v>0</v>
      </c>
      <c r="K290" t="n">
        <v>0</v>
      </c>
      <c r="L290" t="n">
        <v>0</v>
      </c>
      <c r="M290" t="n">
        <v>0</v>
      </c>
      <c r="N290" t="n">
        <v>0</v>
      </c>
      <c r="O290" t="n">
        <v>0</v>
      </c>
      <c r="P290" t="n">
        <v>0</v>
      </c>
      <c r="Q290" t="n">
        <v>0</v>
      </c>
      <c r="R290" s="2" t="inlineStr"/>
    </row>
    <row r="291" ht="15" customHeight="1">
      <c r="A291" t="inlineStr">
        <is>
          <t>A 6210-2024</t>
        </is>
      </c>
      <c r="B291" s="1" t="n">
        <v>45337</v>
      </c>
      <c r="C291" s="1" t="n">
        <v>45923</v>
      </c>
      <c r="D291" t="inlineStr">
        <is>
          <t>DALARNAS LÄN</t>
        </is>
      </c>
      <c r="E291" t="inlineStr">
        <is>
          <t>HEDEMORA</t>
        </is>
      </c>
      <c r="G291" t="n">
        <v>2.6</v>
      </c>
      <c r="H291" t="n">
        <v>0</v>
      </c>
      <c r="I291" t="n">
        <v>0</v>
      </c>
      <c r="J291" t="n">
        <v>0</v>
      </c>
      <c r="K291" t="n">
        <v>0</v>
      </c>
      <c r="L291" t="n">
        <v>0</v>
      </c>
      <c r="M291" t="n">
        <v>0</v>
      </c>
      <c r="N291" t="n">
        <v>0</v>
      </c>
      <c r="O291" t="n">
        <v>0</v>
      </c>
      <c r="P291" t="n">
        <v>0</v>
      </c>
      <c r="Q291" t="n">
        <v>0</v>
      </c>
      <c r="R291" s="2" t="inlineStr"/>
    </row>
    <row r="292" ht="15" customHeight="1">
      <c r="A292" t="inlineStr">
        <is>
          <t>A 21869-2025</t>
        </is>
      </c>
      <c r="B292" s="1" t="n">
        <v>45784.37449074074</v>
      </c>
      <c r="C292" s="1" t="n">
        <v>45923</v>
      </c>
      <c r="D292" t="inlineStr">
        <is>
          <t>DALARNAS LÄN</t>
        </is>
      </c>
      <c r="E292" t="inlineStr">
        <is>
          <t>HEDEMORA</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69624-2021</t>
        </is>
      </c>
      <c r="B293" s="1" t="n">
        <v>44532.41442129629</v>
      </c>
      <c r="C293" s="1" t="n">
        <v>45923</v>
      </c>
      <c r="D293" t="inlineStr">
        <is>
          <t>DALARNAS LÄN</t>
        </is>
      </c>
      <c r="E293" t="inlineStr">
        <is>
          <t>HEDEMORA</t>
        </is>
      </c>
      <c r="G293" t="n">
        <v>0.4</v>
      </c>
      <c r="H293" t="n">
        <v>0</v>
      </c>
      <c r="I293" t="n">
        <v>0</v>
      </c>
      <c r="J293" t="n">
        <v>0</v>
      </c>
      <c r="K293" t="n">
        <v>0</v>
      </c>
      <c r="L293" t="n">
        <v>0</v>
      </c>
      <c r="M293" t="n">
        <v>0</v>
      </c>
      <c r="N293" t="n">
        <v>0</v>
      </c>
      <c r="O293" t="n">
        <v>0</v>
      </c>
      <c r="P293" t="n">
        <v>0</v>
      </c>
      <c r="Q293" t="n">
        <v>0</v>
      </c>
      <c r="R293" s="2" t="inlineStr"/>
    </row>
    <row r="294" ht="15" customHeight="1">
      <c r="A294" t="inlineStr">
        <is>
          <t>A 30430-2023</t>
        </is>
      </c>
      <c r="B294" s="1" t="n">
        <v>45111.54344907407</v>
      </c>
      <c r="C294" s="1" t="n">
        <v>45923</v>
      </c>
      <c r="D294" t="inlineStr">
        <is>
          <t>DALARNAS LÄN</t>
        </is>
      </c>
      <c r="E294" t="inlineStr">
        <is>
          <t>HEDEMORA</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63925-2023</t>
        </is>
      </c>
      <c r="B295" s="1" t="n">
        <v>45278</v>
      </c>
      <c r="C295" s="1" t="n">
        <v>45923</v>
      </c>
      <c r="D295" t="inlineStr">
        <is>
          <t>DALARNAS LÄN</t>
        </is>
      </c>
      <c r="E295" t="inlineStr">
        <is>
          <t>HEDEMORA</t>
        </is>
      </c>
      <c r="G295" t="n">
        <v>5.2</v>
      </c>
      <c r="H295" t="n">
        <v>0</v>
      </c>
      <c r="I295" t="n">
        <v>0</v>
      </c>
      <c r="J295" t="n">
        <v>0</v>
      </c>
      <c r="K295" t="n">
        <v>0</v>
      </c>
      <c r="L295" t="n">
        <v>0</v>
      </c>
      <c r="M295" t="n">
        <v>0</v>
      </c>
      <c r="N295" t="n">
        <v>0</v>
      </c>
      <c r="O295" t="n">
        <v>0</v>
      </c>
      <c r="P295" t="n">
        <v>0</v>
      </c>
      <c r="Q295" t="n">
        <v>0</v>
      </c>
      <c r="R295" s="2" t="inlineStr"/>
    </row>
    <row r="296" ht="15" customHeight="1">
      <c r="A296" t="inlineStr">
        <is>
          <t>A 6881-2024</t>
        </is>
      </c>
      <c r="B296" s="1" t="n">
        <v>45342.8779050926</v>
      </c>
      <c r="C296" s="1" t="n">
        <v>45923</v>
      </c>
      <c r="D296" t="inlineStr">
        <is>
          <t>DALARNAS LÄN</t>
        </is>
      </c>
      <c r="E296" t="inlineStr">
        <is>
          <t>HEDEMORA</t>
        </is>
      </c>
      <c r="G296" t="n">
        <v>2.5</v>
      </c>
      <c r="H296" t="n">
        <v>0</v>
      </c>
      <c r="I296" t="n">
        <v>0</v>
      </c>
      <c r="J296" t="n">
        <v>0</v>
      </c>
      <c r="K296" t="n">
        <v>0</v>
      </c>
      <c r="L296" t="n">
        <v>0</v>
      </c>
      <c r="M296" t="n">
        <v>0</v>
      </c>
      <c r="N296" t="n">
        <v>0</v>
      </c>
      <c r="O296" t="n">
        <v>0</v>
      </c>
      <c r="P296" t="n">
        <v>0</v>
      </c>
      <c r="Q296" t="n">
        <v>0</v>
      </c>
      <c r="R296" s="2" t="inlineStr"/>
    </row>
    <row r="297" ht="15" customHeight="1">
      <c r="A297" t="inlineStr">
        <is>
          <t>A 28813-2024</t>
        </is>
      </c>
      <c r="B297" s="1" t="n">
        <v>45478.641875</v>
      </c>
      <c r="C297" s="1" t="n">
        <v>45923</v>
      </c>
      <c r="D297" t="inlineStr">
        <is>
          <t>DALARNAS LÄN</t>
        </is>
      </c>
      <c r="E297" t="inlineStr">
        <is>
          <t>HEDEMORA</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19353-2024</t>
        </is>
      </c>
      <c r="B298" s="1" t="n">
        <v>45429.29666666667</v>
      </c>
      <c r="C298" s="1" t="n">
        <v>45923</v>
      </c>
      <c r="D298" t="inlineStr">
        <is>
          <t>DALARNAS LÄN</t>
        </is>
      </c>
      <c r="E298" t="inlineStr">
        <is>
          <t>HEDEMORA</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19988-2025</t>
        </is>
      </c>
      <c r="B299" s="1" t="n">
        <v>45771.72665509259</v>
      </c>
      <c r="C299" s="1" t="n">
        <v>45923</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48380-2024</t>
        </is>
      </c>
      <c r="B300" s="1" t="n">
        <v>45590</v>
      </c>
      <c r="C300" s="1" t="n">
        <v>45923</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52199-2021</t>
        </is>
      </c>
      <c r="B301" s="1" t="n">
        <v>44462</v>
      </c>
      <c r="C301" s="1" t="n">
        <v>45923</v>
      </c>
      <c r="D301" t="inlineStr">
        <is>
          <t>DALARNAS LÄN</t>
        </is>
      </c>
      <c r="E301" t="inlineStr">
        <is>
          <t>HEDEMORA</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29640-2024</t>
        </is>
      </c>
      <c r="B302" s="1" t="n">
        <v>45484.69837962963</v>
      </c>
      <c r="C302" s="1" t="n">
        <v>45923</v>
      </c>
      <c r="D302" t="inlineStr">
        <is>
          <t>DALARNAS LÄN</t>
        </is>
      </c>
      <c r="E302" t="inlineStr">
        <is>
          <t>HEDEMORA</t>
        </is>
      </c>
      <c r="F302" t="inlineStr">
        <is>
          <t>Bergvik skog väst AB</t>
        </is>
      </c>
      <c r="G302" t="n">
        <v>8.6</v>
      </c>
      <c r="H302" t="n">
        <v>0</v>
      </c>
      <c r="I302" t="n">
        <v>0</v>
      </c>
      <c r="J302" t="n">
        <v>0</v>
      </c>
      <c r="K302" t="n">
        <v>0</v>
      </c>
      <c r="L302" t="n">
        <v>0</v>
      </c>
      <c r="M302" t="n">
        <v>0</v>
      </c>
      <c r="N302" t="n">
        <v>0</v>
      </c>
      <c r="O302" t="n">
        <v>0</v>
      </c>
      <c r="P302" t="n">
        <v>0</v>
      </c>
      <c r="Q302" t="n">
        <v>0</v>
      </c>
      <c r="R302" s="2" t="inlineStr"/>
    </row>
    <row r="303" ht="15" customHeight="1">
      <c r="A303" t="inlineStr">
        <is>
          <t>A 51256-2024</t>
        </is>
      </c>
      <c r="B303" s="1" t="n">
        <v>45603.68902777778</v>
      </c>
      <c r="C303" s="1" t="n">
        <v>45923</v>
      </c>
      <c r="D303" t="inlineStr">
        <is>
          <t>DALARNAS LÄN</t>
        </is>
      </c>
      <c r="E303" t="inlineStr">
        <is>
          <t>HEDEMORA</t>
        </is>
      </c>
      <c r="G303" t="n">
        <v>1.3</v>
      </c>
      <c r="H303" t="n">
        <v>0</v>
      </c>
      <c r="I303" t="n">
        <v>0</v>
      </c>
      <c r="J303" t="n">
        <v>0</v>
      </c>
      <c r="K303" t="n">
        <v>0</v>
      </c>
      <c r="L303" t="n">
        <v>0</v>
      </c>
      <c r="M303" t="n">
        <v>0</v>
      </c>
      <c r="N303" t="n">
        <v>0</v>
      </c>
      <c r="O303" t="n">
        <v>0</v>
      </c>
      <c r="P303" t="n">
        <v>0</v>
      </c>
      <c r="Q303" t="n">
        <v>0</v>
      </c>
      <c r="R303" s="2" t="inlineStr"/>
    </row>
    <row r="304" ht="15" customHeight="1">
      <c r="A304" t="inlineStr">
        <is>
          <t>A 19920-2025</t>
        </is>
      </c>
      <c r="B304" s="1" t="n">
        <v>45771</v>
      </c>
      <c r="C304" s="1" t="n">
        <v>45923</v>
      </c>
      <c r="D304" t="inlineStr">
        <is>
          <t>DALARNAS LÄN</t>
        </is>
      </c>
      <c r="E304" t="inlineStr">
        <is>
          <t>HEDEMORA</t>
        </is>
      </c>
      <c r="G304" t="n">
        <v>2.8</v>
      </c>
      <c r="H304" t="n">
        <v>0</v>
      </c>
      <c r="I304" t="n">
        <v>0</v>
      </c>
      <c r="J304" t="n">
        <v>0</v>
      </c>
      <c r="K304" t="n">
        <v>0</v>
      </c>
      <c r="L304" t="n">
        <v>0</v>
      </c>
      <c r="M304" t="n">
        <v>0</v>
      </c>
      <c r="N304" t="n">
        <v>0</v>
      </c>
      <c r="O304" t="n">
        <v>0</v>
      </c>
      <c r="P304" t="n">
        <v>0</v>
      </c>
      <c r="Q304" t="n">
        <v>0</v>
      </c>
      <c r="R304" s="2" t="inlineStr"/>
    </row>
    <row r="305" ht="15" customHeight="1">
      <c r="A305" t="inlineStr">
        <is>
          <t>A 39530-2024</t>
        </is>
      </c>
      <c r="B305" s="1" t="n">
        <v>45551</v>
      </c>
      <c r="C305" s="1" t="n">
        <v>45923</v>
      </c>
      <c r="D305" t="inlineStr">
        <is>
          <t>DALARNAS LÄN</t>
        </is>
      </c>
      <c r="E305" t="inlineStr">
        <is>
          <t>HEDEMORA</t>
        </is>
      </c>
      <c r="F305" t="inlineStr">
        <is>
          <t>Bergvik skog väst AB</t>
        </is>
      </c>
      <c r="G305" t="n">
        <v>13.8</v>
      </c>
      <c r="H305" t="n">
        <v>0</v>
      </c>
      <c r="I305" t="n">
        <v>0</v>
      </c>
      <c r="J305" t="n">
        <v>0</v>
      </c>
      <c r="K305" t="n">
        <v>0</v>
      </c>
      <c r="L305" t="n">
        <v>0</v>
      </c>
      <c r="M305" t="n">
        <v>0</v>
      </c>
      <c r="N305" t="n">
        <v>0</v>
      </c>
      <c r="O305" t="n">
        <v>0</v>
      </c>
      <c r="P305" t="n">
        <v>0</v>
      </c>
      <c r="Q305" t="n">
        <v>0</v>
      </c>
      <c r="R305" s="2" t="inlineStr"/>
    </row>
    <row r="306" ht="15" customHeight="1">
      <c r="A306" t="inlineStr">
        <is>
          <t>A 39531-2024</t>
        </is>
      </c>
      <c r="B306" s="1" t="n">
        <v>45551</v>
      </c>
      <c r="C306" s="1" t="n">
        <v>45923</v>
      </c>
      <c r="D306" t="inlineStr">
        <is>
          <t>DALARNAS LÄN</t>
        </is>
      </c>
      <c r="E306" t="inlineStr">
        <is>
          <t>HEDEMORA</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39552-2024</t>
        </is>
      </c>
      <c r="B307" s="1" t="n">
        <v>45551</v>
      </c>
      <c r="C307" s="1" t="n">
        <v>45923</v>
      </c>
      <c r="D307" t="inlineStr">
        <is>
          <t>DALARNAS LÄN</t>
        </is>
      </c>
      <c r="E307" t="inlineStr">
        <is>
          <t>HEDEMORA</t>
        </is>
      </c>
      <c r="F307" t="inlineStr">
        <is>
          <t>Bergvik skog väst AB</t>
        </is>
      </c>
      <c r="G307" t="n">
        <v>24.1</v>
      </c>
      <c r="H307" t="n">
        <v>0</v>
      </c>
      <c r="I307" t="n">
        <v>0</v>
      </c>
      <c r="J307" t="n">
        <v>0</v>
      </c>
      <c r="K307" t="n">
        <v>0</v>
      </c>
      <c r="L307" t="n">
        <v>0</v>
      </c>
      <c r="M307" t="n">
        <v>0</v>
      </c>
      <c r="N307" t="n">
        <v>0</v>
      </c>
      <c r="O307" t="n">
        <v>0</v>
      </c>
      <c r="P307" t="n">
        <v>0</v>
      </c>
      <c r="Q307" t="n">
        <v>0</v>
      </c>
      <c r="R307" s="2" t="inlineStr"/>
    </row>
    <row r="308" ht="15" customHeight="1">
      <c r="A308" t="inlineStr">
        <is>
          <t>A 48321-2024</t>
        </is>
      </c>
      <c r="B308" s="1" t="n">
        <v>45590.50111111111</v>
      </c>
      <c r="C308" s="1" t="n">
        <v>45923</v>
      </c>
      <c r="D308" t="inlineStr">
        <is>
          <t>DALARNAS LÄN</t>
        </is>
      </c>
      <c r="E308" t="inlineStr">
        <is>
          <t>HEDEMORA</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23435-2025</t>
        </is>
      </c>
      <c r="B309" s="1" t="n">
        <v>45792.37162037037</v>
      </c>
      <c r="C309" s="1" t="n">
        <v>45923</v>
      </c>
      <c r="D309" t="inlineStr">
        <is>
          <t>DALARNAS LÄN</t>
        </is>
      </c>
      <c r="E309" t="inlineStr">
        <is>
          <t>HEDEMORA</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15635-2022</t>
        </is>
      </c>
      <c r="B310" s="1" t="n">
        <v>44662.84958333334</v>
      </c>
      <c r="C310" s="1" t="n">
        <v>45923</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7916-2024</t>
        </is>
      </c>
      <c r="B311" s="1" t="n">
        <v>45350.46259259259</v>
      </c>
      <c r="C311" s="1" t="n">
        <v>45923</v>
      </c>
      <c r="D311" t="inlineStr">
        <is>
          <t>DALARNAS LÄN</t>
        </is>
      </c>
      <c r="E311" t="inlineStr">
        <is>
          <t>HEDEMORA</t>
        </is>
      </c>
      <c r="G311" t="n">
        <v>5.8</v>
      </c>
      <c r="H311" t="n">
        <v>0</v>
      </c>
      <c r="I311" t="n">
        <v>0</v>
      </c>
      <c r="J311" t="n">
        <v>0</v>
      </c>
      <c r="K311" t="n">
        <v>0</v>
      </c>
      <c r="L311" t="n">
        <v>0</v>
      </c>
      <c r="M311" t="n">
        <v>0</v>
      </c>
      <c r="N311" t="n">
        <v>0</v>
      </c>
      <c r="O311" t="n">
        <v>0</v>
      </c>
      <c r="P311" t="n">
        <v>0</v>
      </c>
      <c r="Q311" t="n">
        <v>0</v>
      </c>
      <c r="R311" s="2" t="inlineStr"/>
    </row>
    <row r="312" ht="15" customHeight="1">
      <c r="A312" t="inlineStr">
        <is>
          <t>A 52944-2024</t>
        </is>
      </c>
      <c r="B312" s="1" t="n">
        <v>45610.82546296297</v>
      </c>
      <c r="C312" s="1" t="n">
        <v>45923</v>
      </c>
      <c r="D312" t="inlineStr">
        <is>
          <t>DALARNAS LÄN</t>
        </is>
      </c>
      <c r="E312" t="inlineStr">
        <is>
          <t>HEDEMORA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14456-2021</t>
        </is>
      </c>
      <c r="B313" s="1" t="n">
        <v>44279.50208333333</v>
      </c>
      <c r="C313" s="1" t="n">
        <v>45923</v>
      </c>
      <c r="D313" t="inlineStr">
        <is>
          <t>DALARNAS LÄN</t>
        </is>
      </c>
      <c r="E313" t="inlineStr">
        <is>
          <t>HEDEMORA</t>
        </is>
      </c>
      <c r="G313" t="n">
        <v>1.2</v>
      </c>
      <c r="H313" t="n">
        <v>0</v>
      </c>
      <c r="I313" t="n">
        <v>0</v>
      </c>
      <c r="J313" t="n">
        <v>0</v>
      </c>
      <c r="K313" t="n">
        <v>0</v>
      </c>
      <c r="L313" t="n">
        <v>0</v>
      </c>
      <c r="M313" t="n">
        <v>0</v>
      </c>
      <c r="N313" t="n">
        <v>0</v>
      </c>
      <c r="O313" t="n">
        <v>0</v>
      </c>
      <c r="P313" t="n">
        <v>0</v>
      </c>
      <c r="Q313" t="n">
        <v>0</v>
      </c>
      <c r="R313" s="2" t="inlineStr"/>
    </row>
    <row r="314" ht="15" customHeight="1">
      <c r="A314" t="inlineStr">
        <is>
          <t>A 12133-2025</t>
        </is>
      </c>
      <c r="B314" s="1" t="n">
        <v>45729.38878472222</v>
      </c>
      <c r="C314" s="1" t="n">
        <v>45923</v>
      </c>
      <c r="D314" t="inlineStr">
        <is>
          <t>DALARNAS LÄN</t>
        </is>
      </c>
      <c r="E314" t="inlineStr">
        <is>
          <t>HEDEMORA</t>
        </is>
      </c>
      <c r="G314" t="n">
        <v>4.8</v>
      </c>
      <c r="H314" t="n">
        <v>0</v>
      </c>
      <c r="I314" t="n">
        <v>0</v>
      </c>
      <c r="J314" t="n">
        <v>0</v>
      </c>
      <c r="K314" t="n">
        <v>0</v>
      </c>
      <c r="L314" t="n">
        <v>0</v>
      </c>
      <c r="M314" t="n">
        <v>0</v>
      </c>
      <c r="N314" t="n">
        <v>0</v>
      </c>
      <c r="O314" t="n">
        <v>0</v>
      </c>
      <c r="P314" t="n">
        <v>0</v>
      </c>
      <c r="Q314" t="n">
        <v>0</v>
      </c>
      <c r="R314" s="2" t="inlineStr"/>
    </row>
    <row r="315" ht="15" customHeight="1">
      <c r="A315" t="inlineStr">
        <is>
          <t>A 25195-2024</t>
        </is>
      </c>
      <c r="B315" s="1" t="n">
        <v>45462</v>
      </c>
      <c r="C315" s="1" t="n">
        <v>45923</v>
      </c>
      <c r="D315" t="inlineStr">
        <is>
          <t>DALARNAS LÄN</t>
        </is>
      </c>
      <c r="E315" t="inlineStr">
        <is>
          <t>HEDEMORA</t>
        </is>
      </c>
      <c r="F315" t="inlineStr">
        <is>
          <t>Övriga statliga verk och myndigheter</t>
        </is>
      </c>
      <c r="G315" t="n">
        <v>3.3</v>
      </c>
      <c r="H315" t="n">
        <v>0</v>
      </c>
      <c r="I315" t="n">
        <v>0</v>
      </c>
      <c r="J315" t="n">
        <v>0</v>
      </c>
      <c r="K315" t="n">
        <v>0</v>
      </c>
      <c r="L315" t="n">
        <v>0</v>
      </c>
      <c r="M315" t="n">
        <v>0</v>
      </c>
      <c r="N315" t="n">
        <v>0</v>
      </c>
      <c r="O315" t="n">
        <v>0</v>
      </c>
      <c r="P315" t="n">
        <v>0</v>
      </c>
      <c r="Q315" t="n">
        <v>0</v>
      </c>
      <c r="R315" s="2" t="inlineStr"/>
    </row>
    <row r="316" ht="15" customHeight="1">
      <c r="A316" t="inlineStr">
        <is>
          <t>A 22222-2023</t>
        </is>
      </c>
      <c r="B316" s="1" t="n">
        <v>45069.93758101852</v>
      </c>
      <c r="C316" s="1" t="n">
        <v>45923</v>
      </c>
      <c r="D316" t="inlineStr">
        <is>
          <t>DALARNAS LÄN</t>
        </is>
      </c>
      <c r="E316" t="inlineStr">
        <is>
          <t>HEDEMORA</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25021-2025</t>
        </is>
      </c>
      <c r="B317" s="1" t="n">
        <v>45799.64574074074</v>
      </c>
      <c r="C317" s="1" t="n">
        <v>45923</v>
      </c>
      <c r="D317" t="inlineStr">
        <is>
          <t>DALARNAS LÄN</t>
        </is>
      </c>
      <c r="E317" t="inlineStr">
        <is>
          <t>HEDEMORA</t>
        </is>
      </c>
      <c r="G317" t="n">
        <v>0.7</v>
      </c>
      <c r="H317" t="n">
        <v>0</v>
      </c>
      <c r="I317" t="n">
        <v>0</v>
      </c>
      <c r="J317" t="n">
        <v>0</v>
      </c>
      <c r="K317" t="n">
        <v>0</v>
      </c>
      <c r="L317" t="n">
        <v>0</v>
      </c>
      <c r="M317" t="n">
        <v>0</v>
      </c>
      <c r="N317" t="n">
        <v>0</v>
      </c>
      <c r="O317" t="n">
        <v>0</v>
      </c>
      <c r="P317" t="n">
        <v>0</v>
      </c>
      <c r="Q317" t="n">
        <v>0</v>
      </c>
      <c r="R317" s="2" t="inlineStr"/>
    </row>
    <row r="318" ht="15" customHeight="1">
      <c r="A318" t="inlineStr">
        <is>
          <t>A 19397-2024</t>
        </is>
      </c>
      <c r="B318" s="1" t="n">
        <v>45429.38474537037</v>
      </c>
      <c r="C318" s="1" t="n">
        <v>45923</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26204-2025</t>
        </is>
      </c>
      <c r="B319" s="1" t="n">
        <v>45805.51065972223</v>
      </c>
      <c r="C319" s="1" t="n">
        <v>45923</v>
      </c>
      <c r="D319" t="inlineStr">
        <is>
          <t>DALARNAS LÄN</t>
        </is>
      </c>
      <c r="E319" t="inlineStr">
        <is>
          <t>HEDEMORA</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6972-2025</t>
        </is>
      </c>
      <c r="B320" s="1" t="n">
        <v>45701.53790509259</v>
      </c>
      <c r="C320" s="1" t="n">
        <v>45923</v>
      </c>
      <c r="D320" t="inlineStr">
        <is>
          <t>DALARNAS LÄN</t>
        </is>
      </c>
      <c r="E320" t="inlineStr">
        <is>
          <t>HEDEMORA</t>
        </is>
      </c>
      <c r="G320" t="n">
        <v>4.9</v>
      </c>
      <c r="H320" t="n">
        <v>0</v>
      </c>
      <c r="I320" t="n">
        <v>0</v>
      </c>
      <c r="J320" t="n">
        <v>0</v>
      </c>
      <c r="K320" t="n">
        <v>0</v>
      </c>
      <c r="L320" t="n">
        <v>0</v>
      </c>
      <c r="M320" t="n">
        <v>0</v>
      </c>
      <c r="N320" t="n">
        <v>0</v>
      </c>
      <c r="O320" t="n">
        <v>0</v>
      </c>
      <c r="P320" t="n">
        <v>0</v>
      </c>
      <c r="Q320" t="n">
        <v>0</v>
      </c>
      <c r="R320" s="2" t="inlineStr"/>
    </row>
    <row r="321" ht="15" customHeight="1">
      <c r="A321" t="inlineStr">
        <is>
          <t>A 7052-2025</t>
        </is>
      </c>
      <c r="B321" s="1" t="n">
        <v>45701.64659722222</v>
      </c>
      <c r="C321" s="1" t="n">
        <v>45923</v>
      </c>
      <c r="D321" t="inlineStr">
        <is>
          <t>DALARNAS LÄN</t>
        </is>
      </c>
      <c r="E321" t="inlineStr">
        <is>
          <t>HEDEMORA</t>
        </is>
      </c>
      <c r="G321" t="n">
        <v>0.9</v>
      </c>
      <c r="H321" t="n">
        <v>0</v>
      </c>
      <c r="I321" t="n">
        <v>0</v>
      </c>
      <c r="J321" t="n">
        <v>0</v>
      </c>
      <c r="K321" t="n">
        <v>0</v>
      </c>
      <c r="L321" t="n">
        <v>0</v>
      </c>
      <c r="M321" t="n">
        <v>0</v>
      </c>
      <c r="N321" t="n">
        <v>0</v>
      </c>
      <c r="O321" t="n">
        <v>0</v>
      </c>
      <c r="P321" t="n">
        <v>0</v>
      </c>
      <c r="Q321" t="n">
        <v>0</v>
      </c>
      <c r="R321" s="2" t="inlineStr"/>
    </row>
    <row r="322" ht="15" customHeight="1">
      <c r="A322" t="inlineStr">
        <is>
          <t>A 41642-2023</t>
        </is>
      </c>
      <c r="B322" s="1" t="n">
        <v>45175</v>
      </c>
      <c r="C322" s="1" t="n">
        <v>45923</v>
      </c>
      <c r="D322" t="inlineStr">
        <is>
          <t>DALARNAS LÄN</t>
        </is>
      </c>
      <c r="E322" t="inlineStr">
        <is>
          <t>HEDEMORA</t>
        </is>
      </c>
      <c r="G322" t="n">
        <v>2.8</v>
      </c>
      <c r="H322" t="n">
        <v>0</v>
      </c>
      <c r="I322" t="n">
        <v>0</v>
      </c>
      <c r="J322" t="n">
        <v>0</v>
      </c>
      <c r="K322" t="n">
        <v>0</v>
      </c>
      <c r="L322" t="n">
        <v>0</v>
      </c>
      <c r="M322" t="n">
        <v>0</v>
      </c>
      <c r="N322" t="n">
        <v>0</v>
      </c>
      <c r="O322" t="n">
        <v>0</v>
      </c>
      <c r="P322" t="n">
        <v>0</v>
      </c>
      <c r="Q322" t="n">
        <v>0</v>
      </c>
      <c r="R322" s="2" t="inlineStr"/>
    </row>
    <row r="323" ht="15" customHeight="1">
      <c r="A323" t="inlineStr">
        <is>
          <t>A 17645-2022</t>
        </is>
      </c>
      <c r="B323" s="1" t="n">
        <v>44680.47903935185</v>
      </c>
      <c r="C323" s="1" t="n">
        <v>45923</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43621-2024</t>
        </is>
      </c>
      <c r="B324" s="1" t="n">
        <v>45569.48200231481</v>
      </c>
      <c r="C324" s="1" t="n">
        <v>45923</v>
      </c>
      <c r="D324" t="inlineStr">
        <is>
          <t>DALARNAS LÄN</t>
        </is>
      </c>
      <c r="E324" t="inlineStr">
        <is>
          <t>HEDEMORA</t>
        </is>
      </c>
      <c r="G324" t="n">
        <v>2.4</v>
      </c>
      <c r="H324" t="n">
        <v>0</v>
      </c>
      <c r="I324" t="n">
        <v>0</v>
      </c>
      <c r="J324" t="n">
        <v>0</v>
      </c>
      <c r="K324" t="n">
        <v>0</v>
      </c>
      <c r="L324" t="n">
        <v>0</v>
      </c>
      <c r="M324" t="n">
        <v>0</v>
      </c>
      <c r="N324" t="n">
        <v>0</v>
      </c>
      <c r="O324" t="n">
        <v>0</v>
      </c>
      <c r="P324" t="n">
        <v>0</v>
      </c>
      <c r="Q324" t="n">
        <v>0</v>
      </c>
      <c r="R324" s="2" t="inlineStr"/>
    </row>
    <row r="325" ht="15" customHeight="1">
      <c r="A325" t="inlineStr">
        <is>
          <t>A 26705-2025</t>
        </is>
      </c>
      <c r="B325" s="1" t="n">
        <v>45810.45325231482</v>
      </c>
      <c r="C325" s="1" t="n">
        <v>45923</v>
      </c>
      <c r="D325" t="inlineStr">
        <is>
          <t>DALARNAS LÄN</t>
        </is>
      </c>
      <c r="E325" t="inlineStr">
        <is>
          <t>HEDEMORA</t>
        </is>
      </c>
      <c r="G325" t="n">
        <v>1.9</v>
      </c>
      <c r="H325" t="n">
        <v>0</v>
      </c>
      <c r="I325" t="n">
        <v>0</v>
      </c>
      <c r="J325" t="n">
        <v>0</v>
      </c>
      <c r="K325" t="n">
        <v>0</v>
      </c>
      <c r="L325" t="n">
        <v>0</v>
      </c>
      <c r="M325" t="n">
        <v>0</v>
      </c>
      <c r="N325" t="n">
        <v>0</v>
      </c>
      <c r="O325" t="n">
        <v>0</v>
      </c>
      <c r="P325" t="n">
        <v>0</v>
      </c>
      <c r="Q325" t="n">
        <v>0</v>
      </c>
      <c r="R325" s="2" t="inlineStr"/>
    </row>
    <row r="326" ht="15" customHeight="1">
      <c r="A326" t="inlineStr">
        <is>
          <t>A 17222-2025</t>
        </is>
      </c>
      <c r="B326" s="1" t="n">
        <v>45756.45504629629</v>
      </c>
      <c r="C326" s="1" t="n">
        <v>45923</v>
      </c>
      <c r="D326" t="inlineStr">
        <is>
          <t>DALARNAS LÄN</t>
        </is>
      </c>
      <c r="E326" t="inlineStr">
        <is>
          <t>HEDEMORA</t>
        </is>
      </c>
      <c r="G326" t="n">
        <v>0.5</v>
      </c>
      <c r="H326" t="n">
        <v>0</v>
      </c>
      <c r="I326" t="n">
        <v>0</v>
      </c>
      <c r="J326" t="n">
        <v>0</v>
      </c>
      <c r="K326" t="n">
        <v>0</v>
      </c>
      <c r="L326" t="n">
        <v>0</v>
      </c>
      <c r="M326" t="n">
        <v>0</v>
      </c>
      <c r="N326" t="n">
        <v>0</v>
      </c>
      <c r="O326" t="n">
        <v>0</v>
      </c>
      <c r="P326" t="n">
        <v>0</v>
      </c>
      <c r="Q326" t="n">
        <v>0</v>
      </c>
      <c r="R326" s="2" t="inlineStr"/>
    </row>
    <row r="327" ht="15" customHeight="1">
      <c r="A327" t="inlineStr">
        <is>
          <t>A 59232-2023</t>
        </is>
      </c>
      <c r="B327" s="1" t="n">
        <v>45253.5053587963</v>
      </c>
      <c r="C327" s="1" t="n">
        <v>45923</v>
      </c>
      <c r="D327" t="inlineStr">
        <is>
          <t>DALARNAS LÄN</t>
        </is>
      </c>
      <c r="E327" t="inlineStr">
        <is>
          <t>HEDEMORA</t>
        </is>
      </c>
      <c r="G327" t="n">
        <v>3.7</v>
      </c>
      <c r="H327" t="n">
        <v>0</v>
      </c>
      <c r="I327" t="n">
        <v>0</v>
      </c>
      <c r="J327" t="n">
        <v>0</v>
      </c>
      <c r="K327" t="n">
        <v>0</v>
      </c>
      <c r="L327" t="n">
        <v>0</v>
      </c>
      <c r="M327" t="n">
        <v>0</v>
      </c>
      <c r="N327" t="n">
        <v>0</v>
      </c>
      <c r="O327" t="n">
        <v>0</v>
      </c>
      <c r="P327" t="n">
        <v>0</v>
      </c>
      <c r="Q327" t="n">
        <v>0</v>
      </c>
      <c r="R327" s="2" t="inlineStr"/>
    </row>
    <row r="328" ht="15" customHeight="1">
      <c r="A328" t="inlineStr">
        <is>
          <t>A 45589-2023</t>
        </is>
      </c>
      <c r="B328" s="1" t="n">
        <v>45194.63086805555</v>
      </c>
      <c r="C328" s="1" t="n">
        <v>45923</v>
      </c>
      <c r="D328" t="inlineStr">
        <is>
          <t>DALARNAS LÄN</t>
        </is>
      </c>
      <c r="E328" t="inlineStr">
        <is>
          <t>HEDEMORA</t>
        </is>
      </c>
      <c r="G328" t="n">
        <v>0.7</v>
      </c>
      <c r="H328" t="n">
        <v>0</v>
      </c>
      <c r="I328" t="n">
        <v>0</v>
      </c>
      <c r="J328" t="n">
        <v>0</v>
      </c>
      <c r="K328" t="n">
        <v>0</v>
      </c>
      <c r="L328" t="n">
        <v>0</v>
      </c>
      <c r="M328" t="n">
        <v>0</v>
      </c>
      <c r="N328" t="n">
        <v>0</v>
      </c>
      <c r="O328" t="n">
        <v>0</v>
      </c>
      <c r="P328" t="n">
        <v>0</v>
      </c>
      <c r="Q328" t="n">
        <v>0</v>
      </c>
      <c r="R328" s="2" t="inlineStr"/>
    </row>
    <row r="329" ht="15" customHeight="1">
      <c r="A329" t="inlineStr">
        <is>
          <t>A 28180-2025</t>
        </is>
      </c>
      <c r="B329" s="1" t="n">
        <v>45818.39755787037</v>
      </c>
      <c r="C329" s="1" t="n">
        <v>45923</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28182-2025</t>
        </is>
      </c>
      <c r="B330" s="1" t="n">
        <v>45818.40069444444</v>
      </c>
      <c r="C330" s="1" t="n">
        <v>45923</v>
      </c>
      <c r="D330" t="inlineStr">
        <is>
          <t>DALARNAS LÄN</t>
        </is>
      </c>
      <c r="E330" t="inlineStr">
        <is>
          <t>HEDEMORA</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34409-2022</t>
        </is>
      </c>
      <c r="B331" s="1" t="n">
        <v>44792</v>
      </c>
      <c r="C331" s="1" t="n">
        <v>45923</v>
      </c>
      <c r="D331" t="inlineStr">
        <is>
          <t>DALARNAS LÄN</t>
        </is>
      </c>
      <c r="E331" t="inlineStr">
        <is>
          <t>HEDEMORA</t>
        </is>
      </c>
      <c r="G331" t="n">
        <v>13.7</v>
      </c>
      <c r="H331" t="n">
        <v>0</v>
      </c>
      <c r="I331" t="n">
        <v>0</v>
      </c>
      <c r="J331" t="n">
        <v>0</v>
      </c>
      <c r="K331" t="n">
        <v>0</v>
      </c>
      <c r="L331" t="n">
        <v>0</v>
      </c>
      <c r="M331" t="n">
        <v>0</v>
      </c>
      <c r="N331" t="n">
        <v>0</v>
      </c>
      <c r="O331" t="n">
        <v>0</v>
      </c>
      <c r="P331" t="n">
        <v>0</v>
      </c>
      <c r="Q331" t="n">
        <v>0</v>
      </c>
      <c r="R331" s="2" t="inlineStr"/>
    </row>
    <row r="332" ht="15" customHeight="1">
      <c r="A332" t="inlineStr">
        <is>
          <t>A 28183-2025</t>
        </is>
      </c>
      <c r="B332" s="1" t="n">
        <v>45818.4021875</v>
      </c>
      <c r="C332" s="1" t="n">
        <v>45923</v>
      </c>
      <c r="D332" t="inlineStr">
        <is>
          <t>DALARNAS LÄN</t>
        </is>
      </c>
      <c r="E332" t="inlineStr">
        <is>
          <t>HEDEMORA</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3089-2024</t>
        </is>
      </c>
      <c r="B333" s="1" t="n">
        <v>45316</v>
      </c>
      <c r="C333" s="1" t="n">
        <v>45923</v>
      </c>
      <c r="D333" t="inlineStr">
        <is>
          <t>DALARNAS LÄN</t>
        </is>
      </c>
      <c r="E333" t="inlineStr">
        <is>
          <t>HEDEMORA</t>
        </is>
      </c>
      <c r="G333" t="n">
        <v>5.5</v>
      </c>
      <c r="H333" t="n">
        <v>0</v>
      </c>
      <c r="I333" t="n">
        <v>0</v>
      </c>
      <c r="J333" t="n">
        <v>0</v>
      </c>
      <c r="K333" t="n">
        <v>0</v>
      </c>
      <c r="L333" t="n">
        <v>0</v>
      </c>
      <c r="M333" t="n">
        <v>0</v>
      </c>
      <c r="N333" t="n">
        <v>0</v>
      </c>
      <c r="O333" t="n">
        <v>0</v>
      </c>
      <c r="P333" t="n">
        <v>0</v>
      </c>
      <c r="Q333" t="n">
        <v>0</v>
      </c>
      <c r="R333" s="2" t="inlineStr"/>
    </row>
    <row r="334" ht="15" customHeight="1">
      <c r="A334" t="inlineStr">
        <is>
          <t>A 62386-2023</t>
        </is>
      </c>
      <c r="B334" s="1" t="n">
        <v>45268</v>
      </c>
      <c r="C334" s="1" t="n">
        <v>45923</v>
      </c>
      <c r="D334" t="inlineStr">
        <is>
          <t>DALARNAS LÄN</t>
        </is>
      </c>
      <c r="E334" t="inlineStr">
        <is>
          <t>HEDEMORA</t>
        </is>
      </c>
      <c r="G334" t="n">
        <v>1.7</v>
      </c>
      <c r="H334" t="n">
        <v>0</v>
      </c>
      <c r="I334" t="n">
        <v>0</v>
      </c>
      <c r="J334" t="n">
        <v>0</v>
      </c>
      <c r="K334" t="n">
        <v>0</v>
      </c>
      <c r="L334" t="n">
        <v>0</v>
      </c>
      <c r="M334" t="n">
        <v>0</v>
      </c>
      <c r="N334" t="n">
        <v>0</v>
      </c>
      <c r="O334" t="n">
        <v>0</v>
      </c>
      <c r="P334" t="n">
        <v>0</v>
      </c>
      <c r="Q334" t="n">
        <v>0</v>
      </c>
      <c r="R334" s="2" t="inlineStr"/>
    </row>
    <row r="335" ht="15" customHeight="1">
      <c r="A335" t="inlineStr">
        <is>
          <t>A 60786-2023</t>
        </is>
      </c>
      <c r="B335" s="1" t="n">
        <v>45260.64891203704</v>
      </c>
      <c r="C335" s="1" t="n">
        <v>45923</v>
      </c>
      <c r="D335" t="inlineStr">
        <is>
          <t>DALARNAS LÄN</t>
        </is>
      </c>
      <c r="E335" t="inlineStr">
        <is>
          <t>HEDEMORA</t>
        </is>
      </c>
      <c r="G335" t="n">
        <v>7.1</v>
      </c>
      <c r="H335" t="n">
        <v>0</v>
      </c>
      <c r="I335" t="n">
        <v>0</v>
      </c>
      <c r="J335" t="n">
        <v>0</v>
      </c>
      <c r="K335" t="n">
        <v>0</v>
      </c>
      <c r="L335" t="n">
        <v>0</v>
      </c>
      <c r="M335" t="n">
        <v>0</v>
      </c>
      <c r="N335" t="n">
        <v>0</v>
      </c>
      <c r="O335" t="n">
        <v>0</v>
      </c>
      <c r="P335" t="n">
        <v>0</v>
      </c>
      <c r="Q335" t="n">
        <v>0</v>
      </c>
      <c r="R335" s="2" t="inlineStr"/>
    </row>
    <row r="336" ht="15" customHeight="1">
      <c r="A336" t="inlineStr">
        <is>
          <t>A 17594-2025</t>
        </is>
      </c>
      <c r="B336" s="1" t="n">
        <v>45757</v>
      </c>
      <c r="C336" s="1" t="n">
        <v>45923</v>
      </c>
      <c r="D336" t="inlineStr">
        <is>
          <t>DALARNAS LÄN</t>
        </is>
      </c>
      <c r="E336" t="inlineStr">
        <is>
          <t>HEDEMORA</t>
        </is>
      </c>
      <c r="G336" t="n">
        <v>0.6</v>
      </c>
      <c r="H336" t="n">
        <v>0</v>
      </c>
      <c r="I336" t="n">
        <v>0</v>
      </c>
      <c r="J336" t="n">
        <v>0</v>
      </c>
      <c r="K336" t="n">
        <v>0</v>
      </c>
      <c r="L336" t="n">
        <v>0</v>
      </c>
      <c r="M336" t="n">
        <v>0</v>
      </c>
      <c r="N336" t="n">
        <v>0</v>
      </c>
      <c r="O336" t="n">
        <v>0</v>
      </c>
      <c r="P336" t="n">
        <v>0</v>
      </c>
      <c r="Q336" t="n">
        <v>0</v>
      </c>
      <c r="R336" s="2" t="inlineStr"/>
    </row>
    <row r="337" ht="15" customHeight="1">
      <c r="A337" t="inlineStr">
        <is>
          <t>A 62188-2023</t>
        </is>
      </c>
      <c r="B337" s="1" t="n">
        <v>45267</v>
      </c>
      <c r="C337" s="1" t="n">
        <v>45923</v>
      </c>
      <c r="D337" t="inlineStr">
        <is>
          <t>DALARNAS LÄN</t>
        </is>
      </c>
      <c r="E337" t="inlineStr">
        <is>
          <t>HEDEMORA</t>
        </is>
      </c>
      <c r="G337" t="n">
        <v>2.1</v>
      </c>
      <c r="H337" t="n">
        <v>0</v>
      </c>
      <c r="I337" t="n">
        <v>0</v>
      </c>
      <c r="J337" t="n">
        <v>0</v>
      </c>
      <c r="K337" t="n">
        <v>0</v>
      </c>
      <c r="L337" t="n">
        <v>0</v>
      </c>
      <c r="M337" t="n">
        <v>0</v>
      </c>
      <c r="N337" t="n">
        <v>0</v>
      </c>
      <c r="O337" t="n">
        <v>0</v>
      </c>
      <c r="P337" t="n">
        <v>0</v>
      </c>
      <c r="Q337" t="n">
        <v>0</v>
      </c>
      <c r="R337" s="2" t="inlineStr"/>
    </row>
    <row r="338" ht="15" customHeight="1">
      <c r="A338" t="inlineStr">
        <is>
          <t>A 29690-2025</t>
        </is>
      </c>
      <c r="B338" s="1" t="n">
        <v>45825.53508101852</v>
      </c>
      <c r="C338" s="1" t="n">
        <v>45923</v>
      </c>
      <c r="D338" t="inlineStr">
        <is>
          <t>DALARNAS LÄN</t>
        </is>
      </c>
      <c r="E338" t="inlineStr">
        <is>
          <t>HEDEMORA</t>
        </is>
      </c>
      <c r="G338" t="n">
        <v>4.1</v>
      </c>
      <c r="H338" t="n">
        <v>0</v>
      </c>
      <c r="I338" t="n">
        <v>0</v>
      </c>
      <c r="J338" t="n">
        <v>0</v>
      </c>
      <c r="K338" t="n">
        <v>0</v>
      </c>
      <c r="L338" t="n">
        <v>0</v>
      </c>
      <c r="M338" t="n">
        <v>0</v>
      </c>
      <c r="N338" t="n">
        <v>0</v>
      </c>
      <c r="O338" t="n">
        <v>0</v>
      </c>
      <c r="P338" t="n">
        <v>0</v>
      </c>
      <c r="Q338" t="n">
        <v>0</v>
      </c>
      <c r="R338" s="2" t="inlineStr"/>
    </row>
    <row r="339" ht="15" customHeight="1">
      <c r="A339" t="inlineStr">
        <is>
          <t>A 60408-2021</t>
        </is>
      </c>
      <c r="B339" s="1" t="n">
        <v>44495</v>
      </c>
      <c r="C339" s="1" t="n">
        <v>45923</v>
      </c>
      <c r="D339" t="inlineStr">
        <is>
          <t>DALARNAS LÄN</t>
        </is>
      </c>
      <c r="E339" t="inlineStr">
        <is>
          <t>HEDEMORA</t>
        </is>
      </c>
      <c r="G339" t="n">
        <v>0.7</v>
      </c>
      <c r="H339" t="n">
        <v>0</v>
      </c>
      <c r="I339" t="n">
        <v>0</v>
      </c>
      <c r="J339" t="n">
        <v>0</v>
      </c>
      <c r="K339" t="n">
        <v>0</v>
      </c>
      <c r="L339" t="n">
        <v>0</v>
      </c>
      <c r="M339" t="n">
        <v>0</v>
      </c>
      <c r="N339" t="n">
        <v>0</v>
      </c>
      <c r="O339" t="n">
        <v>0</v>
      </c>
      <c r="P339" t="n">
        <v>0</v>
      </c>
      <c r="Q339" t="n">
        <v>0</v>
      </c>
      <c r="R339" s="2" t="inlineStr"/>
    </row>
    <row r="340" ht="15" customHeight="1">
      <c r="A340" t="inlineStr">
        <is>
          <t>A 62401-2023</t>
        </is>
      </c>
      <c r="B340" s="1" t="n">
        <v>45268</v>
      </c>
      <c r="C340" s="1" t="n">
        <v>45923</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row>
    <row r="341" ht="15" customHeight="1">
      <c r="A341" t="inlineStr">
        <is>
          <t>A 30471-2025</t>
        </is>
      </c>
      <c r="B341" s="1" t="n">
        <v>45827.94552083333</v>
      </c>
      <c r="C341" s="1" t="n">
        <v>45923</v>
      </c>
      <c r="D341" t="inlineStr">
        <is>
          <t>DALARNAS LÄN</t>
        </is>
      </c>
      <c r="E341" t="inlineStr">
        <is>
          <t>HEDEMORA</t>
        </is>
      </c>
      <c r="G341" t="n">
        <v>0.3</v>
      </c>
      <c r="H341" t="n">
        <v>0</v>
      </c>
      <c r="I341" t="n">
        <v>0</v>
      </c>
      <c r="J341" t="n">
        <v>0</v>
      </c>
      <c r="K341" t="n">
        <v>0</v>
      </c>
      <c r="L341" t="n">
        <v>0</v>
      </c>
      <c r="M341" t="n">
        <v>0</v>
      </c>
      <c r="N341" t="n">
        <v>0</v>
      </c>
      <c r="O341" t="n">
        <v>0</v>
      </c>
      <c r="P341" t="n">
        <v>0</v>
      </c>
      <c r="Q341" t="n">
        <v>0</v>
      </c>
      <c r="R341" s="2" t="inlineStr"/>
    </row>
    <row r="342" ht="15" customHeight="1">
      <c r="A342" t="inlineStr">
        <is>
          <t>A 18572-2025</t>
        </is>
      </c>
      <c r="B342" s="1" t="n">
        <v>45763</v>
      </c>
      <c r="C342" s="1" t="n">
        <v>45923</v>
      </c>
      <c r="D342" t="inlineStr">
        <is>
          <t>DALARNAS LÄN</t>
        </is>
      </c>
      <c r="E342" t="inlineStr">
        <is>
          <t>HEDEMORA</t>
        </is>
      </c>
      <c r="G342" t="n">
        <v>0.9</v>
      </c>
      <c r="H342" t="n">
        <v>0</v>
      </c>
      <c r="I342" t="n">
        <v>0</v>
      </c>
      <c r="J342" t="n">
        <v>0</v>
      </c>
      <c r="K342" t="n">
        <v>0</v>
      </c>
      <c r="L342" t="n">
        <v>0</v>
      </c>
      <c r="M342" t="n">
        <v>0</v>
      </c>
      <c r="N342" t="n">
        <v>0</v>
      </c>
      <c r="O342" t="n">
        <v>0</v>
      </c>
      <c r="P342" t="n">
        <v>0</v>
      </c>
      <c r="Q342" t="n">
        <v>0</v>
      </c>
      <c r="R342" s="2" t="inlineStr"/>
    </row>
    <row r="343" ht="15" customHeight="1">
      <c r="A343" t="inlineStr">
        <is>
          <t>A 30472-2025</t>
        </is>
      </c>
      <c r="B343" s="1" t="n">
        <v>45827.94671296296</v>
      </c>
      <c r="C343" s="1" t="n">
        <v>45923</v>
      </c>
      <c r="D343" t="inlineStr">
        <is>
          <t>DALARNAS LÄN</t>
        </is>
      </c>
      <c r="E343" t="inlineStr">
        <is>
          <t>HEDEMORA</t>
        </is>
      </c>
      <c r="G343" t="n">
        <v>1.1</v>
      </c>
      <c r="H343" t="n">
        <v>0</v>
      </c>
      <c r="I343" t="n">
        <v>0</v>
      </c>
      <c r="J343" t="n">
        <v>0</v>
      </c>
      <c r="K343" t="n">
        <v>0</v>
      </c>
      <c r="L343" t="n">
        <v>0</v>
      </c>
      <c r="M343" t="n">
        <v>0</v>
      </c>
      <c r="N343" t="n">
        <v>0</v>
      </c>
      <c r="O343" t="n">
        <v>0</v>
      </c>
      <c r="P343" t="n">
        <v>0</v>
      </c>
      <c r="Q343" t="n">
        <v>0</v>
      </c>
      <c r="R343" s="2" t="inlineStr"/>
    </row>
    <row r="344" ht="15" customHeight="1">
      <c r="A344" t="inlineStr">
        <is>
          <t>A 30582-2025</t>
        </is>
      </c>
      <c r="B344" s="1" t="n">
        <v>45831.42349537037</v>
      </c>
      <c r="C344" s="1" t="n">
        <v>45923</v>
      </c>
      <c r="D344" t="inlineStr">
        <is>
          <t>DALARNAS LÄN</t>
        </is>
      </c>
      <c r="E344" t="inlineStr">
        <is>
          <t>HEDEMORA</t>
        </is>
      </c>
      <c r="G344" t="n">
        <v>1.8</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45923</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45923</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32865-2025</t>
        </is>
      </c>
      <c r="B347" s="1" t="n">
        <v>45839.58767361111</v>
      </c>
      <c r="C347" s="1" t="n">
        <v>45923</v>
      </c>
      <c r="D347" t="inlineStr">
        <is>
          <t>DALARNAS LÄN</t>
        </is>
      </c>
      <c r="E347" t="inlineStr">
        <is>
          <t>HEDEMORA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33288-2025</t>
        </is>
      </c>
      <c r="B348" s="1" t="n">
        <v>45840</v>
      </c>
      <c r="C348" s="1" t="n">
        <v>45923</v>
      </c>
      <c r="D348" t="inlineStr">
        <is>
          <t>DALARNAS LÄN</t>
        </is>
      </c>
      <c r="E348" t="inlineStr">
        <is>
          <t>HEDEMORA</t>
        </is>
      </c>
      <c r="F348" t="inlineStr">
        <is>
          <t>Sveaskog</t>
        </is>
      </c>
      <c r="G348" t="n">
        <v>3.5</v>
      </c>
      <c r="H348" t="n">
        <v>0</v>
      </c>
      <c r="I348" t="n">
        <v>0</v>
      </c>
      <c r="J348" t="n">
        <v>0</v>
      </c>
      <c r="K348" t="n">
        <v>0</v>
      </c>
      <c r="L348" t="n">
        <v>0</v>
      </c>
      <c r="M348" t="n">
        <v>0</v>
      </c>
      <c r="N348" t="n">
        <v>0</v>
      </c>
      <c r="O348" t="n">
        <v>0</v>
      </c>
      <c r="P348" t="n">
        <v>0</v>
      </c>
      <c r="Q348" t="n">
        <v>0</v>
      </c>
      <c r="R348" s="2" t="inlineStr"/>
    </row>
    <row r="349" ht="15" customHeight="1">
      <c r="A349" t="inlineStr">
        <is>
          <t>A 32869-2025</t>
        </is>
      </c>
      <c r="B349" s="1" t="n">
        <v>45839.58927083333</v>
      </c>
      <c r="C349" s="1" t="n">
        <v>45923</v>
      </c>
      <c r="D349" t="inlineStr">
        <is>
          <t>DALARNAS LÄN</t>
        </is>
      </c>
      <c r="E349" t="inlineStr">
        <is>
          <t>HEDEMORA</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33009-2025</t>
        </is>
      </c>
      <c r="B350" s="1" t="n">
        <v>45840</v>
      </c>
      <c r="C350" s="1" t="n">
        <v>45923</v>
      </c>
      <c r="D350" t="inlineStr">
        <is>
          <t>DALARNAS LÄN</t>
        </is>
      </c>
      <c r="E350" t="inlineStr">
        <is>
          <t>HEDEMORA</t>
        </is>
      </c>
      <c r="F350" t="inlineStr">
        <is>
          <t>Kyrkan</t>
        </is>
      </c>
      <c r="G350" t="n">
        <v>7.6</v>
      </c>
      <c r="H350" t="n">
        <v>0</v>
      </c>
      <c r="I350" t="n">
        <v>0</v>
      </c>
      <c r="J350" t="n">
        <v>0</v>
      </c>
      <c r="K350" t="n">
        <v>0</v>
      </c>
      <c r="L350" t="n">
        <v>0</v>
      </c>
      <c r="M350" t="n">
        <v>0</v>
      </c>
      <c r="N350" t="n">
        <v>0</v>
      </c>
      <c r="O350" t="n">
        <v>0</v>
      </c>
      <c r="P350" t="n">
        <v>0</v>
      </c>
      <c r="Q350" t="n">
        <v>0</v>
      </c>
      <c r="R350" s="2" t="inlineStr"/>
    </row>
    <row r="351" ht="15" customHeight="1">
      <c r="A351" t="inlineStr">
        <is>
          <t>A 33286-2025</t>
        </is>
      </c>
      <c r="B351" s="1" t="n">
        <v>45840.81065972222</v>
      </c>
      <c r="C351" s="1" t="n">
        <v>45923</v>
      </c>
      <c r="D351" t="inlineStr">
        <is>
          <t>DALARNAS LÄN</t>
        </is>
      </c>
      <c r="E351" t="inlineStr">
        <is>
          <t>HEDEMORA</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33287-2025</t>
        </is>
      </c>
      <c r="B352" s="1" t="n">
        <v>45840.81216435185</v>
      </c>
      <c r="C352" s="1" t="n">
        <v>45923</v>
      </c>
      <c r="D352" t="inlineStr">
        <is>
          <t>DALARNAS LÄN</t>
        </is>
      </c>
      <c r="E352" t="inlineStr">
        <is>
          <t>HEDEMORA</t>
        </is>
      </c>
      <c r="F352" t="inlineStr">
        <is>
          <t>Sveaskog</t>
        </is>
      </c>
      <c r="G352" t="n">
        <v>4.1</v>
      </c>
      <c r="H352" t="n">
        <v>0</v>
      </c>
      <c r="I352" t="n">
        <v>0</v>
      </c>
      <c r="J352" t="n">
        <v>0</v>
      </c>
      <c r="K352" t="n">
        <v>0</v>
      </c>
      <c r="L352" t="n">
        <v>0</v>
      </c>
      <c r="M352" t="n">
        <v>0</v>
      </c>
      <c r="N352" t="n">
        <v>0</v>
      </c>
      <c r="O352" t="n">
        <v>0</v>
      </c>
      <c r="P352" t="n">
        <v>0</v>
      </c>
      <c r="Q352" t="n">
        <v>0</v>
      </c>
      <c r="R352" s="2" t="inlineStr"/>
    </row>
    <row r="353" ht="15" customHeight="1">
      <c r="A353" t="inlineStr">
        <is>
          <t>A 34734-2025</t>
        </is>
      </c>
      <c r="B353" s="1" t="n">
        <v>45848</v>
      </c>
      <c r="C353" s="1" t="n">
        <v>45923</v>
      </c>
      <c r="D353" t="inlineStr">
        <is>
          <t>DALARNAS LÄN</t>
        </is>
      </c>
      <c r="E353" t="inlineStr">
        <is>
          <t>HEDEMORA</t>
        </is>
      </c>
      <c r="G353" t="n">
        <v>2.5</v>
      </c>
      <c r="H353" t="n">
        <v>0</v>
      </c>
      <c r="I353" t="n">
        <v>0</v>
      </c>
      <c r="J353" t="n">
        <v>0</v>
      </c>
      <c r="K353" t="n">
        <v>0</v>
      </c>
      <c r="L353" t="n">
        <v>0</v>
      </c>
      <c r="M353" t="n">
        <v>0</v>
      </c>
      <c r="N353" t="n">
        <v>0</v>
      </c>
      <c r="O353" t="n">
        <v>0</v>
      </c>
      <c r="P353" t="n">
        <v>0</v>
      </c>
      <c r="Q353" t="n">
        <v>0</v>
      </c>
      <c r="R353" s="2" t="inlineStr"/>
    </row>
    <row r="354">
      <c r="A354" t="inlineStr">
        <is>
          <t>A 39390-2025</t>
        </is>
      </c>
      <c r="B354" s="1" t="n">
        <v>45889.6240625</v>
      </c>
      <c r="C354" s="1" t="n">
        <v>45923</v>
      </c>
      <c r="D354" t="inlineStr">
        <is>
          <t>DALARNAS LÄN</t>
        </is>
      </c>
      <c r="E354" t="inlineStr">
        <is>
          <t>HEDEMORA</t>
        </is>
      </c>
      <c r="F354" t="inlineStr">
        <is>
          <t>Sveaskog</t>
        </is>
      </c>
      <c r="G354" t="n">
        <v>1.2</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2025-09-23T10:19:01Z</dcterms:created>
  <dcterms:modified xmlns:dcterms="http://purl.org/dc/terms/" xmlns:xsi="http://www.w3.org/2001/XMLSchema-instance" xsi:type="dcterms:W3CDTF">2025-09-23T10:19:01Z</dcterms:modified>
</cp:coreProperties>
</file>