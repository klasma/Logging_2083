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45643</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45643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45643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45643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45643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45643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45643</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45643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49876-2021</t>
        </is>
      </c>
      <c r="B10" s="1" t="n">
        <v>44455</v>
      </c>
      <c r="C10" s="1" t="n">
        <v>45643</v>
      </c>
      <c r="D10" t="inlineStr">
        <is>
          <t>DALARNAS LÄN</t>
        </is>
      </c>
      <c r="E10" t="inlineStr">
        <is>
          <t>HEDEMORA</t>
        </is>
      </c>
      <c r="G10" t="n">
        <v>6.3</v>
      </c>
      <c r="H10" t="n">
        <v>1</v>
      </c>
      <c r="I10" t="n">
        <v>4</v>
      </c>
      <c r="J10" t="n">
        <v>3</v>
      </c>
      <c r="K10" t="n">
        <v>2</v>
      </c>
      <c r="L10" t="n">
        <v>0</v>
      </c>
      <c r="M10" t="n">
        <v>0</v>
      </c>
      <c r="N10" t="n">
        <v>0</v>
      </c>
      <c r="O10" t="n">
        <v>5</v>
      </c>
      <c r="P10" t="n">
        <v>2</v>
      </c>
      <c r="Q10" t="n">
        <v>9</v>
      </c>
      <c r="R10" s="2" t="inlineStr">
        <is>
          <t>Knärot
Rynkskinn
Motaggsvamp
Orange taggsvamp
Ullticka
Blomkålssvamp
Bronshjon
Gullgröppa
Tallfingersvamp</t>
        </is>
      </c>
      <c r="S10">
        <f>HYPERLINK("https://klasma.github.io/Logging_2083/artfynd/A 49876-2021 artfynd.xlsx", "A 49876-2021")</f>
        <v/>
      </c>
      <c r="T10">
        <f>HYPERLINK("https://klasma.github.io/Logging_2083/kartor/A 49876-2021 karta.png", "A 49876-2021")</f>
        <v/>
      </c>
      <c r="U10">
        <f>HYPERLINK("https://klasma.github.io/Logging_2083/knärot/A 49876-2021 karta knärot.png", "A 49876-2021")</f>
        <v/>
      </c>
      <c r="V10">
        <f>HYPERLINK("https://klasma.github.io/Logging_2083/klagomål/A 49876-2021 FSC-klagomål.docx", "A 49876-2021")</f>
        <v/>
      </c>
      <c r="W10">
        <f>HYPERLINK("https://klasma.github.io/Logging_2083/klagomålsmail/A 49876-2021 FSC-klagomål mail.docx", "A 49876-2021")</f>
        <v/>
      </c>
      <c r="X10">
        <f>HYPERLINK("https://klasma.github.io/Logging_2083/tillsyn/A 49876-2021 tillsynsbegäran.docx", "A 49876-2021")</f>
        <v/>
      </c>
      <c r="Y10">
        <f>HYPERLINK("https://klasma.github.io/Logging_2083/tillsynsmail/A 49876-2021 tillsynsbegäran mail.docx", "A 49876-2021")</f>
        <v/>
      </c>
    </row>
    <row r="11" ht="15" customHeight="1">
      <c r="A11" t="inlineStr">
        <is>
          <t>A 62040-2021</t>
        </is>
      </c>
      <c r="B11" s="1" t="n">
        <v>44502</v>
      </c>
      <c r="C11" s="1" t="n">
        <v>45643</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66541-2020</t>
        </is>
      </c>
      <c r="B12" s="1" t="n">
        <v>44179</v>
      </c>
      <c r="C12" s="1" t="n">
        <v>45643</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45643</v>
      </c>
      <c r="D13" t="inlineStr">
        <is>
          <t>DALARNAS LÄN</t>
        </is>
      </c>
      <c r="E13" t="inlineStr">
        <is>
          <t>HEDEMORA</t>
        </is>
      </c>
      <c r="G13" t="n">
        <v>1.8</v>
      </c>
      <c r="H13" t="n">
        <v>3</v>
      </c>
      <c r="I13" t="n">
        <v>4</v>
      </c>
      <c r="J13" t="n">
        <v>3</v>
      </c>
      <c r="K13" t="n">
        <v>1</v>
      </c>
      <c r="L13" t="n">
        <v>0</v>
      </c>
      <c r="M13" t="n">
        <v>0</v>
      </c>
      <c r="N13" t="n">
        <v>0</v>
      </c>
      <c r="O13" t="n">
        <v>4</v>
      </c>
      <c r="P13" t="n">
        <v>1</v>
      </c>
      <c r="Q13" t="n">
        <v>8</v>
      </c>
      <c r="R13" s="2" t="inlineStr">
        <is>
          <t>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45643</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45643</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45643</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45643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45643</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45643</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31534-2021</t>
        </is>
      </c>
      <c r="B20" s="1" t="n">
        <v>44369</v>
      </c>
      <c r="C20" s="1" t="n">
        <v>45643</v>
      </c>
      <c r="D20" t="inlineStr">
        <is>
          <t>DALARNAS LÄN</t>
        </is>
      </c>
      <c r="E20" t="inlineStr">
        <is>
          <t>HEDEMORA</t>
        </is>
      </c>
      <c r="F20" t="inlineStr">
        <is>
          <t>Sveaskog</t>
        </is>
      </c>
      <c r="G20" t="n">
        <v>1.9</v>
      </c>
      <c r="H20" t="n">
        <v>2</v>
      </c>
      <c r="I20" t="n">
        <v>3</v>
      </c>
      <c r="J20" t="n">
        <v>1</v>
      </c>
      <c r="K20" t="n">
        <v>0</v>
      </c>
      <c r="L20" t="n">
        <v>0</v>
      </c>
      <c r="M20" t="n">
        <v>0</v>
      </c>
      <c r="N20" t="n">
        <v>0</v>
      </c>
      <c r="O20" t="n">
        <v>1</v>
      </c>
      <c r="P20" t="n">
        <v>0</v>
      </c>
      <c r="Q20" t="n">
        <v>5</v>
      </c>
      <c r="R20" s="2" t="inlineStr">
        <is>
          <t>Spillkråka
Bollvitmossa
Bronshjon
Källpraktmossa
Vanlig groda</t>
        </is>
      </c>
      <c r="S20">
        <f>HYPERLINK("https://klasma.github.io/Logging_2083/artfynd/A 31534-2021 artfynd.xlsx", "A 31534-2021")</f>
        <v/>
      </c>
      <c r="T20">
        <f>HYPERLINK("https://klasma.github.io/Logging_2083/kartor/A 31534-2021 karta.png", "A 31534-2021")</f>
        <v/>
      </c>
      <c r="V20">
        <f>HYPERLINK("https://klasma.github.io/Logging_2083/klagomål/A 31534-2021 FSC-klagomål.docx", "A 31534-2021")</f>
        <v/>
      </c>
      <c r="W20">
        <f>HYPERLINK("https://klasma.github.io/Logging_2083/klagomålsmail/A 31534-2021 FSC-klagomål mail.docx", "A 31534-2021")</f>
        <v/>
      </c>
      <c r="X20">
        <f>HYPERLINK("https://klasma.github.io/Logging_2083/tillsyn/A 31534-2021 tillsynsbegäran.docx", "A 31534-2021")</f>
        <v/>
      </c>
      <c r="Y20">
        <f>HYPERLINK("https://klasma.github.io/Logging_2083/tillsynsmail/A 31534-2021 tillsynsbegäran mail.docx", "A 31534-2021")</f>
        <v/>
      </c>
      <c r="Z20">
        <f>HYPERLINK("https://klasma.github.io/Logging_2083/fåglar/A 31534-2021 prioriterade fågelarter.docx", "A 31534-2021")</f>
        <v/>
      </c>
    </row>
    <row r="21" ht="15" customHeight="1">
      <c r="A21" t="inlineStr">
        <is>
          <t>A 45872-2021</t>
        </is>
      </c>
      <c r="B21" s="1" t="n">
        <v>44441</v>
      </c>
      <c r="C21" s="1" t="n">
        <v>45643</v>
      </c>
      <c r="D21" t="inlineStr">
        <is>
          <t>DALARNAS LÄN</t>
        </is>
      </c>
      <c r="E21" t="inlineStr">
        <is>
          <t>HEDEMORA</t>
        </is>
      </c>
      <c r="G21" t="n">
        <v>4.3</v>
      </c>
      <c r="H21" t="n">
        <v>2</v>
      </c>
      <c r="I21" t="n">
        <v>3</v>
      </c>
      <c r="J21" t="n">
        <v>2</v>
      </c>
      <c r="K21" t="n">
        <v>0</v>
      </c>
      <c r="L21" t="n">
        <v>0</v>
      </c>
      <c r="M21" t="n">
        <v>0</v>
      </c>
      <c r="N21" t="n">
        <v>0</v>
      </c>
      <c r="O21" t="n">
        <v>2</v>
      </c>
      <c r="P21" t="n">
        <v>0</v>
      </c>
      <c r="Q21" t="n">
        <v>5</v>
      </c>
      <c r="R21" s="2" t="inlineStr">
        <is>
          <t>Spillkråka
Talltita
Bollvitmossa
Gulnål
Rödgul trumpetsvamp</t>
        </is>
      </c>
      <c r="S21">
        <f>HYPERLINK("https://klasma.github.io/Logging_2083/artfynd/A 45872-2021 artfynd.xlsx", "A 45872-2021")</f>
        <v/>
      </c>
      <c r="T21">
        <f>HYPERLINK("https://klasma.github.io/Logging_2083/kartor/A 45872-2021 karta.png", "A 45872-2021")</f>
        <v/>
      </c>
      <c r="V21">
        <f>HYPERLINK("https://klasma.github.io/Logging_2083/klagomål/A 45872-2021 FSC-klagomål.docx", "A 45872-2021")</f>
        <v/>
      </c>
      <c r="W21">
        <f>HYPERLINK("https://klasma.github.io/Logging_2083/klagomålsmail/A 45872-2021 FSC-klagomål mail.docx", "A 45872-2021")</f>
        <v/>
      </c>
      <c r="X21">
        <f>HYPERLINK("https://klasma.github.io/Logging_2083/tillsyn/A 45872-2021 tillsynsbegäran.docx", "A 45872-2021")</f>
        <v/>
      </c>
      <c r="Y21">
        <f>HYPERLINK("https://klasma.github.io/Logging_2083/tillsynsmail/A 45872-2021 tillsynsbegäran mail.docx", "A 45872-2021")</f>
        <v/>
      </c>
      <c r="Z21">
        <f>HYPERLINK("https://klasma.github.io/Logging_2083/fåglar/A 45872-2021 prioriterade fågelarter.docx", "A 45872-2021")</f>
        <v/>
      </c>
    </row>
    <row r="22" ht="15" customHeight="1">
      <c r="A22" t="inlineStr">
        <is>
          <t>A 60557-2021</t>
        </is>
      </c>
      <c r="B22" s="1" t="n">
        <v>44495</v>
      </c>
      <c r="C22" s="1" t="n">
        <v>45643</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46595-2023</t>
        </is>
      </c>
      <c r="B23" s="1" t="n">
        <v>45194</v>
      </c>
      <c r="C23" s="1" t="n">
        <v>45643</v>
      </c>
      <c r="D23" t="inlineStr">
        <is>
          <t>DALARNAS LÄN</t>
        </is>
      </c>
      <c r="E23" t="inlineStr">
        <is>
          <t>HEDEMORA</t>
        </is>
      </c>
      <c r="G23" t="n">
        <v>13.5</v>
      </c>
      <c r="H23" t="n">
        <v>4</v>
      </c>
      <c r="I23" t="n">
        <v>1</v>
      </c>
      <c r="J23" t="n">
        <v>2</v>
      </c>
      <c r="K23" t="n">
        <v>0</v>
      </c>
      <c r="L23" t="n">
        <v>0</v>
      </c>
      <c r="M23" t="n">
        <v>0</v>
      </c>
      <c r="N23" t="n">
        <v>0</v>
      </c>
      <c r="O23" t="n">
        <v>2</v>
      </c>
      <c r="P23" t="n">
        <v>0</v>
      </c>
      <c r="Q23" t="n">
        <v>5</v>
      </c>
      <c r="R23" s="2" t="inlineStr">
        <is>
          <t>Spillkråka
Talltita
Tibast
Trana
Blåsippa</t>
        </is>
      </c>
      <c r="S23">
        <f>HYPERLINK("https://klasma.github.io/Logging_2083/artfynd/A 46595-2023 artfynd.xlsx", "A 46595-2023")</f>
        <v/>
      </c>
      <c r="T23">
        <f>HYPERLINK("https://klasma.github.io/Logging_2083/kartor/A 46595-2023 karta.png", "A 46595-2023")</f>
        <v/>
      </c>
      <c r="V23">
        <f>HYPERLINK("https://klasma.github.io/Logging_2083/klagomål/A 46595-2023 FSC-klagomål.docx", "A 46595-2023")</f>
        <v/>
      </c>
      <c r="W23">
        <f>HYPERLINK("https://klasma.github.io/Logging_2083/klagomålsmail/A 46595-2023 FSC-klagomål mail.docx", "A 46595-2023")</f>
        <v/>
      </c>
      <c r="X23">
        <f>HYPERLINK("https://klasma.github.io/Logging_2083/tillsyn/A 46595-2023 tillsynsbegäran.docx", "A 46595-2023")</f>
        <v/>
      </c>
      <c r="Y23">
        <f>HYPERLINK("https://klasma.github.io/Logging_2083/tillsynsmail/A 46595-2023 tillsynsbegäran mail.docx", "A 46595-2023")</f>
        <v/>
      </c>
      <c r="Z23">
        <f>HYPERLINK("https://klasma.github.io/Logging_2083/fåglar/A 46595-2023 prioriterade fågelarter.docx", "A 46595-2023")</f>
        <v/>
      </c>
    </row>
    <row r="24" ht="15" customHeight="1">
      <c r="A24" t="inlineStr">
        <is>
          <t>A 30003-2024</t>
        </is>
      </c>
      <c r="B24" s="1" t="n">
        <v>45488</v>
      </c>
      <c r="C24" s="1" t="n">
        <v>45643</v>
      </c>
      <c r="D24" t="inlineStr">
        <is>
          <t>DALARNAS LÄN</t>
        </is>
      </c>
      <c r="E24" t="inlineStr">
        <is>
          <t>HEDEMORA</t>
        </is>
      </c>
      <c r="G24" t="n">
        <v>10.4</v>
      </c>
      <c r="H24" t="n">
        <v>2</v>
      </c>
      <c r="I24" t="n">
        <v>2</v>
      </c>
      <c r="J24" t="n">
        <v>2</v>
      </c>
      <c r="K24" t="n">
        <v>1</v>
      </c>
      <c r="L24" t="n">
        <v>0</v>
      </c>
      <c r="M24" t="n">
        <v>0</v>
      </c>
      <c r="N24" t="n">
        <v>0</v>
      </c>
      <c r="O24" t="n">
        <v>3</v>
      </c>
      <c r="P24" t="n">
        <v>1</v>
      </c>
      <c r="Q24" t="n">
        <v>5</v>
      </c>
      <c r="R24" s="2" t="inlineStr">
        <is>
          <t>Knärot
Spillkråka
Ullticka
Rödgul trumpetsvamp
Svavelriska</t>
        </is>
      </c>
      <c r="S24">
        <f>HYPERLINK("https://klasma.github.io/Logging_2083/artfynd/A 30003-2024 artfynd.xlsx", "A 30003-2024")</f>
        <v/>
      </c>
      <c r="T24">
        <f>HYPERLINK("https://klasma.github.io/Logging_2083/kartor/A 30003-2024 karta.png", "A 30003-2024")</f>
        <v/>
      </c>
      <c r="U24">
        <f>HYPERLINK("https://klasma.github.io/Logging_2083/knärot/A 30003-2024 karta knärot.png", "A 30003-2024")</f>
        <v/>
      </c>
      <c r="V24">
        <f>HYPERLINK("https://klasma.github.io/Logging_2083/klagomål/A 30003-2024 FSC-klagomål.docx", "A 30003-2024")</f>
        <v/>
      </c>
      <c r="W24">
        <f>HYPERLINK("https://klasma.github.io/Logging_2083/klagomålsmail/A 30003-2024 FSC-klagomål mail.docx", "A 30003-2024")</f>
        <v/>
      </c>
      <c r="X24">
        <f>HYPERLINK("https://klasma.github.io/Logging_2083/tillsyn/A 30003-2024 tillsynsbegäran.docx", "A 30003-2024")</f>
        <v/>
      </c>
      <c r="Y24">
        <f>HYPERLINK("https://klasma.github.io/Logging_2083/tillsynsmail/A 30003-2024 tillsynsbegäran mail.docx", "A 30003-2024")</f>
        <v/>
      </c>
      <c r="Z24">
        <f>HYPERLINK("https://klasma.github.io/Logging_2083/fåglar/A 30003-2024 prioriterade fågelarter.docx", "A 30003-2024")</f>
        <v/>
      </c>
    </row>
    <row r="25" ht="15" customHeight="1">
      <c r="A25" t="inlineStr">
        <is>
          <t>A 59136-2024</t>
        </is>
      </c>
      <c r="B25" s="1" t="n">
        <v>45637</v>
      </c>
      <c r="C25" s="1" t="n">
        <v>45643</v>
      </c>
      <c r="D25" t="inlineStr">
        <is>
          <t>DALARNAS LÄN</t>
        </is>
      </c>
      <c r="E25" t="inlineStr">
        <is>
          <t>HEDEMORA</t>
        </is>
      </c>
      <c r="G25" t="n">
        <v>6.8</v>
      </c>
      <c r="H25" t="n">
        <v>1</v>
      </c>
      <c r="I25" t="n">
        <v>4</v>
      </c>
      <c r="J25" t="n">
        <v>1</v>
      </c>
      <c r="K25" t="n">
        <v>0</v>
      </c>
      <c r="L25" t="n">
        <v>0</v>
      </c>
      <c r="M25" t="n">
        <v>0</v>
      </c>
      <c r="N25" t="n">
        <v>0</v>
      </c>
      <c r="O25" t="n">
        <v>1</v>
      </c>
      <c r="P25" t="n">
        <v>0</v>
      </c>
      <c r="Q25" t="n">
        <v>5</v>
      </c>
      <c r="R25" s="2" t="inlineStr">
        <is>
          <t>Garnlav
Bronshjon
Dropptaggsvamp
Plattlummer
Rödgul trumpetsvamp</t>
        </is>
      </c>
      <c r="S25">
        <f>HYPERLINK("https://klasma.github.io/Logging_2083/artfynd/A 59136-2024 artfynd.xlsx", "A 59136-2024")</f>
        <v/>
      </c>
      <c r="T25">
        <f>HYPERLINK("https://klasma.github.io/Logging_2083/kartor/A 59136-2024 karta.png", "A 59136-2024")</f>
        <v/>
      </c>
      <c r="V25">
        <f>HYPERLINK("https://klasma.github.io/Logging_2083/klagomål/A 59136-2024 FSC-klagomål.docx", "A 59136-2024")</f>
        <v/>
      </c>
      <c r="W25">
        <f>HYPERLINK("https://klasma.github.io/Logging_2083/klagomålsmail/A 59136-2024 FSC-klagomål mail.docx", "A 59136-2024")</f>
        <v/>
      </c>
      <c r="X25">
        <f>HYPERLINK("https://klasma.github.io/Logging_2083/tillsyn/A 59136-2024 tillsynsbegäran.docx", "A 59136-2024")</f>
        <v/>
      </c>
      <c r="Y25">
        <f>HYPERLINK("https://klasma.github.io/Logging_2083/tillsynsmail/A 59136-2024 tillsynsbegäran mail.docx", "A 59136-2024")</f>
        <v/>
      </c>
    </row>
    <row r="26" ht="15" customHeight="1">
      <c r="A26" t="inlineStr">
        <is>
          <t>A 49872-2021</t>
        </is>
      </c>
      <c r="B26" s="1" t="n">
        <v>44455</v>
      </c>
      <c r="C26" s="1" t="n">
        <v>45643</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45643</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45643</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45643</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45643</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49272-2020</t>
        </is>
      </c>
      <c r="B31" s="1" t="n">
        <v>44105</v>
      </c>
      <c r="C31" s="1" t="n">
        <v>45643</v>
      </c>
      <c r="D31" t="inlineStr">
        <is>
          <t>DALARNAS LÄN</t>
        </is>
      </c>
      <c r="E31" t="inlineStr">
        <is>
          <t>HEDEMORA</t>
        </is>
      </c>
      <c r="F31" t="inlineStr">
        <is>
          <t>Sveaskog</t>
        </is>
      </c>
      <c r="G31" t="n">
        <v>2.5</v>
      </c>
      <c r="H31" t="n">
        <v>2</v>
      </c>
      <c r="I31" t="n">
        <v>0</v>
      </c>
      <c r="J31" t="n">
        <v>2</v>
      </c>
      <c r="K31" t="n">
        <v>1</v>
      </c>
      <c r="L31" t="n">
        <v>0</v>
      </c>
      <c r="M31" t="n">
        <v>0</v>
      </c>
      <c r="N31" t="n">
        <v>0</v>
      </c>
      <c r="O31" t="n">
        <v>3</v>
      </c>
      <c r="P31" t="n">
        <v>1</v>
      </c>
      <c r="Q31" t="n">
        <v>3</v>
      </c>
      <c r="R31" s="2" t="inlineStr">
        <is>
          <t>Knärot
Spillkråka
Tallticka</t>
        </is>
      </c>
      <c r="S31">
        <f>HYPERLINK("https://klasma.github.io/Logging_2083/artfynd/A 49272-2020 artfynd.xlsx", "A 49272-2020")</f>
        <v/>
      </c>
      <c r="T31">
        <f>HYPERLINK("https://klasma.github.io/Logging_2083/kartor/A 49272-2020 karta.png", "A 49272-2020")</f>
        <v/>
      </c>
      <c r="U31">
        <f>HYPERLINK("https://klasma.github.io/Logging_2083/knärot/A 49272-2020 karta knärot.png", "A 49272-2020")</f>
        <v/>
      </c>
      <c r="V31">
        <f>HYPERLINK("https://klasma.github.io/Logging_2083/klagomål/A 49272-2020 FSC-klagomål.docx", "A 49272-2020")</f>
        <v/>
      </c>
      <c r="W31">
        <f>HYPERLINK("https://klasma.github.io/Logging_2083/klagomålsmail/A 49272-2020 FSC-klagomål mail.docx", "A 49272-2020")</f>
        <v/>
      </c>
      <c r="X31">
        <f>HYPERLINK("https://klasma.github.io/Logging_2083/tillsyn/A 49272-2020 tillsynsbegäran.docx", "A 49272-2020")</f>
        <v/>
      </c>
      <c r="Y31">
        <f>HYPERLINK("https://klasma.github.io/Logging_2083/tillsynsmail/A 49272-2020 tillsynsbegäran mail.docx", "A 49272-2020")</f>
        <v/>
      </c>
      <c r="Z31">
        <f>HYPERLINK("https://klasma.github.io/Logging_2083/fåglar/A 49272-2020 prioriterade fågelarter.docx", "A 49272-2020")</f>
        <v/>
      </c>
    </row>
    <row r="32" ht="15" customHeight="1">
      <c r="A32" t="inlineStr">
        <is>
          <t>A 55022-2020</t>
        </is>
      </c>
      <c r="B32" s="1" t="n">
        <v>44130</v>
      </c>
      <c r="C32" s="1" t="n">
        <v>45643</v>
      </c>
      <c r="D32" t="inlineStr">
        <is>
          <t>DALARNAS LÄN</t>
        </is>
      </c>
      <c r="E32" t="inlineStr">
        <is>
          <t>HEDEMORA</t>
        </is>
      </c>
      <c r="F32" t="inlineStr">
        <is>
          <t>Sveaskog</t>
        </is>
      </c>
      <c r="G32" t="n">
        <v>3.2</v>
      </c>
      <c r="H32" t="n">
        <v>1</v>
      </c>
      <c r="I32" t="n">
        <v>0</v>
      </c>
      <c r="J32" t="n">
        <v>2</v>
      </c>
      <c r="K32" t="n">
        <v>1</v>
      </c>
      <c r="L32" t="n">
        <v>0</v>
      </c>
      <c r="M32" t="n">
        <v>0</v>
      </c>
      <c r="N32" t="n">
        <v>0</v>
      </c>
      <c r="O32" t="n">
        <v>3</v>
      </c>
      <c r="P32" t="n">
        <v>1</v>
      </c>
      <c r="Q32" t="n">
        <v>3</v>
      </c>
      <c r="R32" s="2" t="inlineStr">
        <is>
          <t>Knärot
Garnlav
Ullticka</t>
        </is>
      </c>
      <c r="S32">
        <f>HYPERLINK("https://klasma.github.io/Logging_2083/artfynd/A 55022-2020 artfynd.xlsx", "A 55022-2020")</f>
        <v/>
      </c>
      <c r="T32">
        <f>HYPERLINK("https://klasma.github.io/Logging_2083/kartor/A 55022-2020 karta.png", "A 55022-2020")</f>
        <v/>
      </c>
      <c r="U32">
        <f>HYPERLINK("https://klasma.github.io/Logging_2083/knärot/A 55022-2020 karta knärot.png", "A 55022-2020")</f>
        <v/>
      </c>
      <c r="V32">
        <f>HYPERLINK("https://klasma.github.io/Logging_2083/klagomål/A 55022-2020 FSC-klagomål.docx", "A 55022-2020")</f>
        <v/>
      </c>
      <c r="W32">
        <f>HYPERLINK("https://klasma.github.io/Logging_2083/klagomålsmail/A 55022-2020 FSC-klagomål mail.docx", "A 55022-2020")</f>
        <v/>
      </c>
      <c r="X32">
        <f>HYPERLINK("https://klasma.github.io/Logging_2083/tillsyn/A 55022-2020 tillsynsbegäran.docx", "A 55022-2020")</f>
        <v/>
      </c>
      <c r="Y32">
        <f>HYPERLINK("https://klasma.github.io/Logging_2083/tillsynsmail/A 55022-2020 tillsynsbegäran mail.docx", "A 55022-2020")</f>
        <v/>
      </c>
    </row>
    <row r="33" ht="15" customHeight="1">
      <c r="A33" t="inlineStr">
        <is>
          <t>A 34360-2021</t>
        </is>
      </c>
      <c r="B33" s="1" t="n">
        <v>44379</v>
      </c>
      <c r="C33" s="1" t="n">
        <v>45643</v>
      </c>
      <c r="D33" t="inlineStr">
        <is>
          <t>DALARNAS LÄN</t>
        </is>
      </c>
      <c r="E33" t="inlineStr">
        <is>
          <t>HEDEMORA</t>
        </is>
      </c>
      <c r="F33" t="inlineStr">
        <is>
          <t>Sveaskog</t>
        </is>
      </c>
      <c r="G33" t="n">
        <v>3.6</v>
      </c>
      <c r="H33" t="n">
        <v>2</v>
      </c>
      <c r="I33" t="n">
        <v>1</v>
      </c>
      <c r="J33" t="n">
        <v>1</v>
      </c>
      <c r="K33" t="n">
        <v>1</v>
      </c>
      <c r="L33" t="n">
        <v>0</v>
      </c>
      <c r="M33" t="n">
        <v>0</v>
      </c>
      <c r="N33" t="n">
        <v>0</v>
      </c>
      <c r="O33" t="n">
        <v>2</v>
      </c>
      <c r="P33" t="n">
        <v>1</v>
      </c>
      <c r="Q33" t="n">
        <v>3</v>
      </c>
      <c r="R33" s="2" t="inlineStr">
        <is>
          <t>Knärot
Spillkråka
Bronshjon</t>
        </is>
      </c>
      <c r="S33">
        <f>HYPERLINK("https://klasma.github.io/Logging_2083/artfynd/A 34360-2021 artfynd.xlsx", "A 34360-2021")</f>
        <v/>
      </c>
      <c r="T33">
        <f>HYPERLINK("https://klasma.github.io/Logging_2083/kartor/A 34360-2021 karta.png", "A 34360-2021")</f>
        <v/>
      </c>
      <c r="U33">
        <f>HYPERLINK("https://klasma.github.io/Logging_2083/knärot/A 34360-2021 karta knärot.png", "A 34360-2021")</f>
        <v/>
      </c>
      <c r="V33">
        <f>HYPERLINK("https://klasma.github.io/Logging_2083/klagomål/A 34360-2021 FSC-klagomål.docx", "A 34360-2021")</f>
        <v/>
      </c>
      <c r="W33">
        <f>HYPERLINK("https://klasma.github.io/Logging_2083/klagomålsmail/A 34360-2021 FSC-klagomål mail.docx", "A 34360-2021")</f>
        <v/>
      </c>
      <c r="X33">
        <f>HYPERLINK("https://klasma.github.io/Logging_2083/tillsyn/A 34360-2021 tillsynsbegäran.docx", "A 34360-2021")</f>
        <v/>
      </c>
      <c r="Y33">
        <f>HYPERLINK("https://klasma.github.io/Logging_2083/tillsynsmail/A 34360-2021 tillsynsbegäran mail.docx", "A 34360-2021")</f>
        <v/>
      </c>
      <c r="Z33">
        <f>HYPERLINK("https://klasma.github.io/Logging_2083/fåglar/A 34360-2021 prioriterade fågelarter.docx", "A 34360-2021")</f>
        <v/>
      </c>
    </row>
    <row r="34" ht="15" customHeight="1">
      <c r="A34" t="inlineStr">
        <is>
          <t>A 62054-2021</t>
        </is>
      </c>
      <c r="B34" s="1" t="n">
        <v>44502</v>
      </c>
      <c r="C34" s="1" t="n">
        <v>45643</v>
      </c>
      <c r="D34" t="inlineStr">
        <is>
          <t>DALARNAS LÄN</t>
        </is>
      </c>
      <c r="E34" t="inlineStr">
        <is>
          <t>HEDEMORA</t>
        </is>
      </c>
      <c r="G34" t="n">
        <v>1.5</v>
      </c>
      <c r="H34" t="n">
        <v>1</v>
      </c>
      <c r="I34" t="n">
        <v>0</v>
      </c>
      <c r="J34" t="n">
        <v>2</v>
      </c>
      <c r="K34" t="n">
        <v>1</v>
      </c>
      <c r="L34" t="n">
        <v>0</v>
      </c>
      <c r="M34" t="n">
        <v>0</v>
      </c>
      <c r="N34" t="n">
        <v>0</v>
      </c>
      <c r="O34" t="n">
        <v>3</v>
      </c>
      <c r="P34" t="n">
        <v>1</v>
      </c>
      <c r="Q34" t="n">
        <v>3</v>
      </c>
      <c r="R34" s="2" t="inlineStr">
        <is>
          <t>Knärot
Motaggsvamp
Ullticka</t>
        </is>
      </c>
      <c r="S34">
        <f>HYPERLINK("https://klasma.github.io/Logging_2083/artfynd/A 62054-2021 artfynd.xlsx", "A 62054-2021")</f>
        <v/>
      </c>
      <c r="T34">
        <f>HYPERLINK("https://klasma.github.io/Logging_2083/kartor/A 62054-2021 karta.png", "A 62054-2021")</f>
        <v/>
      </c>
      <c r="U34">
        <f>HYPERLINK("https://klasma.github.io/Logging_2083/knärot/A 62054-2021 karta knärot.png", "A 62054-2021")</f>
        <v/>
      </c>
      <c r="V34">
        <f>HYPERLINK("https://klasma.github.io/Logging_2083/klagomål/A 62054-2021 FSC-klagomål.docx", "A 62054-2021")</f>
        <v/>
      </c>
      <c r="W34">
        <f>HYPERLINK("https://klasma.github.io/Logging_2083/klagomålsmail/A 62054-2021 FSC-klagomål mail.docx", "A 62054-2021")</f>
        <v/>
      </c>
      <c r="X34">
        <f>HYPERLINK("https://klasma.github.io/Logging_2083/tillsyn/A 62054-2021 tillsynsbegäran.docx", "A 62054-2021")</f>
        <v/>
      </c>
      <c r="Y34">
        <f>HYPERLINK("https://klasma.github.io/Logging_2083/tillsynsmail/A 62054-2021 tillsynsbegäran mail.docx", "A 62054-2021")</f>
        <v/>
      </c>
    </row>
    <row r="35" ht="15" customHeight="1">
      <c r="A35" t="inlineStr">
        <is>
          <t>A 2409-2022</t>
        </is>
      </c>
      <c r="B35" s="1" t="n">
        <v>44579</v>
      </c>
      <c r="C35" s="1" t="n">
        <v>45643</v>
      </c>
      <c r="D35" t="inlineStr">
        <is>
          <t>DALARNAS LÄN</t>
        </is>
      </c>
      <c r="E35" t="inlineStr">
        <is>
          <t>HEDEMORA</t>
        </is>
      </c>
      <c r="G35" t="n">
        <v>3.1</v>
      </c>
      <c r="H35" t="n">
        <v>1</v>
      </c>
      <c r="I35" t="n">
        <v>1</v>
      </c>
      <c r="J35" t="n">
        <v>1</v>
      </c>
      <c r="K35" t="n">
        <v>1</v>
      </c>
      <c r="L35" t="n">
        <v>0</v>
      </c>
      <c r="M35" t="n">
        <v>0</v>
      </c>
      <c r="N35" t="n">
        <v>0</v>
      </c>
      <c r="O35" t="n">
        <v>2</v>
      </c>
      <c r="P35" t="n">
        <v>1</v>
      </c>
      <c r="Q35" t="n">
        <v>3</v>
      </c>
      <c r="R35" s="2" t="inlineStr">
        <is>
          <t>Knärot
Ullticka
Vedticka</t>
        </is>
      </c>
      <c r="S35">
        <f>HYPERLINK("https://klasma.github.io/Logging_2083/artfynd/A 2409-2022 artfynd.xlsx", "A 2409-2022")</f>
        <v/>
      </c>
      <c r="T35">
        <f>HYPERLINK("https://klasma.github.io/Logging_2083/kartor/A 2409-2022 karta.png", "A 2409-2022")</f>
        <v/>
      </c>
      <c r="U35">
        <f>HYPERLINK("https://klasma.github.io/Logging_2083/knärot/A 2409-2022 karta knärot.png", "A 2409-2022")</f>
        <v/>
      </c>
      <c r="V35">
        <f>HYPERLINK("https://klasma.github.io/Logging_2083/klagomål/A 2409-2022 FSC-klagomål.docx", "A 2409-2022")</f>
        <v/>
      </c>
      <c r="W35">
        <f>HYPERLINK("https://klasma.github.io/Logging_2083/klagomålsmail/A 2409-2022 FSC-klagomål mail.docx", "A 2409-2022")</f>
        <v/>
      </c>
      <c r="X35">
        <f>HYPERLINK("https://klasma.github.io/Logging_2083/tillsyn/A 2409-2022 tillsynsbegäran.docx", "A 2409-2022")</f>
        <v/>
      </c>
      <c r="Y35">
        <f>HYPERLINK("https://klasma.github.io/Logging_2083/tillsynsmail/A 2409-2022 tillsynsbegäran mail.docx", "A 2409-2022")</f>
        <v/>
      </c>
    </row>
    <row r="36" ht="15" customHeight="1">
      <c r="A36" t="inlineStr">
        <is>
          <t>A 4177-2022</t>
        </is>
      </c>
      <c r="B36" s="1" t="n">
        <v>44588</v>
      </c>
      <c r="C36" s="1" t="n">
        <v>45643</v>
      </c>
      <c r="D36" t="inlineStr">
        <is>
          <t>DALARNAS LÄN</t>
        </is>
      </c>
      <c r="E36" t="inlineStr">
        <is>
          <t>HEDEMORA</t>
        </is>
      </c>
      <c r="G36" t="n">
        <v>5.3</v>
      </c>
      <c r="H36" t="n">
        <v>2</v>
      </c>
      <c r="I36" t="n">
        <v>1</v>
      </c>
      <c r="J36" t="n">
        <v>0</v>
      </c>
      <c r="K36" t="n">
        <v>1</v>
      </c>
      <c r="L36" t="n">
        <v>0</v>
      </c>
      <c r="M36" t="n">
        <v>0</v>
      </c>
      <c r="N36" t="n">
        <v>0</v>
      </c>
      <c r="O36" t="n">
        <v>1</v>
      </c>
      <c r="P36" t="n">
        <v>1</v>
      </c>
      <c r="Q36" t="n">
        <v>3</v>
      </c>
      <c r="R36" s="2" t="inlineStr">
        <is>
          <t>Knärot
Bronshjon
Fläcknycklar</t>
        </is>
      </c>
      <c r="S36">
        <f>HYPERLINK("https://klasma.github.io/Logging_2083/artfynd/A 4177-2022 artfynd.xlsx", "A 4177-2022")</f>
        <v/>
      </c>
      <c r="T36">
        <f>HYPERLINK("https://klasma.github.io/Logging_2083/kartor/A 4177-2022 karta.png", "A 4177-2022")</f>
        <v/>
      </c>
      <c r="U36">
        <f>HYPERLINK("https://klasma.github.io/Logging_2083/knärot/A 4177-2022 karta knärot.png", "A 4177-2022")</f>
        <v/>
      </c>
      <c r="V36">
        <f>HYPERLINK("https://klasma.github.io/Logging_2083/klagomål/A 4177-2022 FSC-klagomål.docx", "A 4177-2022")</f>
        <v/>
      </c>
      <c r="W36">
        <f>HYPERLINK("https://klasma.github.io/Logging_2083/klagomålsmail/A 4177-2022 FSC-klagomål mail.docx", "A 4177-2022")</f>
        <v/>
      </c>
      <c r="X36">
        <f>HYPERLINK("https://klasma.github.io/Logging_2083/tillsyn/A 4177-2022 tillsynsbegäran.docx", "A 4177-2022")</f>
        <v/>
      </c>
      <c r="Y36">
        <f>HYPERLINK("https://klasma.github.io/Logging_2083/tillsynsmail/A 4177-2022 tillsynsbegäran mail.docx", "A 4177-2022")</f>
        <v/>
      </c>
    </row>
    <row r="37" ht="15" customHeight="1">
      <c r="A37" t="inlineStr">
        <is>
          <t>A 63545-2023</t>
        </is>
      </c>
      <c r="B37" s="1" t="n">
        <v>45275</v>
      </c>
      <c r="C37" s="1" t="n">
        <v>45643</v>
      </c>
      <c r="D37" t="inlineStr">
        <is>
          <t>DALARNAS LÄN</t>
        </is>
      </c>
      <c r="E37" t="inlineStr">
        <is>
          <t>HEDEMORA</t>
        </is>
      </c>
      <c r="G37" t="n">
        <v>6.5</v>
      </c>
      <c r="H37" t="n">
        <v>2</v>
      </c>
      <c r="I37" t="n">
        <v>0</v>
      </c>
      <c r="J37" t="n">
        <v>1</v>
      </c>
      <c r="K37" t="n">
        <v>2</v>
      </c>
      <c r="L37" t="n">
        <v>0</v>
      </c>
      <c r="M37" t="n">
        <v>0</v>
      </c>
      <c r="N37" t="n">
        <v>0</v>
      </c>
      <c r="O37" t="n">
        <v>3</v>
      </c>
      <c r="P37" t="n">
        <v>2</v>
      </c>
      <c r="Q37" t="n">
        <v>3</v>
      </c>
      <c r="R37" s="2" t="inlineStr">
        <is>
          <t>Knärot
Rynkskinn
Spillkråka</t>
        </is>
      </c>
      <c r="S37">
        <f>HYPERLINK("https://klasma.github.io/Logging_2083/artfynd/A 63545-2023 artfynd.xlsx", "A 63545-2023")</f>
        <v/>
      </c>
      <c r="T37">
        <f>HYPERLINK("https://klasma.github.io/Logging_2083/kartor/A 63545-2023 karta.png", "A 63545-2023")</f>
        <v/>
      </c>
      <c r="U37">
        <f>HYPERLINK("https://klasma.github.io/Logging_2083/knärot/A 63545-2023 karta knärot.png", "A 63545-2023")</f>
        <v/>
      </c>
      <c r="V37">
        <f>HYPERLINK("https://klasma.github.io/Logging_2083/klagomål/A 63545-2023 FSC-klagomål.docx", "A 63545-2023")</f>
        <v/>
      </c>
      <c r="W37">
        <f>HYPERLINK("https://klasma.github.io/Logging_2083/klagomålsmail/A 63545-2023 FSC-klagomål mail.docx", "A 63545-2023")</f>
        <v/>
      </c>
      <c r="X37">
        <f>HYPERLINK("https://klasma.github.io/Logging_2083/tillsyn/A 63545-2023 tillsynsbegäran.docx", "A 63545-2023")</f>
        <v/>
      </c>
      <c r="Y37">
        <f>HYPERLINK("https://klasma.github.io/Logging_2083/tillsynsmail/A 63545-2023 tillsynsbegäran mail.docx", "A 63545-2023")</f>
        <v/>
      </c>
      <c r="Z37">
        <f>HYPERLINK("https://klasma.github.io/Logging_2083/fåglar/A 63545-2023 prioriterade fågelarter.docx", "A 63545-2023")</f>
        <v/>
      </c>
    </row>
    <row r="38" ht="15" customHeight="1">
      <c r="A38" t="inlineStr">
        <is>
          <t>A 27611-2024</t>
        </is>
      </c>
      <c r="B38" s="1" t="n">
        <v>45474</v>
      </c>
      <c r="C38" s="1" t="n">
        <v>45643</v>
      </c>
      <c r="D38" t="inlineStr">
        <is>
          <t>DALARNAS LÄN</t>
        </is>
      </c>
      <c r="E38" t="inlineStr">
        <is>
          <t>HEDEMORA</t>
        </is>
      </c>
      <c r="F38" t="inlineStr">
        <is>
          <t>Sveaskog</t>
        </is>
      </c>
      <c r="G38" t="n">
        <v>3.3</v>
      </c>
      <c r="H38" t="n">
        <v>3</v>
      </c>
      <c r="I38" t="n">
        <v>0</v>
      </c>
      <c r="J38" t="n">
        <v>2</v>
      </c>
      <c r="K38" t="n">
        <v>0</v>
      </c>
      <c r="L38" t="n">
        <v>0</v>
      </c>
      <c r="M38" t="n">
        <v>0</v>
      </c>
      <c r="N38" t="n">
        <v>0</v>
      </c>
      <c r="O38" t="n">
        <v>2</v>
      </c>
      <c r="P38" t="n">
        <v>0</v>
      </c>
      <c r="Q38" t="n">
        <v>3</v>
      </c>
      <c r="R38" s="2" t="inlineStr">
        <is>
          <t>Spillkråka
Talltita
Fläcknycklar</t>
        </is>
      </c>
      <c r="S38">
        <f>HYPERLINK("https://klasma.github.io/Logging_2083/artfynd/A 27611-2024 artfynd.xlsx", "A 27611-2024")</f>
        <v/>
      </c>
      <c r="T38">
        <f>HYPERLINK("https://klasma.github.io/Logging_2083/kartor/A 27611-2024 karta.png", "A 27611-2024")</f>
        <v/>
      </c>
      <c r="V38">
        <f>HYPERLINK("https://klasma.github.io/Logging_2083/klagomål/A 27611-2024 FSC-klagomål.docx", "A 27611-2024")</f>
        <v/>
      </c>
      <c r="W38">
        <f>HYPERLINK("https://klasma.github.io/Logging_2083/klagomålsmail/A 27611-2024 FSC-klagomål mail.docx", "A 27611-2024")</f>
        <v/>
      </c>
      <c r="X38">
        <f>HYPERLINK("https://klasma.github.io/Logging_2083/tillsyn/A 27611-2024 tillsynsbegäran.docx", "A 27611-2024")</f>
        <v/>
      </c>
      <c r="Y38">
        <f>HYPERLINK("https://klasma.github.io/Logging_2083/tillsynsmail/A 27611-2024 tillsynsbegäran mail.docx", "A 27611-2024")</f>
        <v/>
      </c>
      <c r="Z38">
        <f>HYPERLINK("https://klasma.github.io/Logging_2083/fåglar/A 27611-2024 prioriterade fågelarter.docx", "A 27611-2024")</f>
        <v/>
      </c>
    </row>
    <row r="39" ht="15" customHeight="1">
      <c r="A39" t="inlineStr">
        <is>
          <t>A 59137-2024</t>
        </is>
      </c>
      <c r="B39" s="1" t="n">
        <v>45637</v>
      </c>
      <c r="C39" s="1" t="n">
        <v>45643</v>
      </c>
      <c r="D39" t="inlineStr">
        <is>
          <t>DALARNAS LÄN</t>
        </is>
      </c>
      <c r="E39" t="inlineStr">
        <is>
          <t>HEDEMORA</t>
        </is>
      </c>
      <c r="G39" t="n">
        <v>8</v>
      </c>
      <c r="H39" t="n">
        <v>0</v>
      </c>
      <c r="I39" t="n">
        <v>0</v>
      </c>
      <c r="J39" t="n">
        <v>2</v>
      </c>
      <c r="K39" t="n">
        <v>1</v>
      </c>
      <c r="L39" t="n">
        <v>0</v>
      </c>
      <c r="M39" t="n">
        <v>0</v>
      </c>
      <c r="N39" t="n">
        <v>0</v>
      </c>
      <c r="O39" t="n">
        <v>3</v>
      </c>
      <c r="P39" t="n">
        <v>1</v>
      </c>
      <c r="Q39" t="n">
        <v>3</v>
      </c>
      <c r="R39" s="2" t="inlineStr">
        <is>
          <t>Ringlav
Garnlav
Ullticka</t>
        </is>
      </c>
      <c r="S39">
        <f>HYPERLINK("https://klasma.github.io/Logging_2083/artfynd/A 59137-2024 artfynd.xlsx", "A 59137-2024")</f>
        <v/>
      </c>
      <c r="T39">
        <f>HYPERLINK("https://klasma.github.io/Logging_2083/kartor/A 59137-2024 karta.png", "A 59137-2024")</f>
        <v/>
      </c>
      <c r="V39">
        <f>HYPERLINK("https://klasma.github.io/Logging_2083/klagomål/A 59137-2024 FSC-klagomål.docx", "A 59137-2024")</f>
        <v/>
      </c>
      <c r="W39">
        <f>HYPERLINK("https://klasma.github.io/Logging_2083/klagomålsmail/A 59137-2024 FSC-klagomål mail.docx", "A 59137-2024")</f>
        <v/>
      </c>
      <c r="X39">
        <f>HYPERLINK("https://klasma.github.io/Logging_2083/tillsyn/A 59137-2024 tillsynsbegäran.docx", "A 59137-2024")</f>
        <v/>
      </c>
      <c r="Y39">
        <f>HYPERLINK("https://klasma.github.io/Logging_2083/tillsynsmail/A 59137-2024 tillsynsbegäran mail.docx", "A 59137-2024")</f>
        <v/>
      </c>
    </row>
    <row r="40" ht="15" customHeight="1">
      <c r="A40" t="inlineStr">
        <is>
          <t>A 49294-2019</t>
        </is>
      </c>
      <c r="B40" s="1" t="n">
        <v>43731</v>
      </c>
      <c r="C40" s="1" t="n">
        <v>45643</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45643</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45643</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45643</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45643</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45643</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45643</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45643</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45643</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45643</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45643</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45643</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45643</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45643</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45643</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45643</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45643</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45643</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45643</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9058-2020</t>
        </is>
      </c>
      <c r="B59" s="1" t="n">
        <v>43879</v>
      </c>
      <c r="C59" s="1" t="n">
        <v>45643</v>
      </c>
      <c r="D59" t="inlineStr">
        <is>
          <t>DALARNAS LÄN</t>
        </is>
      </c>
      <c r="E59" t="inlineStr">
        <is>
          <t>HEDEMORA</t>
        </is>
      </c>
      <c r="G59" t="n">
        <v>0.5</v>
      </c>
      <c r="H59" t="n">
        <v>0</v>
      </c>
      <c r="I59" t="n">
        <v>1</v>
      </c>
      <c r="J59" t="n">
        <v>0</v>
      </c>
      <c r="K59" t="n">
        <v>0</v>
      </c>
      <c r="L59" t="n">
        <v>0</v>
      </c>
      <c r="M59" t="n">
        <v>0</v>
      </c>
      <c r="N59" t="n">
        <v>0</v>
      </c>
      <c r="O59" t="n">
        <v>0</v>
      </c>
      <c r="P59" t="n">
        <v>0</v>
      </c>
      <c r="Q59" t="n">
        <v>1</v>
      </c>
      <c r="R59" s="2" t="inlineStr">
        <is>
          <t>Tibast</t>
        </is>
      </c>
      <c r="S59">
        <f>HYPERLINK("https://klasma.github.io/Logging_2083/artfynd/A 9058-2020 artfynd.xlsx", "A 9058-2020")</f>
        <v/>
      </c>
      <c r="T59">
        <f>HYPERLINK("https://klasma.github.io/Logging_2083/kartor/A 9058-2020 karta.png", "A 9058-2020")</f>
        <v/>
      </c>
      <c r="V59">
        <f>HYPERLINK("https://klasma.github.io/Logging_2083/klagomål/A 9058-2020 FSC-klagomål.docx", "A 9058-2020")</f>
        <v/>
      </c>
      <c r="W59">
        <f>HYPERLINK("https://klasma.github.io/Logging_2083/klagomålsmail/A 9058-2020 FSC-klagomål mail.docx", "A 9058-2020")</f>
        <v/>
      </c>
      <c r="X59">
        <f>HYPERLINK("https://klasma.github.io/Logging_2083/tillsyn/A 9058-2020 tillsynsbegäran.docx", "A 9058-2020")</f>
        <v/>
      </c>
      <c r="Y59">
        <f>HYPERLINK("https://klasma.github.io/Logging_2083/tillsynsmail/A 9058-2020 tillsynsbegäran mail.docx", "A 9058-2020")</f>
        <v/>
      </c>
    </row>
    <row r="60" ht="15" customHeight="1">
      <c r="A60" t="inlineStr">
        <is>
          <t>A 9056-2020</t>
        </is>
      </c>
      <c r="B60" s="1" t="n">
        <v>43879</v>
      </c>
      <c r="C60" s="1" t="n">
        <v>45643</v>
      </c>
      <c r="D60" t="inlineStr">
        <is>
          <t>DALARNAS LÄN</t>
        </is>
      </c>
      <c r="E60" t="inlineStr">
        <is>
          <t>HEDEMORA</t>
        </is>
      </c>
      <c r="G60" t="n">
        <v>1.4</v>
      </c>
      <c r="H60" t="n">
        <v>0</v>
      </c>
      <c r="I60" t="n">
        <v>0</v>
      </c>
      <c r="J60" t="n">
        <v>1</v>
      </c>
      <c r="K60" t="n">
        <v>0</v>
      </c>
      <c r="L60" t="n">
        <v>0</v>
      </c>
      <c r="M60" t="n">
        <v>0</v>
      </c>
      <c r="N60" t="n">
        <v>0</v>
      </c>
      <c r="O60" t="n">
        <v>1</v>
      </c>
      <c r="P60" t="n">
        <v>0</v>
      </c>
      <c r="Q60" t="n">
        <v>1</v>
      </c>
      <c r="R60" s="2" t="inlineStr">
        <is>
          <t>Garnlav</t>
        </is>
      </c>
      <c r="S60">
        <f>HYPERLINK("https://klasma.github.io/Logging_2083/artfynd/A 9056-2020 artfynd.xlsx", "A 9056-2020")</f>
        <v/>
      </c>
      <c r="T60">
        <f>HYPERLINK("https://klasma.github.io/Logging_2083/kartor/A 9056-2020 karta.png", "A 9056-2020")</f>
        <v/>
      </c>
      <c r="V60">
        <f>HYPERLINK("https://klasma.github.io/Logging_2083/klagomål/A 9056-2020 FSC-klagomål.docx", "A 9056-2020")</f>
        <v/>
      </c>
      <c r="W60">
        <f>HYPERLINK("https://klasma.github.io/Logging_2083/klagomålsmail/A 9056-2020 FSC-klagomål mail.docx", "A 9056-2020")</f>
        <v/>
      </c>
      <c r="X60">
        <f>HYPERLINK("https://klasma.github.io/Logging_2083/tillsyn/A 9056-2020 tillsynsbegäran.docx", "A 9056-2020")</f>
        <v/>
      </c>
      <c r="Y60">
        <f>HYPERLINK("https://klasma.github.io/Logging_2083/tillsynsmail/A 9056-2020 tillsynsbegäran mail.docx", "A 9056-2020")</f>
        <v/>
      </c>
    </row>
    <row r="61" ht="15" customHeight="1">
      <c r="A61" t="inlineStr">
        <is>
          <t>A 11129-2020</t>
        </is>
      </c>
      <c r="B61" s="1" t="n">
        <v>43889</v>
      </c>
      <c r="C61" s="1" t="n">
        <v>45643</v>
      </c>
      <c r="D61" t="inlineStr">
        <is>
          <t>DALARNAS LÄN</t>
        </is>
      </c>
      <c r="E61" t="inlineStr">
        <is>
          <t>HEDEMORA</t>
        </is>
      </c>
      <c r="G61" t="n">
        <v>2.1</v>
      </c>
      <c r="H61" t="n">
        <v>0</v>
      </c>
      <c r="I61" t="n">
        <v>1</v>
      </c>
      <c r="J61" t="n">
        <v>0</v>
      </c>
      <c r="K61" t="n">
        <v>0</v>
      </c>
      <c r="L61" t="n">
        <v>0</v>
      </c>
      <c r="M61" t="n">
        <v>0</v>
      </c>
      <c r="N61" t="n">
        <v>0</v>
      </c>
      <c r="O61" t="n">
        <v>0</v>
      </c>
      <c r="P61" t="n">
        <v>0</v>
      </c>
      <c r="Q61" t="n">
        <v>1</v>
      </c>
      <c r="R61" s="2" t="inlineStr">
        <is>
          <t>Bollvitmossa</t>
        </is>
      </c>
      <c r="S61">
        <f>HYPERLINK("https://klasma.github.io/Logging_2083/artfynd/A 11129-2020 artfynd.xlsx", "A 11129-2020")</f>
        <v/>
      </c>
      <c r="T61">
        <f>HYPERLINK("https://klasma.github.io/Logging_2083/kartor/A 11129-2020 karta.png", "A 11129-2020")</f>
        <v/>
      </c>
      <c r="V61">
        <f>HYPERLINK("https://klasma.github.io/Logging_2083/klagomål/A 11129-2020 FSC-klagomål.docx", "A 11129-2020")</f>
        <v/>
      </c>
      <c r="W61">
        <f>HYPERLINK("https://klasma.github.io/Logging_2083/klagomålsmail/A 11129-2020 FSC-klagomål mail.docx", "A 11129-2020")</f>
        <v/>
      </c>
      <c r="X61">
        <f>HYPERLINK("https://klasma.github.io/Logging_2083/tillsyn/A 11129-2020 tillsynsbegäran.docx", "A 11129-2020")</f>
        <v/>
      </c>
      <c r="Y61">
        <f>HYPERLINK("https://klasma.github.io/Logging_2083/tillsynsmail/A 11129-2020 tillsynsbegäran mail.docx", "A 11129-2020")</f>
        <v/>
      </c>
    </row>
    <row r="62" ht="15" customHeight="1">
      <c r="A62" t="inlineStr">
        <is>
          <t>A 17882-2020</t>
        </is>
      </c>
      <c r="B62" s="1" t="n">
        <v>43924</v>
      </c>
      <c r="C62" s="1" t="n">
        <v>45643</v>
      </c>
      <c r="D62" t="inlineStr">
        <is>
          <t>DALARNAS LÄN</t>
        </is>
      </c>
      <c r="E62" t="inlineStr">
        <is>
          <t>HEDEMORA</t>
        </is>
      </c>
      <c r="G62" t="n">
        <v>9.300000000000001</v>
      </c>
      <c r="H62" t="n">
        <v>1</v>
      </c>
      <c r="I62" t="n">
        <v>0</v>
      </c>
      <c r="J62" t="n">
        <v>0</v>
      </c>
      <c r="K62" t="n">
        <v>0</v>
      </c>
      <c r="L62" t="n">
        <v>0</v>
      </c>
      <c r="M62" t="n">
        <v>0</v>
      </c>
      <c r="N62" t="n">
        <v>0</v>
      </c>
      <c r="O62" t="n">
        <v>0</v>
      </c>
      <c r="P62" t="n">
        <v>0</v>
      </c>
      <c r="Q62" t="n">
        <v>1</v>
      </c>
      <c r="R62" s="2" t="inlineStr">
        <is>
          <t>Tjäder</t>
        </is>
      </c>
      <c r="S62">
        <f>HYPERLINK("https://klasma.github.io/Logging_2083/artfynd/A 17882-2020 artfynd.xlsx", "A 17882-2020")</f>
        <v/>
      </c>
      <c r="T62">
        <f>HYPERLINK("https://klasma.github.io/Logging_2083/kartor/A 17882-2020 karta.png", "A 17882-2020")</f>
        <v/>
      </c>
      <c r="V62">
        <f>HYPERLINK("https://klasma.github.io/Logging_2083/klagomål/A 17882-2020 FSC-klagomål.docx", "A 17882-2020")</f>
        <v/>
      </c>
      <c r="W62">
        <f>HYPERLINK("https://klasma.github.io/Logging_2083/klagomålsmail/A 17882-2020 FSC-klagomål mail.docx", "A 17882-2020")</f>
        <v/>
      </c>
      <c r="X62">
        <f>HYPERLINK("https://klasma.github.io/Logging_2083/tillsyn/A 17882-2020 tillsynsbegäran.docx", "A 17882-2020")</f>
        <v/>
      </c>
      <c r="Y62">
        <f>HYPERLINK("https://klasma.github.io/Logging_2083/tillsynsmail/A 17882-2020 tillsynsbegäran mail.docx", "A 17882-2020")</f>
        <v/>
      </c>
      <c r="Z62">
        <f>HYPERLINK("https://klasma.github.io/Logging_2083/fåglar/A 17882-2020 prioriterade fågelarter.docx", "A 17882-2020")</f>
        <v/>
      </c>
    </row>
    <row r="63" ht="15" customHeight="1">
      <c r="A63" t="inlineStr">
        <is>
          <t>A 24759-2020</t>
        </is>
      </c>
      <c r="B63" s="1" t="n">
        <v>43978</v>
      </c>
      <c r="C63" s="1" t="n">
        <v>45643</v>
      </c>
      <c r="D63" t="inlineStr">
        <is>
          <t>DALARNAS LÄN</t>
        </is>
      </c>
      <c r="E63" t="inlineStr">
        <is>
          <t>HEDEMORA</t>
        </is>
      </c>
      <c r="F63" t="inlineStr">
        <is>
          <t>Sveaskog</t>
        </is>
      </c>
      <c r="G63" t="n">
        <v>9.699999999999999</v>
      </c>
      <c r="H63" t="n">
        <v>1</v>
      </c>
      <c r="I63" t="n">
        <v>0</v>
      </c>
      <c r="J63" t="n">
        <v>0</v>
      </c>
      <c r="K63" t="n">
        <v>0</v>
      </c>
      <c r="L63" t="n">
        <v>0</v>
      </c>
      <c r="M63" t="n">
        <v>0</v>
      </c>
      <c r="N63" t="n">
        <v>0</v>
      </c>
      <c r="O63" t="n">
        <v>0</v>
      </c>
      <c r="P63" t="n">
        <v>0</v>
      </c>
      <c r="Q63" t="n">
        <v>1</v>
      </c>
      <c r="R63" s="2" t="inlineStr">
        <is>
          <t>Orre</t>
        </is>
      </c>
      <c r="S63">
        <f>HYPERLINK("https://klasma.github.io/Logging_2083/artfynd/A 24759-2020 artfynd.xlsx", "A 24759-2020")</f>
        <v/>
      </c>
      <c r="T63">
        <f>HYPERLINK("https://klasma.github.io/Logging_2083/kartor/A 24759-2020 karta.png", "A 24759-2020")</f>
        <v/>
      </c>
      <c r="V63">
        <f>HYPERLINK("https://klasma.github.io/Logging_2083/klagomål/A 24759-2020 FSC-klagomål.docx", "A 24759-2020")</f>
        <v/>
      </c>
      <c r="W63">
        <f>HYPERLINK("https://klasma.github.io/Logging_2083/klagomålsmail/A 24759-2020 FSC-klagomål mail.docx", "A 24759-2020")</f>
        <v/>
      </c>
      <c r="X63">
        <f>HYPERLINK("https://klasma.github.io/Logging_2083/tillsyn/A 24759-2020 tillsynsbegäran.docx", "A 24759-2020")</f>
        <v/>
      </c>
      <c r="Y63">
        <f>HYPERLINK("https://klasma.github.io/Logging_2083/tillsynsmail/A 24759-2020 tillsynsbegäran mail.docx", "A 24759-2020")</f>
        <v/>
      </c>
      <c r="Z63">
        <f>HYPERLINK("https://klasma.github.io/Logging_2083/fåglar/A 24759-2020 prioriterade fågelarter.docx", "A 24759-2020")</f>
        <v/>
      </c>
    </row>
    <row r="64" ht="15" customHeight="1">
      <c r="A64" t="inlineStr">
        <is>
          <t>A 29857-2020</t>
        </is>
      </c>
      <c r="B64" s="1" t="n">
        <v>44006</v>
      </c>
      <c r="C64" s="1" t="n">
        <v>45643</v>
      </c>
      <c r="D64" t="inlineStr">
        <is>
          <t>DALARNAS LÄN</t>
        </is>
      </c>
      <c r="E64" t="inlineStr">
        <is>
          <t>HEDEMORA</t>
        </is>
      </c>
      <c r="G64" t="n">
        <v>0.4</v>
      </c>
      <c r="H64" t="n">
        <v>1</v>
      </c>
      <c r="I64" t="n">
        <v>0</v>
      </c>
      <c r="J64" t="n">
        <v>1</v>
      </c>
      <c r="K64" t="n">
        <v>0</v>
      </c>
      <c r="L64" t="n">
        <v>0</v>
      </c>
      <c r="M64" t="n">
        <v>0</v>
      </c>
      <c r="N64" t="n">
        <v>0</v>
      </c>
      <c r="O64" t="n">
        <v>1</v>
      </c>
      <c r="P64" t="n">
        <v>0</v>
      </c>
      <c r="Q64" t="n">
        <v>1</v>
      </c>
      <c r="R64" s="2" t="inlineStr">
        <is>
          <t>Gulsparv</t>
        </is>
      </c>
      <c r="S64">
        <f>HYPERLINK("https://klasma.github.io/Logging_2083/artfynd/A 29857-2020 artfynd.xlsx", "A 29857-2020")</f>
        <v/>
      </c>
      <c r="T64">
        <f>HYPERLINK("https://klasma.github.io/Logging_2083/kartor/A 29857-2020 karta.png", "A 29857-2020")</f>
        <v/>
      </c>
      <c r="V64">
        <f>HYPERLINK("https://klasma.github.io/Logging_2083/klagomål/A 29857-2020 FSC-klagomål.docx", "A 29857-2020")</f>
        <v/>
      </c>
      <c r="W64">
        <f>HYPERLINK("https://klasma.github.io/Logging_2083/klagomålsmail/A 29857-2020 FSC-klagomål mail.docx", "A 29857-2020")</f>
        <v/>
      </c>
      <c r="X64">
        <f>HYPERLINK("https://klasma.github.io/Logging_2083/tillsyn/A 29857-2020 tillsynsbegäran.docx", "A 29857-2020")</f>
        <v/>
      </c>
      <c r="Y64">
        <f>HYPERLINK("https://klasma.github.io/Logging_2083/tillsynsmail/A 29857-2020 tillsynsbegäran mail.docx", "A 29857-2020")</f>
        <v/>
      </c>
      <c r="Z64">
        <f>HYPERLINK("https://klasma.github.io/Logging_2083/fåglar/A 29857-2020 prioriterade fågelarter.docx", "A 29857-2020")</f>
        <v/>
      </c>
    </row>
    <row r="65" ht="15" customHeight="1">
      <c r="A65" t="inlineStr">
        <is>
          <t>A 49767-2020</t>
        </is>
      </c>
      <c r="B65" s="1" t="n">
        <v>44106</v>
      </c>
      <c r="C65" s="1" t="n">
        <v>45643</v>
      </c>
      <c r="D65" t="inlineStr">
        <is>
          <t>DALARNAS LÄN</t>
        </is>
      </c>
      <c r="E65" t="inlineStr">
        <is>
          <t>HEDEMORA</t>
        </is>
      </c>
      <c r="F65" t="inlineStr">
        <is>
          <t>Sveaskog</t>
        </is>
      </c>
      <c r="G65" t="n">
        <v>6.1</v>
      </c>
      <c r="H65" t="n">
        <v>1</v>
      </c>
      <c r="I65" t="n">
        <v>0</v>
      </c>
      <c r="J65" t="n">
        <v>0</v>
      </c>
      <c r="K65" t="n">
        <v>1</v>
      </c>
      <c r="L65" t="n">
        <v>0</v>
      </c>
      <c r="M65" t="n">
        <v>0</v>
      </c>
      <c r="N65" t="n">
        <v>0</v>
      </c>
      <c r="O65" t="n">
        <v>1</v>
      </c>
      <c r="P65" t="n">
        <v>1</v>
      </c>
      <c r="Q65" t="n">
        <v>1</v>
      </c>
      <c r="R65" s="2" t="inlineStr">
        <is>
          <t>Knärot</t>
        </is>
      </c>
      <c r="S65">
        <f>HYPERLINK("https://klasma.github.io/Logging_2083/artfynd/A 49767-2020 artfynd.xlsx", "A 49767-2020")</f>
        <v/>
      </c>
      <c r="T65">
        <f>HYPERLINK("https://klasma.github.io/Logging_2083/kartor/A 49767-2020 karta.png", "A 49767-2020")</f>
        <v/>
      </c>
      <c r="U65">
        <f>HYPERLINK("https://klasma.github.io/Logging_2083/knärot/A 49767-2020 karta knärot.png", "A 49767-2020")</f>
        <v/>
      </c>
      <c r="V65">
        <f>HYPERLINK("https://klasma.github.io/Logging_2083/klagomål/A 49767-2020 FSC-klagomål.docx", "A 49767-2020")</f>
        <v/>
      </c>
      <c r="W65">
        <f>HYPERLINK("https://klasma.github.io/Logging_2083/klagomålsmail/A 49767-2020 FSC-klagomål mail.docx", "A 49767-2020")</f>
        <v/>
      </c>
      <c r="X65">
        <f>HYPERLINK("https://klasma.github.io/Logging_2083/tillsyn/A 49767-2020 tillsynsbegäran.docx", "A 49767-2020")</f>
        <v/>
      </c>
      <c r="Y65">
        <f>HYPERLINK("https://klasma.github.io/Logging_2083/tillsynsmail/A 49767-2020 tillsynsbegäran mail.docx", "A 49767-2020")</f>
        <v/>
      </c>
    </row>
    <row r="66" ht="15" customHeight="1">
      <c r="A66" t="inlineStr">
        <is>
          <t>A 49768-2020</t>
        </is>
      </c>
      <c r="B66" s="1" t="n">
        <v>44106</v>
      </c>
      <c r="C66" s="1" t="n">
        <v>45643</v>
      </c>
      <c r="D66" t="inlineStr">
        <is>
          <t>DALARNAS LÄN</t>
        </is>
      </c>
      <c r="E66" t="inlineStr">
        <is>
          <t>HEDEMORA</t>
        </is>
      </c>
      <c r="F66" t="inlineStr">
        <is>
          <t>Sveaskog</t>
        </is>
      </c>
      <c r="G66" t="n">
        <v>10</v>
      </c>
      <c r="H66" t="n">
        <v>1</v>
      </c>
      <c r="I66" t="n">
        <v>0</v>
      </c>
      <c r="J66" t="n">
        <v>0</v>
      </c>
      <c r="K66" t="n">
        <v>1</v>
      </c>
      <c r="L66" t="n">
        <v>0</v>
      </c>
      <c r="M66" t="n">
        <v>0</v>
      </c>
      <c r="N66" t="n">
        <v>0</v>
      </c>
      <c r="O66" t="n">
        <v>1</v>
      </c>
      <c r="P66" t="n">
        <v>1</v>
      </c>
      <c r="Q66" t="n">
        <v>1</v>
      </c>
      <c r="R66" s="2" t="inlineStr">
        <is>
          <t>Knärot</t>
        </is>
      </c>
      <c r="S66">
        <f>HYPERLINK("https://klasma.github.io/Logging_2083/artfynd/A 49768-2020 artfynd.xlsx", "A 49768-2020")</f>
        <v/>
      </c>
      <c r="T66">
        <f>HYPERLINK("https://klasma.github.io/Logging_2083/kartor/A 49768-2020 karta.png", "A 49768-2020")</f>
        <v/>
      </c>
      <c r="U66">
        <f>HYPERLINK("https://klasma.github.io/Logging_2083/knärot/A 49768-2020 karta knärot.png", "A 49768-2020")</f>
        <v/>
      </c>
      <c r="V66">
        <f>HYPERLINK("https://klasma.github.io/Logging_2083/klagomål/A 49768-2020 FSC-klagomål.docx", "A 49768-2020")</f>
        <v/>
      </c>
      <c r="W66">
        <f>HYPERLINK("https://klasma.github.io/Logging_2083/klagomålsmail/A 49768-2020 FSC-klagomål mail.docx", "A 49768-2020")</f>
        <v/>
      </c>
      <c r="X66">
        <f>HYPERLINK("https://klasma.github.io/Logging_2083/tillsyn/A 49768-2020 tillsynsbegäran.docx", "A 49768-2020")</f>
        <v/>
      </c>
      <c r="Y66">
        <f>HYPERLINK("https://klasma.github.io/Logging_2083/tillsynsmail/A 49768-2020 tillsynsbegäran mail.docx", "A 49768-2020")</f>
        <v/>
      </c>
    </row>
    <row r="67" ht="15" customHeight="1">
      <c r="A67" t="inlineStr">
        <is>
          <t>A 49765-2020</t>
        </is>
      </c>
      <c r="B67" s="1" t="n">
        <v>44106</v>
      </c>
      <c r="C67" s="1" t="n">
        <v>45643</v>
      </c>
      <c r="D67" t="inlineStr">
        <is>
          <t>DALARNAS LÄN</t>
        </is>
      </c>
      <c r="E67" t="inlineStr">
        <is>
          <t>HEDEMORA</t>
        </is>
      </c>
      <c r="F67" t="inlineStr">
        <is>
          <t>Sveaskog</t>
        </is>
      </c>
      <c r="G67" t="n">
        <v>5.8</v>
      </c>
      <c r="H67" t="n">
        <v>1</v>
      </c>
      <c r="I67" t="n">
        <v>0</v>
      </c>
      <c r="J67" t="n">
        <v>0</v>
      </c>
      <c r="K67" t="n">
        <v>1</v>
      </c>
      <c r="L67" t="n">
        <v>0</v>
      </c>
      <c r="M67" t="n">
        <v>0</v>
      </c>
      <c r="N67" t="n">
        <v>0</v>
      </c>
      <c r="O67" t="n">
        <v>1</v>
      </c>
      <c r="P67" t="n">
        <v>1</v>
      </c>
      <c r="Q67" t="n">
        <v>1</v>
      </c>
      <c r="R67" s="2" t="inlineStr">
        <is>
          <t>Knärot</t>
        </is>
      </c>
      <c r="S67">
        <f>HYPERLINK("https://klasma.github.io/Logging_2083/artfynd/A 49765-2020 artfynd.xlsx", "A 49765-2020")</f>
        <v/>
      </c>
      <c r="T67">
        <f>HYPERLINK("https://klasma.github.io/Logging_2083/kartor/A 49765-2020 karta.png", "A 49765-2020")</f>
        <v/>
      </c>
      <c r="U67">
        <f>HYPERLINK("https://klasma.github.io/Logging_2083/knärot/A 49765-2020 karta knärot.png", "A 49765-2020")</f>
        <v/>
      </c>
      <c r="V67">
        <f>HYPERLINK("https://klasma.github.io/Logging_2083/klagomål/A 49765-2020 FSC-klagomål.docx", "A 49765-2020")</f>
        <v/>
      </c>
      <c r="W67">
        <f>HYPERLINK("https://klasma.github.io/Logging_2083/klagomålsmail/A 49765-2020 FSC-klagomål mail.docx", "A 49765-2020")</f>
        <v/>
      </c>
      <c r="X67">
        <f>HYPERLINK("https://klasma.github.io/Logging_2083/tillsyn/A 49765-2020 tillsynsbegäran.docx", "A 49765-2020")</f>
        <v/>
      </c>
      <c r="Y67">
        <f>HYPERLINK("https://klasma.github.io/Logging_2083/tillsynsmail/A 49765-2020 tillsynsbegäran mail.docx", "A 49765-2020")</f>
        <v/>
      </c>
    </row>
    <row r="68" ht="15" customHeight="1">
      <c r="A68" t="inlineStr">
        <is>
          <t>A 9959-2021</t>
        </is>
      </c>
      <c r="B68" s="1" t="n">
        <v>44253</v>
      </c>
      <c r="C68" s="1" t="n">
        <v>45643</v>
      </c>
      <c r="D68" t="inlineStr">
        <is>
          <t>DALARNAS LÄN</t>
        </is>
      </c>
      <c r="E68" t="inlineStr">
        <is>
          <t>HEDEMORA</t>
        </is>
      </c>
      <c r="G68" t="n">
        <v>1.1</v>
      </c>
      <c r="H68" t="n">
        <v>1</v>
      </c>
      <c r="I68" t="n">
        <v>0</v>
      </c>
      <c r="J68" t="n">
        <v>0</v>
      </c>
      <c r="K68" t="n">
        <v>1</v>
      </c>
      <c r="L68" t="n">
        <v>0</v>
      </c>
      <c r="M68" t="n">
        <v>0</v>
      </c>
      <c r="N68" t="n">
        <v>0</v>
      </c>
      <c r="O68" t="n">
        <v>1</v>
      </c>
      <c r="P68" t="n">
        <v>1</v>
      </c>
      <c r="Q68" t="n">
        <v>1</v>
      </c>
      <c r="R68" s="2" t="inlineStr">
        <is>
          <t>Knärot</t>
        </is>
      </c>
      <c r="S68">
        <f>HYPERLINK("https://klasma.github.io/Logging_2083/artfynd/A 9959-2021 artfynd.xlsx", "A 9959-2021")</f>
        <v/>
      </c>
      <c r="T68">
        <f>HYPERLINK("https://klasma.github.io/Logging_2083/kartor/A 9959-2021 karta.png", "A 9959-2021")</f>
        <v/>
      </c>
      <c r="U68">
        <f>HYPERLINK("https://klasma.github.io/Logging_2083/knärot/A 9959-2021 karta knärot.png", "A 9959-2021")</f>
        <v/>
      </c>
      <c r="V68">
        <f>HYPERLINK("https://klasma.github.io/Logging_2083/klagomål/A 9959-2021 FSC-klagomål.docx", "A 9959-2021")</f>
        <v/>
      </c>
      <c r="W68">
        <f>HYPERLINK("https://klasma.github.io/Logging_2083/klagomålsmail/A 9959-2021 FSC-klagomål mail.docx", "A 9959-2021")</f>
        <v/>
      </c>
      <c r="X68">
        <f>HYPERLINK("https://klasma.github.io/Logging_2083/tillsyn/A 9959-2021 tillsynsbegäran.docx", "A 9959-2021")</f>
        <v/>
      </c>
      <c r="Y68">
        <f>HYPERLINK("https://klasma.github.io/Logging_2083/tillsynsmail/A 9959-2021 tillsynsbegäran mail.docx", "A 9959-2021")</f>
        <v/>
      </c>
    </row>
    <row r="69" ht="15" customHeight="1">
      <c r="A69" t="inlineStr">
        <is>
          <t>A 29214-2021</t>
        </is>
      </c>
      <c r="B69" s="1" t="n">
        <v>44359</v>
      </c>
      <c r="C69" s="1" t="n">
        <v>45643</v>
      </c>
      <c r="D69" t="inlineStr">
        <is>
          <t>DALARNAS LÄN</t>
        </is>
      </c>
      <c r="E69" t="inlineStr">
        <is>
          <t>HEDEMORA</t>
        </is>
      </c>
      <c r="F69" t="inlineStr">
        <is>
          <t>Sveaskog</t>
        </is>
      </c>
      <c r="G69" t="n">
        <v>1.2</v>
      </c>
      <c r="H69" t="n">
        <v>1</v>
      </c>
      <c r="I69" t="n">
        <v>0</v>
      </c>
      <c r="J69" t="n">
        <v>0</v>
      </c>
      <c r="K69" t="n">
        <v>0</v>
      </c>
      <c r="L69" t="n">
        <v>0</v>
      </c>
      <c r="M69" t="n">
        <v>0</v>
      </c>
      <c r="N69" t="n">
        <v>0</v>
      </c>
      <c r="O69" t="n">
        <v>0</v>
      </c>
      <c r="P69" t="n">
        <v>0</v>
      </c>
      <c r="Q69" t="n">
        <v>1</v>
      </c>
      <c r="R69" s="2" t="inlineStr">
        <is>
          <t>Vanlig groda</t>
        </is>
      </c>
      <c r="S69">
        <f>HYPERLINK("https://klasma.github.io/Logging_2083/artfynd/A 29214-2021 artfynd.xlsx", "A 29214-2021")</f>
        <v/>
      </c>
      <c r="T69">
        <f>HYPERLINK("https://klasma.github.io/Logging_2083/kartor/A 29214-2021 karta.png", "A 29214-2021")</f>
        <v/>
      </c>
      <c r="V69">
        <f>HYPERLINK("https://klasma.github.io/Logging_2083/klagomål/A 29214-2021 FSC-klagomål.docx", "A 29214-2021")</f>
        <v/>
      </c>
      <c r="W69">
        <f>HYPERLINK("https://klasma.github.io/Logging_2083/klagomålsmail/A 29214-2021 FSC-klagomål mail.docx", "A 29214-2021")</f>
        <v/>
      </c>
      <c r="X69">
        <f>HYPERLINK("https://klasma.github.io/Logging_2083/tillsyn/A 29214-2021 tillsynsbegäran.docx", "A 29214-2021")</f>
        <v/>
      </c>
      <c r="Y69">
        <f>HYPERLINK("https://klasma.github.io/Logging_2083/tillsynsmail/A 29214-2021 tillsynsbegäran mail.docx", "A 29214-2021")</f>
        <v/>
      </c>
    </row>
    <row r="70" ht="15" customHeight="1">
      <c r="A70" t="inlineStr">
        <is>
          <t>A 31539-2021</t>
        </is>
      </c>
      <c r="B70" s="1" t="n">
        <v>44369</v>
      </c>
      <c r="C70" s="1" t="n">
        <v>45643</v>
      </c>
      <c r="D70" t="inlineStr">
        <is>
          <t>DALARNAS LÄN</t>
        </is>
      </c>
      <c r="E70" t="inlineStr">
        <is>
          <t>HEDEMORA</t>
        </is>
      </c>
      <c r="F70" t="inlineStr">
        <is>
          <t>Sveaskog</t>
        </is>
      </c>
      <c r="G70" t="n">
        <v>13.5</v>
      </c>
      <c r="H70" t="n">
        <v>0</v>
      </c>
      <c r="I70" t="n">
        <v>1</v>
      </c>
      <c r="J70" t="n">
        <v>0</v>
      </c>
      <c r="K70" t="n">
        <v>0</v>
      </c>
      <c r="L70" t="n">
        <v>0</v>
      </c>
      <c r="M70" t="n">
        <v>0</v>
      </c>
      <c r="N70" t="n">
        <v>0</v>
      </c>
      <c r="O70" t="n">
        <v>0</v>
      </c>
      <c r="P70" t="n">
        <v>0</v>
      </c>
      <c r="Q70" t="n">
        <v>1</v>
      </c>
      <c r="R70" s="2" t="inlineStr">
        <is>
          <t>Brandticka</t>
        </is>
      </c>
      <c r="S70">
        <f>HYPERLINK("https://klasma.github.io/Logging_2083/artfynd/A 31539-2021 artfynd.xlsx", "A 31539-2021")</f>
        <v/>
      </c>
      <c r="T70">
        <f>HYPERLINK("https://klasma.github.io/Logging_2083/kartor/A 31539-2021 karta.png", "A 31539-2021")</f>
        <v/>
      </c>
      <c r="V70">
        <f>HYPERLINK("https://klasma.github.io/Logging_2083/klagomål/A 31539-2021 FSC-klagomål.docx", "A 31539-2021")</f>
        <v/>
      </c>
      <c r="W70">
        <f>HYPERLINK("https://klasma.github.io/Logging_2083/klagomålsmail/A 31539-2021 FSC-klagomål mail.docx", "A 31539-2021")</f>
        <v/>
      </c>
      <c r="X70">
        <f>HYPERLINK("https://klasma.github.io/Logging_2083/tillsyn/A 31539-2021 tillsynsbegäran.docx", "A 31539-2021")</f>
        <v/>
      </c>
      <c r="Y70">
        <f>HYPERLINK("https://klasma.github.io/Logging_2083/tillsynsmail/A 31539-2021 tillsynsbegäran mail.docx", "A 31539-2021")</f>
        <v/>
      </c>
    </row>
    <row r="71" ht="15" customHeight="1">
      <c r="A71" t="inlineStr">
        <is>
          <t>A 51111-2021</t>
        </is>
      </c>
      <c r="B71" s="1" t="n">
        <v>44461</v>
      </c>
      <c r="C71" s="1" t="n">
        <v>45643</v>
      </c>
      <c r="D71" t="inlineStr">
        <is>
          <t>DALARNAS LÄN</t>
        </is>
      </c>
      <c r="E71" t="inlineStr">
        <is>
          <t>HEDEMORA</t>
        </is>
      </c>
      <c r="G71" t="n">
        <v>0.9</v>
      </c>
      <c r="H71" t="n">
        <v>1</v>
      </c>
      <c r="I71" t="n">
        <v>0</v>
      </c>
      <c r="J71" t="n">
        <v>0</v>
      </c>
      <c r="K71" t="n">
        <v>1</v>
      </c>
      <c r="L71" t="n">
        <v>0</v>
      </c>
      <c r="M71" t="n">
        <v>0</v>
      </c>
      <c r="N71" t="n">
        <v>0</v>
      </c>
      <c r="O71" t="n">
        <v>1</v>
      </c>
      <c r="P71" t="n">
        <v>1</v>
      </c>
      <c r="Q71" t="n">
        <v>1</v>
      </c>
      <c r="R71" s="2" t="inlineStr">
        <is>
          <t>Knärot</t>
        </is>
      </c>
      <c r="S71">
        <f>HYPERLINK("https://klasma.github.io/Logging_2083/artfynd/A 51111-2021 artfynd.xlsx", "A 51111-2021")</f>
        <v/>
      </c>
      <c r="T71">
        <f>HYPERLINK("https://klasma.github.io/Logging_2083/kartor/A 51111-2021 karta.png", "A 51111-2021")</f>
        <v/>
      </c>
      <c r="U71">
        <f>HYPERLINK("https://klasma.github.io/Logging_2083/knärot/A 51111-2021 karta knärot.png", "A 51111-2021")</f>
        <v/>
      </c>
      <c r="V71">
        <f>HYPERLINK("https://klasma.github.io/Logging_2083/klagomål/A 51111-2021 FSC-klagomål.docx", "A 51111-2021")</f>
        <v/>
      </c>
      <c r="W71">
        <f>HYPERLINK("https://klasma.github.io/Logging_2083/klagomålsmail/A 51111-2021 FSC-klagomål mail.docx", "A 51111-2021")</f>
        <v/>
      </c>
      <c r="X71">
        <f>HYPERLINK("https://klasma.github.io/Logging_2083/tillsyn/A 51111-2021 tillsynsbegäran.docx", "A 51111-2021")</f>
        <v/>
      </c>
      <c r="Y71">
        <f>HYPERLINK("https://klasma.github.io/Logging_2083/tillsynsmail/A 51111-2021 tillsynsbegäran mail.docx", "A 51111-2021")</f>
        <v/>
      </c>
    </row>
    <row r="72" ht="15" customHeight="1">
      <c r="A72" t="inlineStr">
        <is>
          <t>A 48135-2022</t>
        </is>
      </c>
      <c r="B72" s="1" t="n">
        <v>44857</v>
      </c>
      <c r="C72" s="1" t="n">
        <v>45643</v>
      </c>
      <c r="D72" t="inlineStr">
        <is>
          <t>DALARNAS LÄN</t>
        </is>
      </c>
      <c r="E72" t="inlineStr">
        <is>
          <t>HEDEMORA</t>
        </is>
      </c>
      <c r="F72" t="inlineStr">
        <is>
          <t>Sveaskog</t>
        </is>
      </c>
      <c r="G72" t="n">
        <v>5.6</v>
      </c>
      <c r="H72" t="n">
        <v>0</v>
      </c>
      <c r="I72" t="n">
        <v>0</v>
      </c>
      <c r="J72" t="n">
        <v>1</v>
      </c>
      <c r="K72" t="n">
        <v>0</v>
      </c>
      <c r="L72" t="n">
        <v>0</v>
      </c>
      <c r="M72" t="n">
        <v>0</v>
      </c>
      <c r="N72" t="n">
        <v>0</v>
      </c>
      <c r="O72" t="n">
        <v>1</v>
      </c>
      <c r="P72" t="n">
        <v>0</v>
      </c>
      <c r="Q72" t="n">
        <v>1</v>
      </c>
      <c r="R72" s="2" t="inlineStr">
        <is>
          <t>Skrovellav</t>
        </is>
      </c>
      <c r="S72">
        <f>HYPERLINK("https://klasma.github.io/Logging_2083/artfynd/A 48135-2022 artfynd.xlsx", "A 48135-2022")</f>
        <v/>
      </c>
      <c r="T72">
        <f>HYPERLINK("https://klasma.github.io/Logging_2083/kartor/A 48135-2022 karta.png", "A 48135-2022")</f>
        <v/>
      </c>
      <c r="V72">
        <f>HYPERLINK("https://klasma.github.io/Logging_2083/klagomål/A 48135-2022 FSC-klagomål.docx", "A 48135-2022")</f>
        <v/>
      </c>
      <c r="W72">
        <f>HYPERLINK("https://klasma.github.io/Logging_2083/klagomålsmail/A 48135-2022 FSC-klagomål mail.docx", "A 48135-2022")</f>
        <v/>
      </c>
      <c r="X72">
        <f>HYPERLINK("https://klasma.github.io/Logging_2083/tillsyn/A 48135-2022 tillsynsbegäran.docx", "A 48135-2022")</f>
        <v/>
      </c>
      <c r="Y72">
        <f>HYPERLINK("https://klasma.github.io/Logging_2083/tillsynsmail/A 48135-2022 tillsynsbegäran mail.docx", "A 48135-2022")</f>
        <v/>
      </c>
    </row>
    <row r="73" ht="15" customHeight="1">
      <c r="A73" t="inlineStr">
        <is>
          <t>A 49889-2022</t>
        </is>
      </c>
      <c r="B73" s="1" t="n">
        <v>44864</v>
      </c>
      <c r="C73" s="1" t="n">
        <v>45643</v>
      </c>
      <c r="D73" t="inlineStr">
        <is>
          <t>DALARNAS LÄN</t>
        </is>
      </c>
      <c r="E73" t="inlineStr">
        <is>
          <t>HEDEMORA</t>
        </is>
      </c>
      <c r="F73" t="inlineStr">
        <is>
          <t>Sveaskog</t>
        </is>
      </c>
      <c r="G73" t="n">
        <v>6.8</v>
      </c>
      <c r="H73" t="n">
        <v>1</v>
      </c>
      <c r="I73" t="n">
        <v>0</v>
      </c>
      <c r="J73" t="n">
        <v>0</v>
      </c>
      <c r="K73" t="n">
        <v>1</v>
      </c>
      <c r="L73" t="n">
        <v>0</v>
      </c>
      <c r="M73" t="n">
        <v>0</v>
      </c>
      <c r="N73" t="n">
        <v>0</v>
      </c>
      <c r="O73" t="n">
        <v>1</v>
      </c>
      <c r="P73" t="n">
        <v>1</v>
      </c>
      <c r="Q73" t="n">
        <v>1</v>
      </c>
      <c r="R73" s="2" t="inlineStr">
        <is>
          <t>Knärot</t>
        </is>
      </c>
      <c r="S73">
        <f>HYPERLINK("https://klasma.github.io/Logging_2083/artfynd/A 49889-2022 artfynd.xlsx", "A 49889-2022")</f>
        <v/>
      </c>
      <c r="T73">
        <f>HYPERLINK("https://klasma.github.io/Logging_2083/kartor/A 49889-2022 karta.png", "A 49889-2022")</f>
        <v/>
      </c>
      <c r="U73">
        <f>HYPERLINK("https://klasma.github.io/Logging_2083/knärot/A 49889-2022 karta knärot.png", "A 49889-2022")</f>
        <v/>
      </c>
      <c r="V73">
        <f>HYPERLINK("https://klasma.github.io/Logging_2083/klagomål/A 49889-2022 FSC-klagomål.docx", "A 49889-2022")</f>
        <v/>
      </c>
      <c r="W73">
        <f>HYPERLINK("https://klasma.github.io/Logging_2083/klagomålsmail/A 49889-2022 FSC-klagomål mail.docx", "A 49889-2022")</f>
        <v/>
      </c>
      <c r="X73">
        <f>HYPERLINK("https://klasma.github.io/Logging_2083/tillsyn/A 49889-2022 tillsynsbegäran.docx", "A 49889-2022")</f>
        <v/>
      </c>
      <c r="Y73">
        <f>HYPERLINK("https://klasma.github.io/Logging_2083/tillsynsmail/A 49889-2022 tillsynsbegäran mail.docx", "A 49889-2022")</f>
        <v/>
      </c>
    </row>
    <row r="74" ht="15" customHeight="1">
      <c r="A74" t="inlineStr">
        <is>
          <t>A 51525-2022</t>
        </is>
      </c>
      <c r="B74" s="1" t="n">
        <v>44869</v>
      </c>
      <c r="C74" s="1" t="n">
        <v>45643</v>
      </c>
      <c r="D74" t="inlineStr">
        <is>
          <t>DALARNAS LÄN</t>
        </is>
      </c>
      <c r="E74" t="inlineStr">
        <is>
          <t>HEDEMORA</t>
        </is>
      </c>
      <c r="F74" t="inlineStr">
        <is>
          <t>Sveaskog</t>
        </is>
      </c>
      <c r="G74" t="n">
        <v>20.1</v>
      </c>
      <c r="H74" t="n">
        <v>1</v>
      </c>
      <c r="I74" t="n">
        <v>0</v>
      </c>
      <c r="J74" t="n">
        <v>0</v>
      </c>
      <c r="K74" t="n">
        <v>0</v>
      </c>
      <c r="L74" t="n">
        <v>0</v>
      </c>
      <c r="M74" t="n">
        <v>0</v>
      </c>
      <c r="N74" t="n">
        <v>0</v>
      </c>
      <c r="O74" t="n">
        <v>0</v>
      </c>
      <c r="P74" t="n">
        <v>0</v>
      </c>
      <c r="Q74" t="n">
        <v>1</v>
      </c>
      <c r="R74" s="2" t="inlineStr">
        <is>
          <t>Mattlummer</t>
        </is>
      </c>
      <c r="S74">
        <f>HYPERLINK("https://klasma.github.io/Logging_2083/artfynd/A 51525-2022 artfynd.xlsx", "A 51525-2022")</f>
        <v/>
      </c>
      <c r="T74">
        <f>HYPERLINK("https://klasma.github.io/Logging_2083/kartor/A 51525-2022 karta.png", "A 51525-2022")</f>
        <v/>
      </c>
      <c r="V74">
        <f>HYPERLINK("https://klasma.github.io/Logging_2083/klagomål/A 51525-2022 FSC-klagomål.docx", "A 51525-2022")</f>
        <v/>
      </c>
      <c r="W74">
        <f>HYPERLINK("https://klasma.github.io/Logging_2083/klagomålsmail/A 51525-2022 FSC-klagomål mail.docx", "A 51525-2022")</f>
        <v/>
      </c>
      <c r="X74">
        <f>HYPERLINK("https://klasma.github.io/Logging_2083/tillsyn/A 51525-2022 tillsynsbegäran.docx", "A 51525-2022")</f>
        <v/>
      </c>
      <c r="Y74">
        <f>HYPERLINK("https://klasma.github.io/Logging_2083/tillsynsmail/A 51525-2022 tillsynsbegäran mail.docx", "A 51525-2022")</f>
        <v/>
      </c>
    </row>
    <row r="75" ht="15" customHeight="1">
      <c r="A75" t="inlineStr">
        <is>
          <t>A 53916-2022</t>
        </is>
      </c>
      <c r="B75" s="1" t="n">
        <v>44880</v>
      </c>
      <c r="C75" s="1" t="n">
        <v>45643</v>
      </c>
      <c r="D75" t="inlineStr">
        <is>
          <t>DALARNAS LÄN</t>
        </is>
      </c>
      <c r="E75" t="inlineStr">
        <is>
          <t>HEDEMORA</t>
        </is>
      </c>
      <c r="F75" t="inlineStr">
        <is>
          <t>Sveaskog</t>
        </is>
      </c>
      <c r="G75" t="n">
        <v>12.1</v>
      </c>
      <c r="H75" t="n">
        <v>1</v>
      </c>
      <c r="I75" t="n">
        <v>0</v>
      </c>
      <c r="J75" t="n">
        <v>1</v>
      </c>
      <c r="K75" t="n">
        <v>0</v>
      </c>
      <c r="L75" t="n">
        <v>0</v>
      </c>
      <c r="M75" t="n">
        <v>0</v>
      </c>
      <c r="N75" t="n">
        <v>0</v>
      </c>
      <c r="O75" t="n">
        <v>1</v>
      </c>
      <c r="P75" t="n">
        <v>0</v>
      </c>
      <c r="Q75" t="n">
        <v>1</v>
      </c>
      <c r="R75" s="2" t="inlineStr">
        <is>
          <t>Spillkråka</t>
        </is>
      </c>
      <c r="S75">
        <f>HYPERLINK("https://klasma.github.io/Logging_2083/artfynd/A 53916-2022 artfynd.xlsx", "A 53916-2022")</f>
        <v/>
      </c>
      <c r="T75">
        <f>HYPERLINK("https://klasma.github.io/Logging_2083/kartor/A 53916-2022 karta.png", "A 53916-2022")</f>
        <v/>
      </c>
      <c r="V75">
        <f>HYPERLINK("https://klasma.github.io/Logging_2083/klagomål/A 53916-2022 FSC-klagomål.docx", "A 53916-2022")</f>
        <v/>
      </c>
      <c r="W75">
        <f>HYPERLINK("https://klasma.github.io/Logging_2083/klagomålsmail/A 53916-2022 FSC-klagomål mail.docx", "A 53916-2022")</f>
        <v/>
      </c>
      <c r="X75">
        <f>HYPERLINK("https://klasma.github.io/Logging_2083/tillsyn/A 53916-2022 tillsynsbegäran.docx", "A 53916-2022")</f>
        <v/>
      </c>
      <c r="Y75">
        <f>HYPERLINK("https://klasma.github.io/Logging_2083/tillsynsmail/A 53916-2022 tillsynsbegäran mail.docx", "A 53916-2022")</f>
        <v/>
      </c>
      <c r="Z75">
        <f>HYPERLINK("https://klasma.github.io/Logging_2083/fåglar/A 53916-2022 prioriterade fågelarter.docx", "A 53916-2022")</f>
        <v/>
      </c>
    </row>
    <row r="76" ht="15" customHeight="1">
      <c r="A76" t="inlineStr">
        <is>
          <t>A 53915-2022</t>
        </is>
      </c>
      <c r="B76" s="1" t="n">
        <v>44880</v>
      </c>
      <c r="C76" s="1" t="n">
        <v>45643</v>
      </c>
      <c r="D76" t="inlineStr">
        <is>
          <t>DALARNAS LÄN</t>
        </is>
      </c>
      <c r="E76" t="inlineStr">
        <is>
          <t>HEDEMORA</t>
        </is>
      </c>
      <c r="F76" t="inlineStr">
        <is>
          <t>Sveaskog</t>
        </is>
      </c>
      <c r="G76" t="n">
        <v>5.3</v>
      </c>
      <c r="H76" t="n">
        <v>1</v>
      </c>
      <c r="I76" t="n">
        <v>0</v>
      </c>
      <c r="J76" t="n">
        <v>1</v>
      </c>
      <c r="K76" t="n">
        <v>0</v>
      </c>
      <c r="L76" t="n">
        <v>0</v>
      </c>
      <c r="M76" t="n">
        <v>0</v>
      </c>
      <c r="N76" t="n">
        <v>0</v>
      </c>
      <c r="O76" t="n">
        <v>1</v>
      </c>
      <c r="P76" t="n">
        <v>0</v>
      </c>
      <c r="Q76" t="n">
        <v>1</v>
      </c>
      <c r="R76" s="2" t="inlineStr">
        <is>
          <t>Talltita</t>
        </is>
      </c>
      <c r="S76">
        <f>HYPERLINK("https://klasma.github.io/Logging_2083/artfynd/A 53915-2022 artfynd.xlsx", "A 53915-2022")</f>
        <v/>
      </c>
      <c r="T76">
        <f>HYPERLINK("https://klasma.github.io/Logging_2083/kartor/A 53915-2022 karta.png", "A 53915-2022")</f>
        <v/>
      </c>
      <c r="V76">
        <f>HYPERLINK("https://klasma.github.io/Logging_2083/klagomål/A 53915-2022 FSC-klagomål.docx", "A 53915-2022")</f>
        <v/>
      </c>
      <c r="W76">
        <f>HYPERLINK("https://klasma.github.io/Logging_2083/klagomålsmail/A 53915-2022 FSC-klagomål mail.docx", "A 53915-2022")</f>
        <v/>
      </c>
      <c r="X76">
        <f>HYPERLINK("https://klasma.github.io/Logging_2083/tillsyn/A 53915-2022 tillsynsbegäran.docx", "A 53915-2022")</f>
        <v/>
      </c>
      <c r="Y76">
        <f>HYPERLINK("https://klasma.github.io/Logging_2083/tillsynsmail/A 53915-2022 tillsynsbegäran mail.docx", "A 53915-2022")</f>
        <v/>
      </c>
      <c r="Z76">
        <f>HYPERLINK("https://klasma.github.io/Logging_2083/fåglar/A 53915-2022 prioriterade fågelarter.docx", "A 53915-2022")</f>
        <v/>
      </c>
    </row>
    <row r="77" ht="15" customHeight="1">
      <c r="A77" t="inlineStr">
        <is>
          <t>A 55144-2022</t>
        </is>
      </c>
      <c r="B77" s="1" t="n">
        <v>44886</v>
      </c>
      <c r="C77" s="1" t="n">
        <v>45643</v>
      </c>
      <c r="D77" t="inlineStr">
        <is>
          <t>DALARNAS LÄN</t>
        </is>
      </c>
      <c r="E77" t="inlineStr">
        <is>
          <t>HEDEMORA</t>
        </is>
      </c>
      <c r="F77" t="inlineStr">
        <is>
          <t>Sveaskog</t>
        </is>
      </c>
      <c r="G77" t="n">
        <v>2.6</v>
      </c>
      <c r="H77" t="n">
        <v>1</v>
      </c>
      <c r="I77" t="n">
        <v>0</v>
      </c>
      <c r="J77" t="n">
        <v>0</v>
      </c>
      <c r="K77" t="n">
        <v>0</v>
      </c>
      <c r="L77" t="n">
        <v>0</v>
      </c>
      <c r="M77" t="n">
        <v>0</v>
      </c>
      <c r="N77" t="n">
        <v>0</v>
      </c>
      <c r="O77" t="n">
        <v>0</v>
      </c>
      <c r="P77" t="n">
        <v>0</v>
      </c>
      <c r="Q77" t="n">
        <v>1</v>
      </c>
      <c r="R77" s="2" t="inlineStr">
        <is>
          <t>Fläcknycklar</t>
        </is>
      </c>
      <c r="S77">
        <f>HYPERLINK("https://klasma.github.io/Logging_2083/artfynd/A 55144-2022 artfynd.xlsx", "A 55144-2022")</f>
        <v/>
      </c>
      <c r="T77">
        <f>HYPERLINK("https://klasma.github.io/Logging_2083/kartor/A 55144-2022 karta.png", "A 55144-2022")</f>
        <v/>
      </c>
      <c r="V77">
        <f>HYPERLINK("https://klasma.github.io/Logging_2083/klagomål/A 55144-2022 FSC-klagomål.docx", "A 55144-2022")</f>
        <v/>
      </c>
      <c r="W77">
        <f>HYPERLINK("https://klasma.github.io/Logging_2083/klagomålsmail/A 55144-2022 FSC-klagomål mail.docx", "A 55144-2022")</f>
        <v/>
      </c>
      <c r="X77">
        <f>HYPERLINK("https://klasma.github.io/Logging_2083/tillsyn/A 55144-2022 tillsynsbegäran.docx", "A 55144-2022")</f>
        <v/>
      </c>
      <c r="Y77">
        <f>HYPERLINK("https://klasma.github.io/Logging_2083/tillsynsmail/A 55144-2022 tillsynsbegäran mail.docx", "A 55144-2022")</f>
        <v/>
      </c>
    </row>
    <row r="78" ht="15" customHeight="1">
      <c r="A78" t="inlineStr">
        <is>
          <t>A 11742-2023</t>
        </is>
      </c>
      <c r="B78" s="1" t="n">
        <v>44994</v>
      </c>
      <c r="C78" s="1" t="n">
        <v>45643</v>
      </c>
      <c r="D78" t="inlineStr">
        <is>
          <t>DALARNAS LÄN</t>
        </is>
      </c>
      <c r="E78" t="inlineStr">
        <is>
          <t>HEDEMORA</t>
        </is>
      </c>
      <c r="G78" t="n">
        <v>6</v>
      </c>
      <c r="H78" t="n">
        <v>0</v>
      </c>
      <c r="I78" t="n">
        <v>0</v>
      </c>
      <c r="J78" t="n">
        <v>1</v>
      </c>
      <c r="K78" t="n">
        <v>0</v>
      </c>
      <c r="L78" t="n">
        <v>0</v>
      </c>
      <c r="M78" t="n">
        <v>0</v>
      </c>
      <c r="N78" t="n">
        <v>0</v>
      </c>
      <c r="O78" t="n">
        <v>1</v>
      </c>
      <c r="P78" t="n">
        <v>0</v>
      </c>
      <c r="Q78" t="n">
        <v>1</v>
      </c>
      <c r="R78" s="2" t="inlineStr">
        <is>
          <t>Tallticka</t>
        </is>
      </c>
      <c r="S78">
        <f>HYPERLINK("https://klasma.github.io/Logging_2083/artfynd/A 11742-2023 artfynd.xlsx", "A 11742-2023")</f>
        <v/>
      </c>
      <c r="T78">
        <f>HYPERLINK("https://klasma.github.io/Logging_2083/kartor/A 11742-2023 karta.png", "A 11742-2023")</f>
        <v/>
      </c>
      <c r="V78">
        <f>HYPERLINK("https://klasma.github.io/Logging_2083/klagomål/A 11742-2023 FSC-klagomål.docx", "A 11742-2023")</f>
        <v/>
      </c>
      <c r="W78">
        <f>HYPERLINK("https://klasma.github.io/Logging_2083/klagomålsmail/A 11742-2023 FSC-klagomål mail.docx", "A 11742-2023")</f>
        <v/>
      </c>
      <c r="X78">
        <f>HYPERLINK("https://klasma.github.io/Logging_2083/tillsyn/A 11742-2023 tillsynsbegäran.docx", "A 11742-2023")</f>
        <v/>
      </c>
      <c r="Y78">
        <f>HYPERLINK("https://klasma.github.io/Logging_2083/tillsynsmail/A 11742-2023 tillsynsbegäran mail.docx", "A 11742-2023")</f>
        <v/>
      </c>
    </row>
    <row r="79" ht="15" customHeight="1">
      <c r="A79" t="inlineStr">
        <is>
          <t>A 13986-2023</t>
        </is>
      </c>
      <c r="B79" s="1" t="n">
        <v>45008</v>
      </c>
      <c r="C79" s="1" t="n">
        <v>45643</v>
      </c>
      <c r="D79" t="inlineStr">
        <is>
          <t>DALARNAS LÄN</t>
        </is>
      </c>
      <c r="E79" t="inlineStr">
        <is>
          <t>HEDEMORA</t>
        </is>
      </c>
      <c r="G79" t="n">
        <v>0.8</v>
      </c>
      <c r="H79" t="n">
        <v>1</v>
      </c>
      <c r="I79" t="n">
        <v>0</v>
      </c>
      <c r="J79" t="n">
        <v>0</v>
      </c>
      <c r="K79" t="n">
        <v>1</v>
      </c>
      <c r="L79" t="n">
        <v>0</v>
      </c>
      <c r="M79" t="n">
        <v>0</v>
      </c>
      <c r="N79" t="n">
        <v>0</v>
      </c>
      <c r="O79" t="n">
        <v>1</v>
      </c>
      <c r="P79" t="n">
        <v>1</v>
      </c>
      <c r="Q79" t="n">
        <v>1</v>
      </c>
      <c r="R79" s="2" t="inlineStr">
        <is>
          <t>Knärot</t>
        </is>
      </c>
      <c r="S79">
        <f>HYPERLINK("https://klasma.github.io/Logging_2083/artfynd/A 13986-2023 artfynd.xlsx", "A 13986-2023")</f>
        <v/>
      </c>
      <c r="T79">
        <f>HYPERLINK("https://klasma.github.io/Logging_2083/kartor/A 13986-2023 karta.png", "A 13986-2023")</f>
        <v/>
      </c>
      <c r="U79">
        <f>HYPERLINK("https://klasma.github.io/Logging_2083/knärot/A 13986-2023 karta knärot.png", "A 13986-2023")</f>
        <v/>
      </c>
      <c r="V79">
        <f>HYPERLINK("https://klasma.github.io/Logging_2083/klagomål/A 13986-2023 FSC-klagomål.docx", "A 13986-2023")</f>
        <v/>
      </c>
      <c r="W79">
        <f>HYPERLINK("https://klasma.github.io/Logging_2083/klagomålsmail/A 13986-2023 FSC-klagomål mail.docx", "A 13986-2023")</f>
        <v/>
      </c>
      <c r="X79">
        <f>HYPERLINK("https://klasma.github.io/Logging_2083/tillsyn/A 13986-2023 tillsynsbegäran.docx", "A 13986-2023")</f>
        <v/>
      </c>
      <c r="Y79">
        <f>HYPERLINK("https://klasma.github.io/Logging_2083/tillsynsmail/A 13986-2023 tillsynsbegäran mail.docx", "A 13986-2023")</f>
        <v/>
      </c>
    </row>
    <row r="80" ht="15" customHeight="1">
      <c r="A80" t="inlineStr">
        <is>
          <t>A 20231-2023</t>
        </is>
      </c>
      <c r="B80" s="1" t="n">
        <v>45055</v>
      </c>
      <c r="C80" s="1" t="n">
        <v>45643</v>
      </c>
      <c r="D80" t="inlineStr">
        <is>
          <t>DALARNAS LÄN</t>
        </is>
      </c>
      <c r="E80" t="inlineStr">
        <is>
          <t>HEDEMORA</t>
        </is>
      </c>
      <c r="F80" t="inlineStr">
        <is>
          <t>Bergvik skog väst AB</t>
        </is>
      </c>
      <c r="G80" t="n">
        <v>3.9</v>
      </c>
      <c r="H80" t="n">
        <v>1</v>
      </c>
      <c r="I80" t="n">
        <v>0</v>
      </c>
      <c r="J80" t="n">
        <v>1</v>
      </c>
      <c r="K80" t="n">
        <v>0</v>
      </c>
      <c r="L80" t="n">
        <v>0</v>
      </c>
      <c r="M80" t="n">
        <v>0</v>
      </c>
      <c r="N80" t="n">
        <v>0</v>
      </c>
      <c r="O80" t="n">
        <v>1</v>
      </c>
      <c r="P80" t="n">
        <v>0</v>
      </c>
      <c r="Q80" t="n">
        <v>1</v>
      </c>
      <c r="R80" s="2" t="inlineStr">
        <is>
          <t>Tretåig hackspett</t>
        </is>
      </c>
      <c r="S80">
        <f>HYPERLINK("https://klasma.github.io/Logging_2083/artfynd/A 20231-2023 artfynd.xlsx", "A 20231-2023")</f>
        <v/>
      </c>
      <c r="T80">
        <f>HYPERLINK("https://klasma.github.io/Logging_2083/kartor/A 20231-2023 karta.png", "A 20231-2023")</f>
        <v/>
      </c>
      <c r="V80">
        <f>HYPERLINK("https://klasma.github.io/Logging_2083/klagomål/A 20231-2023 FSC-klagomål.docx", "A 20231-2023")</f>
        <v/>
      </c>
      <c r="W80">
        <f>HYPERLINK("https://klasma.github.io/Logging_2083/klagomålsmail/A 20231-2023 FSC-klagomål mail.docx", "A 20231-2023")</f>
        <v/>
      </c>
      <c r="X80">
        <f>HYPERLINK("https://klasma.github.io/Logging_2083/tillsyn/A 20231-2023 tillsynsbegäran.docx", "A 20231-2023")</f>
        <v/>
      </c>
      <c r="Y80">
        <f>HYPERLINK("https://klasma.github.io/Logging_2083/tillsynsmail/A 20231-2023 tillsynsbegäran mail.docx", "A 20231-2023")</f>
        <v/>
      </c>
      <c r="Z80">
        <f>HYPERLINK("https://klasma.github.io/Logging_2083/fåglar/A 20231-2023 prioriterade fågelarter.docx", "A 20231-2023")</f>
        <v/>
      </c>
    </row>
    <row r="81" ht="15" customHeight="1">
      <c r="A81" t="inlineStr">
        <is>
          <t>A 21147-2023</t>
        </is>
      </c>
      <c r="B81" s="1" t="n">
        <v>45057</v>
      </c>
      <c r="C81" s="1" t="n">
        <v>45643</v>
      </c>
      <c r="D81" t="inlineStr">
        <is>
          <t>DALARNAS LÄN</t>
        </is>
      </c>
      <c r="E81" t="inlineStr">
        <is>
          <t>HEDEMORA</t>
        </is>
      </c>
      <c r="G81" t="n">
        <v>10</v>
      </c>
      <c r="H81" t="n">
        <v>1</v>
      </c>
      <c r="I81" t="n">
        <v>0</v>
      </c>
      <c r="J81" t="n">
        <v>0</v>
      </c>
      <c r="K81" t="n">
        <v>0</v>
      </c>
      <c r="L81" t="n">
        <v>0</v>
      </c>
      <c r="M81" t="n">
        <v>0</v>
      </c>
      <c r="N81" t="n">
        <v>0</v>
      </c>
      <c r="O81" t="n">
        <v>0</v>
      </c>
      <c r="P81" t="n">
        <v>0</v>
      </c>
      <c r="Q81" t="n">
        <v>1</v>
      </c>
      <c r="R81" s="2" t="inlineStr">
        <is>
          <t>Blåsippa</t>
        </is>
      </c>
      <c r="S81">
        <f>HYPERLINK("https://klasma.github.io/Logging_2083/artfynd/A 21147-2023 artfynd.xlsx", "A 21147-2023")</f>
        <v/>
      </c>
      <c r="T81">
        <f>HYPERLINK("https://klasma.github.io/Logging_2083/kartor/A 21147-2023 karta.png", "A 21147-2023")</f>
        <v/>
      </c>
      <c r="V81">
        <f>HYPERLINK("https://klasma.github.io/Logging_2083/klagomål/A 21147-2023 FSC-klagomål.docx", "A 21147-2023")</f>
        <v/>
      </c>
      <c r="W81">
        <f>HYPERLINK("https://klasma.github.io/Logging_2083/klagomålsmail/A 21147-2023 FSC-klagomål mail.docx", "A 21147-2023")</f>
        <v/>
      </c>
      <c r="X81">
        <f>HYPERLINK("https://klasma.github.io/Logging_2083/tillsyn/A 21147-2023 tillsynsbegäran.docx", "A 21147-2023")</f>
        <v/>
      </c>
      <c r="Y81">
        <f>HYPERLINK("https://klasma.github.io/Logging_2083/tillsynsmail/A 21147-2023 tillsynsbegäran mail.docx", "A 21147-2023")</f>
        <v/>
      </c>
    </row>
    <row r="82" ht="15" customHeight="1">
      <c r="A82" t="inlineStr">
        <is>
          <t>A 23815-2023</t>
        </is>
      </c>
      <c r="B82" s="1" t="n">
        <v>45078</v>
      </c>
      <c r="C82" s="1" t="n">
        <v>45643</v>
      </c>
      <c r="D82" t="inlineStr">
        <is>
          <t>DALARNAS LÄN</t>
        </is>
      </c>
      <c r="E82" t="inlineStr">
        <is>
          <t>HEDEMORA</t>
        </is>
      </c>
      <c r="G82" t="n">
        <v>3.1</v>
      </c>
      <c r="H82" t="n">
        <v>1</v>
      </c>
      <c r="I82" t="n">
        <v>0</v>
      </c>
      <c r="J82" t="n">
        <v>0</v>
      </c>
      <c r="K82" t="n">
        <v>1</v>
      </c>
      <c r="L82" t="n">
        <v>0</v>
      </c>
      <c r="M82" t="n">
        <v>0</v>
      </c>
      <c r="N82" t="n">
        <v>0</v>
      </c>
      <c r="O82" t="n">
        <v>1</v>
      </c>
      <c r="P82" t="n">
        <v>1</v>
      </c>
      <c r="Q82" t="n">
        <v>1</v>
      </c>
      <c r="R82" s="2" t="inlineStr">
        <is>
          <t>Knärot</t>
        </is>
      </c>
      <c r="S82">
        <f>HYPERLINK("https://klasma.github.io/Logging_2083/artfynd/A 23815-2023 artfynd.xlsx", "A 23815-2023")</f>
        <v/>
      </c>
      <c r="T82">
        <f>HYPERLINK("https://klasma.github.io/Logging_2083/kartor/A 23815-2023 karta.png", "A 23815-2023")</f>
        <v/>
      </c>
      <c r="U82">
        <f>HYPERLINK("https://klasma.github.io/Logging_2083/knärot/A 23815-2023 karta knärot.png", "A 23815-2023")</f>
        <v/>
      </c>
      <c r="V82">
        <f>HYPERLINK("https://klasma.github.io/Logging_2083/klagomål/A 23815-2023 FSC-klagomål.docx", "A 23815-2023")</f>
        <v/>
      </c>
      <c r="W82">
        <f>HYPERLINK("https://klasma.github.io/Logging_2083/klagomålsmail/A 23815-2023 FSC-klagomål mail.docx", "A 23815-2023")</f>
        <v/>
      </c>
      <c r="X82">
        <f>HYPERLINK("https://klasma.github.io/Logging_2083/tillsyn/A 23815-2023 tillsynsbegäran.docx", "A 23815-2023")</f>
        <v/>
      </c>
      <c r="Y82">
        <f>HYPERLINK("https://klasma.github.io/Logging_2083/tillsynsmail/A 23815-2023 tillsynsbegäran mail.docx", "A 23815-2023")</f>
        <v/>
      </c>
    </row>
    <row r="83" ht="15" customHeight="1">
      <c r="A83" t="inlineStr">
        <is>
          <t>A 28028-2023</t>
        </is>
      </c>
      <c r="B83" s="1" t="n">
        <v>45099</v>
      </c>
      <c r="C83" s="1" t="n">
        <v>45643</v>
      </c>
      <c r="D83" t="inlineStr">
        <is>
          <t>DALARNAS LÄN</t>
        </is>
      </c>
      <c r="E83" t="inlineStr">
        <is>
          <t>HEDEMORA</t>
        </is>
      </c>
      <c r="G83" t="n">
        <v>0.8</v>
      </c>
      <c r="H83" t="n">
        <v>1</v>
      </c>
      <c r="I83" t="n">
        <v>0</v>
      </c>
      <c r="J83" t="n">
        <v>0</v>
      </c>
      <c r="K83" t="n">
        <v>0</v>
      </c>
      <c r="L83" t="n">
        <v>0</v>
      </c>
      <c r="M83" t="n">
        <v>0</v>
      </c>
      <c r="N83" t="n">
        <v>0</v>
      </c>
      <c r="O83" t="n">
        <v>0</v>
      </c>
      <c r="P83" t="n">
        <v>0</v>
      </c>
      <c r="Q83" t="n">
        <v>1</v>
      </c>
      <c r="R83" s="2" t="inlineStr">
        <is>
          <t>Blåsippa</t>
        </is>
      </c>
      <c r="S83">
        <f>HYPERLINK("https://klasma.github.io/Logging_2083/artfynd/A 28028-2023 artfynd.xlsx", "A 28028-2023")</f>
        <v/>
      </c>
      <c r="T83">
        <f>HYPERLINK("https://klasma.github.io/Logging_2083/kartor/A 28028-2023 karta.png", "A 28028-2023")</f>
        <v/>
      </c>
      <c r="V83">
        <f>HYPERLINK("https://klasma.github.io/Logging_2083/klagomål/A 28028-2023 FSC-klagomål.docx", "A 28028-2023")</f>
        <v/>
      </c>
      <c r="W83">
        <f>HYPERLINK("https://klasma.github.io/Logging_2083/klagomålsmail/A 28028-2023 FSC-klagomål mail.docx", "A 28028-2023")</f>
        <v/>
      </c>
      <c r="X83">
        <f>HYPERLINK("https://klasma.github.io/Logging_2083/tillsyn/A 28028-2023 tillsynsbegäran.docx", "A 28028-2023")</f>
        <v/>
      </c>
      <c r="Y83">
        <f>HYPERLINK("https://klasma.github.io/Logging_2083/tillsynsmail/A 28028-2023 tillsynsbegäran mail.docx", "A 28028-2023")</f>
        <v/>
      </c>
    </row>
    <row r="84" ht="15" customHeight="1">
      <c r="A84" t="inlineStr">
        <is>
          <t>A 30014-2023</t>
        </is>
      </c>
      <c r="B84" s="1" t="n">
        <v>45109</v>
      </c>
      <c r="C84" s="1" t="n">
        <v>45643</v>
      </c>
      <c r="D84" t="inlineStr">
        <is>
          <t>DALARNAS LÄN</t>
        </is>
      </c>
      <c r="E84" t="inlineStr">
        <is>
          <t>HEDEMORA</t>
        </is>
      </c>
      <c r="F84" t="inlineStr">
        <is>
          <t>Sveaskog</t>
        </is>
      </c>
      <c r="G84" t="n">
        <v>1.6</v>
      </c>
      <c r="H84" t="n">
        <v>1</v>
      </c>
      <c r="I84" t="n">
        <v>1</v>
      </c>
      <c r="J84" t="n">
        <v>0</v>
      </c>
      <c r="K84" t="n">
        <v>0</v>
      </c>
      <c r="L84" t="n">
        <v>0</v>
      </c>
      <c r="M84" t="n">
        <v>0</v>
      </c>
      <c r="N84" t="n">
        <v>0</v>
      </c>
      <c r="O84" t="n">
        <v>0</v>
      </c>
      <c r="P84" t="n">
        <v>0</v>
      </c>
      <c r="Q84" t="n">
        <v>1</v>
      </c>
      <c r="R84" s="2" t="inlineStr">
        <is>
          <t>Plattlummer</t>
        </is>
      </c>
      <c r="S84">
        <f>HYPERLINK("https://klasma.github.io/Logging_2083/artfynd/A 30014-2023 artfynd.xlsx", "A 30014-2023")</f>
        <v/>
      </c>
      <c r="T84">
        <f>HYPERLINK("https://klasma.github.io/Logging_2083/kartor/A 30014-2023 karta.png", "A 30014-2023")</f>
        <v/>
      </c>
      <c r="V84">
        <f>HYPERLINK("https://klasma.github.io/Logging_2083/klagomål/A 30014-2023 FSC-klagomål.docx", "A 30014-2023")</f>
        <v/>
      </c>
      <c r="W84">
        <f>HYPERLINK("https://klasma.github.io/Logging_2083/klagomålsmail/A 30014-2023 FSC-klagomål mail.docx", "A 30014-2023")</f>
        <v/>
      </c>
      <c r="X84">
        <f>HYPERLINK("https://klasma.github.io/Logging_2083/tillsyn/A 30014-2023 tillsynsbegäran.docx", "A 30014-2023")</f>
        <v/>
      </c>
      <c r="Y84">
        <f>HYPERLINK("https://klasma.github.io/Logging_2083/tillsynsmail/A 30014-2023 tillsynsbegäran mail.docx", "A 30014-2023")</f>
        <v/>
      </c>
    </row>
    <row r="85" ht="15" customHeight="1">
      <c r="A85" t="inlineStr">
        <is>
          <t>A 30936-2023</t>
        </is>
      </c>
      <c r="B85" s="1" t="n">
        <v>45113</v>
      </c>
      <c r="C85" s="1" t="n">
        <v>45643</v>
      </c>
      <c r="D85" t="inlineStr">
        <is>
          <t>DALARNAS LÄN</t>
        </is>
      </c>
      <c r="E85" t="inlineStr">
        <is>
          <t>HEDEMORA</t>
        </is>
      </c>
      <c r="F85" t="inlineStr">
        <is>
          <t>Sveaskog</t>
        </is>
      </c>
      <c r="G85" t="n">
        <v>9.199999999999999</v>
      </c>
      <c r="H85" t="n">
        <v>0</v>
      </c>
      <c r="I85" t="n">
        <v>0</v>
      </c>
      <c r="J85" t="n">
        <v>1</v>
      </c>
      <c r="K85" t="n">
        <v>0</v>
      </c>
      <c r="L85" t="n">
        <v>0</v>
      </c>
      <c r="M85" t="n">
        <v>0</v>
      </c>
      <c r="N85" t="n">
        <v>0</v>
      </c>
      <c r="O85" t="n">
        <v>1</v>
      </c>
      <c r="P85" t="n">
        <v>0</v>
      </c>
      <c r="Q85" t="n">
        <v>1</v>
      </c>
      <c r="R85" s="2" t="inlineStr">
        <is>
          <t>Kolflarnlav</t>
        </is>
      </c>
      <c r="S85">
        <f>HYPERLINK("https://klasma.github.io/Logging_2083/artfynd/A 30936-2023 artfynd.xlsx", "A 30936-2023")</f>
        <v/>
      </c>
      <c r="T85">
        <f>HYPERLINK("https://klasma.github.io/Logging_2083/kartor/A 30936-2023 karta.png", "A 30936-2023")</f>
        <v/>
      </c>
      <c r="V85">
        <f>HYPERLINK("https://klasma.github.io/Logging_2083/klagomål/A 30936-2023 FSC-klagomål.docx", "A 30936-2023")</f>
        <v/>
      </c>
      <c r="W85">
        <f>HYPERLINK("https://klasma.github.io/Logging_2083/klagomålsmail/A 30936-2023 FSC-klagomål mail.docx", "A 30936-2023")</f>
        <v/>
      </c>
      <c r="X85">
        <f>HYPERLINK("https://klasma.github.io/Logging_2083/tillsyn/A 30936-2023 tillsynsbegäran.docx", "A 30936-2023")</f>
        <v/>
      </c>
      <c r="Y85">
        <f>HYPERLINK("https://klasma.github.io/Logging_2083/tillsynsmail/A 30936-2023 tillsynsbegäran mail.docx", "A 30936-2023")</f>
        <v/>
      </c>
    </row>
    <row r="86" ht="15" customHeight="1">
      <c r="A86" t="inlineStr">
        <is>
          <t>A 33023-2023</t>
        </is>
      </c>
      <c r="B86" s="1" t="n">
        <v>45125</v>
      </c>
      <c r="C86" s="1" t="n">
        <v>45643</v>
      </c>
      <c r="D86" t="inlineStr">
        <is>
          <t>DALARNAS LÄN</t>
        </is>
      </c>
      <c r="E86" t="inlineStr">
        <is>
          <t>HEDEMORA</t>
        </is>
      </c>
      <c r="F86" t="inlineStr">
        <is>
          <t>Sveaskog</t>
        </is>
      </c>
      <c r="G86" t="n">
        <v>3.9</v>
      </c>
      <c r="H86" t="n">
        <v>1</v>
      </c>
      <c r="I86" t="n">
        <v>0</v>
      </c>
      <c r="J86" t="n">
        <v>0</v>
      </c>
      <c r="K86" t="n">
        <v>0</v>
      </c>
      <c r="L86" t="n">
        <v>0</v>
      </c>
      <c r="M86" t="n">
        <v>0</v>
      </c>
      <c r="N86" t="n">
        <v>0</v>
      </c>
      <c r="O86" t="n">
        <v>0</v>
      </c>
      <c r="P86" t="n">
        <v>0</v>
      </c>
      <c r="Q86" t="n">
        <v>1</v>
      </c>
      <c r="R86" s="2" t="inlineStr">
        <is>
          <t>Revlummer</t>
        </is>
      </c>
      <c r="S86">
        <f>HYPERLINK("https://klasma.github.io/Logging_2083/artfynd/A 33023-2023 artfynd.xlsx", "A 33023-2023")</f>
        <v/>
      </c>
      <c r="T86">
        <f>HYPERLINK("https://klasma.github.io/Logging_2083/kartor/A 33023-2023 karta.png", "A 33023-2023")</f>
        <v/>
      </c>
      <c r="V86">
        <f>HYPERLINK("https://klasma.github.io/Logging_2083/klagomål/A 33023-2023 FSC-klagomål.docx", "A 33023-2023")</f>
        <v/>
      </c>
      <c r="W86">
        <f>HYPERLINK("https://klasma.github.io/Logging_2083/klagomålsmail/A 33023-2023 FSC-klagomål mail.docx", "A 33023-2023")</f>
        <v/>
      </c>
      <c r="X86">
        <f>HYPERLINK("https://klasma.github.io/Logging_2083/tillsyn/A 33023-2023 tillsynsbegäran.docx", "A 33023-2023")</f>
        <v/>
      </c>
      <c r="Y86">
        <f>HYPERLINK("https://klasma.github.io/Logging_2083/tillsynsmail/A 33023-2023 tillsynsbegäran mail.docx", "A 33023-2023")</f>
        <v/>
      </c>
    </row>
    <row r="87" ht="15" customHeight="1">
      <c r="A87" t="inlineStr">
        <is>
          <t>A 35321-2023</t>
        </is>
      </c>
      <c r="B87" s="1" t="n">
        <v>45146</v>
      </c>
      <c r="C87" s="1" t="n">
        <v>45643</v>
      </c>
      <c r="D87" t="inlineStr">
        <is>
          <t>DALARNAS LÄN</t>
        </is>
      </c>
      <c r="E87" t="inlineStr">
        <is>
          <t>HEDEMORA</t>
        </is>
      </c>
      <c r="G87" t="n">
        <v>3.5</v>
      </c>
      <c r="H87" t="n">
        <v>1</v>
      </c>
      <c r="I87" t="n">
        <v>0</v>
      </c>
      <c r="J87" t="n">
        <v>1</v>
      </c>
      <c r="K87" t="n">
        <v>0</v>
      </c>
      <c r="L87" t="n">
        <v>0</v>
      </c>
      <c r="M87" t="n">
        <v>0</v>
      </c>
      <c r="N87" t="n">
        <v>0</v>
      </c>
      <c r="O87" t="n">
        <v>1</v>
      </c>
      <c r="P87" t="n">
        <v>0</v>
      </c>
      <c r="Q87" t="n">
        <v>1</v>
      </c>
      <c r="R87" s="2" t="inlineStr">
        <is>
          <t>Havsörn</t>
        </is>
      </c>
      <c r="S87">
        <f>HYPERLINK("https://klasma.github.io/Logging_2083/artfynd/A 35321-2023 artfynd.xlsx", "A 35321-2023")</f>
        <v/>
      </c>
      <c r="T87">
        <f>HYPERLINK("https://klasma.github.io/Logging_2083/kartor/A 35321-2023 karta.png", "A 35321-2023")</f>
        <v/>
      </c>
      <c r="V87">
        <f>HYPERLINK("https://klasma.github.io/Logging_2083/klagomål/A 35321-2023 FSC-klagomål.docx", "A 35321-2023")</f>
        <v/>
      </c>
      <c r="W87">
        <f>HYPERLINK("https://klasma.github.io/Logging_2083/klagomålsmail/A 35321-2023 FSC-klagomål mail.docx", "A 35321-2023")</f>
        <v/>
      </c>
      <c r="X87">
        <f>HYPERLINK("https://klasma.github.io/Logging_2083/tillsyn/A 35321-2023 tillsynsbegäran.docx", "A 35321-2023")</f>
        <v/>
      </c>
      <c r="Y87">
        <f>HYPERLINK("https://klasma.github.io/Logging_2083/tillsynsmail/A 35321-2023 tillsynsbegäran mail.docx", "A 35321-2023")</f>
        <v/>
      </c>
      <c r="Z87">
        <f>HYPERLINK("https://klasma.github.io/Logging_2083/fåglar/A 35321-2023 prioriterade fågelarter.docx", "A 35321-2023")</f>
        <v/>
      </c>
    </row>
    <row r="88" ht="15" customHeight="1">
      <c r="A88" t="inlineStr">
        <is>
          <t>A 36849-2023</t>
        </is>
      </c>
      <c r="B88" s="1" t="n">
        <v>45154</v>
      </c>
      <c r="C88" s="1" t="n">
        <v>45643</v>
      </c>
      <c r="D88" t="inlineStr">
        <is>
          <t>DALARNAS LÄN</t>
        </is>
      </c>
      <c r="E88" t="inlineStr">
        <is>
          <t>HEDEMORA</t>
        </is>
      </c>
      <c r="G88" t="n">
        <v>5.8</v>
      </c>
      <c r="H88" t="n">
        <v>1</v>
      </c>
      <c r="I88" t="n">
        <v>0</v>
      </c>
      <c r="J88" t="n">
        <v>0</v>
      </c>
      <c r="K88" t="n">
        <v>1</v>
      </c>
      <c r="L88" t="n">
        <v>0</v>
      </c>
      <c r="M88" t="n">
        <v>0</v>
      </c>
      <c r="N88" t="n">
        <v>0</v>
      </c>
      <c r="O88" t="n">
        <v>1</v>
      </c>
      <c r="P88" t="n">
        <v>1</v>
      </c>
      <c r="Q88" t="n">
        <v>1</v>
      </c>
      <c r="R88" s="2" t="inlineStr">
        <is>
          <t>Knärot</t>
        </is>
      </c>
      <c r="S88">
        <f>HYPERLINK("https://klasma.github.io/Logging_2083/artfynd/A 36849-2023 artfynd.xlsx", "A 36849-2023")</f>
        <v/>
      </c>
      <c r="T88">
        <f>HYPERLINK("https://klasma.github.io/Logging_2083/kartor/A 36849-2023 karta.png", "A 36849-2023")</f>
        <v/>
      </c>
      <c r="U88">
        <f>HYPERLINK("https://klasma.github.io/Logging_2083/knärot/A 36849-2023 karta knärot.png", "A 36849-2023")</f>
        <v/>
      </c>
      <c r="V88">
        <f>HYPERLINK("https://klasma.github.io/Logging_2083/klagomål/A 36849-2023 FSC-klagomål.docx", "A 36849-2023")</f>
        <v/>
      </c>
      <c r="W88">
        <f>HYPERLINK("https://klasma.github.io/Logging_2083/klagomålsmail/A 36849-2023 FSC-klagomål mail.docx", "A 36849-2023")</f>
        <v/>
      </c>
      <c r="X88">
        <f>HYPERLINK("https://klasma.github.io/Logging_2083/tillsyn/A 36849-2023 tillsynsbegäran.docx", "A 36849-2023")</f>
        <v/>
      </c>
      <c r="Y88">
        <f>HYPERLINK("https://klasma.github.io/Logging_2083/tillsynsmail/A 36849-2023 tillsynsbegäran mail.docx", "A 36849-2023")</f>
        <v/>
      </c>
    </row>
    <row r="89" ht="15" customHeight="1">
      <c r="A89" t="inlineStr">
        <is>
          <t>A 37654-2023</t>
        </is>
      </c>
      <c r="B89" s="1" t="n">
        <v>45159</v>
      </c>
      <c r="C89" s="1" t="n">
        <v>45643</v>
      </c>
      <c r="D89" t="inlineStr">
        <is>
          <t>DALARNAS LÄN</t>
        </is>
      </c>
      <c r="E89" t="inlineStr">
        <is>
          <t>HEDEMORA</t>
        </is>
      </c>
      <c r="G89" t="n">
        <v>6.2</v>
      </c>
      <c r="H89" t="n">
        <v>1</v>
      </c>
      <c r="I89" t="n">
        <v>0</v>
      </c>
      <c r="J89" t="n">
        <v>0</v>
      </c>
      <c r="K89" t="n">
        <v>1</v>
      </c>
      <c r="L89" t="n">
        <v>0</v>
      </c>
      <c r="M89" t="n">
        <v>0</v>
      </c>
      <c r="N89" t="n">
        <v>0</v>
      </c>
      <c r="O89" t="n">
        <v>1</v>
      </c>
      <c r="P89" t="n">
        <v>1</v>
      </c>
      <c r="Q89" t="n">
        <v>1</v>
      </c>
      <c r="R89" s="2" t="inlineStr">
        <is>
          <t>Knärot</t>
        </is>
      </c>
      <c r="S89">
        <f>HYPERLINK("https://klasma.github.io/Logging_2083/artfynd/A 37654-2023 artfynd.xlsx", "A 37654-2023")</f>
        <v/>
      </c>
      <c r="T89">
        <f>HYPERLINK("https://klasma.github.io/Logging_2083/kartor/A 37654-2023 karta.png", "A 37654-2023")</f>
        <v/>
      </c>
      <c r="U89">
        <f>HYPERLINK("https://klasma.github.io/Logging_2083/knärot/A 37654-2023 karta knärot.png", "A 37654-2023")</f>
        <v/>
      </c>
      <c r="V89">
        <f>HYPERLINK("https://klasma.github.io/Logging_2083/klagomål/A 37654-2023 FSC-klagomål.docx", "A 37654-2023")</f>
        <v/>
      </c>
      <c r="W89">
        <f>HYPERLINK("https://klasma.github.io/Logging_2083/klagomålsmail/A 37654-2023 FSC-klagomål mail.docx", "A 37654-2023")</f>
        <v/>
      </c>
      <c r="X89">
        <f>HYPERLINK("https://klasma.github.io/Logging_2083/tillsyn/A 37654-2023 tillsynsbegäran.docx", "A 37654-2023")</f>
        <v/>
      </c>
      <c r="Y89">
        <f>HYPERLINK("https://klasma.github.io/Logging_2083/tillsynsmail/A 37654-2023 tillsynsbegäran mail.docx", "A 37654-2023")</f>
        <v/>
      </c>
    </row>
    <row r="90" ht="15" customHeight="1">
      <c r="A90" t="inlineStr">
        <is>
          <t>A 41477-2023</t>
        </is>
      </c>
      <c r="B90" s="1" t="n">
        <v>45171</v>
      </c>
      <c r="C90" s="1" t="n">
        <v>45643</v>
      </c>
      <c r="D90" t="inlineStr">
        <is>
          <t>DALARNAS LÄN</t>
        </is>
      </c>
      <c r="E90" t="inlineStr">
        <is>
          <t>HEDEMORA</t>
        </is>
      </c>
      <c r="F90" t="inlineStr">
        <is>
          <t>Bergvik skog väst AB</t>
        </is>
      </c>
      <c r="G90" t="n">
        <v>9.1</v>
      </c>
      <c r="H90" t="n">
        <v>0</v>
      </c>
      <c r="I90" t="n">
        <v>1</v>
      </c>
      <c r="J90" t="n">
        <v>0</v>
      </c>
      <c r="K90" t="n">
        <v>0</v>
      </c>
      <c r="L90" t="n">
        <v>0</v>
      </c>
      <c r="M90" t="n">
        <v>0</v>
      </c>
      <c r="N90" t="n">
        <v>0</v>
      </c>
      <c r="O90" t="n">
        <v>0</v>
      </c>
      <c r="P90" t="n">
        <v>0</v>
      </c>
      <c r="Q90" t="n">
        <v>1</v>
      </c>
      <c r="R90" s="2" t="inlineStr">
        <is>
          <t>Ögonpyrola</t>
        </is>
      </c>
      <c r="S90">
        <f>HYPERLINK("https://klasma.github.io/Logging_2083/artfynd/A 41477-2023 artfynd.xlsx", "A 41477-2023")</f>
        <v/>
      </c>
      <c r="T90">
        <f>HYPERLINK("https://klasma.github.io/Logging_2083/kartor/A 41477-2023 karta.png", "A 41477-2023")</f>
        <v/>
      </c>
      <c r="V90">
        <f>HYPERLINK("https://klasma.github.io/Logging_2083/klagomål/A 41477-2023 FSC-klagomål.docx", "A 41477-2023")</f>
        <v/>
      </c>
      <c r="W90">
        <f>HYPERLINK("https://klasma.github.io/Logging_2083/klagomålsmail/A 41477-2023 FSC-klagomål mail.docx", "A 41477-2023")</f>
        <v/>
      </c>
      <c r="X90">
        <f>HYPERLINK("https://klasma.github.io/Logging_2083/tillsyn/A 41477-2023 tillsynsbegäran.docx", "A 41477-2023")</f>
        <v/>
      </c>
      <c r="Y90">
        <f>HYPERLINK("https://klasma.github.io/Logging_2083/tillsynsmail/A 41477-2023 tillsynsbegäran mail.docx", "A 41477-2023")</f>
        <v/>
      </c>
    </row>
    <row r="91" ht="15" customHeight="1">
      <c r="A91" t="inlineStr">
        <is>
          <t>A 41078-2023</t>
        </is>
      </c>
      <c r="B91" s="1" t="n">
        <v>45173</v>
      </c>
      <c r="C91" s="1" t="n">
        <v>45643</v>
      </c>
      <c r="D91" t="inlineStr">
        <is>
          <t>DALARNAS LÄN</t>
        </is>
      </c>
      <c r="E91" t="inlineStr">
        <is>
          <t>HEDEMORA</t>
        </is>
      </c>
      <c r="G91" t="n">
        <v>10.3</v>
      </c>
      <c r="H91" t="n">
        <v>0</v>
      </c>
      <c r="I91" t="n">
        <v>1</v>
      </c>
      <c r="J91" t="n">
        <v>0</v>
      </c>
      <c r="K91" t="n">
        <v>0</v>
      </c>
      <c r="L91" t="n">
        <v>0</v>
      </c>
      <c r="M91" t="n">
        <v>0</v>
      </c>
      <c r="N91" t="n">
        <v>0</v>
      </c>
      <c r="O91" t="n">
        <v>0</v>
      </c>
      <c r="P91" t="n">
        <v>0</v>
      </c>
      <c r="Q91" t="n">
        <v>1</v>
      </c>
      <c r="R91" s="2" t="inlineStr">
        <is>
          <t>Bronshjon</t>
        </is>
      </c>
      <c r="S91">
        <f>HYPERLINK("https://klasma.github.io/Logging_2083/artfynd/A 41078-2023 artfynd.xlsx", "A 41078-2023")</f>
        <v/>
      </c>
      <c r="T91">
        <f>HYPERLINK("https://klasma.github.io/Logging_2083/kartor/A 41078-2023 karta.png", "A 41078-2023")</f>
        <v/>
      </c>
      <c r="V91">
        <f>HYPERLINK("https://klasma.github.io/Logging_2083/klagomål/A 41078-2023 FSC-klagomål.docx", "A 41078-2023")</f>
        <v/>
      </c>
      <c r="W91">
        <f>HYPERLINK("https://klasma.github.io/Logging_2083/klagomålsmail/A 41078-2023 FSC-klagomål mail.docx", "A 41078-2023")</f>
        <v/>
      </c>
      <c r="X91">
        <f>HYPERLINK("https://klasma.github.io/Logging_2083/tillsyn/A 41078-2023 tillsynsbegäran.docx", "A 41078-2023")</f>
        <v/>
      </c>
      <c r="Y91">
        <f>HYPERLINK("https://klasma.github.io/Logging_2083/tillsynsmail/A 41078-2023 tillsynsbegäran mail.docx", "A 41078-2023")</f>
        <v/>
      </c>
    </row>
    <row r="92" ht="15" customHeight="1">
      <c r="A92" t="inlineStr">
        <is>
          <t>A 53031-2023</t>
        </is>
      </c>
      <c r="B92" s="1" t="n">
        <v>45226</v>
      </c>
      <c r="C92" s="1" t="n">
        <v>45643</v>
      </c>
      <c r="D92" t="inlineStr">
        <is>
          <t>DALARNAS LÄN</t>
        </is>
      </c>
      <c r="E92" t="inlineStr">
        <is>
          <t>HEDEMORA</t>
        </is>
      </c>
      <c r="F92" t="inlineStr">
        <is>
          <t>Sveaskog</t>
        </is>
      </c>
      <c r="G92" t="n">
        <v>6.9</v>
      </c>
      <c r="H92" t="n">
        <v>1</v>
      </c>
      <c r="I92" t="n">
        <v>0</v>
      </c>
      <c r="J92" t="n">
        <v>1</v>
      </c>
      <c r="K92" t="n">
        <v>0</v>
      </c>
      <c r="L92" t="n">
        <v>0</v>
      </c>
      <c r="M92" t="n">
        <v>0</v>
      </c>
      <c r="N92" t="n">
        <v>0</v>
      </c>
      <c r="O92" t="n">
        <v>1</v>
      </c>
      <c r="P92" t="n">
        <v>0</v>
      </c>
      <c r="Q92" t="n">
        <v>1</v>
      </c>
      <c r="R92" s="2" t="inlineStr">
        <is>
          <t>Talltita</t>
        </is>
      </c>
      <c r="S92">
        <f>HYPERLINK("https://klasma.github.io/Logging_2083/artfynd/A 53031-2023 artfynd.xlsx", "A 53031-2023")</f>
        <v/>
      </c>
      <c r="T92">
        <f>HYPERLINK("https://klasma.github.io/Logging_2083/kartor/A 53031-2023 karta.png", "A 53031-2023")</f>
        <v/>
      </c>
      <c r="V92">
        <f>HYPERLINK("https://klasma.github.io/Logging_2083/klagomål/A 53031-2023 FSC-klagomål.docx", "A 53031-2023")</f>
        <v/>
      </c>
      <c r="W92">
        <f>HYPERLINK("https://klasma.github.io/Logging_2083/klagomålsmail/A 53031-2023 FSC-klagomål mail.docx", "A 53031-2023")</f>
        <v/>
      </c>
      <c r="X92">
        <f>HYPERLINK("https://klasma.github.io/Logging_2083/tillsyn/A 53031-2023 tillsynsbegäran.docx", "A 53031-2023")</f>
        <v/>
      </c>
      <c r="Y92">
        <f>HYPERLINK("https://klasma.github.io/Logging_2083/tillsynsmail/A 53031-2023 tillsynsbegäran mail.docx", "A 53031-2023")</f>
        <v/>
      </c>
      <c r="Z92">
        <f>HYPERLINK("https://klasma.github.io/Logging_2083/fåglar/A 53031-2023 prioriterade fågelarter.docx", "A 53031-2023")</f>
        <v/>
      </c>
    </row>
    <row r="93" ht="15" customHeight="1">
      <c r="A93" t="inlineStr">
        <is>
          <t>A 59376-2023</t>
        </is>
      </c>
      <c r="B93" s="1" t="n">
        <v>45253</v>
      </c>
      <c r="C93" s="1" t="n">
        <v>45643</v>
      </c>
      <c r="D93" t="inlineStr">
        <is>
          <t>DALARNAS LÄN</t>
        </is>
      </c>
      <c r="E93" t="inlineStr">
        <is>
          <t>HEDEMORA</t>
        </is>
      </c>
      <c r="F93" t="inlineStr">
        <is>
          <t>Sveaskog</t>
        </is>
      </c>
      <c r="G93" t="n">
        <v>2.4</v>
      </c>
      <c r="H93" t="n">
        <v>1</v>
      </c>
      <c r="I93" t="n">
        <v>0</v>
      </c>
      <c r="J93" t="n">
        <v>1</v>
      </c>
      <c r="K93" t="n">
        <v>0</v>
      </c>
      <c r="L93" t="n">
        <v>0</v>
      </c>
      <c r="M93" t="n">
        <v>0</v>
      </c>
      <c r="N93" t="n">
        <v>0</v>
      </c>
      <c r="O93" t="n">
        <v>1</v>
      </c>
      <c r="P93" t="n">
        <v>0</v>
      </c>
      <c r="Q93" t="n">
        <v>1</v>
      </c>
      <c r="R93" s="2" t="inlineStr">
        <is>
          <t>Spillkråka</t>
        </is>
      </c>
      <c r="S93">
        <f>HYPERLINK("https://klasma.github.io/Logging_2083/artfynd/A 59376-2023 artfynd.xlsx", "A 59376-2023")</f>
        <v/>
      </c>
      <c r="T93">
        <f>HYPERLINK("https://klasma.github.io/Logging_2083/kartor/A 59376-2023 karta.png", "A 59376-2023")</f>
        <v/>
      </c>
      <c r="V93">
        <f>HYPERLINK("https://klasma.github.io/Logging_2083/klagomål/A 59376-2023 FSC-klagomål.docx", "A 59376-2023")</f>
        <v/>
      </c>
      <c r="W93">
        <f>HYPERLINK("https://klasma.github.io/Logging_2083/klagomålsmail/A 59376-2023 FSC-klagomål mail.docx", "A 59376-2023")</f>
        <v/>
      </c>
      <c r="X93">
        <f>HYPERLINK("https://klasma.github.io/Logging_2083/tillsyn/A 59376-2023 tillsynsbegäran.docx", "A 59376-2023")</f>
        <v/>
      </c>
      <c r="Y93">
        <f>HYPERLINK("https://klasma.github.io/Logging_2083/tillsynsmail/A 59376-2023 tillsynsbegäran mail.docx", "A 59376-2023")</f>
        <v/>
      </c>
      <c r="Z93">
        <f>HYPERLINK("https://klasma.github.io/Logging_2083/fåglar/A 59376-2023 prioriterade fågelarter.docx", "A 59376-2023")</f>
        <v/>
      </c>
    </row>
    <row r="94" ht="15" customHeight="1">
      <c r="A94" t="inlineStr">
        <is>
          <t>A 59377-2023</t>
        </is>
      </c>
      <c r="B94" s="1" t="n">
        <v>45253</v>
      </c>
      <c r="C94" s="1" t="n">
        <v>45643</v>
      </c>
      <c r="D94" t="inlineStr">
        <is>
          <t>DALARNAS LÄN</t>
        </is>
      </c>
      <c r="E94" t="inlineStr">
        <is>
          <t>HEDEMORA</t>
        </is>
      </c>
      <c r="F94" t="inlineStr">
        <is>
          <t>Sveaskog</t>
        </is>
      </c>
      <c r="G94" t="n">
        <v>4.6</v>
      </c>
      <c r="H94" t="n">
        <v>0</v>
      </c>
      <c r="I94" t="n">
        <v>0</v>
      </c>
      <c r="J94" t="n">
        <v>1</v>
      </c>
      <c r="K94" t="n">
        <v>0</v>
      </c>
      <c r="L94" t="n">
        <v>0</v>
      </c>
      <c r="M94" t="n">
        <v>0</v>
      </c>
      <c r="N94" t="n">
        <v>0</v>
      </c>
      <c r="O94" t="n">
        <v>1</v>
      </c>
      <c r="P94" t="n">
        <v>0</v>
      </c>
      <c r="Q94" t="n">
        <v>1</v>
      </c>
      <c r="R94" s="2" t="inlineStr">
        <is>
          <t>Ullticka</t>
        </is>
      </c>
      <c r="S94">
        <f>HYPERLINK("https://klasma.github.io/Logging_2083/artfynd/A 59377-2023 artfynd.xlsx", "A 59377-2023")</f>
        <v/>
      </c>
      <c r="T94">
        <f>HYPERLINK("https://klasma.github.io/Logging_2083/kartor/A 59377-2023 karta.png", "A 59377-2023")</f>
        <v/>
      </c>
      <c r="V94">
        <f>HYPERLINK("https://klasma.github.io/Logging_2083/klagomål/A 59377-2023 FSC-klagomål.docx", "A 59377-2023")</f>
        <v/>
      </c>
      <c r="W94">
        <f>HYPERLINK("https://klasma.github.io/Logging_2083/klagomålsmail/A 59377-2023 FSC-klagomål mail.docx", "A 59377-2023")</f>
        <v/>
      </c>
      <c r="X94">
        <f>HYPERLINK("https://klasma.github.io/Logging_2083/tillsyn/A 59377-2023 tillsynsbegäran.docx", "A 59377-2023")</f>
        <v/>
      </c>
      <c r="Y94">
        <f>HYPERLINK("https://klasma.github.io/Logging_2083/tillsynsmail/A 59377-2023 tillsynsbegäran mail.docx", "A 59377-2023")</f>
        <v/>
      </c>
    </row>
    <row r="95" ht="15" customHeight="1">
      <c r="A95" t="inlineStr">
        <is>
          <t>A 59751-2023</t>
        </is>
      </c>
      <c r="B95" s="1" t="n">
        <v>45257</v>
      </c>
      <c r="C95" s="1" t="n">
        <v>45643</v>
      </c>
      <c r="D95" t="inlineStr">
        <is>
          <t>DALARNAS LÄN</t>
        </is>
      </c>
      <c r="E95" t="inlineStr">
        <is>
          <t>HEDEMORA</t>
        </is>
      </c>
      <c r="F95" t="inlineStr">
        <is>
          <t>Sveaskog</t>
        </is>
      </c>
      <c r="G95" t="n">
        <v>0.7</v>
      </c>
      <c r="H95" t="n">
        <v>0</v>
      </c>
      <c r="I95" t="n">
        <v>1</v>
      </c>
      <c r="J95" t="n">
        <v>0</v>
      </c>
      <c r="K95" t="n">
        <v>0</v>
      </c>
      <c r="L95" t="n">
        <v>0</v>
      </c>
      <c r="M95" t="n">
        <v>0</v>
      </c>
      <c r="N95" t="n">
        <v>0</v>
      </c>
      <c r="O95" t="n">
        <v>0</v>
      </c>
      <c r="P95" t="n">
        <v>0</v>
      </c>
      <c r="Q95" t="n">
        <v>1</v>
      </c>
      <c r="R95" s="2" t="inlineStr">
        <is>
          <t>Svavelriska</t>
        </is>
      </c>
      <c r="S95">
        <f>HYPERLINK("https://klasma.github.io/Logging_2083/artfynd/A 59751-2023 artfynd.xlsx", "A 59751-2023")</f>
        <v/>
      </c>
      <c r="T95">
        <f>HYPERLINK("https://klasma.github.io/Logging_2083/kartor/A 59751-2023 karta.png", "A 59751-2023")</f>
        <v/>
      </c>
      <c r="V95">
        <f>HYPERLINK("https://klasma.github.io/Logging_2083/klagomål/A 59751-2023 FSC-klagomål.docx", "A 59751-2023")</f>
        <v/>
      </c>
      <c r="W95">
        <f>HYPERLINK("https://klasma.github.io/Logging_2083/klagomålsmail/A 59751-2023 FSC-klagomål mail.docx", "A 59751-2023")</f>
        <v/>
      </c>
      <c r="X95">
        <f>HYPERLINK("https://klasma.github.io/Logging_2083/tillsyn/A 59751-2023 tillsynsbegäran.docx", "A 59751-2023")</f>
        <v/>
      </c>
      <c r="Y95">
        <f>HYPERLINK("https://klasma.github.io/Logging_2083/tillsynsmail/A 59751-2023 tillsynsbegäran mail.docx", "A 59751-2023")</f>
        <v/>
      </c>
    </row>
    <row r="96" ht="15" customHeight="1">
      <c r="A96" t="inlineStr">
        <is>
          <t>A 63542-2023</t>
        </is>
      </c>
      <c r="B96" s="1" t="n">
        <v>45275</v>
      </c>
      <c r="C96" s="1" t="n">
        <v>45643</v>
      </c>
      <c r="D96" t="inlineStr">
        <is>
          <t>DALARNAS LÄN</t>
        </is>
      </c>
      <c r="E96" t="inlineStr">
        <is>
          <t>HEDEMORA</t>
        </is>
      </c>
      <c r="G96" t="n">
        <v>2.1</v>
      </c>
      <c r="H96" t="n">
        <v>1</v>
      </c>
      <c r="I96" t="n">
        <v>0</v>
      </c>
      <c r="J96" t="n">
        <v>1</v>
      </c>
      <c r="K96" t="n">
        <v>0</v>
      </c>
      <c r="L96" t="n">
        <v>0</v>
      </c>
      <c r="M96" t="n">
        <v>0</v>
      </c>
      <c r="N96" t="n">
        <v>0</v>
      </c>
      <c r="O96" t="n">
        <v>1</v>
      </c>
      <c r="P96" t="n">
        <v>0</v>
      </c>
      <c r="Q96" t="n">
        <v>1</v>
      </c>
      <c r="R96" s="2" t="inlineStr">
        <is>
          <t>Spillkråka</t>
        </is>
      </c>
      <c r="S96">
        <f>HYPERLINK("https://klasma.github.io/Logging_2083/artfynd/A 63542-2023 artfynd.xlsx", "A 63542-2023")</f>
        <v/>
      </c>
      <c r="T96">
        <f>HYPERLINK("https://klasma.github.io/Logging_2083/kartor/A 63542-2023 karta.png", "A 63542-2023")</f>
        <v/>
      </c>
      <c r="V96">
        <f>HYPERLINK("https://klasma.github.io/Logging_2083/klagomål/A 63542-2023 FSC-klagomål.docx", "A 63542-2023")</f>
        <v/>
      </c>
      <c r="W96">
        <f>HYPERLINK("https://klasma.github.io/Logging_2083/klagomålsmail/A 63542-2023 FSC-klagomål mail.docx", "A 63542-2023")</f>
        <v/>
      </c>
      <c r="X96">
        <f>HYPERLINK("https://klasma.github.io/Logging_2083/tillsyn/A 63542-2023 tillsynsbegäran.docx", "A 63542-2023")</f>
        <v/>
      </c>
      <c r="Y96">
        <f>HYPERLINK("https://klasma.github.io/Logging_2083/tillsynsmail/A 63542-2023 tillsynsbegäran mail.docx", "A 63542-2023")</f>
        <v/>
      </c>
      <c r="Z96">
        <f>HYPERLINK("https://klasma.github.io/Logging_2083/fåglar/A 63542-2023 prioriterade fågelarter.docx", "A 63542-2023")</f>
        <v/>
      </c>
    </row>
    <row r="97" ht="15" customHeight="1">
      <c r="A97" t="inlineStr">
        <is>
          <t>A 21535-2024</t>
        </is>
      </c>
      <c r="B97" s="1" t="n">
        <v>45441</v>
      </c>
      <c r="C97" s="1" t="n">
        <v>45643</v>
      </c>
      <c r="D97" t="inlineStr">
        <is>
          <t>DALARNAS LÄN</t>
        </is>
      </c>
      <c r="E97" t="inlineStr">
        <is>
          <t>HEDEMORA</t>
        </is>
      </c>
      <c r="F97" t="inlineStr">
        <is>
          <t>Sveaskog</t>
        </is>
      </c>
      <c r="G97" t="n">
        <v>3.4</v>
      </c>
      <c r="H97" t="n">
        <v>1</v>
      </c>
      <c r="I97" t="n">
        <v>0</v>
      </c>
      <c r="J97" t="n">
        <v>0</v>
      </c>
      <c r="K97" t="n">
        <v>1</v>
      </c>
      <c r="L97" t="n">
        <v>0</v>
      </c>
      <c r="M97" t="n">
        <v>0</v>
      </c>
      <c r="N97" t="n">
        <v>0</v>
      </c>
      <c r="O97" t="n">
        <v>1</v>
      </c>
      <c r="P97" t="n">
        <v>1</v>
      </c>
      <c r="Q97" t="n">
        <v>1</v>
      </c>
      <c r="R97" s="2" t="inlineStr">
        <is>
          <t>Knärot</t>
        </is>
      </c>
      <c r="S97">
        <f>HYPERLINK("https://klasma.github.io/Logging_2083/artfynd/A 21535-2024 artfynd.xlsx", "A 21535-2024")</f>
        <v/>
      </c>
      <c r="T97">
        <f>HYPERLINK("https://klasma.github.io/Logging_2083/kartor/A 21535-2024 karta.png", "A 21535-2024")</f>
        <v/>
      </c>
      <c r="U97">
        <f>HYPERLINK("https://klasma.github.io/Logging_2083/knärot/A 21535-2024 karta knärot.png", "A 21535-2024")</f>
        <v/>
      </c>
      <c r="V97">
        <f>HYPERLINK("https://klasma.github.io/Logging_2083/klagomål/A 21535-2024 FSC-klagomål.docx", "A 21535-2024")</f>
        <v/>
      </c>
      <c r="W97">
        <f>HYPERLINK("https://klasma.github.io/Logging_2083/klagomålsmail/A 21535-2024 FSC-klagomål mail.docx", "A 21535-2024")</f>
        <v/>
      </c>
      <c r="X97">
        <f>HYPERLINK("https://klasma.github.io/Logging_2083/tillsyn/A 21535-2024 tillsynsbegäran.docx", "A 21535-2024")</f>
        <v/>
      </c>
      <c r="Y97">
        <f>HYPERLINK("https://klasma.github.io/Logging_2083/tillsynsmail/A 21535-2024 tillsynsbegäran mail.docx", "A 21535-2024")</f>
        <v/>
      </c>
    </row>
    <row r="98" ht="15" customHeight="1">
      <c r="A98" t="inlineStr">
        <is>
          <t>A 42614-2024</t>
        </is>
      </c>
      <c r="B98" s="1" t="n">
        <v>45565</v>
      </c>
      <c r="C98" s="1" t="n">
        <v>45643</v>
      </c>
      <c r="D98" t="inlineStr">
        <is>
          <t>DALARNAS LÄN</t>
        </is>
      </c>
      <c r="E98" t="inlineStr">
        <is>
          <t>HEDEMORA</t>
        </is>
      </c>
      <c r="F98" t="inlineStr">
        <is>
          <t>Sveaskog</t>
        </is>
      </c>
      <c r="G98" t="n">
        <v>3</v>
      </c>
      <c r="H98" t="n">
        <v>1</v>
      </c>
      <c r="I98" t="n">
        <v>0</v>
      </c>
      <c r="J98" t="n">
        <v>1</v>
      </c>
      <c r="K98" t="n">
        <v>0</v>
      </c>
      <c r="L98" t="n">
        <v>0</v>
      </c>
      <c r="M98" t="n">
        <v>0</v>
      </c>
      <c r="N98" t="n">
        <v>0</v>
      </c>
      <c r="O98" t="n">
        <v>1</v>
      </c>
      <c r="P98" t="n">
        <v>0</v>
      </c>
      <c r="Q98" t="n">
        <v>1</v>
      </c>
      <c r="R98" s="2" t="inlineStr">
        <is>
          <t>Talltita</t>
        </is>
      </c>
      <c r="S98">
        <f>HYPERLINK("https://klasma.github.io/Logging_2083/artfynd/A 42614-2024 artfynd.xlsx", "A 42614-2024")</f>
        <v/>
      </c>
      <c r="T98">
        <f>HYPERLINK("https://klasma.github.io/Logging_2083/kartor/A 42614-2024 karta.png", "A 42614-2024")</f>
        <v/>
      </c>
      <c r="V98">
        <f>HYPERLINK("https://klasma.github.io/Logging_2083/klagomål/A 42614-2024 FSC-klagomål.docx", "A 42614-2024")</f>
        <v/>
      </c>
      <c r="W98">
        <f>HYPERLINK("https://klasma.github.io/Logging_2083/klagomålsmail/A 42614-2024 FSC-klagomål mail.docx", "A 42614-2024")</f>
        <v/>
      </c>
      <c r="X98">
        <f>HYPERLINK("https://klasma.github.io/Logging_2083/tillsyn/A 42614-2024 tillsynsbegäran.docx", "A 42614-2024")</f>
        <v/>
      </c>
      <c r="Y98">
        <f>HYPERLINK("https://klasma.github.io/Logging_2083/tillsynsmail/A 42614-2024 tillsynsbegäran mail.docx", "A 42614-2024")</f>
        <v/>
      </c>
      <c r="Z98">
        <f>HYPERLINK("https://klasma.github.io/Logging_2083/fåglar/A 42614-2024 prioriterade fågelarter.docx", "A 42614-2024")</f>
        <v/>
      </c>
    </row>
    <row r="99" ht="15" customHeight="1">
      <c r="A99" t="inlineStr">
        <is>
          <t>A 48323-2024</t>
        </is>
      </c>
      <c r="B99" s="1" t="n">
        <v>45590</v>
      </c>
      <c r="C99" s="1" t="n">
        <v>45643</v>
      </c>
      <c r="D99" t="inlineStr">
        <is>
          <t>DALARNAS LÄN</t>
        </is>
      </c>
      <c r="E99" t="inlineStr">
        <is>
          <t>HEDEMORA</t>
        </is>
      </c>
      <c r="F99" t="inlineStr">
        <is>
          <t>Sveaskog</t>
        </is>
      </c>
      <c r="G99" t="n">
        <v>3.8</v>
      </c>
      <c r="H99" t="n">
        <v>1</v>
      </c>
      <c r="I99" t="n">
        <v>0</v>
      </c>
      <c r="J99" t="n">
        <v>0</v>
      </c>
      <c r="K99" t="n">
        <v>0</v>
      </c>
      <c r="L99" t="n">
        <v>0</v>
      </c>
      <c r="M99" t="n">
        <v>0</v>
      </c>
      <c r="N99" t="n">
        <v>0</v>
      </c>
      <c r="O99" t="n">
        <v>0</v>
      </c>
      <c r="P99" t="n">
        <v>0</v>
      </c>
      <c r="Q99" t="n">
        <v>1</v>
      </c>
      <c r="R99" s="2" t="inlineStr">
        <is>
          <t>Blåsippa</t>
        </is>
      </c>
      <c r="S99">
        <f>HYPERLINK("https://klasma.github.io/Logging_2083/artfynd/A 48323-2024 artfynd.xlsx", "A 48323-2024")</f>
        <v/>
      </c>
      <c r="T99">
        <f>HYPERLINK("https://klasma.github.io/Logging_2083/kartor/A 48323-2024 karta.png", "A 48323-2024")</f>
        <v/>
      </c>
      <c r="V99">
        <f>HYPERLINK("https://klasma.github.io/Logging_2083/klagomål/A 48323-2024 FSC-klagomål.docx", "A 48323-2024")</f>
        <v/>
      </c>
      <c r="W99">
        <f>HYPERLINK("https://klasma.github.io/Logging_2083/klagomålsmail/A 48323-2024 FSC-klagomål mail.docx", "A 48323-2024")</f>
        <v/>
      </c>
      <c r="X99">
        <f>HYPERLINK("https://klasma.github.io/Logging_2083/tillsyn/A 48323-2024 tillsynsbegäran.docx", "A 48323-2024")</f>
        <v/>
      </c>
      <c r="Y99">
        <f>HYPERLINK("https://klasma.github.io/Logging_2083/tillsynsmail/A 48323-2024 tillsynsbegäran mail.docx", "A 48323-2024")</f>
        <v/>
      </c>
    </row>
    <row r="100" ht="15" customHeight="1">
      <c r="A100" t="inlineStr">
        <is>
          <t>A 52941-2024</t>
        </is>
      </c>
      <c r="B100" s="1" t="n">
        <v>45610</v>
      </c>
      <c r="C100" s="1" t="n">
        <v>45643</v>
      </c>
      <c r="D100" t="inlineStr">
        <is>
          <t>DALARNAS LÄN</t>
        </is>
      </c>
      <c r="E100" t="inlineStr">
        <is>
          <t>HEDEMORA</t>
        </is>
      </c>
      <c r="F100" t="inlineStr">
        <is>
          <t>Sveaskog</t>
        </is>
      </c>
      <c r="G100" t="n">
        <v>18.3</v>
      </c>
      <c r="H100" t="n">
        <v>1</v>
      </c>
      <c r="I100" t="n">
        <v>0</v>
      </c>
      <c r="J100" t="n">
        <v>0</v>
      </c>
      <c r="K100" t="n">
        <v>1</v>
      </c>
      <c r="L100" t="n">
        <v>0</v>
      </c>
      <c r="M100" t="n">
        <v>0</v>
      </c>
      <c r="N100" t="n">
        <v>0</v>
      </c>
      <c r="O100" t="n">
        <v>1</v>
      </c>
      <c r="P100" t="n">
        <v>1</v>
      </c>
      <c r="Q100" t="n">
        <v>1</v>
      </c>
      <c r="R100" s="2" t="inlineStr">
        <is>
          <t>Knärot</t>
        </is>
      </c>
      <c r="S100">
        <f>HYPERLINK("https://klasma.github.io/Logging_2083/artfynd/A 52941-2024 artfynd.xlsx", "A 52941-2024")</f>
        <v/>
      </c>
      <c r="T100">
        <f>HYPERLINK("https://klasma.github.io/Logging_2083/kartor/A 52941-2024 karta.png", "A 52941-2024")</f>
        <v/>
      </c>
      <c r="U100">
        <f>HYPERLINK("https://klasma.github.io/Logging_2083/knärot/A 52941-2024 karta knärot.png", "A 52941-2024")</f>
        <v/>
      </c>
      <c r="V100">
        <f>HYPERLINK("https://klasma.github.io/Logging_2083/klagomål/A 52941-2024 FSC-klagomål.docx", "A 52941-2024")</f>
        <v/>
      </c>
      <c r="W100">
        <f>HYPERLINK("https://klasma.github.io/Logging_2083/klagomålsmail/A 52941-2024 FSC-klagomål mail.docx", "A 52941-2024")</f>
        <v/>
      </c>
      <c r="X100">
        <f>HYPERLINK("https://klasma.github.io/Logging_2083/tillsyn/A 52941-2024 tillsynsbegäran.docx", "A 52941-2024")</f>
        <v/>
      </c>
      <c r="Y100">
        <f>HYPERLINK("https://klasma.github.io/Logging_2083/tillsynsmail/A 52941-2024 tillsynsbegäran mail.docx", "A 52941-2024")</f>
        <v/>
      </c>
    </row>
    <row r="101" ht="15" customHeight="1">
      <c r="A101" t="inlineStr">
        <is>
          <t>A 19016-2019</t>
        </is>
      </c>
      <c r="B101" s="1" t="n">
        <v>43563</v>
      </c>
      <c r="C101" s="1" t="n">
        <v>45643</v>
      </c>
      <c r="D101" t="inlineStr">
        <is>
          <t>DALARNAS LÄN</t>
        </is>
      </c>
      <c r="E101" t="inlineStr">
        <is>
          <t>HEDEMORA</t>
        </is>
      </c>
      <c r="G101" t="n">
        <v>1</v>
      </c>
      <c r="H101" t="n">
        <v>0</v>
      </c>
      <c r="I101" t="n">
        <v>0</v>
      </c>
      <c r="J101" t="n">
        <v>0</v>
      </c>
      <c r="K101" t="n">
        <v>0</v>
      </c>
      <c r="L101" t="n">
        <v>0</v>
      </c>
      <c r="M101" t="n">
        <v>0</v>
      </c>
      <c r="N101" t="n">
        <v>0</v>
      </c>
      <c r="O101" t="n">
        <v>0</v>
      </c>
      <c r="P101" t="n">
        <v>0</v>
      </c>
      <c r="Q101" t="n">
        <v>0</v>
      </c>
      <c r="R101" s="2" t="inlineStr"/>
    </row>
    <row r="102" ht="15" customHeight="1">
      <c r="A102" t="inlineStr">
        <is>
          <t>A 21235-2019</t>
        </is>
      </c>
      <c r="B102" s="1" t="n">
        <v>43579</v>
      </c>
      <c r="C102" s="1" t="n">
        <v>45643</v>
      </c>
      <c r="D102" t="inlineStr">
        <is>
          <t>DALARNAS LÄN</t>
        </is>
      </c>
      <c r="E102" t="inlineStr">
        <is>
          <t>HEDEMORA</t>
        </is>
      </c>
      <c r="G102" t="n">
        <v>3.7</v>
      </c>
      <c r="H102" t="n">
        <v>0</v>
      </c>
      <c r="I102" t="n">
        <v>0</v>
      </c>
      <c r="J102" t="n">
        <v>0</v>
      </c>
      <c r="K102" t="n">
        <v>0</v>
      </c>
      <c r="L102" t="n">
        <v>0</v>
      </c>
      <c r="M102" t="n">
        <v>0</v>
      </c>
      <c r="N102" t="n">
        <v>0</v>
      </c>
      <c r="O102" t="n">
        <v>0</v>
      </c>
      <c r="P102" t="n">
        <v>0</v>
      </c>
      <c r="Q102" t="n">
        <v>0</v>
      </c>
      <c r="R102" s="2" t="inlineStr"/>
    </row>
    <row r="103" ht="15" customHeight="1">
      <c r="A103" t="inlineStr">
        <is>
          <t>A 21212-2019</t>
        </is>
      </c>
      <c r="B103" s="1" t="n">
        <v>43579</v>
      </c>
      <c r="C103" s="1" t="n">
        <v>45643</v>
      </c>
      <c r="D103" t="inlineStr">
        <is>
          <t>DALARNAS LÄN</t>
        </is>
      </c>
      <c r="E103" t="inlineStr">
        <is>
          <t>HEDEMORA</t>
        </is>
      </c>
      <c r="G103" t="n">
        <v>0.9</v>
      </c>
      <c r="H103" t="n">
        <v>0</v>
      </c>
      <c r="I103" t="n">
        <v>0</v>
      </c>
      <c r="J103" t="n">
        <v>0</v>
      </c>
      <c r="K103" t="n">
        <v>0</v>
      </c>
      <c r="L103" t="n">
        <v>0</v>
      </c>
      <c r="M103" t="n">
        <v>0</v>
      </c>
      <c r="N103" t="n">
        <v>0</v>
      </c>
      <c r="O103" t="n">
        <v>0</v>
      </c>
      <c r="P103" t="n">
        <v>0</v>
      </c>
      <c r="Q103" t="n">
        <v>0</v>
      </c>
      <c r="R103" s="2" t="inlineStr"/>
    </row>
    <row r="104" ht="15" customHeight="1">
      <c r="A104" t="inlineStr">
        <is>
          <t>A 22494-2019</t>
        </is>
      </c>
      <c r="B104" s="1" t="n">
        <v>43587</v>
      </c>
      <c r="C104" s="1" t="n">
        <v>45643</v>
      </c>
      <c r="D104" t="inlineStr">
        <is>
          <t>DALARNAS LÄN</t>
        </is>
      </c>
      <c r="E104" t="inlineStr">
        <is>
          <t>HEDEMORA</t>
        </is>
      </c>
      <c r="G104" t="n">
        <v>5.3</v>
      </c>
      <c r="H104" t="n">
        <v>0</v>
      </c>
      <c r="I104" t="n">
        <v>0</v>
      </c>
      <c r="J104" t="n">
        <v>0</v>
      </c>
      <c r="K104" t="n">
        <v>0</v>
      </c>
      <c r="L104" t="n">
        <v>0</v>
      </c>
      <c r="M104" t="n">
        <v>0</v>
      </c>
      <c r="N104" t="n">
        <v>0</v>
      </c>
      <c r="O104" t="n">
        <v>0</v>
      </c>
      <c r="P104" t="n">
        <v>0</v>
      </c>
      <c r="Q104" t="n">
        <v>0</v>
      </c>
      <c r="R104" s="2" t="inlineStr"/>
    </row>
    <row r="105" ht="15" customHeight="1">
      <c r="A105" t="inlineStr">
        <is>
          <t>A 22810-2019</t>
        </is>
      </c>
      <c r="B105" s="1" t="n">
        <v>43590</v>
      </c>
      <c r="C105" s="1" t="n">
        <v>45643</v>
      </c>
      <c r="D105" t="inlineStr">
        <is>
          <t>DALARNAS LÄN</t>
        </is>
      </c>
      <c r="E105" t="inlineStr">
        <is>
          <t>HEDEMORA</t>
        </is>
      </c>
      <c r="G105" t="n">
        <v>0.5</v>
      </c>
      <c r="H105" t="n">
        <v>0</v>
      </c>
      <c r="I105" t="n">
        <v>0</v>
      </c>
      <c r="J105" t="n">
        <v>0</v>
      </c>
      <c r="K105" t="n">
        <v>0</v>
      </c>
      <c r="L105" t="n">
        <v>0</v>
      </c>
      <c r="M105" t="n">
        <v>0</v>
      </c>
      <c r="N105" t="n">
        <v>0</v>
      </c>
      <c r="O105" t="n">
        <v>0</v>
      </c>
      <c r="P105" t="n">
        <v>0</v>
      </c>
      <c r="Q105" t="n">
        <v>0</v>
      </c>
      <c r="R105" s="2" t="inlineStr"/>
    </row>
    <row r="106" ht="15" customHeight="1">
      <c r="A106" t="inlineStr">
        <is>
          <t>A 23492-2019</t>
        </is>
      </c>
      <c r="B106" s="1" t="n">
        <v>43594</v>
      </c>
      <c r="C106" s="1" t="n">
        <v>45643</v>
      </c>
      <c r="D106" t="inlineStr">
        <is>
          <t>DALARNAS LÄN</t>
        </is>
      </c>
      <c r="E106" t="inlineStr">
        <is>
          <t>HEDEMORA</t>
        </is>
      </c>
      <c r="G106" t="n">
        <v>3.2</v>
      </c>
      <c r="H106" t="n">
        <v>0</v>
      </c>
      <c r="I106" t="n">
        <v>0</v>
      </c>
      <c r="J106" t="n">
        <v>0</v>
      </c>
      <c r="K106" t="n">
        <v>0</v>
      </c>
      <c r="L106" t="n">
        <v>0</v>
      </c>
      <c r="M106" t="n">
        <v>0</v>
      </c>
      <c r="N106" t="n">
        <v>0</v>
      </c>
      <c r="O106" t="n">
        <v>0</v>
      </c>
      <c r="P106" t="n">
        <v>0</v>
      </c>
      <c r="Q106" t="n">
        <v>0</v>
      </c>
      <c r="R106" s="2" t="inlineStr"/>
    </row>
    <row r="107" ht="15" customHeight="1">
      <c r="A107" t="inlineStr">
        <is>
          <t>A 23804-2019</t>
        </is>
      </c>
      <c r="B107" s="1" t="n">
        <v>43595</v>
      </c>
      <c r="C107" s="1" t="n">
        <v>45643</v>
      </c>
      <c r="D107" t="inlineStr">
        <is>
          <t>DALARNAS LÄN</t>
        </is>
      </c>
      <c r="E107" t="inlineStr">
        <is>
          <t>HEDEMORA</t>
        </is>
      </c>
      <c r="G107" t="n">
        <v>1.3</v>
      </c>
      <c r="H107" t="n">
        <v>0</v>
      </c>
      <c r="I107" t="n">
        <v>0</v>
      </c>
      <c r="J107" t="n">
        <v>0</v>
      </c>
      <c r="K107" t="n">
        <v>0</v>
      </c>
      <c r="L107" t="n">
        <v>0</v>
      </c>
      <c r="M107" t="n">
        <v>0</v>
      </c>
      <c r="N107" t="n">
        <v>0</v>
      </c>
      <c r="O107" t="n">
        <v>0</v>
      </c>
      <c r="P107" t="n">
        <v>0</v>
      </c>
      <c r="Q107" t="n">
        <v>0</v>
      </c>
      <c r="R107" s="2" t="inlineStr"/>
    </row>
    <row r="108" ht="15" customHeight="1">
      <c r="A108" t="inlineStr">
        <is>
          <t>A 23808-2019</t>
        </is>
      </c>
      <c r="B108" s="1" t="n">
        <v>43595</v>
      </c>
      <c r="C108" s="1" t="n">
        <v>45643</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24904-2019</t>
        </is>
      </c>
      <c r="B109" s="1" t="n">
        <v>43602</v>
      </c>
      <c r="C109" s="1" t="n">
        <v>45643</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26162-2019</t>
        </is>
      </c>
      <c r="B110" s="1" t="n">
        <v>43609</v>
      </c>
      <c r="C110" s="1" t="n">
        <v>45643</v>
      </c>
      <c r="D110" t="inlineStr">
        <is>
          <t>DALARNAS LÄN</t>
        </is>
      </c>
      <c r="E110" t="inlineStr">
        <is>
          <t>HEDEMORA</t>
        </is>
      </c>
      <c r="F110" t="inlineStr">
        <is>
          <t>Sveaskog</t>
        </is>
      </c>
      <c r="G110" t="n">
        <v>12.8</v>
      </c>
      <c r="H110" t="n">
        <v>0</v>
      </c>
      <c r="I110" t="n">
        <v>0</v>
      </c>
      <c r="J110" t="n">
        <v>0</v>
      </c>
      <c r="K110" t="n">
        <v>0</v>
      </c>
      <c r="L110" t="n">
        <v>0</v>
      </c>
      <c r="M110" t="n">
        <v>0</v>
      </c>
      <c r="N110" t="n">
        <v>0</v>
      </c>
      <c r="O110" t="n">
        <v>0</v>
      </c>
      <c r="P110" t="n">
        <v>0</v>
      </c>
      <c r="Q110" t="n">
        <v>0</v>
      </c>
      <c r="R110" s="2" t="inlineStr"/>
    </row>
    <row r="111" ht="15" customHeight="1">
      <c r="A111" t="inlineStr">
        <is>
          <t>A 26167-2019</t>
        </is>
      </c>
      <c r="B111" s="1" t="n">
        <v>43609</v>
      </c>
      <c r="C111" s="1" t="n">
        <v>45643</v>
      </c>
      <c r="D111" t="inlineStr">
        <is>
          <t>DALARNAS LÄN</t>
        </is>
      </c>
      <c r="E111" t="inlineStr">
        <is>
          <t>HEDEMORA</t>
        </is>
      </c>
      <c r="F111" t="inlineStr">
        <is>
          <t>Sveaskog</t>
        </is>
      </c>
      <c r="G111" t="n">
        <v>7</v>
      </c>
      <c r="H111" t="n">
        <v>0</v>
      </c>
      <c r="I111" t="n">
        <v>0</v>
      </c>
      <c r="J111" t="n">
        <v>0</v>
      </c>
      <c r="K111" t="n">
        <v>0</v>
      </c>
      <c r="L111" t="n">
        <v>0</v>
      </c>
      <c r="M111" t="n">
        <v>0</v>
      </c>
      <c r="N111" t="n">
        <v>0</v>
      </c>
      <c r="O111" t="n">
        <v>0</v>
      </c>
      <c r="P111" t="n">
        <v>0</v>
      </c>
      <c r="Q111" t="n">
        <v>0</v>
      </c>
      <c r="R111" s="2" t="inlineStr"/>
    </row>
    <row r="112" ht="15" customHeight="1">
      <c r="A112" t="inlineStr">
        <is>
          <t>A 27393-2019</t>
        </is>
      </c>
      <c r="B112" s="1" t="n">
        <v>43616</v>
      </c>
      <c r="C112" s="1" t="n">
        <v>45643</v>
      </c>
      <c r="D112" t="inlineStr">
        <is>
          <t>DALARNAS LÄN</t>
        </is>
      </c>
      <c r="E112" t="inlineStr">
        <is>
          <t>HEDEMORA</t>
        </is>
      </c>
      <c r="G112" t="n">
        <v>1.4</v>
      </c>
      <c r="H112" t="n">
        <v>0</v>
      </c>
      <c r="I112" t="n">
        <v>0</v>
      </c>
      <c r="J112" t="n">
        <v>0</v>
      </c>
      <c r="K112" t="n">
        <v>0</v>
      </c>
      <c r="L112" t="n">
        <v>0</v>
      </c>
      <c r="M112" t="n">
        <v>0</v>
      </c>
      <c r="N112" t="n">
        <v>0</v>
      </c>
      <c r="O112" t="n">
        <v>0</v>
      </c>
      <c r="P112" t="n">
        <v>0</v>
      </c>
      <c r="Q112" t="n">
        <v>0</v>
      </c>
      <c r="R112" s="2" t="inlineStr"/>
    </row>
    <row r="113" ht="15" customHeight="1">
      <c r="A113" t="inlineStr">
        <is>
          <t>A 27949-2019</t>
        </is>
      </c>
      <c r="B113" s="1" t="n">
        <v>43620</v>
      </c>
      <c r="C113" s="1" t="n">
        <v>45643</v>
      </c>
      <c r="D113" t="inlineStr">
        <is>
          <t>DALARNAS LÄN</t>
        </is>
      </c>
      <c r="E113" t="inlineStr">
        <is>
          <t>HEDEMORA</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28696-2019</t>
        </is>
      </c>
      <c r="B114" s="1" t="n">
        <v>43627</v>
      </c>
      <c r="C114" s="1" t="n">
        <v>45643</v>
      </c>
      <c r="D114" t="inlineStr">
        <is>
          <t>DALARNAS LÄN</t>
        </is>
      </c>
      <c r="E114" t="inlineStr">
        <is>
          <t>HEDEMORA</t>
        </is>
      </c>
      <c r="G114" t="n">
        <v>3.2</v>
      </c>
      <c r="H114" t="n">
        <v>0</v>
      </c>
      <c r="I114" t="n">
        <v>0</v>
      </c>
      <c r="J114" t="n">
        <v>0</v>
      </c>
      <c r="K114" t="n">
        <v>0</v>
      </c>
      <c r="L114" t="n">
        <v>0</v>
      </c>
      <c r="M114" t="n">
        <v>0</v>
      </c>
      <c r="N114" t="n">
        <v>0</v>
      </c>
      <c r="O114" t="n">
        <v>0</v>
      </c>
      <c r="P114" t="n">
        <v>0</v>
      </c>
      <c r="Q114" t="n">
        <v>0</v>
      </c>
      <c r="R114" s="2" t="inlineStr"/>
    </row>
    <row r="115" ht="15" customHeight="1">
      <c r="A115" t="inlineStr">
        <is>
          <t>A 30497-2019</t>
        </is>
      </c>
      <c r="B115" s="1" t="n">
        <v>43635</v>
      </c>
      <c r="C115" s="1" t="n">
        <v>45643</v>
      </c>
      <c r="D115" t="inlineStr">
        <is>
          <t>DALARNAS LÄN</t>
        </is>
      </c>
      <c r="E115" t="inlineStr">
        <is>
          <t>HEDEMORA</t>
        </is>
      </c>
      <c r="G115" t="n">
        <v>2.2</v>
      </c>
      <c r="H115" t="n">
        <v>0</v>
      </c>
      <c r="I115" t="n">
        <v>0</v>
      </c>
      <c r="J115" t="n">
        <v>0</v>
      </c>
      <c r="K115" t="n">
        <v>0</v>
      </c>
      <c r="L115" t="n">
        <v>0</v>
      </c>
      <c r="M115" t="n">
        <v>0</v>
      </c>
      <c r="N115" t="n">
        <v>0</v>
      </c>
      <c r="O115" t="n">
        <v>0</v>
      </c>
      <c r="P115" t="n">
        <v>0</v>
      </c>
      <c r="Q115" t="n">
        <v>0</v>
      </c>
      <c r="R115" s="2" t="inlineStr"/>
    </row>
    <row r="116" ht="15" customHeight="1">
      <c r="A116" t="inlineStr">
        <is>
          <t>A 30687-2019</t>
        </is>
      </c>
      <c r="B116" s="1" t="n">
        <v>43636</v>
      </c>
      <c r="C116" s="1" t="n">
        <v>45643</v>
      </c>
      <c r="D116" t="inlineStr">
        <is>
          <t>DALARNAS LÄN</t>
        </is>
      </c>
      <c r="E116" t="inlineStr">
        <is>
          <t>HEDEMORA</t>
        </is>
      </c>
      <c r="G116" t="n">
        <v>0.6</v>
      </c>
      <c r="H116" t="n">
        <v>0</v>
      </c>
      <c r="I116" t="n">
        <v>0</v>
      </c>
      <c r="J116" t="n">
        <v>0</v>
      </c>
      <c r="K116" t="n">
        <v>0</v>
      </c>
      <c r="L116" t="n">
        <v>0</v>
      </c>
      <c r="M116" t="n">
        <v>0</v>
      </c>
      <c r="N116" t="n">
        <v>0</v>
      </c>
      <c r="O116" t="n">
        <v>0</v>
      </c>
      <c r="P116" t="n">
        <v>0</v>
      </c>
      <c r="Q116" t="n">
        <v>0</v>
      </c>
      <c r="R116" s="2" t="inlineStr"/>
    </row>
    <row r="117" ht="15" customHeight="1">
      <c r="A117" t="inlineStr">
        <is>
          <t>A 34027-2019</t>
        </is>
      </c>
      <c r="B117" s="1" t="n">
        <v>43654</v>
      </c>
      <c r="C117" s="1" t="n">
        <v>45643</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35855-2019</t>
        </is>
      </c>
      <c r="B118" s="1" t="n">
        <v>43665</v>
      </c>
      <c r="C118" s="1" t="n">
        <v>45643</v>
      </c>
      <c r="D118" t="inlineStr">
        <is>
          <t>DALARNAS LÄN</t>
        </is>
      </c>
      <c r="E118" t="inlineStr">
        <is>
          <t>HEDEMORA</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40919-2019</t>
        </is>
      </c>
      <c r="B119" s="1" t="n">
        <v>43697</v>
      </c>
      <c r="C119" s="1" t="n">
        <v>45643</v>
      </c>
      <c r="D119" t="inlineStr">
        <is>
          <t>DALARNAS LÄN</t>
        </is>
      </c>
      <c r="E119" t="inlineStr">
        <is>
          <t>HEDEMORA</t>
        </is>
      </c>
      <c r="G119" t="n">
        <v>2.1</v>
      </c>
      <c r="H119" t="n">
        <v>0</v>
      </c>
      <c r="I119" t="n">
        <v>0</v>
      </c>
      <c r="J119" t="n">
        <v>0</v>
      </c>
      <c r="K119" t="n">
        <v>0</v>
      </c>
      <c r="L119" t="n">
        <v>0</v>
      </c>
      <c r="M119" t="n">
        <v>0</v>
      </c>
      <c r="N119" t="n">
        <v>0</v>
      </c>
      <c r="O119" t="n">
        <v>0</v>
      </c>
      <c r="P119" t="n">
        <v>0</v>
      </c>
      <c r="Q119" t="n">
        <v>0</v>
      </c>
      <c r="R119" s="2" t="inlineStr"/>
    </row>
    <row r="120" ht="15" customHeight="1">
      <c r="A120" t="inlineStr">
        <is>
          <t>A 41399-2019</t>
        </is>
      </c>
      <c r="B120" s="1" t="n">
        <v>43698</v>
      </c>
      <c r="C120" s="1" t="n">
        <v>45643</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43530-2019</t>
        </is>
      </c>
      <c r="B121" s="1" t="n">
        <v>43706</v>
      </c>
      <c r="C121" s="1" t="n">
        <v>45643</v>
      </c>
      <c r="D121" t="inlineStr">
        <is>
          <t>DALARNAS LÄN</t>
        </is>
      </c>
      <c r="E121" t="inlineStr">
        <is>
          <t>HEDEMORA</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46775-2019</t>
        </is>
      </c>
      <c r="B122" s="1" t="n">
        <v>43720</v>
      </c>
      <c r="C122" s="1" t="n">
        <v>45643</v>
      </c>
      <c r="D122" t="inlineStr">
        <is>
          <t>DALARNAS LÄN</t>
        </is>
      </c>
      <c r="E122" t="inlineStr">
        <is>
          <t>HEDEMORA</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46795-2019</t>
        </is>
      </c>
      <c r="B123" s="1" t="n">
        <v>43720</v>
      </c>
      <c r="C123" s="1" t="n">
        <v>45643</v>
      </c>
      <c r="D123" t="inlineStr">
        <is>
          <t>DALARNAS LÄN</t>
        </is>
      </c>
      <c r="E123" t="inlineStr">
        <is>
          <t>HEDEMORA</t>
        </is>
      </c>
      <c r="F123" t="inlineStr">
        <is>
          <t>Sveaskog</t>
        </is>
      </c>
      <c r="G123" t="n">
        <v>0.9</v>
      </c>
      <c r="H123" t="n">
        <v>0</v>
      </c>
      <c r="I123" t="n">
        <v>0</v>
      </c>
      <c r="J123" t="n">
        <v>0</v>
      </c>
      <c r="K123" t="n">
        <v>0</v>
      </c>
      <c r="L123" t="n">
        <v>0</v>
      </c>
      <c r="M123" t="n">
        <v>0</v>
      </c>
      <c r="N123" t="n">
        <v>0</v>
      </c>
      <c r="O123" t="n">
        <v>0</v>
      </c>
      <c r="P123" t="n">
        <v>0</v>
      </c>
      <c r="Q123" t="n">
        <v>0</v>
      </c>
      <c r="R123" s="2" t="inlineStr"/>
    </row>
    <row r="124" ht="15" customHeight="1">
      <c r="A124" t="inlineStr">
        <is>
          <t>A 47882-2019</t>
        </is>
      </c>
      <c r="B124" s="1" t="n">
        <v>43725</v>
      </c>
      <c r="C124" s="1" t="n">
        <v>45643</v>
      </c>
      <c r="D124" t="inlineStr">
        <is>
          <t>DALARNAS LÄN</t>
        </is>
      </c>
      <c r="E124" t="inlineStr">
        <is>
          <t>HEDEMORA</t>
        </is>
      </c>
      <c r="F124" t="inlineStr">
        <is>
          <t>Sveaskog</t>
        </is>
      </c>
      <c r="G124" t="n">
        <v>4.7</v>
      </c>
      <c r="H124" t="n">
        <v>0</v>
      </c>
      <c r="I124" t="n">
        <v>0</v>
      </c>
      <c r="J124" t="n">
        <v>0</v>
      </c>
      <c r="K124" t="n">
        <v>0</v>
      </c>
      <c r="L124" t="n">
        <v>0</v>
      </c>
      <c r="M124" t="n">
        <v>0</v>
      </c>
      <c r="N124" t="n">
        <v>0</v>
      </c>
      <c r="O124" t="n">
        <v>0</v>
      </c>
      <c r="P124" t="n">
        <v>0</v>
      </c>
      <c r="Q124" t="n">
        <v>0</v>
      </c>
      <c r="R124" s="2" t="inlineStr"/>
    </row>
    <row r="125" ht="15" customHeight="1">
      <c r="A125" t="inlineStr">
        <is>
          <t>A 49197-2019</t>
        </is>
      </c>
      <c r="B125" s="1" t="n">
        <v>43731</v>
      </c>
      <c r="C125" s="1" t="n">
        <v>45643</v>
      </c>
      <c r="D125" t="inlineStr">
        <is>
          <t>DALARNAS LÄN</t>
        </is>
      </c>
      <c r="E125" t="inlineStr">
        <is>
          <t>HEDEMORA</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49300-2019</t>
        </is>
      </c>
      <c r="B126" s="1" t="n">
        <v>43731</v>
      </c>
      <c r="C126" s="1" t="n">
        <v>45643</v>
      </c>
      <c r="D126" t="inlineStr">
        <is>
          <t>DALARNAS LÄN</t>
        </is>
      </c>
      <c r="E126" t="inlineStr">
        <is>
          <t>HEDEMORA</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49324-2019</t>
        </is>
      </c>
      <c r="B127" s="1" t="n">
        <v>43731</v>
      </c>
      <c r="C127" s="1" t="n">
        <v>45643</v>
      </c>
      <c r="D127" t="inlineStr">
        <is>
          <t>DALARNAS LÄN</t>
        </is>
      </c>
      <c r="E127" t="inlineStr">
        <is>
          <t>HEDEMORA</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50183-2019</t>
        </is>
      </c>
      <c r="B128" s="1" t="n">
        <v>43734</v>
      </c>
      <c r="C128" s="1" t="n">
        <v>45643</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51877-2019</t>
        </is>
      </c>
      <c r="B129" s="1" t="n">
        <v>43741</v>
      </c>
      <c r="C129" s="1" t="n">
        <v>45643</v>
      </c>
      <c r="D129" t="inlineStr">
        <is>
          <t>DALARNAS LÄN</t>
        </is>
      </c>
      <c r="E129" t="inlineStr">
        <is>
          <t>HEDEMORA</t>
        </is>
      </c>
      <c r="G129" t="n">
        <v>3.3</v>
      </c>
      <c r="H129" t="n">
        <v>0</v>
      </c>
      <c r="I129" t="n">
        <v>0</v>
      </c>
      <c r="J129" t="n">
        <v>0</v>
      </c>
      <c r="K129" t="n">
        <v>0</v>
      </c>
      <c r="L129" t="n">
        <v>0</v>
      </c>
      <c r="M129" t="n">
        <v>0</v>
      </c>
      <c r="N129" t="n">
        <v>0</v>
      </c>
      <c r="O129" t="n">
        <v>0</v>
      </c>
      <c r="P129" t="n">
        <v>0</v>
      </c>
      <c r="Q129" t="n">
        <v>0</v>
      </c>
      <c r="R129" s="2" t="inlineStr"/>
    </row>
    <row r="130" ht="15" customHeight="1">
      <c r="A130" t="inlineStr">
        <is>
          <t>A 53323-2019</t>
        </is>
      </c>
      <c r="B130" s="1" t="n">
        <v>43748</v>
      </c>
      <c r="C130" s="1" t="n">
        <v>45643</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54358-2019</t>
        </is>
      </c>
      <c r="B131" s="1" t="n">
        <v>43754</v>
      </c>
      <c r="C131" s="1" t="n">
        <v>45643</v>
      </c>
      <c r="D131" t="inlineStr">
        <is>
          <t>DALARNAS LÄN</t>
        </is>
      </c>
      <c r="E131" t="inlineStr">
        <is>
          <t>HEDEMORA</t>
        </is>
      </c>
      <c r="G131" t="n">
        <v>5.2</v>
      </c>
      <c r="H131" t="n">
        <v>0</v>
      </c>
      <c r="I131" t="n">
        <v>0</v>
      </c>
      <c r="J131" t="n">
        <v>0</v>
      </c>
      <c r="K131" t="n">
        <v>0</v>
      </c>
      <c r="L131" t="n">
        <v>0</v>
      </c>
      <c r="M131" t="n">
        <v>0</v>
      </c>
      <c r="N131" t="n">
        <v>0</v>
      </c>
      <c r="O131" t="n">
        <v>0</v>
      </c>
      <c r="P131" t="n">
        <v>0</v>
      </c>
      <c r="Q131" t="n">
        <v>0</v>
      </c>
      <c r="R131" s="2" t="inlineStr"/>
    </row>
    <row r="132" ht="15" customHeight="1">
      <c r="A132" t="inlineStr">
        <is>
          <t>A 60139-2019</t>
        </is>
      </c>
      <c r="B132" s="1" t="n">
        <v>43779</v>
      </c>
      <c r="C132" s="1" t="n">
        <v>45643</v>
      </c>
      <c r="D132" t="inlineStr">
        <is>
          <t>DALARNAS LÄN</t>
        </is>
      </c>
      <c r="E132" t="inlineStr">
        <is>
          <t>HEDEMORA</t>
        </is>
      </c>
      <c r="G132" t="n">
        <v>3.6</v>
      </c>
      <c r="H132" t="n">
        <v>0</v>
      </c>
      <c r="I132" t="n">
        <v>0</v>
      </c>
      <c r="J132" t="n">
        <v>0</v>
      </c>
      <c r="K132" t="n">
        <v>0</v>
      </c>
      <c r="L132" t="n">
        <v>0</v>
      </c>
      <c r="M132" t="n">
        <v>0</v>
      </c>
      <c r="N132" t="n">
        <v>0</v>
      </c>
      <c r="O132" t="n">
        <v>0</v>
      </c>
      <c r="P132" t="n">
        <v>0</v>
      </c>
      <c r="Q132" t="n">
        <v>0</v>
      </c>
      <c r="R132" s="2" t="inlineStr"/>
    </row>
    <row r="133" ht="15" customHeight="1">
      <c r="A133" t="inlineStr">
        <is>
          <t>A 60319-2019</t>
        </is>
      </c>
      <c r="B133" s="1" t="n">
        <v>43780</v>
      </c>
      <c r="C133" s="1" t="n">
        <v>45643</v>
      </c>
      <c r="D133" t="inlineStr">
        <is>
          <t>DALARNAS LÄN</t>
        </is>
      </c>
      <c r="E133" t="inlineStr">
        <is>
          <t>HEDEMORA</t>
        </is>
      </c>
      <c r="F133" t="inlineStr">
        <is>
          <t>Bergvik skog väst AB</t>
        </is>
      </c>
      <c r="G133" t="n">
        <v>2.5</v>
      </c>
      <c r="H133" t="n">
        <v>0</v>
      </c>
      <c r="I133" t="n">
        <v>0</v>
      </c>
      <c r="J133" t="n">
        <v>0</v>
      </c>
      <c r="K133" t="n">
        <v>0</v>
      </c>
      <c r="L133" t="n">
        <v>0</v>
      </c>
      <c r="M133" t="n">
        <v>0</v>
      </c>
      <c r="N133" t="n">
        <v>0</v>
      </c>
      <c r="O133" t="n">
        <v>0</v>
      </c>
      <c r="P133" t="n">
        <v>0</v>
      </c>
      <c r="Q133" t="n">
        <v>0</v>
      </c>
      <c r="R133" s="2" t="inlineStr"/>
    </row>
    <row r="134" ht="15" customHeight="1">
      <c r="A134" t="inlineStr">
        <is>
          <t>A 60318-2019</t>
        </is>
      </c>
      <c r="B134" s="1" t="n">
        <v>43780</v>
      </c>
      <c r="C134" s="1" t="n">
        <v>45643</v>
      </c>
      <c r="D134" t="inlineStr">
        <is>
          <t>DALARNAS LÄN</t>
        </is>
      </c>
      <c r="E134" t="inlineStr">
        <is>
          <t>HEDEMORA</t>
        </is>
      </c>
      <c r="F134" t="inlineStr">
        <is>
          <t>Bergvik skog väst AB</t>
        </is>
      </c>
      <c r="G134" t="n">
        <v>1.6</v>
      </c>
      <c r="H134" t="n">
        <v>0</v>
      </c>
      <c r="I134" t="n">
        <v>0</v>
      </c>
      <c r="J134" t="n">
        <v>0</v>
      </c>
      <c r="K134" t="n">
        <v>0</v>
      </c>
      <c r="L134" t="n">
        <v>0</v>
      </c>
      <c r="M134" t="n">
        <v>0</v>
      </c>
      <c r="N134" t="n">
        <v>0</v>
      </c>
      <c r="O134" t="n">
        <v>0</v>
      </c>
      <c r="P134" t="n">
        <v>0</v>
      </c>
      <c r="Q134" t="n">
        <v>0</v>
      </c>
      <c r="R134" s="2" t="inlineStr"/>
    </row>
    <row r="135" ht="15" customHeight="1">
      <c r="A135" t="inlineStr">
        <is>
          <t>A 60461-2019</t>
        </is>
      </c>
      <c r="B135" s="1" t="n">
        <v>43780</v>
      </c>
      <c r="C135" s="1" t="n">
        <v>45643</v>
      </c>
      <c r="D135" t="inlineStr">
        <is>
          <t>DALARNAS LÄN</t>
        </is>
      </c>
      <c r="E135" t="inlineStr">
        <is>
          <t>HEDEMORA</t>
        </is>
      </c>
      <c r="G135" t="n">
        <v>2.8</v>
      </c>
      <c r="H135" t="n">
        <v>0</v>
      </c>
      <c r="I135" t="n">
        <v>0</v>
      </c>
      <c r="J135" t="n">
        <v>0</v>
      </c>
      <c r="K135" t="n">
        <v>0</v>
      </c>
      <c r="L135" t="n">
        <v>0</v>
      </c>
      <c r="M135" t="n">
        <v>0</v>
      </c>
      <c r="N135" t="n">
        <v>0</v>
      </c>
      <c r="O135" t="n">
        <v>0</v>
      </c>
      <c r="P135" t="n">
        <v>0</v>
      </c>
      <c r="Q135" t="n">
        <v>0</v>
      </c>
      <c r="R135" s="2" t="inlineStr"/>
    </row>
    <row r="136" ht="15" customHeight="1">
      <c r="A136" t="inlineStr">
        <is>
          <t>A 60543-2019</t>
        </is>
      </c>
      <c r="B136" s="1" t="n">
        <v>43781</v>
      </c>
      <c r="C136" s="1" t="n">
        <v>45643</v>
      </c>
      <c r="D136" t="inlineStr">
        <is>
          <t>DALARNAS LÄN</t>
        </is>
      </c>
      <c r="E136" t="inlineStr">
        <is>
          <t>HEDEMORA</t>
        </is>
      </c>
      <c r="G136" t="n">
        <v>4.6</v>
      </c>
      <c r="H136" t="n">
        <v>0</v>
      </c>
      <c r="I136" t="n">
        <v>0</v>
      </c>
      <c r="J136" t="n">
        <v>0</v>
      </c>
      <c r="K136" t="n">
        <v>0</v>
      </c>
      <c r="L136" t="n">
        <v>0</v>
      </c>
      <c r="M136" t="n">
        <v>0</v>
      </c>
      <c r="N136" t="n">
        <v>0</v>
      </c>
      <c r="O136" t="n">
        <v>0</v>
      </c>
      <c r="P136" t="n">
        <v>0</v>
      </c>
      <c r="Q136" t="n">
        <v>0</v>
      </c>
      <c r="R136" s="2" t="inlineStr"/>
    </row>
    <row r="137" ht="15" customHeight="1">
      <c r="A137" t="inlineStr">
        <is>
          <t>A 60529-2019</t>
        </is>
      </c>
      <c r="B137" s="1" t="n">
        <v>43781</v>
      </c>
      <c r="C137" s="1" t="n">
        <v>45643</v>
      </c>
      <c r="D137" t="inlineStr">
        <is>
          <t>DALARNAS LÄN</t>
        </is>
      </c>
      <c r="E137" t="inlineStr">
        <is>
          <t>HEDEMORA</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60556-2019</t>
        </is>
      </c>
      <c r="B138" s="1" t="n">
        <v>43781</v>
      </c>
      <c r="C138" s="1" t="n">
        <v>45643</v>
      </c>
      <c r="D138" t="inlineStr">
        <is>
          <t>DALARNAS LÄN</t>
        </is>
      </c>
      <c r="E138" t="inlineStr">
        <is>
          <t>HEDEMORA</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61007-2019</t>
        </is>
      </c>
      <c r="B139" s="1" t="n">
        <v>43782</v>
      </c>
      <c r="C139" s="1" t="n">
        <v>45643</v>
      </c>
      <c r="D139" t="inlineStr">
        <is>
          <t>DALARNAS LÄN</t>
        </is>
      </c>
      <c r="E139" t="inlineStr">
        <is>
          <t>HEDEMORA</t>
        </is>
      </c>
      <c r="G139" t="n">
        <v>0.8</v>
      </c>
      <c r="H139" t="n">
        <v>0</v>
      </c>
      <c r="I139" t="n">
        <v>0</v>
      </c>
      <c r="J139" t="n">
        <v>0</v>
      </c>
      <c r="K139" t="n">
        <v>0</v>
      </c>
      <c r="L139" t="n">
        <v>0</v>
      </c>
      <c r="M139" t="n">
        <v>0</v>
      </c>
      <c r="N139" t="n">
        <v>0</v>
      </c>
      <c r="O139" t="n">
        <v>0</v>
      </c>
      <c r="P139" t="n">
        <v>0</v>
      </c>
      <c r="Q139" t="n">
        <v>0</v>
      </c>
      <c r="R139" s="2" t="inlineStr"/>
    </row>
    <row r="140" ht="15" customHeight="1">
      <c r="A140" t="inlineStr">
        <is>
          <t>A 61382-2019</t>
        </is>
      </c>
      <c r="B140" s="1" t="n">
        <v>43783</v>
      </c>
      <c r="C140" s="1" t="n">
        <v>45643</v>
      </c>
      <c r="D140" t="inlineStr">
        <is>
          <t>DALARNAS LÄN</t>
        </is>
      </c>
      <c r="E140" t="inlineStr">
        <is>
          <t>HEDEMORA</t>
        </is>
      </c>
      <c r="G140" t="n">
        <v>1.8</v>
      </c>
      <c r="H140" t="n">
        <v>0</v>
      </c>
      <c r="I140" t="n">
        <v>0</v>
      </c>
      <c r="J140" t="n">
        <v>0</v>
      </c>
      <c r="K140" t="n">
        <v>0</v>
      </c>
      <c r="L140" t="n">
        <v>0</v>
      </c>
      <c r="M140" t="n">
        <v>0</v>
      </c>
      <c r="N140" t="n">
        <v>0</v>
      </c>
      <c r="O140" t="n">
        <v>0</v>
      </c>
      <c r="P140" t="n">
        <v>0</v>
      </c>
      <c r="Q140" t="n">
        <v>0</v>
      </c>
      <c r="R140" s="2" t="inlineStr"/>
    </row>
    <row r="141" ht="15" customHeight="1">
      <c r="A141" t="inlineStr">
        <is>
          <t>A 63101-2019</t>
        </is>
      </c>
      <c r="B141" s="1" t="n">
        <v>43791</v>
      </c>
      <c r="C141" s="1" t="n">
        <v>45643</v>
      </c>
      <c r="D141" t="inlineStr">
        <is>
          <t>DALARNAS LÄN</t>
        </is>
      </c>
      <c r="E141" t="inlineStr">
        <is>
          <t>HEDEMORA</t>
        </is>
      </c>
      <c r="F141" t="inlineStr">
        <is>
          <t>Kommuner</t>
        </is>
      </c>
      <c r="G141" t="n">
        <v>3.3</v>
      </c>
      <c r="H141" t="n">
        <v>0</v>
      </c>
      <c r="I141" t="n">
        <v>0</v>
      </c>
      <c r="J141" t="n">
        <v>0</v>
      </c>
      <c r="K141" t="n">
        <v>0</v>
      </c>
      <c r="L141" t="n">
        <v>0</v>
      </c>
      <c r="M141" t="n">
        <v>0</v>
      </c>
      <c r="N141" t="n">
        <v>0</v>
      </c>
      <c r="O141" t="n">
        <v>0</v>
      </c>
      <c r="P141" t="n">
        <v>0</v>
      </c>
      <c r="Q141" t="n">
        <v>0</v>
      </c>
      <c r="R141" s="2" t="inlineStr"/>
    </row>
    <row r="142" ht="15" customHeight="1">
      <c r="A142" t="inlineStr">
        <is>
          <t>A 65308-2019</t>
        </is>
      </c>
      <c r="B142" s="1" t="n">
        <v>43802</v>
      </c>
      <c r="C142" s="1" t="n">
        <v>45643</v>
      </c>
      <c r="D142" t="inlineStr">
        <is>
          <t>DALARNAS LÄN</t>
        </is>
      </c>
      <c r="E142" t="inlineStr">
        <is>
          <t>HEDEMORA</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65315-2019</t>
        </is>
      </c>
      <c r="B143" s="1" t="n">
        <v>43802</v>
      </c>
      <c r="C143" s="1" t="n">
        <v>45643</v>
      </c>
      <c r="D143" t="inlineStr">
        <is>
          <t>DALARNAS LÄN</t>
        </is>
      </c>
      <c r="E143" t="inlineStr">
        <is>
          <t>HEDEMORA</t>
        </is>
      </c>
      <c r="F143" t="inlineStr">
        <is>
          <t>Sveaskog</t>
        </is>
      </c>
      <c r="G143" t="n">
        <v>2.3</v>
      </c>
      <c r="H143" t="n">
        <v>0</v>
      </c>
      <c r="I143" t="n">
        <v>0</v>
      </c>
      <c r="J143" t="n">
        <v>0</v>
      </c>
      <c r="K143" t="n">
        <v>0</v>
      </c>
      <c r="L143" t="n">
        <v>0</v>
      </c>
      <c r="M143" t="n">
        <v>0</v>
      </c>
      <c r="N143" t="n">
        <v>0</v>
      </c>
      <c r="O143" t="n">
        <v>0</v>
      </c>
      <c r="P143" t="n">
        <v>0</v>
      </c>
      <c r="Q143" t="n">
        <v>0</v>
      </c>
      <c r="R143" s="2" t="inlineStr"/>
    </row>
    <row r="144" ht="15" customHeight="1">
      <c r="A144" t="inlineStr">
        <is>
          <t>A 68856-2019</t>
        </is>
      </c>
      <c r="B144" s="1" t="n">
        <v>43820</v>
      </c>
      <c r="C144" s="1" t="n">
        <v>45643</v>
      </c>
      <c r="D144" t="inlineStr">
        <is>
          <t>DALARNAS LÄN</t>
        </is>
      </c>
      <c r="E144" t="inlineStr">
        <is>
          <t>HEDEMORA</t>
        </is>
      </c>
      <c r="G144" t="n">
        <v>17.6</v>
      </c>
      <c r="H144" t="n">
        <v>0</v>
      </c>
      <c r="I144" t="n">
        <v>0</v>
      </c>
      <c r="J144" t="n">
        <v>0</v>
      </c>
      <c r="K144" t="n">
        <v>0</v>
      </c>
      <c r="L144" t="n">
        <v>0</v>
      </c>
      <c r="M144" t="n">
        <v>0</v>
      </c>
      <c r="N144" t="n">
        <v>0</v>
      </c>
      <c r="O144" t="n">
        <v>0</v>
      </c>
      <c r="P144" t="n">
        <v>0</v>
      </c>
      <c r="Q144" t="n">
        <v>0</v>
      </c>
      <c r="R144" s="2" t="inlineStr"/>
    </row>
    <row r="145" ht="15" customHeight="1">
      <c r="A145" t="inlineStr">
        <is>
          <t>A 1215-2020</t>
        </is>
      </c>
      <c r="B145" s="1" t="n">
        <v>43840</v>
      </c>
      <c r="C145" s="1" t="n">
        <v>45643</v>
      </c>
      <c r="D145" t="inlineStr">
        <is>
          <t>DALARNAS LÄN</t>
        </is>
      </c>
      <c r="E145" t="inlineStr">
        <is>
          <t>HEDEMORA</t>
        </is>
      </c>
      <c r="F145" t="inlineStr">
        <is>
          <t>Sveaskog</t>
        </is>
      </c>
      <c r="G145" t="n">
        <v>7</v>
      </c>
      <c r="H145" t="n">
        <v>0</v>
      </c>
      <c r="I145" t="n">
        <v>0</v>
      </c>
      <c r="J145" t="n">
        <v>0</v>
      </c>
      <c r="K145" t="n">
        <v>0</v>
      </c>
      <c r="L145" t="n">
        <v>0</v>
      </c>
      <c r="M145" t="n">
        <v>0</v>
      </c>
      <c r="N145" t="n">
        <v>0</v>
      </c>
      <c r="O145" t="n">
        <v>0</v>
      </c>
      <c r="P145" t="n">
        <v>0</v>
      </c>
      <c r="Q145" t="n">
        <v>0</v>
      </c>
      <c r="R145" s="2" t="inlineStr"/>
    </row>
    <row r="146" ht="15" customHeight="1">
      <c r="A146" t="inlineStr">
        <is>
          <t>A 2390-2020</t>
        </is>
      </c>
      <c r="B146" s="1" t="n">
        <v>43847</v>
      </c>
      <c r="C146" s="1" t="n">
        <v>45643</v>
      </c>
      <c r="D146" t="inlineStr">
        <is>
          <t>DALARNAS LÄN</t>
        </is>
      </c>
      <c r="E146" t="inlineStr">
        <is>
          <t>HEDEMORA</t>
        </is>
      </c>
      <c r="G146" t="n">
        <v>0.9</v>
      </c>
      <c r="H146" t="n">
        <v>0</v>
      </c>
      <c r="I146" t="n">
        <v>0</v>
      </c>
      <c r="J146" t="n">
        <v>0</v>
      </c>
      <c r="K146" t="n">
        <v>0</v>
      </c>
      <c r="L146" t="n">
        <v>0</v>
      </c>
      <c r="M146" t="n">
        <v>0</v>
      </c>
      <c r="N146" t="n">
        <v>0</v>
      </c>
      <c r="O146" t="n">
        <v>0</v>
      </c>
      <c r="P146" t="n">
        <v>0</v>
      </c>
      <c r="Q146" t="n">
        <v>0</v>
      </c>
      <c r="R146" s="2" t="inlineStr"/>
    </row>
    <row r="147" ht="15" customHeight="1">
      <c r="A147" t="inlineStr">
        <is>
          <t>A 2846-2020</t>
        </is>
      </c>
      <c r="B147" s="1" t="n">
        <v>43850</v>
      </c>
      <c r="C147" s="1" t="n">
        <v>45643</v>
      </c>
      <c r="D147" t="inlineStr">
        <is>
          <t>DALARNAS LÄN</t>
        </is>
      </c>
      <c r="E147" t="inlineStr">
        <is>
          <t>HEDEMORA</t>
        </is>
      </c>
      <c r="G147" t="n">
        <v>4.2</v>
      </c>
      <c r="H147" t="n">
        <v>0</v>
      </c>
      <c r="I147" t="n">
        <v>0</v>
      </c>
      <c r="J147" t="n">
        <v>0</v>
      </c>
      <c r="K147" t="n">
        <v>0</v>
      </c>
      <c r="L147" t="n">
        <v>0</v>
      </c>
      <c r="M147" t="n">
        <v>0</v>
      </c>
      <c r="N147" t="n">
        <v>0</v>
      </c>
      <c r="O147" t="n">
        <v>0</v>
      </c>
      <c r="P147" t="n">
        <v>0</v>
      </c>
      <c r="Q147" t="n">
        <v>0</v>
      </c>
      <c r="R147" s="2" t="inlineStr"/>
    </row>
    <row r="148" ht="15" customHeight="1">
      <c r="A148" t="inlineStr">
        <is>
          <t>A 2915-2020</t>
        </is>
      </c>
      <c r="B148" s="1" t="n">
        <v>43850</v>
      </c>
      <c r="C148" s="1" t="n">
        <v>45643</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3127-2020</t>
        </is>
      </c>
      <c r="B149" s="1" t="n">
        <v>43851</v>
      </c>
      <c r="C149" s="1" t="n">
        <v>45643</v>
      </c>
      <c r="D149" t="inlineStr">
        <is>
          <t>DALARNAS LÄN</t>
        </is>
      </c>
      <c r="E149" t="inlineStr">
        <is>
          <t>HEDEMORA</t>
        </is>
      </c>
      <c r="G149" t="n">
        <v>1.5</v>
      </c>
      <c r="H149" t="n">
        <v>0</v>
      </c>
      <c r="I149" t="n">
        <v>0</v>
      </c>
      <c r="J149" t="n">
        <v>0</v>
      </c>
      <c r="K149" t="n">
        <v>0</v>
      </c>
      <c r="L149" t="n">
        <v>0</v>
      </c>
      <c r="M149" t="n">
        <v>0</v>
      </c>
      <c r="N149" t="n">
        <v>0</v>
      </c>
      <c r="O149" t="n">
        <v>0</v>
      </c>
      <c r="P149" t="n">
        <v>0</v>
      </c>
      <c r="Q149" t="n">
        <v>0</v>
      </c>
      <c r="R149" s="2" t="inlineStr"/>
    </row>
    <row r="150" ht="15" customHeight="1">
      <c r="A150" t="inlineStr">
        <is>
          <t>A 5353-2020</t>
        </is>
      </c>
      <c r="B150" s="1" t="n">
        <v>43860</v>
      </c>
      <c r="C150" s="1" t="n">
        <v>45643</v>
      </c>
      <c r="D150" t="inlineStr">
        <is>
          <t>DALARNAS LÄN</t>
        </is>
      </c>
      <c r="E150" t="inlineStr">
        <is>
          <t>HEDEMORA</t>
        </is>
      </c>
      <c r="G150" t="n">
        <v>2.4</v>
      </c>
      <c r="H150" t="n">
        <v>0</v>
      </c>
      <c r="I150" t="n">
        <v>0</v>
      </c>
      <c r="J150" t="n">
        <v>0</v>
      </c>
      <c r="K150" t="n">
        <v>0</v>
      </c>
      <c r="L150" t="n">
        <v>0</v>
      </c>
      <c r="M150" t="n">
        <v>0</v>
      </c>
      <c r="N150" t="n">
        <v>0</v>
      </c>
      <c r="O150" t="n">
        <v>0</v>
      </c>
      <c r="P150" t="n">
        <v>0</v>
      </c>
      <c r="Q150" t="n">
        <v>0</v>
      </c>
      <c r="R150" s="2" t="inlineStr"/>
    </row>
    <row r="151" ht="15" customHeight="1">
      <c r="A151" t="inlineStr">
        <is>
          <t>A 5752-2020</t>
        </is>
      </c>
      <c r="B151" s="1" t="n">
        <v>43864</v>
      </c>
      <c r="C151" s="1" t="n">
        <v>45643</v>
      </c>
      <c r="D151" t="inlineStr">
        <is>
          <t>DALARNAS LÄN</t>
        </is>
      </c>
      <c r="E151" t="inlineStr">
        <is>
          <t>HEDEMORA</t>
        </is>
      </c>
      <c r="G151" t="n">
        <v>2.6</v>
      </c>
      <c r="H151" t="n">
        <v>0</v>
      </c>
      <c r="I151" t="n">
        <v>0</v>
      </c>
      <c r="J151" t="n">
        <v>0</v>
      </c>
      <c r="K151" t="n">
        <v>0</v>
      </c>
      <c r="L151" t="n">
        <v>0</v>
      </c>
      <c r="M151" t="n">
        <v>0</v>
      </c>
      <c r="N151" t="n">
        <v>0</v>
      </c>
      <c r="O151" t="n">
        <v>0</v>
      </c>
      <c r="P151" t="n">
        <v>0</v>
      </c>
      <c r="Q151" t="n">
        <v>0</v>
      </c>
      <c r="R151" s="2" t="inlineStr"/>
    </row>
    <row r="152" ht="15" customHeight="1">
      <c r="A152" t="inlineStr">
        <is>
          <t>A 5763-2020</t>
        </is>
      </c>
      <c r="B152" s="1" t="n">
        <v>43864</v>
      </c>
      <c r="C152" s="1" t="n">
        <v>45643</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5950-2020</t>
        </is>
      </c>
      <c r="B153" s="1" t="n">
        <v>43864</v>
      </c>
      <c r="C153" s="1" t="n">
        <v>45643</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6795-2020</t>
        </is>
      </c>
      <c r="B154" s="1" t="n">
        <v>43867</v>
      </c>
      <c r="C154" s="1" t="n">
        <v>45643</v>
      </c>
      <c r="D154" t="inlineStr">
        <is>
          <t>DALARNAS LÄN</t>
        </is>
      </c>
      <c r="E154" t="inlineStr">
        <is>
          <t>HEDEMORA</t>
        </is>
      </c>
      <c r="F154" t="inlineStr">
        <is>
          <t>Sveaskog</t>
        </is>
      </c>
      <c r="G154" t="n">
        <v>0.3</v>
      </c>
      <c r="H154" t="n">
        <v>0</v>
      </c>
      <c r="I154" t="n">
        <v>0</v>
      </c>
      <c r="J154" t="n">
        <v>0</v>
      </c>
      <c r="K154" t="n">
        <v>0</v>
      </c>
      <c r="L154" t="n">
        <v>0</v>
      </c>
      <c r="M154" t="n">
        <v>0</v>
      </c>
      <c r="N154" t="n">
        <v>0</v>
      </c>
      <c r="O154" t="n">
        <v>0</v>
      </c>
      <c r="P154" t="n">
        <v>0</v>
      </c>
      <c r="Q154" t="n">
        <v>0</v>
      </c>
      <c r="R154" s="2" t="inlineStr"/>
    </row>
    <row r="155" ht="15" customHeight="1">
      <c r="A155" t="inlineStr">
        <is>
          <t>A 6794-2020</t>
        </is>
      </c>
      <c r="B155" s="1" t="n">
        <v>43867</v>
      </c>
      <c r="C155" s="1" t="n">
        <v>45643</v>
      </c>
      <c r="D155" t="inlineStr">
        <is>
          <t>DALARNAS LÄN</t>
        </is>
      </c>
      <c r="E155" t="inlineStr">
        <is>
          <t>HEDEMORA</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7209-2020</t>
        </is>
      </c>
      <c r="B156" s="1" t="n">
        <v>43871</v>
      </c>
      <c r="C156" s="1" t="n">
        <v>45643</v>
      </c>
      <c r="D156" t="inlineStr">
        <is>
          <t>DALARNAS LÄN</t>
        </is>
      </c>
      <c r="E156" t="inlineStr">
        <is>
          <t>HEDEMORA</t>
        </is>
      </c>
      <c r="G156" t="n">
        <v>1.1</v>
      </c>
      <c r="H156" t="n">
        <v>0</v>
      </c>
      <c r="I156" t="n">
        <v>0</v>
      </c>
      <c r="J156" t="n">
        <v>0</v>
      </c>
      <c r="K156" t="n">
        <v>0</v>
      </c>
      <c r="L156" t="n">
        <v>0</v>
      </c>
      <c r="M156" t="n">
        <v>0</v>
      </c>
      <c r="N156" t="n">
        <v>0</v>
      </c>
      <c r="O156" t="n">
        <v>0</v>
      </c>
      <c r="P156" t="n">
        <v>0</v>
      </c>
      <c r="Q156" t="n">
        <v>0</v>
      </c>
      <c r="R156" s="2" t="inlineStr"/>
    </row>
    <row r="157" ht="15" customHeight="1">
      <c r="A157" t="inlineStr">
        <is>
          <t>A 7434-2020</t>
        </is>
      </c>
      <c r="B157" s="1" t="n">
        <v>43871</v>
      </c>
      <c r="C157" s="1" t="n">
        <v>45643</v>
      </c>
      <c r="D157" t="inlineStr">
        <is>
          <t>DALARNAS LÄN</t>
        </is>
      </c>
      <c r="E157" t="inlineStr">
        <is>
          <t>HEDEMORA</t>
        </is>
      </c>
      <c r="G157" t="n">
        <v>4.3</v>
      </c>
      <c r="H157" t="n">
        <v>0</v>
      </c>
      <c r="I157" t="n">
        <v>0</v>
      </c>
      <c r="J157" t="n">
        <v>0</v>
      </c>
      <c r="K157" t="n">
        <v>0</v>
      </c>
      <c r="L157" t="n">
        <v>0</v>
      </c>
      <c r="M157" t="n">
        <v>0</v>
      </c>
      <c r="N157" t="n">
        <v>0</v>
      </c>
      <c r="O157" t="n">
        <v>0</v>
      </c>
      <c r="P157" t="n">
        <v>0</v>
      </c>
      <c r="Q157" t="n">
        <v>0</v>
      </c>
      <c r="R157" s="2" t="inlineStr"/>
    </row>
    <row r="158" ht="15" customHeight="1">
      <c r="A158" t="inlineStr">
        <is>
          <t>A 8181-2020</t>
        </is>
      </c>
      <c r="B158" s="1" t="n">
        <v>43874</v>
      </c>
      <c r="C158" s="1" t="n">
        <v>45643</v>
      </c>
      <c r="D158" t="inlineStr">
        <is>
          <t>DALARNAS LÄN</t>
        </is>
      </c>
      <c r="E158" t="inlineStr">
        <is>
          <t>HEDEMORA</t>
        </is>
      </c>
      <c r="G158" t="n">
        <v>2.4</v>
      </c>
      <c r="H158" t="n">
        <v>0</v>
      </c>
      <c r="I158" t="n">
        <v>0</v>
      </c>
      <c r="J158" t="n">
        <v>0</v>
      </c>
      <c r="K158" t="n">
        <v>0</v>
      </c>
      <c r="L158" t="n">
        <v>0</v>
      </c>
      <c r="M158" t="n">
        <v>0</v>
      </c>
      <c r="N158" t="n">
        <v>0</v>
      </c>
      <c r="O158" t="n">
        <v>0</v>
      </c>
      <c r="P158" t="n">
        <v>0</v>
      </c>
      <c r="Q158" t="n">
        <v>0</v>
      </c>
      <c r="R158" s="2" t="inlineStr"/>
    </row>
    <row r="159" ht="15" customHeight="1">
      <c r="A159" t="inlineStr">
        <is>
          <t>A 8489-2020</t>
        </is>
      </c>
      <c r="B159" s="1" t="n">
        <v>43875</v>
      </c>
      <c r="C159" s="1" t="n">
        <v>45643</v>
      </c>
      <c r="D159" t="inlineStr">
        <is>
          <t>DALARNAS LÄN</t>
        </is>
      </c>
      <c r="E159" t="inlineStr">
        <is>
          <t>HEDEMORA</t>
        </is>
      </c>
      <c r="G159" t="n">
        <v>0.5</v>
      </c>
      <c r="H159" t="n">
        <v>0</v>
      </c>
      <c r="I159" t="n">
        <v>0</v>
      </c>
      <c r="J159" t="n">
        <v>0</v>
      </c>
      <c r="K159" t="n">
        <v>0</v>
      </c>
      <c r="L159" t="n">
        <v>0</v>
      </c>
      <c r="M159" t="n">
        <v>0</v>
      </c>
      <c r="N159" t="n">
        <v>0</v>
      </c>
      <c r="O159" t="n">
        <v>0</v>
      </c>
      <c r="P159" t="n">
        <v>0</v>
      </c>
      <c r="Q159" t="n">
        <v>0</v>
      </c>
      <c r="R159" s="2" t="inlineStr"/>
    </row>
    <row r="160" ht="15" customHeight="1">
      <c r="A160" t="inlineStr">
        <is>
          <t>A 8494-2020</t>
        </is>
      </c>
      <c r="B160" s="1" t="n">
        <v>43875</v>
      </c>
      <c r="C160" s="1" t="n">
        <v>45643</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45643</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45643</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45643</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45643</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45643</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45643</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45643</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45643</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45643</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45643</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45643</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45643</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45643</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45643</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45643</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45643</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45643</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45643</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45643</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45643</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45643</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45643</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45643</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45643</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45643</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45643</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45643</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45643</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45643</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45643</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45643</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45643</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45643</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45643</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45643</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45643</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45643</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45643</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45643</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45643</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45643</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45643</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45643</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45643</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45643</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45643</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45643</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45643</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45643</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45643</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45643</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45643</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45643</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45643</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45643</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45643</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45643</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45643</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45643</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45643</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45643</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45643</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45643</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45643</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45643</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45643</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45643</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45643</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45643</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45643</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45643</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45643</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45643</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45643</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45643</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45643</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45643</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45643</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45643</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45643</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45643</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45643</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45643</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45643</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45643</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45643</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45643</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45643</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45643</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45643</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45643</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45643</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45643</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45643</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45643</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45643</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45643</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45643</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45643</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45643</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45643</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45643</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45643</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45643</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45643</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45643</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45643</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45643</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45643</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45643</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45643</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45643</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45643</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45643</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45643</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45643</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45643</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45643</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45643</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45643</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45643</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45643</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45643</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45643</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45643</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45643</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45643</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45643</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45643</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45643</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45643</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45643</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45643</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45643</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45643</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45643</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45643</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45643</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45643</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45643</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45643</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45643</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45643</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45643</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45643</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45643</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45643</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45643</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45643</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45643</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45643</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45643</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45643</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45643</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45643</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45643</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45643</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45643</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45643</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45643</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45643</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45643</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45643</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45643</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45643</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45643</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45643</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45643</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45643</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45643</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45643</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45643</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45643</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45643</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45643</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45643</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45643</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45643</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45643</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45643</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45643</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45643</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45643</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45643</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45643</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45643</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45643</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45643</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45643</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45643</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45643</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45643</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45643</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45643</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45643</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45643</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45643</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45643</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45643</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45643</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45643</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45643</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45643</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45643</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45643</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45643</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45643</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45643</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45643</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45643</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45643</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45643</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45643</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45643</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45643</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45643</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45643</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45643</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45643</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45643</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45643</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45643</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45643</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45643</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45643</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45643</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45643</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45643</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45643</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45643</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45643</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45643</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45643</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45643</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45643</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45643</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45643</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45643</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45643</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45643</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45643</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45643</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45643</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45643</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45643</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45643</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45643</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45643</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45643</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45643</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45643</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45643</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45643</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45643</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45643</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45643</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45643</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45643</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45643</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45643</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45643</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45643</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45643</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45643</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45643</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45643</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45643</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45643</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45643</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45643</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45643</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45643</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45643</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45643</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45643</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45643</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45643</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45643</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45643</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45643</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45643</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45643</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45643</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45643</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45643</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45643</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45643</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45643</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45643</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45643</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45643</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45643</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45643</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45643</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45643</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45643</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45643</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45643</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45643</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45643</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45643</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45643</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45643</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45643</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45643</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45643</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45643</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45643</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45643</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45643</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45643</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45643</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45643</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45643</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45643</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45643</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45643</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45643</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45643</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45643</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45643</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45643</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45643</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45643</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45643</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45643</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45643</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45643</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45643</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45643</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45643</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45643</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45643</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45643</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45643</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45643</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45643</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45643</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45643</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45643</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45643</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45643</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45643</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45643</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45643</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45643</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45643</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45643</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45643</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45643</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45643</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45643</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45643</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45643</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45643</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45643</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45643</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45643</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45643</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45643</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45643</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45643</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45643</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45643</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45643</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45643</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45643</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45643</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45643</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45643</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45643</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45643</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45643</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45643</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45643</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45643</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45643</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45643</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45643</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45643</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45643</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45643</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45643</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45643</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45643</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45643</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45643</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45643</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45643</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45643</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45643</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45643</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45643</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45643</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45643</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45643</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45643</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45643</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45643</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45643</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45643</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45643</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45643</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45643</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45643</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45643</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45643</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45643</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45643</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45643</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45643</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45643</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45643</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45643</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45643</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45643</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45643</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45643</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45643</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45643</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45643</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45643</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45643</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45643</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45643</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45643</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45643</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45643</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45643</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45643</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45643</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45643</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45643</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45643</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45643</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45643</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45643</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45643</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45643</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45643</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45643</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45643</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45643</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45643</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45643</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45643</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45643</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45643</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45643</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45643</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45643</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45643</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45643</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45643</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45643</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45643</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45643</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45643</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45643</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45643</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45643</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45643</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45643</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45643</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45643</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45643</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45643</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45643</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45643</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45643</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45643</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45643</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45643</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45643</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45643</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45643</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45643</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45643</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45643</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45643</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45643</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45643</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45643</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45643</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45643</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45643</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45643</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45643</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45643</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45643</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45643</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45643</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45643</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45643</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45643</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45643</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45643</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45643</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45643</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53923-2024</t>
        </is>
      </c>
      <c r="B660" s="1" t="n">
        <v>45615</v>
      </c>
      <c r="C660" s="1" t="n">
        <v>45643</v>
      </c>
      <c r="D660" t="inlineStr">
        <is>
          <t>DALARNAS LÄN</t>
        </is>
      </c>
      <c r="E660" t="inlineStr">
        <is>
          <t>HEDEMORA</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53924-2024</t>
        </is>
      </c>
      <c r="B661" s="1" t="n">
        <v>45615</v>
      </c>
      <c r="C661" s="1" t="n">
        <v>45643</v>
      </c>
      <c r="D661" t="inlineStr">
        <is>
          <t>DALARNAS LÄN</t>
        </is>
      </c>
      <c r="E661" t="inlineStr">
        <is>
          <t>HEDEMORA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53922-2024</t>
        </is>
      </c>
      <c r="B662" s="1" t="n">
        <v>45615</v>
      </c>
      <c r="C662" s="1" t="n">
        <v>45643</v>
      </c>
      <c r="D662" t="inlineStr">
        <is>
          <t>DALARNAS LÄN</t>
        </is>
      </c>
      <c r="E662" t="inlineStr">
        <is>
          <t>HEDEMORA</t>
        </is>
      </c>
      <c r="F662" t="inlineStr">
        <is>
          <t>Sveaskog</t>
        </is>
      </c>
      <c r="G662" t="n">
        <v>2.6</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45643</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45643</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45643</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45643</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45643</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45643</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45643</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45643</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c r="A671" t="inlineStr">
        <is>
          <t>A 60017-2024</t>
        </is>
      </c>
      <c r="B671" s="1" t="n">
        <v>45642</v>
      </c>
      <c r="C671" s="1" t="n">
        <v>45643</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2024-12-17T15:22:18Z</dcterms:created>
  <dcterms:modified xmlns:dcterms="http://purl.org/dc/terms/" xmlns:xsi="http://www.w3.org/2001/XMLSchema-instance" xsi:type="dcterms:W3CDTF">2024-12-17T15:22:19Z</dcterms:modified>
</cp:coreProperties>
</file>