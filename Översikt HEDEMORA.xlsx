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45992</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45992</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45992</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45992</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45277-2025</t>
        </is>
      </c>
      <c r="B10" s="1" t="n">
        <v>45919.71271990741</v>
      </c>
      <c r="C10" s="1" t="n">
        <v>45992</v>
      </c>
      <c r="D10" t="inlineStr">
        <is>
          <t>DALARNAS LÄN</t>
        </is>
      </c>
      <c r="E10" t="inlineStr">
        <is>
          <t>HEDEMORA</t>
        </is>
      </c>
      <c r="G10" t="n">
        <v>6.9</v>
      </c>
      <c r="H10" t="n">
        <v>4</v>
      </c>
      <c r="I10" t="n">
        <v>3</v>
      </c>
      <c r="J10" t="n">
        <v>3</v>
      </c>
      <c r="K10" t="n">
        <v>2</v>
      </c>
      <c r="L10" t="n">
        <v>0</v>
      </c>
      <c r="M10" t="n">
        <v>0</v>
      </c>
      <c r="N10" t="n">
        <v>0</v>
      </c>
      <c r="O10" t="n">
        <v>5</v>
      </c>
      <c r="P10" t="n">
        <v>2</v>
      </c>
      <c r="Q10" t="n">
        <v>9</v>
      </c>
      <c r="R10" s="2" t="inlineStr">
        <is>
          <t>Knärot
Kopparspindling
Spillkråka
Talltita
Ullticka
Bronshjon
Fjällig taggsvamp s.str.
Rödfläckig zontaggsvamp
Blåsippa</t>
        </is>
      </c>
      <c r="S10">
        <f>HYPERLINK("https://klasma.github.io/Logging_2083/artfynd/A 45277-2025 artfynd.xlsx", "A 45277-2025")</f>
        <v/>
      </c>
      <c r="T10">
        <f>HYPERLINK("https://klasma.github.io/Logging_2083/kartor/A 45277-2025 karta.png", "A 45277-2025")</f>
        <v/>
      </c>
      <c r="U10">
        <f>HYPERLINK("https://klasma.github.io/Logging_2083/knärot/A 45277-2025 karta knärot.png", "A 45277-2025")</f>
        <v/>
      </c>
      <c r="V10">
        <f>HYPERLINK("https://klasma.github.io/Logging_2083/klagomål/A 45277-2025 FSC-klagomål.docx", "A 45277-2025")</f>
        <v/>
      </c>
      <c r="W10">
        <f>HYPERLINK("https://klasma.github.io/Logging_2083/klagomålsmail/A 45277-2025 FSC-klagomål mail.docx", "A 45277-2025")</f>
        <v/>
      </c>
      <c r="X10">
        <f>HYPERLINK("https://klasma.github.io/Logging_2083/tillsyn/A 45277-2025 tillsynsbegäran.docx", "A 45277-2025")</f>
        <v/>
      </c>
      <c r="Y10">
        <f>HYPERLINK("https://klasma.github.io/Logging_2083/tillsynsmail/A 45277-2025 tillsynsbegäran mail.docx", "A 45277-2025")</f>
        <v/>
      </c>
      <c r="Z10">
        <f>HYPERLINK("https://klasma.github.io/Logging_2083/fåglar/A 45277-2025 prioriterade fågelarter.docx", "A 45277-2025")</f>
        <v/>
      </c>
    </row>
    <row r="11" ht="15" customHeight="1">
      <c r="A11" t="inlineStr">
        <is>
          <t>A 58505-2022</t>
        </is>
      </c>
      <c r="B11" s="1" t="n">
        <v>44902</v>
      </c>
      <c r="C11" s="1" t="n">
        <v>45992</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45992</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45992</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49269-2024</t>
        </is>
      </c>
      <c r="B14" s="1" t="n">
        <v>45595.49747685185</v>
      </c>
      <c r="C14" s="1" t="n">
        <v>45992</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45992</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45992</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45992</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45992</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45992</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45992</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45992</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45992</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45992</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45992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45992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45992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45992</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45992</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45992</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45992</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45992</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45992</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45992</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43679-2025</t>
        </is>
      </c>
      <c r="B34" s="1" t="n">
        <v>45912.36710648148</v>
      </c>
      <c r="C34" s="1" t="n">
        <v>45992</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45992</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59035-2023</t>
        </is>
      </c>
      <c r="B36" s="1" t="n">
        <v>45252</v>
      </c>
      <c r="C36" s="1" t="n">
        <v>45992</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45992</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1518-2025</t>
        </is>
      </c>
      <c r="B38" s="1" t="n">
        <v>45670</v>
      </c>
      <c r="C38" s="1" t="n">
        <v>45992</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41332-2025</t>
        </is>
      </c>
      <c r="B39" s="1" t="n">
        <v>45899.35592592593</v>
      </c>
      <c r="C39" s="1" t="n">
        <v>45992</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45884-2021</t>
        </is>
      </c>
      <c r="B40" s="1" t="n">
        <v>44441</v>
      </c>
      <c r="C40" s="1" t="n">
        <v>45992</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45992</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45992</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45992</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45992</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45992</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23815-2023</t>
        </is>
      </c>
      <c r="B46" s="1" t="n">
        <v>45078</v>
      </c>
      <c r="C46" s="1" t="n">
        <v>45992</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39396-2025</t>
        </is>
      </c>
      <c r="B47" s="1" t="n">
        <v>45889.63289351852</v>
      </c>
      <c r="C47" s="1" t="n">
        <v>45992</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41333-2025</t>
        </is>
      </c>
      <c r="B48" s="1" t="n">
        <v>45899.35854166667</v>
      </c>
      <c r="C48" s="1" t="n">
        <v>45992</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28181-2025</t>
        </is>
      </c>
      <c r="B49" s="1" t="n">
        <v>45818.39921296296</v>
      </c>
      <c r="C49" s="1" t="n">
        <v>45992</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45992</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44598-2025</t>
        </is>
      </c>
      <c r="B51" s="1" t="n">
        <v>45917.43056712963</v>
      </c>
      <c r="C51" s="1" t="n">
        <v>45992</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45992</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15058-2025</t>
        </is>
      </c>
      <c r="B53" s="1" t="n">
        <v>45743.70716435185</v>
      </c>
      <c r="C53" s="1" t="n">
        <v>45992</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45291-2025</t>
        </is>
      </c>
      <c r="B54" s="1" t="n">
        <v>45920.3734837963</v>
      </c>
      <c r="C54" s="1" t="n">
        <v>45992</v>
      </c>
      <c r="D54" t="inlineStr">
        <is>
          <t>DALARNAS LÄN</t>
        </is>
      </c>
      <c r="E54" t="inlineStr">
        <is>
          <t>HEDEMORA</t>
        </is>
      </c>
      <c r="F54" t="inlineStr">
        <is>
          <t>Sveaskog</t>
        </is>
      </c>
      <c r="G54" t="n">
        <v>1.2</v>
      </c>
      <c r="H54" t="n">
        <v>1</v>
      </c>
      <c r="I54" t="n">
        <v>1</v>
      </c>
      <c r="J54" t="n">
        <v>0</v>
      </c>
      <c r="K54" t="n">
        <v>0</v>
      </c>
      <c r="L54" t="n">
        <v>0</v>
      </c>
      <c r="M54" t="n">
        <v>0</v>
      </c>
      <c r="N54" t="n">
        <v>0</v>
      </c>
      <c r="O54" t="n">
        <v>0</v>
      </c>
      <c r="P54" t="n">
        <v>0</v>
      </c>
      <c r="Q54" t="n">
        <v>1</v>
      </c>
      <c r="R54" s="2" t="inlineStr">
        <is>
          <t>Plattlummer</t>
        </is>
      </c>
      <c r="S54">
        <f>HYPERLINK("https://klasma.github.io/Logging_2083/artfynd/A 45291-2025 artfynd.xlsx", "A 45291-2025")</f>
        <v/>
      </c>
      <c r="T54">
        <f>HYPERLINK("https://klasma.github.io/Logging_2083/kartor/A 45291-2025 karta.png", "A 45291-2025")</f>
        <v/>
      </c>
      <c r="V54">
        <f>HYPERLINK("https://klasma.github.io/Logging_2083/klagomål/A 45291-2025 FSC-klagomål.docx", "A 45291-2025")</f>
        <v/>
      </c>
      <c r="W54">
        <f>HYPERLINK("https://klasma.github.io/Logging_2083/klagomålsmail/A 45291-2025 FSC-klagomål mail.docx", "A 45291-2025")</f>
        <v/>
      </c>
      <c r="X54">
        <f>HYPERLINK("https://klasma.github.io/Logging_2083/tillsyn/A 45291-2025 tillsynsbegäran.docx", "A 45291-2025")</f>
        <v/>
      </c>
      <c r="Y54">
        <f>HYPERLINK("https://klasma.github.io/Logging_2083/tillsynsmail/A 45291-2025 tillsynsbegäran mail.docx", "A 45291-2025")</f>
        <v/>
      </c>
    </row>
    <row r="55" ht="15" customHeight="1">
      <c r="A55" t="inlineStr">
        <is>
          <t>A 19094-2025</t>
        </is>
      </c>
      <c r="B55" s="1" t="n">
        <v>45767.54942129629</v>
      </c>
      <c r="C55" s="1" t="n">
        <v>45992</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48382-2025</t>
        </is>
      </c>
      <c r="B56" s="1" t="n">
        <v>45933.82043981482</v>
      </c>
      <c r="C56" s="1" t="n">
        <v>45992</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12905-2025</t>
        </is>
      </c>
      <c r="B57" s="1" t="n">
        <v>45733</v>
      </c>
      <c r="C57" s="1" t="n">
        <v>45992</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13986-2023</t>
        </is>
      </c>
      <c r="B58" s="1" t="n">
        <v>45008</v>
      </c>
      <c r="C58" s="1" t="n">
        <v>45992</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33968-2025</t>
        </is>
      </c>
      <c r="B59" s="1" t="n">
        <v>45842</v>
      </c>
      <c r="C59" s="1" t="n">
        <v>45992</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41477-2023</t>
        </is>
      </c>
      <c r="B60" s="1" t="n">
        <v>45171</v>
      </c>
      <c r="C60" s="1" t="n">
        <v>45992</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45992</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63542-2023</t>
        </is>
      </c>
      <c r="B62" s="1" t="n">
        <v>45275.32708333333</v>
      </c>
      <c r="C62" s="1" t="n">
        <v>45992</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45992</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45992</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45992</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45992</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45992</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45992</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45992</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45992</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45992</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45992</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45992</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45992</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45992</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45992</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45992</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45992</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45992</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45992</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45992</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45992</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45992</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45992</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45992</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45992</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45992</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45992</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45992</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45992</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45992</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45992</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45992</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45992</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45992</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45992</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23329-2022</t>
        </is>
      </c>
      <c r="B97" s="1" t="n">
        <v>44720</v>
      </c>
      <c r="C97" s="1" t="n">
        <v>45992</v>
      </c>
      <c r="D97" t="inlineStr">
        <is>
          <t>DALARNAS LÄN</t>
        </is>
      </c>
      <c r="E97" t="inlineStr">
        <is>
          <t>HEDEMORA</t>
        </is>
      </c>
      <c r="G97" t="n">
        <v>1.4</v>
      </c>
      <c r="H97" t="n">
        <v>0</v>
      </c>
      <c r="I97" t="n">
        <v>0</v>
      </c>
      <c r="J97" t="n">
        <v>0</v>
      </c>
      <c r="K97" t="n">
        <v>0</v>
      </c>
      <c r="L97" t="n">
        <v>0</v>
      </c>
      <c r="M97" t="n">
        <v>0</v>
      </c>
      <c r="N97" t="n">
        <v>0</v>
      </c>
      <c r="O97" t="n">
        <v>0</v>
      </c>
      <c r="P97" t="n">
        <v>0</v>
      </c>
      <c r="Q97" t="n">
        <v>0</v>
      </c>
      <c r="R97" s="2" t="inlineStr"/>
    </row>
    <row r="98" ht="15" customHeight="1">
      <c r="A98" t="inlineStr">
        <is>
          <t>A 62305-2021</t>
        </is>
      </c>
      <c r="B98" s="1" t="n">
        <v>44502</v>
      </c>
      <c r="C98" s="1" t="n">
        <v>45992</v>
      </c>
      <c r="D98" t="inlineStr">
        <is>
          <t>DALARNAS LÄN</t>
        </is>
      </c>
      <c r="E98" t="inlineStr">
        <is>
          <t>HEDEMORA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45992</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45992</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45992</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45992</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45992</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45992</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45992</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45992</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45992</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45992</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45992</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45992</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45992</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45992</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41435-2023</t>
        </is>
      </c>
      <c r="B113" s="1" t="n">
        <v>45170</v>
      </c>
      <c r="C113" s="1" t="n">
        <v>45992</v>
      </c>
      <c r="D113" t="inlineStr">
        <is>
          <t>DALARNAS LÄN</t>
        </is>
      </c>
      <c r="E113" t="inlineStr">
        <is>
          <t>HEDEMORA</t>
        </is>
      </c>
      <c r="G113" t="n">
        <v>2.9</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45992</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45992</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11046-2022</t>
        </is>
      </c>
      <c r="B116" s="1" t="n">
        <v>44628</v>
      </c>
      <c r="C116" s="1" t="n">
        <v>45992</v>
      </c>
      <c r="D116" t="inlineStr">
        <is>
          <t>DALARNAS LÄN</t>
        </is>
      </c>
      <c r="E116" t="inlineStr">
        <is>
          <t>HEDEMORA</t>
        </is>
      </c>
      <c r="F116" t="inlineStr">
        <is>
          <t>Bergvik skog väst AB</t>
        </is>
      </c>
      <c r="G116" t="n">
        <v>1</v>
      </c>
      <c r="H116" t="n">
        <v>0</v>
      </c>
      <c r="I116" t="n">
        <v>0</v>
      </c>
      <c r="J116" t="n">
        <v>0</v>
      </c>
      <c r="K116" t="n">
        <v>0</v>
      </c>
      <c r="L116" t="n">
        <v>0</v>
      </c>
      <c r="M116" t="n">
        <v>0</v>
      </c>
      <c r="N116" t="n">
        <v>0</v>
      </c>
      <c r="O116" t="n">
        <v>0</v>
      </c>
      <c r="P116" t="n">
        <v>0</v>
      </c>
      <c r="Q116" t="n">
        <v>0</v>
      </c>
      <c r="R116" s="2" t="inlineStr"/>
    </row>
    <row r="117" ht="15" customHeight="1">
      <c r="A117" t="inlineStr">
        <is>
          <t>A 15863-2023</t>
        </is>
      </c>
      <c r="B117" s="1" t="n">
        <v>45022</v>
      </c>
      <c r="C117" s="1" t="n">
        <v>45992</v>
      </c>
      <c r="D117" t="inlineStr">
        <is>
          <t>DALARNAS LÄN</t>
        </is>
      </c>
      <c r="E117" t="inlineStr">
        <is>
          <t>HEDEMORA</t>
        </is>
      </c>
      <c r="F117" t="inlineStr">
        <is>
          <t>Bergvik skog väst AB</t>
        </is>
      </c>
      <c r="G117" t="n">
        <v>4.7</v>
      </c>
      <c r="H117" t="n">
        <v>0</v>
      </c>
      <c r="I117" t="n">
        <v>0</v>
      </c>
      <c r="J117" t="n">
        <v>0</v>
      </c>
      <c r="K117" t="n">
        <v>0</v>
      </c>
      <c r="L117" t="n">
        <v>0</v>
      </c>
      <c r="M117" t="n">
        <v>0</v>
      </c>
      <c r="N117" t="n">
        <v>0</v>
      </c>
      <c r="O117" t="n">
        <v>0</v>
      </c>
      <c r="P117" t="n">
        <v>0</v>
      </c>
      <c r="Q117" t="n">
        <v>0</v>
      </c>
      <c r="R117" s="2" t="inlineStr"/>
    </row>
    <row r="118" ht="15" customHeight="1">
      <c r="A118" t="inlineStr">
        <is>
          <t>A 41642-2023</t>
        </is>
      </c>
      <c r="B118" s="1" t="n">
        <v>45175</v>
      </c>
      <c r="C118" s="1" t="n">
        <v>45992</v>
      </c>
      <c r="D118" t="inlineStr">
        <is>
          <t>DALARNAS LÄN</t>
        </is>
      </c>
      <c r="E118" t="inlineStr">
        <is>
          <t>HEDEMORA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30572-2021</t>
        </is>
      </c>
      <c r="B119" s="1" t="n">
        <v>44364.83369212963</v>
      </c>
      <c r="C119" s="1" t="n">
        <v>45992</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29591-2024</t>
        </is>
      </c>
      <c r="B120" s="1" t="n">
        <v>45484.58222222222</v>
      </c>
      <c r="C120" s="1" t="n">
        <v>45992</v>
      </c>
      <c r="D120" t="inlineStr">
        <is>
          <t>DALARNAS LÄN</t>
        </is>
      </c>
      <c r="E120" t="inlineStr">
        <is>
          <t>HEDEMORA</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44957-2021</t>
        </is>
      </c>
      <c r="B121" s="1" t="n">
        <v>44438.71809027778</v>
      </c>
      <c r="C121" s="1" t="n">
        <v>45992</v>
      </c>
      <c r="D121" t="inlineStr">
        <is>
          <t>DALARNAS LÄN</t>
        </is>
      </c>
      <c r="E121" t="inlineStr">
        <is>
          <t>HEDEMORA</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58018-2022</t>
        </is>
      </c>
      <c r="B122" s="1" t="n">
        <v>44900.53383101852</v>
      </c>
      <c r="C122" s="1" t="n">
        <v>45992</v>
      </c>
      <c r="D122" t="inlineStr">
        <is>
          <t>DALARNAS LÄN</t>
        </is>
      </c>
      <c r="E122" t="inlineStr">
        <is>
          <t>HEDEMORA</t>
        </is>
      </c>
      <c r="G122" t="n">
        <v>3.6</v>
      </c>
      <c r="H122" t="n">
        <v>0</v>
      </c>
      <c r="I122" t="n">
        <v>0</v>
      </c>
      <c r="J122" t="n">
        <v>0</v>
      </c>
      <c r="K122" t="n">
        <v>0</v>
      </c>
      <c r="L122" t="n">
        <v>0</v>
      </c>
      <c r="M122" t="n">
        <v>0</v>
      </c>
      <c r="N122" t="n">
        <v>0</v>
      </c>
      <c r="O122" t="n">
        <v>0</v>
      </c>
      <c r="P122" t="n">
        <v>0</v>
      </c>
      <c r="Q122" t="n">
        <v>0</v>
      </c>
      <c r="R122" s="2" t="inlineStr"/>
    </row>
    <row r="123" ht="15" customHeight="1">
      <c r="A123" t="inlineStr">
        <is>
          <t>A 69624-2021</t>
        </is>
      </c>
      <c r="B123" s="1" t="n">
        <v>44532.41442129629</v>
      </c>
      <c r="C123" s="1" t="n">
        <v>45992</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23934-2023</t>
        </is>
      </c>
      <c r="B124" s="1" t="n">
        <v>45078.59590277778</v>
      </c>
      <c r="C124" s="1" t="n">
        <v>45992</v>
      </c>
      <c r="D124" t="inlineStr">
        <is>
          <t>DALARNAS LÄN</t>
        </is>
      </c>
      <c r="E124" t="inlineStr">
        <is>
          <t>HEDEMORA</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61883-2022</t>
        </is>
      </c>
      <c r="B125" s="1" t="n">
        <v>44917.67262731482</v>
      </c>
      <c r="C125" s="1" t="n">
        <v>45992</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40801-2024</t>
        </is>
      </c>
      <c r="B126" s="1" t="n">
        <v>45558.52905092593</v>
      </c>
      <c r="C126" s="1" t="n">
        <v>45992</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6881-2024</t>
        </is>
      </c>
      <c r="B127" s="1" t="n">
        <v>45342.8779050926</v>
      </c>
      <c r="C127" s="1" t="n">
        <v>45992</v>
      </c>
      <c r="D127" t="inlineStr">
        <is>
          <t>DALARNAS LÄN</t>
        </is>
      </c>
      <c r="E127" t="inlineStr">
        <is>
          <t>HEDEMORA</t>
        </is>
      </c>
      <c r="G127" t="n">
        <v>2.5</v>
      </c>
      <c r="H127" t="n">
        <v>0</v>
      </c>
      <c r="I127" t="n">
        <v>0</v>
      </c>
      <c r="J127" t="n">
        <v>0</v>
      </c>
      <c r="K127" t="n">
        <v>0</v>
      </c>
      <c r="L127" t="n">
        <v>0</v>
      </c>
      <c r="M127" t="n">
        <v>0</v>
      </c>
      <c r="N127" t="n">
        <v>0</v>
      </c>
      <c r="O127" t="n">
        <v>0</v>
      </c>
      <c r="P127" t="n">
        <v>0</v>
      </c>
      <c r="Q127" t="n">
        <v>0</v>
      </c>
      <c r="R127" s="2" t="inlineStr"/>
    </row>
    <row r="128" ht="15" customHeight="1">
      <c r="A128" t="inlineStr">
        <is>
          <t>A 5010-2023</t>
        </is>
      </c>
      <c r="B128" s="1" t="n">
        <v>44956</v>
      </c>
      <c r="C128" s="1" t="n">
        <v>45992</v>
      </c>
      <c r="D128" t="inlineStr">
        <is>
          <t>DALARNAS LÄN</t>
        </is>
      </c>
      <c r="E128" t="inlineStr">
        <is>
          <t>HEDEMORA</t>
        </is>
      </c>
      <c r="F128" t="inlineStr">
        <is>
          <t>Bergvik skog väst AB</t>
        </is>
      </c>
      <c r="G128" t="n">
        <v>5</v>
      </c>
      <c r="H128" t="n">
        <v>0</v>
      </c>
      <c r="I128" t="n">
        <v>0</v>
      </c>
      <c r="J128" t="n">
        <v>0</v>
      </c>
      <c r="K128" t="n">
        <v>0</v>
      </c>
      <c r="L128" t="n">
        <v>0</v>
      </c>
      <c r="M128" t="n">
        <v>0</v>
      </c>
      <c r="N128" t="n">
        <v>0</v>
      </c>
      <c r="O128" t="n">
        <v>0</v>
      </c>
      <c r="P128" t="n">
        <v>0</v>
      </c>
      <c r="Q128" t="n">
        <v>0</v>
      </c>
      <c r="R128" s="2" t="inlineStr"/>
    </row>
    <row r="129" ht="15" customHeight="1">
      <c r="A129" t="inlineStr">
        <is>
          <t>A 37761-2024</t>
        </is>
      </c>
      <c r="B129" s="1" t="n">
        <v>45541.78678240741</v>
      </c>
      <c r="C129" s="1" t="n">
        <v>45992</v>
      </c>
      <c r="D129" t="inlineStr">
        <is>
          <t>DALARNAS LÄN</t>
        </is>
      </c>
      <c r="E129" t="inlineStr">
        <is>
          <t>HEDEMORA</t>
        </is>
      </c>
      <c r="F129" t="inlineStr">
        <is>
          <t>Sveaskog</t>
        </is>
      </c>
      <c r="G129" t="n">
        <v>4.4</v>
      </c>
      <c r="H129" t="n">
        <v>0</v>
      </c>
      <c r="I129" t="n">
        <v>0</v>
      </c>
      <c r="J129" t="n">
        <v>0</v>
      </c>
      <c r="K129" t="n">
        <v>0</v>
      </c>
      <c r="L129" t="n">
        <v>0</v>
      </c>
      <c r="M129" t="n">
        <v>0</v>
      </c>
      <c r="N129" t="n">
        <v>0</v>
      </c>
      <c r="O129" t="n">
        <v>0</v>
      </c>
      <c r="P129" t="n">
        <v>0</v>
      </c>
      <c r="Q129" t="n">
        <v>0</v>
      </c>
      <c r="R129" s="2" t="inlineStr"/>
    </row>
    <row r="130" ht="15" customHeight="1">
      <c r="A130" t="inlineStr">
        <is>
          <t>A 21869-2025</t>
        </is>
      </c>
      <c r="B130" s="1" t="n">
        <v>45784.37449074074</v>
      </c>
      <c r="C130" s="1" t="n">
        <v>45992</v>
      </c>
      <c r="D130" t="inlineStr">
        <is>
          <t>DALARNAS LÄN</t>
        </is>
      </c>
      <c r="E130" t="inlineStr">
        <is>
          <t>HEDEMORA</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25021-2025</t>
        </is>
      </c>
      <c r="B131" s="1" t="n">
        <v>45799.64574074074</v>
      </c>
      <c r="C131" s="1" t="n">
        <v>45992</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36900-2022</t>
        </is>
      </c>
      <c r="B132" s="1" t="n">
        <v>44805.71435185185</v>
      </c>
      <c r="C132" s="1" t="n">
        <v>45992</v>
      </c>
      <c r="D132" t="inlineStr">
        <is>
          <t>DALARNAS LÄN</t>
        </is>
      </c>
      <c r="E132" t="inlineStr">
        <is>
          <t>HEDEMORA</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34185-2025</t>
        </is>
      </c>
      <c r="B133" s="1" t="n">
        <v>45845</v>
      </c>
      <c r="C133" s="1" t="n">
        <v>45992</v>
      </c>
      <c r="D133" t="inlineStr">
        <is>
          <t>DALARNAS LÄN</t>
        </is>
      </c>
      <c r="E133" t="inlineStr">
        <is>
          <t>HEDEMORA</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19397-2024</t>
        </is>
      </c>
      <c r="B134" s="1" t="n">
        <v>45429.38474537037</v>
      </c>
      <c r="C134" s="1" t="n">
        <v>45992</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14968-2025</t>
        </is>
      </c>
      <c r="B135" s="1" t="n">
        <v>45743.59052083334</v>
      </c>
      <c r="C135" s="1" t="n">
        <v>45992</v>
      </c>
      <c r="D135" t="inlineStr">
        <is>
          <t>DALARNAS LÄN</t>
        </is>
      </c>
      <c r="E135" t="inlineStr">
        <is>
          <t>HEDEMORA</t>
        </is>
      </c>
      <c r="G135" t="n">
        <v>2.2</v>
      </c>
      <c r="H135" t="n">
        <v>0</v>
      </c>
      <c r="I135" t="n">
        <v>0</v>
      </c>
      <c r="J135" t="n">
        <v>0</v>
      </c>
      <c r="K135" t="n">
        <v>0</v>
      </c>
      <c r="L135" t="n">
        <v>0</v>
      </c>
      <c r="M135" t="n">
        <v>0</v>
      </c>
      <c r="N135" t="n">
        <v>0</v>
      </c>
      <c r="O135" t="n">
        <v>0</v>
      </c>
      <c r="P135" t="n">
        <v>0</v>
      </c>
      <c r="Q135" t="n">
        <v>0</v>
      </c>
      <c r="R135" s="2" t="inlineStr"/>
    </row>
    <row r="136" ht="15" customHeight="1">
      <c r="A136" t="inlineStr">
        <is>
          <t>A 39389-2025</t>
        </is>
      </c>
      <c r="B136" s="1" t="n">
        <v>45889.62181712963</v>
      </c>
      <c r="C136" s="1" t="n">
        <v>45992</v>
      </c>
      <c r="D136" t="inlineStr">
        <is>
          <t>DALARNAS LÄN</t>
        </is>
      </c>
      <c r="E136" t="inlineStr">
        <is>
          <t>HEDEMORA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39390-2025</t>
        </is>
      </c>
      <c r="B137" s="1" t="n">
        <v>45889.6240625</v>
      </c>
      <c r="C137" s="1" t="n">
        <v>45992</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26204-2025</t>
        </is>
      </c>
      <c r="B138" s="1" t="n">
        <v>45805.51065972223</v>
      </c>
      <c r="C138" s="1" t="n">
        <v>45992</v>
      </c>
      <c r="D138" t="inlineStr">
        <is>
          <t>DALARNAS LÄN</t>
        </is>
      </c>
      <c r="E138" t="inlineStr">
        <is>
          <t>HEDEMORA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39393-2025</t>
        </is>
      </c>
      <c r="B139" s="1" t="n">
        <v>45889.62287037037</v>
      </c>
      <c r="C139" s="1" t="n">
        <v>45992</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43621-2024</t>
        </is>
      </c>
      <c r="B140" s="1" t="n">
        <v>45569.48200231481</v>
      </c>
      <c r="C140" s="1" t="n">
        <v>45992</v>
      </c>
      <c r="D140" t="inlineStr">
        <is>
          <t>DALARNAS LÄN</t>
        </is>
      </c>
      <c r="E140" t="inlineStr">
        <is>
          <t>HEDEMORA</t>
        </is>
      </c>
      <c r="G140" t="n">
        <v>2.4</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45992</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26705-2025</t>
        </is>
      </c>
      <c r="B142" s="1" t="n">
        <v>45810.45325231482</v>
      </c>
      <c r="C142" s="1" t="n">
        <v>45992</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40419-2025</t>
        </is>
      </c>
      <c r="B143" s="1" t="n">
        <v>45895.57958333333</v>
      </c>
      <c r="C143" s="1" t="n">
        <v>45992</v>
      </c>
      <c r="D143" t="inlineStr">
        <is>
          <t>DALARNAS LÄN</t>
        </is>
      </c>
      <c r="E143" t="inlineStr">
        <is>
          <t>HEDEMORA</t>
        </is>
      </c>
      <c r="G143" t="n">
        <v>3.1</v>
      </c>
      <c r="H143" t="n">
        <v>0</v>
      </c>
      <c r="I143" t="n">
        <v>0</v>
      </c>
      <c r="J143" t="n">
        <v>0</v>
      </c>
      <c r="K143" t="n">
        <v>0</v>
      </c>
      <c r="L143" t="n">
        <v>0</v>
      </c>
      <c r="M143" t="n">
        <v>0</v>
      </c>
      <c r="N143" t="n">
        <v>0</v>
      </c>
      <c r="O143" t="n">
        <v>0</v>
      </c>
      <c r="P143" t="n">
        <v>0</v>
      </c>
      <c r="Q143" t="n">
        <v>0</v>
      </c>
      <c r="R143" s="2" t="inlineStr"/>
    </row>
    <row r="144" ht="15" customHeight="1">
      <c r="A144" t="inlineStr">
        <is>
          <t>A 40421-2025</t>
        </is>
      </c>
      <c r="B144" s="1" t="n">
        <v>45895.58449074074</v>
      </c>
      <c r="C144" s="1" t="n">
        <v>45992</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45992</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32738-2022</t>
        </is>
      </c>
      <c r="B146" s="1" t="n">
        <v>44783.68931712963</v>
      </c>
      <c r="C146" s="1" t="n">
        <v>45992</v>
      </c>
      <c r="D146" t="inlineStr">
        <is>
          <t>DALARNAS LÄN</t>
        </is>
      </c>
      <c r="E146" t="inlineStr">
        <is>
          <t>HEDEMORA</t>
        </is>
      </c>
      <c r="G146" t="n">
        <v>2.6</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45992</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16413-2024</t>
        </is>
      </c>
      <c r="B148" s="1" t="n">
        <v>45407.64223379629</v>
      </c>
      <c r="C148" s="1" t="n">
        <v>45992</v>
      </c>
      <c r="D148" t="inlineStr">
        <is>
          <t>DALARNAS LÄN</t>
        </is>
      </c>
      <c r="E148" t="inlineStr">
        <is>
          <t>HEDEMORA</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45992</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45992</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28183-2025</t>
        </is>
      </c>
      <c r="B151" s="1" t="n">
        <v>45818.4021875</v>
      </c>
      <c r="C151" s="1" t="n">
        <v>45992</v>
      </c>
      <c r="D151" t="inlineStr">
        <is>
          <t>DALARNAS LÄN</t>
        </is>
      </c>
      <c r="E151" t="inlineStr">
        <is>
          <t>HEDEMORA</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28180-2025</t>
        </is>
      </c>
      <c r="B152" s="1" t="n">
        <v>45818.39755787037</v>
      </c>
      <c r="C152" s="1" t="n">
        <v>45992</v>
      </c>
      <c r="D152" t="inlineStr">
        <is>
          <t>DALARNAS LÄN</t>
        </is>
      </c>
      <c r="E152" t="inlineStr">
        <is>
          <t>HEDEMORA</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28182-2025</t>
        </is>
      </c>
      <c r="B153" s="1" t="n">
        <v>45818.40069444444</v>
      </c>
      <c r="C153" s="1" t="n">
        <v>45992</v>
      </c>
      <c r="D153" t="inlineStr">
        <is>
          <t>DALARNAS LÄN</t>
        </is>
      </c>
      <c r="E153" t="inlineStr">
        <is>
          <t>HEDEMORA</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52944-2024</t>
        </is>
      </c>
      <c r="B154" s="1" t="n">
        <v>45610.82546296297</v>
      </c>
      <c r="C154" s="1" t="n">
        <v>45992</v>
      </c>
      <c r="D154" t="inlineStr">
        <is>
          <t>DALARNAS LÄN</t>
        </is>
      </c>
      <c r="E154" t="inlineStr">
        <is>
          <t>HEDEMORA</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23435-2025</t>
        </is>
      </c>
      <c r="B155" s="1" t="n">
        <v>45792.37162037037</v>
      </c>
      <c r="C155" s="1" t="n">
        <v>45992</v>
      </c>
      <c r="D155" t="inlineStr">
        <is>
          <t>DALARNAS LÄN</t>
        </is>
      </c>
      <c r="E155" t="inlineStr">
        <is>
          <t>HEDEMORA</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5766-2025</t>
        </is>
      </c>
      <c r="B156" s="1" t="n">
        <v>45694.57893518519</v>
      </c>
      <c r="C156" s="1" t="n">
        <v>45992</v>
      </c>
      <c r="D156" t="inlineStr">
        <is>
          <t>DALARNAS LÄN</t>
        </is>
      </c>
      <c r="E156" t="inlineStr">
        <is>
          <t>HEDEMORA</t>
        </is>
      </c>
      <c r="G156" t="n">
        <v>4.9</v>
      </c>
      <c r="H156" t="n">
        <v>0</v>
      </c>
      <c r="I156" t="n">
        <v>0</v>
      </c>
      <c r="J156" t="n">
        <v>0</v>
      </c>
      <c r="K156" t="n">
        <v>0</v>
      </c>
      <c r="L156" t="n">
        <v>0</v>
      </c>
      <c r="M156" t="n">
        <v>0</v>
      </c>
      <c r="N156" t="n">
        <v>0</v>
      </c>
      <c r="O156" t="n">
        <v>0</v>
      </c>
      <c r="P156" t="n">
        <v>0</v>
      </c>
      <c r="Q156" t="n">
        <v>0</v>
      </c>
      <c r="R156" s="2" t="inlineStr"/>
    </row>
    <row r="157" ht="15" customHeight="1">
      <c r="A157" t="inlineStr">
        <is>
          <t>A 19473-2024</t>
        </is>
      </c>
      <c r="B157" s="1" t="n">
        <v>45429</v>
      </c>
      <c r="C157" s="1" t="n">
        <v>45992</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29690-2025</t>
        </is>
      </c>
      <c r="B158" s="1" t="n">
        <v>45825.53508101852</v>
      </c>
      <c r="C158" s="1" t="n">
        <v>45992</v>
      </c>
      <c r="D158" t="inlineStr">
        <is>
          <t>DALARNAS LÄN</t>
        </is>
      </c>
      <c r="E158" t="inlineStr">
        <is>
          <t>HEDEMORA</t>
        </is>
      </c>
      <c r="G158" t="n">
        <v>4.1</v>
      </c>
      <c r="H158" t="n">
        <v>0</v>
      </c>
      <c r="I158" t="n">
        <v>0</v>
      </c>
      <c r="J158" t="n">
        <v>0</v>
      </c>
      <c r="K158" t="n">
        <v>0</v>
      </c>
      <c r="L158" t="n">
        <v>0</v>
      </c>
      <c r="M158" t="n">
        <v>0</v>
      </c>
      <c r="N158" t="n">
        <v>0</v>
      </c>
      <c r="O158" t="n">
        <v>0</v>
      </c>
      <c r="P158" t="n">
        <v>0</v>
      </c>
      <c r="Q158" t="n">
        <v>0</v>
      </c>
      <c r="R158" s="2" t="inlineStr"/>
    </row>
    <row r="159" ht="15" customHeight="1">
      <c r="A159" t="inlineStr">
        <is>
          <t>A 23501-2023</t>
        </is>
      </c>
      <c r="B159" s="1" t="n">
        <v>45076.73979166667</v>
      </c>
      <c r="C159" s="1" t="n">
        <v>45992</v>
      </c>
      <c r="D159" t="inlineStr">
        <is>
          <t>DALARNAS LÄN</t>
        </is>
      </c>
      <c r="E159" t="inlineStr">
        <is>
          <t>HEDEMORA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50885-2023</t>
        </is>
      </c>
      <c r="B160" s="1" t="n">
        <v>45218.38459490741</v>
      </c>
      <c r="C160" s="1" t="n">
        <v>45992</v>
      </c>
      <c r="D160" t="inlineStr">
        <is>
          <t>DALARNAS LÄN</t>
        </is>
      </c>
      <c r="E160" t="inlineStr">
        <is>
          <t>HEDEMORA</t>
        </is>
      </c>
      <c r="G160" t="n">
        <v>0.7</v>
      </c>
      <c r="H160" t="n">
        <v>0</v>
      </c>
      <c r="I160" t="n">
        <v>0</v>
      </c>
      <c r="J160" t="n">
        <v>0</v>
      </c>
      <c r="K160" t="n">
        <v>0</v>
      </c>
      <c r="L160" t="n">
        <v>0</v>
      </c>
      <c r="M160" t="n">
        <v>0</v>
      </c>
      <c r="N160" t="n">
        <v>0</v>
      </c>
      <c r="O160" t="n">
        <v>0</v>
      </c>
      <c r="P160" t="n">
        <v>0</v>
      </c>
      <c r="Q160" t="n">
        <v>0</v>
      </c>
      <c r="R160" s="2" t="inlineStr"/>
    </row>
    <row r="161" ht="15" customHeight="1">
      <c r="A161" t="inlineStr">
        <is>
          <t>A 42510-2025</t>
        </is>
      </c>
      <c r="B161" s="1" t="n">
        <v>45905.54068287037</v>
      </c>
      <c r="C161" s="1" t="n">
        <v>45992</v>
      </c>
      <c r="D161" t="inlineStr">
        <is>
          <t>DALARNAS LÄN</t>
        </is>
      </c>
      <c r="E161" t="inlineStr">
        <is>
          <t>HEDEMORA</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53576-2023</t>
        </is>
      </c>
      <c r="B162" s="1" t="n">
        <v>45230.50288194444</v>
      </c>
      <c r="C162" s="1" t="n">
        <v>45992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53588-2023</t>
        </is>
      </c>
      <c r="B163" s="1" t="n">
        <v>45230.53109953704</v>
      </c>
      <c r="C163" s="1" t="n">
        <v>45992</v>
      </c>
      <c r="D163" t="inlineStr">
        <is>
          <t>DALARNAS LÄN</t>
        </is>
      </c>
      <c r="E163" t="inlineStr">
        <is>
          <t>HEDEMORA</t>
        </is>
      </c>
      <c r="G163" t="n">
        <v>0.6</v>
      </c>
      <c r="H163" t="n">
        <v>0</v>
      </c>
      <c r="I163" t="n">
        <v>0</v>
      </c>
      <c r="J163" t="n">
        <v>0</v>
      </c>
      <c r="K163" t="n">
        <v>0</v>
      </c>
      <c r="L163" t="n">
        <v>0</v>
      </c>
      <c r="M163" t="n">
        <v>0</v>
      </c>
      <c r="N163" t="n">
        <v>0</v>
      </c>
      <c r="O163" t="n">
        <v>0</v>
      </c>
      <c r="P163" t="n">
        <v>0</v>
      </c>
      <c r="Q163" t="n">
        <v>0</v>
      </c>
      <c r="R163" s="2" t="inlineStr"/>
    </row>
    <row r="164" ht="15" customHeight="1">
      <c r="A164" t="inlineStr">
        <is>
          <t>A 8342-2025</t>
        </is>
      </c>
      <c r="B164" s="1" t="n">
        <v>45708.67251157408</v>
      </c>
      <c r="C164" s="1" t="n">
        <v>45992</v>
      </c>
      <c r="D164" t="inlineStr">
        <is>
          <t>DALARNAS LÄN</t>
        </is>
      </c>
      <c r="E164" t="inlineStr">
        <is>
          <t>HEDEMORA</t>
        </is>
      </c>
      <c r="G164" t="n">
        <v>0.8</v>
      </c>
      <c r="H164" t="n">
        <v>0</v>
      </c>
      <c r="I164" t="n">
        <v>0</v>
      </c>
      <c r="J164" t="n">
        <v>0</v>
      </c>
      <c r="K164" t="n">
        <v>0</v>
      </c>
      <c r="L164" t="n">
        <v>0</v>
      </c>
      <c r="M164" t="n">
        <v>0</v>
      </c>
      <c r="N164" t="n">
        <v>0</v>
      </c>
      <c r="O164" t="n">
        <v>0</v>
      </c>
      <c r="P164" t="n">
        <v>0</v>
      </c>
      <c r="Q164" t="n">
        <v>0</v>
      </c>
      <c r="R164" s="2" t="inlineStr"/>
    </row>
    <row r="165" ht="15" customHeight="1">
      <c r="A165" t="inlineStr">
        <is>
          <t>A 28029-2023</t>
        </is>
      </c>
      <c r="B165" s="1" t="n">
        <v>45099</v>
      </c>
      <c r="C165" s="1" t="n">
        <v>45992</v>
      </c>
      <c r="D165" t="inlineStr">
        <is>
          <t>DALARNAS LÄN</t>
        </is>
      </c>
      <c r="E165" t="inlineStr">
        <is>
          <t>HEDEMORA</t>
        </is>
      </c>
      <c r="G165" t="n">
        <v>0.6</v>
      </c>
      <c r="H165" t="n">
        <v>0</v>
      </c>
      <c r="I165" t="n">
        <v>0</v>
      </c>
      <c r="J165" t="n">
        <v>0</v>
      </c>
      <c r="K165" t="n">
        <v>0</v>
      </c>
      <c r="L165" t="n">
        <v>0</v>
      </c>
      <c r="M165" t="n">
        <v>0</v>
      </c>
      <c r="N165" t="n">
        <v>0</v>
      </c>
      <c r="O165" t="n">
        <v>0</v>
      </c>
      <c r="P165" t="n">
        <v>0</v>
      </c>
      <c r="Q165" t="n">
        <v>0</v>
      </c>
      <c r="R165" s="2" t="inlineStr"/>
    </row>
    <row r="166" ht="15" customHeight="1">
      <c r="A166" t="inlineStr">
        <is>
          <t>A 30582-2025</t>
        </is>
      </c>
      <c r="B166" s="1" t="n">
        <v>45831.42349537037</v>
      </c>
      <c r="C166" s="1" t="n">
        <v>45992</v>
      </c>
      <c r="D166" t="inlineStr">
        <is>
          <t>DALARNAS LÄN</t>
        </is>
      </c>
      <c r="E166" t="inlineStr">
        <is>
          <t>HEDEMORA</t>
        </is>
      </c>
      <c r="G166" t="n">
        <v>1.8</v>
      </c>
      <c r="H166" t="n">
        <v>0</v>
      </c>
      <c r="I166" t="n">
        <v>0</v>
      </c>
      <c r="J166" t="n">
        <v>0</v>
      </c>
      <c r="K166" t="n">
        <v>0</v>
      </c>
      <c r="L166" t="n">
        <v>0</v>
      </c>
      <c r="M166" t="n">
        <v>0</v>
      </c>
      <c r="N166" t="n">
        <v>0</v>
      </c>
      <c r="O166" t="n">
        <v>0</v>
      </c>
      <c r="P166" t="n">
        <v>0</v>
      </c>
      <c r="Q166" t="n">
        <v>0</v>
      </c>
      <c r="R166" s="2" t="inlineStr"/>
    </row>
    <row r="167" ht="15" customHeight="1">
      <c r="A167" t="inlineStr">
        <is>
          <t>A 30472-2025</t>
        </is>
      </c>
      <c r="B167" s="1" t="n">
        <v>45827.94671296296</v>
      </c>
      <c r="C167" s="1" t="n">
        <v>45992</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45992</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30471-2025</t>
        </is>
      </c>
      <c r="B169" s="1" t="n">
        <v>45827.94552083333</v>
      </c>
      <c r="C169" s="1" t="n">
        <v>45992</v>
      </c>
      <c r="D169" t="inlineStr">
        <is>
          <t>DALARNAS LÄN</t>
        </is>
      </c>
      <c r="E169" t="inlineStr">
        <is>
          <t>HEDEMORA</t>
        </is>
      </c>
      <c r="G169" t="n">
        <v>0.3</v>
      </c>
      <c r="H169" t="n">
        <v>0</v>
      </c>
      <c r="I169" t="n">
        <v>0</v>
      </c>
      <c r="J169" t="n">
        <v>0</v>
      </c>
      <c r="K169" t="n">
        <v>0</v>
      </c>
      <c r="L169" t="n">
        <v>0</v>
      </c>
      <c r="M169" t="n">
        <v>0</v>
      </c>
      <c r="N169" t="n">
        <v>0</v>
      </c>
      <c r="O169" t="n">
        <v>0</v>
      </c>
      <c r="P169" t="n">
        <v>0</v>
      </c>
      <c r="Q169" t="n">
        <v>0</v>
      </c>
      <c r="R169" s="2" t="inlineStr"/>
    </row>
    <row r="170" ht="15" customHeight="1">
      <c r="A170" t="inlineStr">
        <is>
          <t>A 51695-2025</t>
        </is>
      </c>
      <c r="B170" s="1" t="n">
        <v>45951.54824074074</v>
      </c>
      <c r="C170" s="1" t="n">
        <v>45992</v>
      </c>
      <c r="D170" t="inlineStr">
        <is>
          <t>DALARNAS LÄN</t>
        </is>
      </c>
      <c r="E170" t="inlineStr">
        <is>
          <t>HEDEMORA</t>
        </is>
      </c>
      <c r="G170" t="n">
        <v>2.1</v>
      </c>
      <c r="H170" t="n">
        <v>0</v>
      </c>
      <c r="I170" t="n">
        <v>0</v>
      </c>
      <c r="J170" t="n">
        <v>0</v>
      </c>
      <c r="K170" t="n">
        <v>0</v>
      </c>
      <c r="L170" t="n">
        <v>0</v>
      </c>
      <c r="M170" t="n">
        <v>0</v>
      </c>
      <c r="N170" t="n">
        <v>0</v>
      </c>
      <c r="O170" t="n">
        <v>0</v>
      </c>
      <c r="P170" t="n">
        <v>0</v>
      </c>
      <c r="Q170" t="n">
        <v>0</v>
      </c>
      <c r="R170" s="2" t="inlineStr"/>
    </row>
    <row r="171" ht="15" customHeight="1">
      <c r="A171" t="inlineStr">
        <is>
          <t>A 51615-2025</t>
        </is>
      </c>
      <c r="B171" s="1" t="n">
        <v>45951.40246527778</v>
      </c>
      <c r="C171" s="1" t="n">
        <v>45992</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32071-2021</t>
        </is>
      </c>
      <c r="B172" s="1" t="n">
        <v>44370.90546296296</v>
      </c>
      <c r="C172" s="1" t="n">
        <v>45992</v>
      </c>
      <c r="D172" t="inlineStr">
        <is>
          <t>DALARNAS LÄN</t>
        </is>
      </c>
      <c r="E172" t="inlineStr">
        <is>
          <t>HEDEMORA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52325-2025</t>
        </is>
      </c>
      <c r="B173" s="1" t="n">
        <v>45953.67032407408</v>
      </c>
      <c r="C173" s="1" t="n">
        <v>45992</v>
      </c>
      <c r="D173" t="inlineStr">
        <is>
          <t>DALARNAS LÄN</t>
        </is>
      </c>
      <c r="E173" t="inlineStr">
        <is>
          <t>HEDEMORA</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45992</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45992</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52328-2025</t>
        </is>
      </c>
      <c r="B176" s="1" t="n">
        <v>45953.67157407408</v>
      </c>
      <c r="C176" s="1" t="n">
        <v>45992</v>
      </c>
      <c r="D176" t="inlineStr">
        <is>
          <t>DALARNAS LÄN</t>
        </is>
      </c>
      <c r="E176" t="inlineStr">
        <is>
          <t>HEDEMORA</t>
        </is>
      </c>
      <c r="F176" t="inlineStr">
        <is>
          <t>Sveaskog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32865-2025</t>
        </is>
      </c>
      <c r="B177" s="1" t="n">
        <v>45839.58767361111</v>
      </c>
      <c r="C177" s="1" t="n">
        <v>45992</v>
      </c>
      <c r="D177" t="inlineStr">
        <is>
          <t>DALARNAS LÄN</t>
        </is>
      </c>
      <c r="E177" t="inlineStr">
        <is>
          <t>HEDEMORA</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32869-2025</t>
        </is>
      </c>
      <c r="B178" s="1" t="n">
        <v>45839.58927083333</v>
      </c>
      <c r="C178" s="1" t="n">
        <v>45992</v>
      </c>
      <c r="D178" t="inlineStr">
        <is>
          <t>DALARNAS LÄN</t>
        </is>
      </c>
      <c r="E178" t="inlineStr">
        <is>
          <t>HEDEMORA</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45992</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53586-2023</t>
        </is>
      </c>
      <c r="B180" s="1" t="n">
        <v>45230.52603009259</v>
      </c>
      <c r="C180" s="1" t="n">
        <v>45992</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61533-2021</t>
        </is>
      </c>
      <c r="B181" s="1" t="n">
        <v>44501</v>
      </c>
      <c r="C181" s="1" t="n">
        <v>45992</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50333-2023</t>
        </is>
      </c>
      <c r="B182" s="1" t="n">
        <v>45216</v>
      </c>
      <c r="C182" s="1" t="n">
        <v>45992</v>
      </c>
      <c r="D182" t="inlineStr">
        <is>
          <t>DALARNAS LÄN</t>
        </is>
      </c>
      <c r="E182" t="inlineStr">
        <is>
          <t>HEDEMORA</t>
        </is>
      </c>
      <c r="G182" t="n">
        <v>1.1</v>
      </c>
      <c r="H182" t="n">
        <v>0</v>
      </c>
      <c r="I182" t="n">
        <v>0</v>
      </c>
      <c r="J182" t="n">
        <v>0</v>
      </c>
      <c r="K182" t="n">
        <v>0</v>
      </c>
      <c r="L182" t="n">
        <v>0</v>
      </c>
      <c r="M182" t="n">
        <v>0</v>
      </c>
      <c r="N182" t="n">
        <v>0</v>
      </c>
      <c r="O182" t="n">
        <v>0</v>
      </c>
      <c r="P182" t="n">
        <v>0</v>
      </c>
      <c r="Q182" t="n">
        <v>0</v>
      </c>
      <c r="R182" s="2" t="inlineStr"/>
    </row>
    <row r="183" ht="15" customHeight="1">
      <c r="A183" t="inlineStr">
        <is>
          <t>A 33009-2025</t>
        </is>
      </c>
      <c r="B183" s="1" t="n">
        <v>45840</v>
      </c>
      <c r="C183" s="1" t="n">
        <v>45992</v>
      </c>
      <c r="D183" t="inlineStr">
        <is>
          <t>DALARNAS LÄN</t>
        </is>
      </c>
      <c r="E183" t="inlineStr">
        <is>
          <t>HEDEMORA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33286-2025</t>
        </is>
      </c>
      <c r="B184" s="1" t="n">
        <v>45840.81065972222</v>
      </c>
      <c r="C184" s="1" t="n">
        <v>45992</v>
      </c>
      <c r="D184" t="inlineStr">
        <is>
          <t>DALARNAS LÄN</t>
        </is>
      </c>
      <c r="E184" t="inlineStr">
        <is>
          <t>HEDEMORA</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33288-2025</t>
        </is>
      </c>
      <c r="B185" s="1" t="n">
        <v>45840</v>
      </c>
      <c r="C185" s="1" t="n">
        <v>45992</v>
      </c>
      <c r="D185" t="inlineStr">
        <is>
          <t>DALARNAS LÄN</t>
        </is>
      </c>
      <c r="E185" t="inlineStr">
        <is>
          <t>HEDEMORA</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52759-2025</t>
        </is>
      </c>
      <c r="B186" s="1" t="n">
        <v>45957.39364583333</v>
      </c>
      <c r="C186" s="1" t="n">
        <v>45992</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7916-2024</t>
        </is>
      </c>
      <c r="B187" s="1" t="n">
        <v>45350.46259259259</v>
      </c>
      <c r="C187" s="1" t="n">
        <v>45992</v>
      </c>
      <c r="D187" t="inlineStr">
        <is>
          <t>DALARNAS LÄN</t>
        </is>
      </c>
      <c r="E187" t="inlineStr">
        <is>
          <t>HEDEMORA</t>
        </is>
      </c>
      <c r="G187" t="n">
        <v>5.8</v>
      </c>
      <c r="H187" t="n">
        <v>0</v>
      </c>
      <c r="I187" t="n">
        <v>0</v>
      </c>
      <c r="J187" t="n">
        <v>0</v>
      </c>
      <c r="K187" t="n">
        <v>0</v>
      </c>
      <c r="L187" t="n">
        <v>0</v>
      </c>
      <c r="M187" t="n">
        <v>0</v>
      </c>
      <c r="N187" t="n">
        <v>0</v>
      </c>
      <c r="O187" t="n">
        <v>0</v>
      </c>
      <c r="P187" t="n">
        <v>0</v>
      </c>
      <c r="Q187" t="n">
        <v>0</v>
      </c>
      <c r="R187" s="2" t="inlineStr"/>
    </row>
    <row r="188" ht="15" customHeight="1">
      <c r="A188" t="inlineStr">
        <is>
          <t>A 52853-2025</t>
        </is>
      </c>
      <c r="B188" s="1" t="n">
        <v>45957.49408564815</v>
      </c>
      <c r="C188" s="1" t="n">
        <v>45992</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53044-2025</t>
        </is>
      </c>
      <c r="B189" s="1" t="n">
        <v>45958.35663194444</v>
      </c>
      <c r="C189" s="1" t="n">
        <v>45992</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34734-2025</t>
        </is>
      </c>
      <c r="B190" s="1" t="n">
        <v>45848</v>
      </c>
      <c r="C190" s="1" t="n">
        <v>45992</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45992</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45992</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52714-2025</t>
        </is>
      </c>
      <c r="B193" s="1" t="n">
        <v>45953</v>
      </c>
      <c r="C193" s="1" t="n">
        <v>45992</v>
      </c>
      <c r="D193" t="inlineStr">
        <is>
          <t>DALARNAS LÄN</t>
        </is>
      </c>
      <c r="E193" t="inlineStr">
        <is>
          <t>HEDEMORA</t>
        </is>
      </c>
      <c r="F193" t="inlineStr">
        <is>
          <t>Bergvik skog väst AB</t>
        </is>
      </c>
      <c r="G193" t="n">
        <v>14.7</v>
      </c>
      <c r="H193" t="n">
        <v>0</v>
      </c>
      <c r="I193" t="n">
        <v>0</v>
      </c>
      <c r="J193" t="n">
        <v>0</v>
      </c>
      <c r="K193" t="n">
        <v>0</v>
      </c>
      <c r="L193" t="n">
        <v>0</v>
      </c>
      <c r="M193" t="n">
        <v>0</v>
      </c>
      <c r="N193" t="n">
        <v>0</v>
      </c>
      <c r="O193" t="n">
        <v>0</v>
      </c>
      <c r="P193" t="n">
        <v>0</v>
      </c>
      <c r="Q193" t="n">
        <v>0</v>
      </c>
      <c r="R193" s="2" t="inlineStr"/>
    </row>
    <row r="194" ht="15" customHeight="1">
      <c r="A194" t="inlineStr">
        <is>
          <t>A 35103-2025</t>
        </is>
      </c>
      <c r="B194" s="1" t="n">
        <v>45852.56914351852</v>
      </c>
      <c r="C194" s="1" t="n">
        <v>45992</v>
      </c>
      <c r="D194" t="inlineStr">
        <is>
          <t>DALARNAS LÄN</t>
        </is>
      </c>
      <c r="E194" t="inlineStr">
        <is>
          <t>HEDEMORA</t>
        </is>
      </c>
      <c r="G194" t="n">
        <v>6.2</v>
      </c>
      <c r="H194" t="n">
        <v>0</v>
      </c>
      <c r="I194" t="n">
        <v>0</v>
      </c>
      <c r="J194" t="n">
        <v>0</v>
      </c>
      <c r="K194" t="n">
        <v>0</v>
      </c>
      <c r="L194" t="n">
        <v>0</v>
      </c>
      <c r="M194" t="n">
        <v>0</v>
      </c>
      <c r="N194" t="n">
        <v>0</v>
      </c>
      <c r="O194" t="n">
        <v>0</v>
      </c>
      <c r="P194" t="n">
        <v>0</v>
      </c>
      <c r="Q194" t="n">
        <v>0</v>
      </c>
      <c r="R194" s="2" t="inlineStr"/>
    </row>
    <row r="195" ht="15" customHeight="1">
      <c r="A195" t="inlineStr">
        <is>
          <t>A 44850-2025</t>
        </is>
      </c>
      <c r="B195" s="1" t="n">
        <v>45918.44587962963</v>
      </c>
      <c r="C195" s="1" t="n">
        <v>45992</v>
      </c>
      <c r="D195" t="inlineStr">
        <is>
          <t>DALARNAS LÄN</t>
        </is>
      </c>
      <c r="E195" t="inlineStr">
        <is>
          <t>HEDEMORA</t>
        </is>
      </c>
      <c r="G195" t="n">
        <v>3.9</v>
      </c>
      <c r="H195" t="n">
        <v>0</v>
      </c>
      <c r="I195" t="n">
        <v>0</v>
      </c>
      <c r="J195" t="n">
        <v>0</v>
      </c>
      <c r="K195" t="n">
        <v>0</v>
      </c>
      <c r="L195" t="n">
        <v>0</v>
      </c>
      <c r="M195" t="n">
        <v>0</v>
      </c>
      <c r="N195" t="n">
        <v>0</v>
      </c>
      <c r="O195" t="n">
        <v>0</v>
      </c>
      <c r="P195" t="n">
        <v>0</v>
      </c>
      <c r="Q195" t="n">
        <v>0</v>
      </c>
      <c r="R195" s="2" t="inlineStr"/>
    </row>
    <row r="196" ht="15" customHeight="1">
      <c r="A196" t="inlineStr">
        <is>
          <t>A 15048-2025</t>
        </is>
      </c>
      <c r="B196" s="1" t="n">
        <v>45743.69820601852</v>
      </c>
      <c r="C196" s="1" t="n">
        <v>45992</v>
      </c>
      <c r="D196" t="inlineStr">
        <is>
          <t>DALARNAS LÄN</t>
        </is>
      </c>
      <c r="E196" t="inlineStr">
        <is>
          <t>HEDEMORA</t>
        </is>
      </c>
      <c r="F196" t="inlineStr">
        <is>
          <t>Sveaskog</t>
        </is>
      </c>
      <c r="G196" t="n">
        <v>9.1</v>
      </c>
      <c r="H196" t="n">
        <v>0</v>
      </c>
      <c r="I196" t="n">
        <v>0</v>
      </c>
      <c r="J196" t="n">
        <v>0</v>
      </c>
      <c r="K196" t="n">
        <v>0</v>
      </c>
      <c r="L196" t="n">
        <v>0</v>
      </c>
      <c r="M196" t="n">
        <v>0</v>
      </c>
      <c r="N196" t="n">
        <v>0</v>
      </c>
      <c r="O196" t="n">
        <v>0</v>
      </c>
      <c r="P196" t="n">
        <v>0</v>
      </c>
      <c r="Q196" t="n">
        <v>0</v>
      </c>
      <c r="R196" s="2" t="inlineStr"/>
    </row>
    <row r="197" ht="15" customHeight="1">
      <c r="A197" t="inlineStr">
        <is>
          <t>A 52316-2025</t>
        </is>
      </c>
      <c r="B197" s="1" t="n">
        <v>45953.65537037037</v>
      </c>
      <c r="C197" s="1" t="n">
        <v>45992</v>
      </c>
      <c r="D197" t="inlineStr">
        <is>
          <t>DALARNAS LÄN</t>
        </is>
      </c>
      <c r="E197" t="inlineStr">
        <is>
          <t>HEDEMORA</t>
        </is>
      </c>
      <c r="F197" t="inlineStr">
        <is>
          <t>Sveaskog</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15054-2025</t>
        </is>
      </c>
      <c r="B198" s="1" t="n">
        <v>45743.70199074074</v>
      </c>
      <c r="C198" s="1" t="n">
        <v>45992</v>
      </c>
      <c r="D198" t="inlineStr">
        <is>
          <t>DALARNAS LÄN</t>
        </is>
      </c>
      <c r="E198" t="inlineStr">
        <is>
          <t>HEDEMORA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45992</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34409-2022</t>
        </is>
      </c>
      <c r="B200" s="1" t="n">
        <v>44792</v>
      </c>
      <c r="C200" s="1" t="n">
        <v>45992</v>
      </c>
      <c r="D200" t="inlineStr">
        <is>
          <t>DALARNAS LÄN</t>
        </is>
      </c>
      <c r="E200" t="inlineStr">
        <is>
          <t>HEDEMORA</t>
        </is>
      </c>
      <c r="G200" t="n">
        <v>13.7</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45992</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45290-2025</t>
        </is>
      </c>
      <c r="B202" s="1" t="n">
        <v>45920.37158564815</v>
      </c>
      <c r="C202" s="1" t="n">
        <v>45992</v>
      </c>
      <c r="D202" t="inlineStr">
        <is>
          <t>DALARNAS LÄN</t>
        </is>
      </c>
      <c r="E202" t="inlineStr">
        <is>
          <t>HEDEMORA</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44960-2021</t>
        </is>
      </c>
      <c r="B203" s="1" t="n">
        <v>44438.72253472222</v>
      </c>
      <c r="C203" s="1" t="n">
        <v>45992</v>
      </c>
      <c r="D203" t="inlineStr">
        <is>
          <t>DALARNAS LÄN</t>
        </is>
      </c>
      <c r="E203" t="inlineStr">
        <is>
          <t>HEDEMORA</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36075-2025</t>
        </is>
      </c>
      <c r="B204" s="1" t="n">
        <v>45866.43974537037</v>
      </c>
      <c r="C204" s="1" t="n">
        <v>45992</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34932-2024</t>
        </is>
      </c>
      <c r="B205" s="1" t="n">
        <v>45527.45431712963</v>
      </c>
      <c r="C205" s="1" t="n">
        <v>45992</v>
      </c>
      <c r="D205" t="inlineStr">
        <is>
          <t>DALARNAS LÄN</t>
        </is>
      </c>
      <c r="E205" t="inlineStr">
        <is>
          <t>HEDEMORA</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36103-2025</t>
        </is>
      </c>
      <c r="B206" s="1" t="n">
        <v>45866.55335648148</v>
      </c>
      <c r="C206" s="1" t="n">
        <v>45992</v>
      </c>
      <c r="D206" t="inlineStr">
        <is>
          <t>DALARNAS LÄN</t>
        </is>
      </c>
      <c r="E206" t="inlineStr">
        <is>
          <t>HEDEMORA</t>
        </is>
      </c>
      <c r="G206" t="n">
        <v>2.3</v>
      </c>
      <c r="H206" t="n">
        <v>0</v>
      </c>
      <c r="I206" t="n">
        <v>0</v>
      </c>
      <c r="J206" t="n">
        <v>0</v>
      </c>
      <c r="K206" t="n">
        <v>0</v>
      </c>
      <c r="L206" t="n">
        <v>0</v>
      </c>
      <c r="M206" t="n">
        <v>0</v>
      </c>
      <c r="N206" t="n">
        <v>0</v>
      </c>
      <c r="O206" t="n">
        <v>0</v>
      </c>
      <c r="P206" t="n">
        <v>0</v>
      </c>
      <c r="Q206" t="n">
        <v>0</v>
      </c>
      <c r="R206" s="2" t="inlineStr"/>
    </row>
    <row r="207" ht="15" customHeight="1">
      <c r="A207" t="inlineStr">
        <is>
          <t>A 36117-2025</t>
        </is>
      </c>
      <c r="B207" s="1" t="n">
        <v>45866.58664351852</v>
      </c>
      <c r="C207" s="1" t="n">
        <v>45992</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36206-2025</t>
        </is>
      </c>
      <c r="B208" s="1" t="n">
        <v>45867.45057870371</v>
      </c>
      <c r="C208" s="1" t="n">
        <v>45992</v>
      </c>
      <c r="D208" t="inlineStr">
        <is>
          <t>DALARNAS LÄN</t>
        </is>
      </c>
      <c r="E208" t="inlineStr">
        <is>
          <t>HEDEMORA</t>
        </is>
      </c>
      <c r="G208" t="n">
        <v>0.1</v>
      </c>
      <c r="H208" t="n">
        <v>0</v>
      </c>
      <c r="I208" t="n">
        <v>0</v>
      </c>
      <c r="J208" t="n">
        <v>0</v>
      </c>
      <c r="K208" t="n">
        <v>0</v>
      </c>
      <c r="L208" t="n">
        <v>0</v>
      </c>
      <c r="M208" t="n">
        <v>0</v>
      </c>
      <c r="N208" t="n">
        <v>0</v>
      </c>
      <c r="O208" t="n">
        <v>0</v>
      </c>
      <c r="P208" t="n">
        <v>0</v>
      </c>
      <c r="Q208" t="n">
        <v>0</v>
      </c>
      <c r="R208" s="2" t="inlineStr"/>
    </row>
    <row r="209" ht="15" customHeight="1">
      <c r="A209" t="inlineStr">
        <is>
          <t>A 54040-2025</t>
        </is>
      </c>
      <c r="B209" s="1" t="n">
        <v>45963.74130787037</v>
      </c>
      <c r="C209" s="1" t="n">
        <v>45992</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45937-2025</t>
        </is>
      </c>
      <c r="B210" s="1" t="n">
        <v>45924.27231481481</v>
      </c>
      <c r="C210" s="1" t="n">
        <v>45992</v>
      </c>
      <c r="D210" t="inlineStr">
        <is>
          <t>DALARNAS LÄN</t>
        </is>
      </c>
      <c r="E210" t="inlineStr">
        <is>
          <t>HEDEMORA</t>
        </is>
      </c>
      <c r="G210" t="n">
        <v>3.9</v>
      </c>
      <c r="H210" t="n">
        <v>0</v>
      </c>
      <c r="I210" t="n">
        <v>0</v>
      </c>
      <c r="J210" t="n">
        <v>0</v>
      </c>
      <c r="K210" t="n">
        <v>0</v>
      </c>
      <c r="L210" t="n">
        <v>0</v>
      </c>
      <c r="M210" t="n">
        <v>0</v>
      </c>
      <c r="N210" t="n">
        <v>0</v>
      </c>
      <c r="O210" t="n">
        <v>0</v>
      </c>
      <c r="P210" t="n">
        <v>0</v>
      </c>
      <c r="Q210" t="n">
        <v>0</v>
      </c>
      <c r="R210" s="2" t="inlineStr"/>
    </row>
    <row r="211" ht="15" customHeight="1">
      <c r="A211" t="inlineStr">
        <is>
          <t>A 36656-2025</t>
        </is>
      </c>
      <c r="B211" s="1" t="n">
        <v>45873.34642361111</v>
      </c>
      <c r="C211" s="1" t="n">
        <v>45992</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45936-2025</t>
        </is>
      </c>
      <c r="B212" s="1" t="n">
        <v>45924.26582175926</v>
      </c>
      <c r="C212" s="1" t="n">
        <v>45992</v>
      </c>
      <c r="D212" t="inlineStr">
        <is>
          <t>DALARNAS LÄN</t>
        </is>
      </c>
      <c r="E212" t="inlineStr">
        <is>
          <t>HEDEMORA</t>
        </is>
      </c>
      <c r="G212" t="n">
        <v>4.7</v>
      </c>
      <c r="H212" t="n">
        <v>0</v>
      </c>
      <c r="I212" t="n">
        <v>0</v>
      </c>
      <c r="J212" t="n">
        <v>0</v>
      </c>
      <c r="K212" t="n">
        <v>0</v>
      </c>
      <c r="L212" t="n">
        <v>0</v>
      </c>
      <c r="M212" t="n">
        <v>0</v>
      </c>
      <c r="N212" t="n">
        <v>0</v>
      </c>
      <c r="O212" t="n">
        <v>0</v>
      </c>
      <c r="P212" t="n">
        <v>0</v>
      </c>
      <c r="Q212" t="n">
        <v>0</v>
      </c>
      <c r="R212" s="2" t="inlineStr"/>
    </row>
    <row r="213" ht="15" customHeight="1">
      <c r="A213" t="inlineStr">
        <is>
          <t>A 45938-2025</t>
        </is>
      </c>
      <c r="B213" s="1" t="n">
        <v>45924.27704861111</v>
      </c>
      <c r="C213" s="1" t="n">
        <v>45992</v>
      </c>
      <c r="D213" t="inlineStr">
        <is>
          <t>DALARNAS LÄN</t>
        </is>
      </c>
      <c r="E213" t="inlineStr">
        <is>
          <t>HEDEMORA</t>
        </is>
      </c>
      <c r="G213" t="n">
        <v>1.9</v>
      </c>
      <c r="H213" t="n">
        <v>0</v>
      </c>
      <c r="I213" t="n">
        <v>0</v>
      </c>
      <c r="J213" t="n">
        <v>0</v>
      </c>
      <c r="K213" t="n">
        <v>0</v>
      </c>
      <c r="L213" t="n">
        <v>0</v>
      </c>
      <c r="M213" t="n">
        <v>0</v>
      </c>
      <c r="N213" t="n">
        <v>0</v>
      </c>
      <c r="O213" t="n">
        <v>0</v>
      </c>
      <c r="P213" t="n">
        <v>0</v>
      </c>
      <c r="Q213" t="n">
        <v>0</v>
      </c>
      <c r="R213" s="2" t="inlineStr"/>
    </row>
    <row r="214" ht="15" customHeight="1">
      <c r="A214" t="inlineStr">
        <is>
          <t>A 29303-2023</t>
        </is>
      </c>
      <c r="B214" s="1" t="n">
        <v>45105</v>
      </c>
      <c r="C214" s="1" t="n">
        <v>45992</v>
      </c>
      <c r="D214" t="inlineStr">
        <is>
          <t>DALARNAS LÄN</t>
        </is>
      </c>
      <c r="E214" t="inlineStr">
        <is>
          <t>HEDEMORA</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20271-2025</t>
        </is>
      </c>
      <c r="B215" s="1" t="n">
        <v>45773.71568287037</v>
      </c>
      <c r="C215" s="1" t="n">
        <v>45992</v>
      </c>
      <c r="D215" t="inlineStr">
        <is>
          <t>DALARNAS LÄN</t>
        </is>
      </c>
      <c r="E215" t="inlineStr">
        <is>
          <t>HEDEMORA</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46287-2025</t>
        </is>
      </c>
      <c r="B216" s="1" t="n">
        <v>45925.38450231482</v>
      </c>
      <c r="C216" s="1" t="n">
        <v>45992</v>
      </c>
      <c r="D216" t="inlineStr">
        <is>
          <t>DALARNAS LÄN</t>
        </is>
      </c>
      <c r="E216" t="inlineStr">
        <is>
          <t>HEDEMORA</t>
        </is>
      </c>
      <c r="G216" t="n">
        <v>7.3</v>
      </c>
      <c r="H216" t="n">
        <v>0</v>
      </c>
      <c r="I216" t="n">
        <v>0</v>
      </c>
      <c r="J216" t="n">
        <v>0</v>
      </c>
      <c r="K216" t="n">
        <v>0</v>
      </c>
      <c r="L216" t="n">
        <v>0</v>
      </c>
      <c r="M216" t="n">
        <v>0</v>
      </c>
      <c r="N216" t="n">
        <v>0</v>
      </c>
      <c r="O216" t="n">
        <v>0</v>
      </c>
      <c r="P216" t="n">
        <v>0</v>
      </c>
      <c r="Q216" t="n">
        <v>0</v>
      </c>
      <c r="R216" s="2" t="inlineStr"/>
    </row>
    <row r="217" ht="15" customHeight="1">
      <c r="A217" t="inlineStr">
        <is>
          <t>A 20273-2025</t>
        </is>
      </c>
      <c r="B217" s="1" t="n">
        <v>45773.71921296296</v>
      </c>
      <c r="C217" s="1" t="n">
        <v>45992</v>
      </c>
      <c r="D217" t="inlineStr">
        <is>
          <t>DALARNAS LÄN</t>
        </is>
      </c>
      <c r="E217" t="inlineStr">
        <is>
          <t>HEDEMORA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29128-2025</t>
        </is>
      </c>
      <c r="B218" s="1" t="n">
        <v>45821.60116898148</v>
      </c>
      <c r="C218" s="1" t="n">
        <v>45992</v>
      </c>
      <c r="D218" t="inlineStr">
        <is>
          <t>DALARNAS LÄN</t>
        </is>
      </c>
      <c r="E218" t="inlineStr">
        <is>
          <t>HEDEMORA</t>
        </is>
      </c>
      <c r="F218" t="inlineStr">
        <is>
          <t>Sveaskog</t>
        </is>
      </c>
      <c r="G218" t="n">
        <v>15.5</v>
      </c>
      <c r="H218" t="n">
        <v>0</v>
      </c>
      <c r="I218" t="n">
        <v>0</v>
      </c>
      <c r="J218" t="n">
        <v>0</v>
      </c>
      <c r="K218" t="n">
        <v>0</v>
      </c>
      <c r="L218" t="n">
        <v>0</v>
      </c>
      <c r="M218" t="n">
        <v>0</v>
      </c>
      <c r="N218" t="n">
        <v>0</v>
      </c>
      <c r="O218" t="n">
        <v>0</v>
      </c>
      <c r="P218" t="n">
        <v>0</v>
      </c>
      <c r="Q218" t="n">
        <v>0</v>
      </c>
      <c r="R218" s="2" t="inlineStr"/>
    </row>
    <row r="219" ht="15" customHeight="1">
      <c r="A219" t="inlineStr">
        <is>
          <t>A 45983-2025</t>
        </is>
      </c>
      <c r="B219" s="1" t="n">
        <v>45924.37988425926</v>
      </c>
      <c r="C219" s="1" t="n">
        <v>45992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29792-2025</t>
        </is>
      </c>
      <c r="B220" s="1" t="n">
        <v>45825.66416666667</v>
      </c>
      <c r="C220" s="1" t="n">
        <v>45992</v>
      </c>
      <c r="D220" t="inlineStr">
        <is>
          <t>DALARNAS LÄN</t>
        </is>
      </c>
      <c r="E220" t="inlineStr">
        <is>
          <t>HEDEMORA</t>
        </is>
      </c>
      <c r="F220" t="inlineStr">
        <is>
          <t>Sveaskog</t>
        </is>
      </c>
      <c r="G220" t="n">
        <v>26.3</v>
      </c>
      <c r="H220" t="n">
        <v>0</v>
      </c>
      <c r="I220" t="n">
        <v>0</v>
      </c>
      <c r="J220" t="n">
        <v>0</v>
      </c>
      <c r="K220" t="n">
        <v>0</v>
      </c>
      <c r="L220" t="n">
        <v>0</v>
      </c>
      <c r="M220" t="n">
        <v>0</v>
      </c>
      <c r="N220" t="n">
        <v>0</v>
      </c>
      <c r="O220" t="n">
        <v>0</v>
      </c>
      <c r="P220" t="n">
        <v>0</v>
      </c>
      <c r="Q220" t="n">
        <v>0</v>
      </c>
      <c r="R220" s="2" t="inlineStr"/>
    </row>
    <row r="221" ht="15" customHeight="1">
      <c r="A221" t="inlineStr">
        <is>
          <t>A 54830-2025</t>
        </is>
      </c>
      <c r="B221" s="1" t="n">
        <v>45966.67681712963</v>
      </c>
      <c r="C221" s="1" t="n">
        <v>45992</v>
      </c>
      <c r="D221" t="inlineStr">
        <is>
          <t>DALARNAS LÄN</t>
        </is>
      </c>
      <c r="E221" t="inlineStr">
        <is>
          <t>HEDEMORA</t>
        </is>
      </c>
      <c r="G221" t="n">
        <v>1.4</v>
      </c>
      <c r="H221" t="n">
        <v>0</v>
      </c>
      <c r="I221" t="n">
        <v>0</v>
      </c>
      <c r="J221" t="n">
        <v>0</v>
      </c>
      <c r="K221" t="n">
        <v>0</v>
      </c>
      <c r="L221" t="n">
        <v>0</v>
      </c>
      <c r="M221" t="n">
        <v>0</v>
      </c>
      <c r="N221" t="n">
        <v>0</v>
      </c>
      <c r="O221" t="n">
        <v>0</v>
      </c>
      <c r="P221" t="n">
        <v>0</v>
      </c>
      <c r="Q221" t="n">
        <v>0</v>
      </c>
      <c r="R221" s="2" t="inlineStr"/>
    </row>
    <row r="222" ht="15" customHeight="1">
      <c r="A222" t="inlineStr">
        <is>
          <t>A 54829-2025</t>
        </is>
      </c>
      <c r="B222" s="1" t="n">
        <v>45966.67506944444</v>
      </c>
      <c r="C222" s="1" t="n">
        <v>45992</v>
      </c>
      <c r="D222" t="inlineStr">
        <is>
          <t>DALARNAS LÄN</t>
        </is>
      </c>
      <c r="E222" t="inlineStr">
        <is>
          <t>HEDEMORA</t>
        </is>
      </c>
      <c r="G222" t="n">
        <v>2.2</v>
      </c>
      <c r="H222" t="n">
        <v>0</v>
      </c>
      <c r="I222" t="n">
        <v>0</v>
      </c>
      <c r="J222" t="n">
        <v>0</v>
      </c>
      <c r="K222" t="n">
        <v>0</v>
      </c>
      <c r="L222" t="n">
        <v>0</v>
      </c>
      <c r="M222" t="n">
        <v>0</v>
      </c>
      <c r="N222" t="n">
        <v>0</v>
      </c>
      <c r="O222" t="n">
        <v>0</v>
      </c>
      <c r="P222" t="n">
        <v>0</v>
      </c>
      <c r="Q222" t="n">
        <v>0</v>
      </c>
      <c r="R222" s="2" t="inlineStr"/>
    </row>
    <row r="223" ht="15" customHeight="1">
      <c r="A223" t="inlineStr">
        <is>
          <t>A 59232-2023</t>
        </is>
      </c>
      <c r="B223" s="1" t="n">
        <v>45253.5053587963</v>
      </c>
      <c r="C223" s="1" t="n">
        <v>45992</v>
      </c>
      <c r="D223" t="inlineStr">
        <is>
          <t>DALARNAS LÄN</t>
        </is>
      </c>
      <c r="E223" t="inlineStr">
        <is>
          <t>HEDEMORA</t>
        </is>
      </c>
      <c r="G223" t="n">
        <v>3.7</v>
      </c>
      <c r="H223" t="n">
        <v>0</v>
      </c>
      <c r="I223" t="n">
        <v>0</v>
      </c>
      <c r="J223" t="n">
        <v>0</v>
      </c>
      <c r="K223" t="n">
        <v>0</v>
      </c>
      <c r="L223" t="n">
        <v>0</v>
      </c>
      <c r="M223" t="n">
        <v>0</v>
      </c>
      <c r="N223" t="n">
        <v>0</v>
      </c>
      <c r="O223" t="n">
        <v>0</v>
      </c>
      <c r="P223" t="n">
        <v>0</v>
      </c>
      <c r="Q223" t="n">
        <v>0</v>
      </c>
      <c r="R223" s="2" t="inlineStr"/>
    </row>
    <row r="224" ht="15" customHeight="1">
      <c r="A224" t="inlineStr">
        <is>
          <t>A 3089-2024</t>
        </is>
      </c>
      <c r="B224" s="1" t="n">
        <v>45316</v>
      </c>
      <c r="C224" s="1" t="n">
        <v>45992</v>
      </c>
      <c r="D224" t="inlineStr">
        <is>
          <t>DALARNAS LÄN</t>
        </is>
      </c>
      <c r="E224" t="inlineStr">
        <is>
          <t>HEDEMORA</t>
        </is>
      </c>
      <c r="G224" t="n">
        <v>5.5</v>
      </c>
      <c r="H224" t="n">
        <v>0</v>
      </c>
      <c r="I224" t="n">
        <v>0</v>
      </c>
      <c r="J224" t="n">
        <v>0</v>
      </c>
      <c r="K224" t="n">
        <v>0</v>
      </c>
      <c r="L224" t="n">
        <v>0</v>
      </c>
      <c r="M224" t="n">
        <v>0</v>
      </c>
      <c r="N224" t="n">
        <v>0</v>
      </c>
      <c r="O224" t="n">
        <v>0</v>
      </c>
      <c r="P224" t="n">
        <v>0</v>
      </c>
      <c r="Q224" t="n">
        <v>0</v>
      </c>
      <c r="R224" s="2" t="inlineStr"/>
    </row>
    <row r="225" ht="15" customHeight="1">
      <c r="A225" t="inlineStr">
        <is>
          <t>A 29587-2024</t>
        </is>
      </c>
      <c r="B225" s="1" t="n">
        <v>45484.5799537037</v>
      </c>
      <c r="C225" s="1" t="n">
        <v>45992</v>
      </c>
      <c r="D225" t="inlineStr">
        <is>
          <t>DALARNAS LÄN</t>
        </is>
      </c>
      <c r="E225" t="inlineStr">
        <is>
          <t>HEDEMORA</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55606-2025</t>
        </is>
      </c>
      <c r="B226" s="1" t="n">
        <v>45971.79564814815</v>
      </c>
      <c r="C226" s="1" t="n">
        <v>45992</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21864-2025</t>
        </is>
      </c>
      <c r="B227" s="1" t="n">
        <v>45784</v>
      </c>
      <c r="C227" s="1" t="n">
        <v>45992</v>
      </c>
      <c r="D227" t="inlineStr">
        <is>
          <t>DALARNAS LÄN</t>
        </is>
      </c>
      <c r="E227" t="inlineStr">
        <is>
          <t>HEDEMORA</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37574-2025</t>
        </is>
      </c>
      <c r="B228" s="1" t="n">
        <v>45880.37949074074</v>
      </c>
      <c r="C228" s="1" t="n">
        <v>45992</v>
      </c>
      <c r="D228" t="inlineStr">
        <is>
          <t>DALARNAS LÄN</t>
        </is>
      </c>
      <c r="E228" t="inlineStr">
        <is>
          <t>HEDEMORA</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19690-2025</t>
        </is>
      </c>
      <c r="B229" s="1" t="n">
        <v>45770</v>
      </c>
      <c r="C229" s="1" t="n">
        <v>45992</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row>
    <row r="230" ht="15" customHeight="1">
      <c r="A230" t="inlineStr">
        <is>
          <t>A 21868-2025</t>
        </is>
      </c>
      <c r="B230" s="1" t="n">
        <v>45784</v>
      </c>
      <c r="C230" s="1" t="n">
        <v>45992</v>
      </c>
      <c r="D230" t="inlineStr">
        <is>
          <t>DALARNAS LÄN</t>
        </is>
      </c>
      <c r="E230" t="inlineStr">
        <is>
          <t>HEDEMORA</t>
        </is>
      </c>
      <c r="F230" t="inlineStr">
        <is>
          <t>Sveaskog</t>
        </is>
      </c>
      <c r="G230" t="n">
        <v>10.1</v>
      </c>
      <c r="H230" t="n">
        <v>0</v>
      </c>
      <c r="I230" t="n">
        <v>0</v>
      </c>
      <c r="J230" t="n">
        <v>0</v>
      </c>
      <c r="K230" t="n">
        <v>0</v>
      </c>
      <c r="L230" t="n">
        <v>0</v>
      </c>
      <c r="M230" t="n">
        <v>0</v>
      </c>
      <c r="N230" t="n">
        <v>0</v>
      </c>
      <c r="O230" t="n">
        <v>0</v>
      </c>
      <c r="P230" t="n">
        <v>0</v>
      </c>
      <c r="Q230" t="n">
        <v>0</v>
      </c>
      <c r="R230" s="2" t="inlineStr"/>
    </row>
    <row r="231" ht="15" customHeight="1">
      <c r="A231" t="inlineStr">
        <is>
          <t>A 53584-2023</t>
        </is>
      </c>
      <c r="B231" s="1" t="n">
        <v>45230</v>
      </c>
      <c r="C231" s="1" t="n">
        <v>45992</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60786-2023</t>
        </is>
      </c>
      <c r="B232" s="1" t="n">
        <v>45260.64891203704</v>
      </c>
      <c r="C232" s="1" t="n">
        <v>45992</v>
      </c>
      <c r="D232" t="inlineStr">
        <is>
          <t>DALARNAS LÄN</t>
        </is>
      </c>
      <c r="E232" t="inlineStr">
        <is>
          <t>HEDEMORA</t>
        </is>
      </c>
      <c r="G232" t="n">
        <v>7.1</v>
      </c>
      <c r="H232" t="n">
        <v>0</v>
      </c>
      <c r="I232" t="n">
        <v>0</v>
      </c>
      <c r="J232" t="n">
        <v>0</v>
      </c>
      <c r="K232" t="n">
        <v>0</v>
      </c>
      <c r="L232" t="n">
        <v>0</v>
      </c>
      <c r="M232" t="n">
        <v>0</v>
      </c>
      <c r="N232" t="n">
        <v>0</v>
      </c>
      <c r="O232" t="n">
        <v>0</v>
      </c>
      <c r="P232" t="n">
        <v>0</v>
      </c>
      <c r="Q232" t="n">
        <v>0</v>
      </c>
      <c r="R232" s="2" t="inlineStr"/>
    </row>
    <row r="233" ht="15" customHeight="1">
      <c r="A233" t="inlineStr">
        <is>
          <t>A 26612-2021</t>
        </is>
      </c>
      <c r="B233" s="1" t="n">
        <v>44348.64942129629</v>
      </c>
      <c r="C233" s="1" t="n">
        <v>45992</v>
      </c>
      <c r="D233" t="inlineStr">
        <is>
          <t>DALARNAS LÄN</t>
        </is>
      </c>
      <c r="E233" t="inlineStr">
        <is>
          <t>HEDEMORA</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55159-2025</t>
        </is>
      </c>
      <c r="B234" s="1" t="n">
        <v>45968.46832175926</v>
      </c>
      <c r="C234" s="1" t="n">
        <v>45992</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57745-2024</t>
        </is>
      </c>
      <c r="B235" s="1" t="n">
        <v>45630.77605324074</v>
      </c>
      <c r="C235" s="1" t="n">
        <v>45992</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53820-2025</t>
        </is>
      </c>
      <c r="B236" s="1" t="n">
        <v>45961.32736111111</v>
      </c>
      <c r="C236" s="1" t="n">
        <v>45992</v>
      </c>
      <c r="D236" t="inlineStr">
        <is>
          <t>DALARNAS LÄN</t>
        </is>
      </c>
      <c r="E236" t="inlineStr">
        <is>
          <t>HEDEMORA</t>
        </is>
      </c>
      <c r="G236" t="n">
        <v>10</v>
      </c>
      <c r="H236" t="n">
        <v>0</v>
      </c>
      <c r="I236" t="n">
        <v>0</v>
      </c>
      <c r="J236" t="n">
        <v>0</v>
      </c>
      <c r="K236" t="n">
        <v>0</v>
      </c>
      <c r="L236" t="n">
        <v>0</v>
      </c>
      <c r="M236" t="n">
        <v>0</v>
      </c>
      <c r="N236" t="n">
        <v>0</v>
      </c>
      <c r="O236" t="n">
        <v>0</v>
      </c>
      <c r="P236" t="n">
        <v>0</v>
      </c>
      <c r="Q236" t="n">
        <v>0</v>
      </c>
      <c r="R236" s="2" t="inlineStr"/>
    </row>
    <row r="237" ht="15" customHeight="1">
      <c r="A237" t="inlineStr">
        <is>
          <t>A 55601-2025</t>
        </is>
      </c>
      <c r="B237" s="1" t="n">
        <v>45971.78122685185</v>
      </c>
      <c r="C237" s="1" t="n">
        <v>45992</v>
      </c>
      <c r="D237" t="inlineStr">
        <is>
          <t>DALARNAS LÄN</t>
        </is>
      </c>
      <c r="E237" t="inlineStr">
        <is>
          <t>HEDEMORA</t>
        </is>
      </c>
      <c r="G237" t="n">
        <v>3.2</v>
      </c>
      <c r="H237" t="n">
        <v>0</v>
      </c>
      <c r="I237" t="n">
        <v>0</v>
      </c>
      <c r="J237" t="n">
        <v>0</v>
      </c>
      <c r="K237" t="n">
        <v>0</v>
      </c>
      <c r="L237" t="n">
        <v>0</v>
      </c>
      <c r="M237" t="n">
        <v>0</v>
      </c>
      <c r="N237" t="n">
        <v>0</v>
      </c>
      <c r="O237" t="n">
        <v>0</v>
      </c>
      <c r="P237" t="n">
        <v>0</v>
      </c>
      <c r="Q237" t="n">
        <v>0</v>
      </c>
      <c r="R237" s="2" t="inlineStr"/>
    </row>
    <row r="238" ht="15" customHeight="1">
      <c r="A238" t="inlineStr">
        <is>
          <t>A 55917-2025</t>
        </is>
      </c>
      <c r="B238" s="1" t="n">
        <v>45973.41158564815</v>
      </c>
      <c r="C238" s="1" t="n">
        <v>45992</v>
      </c>
      <c r="D238" t="inlineStr">
        <is>
          <t>DALARNAS LÄN</t>
        </is>
      </c>
      <c r="E238" t="inlineStr">
        <is>
          <t>HEDEMORA</t>
        </is>
      </c>
      <c r="G238" t="n">
        <v>7.8</v>
      </c>
      <c r="H238" t="n">
        <v>0</v>
      </c>
      <c r="I238" t="n">
        <v>0</v>
      </c>
      <c r="J238" t="n">
        <v>0</v>
      </c>
      <c r="K238" t="n">
        <v>0</v>
      </c>
      <c r="L238" t="n">
        <v>0</v>
      </c>
      <c r="M238" t="n">
        <v>0</v>
      </c>
      <c r="N238" t="n">
        <v>0</v>
      </c>
      <c r="O238" t="n">
        <v>0</v>
      </c>
      <c r="P238" t="n">
        <v>0</v>
      </c>
      <c r="Q238" t="n">
        <v>0</v>
      </c>
      <c r="R238" s="2" t="inlineStr"/>
    </row>
    <row r="239" ht="15" customHeight="1">
      <c r="A239" t="inlineStr">
        <is>
          <t>A 56070-2025</t>
        </is>
      </c>
      <c r="B239" s="1" t="n">
        <v>45973.65067129629</v>
      </c>
      <c r="C239" s="1" t="n">
        <v>45992</v>
      </c>
      <c r="D239" t="inlineStr">
        <is>
          <t>DALARNAS LÄN</t>
        </is>
      </c>
      <c r="E239" t="inlineStr">
        <is>
          <t>HEDEMORA</t>
        </is>
      </c>
      <c r="F239" t="inlineStr">
        <is>
          <t>Bergvik skog väst AB</t>
        </is>
      </c>
      <c r="G239" t="n">
        <v>5.4</v>
      </c>
      <c r="H239" t="n">
        <v>0</v>
      </c>
      <c r="I239" t="n">
        <v>0</v>
      </c>
      <c r="J239" t="n">
        <v>0</v>
      </c>
      <c r="K239" t="n">
        <v>0</v>
      </c>
      <c r="L239" t="n">
        <v>0</v>
      </c>
      <c r="M239" t="n">
        <v>0</v>
      </c>
      <c r="N239" t="n">
        <v>0</v>
      </c>
      <c r="O239" t="n">
        <v>0</v>
      </c>
      <c r="P239" t="n">
        <v>0</v>
      </c>
      <c r="Q239" t="n">
        <v>0</v>
      </c>
      <c r="R239" s="2" t="inlineStr"/>
    </row>
    <row r="240" ht="15" customHeight="1">
      <c r="A240" t="inlineStr">
        <is>
          <t>A 37573-2025</t>
        </is>
      </c>
      <c r="B240" s="1" t="n">
        <v>45880.37711805556</v>
      </c>
      <c r="C240" s="1" t="n">
        <v>45992</v>
      </c>
      <c r="D240" t="inlineStr">
        <is>
          <t>DALARNAS LÄN</t>
        </is>
      </c>
      <c r="E240" t="inlineStr">
        <is>
          <t>HEDEMORA</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45992</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33287-2025</t>
        </is>
      </c>
      <c r="B242" s="1" t="n">
        <v>45840.81216435185</v>
      </c>
      <c r="C242" s="1" t="n">
        <v>45992</v>
      </c>
      <c r="D242" t="inlineStr">
        <is>
          <t>DALARNAS LÄN</t>
        </is>
      </c>
      <c r="E242" t="inlineStr">
        <is>
          <t>HEDEMORA</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56676-2025</t>
        </is>
      </c>
      <c r="B243" s="1" t="n">
        <v>45975.7162962963</v>
      </c>
      <c r="C243" s="1" t="n">
        <v>45992</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56679-2025</t>
        </is>
      </c>
      <c r="B244" s="1" t="n">
        <v>45975.78238425926</v>
      </c>
      <c r="C244" s="1" t="n">
        <v>45992</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48254-2023</t>
        </is>
      </c>
      <c r="B245" s="1" t="n">
        <v>45205.53241898148</v>
      </c>
      <c r="C245" s="1" t="n">
        <v>45992</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c r="U245">
        <f>HYPERLINK("https://klasma.github.io/Logging_2083/knärot/A 48254-2023 karta knärot.png", "A 48254-2023")</f>
        <v/>
      </c>
      <c r="V245">
        <f>HYPERLINK("https://klasma.github.io/Logging_2083/klagomål/A 48254-2023 FSC-klagomål.docx", "A 48254-2023")</f>
        <v/>
      </c>
      <c r="W245">
        <f>HYPERLINK("https://klasma.github.io/Logging_2083/klagomålsmail/A 48254-2023 FSC-klagomål mail.docx", "A 48254-2023")</f>
        <v/>
      </c>
      <c r="X245">
        <f>HYPERLINK("https://klasma.github.io/Logging_2083/tillsyn/A 48254-2023 tillsynsbegäran.docx", "A 48254-2023")</f>
        <v/>
      </c>
      <c r="Y245">
        <f>HYPERLINK("https://klasma.github.io/Logging_2083/tillsynsmail/A 48254-2023 tillsynsbegäran mail.docx", "A 48254-2023")</f>
        <v/>
      </c>
    </row>
    <row r="246" ht="15" customHeight="1">
      <c r="A246" t="inlineStr">
        <is>
          <t>A 56378-2025</t>
        </is>
      </c>
      <c r="B246" s="1" t="n">
        <v>45974.70207175926</v>
      </c>
      <c r="C246" s="1" t="n">
        <v>45992</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65057-2023</t>
        </is>
      </c>
      <c r="B247" s="1" t="n">
        <v>45287</v>
      </c>
      <c r="C247" s="1" t="n">
        <v>45992</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48077-2025</t>
        </is>
      </c>
      <c r="B248" s="1" t="n">
        <v>45932.71114583333</v>
      </c>
      <c r="C248" s="1" t="n">
        <v>45992</v>
      </c>
      <c r="D248" t="inlineStr">
        <is>
          <t>DALARNAS LÄN</t>
        </is>
      </c>
      <c r="E248" t="inlineStr">
        <is>
          <t>HEDEMORA</t>
        </is>
      </c>
      <c r="G248" t="n">
        <v>1.8</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45992</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47841-2025</t>
        </is>
      </c>
      <c r="B250" s="1" t="n">
        <v>45932.37429398148</v>
      </c>
      <c r="C250" s="1" t="n">
        <v>45992</v>
      </c>
      <c r="D250" t="inlineStr">
        <is>
          <t>DALARNAS LÄN</t>
        </is>
      </c>
      <c r="E250" t="inlineStr">
        <is>
          <t>HEDEMORA</t>
        </is>
      </c>
      <c r="G250" t="n">
        <v>3</v>
      </c>
      <c r="H250" t="n">
        <v>0</v>
      </c>
      <c r="I250" t="n">
        <v>0</v>
      </c>
      <c r="J250" t="n">
        <v>0</v>
      </c>
      <c r="K250" t="n">
        <v>0</v>
      </c>
      <c r="L250" t="n">
        <v>0</v>
      </c>
      <c r="M250" t="n">
        <v>0</v>
      </c>
      <c r="N250" t="n">
        <v>0</v>
      </c>
      <c r="O250" t="n">
        <v>0</v>
      </c>
      <c r="P250" t="n">
        <v>0</v>
      </c>
      <c r="Q250" t="n">
        <v>0</v>
      </c>
      <c r="R250" s="2" t="inlineStr"/>
    </row>
    <row r="251" ht="15" customHeight="1">
      <c r="A251" t="inlineStr">
        <is>
          <t>A 48076-2025</t>
        </is>
      </c>
      <c r="B251" s="1" t="n">
        <v>45932.7075</v>
      </c>
      <c r="C251" s="1" t="n">
        <v>45992</v>
      </c>
      <c r="D251" t="inlineStr">
        <is>
          <t>DALARNAS LÄN</t>
        </is>
      </c>
      <c r="E251" t="inlineStr">
        <is>
          <t>HEDEMORA</t>
        </is>
      </c>
      <c r="G251" t="n">
        <v>5.1</v>
      </c>
      <c r="H251" t="n">
        <v>0</v>
      </c>
      <c r="I251" t="n">
        <v>0</v>
      </c>
      <c r="J251" t="n">
        <v>0</v>
      </c>
      <c r="K251" t="n">
        <v>0</v>
      </c>
      <c r="L251" t="n">
        <v>0</v>
      </c>
      <c r="M251" t="n">
        <v>0</v>
      </c>
      <c r="N251" t="n">
        <v>0</v>
      </c>
      <c r="O251" t="n">
        <v>0</v>
      </c>
      <c r="P251" t="n">
        <v>0</v>
      </c>
      <c r="Q251" t="n">
        <v>0</v>
      </c>
      <c r="R251" s="2" t="inlineStr"/>
    </row>
    <row r="252" ht="15" customHeight="1">
      <c r="A252" t="inlineStr">
        <is>
          <t>A 55832-2024</t>
        </is>
      </c>
      <c r="B252" s="1" t="n">
        <v>45623.48604166666</v>
      </c>
      <c r="C252" s="1" t="n">
        <v>45992</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60774-2022</t>
        </is>
      </c>
      <c r="B253" s="1" t="n">
        <v>44914.37917824074</v>
      </c>
      <c r="C253" s="1" t="n">
        <v>45992</v>
      </c>
      <c r="D253" t="inlineStr">
        <is>
          <t>DALARNAS LÄN</t>
        </is>
      </c>
      <c r="E253" t="inlineStr">
        <is>
          <t>HEDEMORA</t>
        </is>
      </c>
      <c r="G253" t="n">
        <v>11.5</v>
      </c>
      <c r="H253" t="n">
        <v>0</v>
      </c>
      <c r="I253" t="n">
        <v>0</v>
      </c>
      <c r="J253" t="n">
        <v>0</v>
      </c>
      <c r="K253" t="n">
        <v>0</v>
      </c>
      <c r="L253" t="n">
        <v>0</v>
      </c>
      <c r="M253" t="n">
        <v>0</v>
      </c>
      <c r="N253" t="n">
        <v>0</v>
      </c>
      <c r="O253" t="n">
        <v>0</v>
      </c>
      <c r="P253" t="n">
        <v>0</v>
      </c>
      <c r="Q253" t="n">
        <v>0</v>
      </c>
      <c r="R253" s="2" t="inlineStr"/>
    </row>
    <row r="254" ht="15" customHeight="1">
      <c r="A254" t="inlineStr">
        <is>
          <t>A 48381-2025</t>
        </is>
      </c>
      <c r="B254" s="1" t="n">
        <v>45933.81800925926</v>
      </c>
      <c r="C254" s="1" t="n">
        <v>45992</v>
      </c>
      <c r="D254" t="inlineStr">
        <is>
          <t>DALARNAS LÄN</t>
        </is>
      </c>
      <c r="E254" t="inlineStr">
        <is>
          <t>HEDEMORA</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45992</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42894-2024</t>
        </is>
      </c>
      <c r="B256" s="1" t="n">
        <v>45566.82304398148</v>
      </c>
      <c r="C256" s="1" t="n">
        <v>45992</v>
      </c>
      <c r="D256" t="inlineStr">
        <is>
          <t>DALARNAS LÄN</t>
        </is>
      </c>
      <c r="E256" t="inlineStr">
        <is>
          <t>HEDEMORA</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42895-2024</t>
        </is>
      </c>
      <c r="B257" s="1" t="n">
        <v>45566.82385416667</v>
      </c>
      <c r="C257" s="1" t="n">
        <v>45992</v>
      </c>
      <c r="D257" t="inlineStr">
        <is>
          <t>DALARNAS LÄN</t>
        </is>
      </c>
      <c r="E257" t="inlineStr">
        <is>
          <t>HEDEMORA</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31365-2024</t>
        </is>
      </c>
      <c r="B258" s="1" t="n">
        <v>45505.37086805556</v>
      </c>
      <c r="C258" s="1" t="n">
        <v>45992</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36935-2024</t>
        </is>
      </c>
      <c r="B259" s="1" t="n">
        <v>45538.56925925926</v>
      </c>
      <c r="C259" s="1" t="n">
        <v>45992</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57563-2025</t>
        </is>
      </c>
      <c r="B260" s="1" t="n">
        <v>45980.70671296296</v>
      </c>
      <c r="C260" s="1" t="n">
        <v>45992</v>
      </c>
      <c r="D260" t="inlineStr">
        <is>
          <t>DALARNAS LÄN</t>
        </is>
      </c>
      <c r="E260" t="inlineStr">
        <is>
          <t>HEDEMORA</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58020-2025</t>
        </is>
      </c>
      <c r="B261" s="1" t="n">
        <v>45982.47819444445</v>
      </c>
      <c r="C261" s="1" t="n">
        <v>45992</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49942-2025</t>
        </is>
      </c>
      <c r="B262" s="1" t="n">
        <v>45940.69508101852</v>
      </c>
      <c r="C262" s="1" t="n">
        <v>45992</v>
      </c>
      <c r="D262" t="inlineStr">
        <is>
          <t>DALARNAS LÄN</t>
        </is>
      </c>
      <c r="E262" t="inlineStr">
        <is>
          <t>HEDEMORA</t>
        </is>
      </c>
      <c r="G262" t="n">
        <v>2</v>
      </c>
      <c r="H262" t="n">
        <v>0</v>
      </c>
      <c r="I262" t="n">
        <v>0</v>
      </c>
      <c r="J262" t="n">
        <v>0</v>
      </c>
      <c r="K262" t="n">
        <v>0</v>
      </c>
      <c r="L262" t="n">
        <v>0</v>
      </c>
      <c r="M262" t="n">
        <v>0</v>
      </c>
      <c r="N262" t="n">
        <v>0</v>
      </c>
      <c r="O262" t="n">
        <v>0</v>
      </c>
      <c r="P262" t="n">
        <v>0</v>
      </c>
      <c r="Q262" t="n">
        <v>0</v>
      </c>
      <c r="R262" s="2" t="inlineStr"/>
    </row>
    <row r="263" ht="15" customHeight="1">
      <c r="A263" t="inlineStr">
        <is>
          <t>A 29640-2024</t>
        </is>
      </c>
      <c r="B263" s="1" t="n">
        <v>45484.69837962963</v>
      </c>
      <c r="C263" s="1" t="n">
        <v>45992</v>
      </c>
      <c r="D263" t="inlineStr">
        <is>
          <t>DALARNAS LÄN</t>
        </is>
      </c>
      <c r="E263" t="inlineStr">
        <is>
          <t>HEDEMORA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50040-2025</t>
        </is>
      </c>
      <c r="B264" s="1" t="n">
        <v>45943.40377314815</v>
      </c>
      <c r="C264" s="1" t="n">
        <v>45992</v>
      </c>
      <c r="D264" t="inlineStr">
        <is>
          <t>DALARNAS LÄN</t>
        </is>
      </c>
      <c r="E264" t="inlineStr">
        <is>
          <t>HEDEMORA</t>
        </is>
      </c>
      <c r="G264" t="n">
        <v>0.6</v>
      </c>
      <c r="H264" t="n">
        <v>0</v>
      </c>
      <c r="I264" t="n">
        <v>0</v>
      </c>
      <c r="J264" t="n">
        <v>0</v>
      </c>
      <c r="K264" t="n">
        <v>0</v>
      </c>
      <c r="L264" t="n">
        <v>0</v>
      </c>
      <c r="M264" t="n">
        <v>0</v>
      </c>
      <c r="N264" t="n">
        <v>0</v>
      </c>
      <c r="O264" t="n">
        <v>0</v>
      </c>
      <c r="P264" t="n">
        <v>0</v>
      </c>
      <c r="Q264" t="n">
        <v>0</v>
      </c>
      <c r="R264" s="2" t="inlineStr"/>
    </row>
    <row r="265" ht="15" customHeight="1">
      <c r="A265" t="inlineStr">
        <is>
          <t>A 12136-2025</t>
        </is>
      </c>
      <c r="B265" s="1" t="n">
        <v>45729.39300925926</v>
      </c>
      <c r="C265" s="1" t="n">
        <v>45992</v>
      </c>
      <c r="D265" t="inlineStr">
        <is>
          <t>DALARNAS LÄN</t>
        </is>
      </c>
      <c r="E265" t="inlineStr">
        <is>
          <t>HEDEMORA</t>
        </is>
      </c>
      <c r="G265" t="n">
        <v>1.5</v>
      </c>
      <c r="H265" t="n">
        <v>0</v>
      </c>
      <c r="I265" t="n">
        <v>0</v>
      </c>
      <c r="J265" t="n">
        <v>0</v>
      </c>
      <c r="K265" t="n">
        <v>0</v>
      </c>
      <c r="L265" t="n">
        <v>0</v>
      </c>
      <c r="M265" t="n">
        <v>0</v>
      </c>
      <c r="N265" t="n">
        <v>0</v>
      </c>
      <c r="O265" t="n">
        <v>0</v>
      </c>
      <c r="P265" t="n">
        <v>0</v>
      </c>
      <c r="Q265" t="n">
        <v>0</v>
      </c>
      <c r="R265" s="2" t="inlineStr"/>
    </row>
    <row r="266" ht="15" customHeight="1">
      <c r="A266" t="inlineStr">
        <is>
          <t>A 50043-2025</t>
        </is>
      </c>
      <c r="B266" s="1" t="n">
        <v>45943.40546296296</v>
      </c>
      <c r="C266" s="1" t="n">
        <v>45992</v>
      </c>
      <c r="D266" t="inlineStr">
        <is>
          <t>DALARNAS LÄN</t>
        </is>
      </c>
      <c r="E266" t="inlineStr">
        <is>
          <t>HEDEMORA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50038-2025</t>
        </is>
      </c>
      <c r="B267" s="1" t="n">
        <v>45943.40084490741</v>
      </c>
      <c r="C267" s="1" t="n">
        <v>45992</v>
      </c>
      <c r="D267" t="inlineStr">
        <is>
          <t>DALARNAS LÄN</t>
        </is>
      </c>
      <c r="E267" t="inlineStr">
        <is>
          <t>HEDEMORA</t>
        </is>
      </c>
      <c r="G267" t="n">
        <v>2.9</v>
      </c>
      <c r="H267" t="n">
        <v>0</v>
      </c>
      <c r="I267" t="n">
        <v>0</v>
      </c>
      <c r="J267" t="n">
        <v>0</v>
      </c>
      <c r="K267" t="n">
        <v>0</v>
      </c>
      <c r="L267" t="n">
        <v>0</v>
      </c>
      <c r="M267" t="n">
        <v>0</v>
      </c>
      <c r="N267" t="n">
        <v>0</v>
      </c>
      <c r="O267" t="n">
        <v>0</v>
      </c>
      <c r="P267" t="n">
        <v>0</v>
      </c>
      <c r="Q267" t="n">
        <v>0</v>
      </c>
      <c r="R267" s="2" t="inlineStr"/>
    </row>
    <row r="268" ht="15" customHeight="1">
      <c r="A268" t="inlineStr">
        <is>
          <t>A 50101-2025</t>
        </is>
      </c>
      <c r="B268" s="1" t="n">
        <v>45943.53317129629</v>
      </c>
      <c r="C268" s="1" t="n">
        <v>45992</v>
      </c>
      <c r="D268" t="inlineStr">
        <is>
          <t>DALARNAS LÄN</t>
        </is>
      </c>
      <c r="E268" t="inlineStr">
        <is>
          <t>HEDEMORA</t>
        </is>
      </c>
      <c r="G268" t="n">
        <v>3.5</v>
      </c>
      <c r="H268" t="n">
        <v>0</v>
      </c>
      <c r="I268" t="n">
        <v>0</v>
      </c>
      <c r="J268" t="n">
        <v>0</v>
      </c>
      <c r="K268" t="n">
        <v>0</v>
      </c>
      <c r="L268" t="n">
        <v>0</v>
      </c>
      <c r="M268" t="n">
        <v>0</v>
      </c>
      <c r="N268" t="n">
        <v>0</v>
      </c>
      <c r="O268" t="n">
        <v>0</v>
      </c>
      <c r="P268" t="n">
        <v>0</v>
      </c>
      <c r="Q268" t="n">
        <v>0</v>
      </c>
      <c r="R268" s="2" t="inlineStr"/>
    </row>
    <row r="269" ht="15" customHeight="1">
      <c r="A269" t="inlineStr">
        <is>
          <t>A 49772-2025</t>
        </is>
      </c>
      <c r="B269" s="1" t="n">
        <v>45940.37288194444</v>
      </c>
      <c r="C269" s="1" t="n">
        <v>45992</v>
      </c>
      <c r="D269" t="inlineStr">
        <is>
          <t>DALARNAS LÄN</t>
        </is>
      </c>
      <c r="E269" t="inlineStr">
        <is>
          <t>HEDEMORA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20666-2024</t>
        </is>
      </c>
      <c r="B270" s="1" t="n">
        <v>45436</v>
      </c>
      <c r="C270" s="1" t="n">
        <v>45992</v>
      </c>
      <c r="D270" t="inlineStr">
        <is>
          <t>DALARNAS LÄN</t>
        </is>
      </c>
      <c r="E270" t="inlineStr">
        <is>
          <t>HEDEMORA</t>
        </is>
      </c>
      <c r="G270" t="n">
        <v>5.1</v>
      </c>
      <c r="H270" t="n">
        <v>0</v>
      </c>
      <c r="I270" t="n">
        <v>0</v>
      </c>
      <c r="J270" t="n">
        <v>0</v>
      </c>
      <c r="K270" t="n">
        <v>0</v>
      </c>
      <c r="L270" t="n">
        <v>0</v>
      </c>
      <c r="M270" t="n">
        <v>0</v>
      </c>
      <c r="N270" t="n">
        <v>0</v>
      </c>
      <c r="O270" t="n">
        <v>0</v>
      </c>
      <c r="P270" t="n">
        <v>0</v>
      </c>
      <c r="Q270" t="n">
        <v>0</v>
      </c>
      <c r="R270" s="2" t="inlineStr"/>
    </row>
    <row r="271" ht="15" customHeight="1">
      <c r="A271" t="inlineStr">
        <is>
          <t>A 6441-2021</t>
        </is>
      </c>
      <c r="B271" s="1" t="n">
        <v>44235</v>
      </c>
      <c r="C271" s="1" t="n">
        <v>45992</v>
      </c>
      <c r="D271" t="inlineStr">
        <is>
          <t>DALARNAS LÄN</t>
        </is>
      </c>
      <c r="E271" t="inlineStr">
        <is>
          <t>HEDEMORA</t>
        </is>
      </c>
      <c r="G271" t="n">
        <v>0.7</v>
      </c>
      <c r="H271" t="n">
        <v>0</v>
      </c>
      <c r="I271" t="n">
        <v>0</v>
      </c>
      <c r="J271" t="n">
        <v>0</v>
      </c>
      <c r="K271" t="n">
        <v>0</v>
      </c>
      <c r="L271" t="n">
        <v>0</v>
      </c>
      <c r="M271" t="n">
        <v>0</v>
      </c>
      <c r="N271" t="n">
        <v>0</v>
      </c>
      <c r="O271" t="n">
        <v>0</v>
      </c>
      <c r="P271" t="n">
        <v>0</v>
      </c>
      <c r="Q271" t="n">
        <v>0</v>
      </c>
      <c r="R271" s="2" t="inlineStr"/>
    </row>
    <row r="272" ht="15" customHeight="1">
      <c r="A272" t="inlineStr">
        <is>
          <t>A 50115-2025</t>
        </is>
      </c>
      <c r="B272" s="1" t="n">
        <v>45943.54636574074</v>
      </c>
      <c r="C272" s="1" t="n">
        <v>45992</v>
      </c>
      <c r="D272" t="inlineStr">
        <is>
          <t>DALARNAS LÄN</t>
        </is>
      </c>
      <c r="E272" t="inlineStr">
        <is>
          <t>HEDEMORA</t>
        </is>
      </c>
      <c r="G272" t="n">
        <v>1.1</v>
      </c>
      <c r="H272" t="n">
        <v>0</v>
      </c>
      <c r="I272" t="n">
        <v>0</v>
      </c>
      <c r="J272" t="n">
        <v>0</v>
      </c>
      <c r="K272" t="n">
        <v>0</v>
      </c>
      <c r="L272" t="n">
        <v>0</v>
      </c>
      <c r="M272" t="n">
        <v>0</v>
      </c>
      <c r="N272" t="n">
        <v>0</v>
      </c>
      <c r="O272" t="n">
        <v>0</v>
      </c>
      <c r="P272" t="n">
        <v>0</v>
      </c>
      <c r="Q272" t="n">
        <v>0</v>
      </c>
      <c r="R272" s="2" t="inlineStr"/>
    </row>
    <row r="273" ht="15" customHeight="1">
      <c r="A273" t="inlineStr">
        <is>
          <t>A 50078-2025</t>
        </is>
      </c>
      <c r="B273" s="1" t="n">
        <v>45943</v>
      </c>
      <c r="C273" s="1" t="n">
        <v>45992</v>
      </c>
      <c r="D273" t="inlineStr">
        <is>
          <t>DALARNAS LÄN</t>
        </is>
      </c>
      <c r="E273" t="inlineStr">
        <is>
          <t>HEDEMORA</t>
        </is>
      </c>
      <c r="G273" t="n">
        <v>2.5</v>
      </c>
      <c r="H273" t="n">
        <v>0</v>
      </c>
      <c r="I273" t="n">
        <v>0</v>
      </c>
      <c r="J273" t="n">
        <v>0</v>
      </c>
      <c r="K273" t="n">
        <v>0</v>
      </c>
      <c r="L273" t="n">
        <v>0</v>
      </c>
      <c r="M273" t="n">
        <v>0</v>
      </c>
      <c r="N273" t="n">
        <v>0</v>
      </c>
      <c r="O273" t="n">
        <v>0</v>
      </c>
      <c r="P273" t="n">
        <v>0</v>
      </c>
      <c r="Q273" t="n">
        <v>0</v>
      </c>
      <c r="R273" s="2" t="inlineStr"/>
    </row>
    <row r="274" ht="15" customHeight="1">
      <c r="A274" t="inlineStr">
        <is>
          <t>A 49771-2025</t>
        </is>
      </c>
      <c r="B274" s="1" t="n">
        <v>45940.36981481482</v>
      </c>
      <c r="C274" s="1" t="n">
        <v>45992</v>
      </c>
      <c r="D274" t="inlineStr">
        <is>
          <t>DALARNAS LÄN</t>
        </is>
      </c>
      <c r="E274" t="inlineStr">
        <is>
          <t>HEDEMORA</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56668-2024</t>
        </is>
      </c>
      <c r="B275" s="1" t="n">
        <v>45626.41185185185</v>
      </c>
      <c r="C275" s="1" t="n">
        <v>45992</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45992</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14949-2025</t>
        </is>
      </c>
      <c r="B277" s="1" t="n">
        <v>45743.5745949074</v>
      </c>
      <c r="C277" s="1" t="n">
        <v>45992</v>
      </c>
      <c r="D277" t="inlineStr">
        <is>
          <t>DALARNAS LÄN</t>
        </is>
      </c>
      <c r="E277" t="inlineStr">
        <is>
          <t>HEDEMORA</t>
        </is>
      </c>
      <c r="G277" t="n">
        <v>2.5</v>
      </c>
      <c r="H277" t="n">
        <v>0</v>
      </c>
      <c r="I277" t="n">
        <v>0</v>
      </c>
      <c r="J277" t="n">
        <v>0</v>
      </c>
      <c r="K277" t="n">
        <v>0</v>
      </c>
      <c r="L277" t="n">
        <v>0</v>
      </c>
      <c r="M277" t="n">
        <v>0</v>
      </c>
      <c r="N277" t="n">
        <v>0</v>
      </c>
      <c r="O277" t="n">
        <v>0</v>
      </c>
      <c r="P277" t="n">
        <v>0</v>
      </c>
      <c r="Q277" t="n">
        <v>0</v>
      </c>
      <c r="R277" s="2" t="inlineStr"/>
    </row>
    <row r="278" ht="15" customHeight="1">
      <c r="A278" t="inlineStr">
        <is>
          <t>A 12133-2025</t>
        </is>
      </c>
      <c r="B278" s="1" t="n">
        <v>45729.38878472222</v>
      </c>
      <c r="C278" s="1" t="n">
        <v>45992</v>
      </c>
      <c r="D278" t="inlineStr">
        <is>
          <t>DALARNAS LÄN</t>
        </is>
      </c>
      <c r="E278" t="inlineStr">
        <is>
          <t>HEDEMORA</t>
        </is>
      </c>
      <c r="G278" t="n">
        <v>4.8</v>
      </c>
      <c r="H278" t="n">
        <v>0</v>
      </c>
      <c r="I278" t="n">
        <v>0</v>
      </c>
      <c r="J278" t="n">
        <v>0</v>
      </c>
      <c r="K278" t="n">
        <v>0</v>
      </c>
      <c r="L278" t="n">
        <v>0</v>
      </c>
      <c r="M278" t="n">
        <v>0</v>
      </c>
      <c r="N278" t="n">
        <v>0</v>
      </c>
      <c r="O278" t="n">
        <v>0</v>
      </c>
      <c r="P278" t="n">
        <v>0</v>
      </c>
      <c r="Q278" t="n">
        <v>0</v>
      </c>
      <c r="R278" s="2" t="inlineStr"/>
    </row>
    <row r="279" ht="15" customHeight="1">
      <c r="A279" t="inlineStr">
        <is>
          <t>A 46825-2024</t>
        </is>
      </c>
      <c r="B279" s="1" t="n">
        <v>45583.58040509259</v>
      </c>
      <c r="C279" s="1" t="n">
        <v>45992</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45377-2024</t>
        </is>
      </c>
      <c r="B280" s="1" t="n">
        <v>45576.51962962963</v>
      </c>
      <c r="C280" s="1" t="n">
        <v>45992</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21514-2024</t>
        </is>
      </c>
      <c r="B281" s="1" t="n">
        <v>45441.57538194444</v>
      </c>
      <c r="C281" s="1" t="n">
        <v>45992</v>
      </c>
      <c r="D281" t="inlineStr">
        <is>
          <t>DALARNAS LÄN</t>
        </is>
      </c>
      <c r="E281" t="inlineStr">
        <is>
          <t>HEDEMORA</t>
        </is>
      </c>
      <c r="G281" t="n">
        <v>1.5</v>
      </c>
      <c r="H281" t="n">
        <v>0</v>
      </c>
      <c r="I281" t="n">
        <v>0</v>
      </c>
      <c r="J281" t="n">
        <v>0</v>
      </c>
      <c r="K281" t="n">
        <v>0</v>
      </c>
      <c r="L281" t="n">
        <v>0</v>
      </c>
      <c r="M281" t="n">
        <v>0</v>
      </c>
      <c r="N281" t="n">
        <v>0</v>
      </c>
      <c r="O281" t="n">
        <v>0</v>
      </c>
      <c r="P281" t="n">
        <v>0</v>
      </c>
      <c r="Q281" t="n">
        <v>0</v>
      </c>
      <c r="R281" s="2" t="inlineStr"/>
    </row>
    <row r="282" ht="15" customHeight="1">
      <c r="A282" t="inlineStr">
        <is>
          <t>A 58705-2025</t>
        </is>
      </c>
      <c r="B282" s="1" t="n">
        <v>45986.60056712963</v>
      </c>
      <c r="C282" s="1" t="n">
        <v>45992</v>
      </c>
      <c r="D282" t="inlineStr">
        <is>
          <t>DALARNAS LÄN</t>
        </is>
      </c>
      <c r="E282" t="inlineStr">
        <is>
          <t>HEDEMORA</t>
        </is>
      </c>
      <c r="G282" t="n">
        <v>3</v>
      </c>
      <c r="H282" t="n">
        <v>0</v>
      </c>
      <c r="I282" t="n">
        <v>0</v>
      </c>
      <c r="J282" t="n">
        <v>0</v>
      </c>
      <c r="K282" t="n">
        <v>0</v>
      </c>
      <c r="L282" t="n">
        <v>0</v>
      </c>
      <c r="M282" t="n">
        <v>0</v>
      </c>
      <c r="N282" t="n">
        <v>0</v>
      </c>
      <c r="O282" t="n">
        <v>0</v>
      </c>
      <c r="P282" t="n">
        <v>0</v>
      </c>
      <c r="Q282" t="n">
        <v>0</v>
      </c>
      <c r="R282" s="2" t="inlineStr"/>
    </row>
    <row r="283" ht="15" customHeight="1">
      <c r="A283" t="inlineStr">
        <is>
          <t>A 41523-2023</t>
        </is>
      </c>
      <c r="B283" s="1" t="n">
        <v>45172</v>
      </c>
      <c r="C283" s="1" t="n">
        <v>45992</v>
      </c>
      <c r="D283" t="inlineStr">
        <is>
          <t>DALARNAS LÄN</t>
        </is>
      </c>
      <c r="E283" t="inlineStr">
        <is>
          <t>HEDEMORA</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59295-2025</t>
        </is>
      </c>
      <c r="B284" s="1" t="n">
        <v>45988.77284722222</v>
      </c>
      <c r="C284" s="1" t="n">
        <v>45992</v>
      </c>
      <c r="D284" t="inlineStr">
        <is>
          <t>DALARNAS LÄN</t>
        </is>
      </c>
      <c r="E284" t="inlineStr">
        <is>
          <t>HEDEMORA</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54310-2021</t>
        </is>
      </c>
      <c r="B285" s="1" t="n">
        <v>44472.54035879629</v>
      </c>
      <c r="C285" s="1" t="n">
        <v>45992</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46217-2023</t>
        </is>
      </c>
      <c r="B286" s="1" t="n">
        <v>45190</v>
      </c>
      <c r="C286" s="1" t="n">
        <v>45992</v>
      </c>
      <c r="D286" t="inlineStr">
        <is>
          <t>DALARNAS LÄN</t>
        </is>
      </c>
      <c r="E286" t="inlineStr">
        <is>
          <t>HEDEMORA</t>
        </is>
      </c>
      <c r="F286" t="inlineStr">
        <is>
          <t>Bergvik skog väst AB</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59350-2025</t>
        </is>
      </c>
      <c r="B287" s="1" t="n">
        <v>45989.40451388889</v>
      </c>
      <c r="C287" s="1" t="n">
        <v>45992</v>
      </c>
      <c r="D287" t="inlineStr">
        <is>
          <t>DALARNAS LÄN</t>
        </is>
      </c>
      <c r="E287" t="inlineStr">
        <is>
          <t>HEDEMORA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44662.84958333334</v>
      </c>
      <c r="C288" s="1" t="n">
        <v>45992</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21092-2023</t>
        </is>
      </c>
      <c r="B289" s="1" t="n">
        <v>45061</v>
      </c>
      <c r="C289" s="1" t="n">
        <v>45992</v>
      </c>
      <c r="D289" t="inlineStr">
        <is>
          <t>DALARNAS LÄN</t>
        </is>
      </c>
      <c r="E289" t="inlineStr">
        <is>
          <t>HEDEMORA</t>
        </is>
      </c>
      <c r="F289" t="inlineStr">
        <is>
          <t>Sveaskog</t>
        </is>
      </c>
      <c r="G289" t="n">
        <v>0.1</v>
      </c>
      <c r="H289" t="n">
        <v>0</v>
      </c>
      <c r="I289" t="n">
        <v>0</v>
      </c>
      <c r="J289" t="n">
        <v>0</v>
      </c>
      <c r="K289" t="n">
        <v>0</v>
      </c>
      <c r="L289" t="n">
        <v>0</v>
      </c>
      <c r="M289" t="n">
        <v>0</v>
      </c>
      <c r="N289" t="n">
        <v>0</v>
      </c>
      <c r="O289" t="n">
        <v>0</v>
      </c>
      <c r="P289" t="n">
        <v>0</v>
      </c>
      <c r="Q289" t="n">
        <v>0</v>
      </c>
      <c r="R289" s="2" t="inlineStr"/>
    </row>
    <row r="290" ht="15" customHeight="1">
      <c r="A290" t="inlineStr">
        <is>
          <t>A 7172-2025</t>
        </is>
      </c>
      <c r="B290" s="1" t="n">
        <v>45702.41383101852</v>
      </c>
      <c r="C290" s="1" t="n">
        <v>45992</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53568-2023</t>
        </is>
      </c>
      <c r="B291" s="1" t="n">
        <v>45230.49392361111</v>
      </c>
      <c r="C291" s="1" t="n">
        <v>45992</v>
      </c>
      <c r="D291" t="inlineStr">
        <is>
          <t>DALARNAS LÄN</t>
        </is>
      </c>
      <c r="E291" t="inlineStr">
        <is>
          <t>HEDEMORA</t>
        </is>
      </c>
      <c r="G291" t="n">
        <v>1.2</v>
      </c>
      <c r="H291" t="n">
        <v>0</v>
      </c>
      <c r="I291" t="n">
        <v>0</v>
      </c>
      <c r="J291" t="n">
        <v>0</v>
      </c>
      <c r="K291" t="n">
        <v>0</v>
      </c>
      <c r="L291" t="n">
        <v>0</v>
      </c>
      <c r="M291" t="n">
        <v>0</v>
      </c>
      <c r="N291" t="n">
        <v>0</v>
      </c>
      <c r="O291" t="n">
        <v>0</v>
      </c>
      <c r="P291" t="n">
        <v>0</v>
      </c>
      <c r="Q291" t="n">
        <v>0</v>
      </c>
      <c r="R291" s="2" t="inlineStr"/>
    </row>
    <row r="292" ht="15" customHeight="1">
      <c r="A292" t="inlineStr">
        <is>
          <t>A 52942-2024</t>
        </is>
      </c>
      <c r="B292" s="1" t="n">
        <v>45610.8215625</v>
      </c>
      <c r="C292" s="1" t="n">
        <v>45992</v>
      </c>
      <c r="D292" t="inlineStr">
        <is>
          <t>DALARNAS LÄN</t>
        </is>
      </c>
      <c r="E292" t="inlineStr">
        <is>
          <t>HEDEMORA</t>
        </is>
      </c>
      <c r="F292" t="inlineStr">
        <is>
          <t>Sveaskog</t>
        </is>
      </c>
      <c r="G292" t="n">
        <v>14.5</v>
      </c>
      <c r="H292" t="n">
        <v>0</v>
      </c>
      <c r="I292" t="n">
        <v>0</v>
      </c>
      <c r="J292" t="n">
        <v>0</v>
      </c>
      <c r="K292" t="n">
        <v>0</v>
      </c>
      <c r="L292" t="n">
        <v>0</v>
      </c>
      <c r="M292" t="n">
        <v>0</v>
      </c>
      <c r="N292" t="n">
        <v>0</v>
      </c>
      <c r="O292" t="n">
        <v>0</v>
      </c>
      <c r="P292" t="n">
        <v>0</v>
      </c>
      <c r="Q292" t="n">
        <v>0</v>
      </c>
      <c r="R292" s="2" t="inlineStr"/>
    </row>
    <row r="293" ht="15" customHeight="1">
      <c r="A293" t="inlineStr">
        <is>
          <t>A 17222-2025</t>
        </is>
      </c>
      <c r="B293" s="1" t="n">
        <v>45756.45504629629</v>
      </c>
      <c r="C293" s="1" t="n">
        <v>45992</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39497-2022</t>
        </is>
      </c>
      <c r="B294" s="1" t="n">
        <v>44817</v>
      </c>
      <c r="C294" s="1" t="n">
        <v>45992</v>
      </c>
      <c r="D294" t="inlineStr">
        <is>
          <t>DALARNAS LÄN</t>
        </is>
      </c>
      <c r="E294" t="inlineStr">
        <is>
          <t>HEDEMORA</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63929-2023</t>
        </is>
      </c>
      <c r="B295" s="1" t="n">
        <v>45278.60274305556</v>
      </c>
      <c r="C295" s="1" t="n">
        <v>45992</v>
      </c>
      <c r="D295" t="inlineStr">
        <is>
          <t>DALARNAS LÄN</t>
        </is>
      </c>
      <c r="E295" t="inlineStr">
        <is>
          <t>HEDEMORA</t>
        </is>
      </c>
      <c r="G295" t="n">
        <v>0.4</v>
      </c>
      <c r="H295" t="n">
        <v>0</v>
      </c>
      <c r="I295" t="n">
        <v>0</v>
      </c>
      <c r="J295" t="n">
        <v>0</v>
      </c>
      <c r="K295" t="n">
        <v>0</v>
      </c>
      <c r="L295" t="n">
        <v>0</v>
      </c>
      <c r="M295" t="n">
        <v>0</v>
      </c>
      <c r="N295" t="n">
        <v>0</v>
      </c>
      <c r="O295" t="n">
        <v>0</v>
      </c>
      <c r="P295" t="n">
        <v>0</v>
      </c>
      <c r="Q295" t="n">
        <v>0</v>
      </c>
      <c r="R295" s="2" t="inlineStr"/>
    </row>
    <row r="296" ht="15" customHeight="1">
      <c r="A296" t="inlineStr">
        <is>
          <t>A 54423-2023</t>
        </is>
      </c>
      <c r="B296" s="1" t="n">
        <v>45233.41666666666</v>
      </c>
      <c r="C296" s="1" t="n">
        <v>45992</v>
      </c>
      <c r="D296" t="inlineStr">
        <is>
          <t>DALARNAS LÄN</t>
        </is>
      </c>
      <c r="E296" t="inlineStr">
        <is>
          <t>HEDEMORA</t>
        </is>
      </c>
      <c r="G296" t="n">
        <v>3.4</v>
      </c>
      <c r="H296" t="n">
        <v>0</v>
      </c>
      <c r="I296" t="n">
        <v>0</v>
      </c>
      <c r="J296" t="n">
        <v>0</v>
      </c>
      <c r="K296" t="n">
        <v>0</v>
      </c>
      <c r="L296" t="n">
        <v>0</v>
      </c>
      <c r="M296" t="n">
        <v>0</v>
      </c>
      <c r="N296" t="n">
        <v>0</v>
      </c>
      <c r="O296" t="n">
        <v>0</v>
      </c>
      <c r="P296" t="n">
        <v>0</v>
      </c>
      <c r="Q296" t="n">
        <v>0</v>
      </c>
      <c r="R296" s="2" t="inlineStr"/>
    </row>
    <row r="297" ht="15" customHeight="1">
      <c r="A297" t="inlineStr">
        <is>
          <t>A 62386-2023</t>
        </is>
      </c>
      <c r="B297" s="1" t="n">
        <v>45268</v>
      </c>
      <c r="C297" s="1" t="n">
        <v>45992</v>
      </c>
      <c r="D297" t="inlineStr">
        <is>
          <t>DALARNAS LÄN</t>
        </is>
      </c>
      <c r="E297" t="inlineStr">
        <is>
          <t>HEDEMORA</t>
        </is>
      </c>
      <c r="G297" t="n">
        <v>1.7</v>
      </c>
      <c r="H297" t="n">
        <v>0</v>
      </c>
      <c r="I297" t="n">
        <v>0</v>
      </c>
      <c r="J297" t="n">
        <v>0</v>
      </c>
      <c r="K297" t="n">
        <v>0</v>
      </c>
      <c r="L297" t="n">
        <v>0</v>
      </c>
      <c r="M297" t="n">
        <v>0</v>
      </c>
      <c r="N297" t="n">
        <v>0</v>
      </c>
      <c r="O297" t="n">
        <v>0</v>
      </c>
      <c r="P297" t="n">
        <v>0</v>
      </c>
      <c r="Q297" t="n">
        <v>0</v>
      </c>
      <c r="R297" s="2" t="inlineStr"/>
    </row>
    <row r="298" ht="15" customHeight="1">
      <c r="A298" t="inlineStr">
        <is>
          <t>A 62398-2023</t>
        </is>
      </c>
      <c r="B298" s="1" t="n">
        <v>45268</v>
      </c>
      <c r="C298" s="1" t="n">
        <v>45992</v>
      </c>
      <c r="D298" t="inlineStr">
        <is>
          <t>DALARNAS LÄN</t>
        </is>
      </c>
      <c r="E298" t="inlineStr">
        <is>
          <t>HEDEMORA</t>
        </is>
      </c>
      <c r="G298" t="n">
        <v>2.1</v>
      </c>
      <c r="H298" t="n">
        <v>0</v>
      </c>
      <c r="I298" t="n">
        <v>0</v>
      </c>
      <c r="J298" t="n">
        <v>0</v>
      </c>
      <c r="K298" t="n">
        <v>0</v>
      </c>
      <c r="L298" t="n">
        <v>0</v>
      </c>
      <c r="M298" t="n">
        <v>0</v>
      </c>
      <c r="N298" t="n">
        <v>0</v>
      </c>
      <c r="O298" t="n">
        <v>0</v>
      </c>
      <c r="P298" t="n">
        <v>0</v>
      </c>
      <c r="Q298" t="n">
        <v>0</v>
      </c>
      <c r="R298" s="2" t="inlineStr"/>
    </row>
    <row r="299" ht="15" customHeight="1">
      <c r="A299" t="inlineStr">
        <is>
          <t>A 22273-2023</t>
        </is>
      </c>
      <c r="B299" s="1" t="n">
        <v>45070</v>
      </c>
      <c r="C299" s="1" t="n">
        <v>45992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49636-2021</t>
        </is>
      </c>
      <c r="B300" s="1" t="n">
        <v>44455</v>
      </c>
      <c r="C300" s="1" t="n">
        <v>45992</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25645-2024</t>
        </is>
      </c>
      <c r="B301" s="1" t="n">
        <v>45463.66520833333</v>
      </c>
      <c r="C301" s="1" t="n">
        <v>45992</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18579-2025</t>
        </is>
      </c>
      <c r="B302" s="1" t="n">
        <v>45763</v>
      </c>
      <c r="C302" s="1" t="n">
        <v>45992</v>
      </c>
      <c r="D302" t="inlineStr">
        <is>
          <t>DALARNAS LÄN</t>
        </is>
      </c>
      <c r="E302" t="inlineStr">
        <is>
          <t>HEDEMORA</t>
        </is>
      </c>
      <c r="G302" t="n">
        <v>0.5</v>
      </c>
      <c r="H302" t="n">
        <v>0</v>
      </c>
      <c r="I302" t="n">
        <v>0</v>
      </c>
      <c r="J302" t="n">
        <v>0</v>
      </c>
      <c r="K302" t="n">
        <v>0</v>
      </c>
      <c r="L302" t="n">
        <v>0</v>
      </c>
      <c r="M302" t="n">
        <v>0</v>
      </c>
      <c r="N302" t="n">
        <v>0</v>
      </c>
      <c r="O302" t="n">
        <v>0</v>
      </c>
      <c r="P302" t="n">
        <v>0</v>
      </c>
      <c r="Q302" t="n">
        <v>0</v>
      </c>
      <c r="R302" s="2" t="inlineStr"/>
    </row>
    <row r="303" ht="15" customHeight="1">
      <c r="A303" t="inlineStr">
        <is>
          <t>A 26431-2024</t>
        </is>
      </c>
      <c r="B303" s="1" t="n">
        <v>45469.48282407408</v>
      </c>
      <c r="C303" s="1" t="n">
        <v>45992</v>
      </c>
      <c r="D303" t="inlineStr">
        <is>
          <t>DALARNAS LÄN</t>
        </is>
      </c>
      <c r="E303" t="inlineStr">
        <is>
          <t>HEDEMORA</t>
        </is>
      </c>
      <c r="G303" t="n">
        <v>1.6</v>
      </c>
      <c r="H303" t="n">
        <v>0</v>
      </c>
      <c r="I303" t="n">
        <v>0</v>
      </c>
      <c r="J303" t="n">
        <v>0</v>
      </c>
      <c r="K303" t="n">
        <v>0</v>
      </c>
      <c r="L303" t="n">
        <v>0</v>
      </c>
      <c r="M303" t="n">
        <v>0</v>
      </c>
      <c r="N303" t="n">
        <v>0</v>
      </c>
      <c r="O303" t="n">
        <v>0</v>
      </c>
      <c r="P303" t="n">
        <v>0</v>
      </c>
      <c r="Q303" t="n">
        <v>0</v>
      </c>
      <c r="R303" s="2" t="inlineStr"/>
      <c r="U303">
        <f>HYPERLINK("https://klasma.github.io/Logging_2083/knärot/A 26431-2024 karta knärot.png", "A 26431-2024")</f>
        <v/>
      </c>
      <c r="V303">
        <f>HYPERLINK("https://klasma.github.io/Logging_2083/klagomål/A 26431-2024 FSC-klagomål.docx", "A 26431-2024")</f>
        <v/>
      </c>
      <c r="W303">
        <f>HYPERLINK("https://klasma.github.io/Logging_2083/klagomålsmail/A 26431-2024 FSC-klagomål mail.docx", "A 26431-2024")</f>
        <v/>
      </c>
      <c r="X303">
        <f>HYPERLINK("https://klasma.github.io/Logging_2083/tillsyn/A 26431-2024 tillsynsbegäran.docx", "A 26431-2024")</f>
        <v/>
      </c>
      <c r="Y303">
        <f>HYPERLINK("https://klasma.github.io/Logging_2083/tillsynsmail/A 26431-2024 tillsynsbegäran mail.docx", "A 26431-2024")</f>
        <v/>
      </c>
    </row>
    <row r="304" ht="15" customHeight="1">
      <c r="A304" t="inlineStr">
        <is>
          <t>A 40707-2023</t>
        </is>
      </c>
      <c r="B304" s="1" t="n">
        <v>45170.62489583333</v>
      </c>
      <c r="C304" s="1" t="n">
        <v>45992</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53922-2024</t>
        </is>
      </c>
      <c r="B305" s="1" t="n">
        <v>45615.78459490741</v>
      </c>
      <c r="C305" s="1" t="n">
        <v>45992</v>
      </c>
      <c r="D305" t="inlineStr">
        <is>
          <t>DALARNAS LÄN</t>
        </is>
      </c>
      <c r="E305" t="inlineStr">
        <is>
          <t>HEDEMORA</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19353-2024</t>
        </is>
      </c>
      <c r="B306" s="1" t="n">
        <v>45429.29666666667</v>
      </c>
      <c r="C306" s="1" t="n">
        <v>45992</v>
      </c>
      <c r="D306" t="inlineStr">
        <is>
          <t>DALARNAS LÄN</t>
        </is>
      </c>
      <c r="E306" t="inlineStr">
        <is>
          <t>HEDEMORA</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27610-2024</t>
        </is>
      </c>
      <c r="B307" s="1" t="n">
        <v>45474.73221064815</v>
      </c>
      <c r="C307" s="1" t="n">
        <v>45992</v>
      </c>
      <c r="D307" t="inlineStr">
        <is>
          <t>DALARNAS LÄN</t>
        </is>
      </c>
      <c r="E307" t="inlineStr">
        <is>
          <t>HEDEMORA</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27609-2024</t>
        </is>
      </c>
      <c r="B308" s="1" t="n">
        <v>45474.73076388889</v>
      </c>
      <c r="C308" s="1" t="n">
        <v>45992</v>
      </c>
      <c r="D308" t="inlineStr">
        <is>
          <t>DALARNAS LÄN</t>
        </is>
      </c>
      <c r="E308" t="inlineStr">
        <is>
          <t>HEDEMORA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37449-2024</t>
        </is>
      </c>
      <c r="B309" s="1" t="n">
        <v>45540</v>
      </c>
      <c r="C309" s="1" t="n">
        <v>45992</v>
      </c>
      <c r="D309" t="inlineStr">
        <is>
          <t>DALARNAS LÄN</t>
        </is>
      </c>
      <c r="E309" t="inlineStr">
        <is>
          <t>HEDEMORA</t>
        </is>
      </c>
      <c r="F309" t="inlineStr">
        <is>
          <t>Bergvik skog väst AB</t>
        </is>
      </c>
      <c r="G309" t="n">
        <v>10.1</v>
      </c>
      <c r="H309" t="n">
        <v>0</v>
      </c>
      <c r="I309" t="n">
        <v>0</v>
      </c>
      <c r="J309" t="n">
        <v>0</v>
      </c>
      <c r="K309" t="n">
        <v>0</v>
      </c>
      <c r="L309" t="n">
        <v>0</v>
      </c>
      <c r="M309" t="n">
        <v>0</v>
      </c>
      <c r="N309" t="n">
        <v>0</v>
      </c>
      <c r="O309" t="n">
        <v>0</v>
      </c>
      <c r="P309" t="n">
        <v>0</v>
      </c>
      <c r="Q309" t="n">
        <v>0</v>
      </c>
      <c r="R309" s="2" t="inlineStr"/>
    </row>
    <row r="310" ht="15" customHeight="1">
      <c r="A310" t="inlineStr">
        <is>
          <t>A 25155-2023</t>
        </is>
      </c>
      <c r="B310" s="1" t="n">
        <v>45086</v>
      </c>
      <c r="C310" s="1" t="n">
        <v>45992</v>
      </c>
      <c r="D310" t="inlineStr">
        <is>
          <t>DALARNAS LÄN</t>
        </is>
      </c>
      <c r="E310" t="inlineStr">
        <is>
          <t>HEDEMORA</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45992</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52945-2024</t>
        </is>
      </c>
      <c r="B312" s="1" t="n">
        <v>45610.82664351852</v>
      </c>
      <c r="C312" s="1" t="n">
        <v>45992</v>
      </c>
      <c r="D312" t="inlineStr">
        <is>
          <t>DALARNAS LÄN</t>
        </is>
      </c>
      <c r="E312" t="inlineStr">
        <is>
          <t>HEDEMORA</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59632-2023</t>
        </is>
      </c>
      <c r="B313" s="1" t="n">
        <v>45254</v>
      </c>
      <c r="C313" s="1" t="n">
        <v>45992</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37759-2024</t>
        </is>
      </c>
      <c r="B314" s="1" t="n">
        <v>45541</v>
      </c>
      <c r="C314" s="1" t="n">
        <v>45992</v>
      </c>
      <c r="D314" t="inlineStr">
        <is>
          <t>DALARNAS LÄN</t>
        </is>
      </c>
      <c r="E314" t="inlineStr">
        <is>
          <t>HEDEMORA</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7914-2024</t>
        </is>
      </c>
      <c r="B315" s="1" t="n">
        <v>45350.46003472222</v>
      </c>
      <c r="C315" s="1" t="n">
        <v>45992</v>
      </c>
      <c r="D315" t="inlineStr">
        <is>
          <t>DALARNAS LÄN</t>
        </is>
      </c>
      <c r="E315" t="inlineStr">
        <is>
          <t>HEDEMORA</t>
        </is>
      </c>
      <c r="G315" t="n">
        <v>4.1</v>
      </c>
      <c r="H315" t="n">
        <v>0</v>
      </c>
      <c r="I315" t="n">
        <v>0</v>
      </c>
      <c r="J315" t="n">
        <v>0</v>
      </c>
      <c r="K315" t="n">
        <v>0</v>
      </c>
      <c r="L315" t="n">
        <v>0</v>
      </c>
      <c r="M315" t="n">
        <v>0</v>
      </c>
      <c r="N315" t="n">
        <v>0</v>
      </c>
      <c r="O315" t="n">
        <v>0</v>
      </c>
      <c r="P315" t="n">
        <v>0</v>
      </c>
      <c r="Q315" t="n">
        <v>0</v>
      </c>
      <c r="R315" s="2" t="inlineStr"/>
    </row>
    <row r="316" ht="15" customHeight="1">
      <c r="A316" t="inlineStr">
        <is>
          <t>A 73099-2021</t>
        </is>
      </c>
      <c r="B316" s="1" t="n">
        <v>44546</v>
      </c>
      <c r="C316" s="1" t="n">
        <v>45992</v>
      </c>
      <c r="D316" t="inlineStr">
        <is>
          <t>DALARNAS LÄN</t>
        </is>
      </c>
      <c r="E316" t="inlineStr">
        <is>
          <t>HEDEMORA</t>
        </is>
      </c>
      <c r="G316" t="n">
        <v>4.5</v>
      </c>
      <c r="H316" t="n">
        <v>0</v>
      </c>
      <c r="I316" t="n">
        <v>0</v>
      </c>
      <c r="J316" t="n">
        <v>0</v>
      </c>
      <c r="K316" t="n">
        <v>0</v>
      </c>
      <c r="L316" t="n">
        <v>0</v>
      </c>
      <c r="M316" t="n">
        <v>0</v>
      </c>
      <c r="N316" t="n">
        <v>0</v>
      </c>
      <c r="O316" t="n">
        <v>0</v>
      </c>
      <c r="P316" t="n">
        <v>0</v>
      </c>
      <c r="Q316" t="n">
        <v>0</v>
      </c>
      <c r="R316" s="2" t="inlineStr"/>
    </row>
    <row r="317" ht="15" customHeight="1">
      <c r="A317" t="inlineStr">
        <is>
          <t>A 52199-2021</t>
        </is>
      </c>
      <c r="B317" s="1" t="n">
        <v>44462</v>
      </c>
      <c r="C317" s="1" t="n">
        <v>45992</v>
      </c>
      <c r="D317" t="inlineStr">
        <is>
          <t>DALARNAS LÄN</t>
        </is>
      </c>
      <c r="E317" t="inlineStr">
        <is>
          <t>HEDEMORA</t>
        </is>
      </c>
      <c r="F317" t="inlineStr">
        <is>
          <t>Bergvik skog väst AB</t>
        </is>
      </c>
      <c r="G317" t="n">
        <v>4.4</v>
      </c>
      <c r="H317" t="n">
        <v>0</v>
      </c>
      <c r="I317" t="n">
        <v>0</v>
      </c>
      <c r="J317" t="n">
        <v>0</v>
      </c>
      <c r="K317" t="n">
        <v>0</v>
      </c>
      <c r="L317" t="n">
        <v>0</v>
      </c>
      <c r="M317" t="n">
        <v>0</v>
      </c>
      <c r="N317" t="n">
        <v>0</v>
      </c>
      <c r="O317" t="n">
        <v>0</v>
      </c>
      <c r="P317" t="n">
        <v>0</v>
      </c>
      <c r="Q317" t="n">
        <v>0</v>
      </c>
      <c r="R317" s="2" t="inlineStr"/>
    </row>
    <row r="318" ht="15" customHeight="1">
      <c r="A318" t="inlineStr">
        <is>
          <t>A 61849-2022</t>
        </is>
      </c>
      <c r="B318" s="1" t="n">
        <v>44917</v>
      </c>
      <c r="C318" s="1" t="n">
        <v>45992</v>
      </c>
      <c r="D318" t="inlineStr">
        <is>
          <t>DALARNAS LÄN</t>
        </is>
      </c>
      <c r="E318" t="inlineStr">
        <is>
          <t>HEDEMORA</t>
        </is>
      </c>
      <c r="G318" t="n">
        <v>1.9</v>
      </c>
      <c r="H318" t="n">
        <v>0</v>
      </c>
      <c r="I318" t="n">
        <v>0</v>
      </c>
      <c r="J318" t="n">
        <v>0</v>
      </c>
      <c r="K318" t="n">
        <v>0</v>
      </c>
      <c r="L318" t="n">
        <v>0</v>
      </c>
      <c r="M318" t="n">
        <v>0</v>
      </c>
      <c r="N318" t="n">
        <v>0</v>
      </c>
      <c r="O318" t="n">
        <v>0</v>
      </c>
      <c r="P318" t="n">
        <v>0</v>
      </c>
      <c r="Q318" t="n">
        <v>0</v>
      </c>
      <c r="R318" s="2" t="inlineStr"/>
    </row>
    <row r="319" ht="15" customHeight="1">
      <c r="A319" t="inlineStr">
        <is>
          <t>A 60780-2024</t>
        </is>
      </c>
      <c r="B319" s="1" t="n">
        <v>45644.59017361111</v>
      </c>
      <c r="C319" s="1" t="n">
        <v>45992</v>
      </c>
      <c r="D319" t="inlineStr">
        <is>
          <t>DALARNAS LÄN</t>
        </is>
      </c>
      <c r="E319" t="inlineStr">
        <is>
          <t>HEDEMORA</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29050-2023</t>
        </is>
      </c>
      <c r="B320" s="1" t="n">
        <v>45104</v>
      </c>
      <c r="C320" s="1" t="n">
        <v>45992</v>
      </c>
      <c r="D320" t="inlineStr">
        <is>
          <t>DALARNAS LÄN</t>
        </is>
      </c>
      <c r="E320" t="inlineStr">
        <is>
          <t>HEDEMORA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25150-2023</t>
        </is>
      </c>
      <c r="B321" s="1" t="n">
        <v>45086</v>
      </c>
      <c r="C321" s="1" t="n">
        <v>45992</v>
      </c>
      <c r="D321" t="inlineStr">
        <is>
          <t>DALARNAS LÄN</t>
        </is>
      </c>
      <c r="E321" t="inlineStr">
        <is>
          <t>HEDEMORA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61886-2022</t>
        </is>
      </c>
      <c r="B322" s="1" t="n">
        <v>44917.67582175926</v>
      </c>
      <c r="C322" s="1" t="n">
        <v>45992</v>
      </c>
      <c r="D322" t="inlineStr">
        <is>
          <t>DALARNAS LÄN</t>
        </is>
      </c>
      <c r="E322" t="inlineStr">
        <is>
          <t>HEDEMORA</t>
        </is>
      </c>
      <c r="G322" t="n">
        <v>1.9</v>
      </c>
      <c r="H322" t="n">
        <v>0</v>
      </c>
      <c r="I322" t="n">
        <v>0</v>
      </c>
      <c r="J322" t="n">
        <v>0</v>
      </c>
      <c r="K322" t="n">
        <v>0</v>
      </c>
      <c r="L322" t="n">
        <v>0</v>
      </c>
      <c r="M322" t="n">
        <v>0</v>
      </c>
      <c r="N322" t="n">
        <v>0</v>
      </c>
      <c r="O322" t="n">
        <v>0</v>
      </c>
      <c r="P322" t="n">
        <v>0</v>
      </c>
      <c r="Q322" t="n">
        <v>0</v>
      </c>
      <c r="R322" s="2" t="inlineStr"/>
    </row>
    <row r="323" ht="15" customHeight="1">
      <c r="A323" t="inlineStr">
        <is>
          <t>A 18572-2025</t>
        </is>
      </c>
      <c r="B323" s="1" t="n">
        <v>45763</v>
      </c>
      <c r="C323" s="1" t="n">
        <v>45992</v>
      </c>
      <c r="D323" t="inlineStr">
        <is>
          <t>DALARNAS LÄN</t>
        </is>
      </c>
      <c r="E323" t="inlineStr">
        <is>
          <t>HEDEMORA</t>
        </is>
      </c>
      <c r="G323" t="n">
        <v>0.9</v>
      </c>
      <c r="H323" t="n">
        <v>0</v>
      </c>
      <c r="I323" t="n">
        <v>0</v>
      </c>
      <c r="J323" t="n">
        <v>0</v>
      </c>
      <c r="K323" t="n">
        <v>0</v>
      </c>
      <c r="L323" t="n">
        <v>0</v>
      </c>
      <c r="M323" t="n">
        <v>0</v>
      </c>
      <c r="N323" t="n">
        <v>0</v>
      </c>
      <c r="O323" t="n">
        <v>0</v>
      </c>
      <c r="P323" t="n">
        <v>0</v>
      </c>
      <c r="Q323" t="n">
        <v>0</v>
      </c>
      <c r="R323" s="2" t="inlineStr"/>
    </row>
    <row r="324" ht="15" customHeight="1">
      <c r="A324" t="inlineStr">
        <is>
          <t>A 62188-2023</t>
        </is>
      </c>
      <c r="B324" s="1" t="n">
        <v>45267</v>
      </c>
      <c r="C324" s="1" t="n">
        <v>45992</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1917-2022</t>
        </is>
      </c>
      <c r="B325" s="1" t="n">
        <v>44574</v>
      </c>
      <c r="C325" s="1" t="n">
        <v>45992</v>
      </c>
      <c r="D325" t="inlineStr">
        <is>
          <t>DALARNAS LÄN</t>
        </is>
      </c>
      <c r="E325" t="inlineStr">
        <is>
          <t>HEDEMORA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31825-2024</t>
        </is>
      </c>
      <c r="B326" s="1" t="n">
        <v>45509.60949074074</v>
      </c>
      <c r="C326" s="1" t="n">
        <v>45992</v>
      </c>
      <c r="D326" t="inlineStr">
        <is>
          <t>DALARNAS LÄN</t>
        </is>
      </c>
      <c r="E326" t="inlineStr">
        <is>
          <t>HEDEMORA</t>
        </is>
      </c>
      <c r="G326" t="n">
        <v>0.1</v>
      </c>
      <c r="H326" t="n">
        <v>0</v>
      </c>
      <c r="I326" t="n">
        <v>0</v>
      </c>
      <c r="J326" t="n">
        <v>0</v>
      </c>
      <c r="K326" t="n">
        <v>0</v>
      </c>
      <c r="L326" t="n">
        <v>0</v>
      </c>
      <c r="M326" t="n">
        <v>0</v>
      </c>
      <c r="N326" t="n">
        <v>0</v>
      </c>
      <c r="O326" t="n">
        <v>0</v>
      </c>
      <c r="P326" t="n">
        <v>0</v>
      </c>
      <c r="Q326" t="n">
        <v>0</v>
      </c>
      <c r="R326" s="2" t="inlineStr"/>
    </row>
    <row r="327" ht="15" customHeight="1">
      <c r="A327" t="inlineStr">
        <is>
          <t>A 26452-2024</t>
        </is>
      </c>
      <c r="B327" s="1" t="n">
        <v>45469.51145833333</v>
      </c>
      <c r="C327" s="1" t="n">
        <v>45992</v>
      </c>
      <c r="D327" t="inlineStr">
        <is>
          <t>DALARNAS LÄN</t>
        </is>
      </c>
      <c r="E327" t="inlineStr">
        <is>
          <t>HEDEMORA</t>
        </is>
      </c>
      <c r="G327" t="n">
        <v>2.3</v>
      </c>
      <c r="H327" t="n">
        <v>0</v>
      </c>
      <c r="I327" t="n">
        <v>0</v>
      </c>
      <c r="J327" t="n">
        <v>0</v>
      </c>
      <c r="K327" t="n">
        <v>0</v>
      </c>
      <c r="L327" t="n">
        <v>0</v>
      </c>
      <c r="M327" t="n">
        <v>0</v>
      </c>
      <c r="N327" t="n">
        <v>0</v>
      </c>
      <c r="O327" t="n">
        <v>0</v>
      </c>
      <c r="P327" t="n">
        <v>0</v>
      </c>
      <c r="Q327" t="n">
        <v>0</v>
      </c>
      <c r="R327" s="2" t="inlineStr"/>
    </row>
    <row r="328" ht="15" customHeight="1">
      <c r="A328" t="inlineStr">
        <is>
          <t>A 60808-2024</t>
        </is>
      </c>
      <c r="B328" s="1" t="n">
        <v>45644.61251157407</v>
      </c>
      <c r="C328" s="1" t="n">
        <v>45992</v>
      </c>
      <c r="D328" t="inlineStr">
        <is>
          <t>DALARNAS LÄN</t>
        </is>
      </c>
      <c r="E328" t="inlineStr">
        <is>
          <t>HEDEMORA</t>
        </is>
      </c>
      <c r="G328" t="n">
        <v>6</v>
      </c>
      <c r="H328" t="n">
        <v>0</v>
      </c>
      <c r="I328" t="n">
        <v>0</v>
      </c>
      <c r="J328" t="n">
        <v>0</v>
      </c>
      <c r="K328" t="n">
        <v>0</v>
      </c>
      <c r="L328" t="n">
        <v>0</v>
      </c>
      <c r="M328" t="n">
        <v>0</v>
      </c>
      <c r="N328" t="n">
        <v>0</v>
      </c>
      <c r="O328" t="n">
        <v>0</v>
      </c>
      <c r="P328" t="n">
        <v>0</v>
      </c>
      <c r="Q328" t="n">
        <v>0</v>
      </c>
      <c r="R328" s="2" t="inlineStr"/>
    </row>
    <row r="329" ht="15" customHeight="1">
      <c r="A329" t="inlineStr">
        <is>
          <t>A 14951-2025</t>
        </is>
      </c>
      <c r="B329" s="1" t="n">
        <v>45743.57695601852</v>
      </c>
      <c r="C329" s="1" t="n">
        <v>45992</v>
      </c>
      <c r="D329" t="inlineStr">
        <is>
          <t>DALARNAS LÄN</t>
        </is>
      </c>
      <c r="E329" t="inlineStr">
        <is>
          <t>HEDEMORA</t>
        </is>
      </c>
      <c r="G329" t="n">
        <v>1.6</v>
      </c>
      <c r="H329" t="n">
        <v>0</v>
      </c>
      <c r="I329" t="n">
        <v>0</v>
      </c>
      <c r="J329" t="n">
        <v>0</v>
      </c>
      <c r="K329" t="n">
        <v>0</v>
      </c>
      <c r="L329" t="n">
        <v>0</v>
      </c>
      <c r="M329" t="n">
        <v>0</v>
      </c>
      <c r="N329" t="n">
        <v>0</v>
      </c>
      <c r="O329" t="n">
        <v>0</v>
      </c>
      <c r="P329" t="n">
        <v>0</v>
      </c>
      <c r="Q329" t="n">
        <v>0</v>
      </c>
      <c r="R329" s="2" t="inlineStr"/>
    </row>
    <row r="330" ht="15" customHeight="1">
      <c r="A330" t="inlineStr">
        <is>
          <t>A 385-2024</t>
        </is>
      </c>
      <c r="B330" s="1" t="n">
        <v>45296</v>
      </c>
      <c r="C330" s="1" t="n">
        <v>45992</v>
      </c>
      <c r="D330" t="inlineStr">
        <is>
          <t>DALARNAS LÄN</t>
        </is>
      </c>
      <c r="E330" t="inlineStr">
        <is>
          <t>HEDEMORA</t>
        </is>
      </c>
      <c r="G330" t="n">
        <v>1.7</v>
      </c>
      <c r="H330" t="n">
        <v>0</v>
      </c>
      <c r="I330" t="n">
        <v>0</v>
      </c>
      <c r="J330" t="n">
        <v>0</v>
      </c>
      <c r="K330" t="n">
        <v>0</v>
      </c>
      <c r="L330" t="n">
        <v>0</v>
      </c>
      <c r="M330" t="n">
        <v>0</v>
      </c>
      <c r="N330" t="n">
        <v>0</v>
      </c>
      <c r="O330" t="n">
        <v>0</v>
      </c>
      <c r="P330" t="n">
        <v>0</v>
      </c>
      <c r="Q330" t="n">
        <v>0</v>
      </c>
      <c r="R330" s="2" t="inlineStr"/>
    </row>
    <row r="331" ht="15" customHeight="1">
      <c r="A331" t="inlineStr">
        <is>
          <t>A 29123-2021</t>
        </is>
      </c>
      <c r="B331" s="1" t="n">
        <v>44358</v>
      </c>
      <c r="C331" s="1" t="n">
        <v>45992</v>
      </c>
      <c r="D331" t="inlineStr">
        <is>
          <t>DALARNAS LÄN</t>
        </is>
      </c>
      <c r="E331" t="inlineStr">
        <is>
          <t>HEDEMORA</t>
        </is>
      </c>
      <c r="G331" t="n">
        <v>5.6</v>
      </c>
      <c r="H331" t="n">
        <v>0</v>
      </c>
      <c r="I331" t="n">
        <v>0</v>
      </c>
      <c r="J331" t="n">
        <v>0</v>
      </c>
      <c r="K331" t="n">
        <v>0</v>
      </c>
      <c r="L331" t="n">
        <v>0</v>
      </c>
      <c r="M331" t="n">
        <v>0</v>
      </c>
      <c r="N331" t="n">
        <v>0</v>
      </c>
      <c r="O331" t="n">
        <v>0</v>
      </c>
      <c r="P331" t="n">
        <v>0</v>
      </c>
      <c r="Q331" t="n">
        <v>0</v>
      </c>
      <c r="R331" s="2" t="inlineStr"/>
    </row>
    <row r="332" ht="15" customHeight="1">
      <c r="A332" t="inlineStr">
        <is>
          <t>A 38947-2023</t>
        </is>
      </c>
      <c r="B332" s="1" t="n">
        <v>45163.61209490741</v>
      </c>
      <c r="C332" s="1" t="n">
        <v>45992</v>
      </c>
      <c r="D332" t="inlineStr">
        <is>
          <t>DALARNAS LÄN</t>
        </is>
      </c>
      <c r="E332" t="inlineStr">
        <is>
          <t>HEDEMORA</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38951-2023</t>
        </is>
      </c>
      <c r="B333" s="1" t="n">
        <v>45163.61413194444</v>
      </c>
      <c r="C333" s="1" t="n">
        <v>45992</v>
      </c>
      <c r="D333" t="inlineStr">
        <is>
          <t>DALARNAS LÄN</t>
        </is>
      </c>
      <c r="E333" t="inlineStr">
        <is>
          <t>HEDEMORA</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55881-2023</t>
        </is>
      </c>
      <c r="B334" s="1" t="n">
        <v>45239</v>
      </c>
      <c r="C334" s="1" t="n">
        <v>45992</v>
      </c>
      <c r="D334" t="inlineStr">
        <is>
          <t>DALARNAS LÄN</t>
        </is>
      </c>
      <c r="E334" t="inlineStr">
        <is>
          <t>HEDEMORA</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15833-2025</t>
        </is>
      </c>
      <c r="B335" s="1" t="n">
        <v>45748.85107638889</v>
      </c>
      <c r="C335" s="1" t="n">
        <v>45992</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62046-2022</t>
        </is>
      </c>
      <c r="B336" s="1" t="n">
        <v>44918.5633912037</v>
      </c>
      <c r="C336" s="1" t="n">
        <v>45992</v>
      </c>
      <c r="D336" t="inlineStr">
        <is>
          <t>DALARNAS LÄN</t>
        </is>
      </c>
      <c r="E336" t="inlineStr">
        <is>
          <t>HEDEMORA</t>
        </is>
      </c>
      <c r="G336" t="n">
        <v>1.2</v>
      </c>
      <c r="H336" t="n">
        <v>0</v>
      </c>
      <c r="I336" t="n">
        <v>0</v>
      </c>
      <c r="J336" t="n">
        <v>0</v>
      </c>
      <c r="K336" t="n">
        <v>0</v>
      </c>
      <c r="L336" t="n">
        <v>0</v>
      </c>
      <c r="M336" t="n">
        <v>0</v>
      </c>
      <c r="N336" t="n">
        <v>0</v>
      </c>
      <c r="O336" t="n">
        <v>0</v>
      </c>
      <c r="P336" t="n">
        <v>0</v>
      </c>
      <c r="Q336" t="n">
        <v>0</v>
      </c>
      <c r="R336" s="2" t="inlineStr"/>
    </row>
    <row r="337" ht="15" customHeight="1">
      <c r="A337" t="inlineStr">
        <is>
          <t>A 29301-2023</t>
        </is>
      </c>
      <c r="B337" s="1" t="n">
        <v>45105</v>
      </c>
      <c r="C337" s="1" t="n">
        <v>45992</v>
      </c>
      <c r="D337" t="inlineStr">
        <is>
          <t>DALARNAS LÄN</t>
        </is>
      </c>
      <c r="E337" t="inlineStr">
        <is>
          <t>HEDEMORA</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18522-2021</t>
        </is>
      </c>
      <c r="B338" s="1" t="n">
        <v>44306.4405787037</v>
      </c>
      <c r="C338" s="1" t="n">
        <v>45992</v>
      </c>
      <c r="D338" t="inlineStr">
        <is>
          <t>DALARNAS LÄN</t>
        </is>
      </c>
      <c r="E338" t="inlineStr">
        <is>
          <t>HEDEMORA</t>
        </is>
      </c>
      <c r="G338" t="n">
        <v>7</v>
      </c>
      <c r="H338" t="n">
        <v>0</v>
      </c>
      <c r="I338" t="n">
        <v>0</v>
      </c>
      <c r="J338" t="n">
        <v>0</v>
      </c>
      <c r="K338" t="n">
        <v>0</v>
      </c>
      <c r="L338" t="n">
        <v>0</v>
      </c>
      <c r="M338" t="n">
        <v>0</v>
      </c>
      <c r="N338" t="n">
        <v>0</v>
      </c>
      <c r="O338" t="n">
        <v>0</v>
      </c>
      <c r="P338" t="n">
        <v>0</v>
      </c>
      <c r="Q338" t="n">
        <v>0</v>
      </c>
      <c r="R338" s="2" t="inlineStr"/>
    </row>
    <row r="339" ht="15" customHeight="1">
      <c r="A339" t="inlineStr">
        <is>
          <t>A 53923-2024</t>
        </is>
      </c>
      <c r="B339" s="1" t="n">
        <v>45615.79806712963</v>
      </c>
      <c r="C339" s="1" t="n">
        <v>45992</v>
      </c>
      <c r="D339" t="inlineStr">
        <is>
          <t>DALARNAS LÄN</t>
        </is>
      </c>
      <c r="E339" t="inlineStr">
        <is>
          <t>HEDEMORA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17645-2022</t>
        </is>
      </c>
      <c r="B340" s="1" t="n">
        <v>44680.47903935185</v>
      </c>
      <c r="C340" s="1" t="n">
        <v>45992</v>
      </c>
      <c r="D340" t="inlineStr">
        <is>
          <t>DALARNAS LÄN</t>
        </is>
      </c>
      <c r="E340" t="inlineStr">
        <is>
          <t>HEDEMORA</t>
        </is>
      </c>
      <c r="G340" t="n">
        <v>1.3</v>
      </c>
      <c r="H340" t="n">
        <v>0</v>
      </c>
      <c r="I340" t="n">
        <v>0</v>
      </c>
      <c r="J340" t="n">
        <v>0</v>
      </c>
      <c r="K340" t="n">
        <v>0</v>
      </c>
      <c r="L340" t="n">
        <v>0</v>
      </c>
      <c r="M340" t="n">
        <v>0</v>
      </c>
      <c r="N340" t="n">
        <v>0</v>
      </c>
      <c r="O340" t="n">
        <v>0</v>
      </c>
      <c r="P340" t="n">
        <v>0</v>
      </c>
      <c r="Q340" t="n">
        <v>0</v>
      </c>
      <c r="R340" s="2" t="inlineStr"/>
    </row>
    <row r="341" ht="15" customHeight="1">
      <c r="A341" t="inlineStr">
        <is>
          <t>A 44384-2024</t>
        </is>
      </c>
      <c r="B341" s="1" t="n">
        <v>45573.67782407408</v>
      </c>
      <c r="C341" s="1" t="n">
        <v>45992</v>
      </c>
      <c r="D341" t="inlineStr">
        <is>
          <t>DALARNAS LÄN</t>
        </is>
      </c>
      <c r="E341" t="inlineStr">
        <is>
          <t>HEDEMORA</t>
        </is>
      </c>
      <c r="F341" t="inlineStr">
        <is>
          <t>Bergvik skog väst AB</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44388-2024</t>
        </is>
      </c>
      <c r="B342" s="1" t="n">
        <v>45573.68875</v>
      </c>
      <c r="C342" s="1" t="n">
        <v>45992</v>
      </c>
      <c r="D342" t="inlineStr">
        <is>
          <t>DALARNAS LÄN</t>
        </is>
      </c>
      <c r="E342" t="inlineStr">
        <is>
          <t>HEDEMORA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39530-2024</t>
        </is>
      </c>
      <c r="B343" s="1" t="n">
        <v>45551</v>
      </c>
      <c r="C343" s="1" t="n">
        <v>45992</v>
      </c>
      <c r="D343" t="inlineStr">
        <is>
          <t>DALARNAS LÄN</t>
        </is>
      </c>
      <c r="E343" t="inlineStr">
        <is>
          <t>HEDEMORA</t>
        </is>
      </c>
      <c r="F343" t="inlineStr">
        <is>
          <t>Bergvik skog väst AB</t>
        </is>
      </c>
      <c r="G343" t="n">
        <v>13.8</v>
      </c>
      <c r="H343" t="n">
        <v>0</v>
      </c>
      <c r="I343" t="n">
        <v>0</v>
      </c>
      <c r="J343" t="n">
        <v>0</v>
      </c>
      <c r="K343" t="n">
        <v>0</v>
      </c>
      <c r="L343" t="n">
        <v>0</v>
      </c>
      <c r="M343" t="n">
        <v>0</v>
      </c>
      <c r="N343" t="n">
        <v>0</v>
      </c>
      <c r="O343" t="n">
        <v>0</v>
      </c>
      <c r="P343" t="n">
        <v>0</v>
      </c>
      <c r="Q343" t="n">
        <v>0</v>
      </c>
      <c r="R343" s="2" t="inlineStr"/>
    </row>
    <row r="344" ht="15" customHeight="1">
      <c r="A344" t="inlineStr">
        <is>
          <t>A 39531-2024</t>
        </is>
      </c>
      <c r="B344" s="1" t="n">
        <v>45551</v>
      </c>
      <c r="C344" s="1" t="n">
        <v>45992</v>
      </c>
      <c r="D344" t="inlineStr">
        <is>
          <t>DALARNAS LÄN</t>
        </is>
      </c>
      <c r="E344" t="inlineStr">
        <is>
          <t>HEDEMORA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39552-2024</t>
        </is>
      </c>
      <c r="B345" s="1" t="n">
        <v>45551</v>
      </c>
      <c r="C345" s="1" t="n">
        <v>45992</v>
      </c>
      <c r="D345" t="inlineStr">
        <is>
          <t>DALARNAS LÄN</t>
        </is>
      </c>
      <c r="E345" t="inlineStr">
        <is>
          <t>HEDEMORA</t>
        </is>
      </c>
      <c r="F345" t="inlineStr">
        <is>
          <t>Bergvik skog väst AB</t>
        </is>
      </c>
      <c r="G345" t="n">
        <v>24.1</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45992</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17600-2025</t>
        </is>
      </c>
      <c r="B347" s="1" t="n">
        <v>45757.71063657408</v>
      </c>
      <c r="C347" s="1" t="n">
        <v>45992</v>
      </c>
      <c r="D347" t="inlineStr">
        <is>
          <t>DALARNAS LÄN</t>
        </is>
      </c>
      <c r="E347" t="inlineStr">
        <is>
          <t>HEDEMORA</t>
        </is>
      </c>
      <c r="G347" t="n">
        <v>1.4</v>
      </c>
      <c r="H347" t="n">
        <v>0</v>
      </c>
      <c r="I347" t="n">
        <v>0</v>
      </c>
      <c r="J347" t="n">
        <v>0</v>
      </c>
      <c r="K347" t="n">
        <v>0</v>
      </c>
      <c r="L347" t="n">
        <v>0</v>
      </c>
      <c r="M347" t="n">
        <v>0</v>
      </c>
      <c r="N347" t="n">
        <v>0</v>
      </c>
      <c r="O347" t="n">
        <v>0</v>
      </c>
      <c r="P347" t="n">
        <v>0</v>
      </c>
      <c r="Q347" t="n">
        <v>0</v>
      </c>
      <c r="R347" s="2" t="inlineStr"/>
    </row>
    <row r="348" ht="15" customHeight="1">
      <c r="A348" t="inlineStr">
        <is>
          <t>A 25691-2022</t>
        </is>
      </c>
      <c r="B348" s="1" t="n">
        <v>44733</v>
      </c>
      <c r="C348" s="1" t="n">
        <v>45992</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60475-2022</t>
        </is>
      </c>
      <c r="B349" s="1" t="n">
        <v>44911.41222222222</v>
      </c>
      <c r="C349" s="1" t="n">
        <v>45992</v>
      </c>
      <c r="D349" t="inlineStr">
        <is>
          <t>DALARNAS LÄN</t>
        </is>
      </c>
      <c r="E349" t="inlineStr">
        <is>
          <t>HEDEMORA</t>
        </is>
      </c>
      <c r="G349" t="n">
        <v>1</v>
      </c>
      <c r="H349" t="n">
        <v>0</v>
      </c>
      <c r="I349" t="n">
        <v>0</v>
      </c>
      <c r="J349" t="n">
        <v>0</v>
      </c>
      <c r="K349" t="n">
        <v>0</v>
      </c>
      <c r="L349" t="n">
        <v>0</v>
      </c>
      <c r="M349" t="n">
        <v>0</v>
      </c>
      <c r="N349" t="n">
        <v>0</v>
      </c>
      <c r="O349" t="n">
        <v>0</v>
      </c>
      <c r="P349" t="n">
        <v>0</v>
      </c>
      <c r="Q349" t="n">
        <v>0</v>
      </c>
      <c r="R349" s="2" t="inlineStr"/>
    </row>
    <row r="350" ht="15" customHeight="1">
      <c r="A350" t="inlineStr">
        <is>
          <t>A 63925-2023</t>
        </is>
      </c>
      <c r="B350" s="1" t="n">
        <v>45278</v>
      </c>
      <c r="C350" s="1" t="n">
        <v>45992</v>
      </c>
      <c r="D350" t="inlineStr">
        <is>
          <t>DALARNAS LÄN</t>
        </is>
      </c>
      <c r="E350" t="inlineStr">
        <is>
          <t>HEDEMORA</t>
        </is>
      </c>
      <c r="G350" t="n">
        <v>5.2</v>
      </c>
      <c r="H350" t="n">
        <v>0</v>
      </c>
      <c r="I350" t="n">
        <v>0</v>
      </c>
      <c r="J350" t="n">
        <v>0</v>
      </c>
      <c r="K350" t="n">
        <v>0</v>
      </c>
      <c r="L350" t="n">
        <v>0</v>
      </c>
      <c r="M350" t="n">
        <v>0</v>
      </c>
      <c r="N350" t="n">
        <v>0</v>
      </c>
      <c r="O350" t="n">
        <v>0</v>
      </c>
      <c r="P350" t="n">
        <v>0</v>
      </c>
      <c r="Q350" t="n">
        <v>0</v>
      </c>
      <c r="R350" s="2" t="inlineStr"/>
    </row>
    <row r="351" ht="15" customHeight="1">
      <c r="A351" t="inlineStr">
        <is>
          <t>A 60408-2021</t>
        </is>
      </c>
      <c r="B351" s="1" t="n">
        <v>44495</v>
      </c>
      <c r="C351" s="1" t="n">
        <v>45992</v>
      </c>
      <c r="D351" t="inlineStr">
        <is>
          <t>DALARNAS LÄN</t>
        </is>
      </c>
      <c r="E351" t="inlineStr">
        <is>
          <t>HEDEMORA</t>
        </is>
      </c>
      <c r="G351" t="n">
        <v>0.7</v>
      </c>
      <c r="H351" t="n">
        <v>0</v>
      </c>
      <c r="I351" t="n">
        <v>0</v>
      </c>
      <c r="J351" t="n">
        <v>0</v>
      </c>
      <c r="K351" t="n">
        <v>0</v>
      </c>
      <c r="L351" t="n">
        <v>0</v>
      </c>
      <c r="M351" t="n">
        <v>0</v>
      </c>
      <c r="N351" t="n">
        <v>0</v>
      </c>
      <c r="O351" t="n">
        <v>0</v>
      </c>
      <c r="P351" t="n">
        <v>0</v>
      </c>
      <c r="Q351" t="n">
        <v>0</v>
      </c>
      <c r="R351" s="2" t="inlineStr"/>
    </row>
    <row r="352" ht="15" customHeight="1">
      <c r="A352" t="inlineStr">
        <is>
          <t>A 6556-2023</t>
        </is>
      </c>
      <c r="B352" s="1" t="n">
        <v>44961</v>
      </c>
      <c r="C352" s="1" t="n">
        <v>45992</v>
      </c>
      <c r="D352" t="inlineStr">
        <is>
          <t>DALARNAS LÄN</t>
        </is>
      </c>
      <c r="E352" t="inlineStr">
        <is>
          <t>HEDEMORA</t>
        </is>
      </c>
      <c r="G352" t="n">
        <v>3.7</v>
      </c>
      <c r="H352" t="n">
        <v>0</v>
      </c>
      <c r="I352" t="n">
        <v>0</v>
      </c>
      <c r="J352" t="n">
        <v>0</v>
      </c>
      <c r="K352" t="n">
        <v>0</v>
      </c>
      <c r="L352" t="n">
        <v>0</v>
      </c>
      <c r="M352" t="n">
        <v>0</v>
      </c>
      <c r="N352" t="n">
        <v>0</v>
      </c>
      <c r="O352" t="n">
        <v>0</v>
      </c>
      <c r="P352" t="n">
        <v>0</v>
      </c>
      <c r="Q352" t="n">
        <v>0</v>
      </c>
      <c r="R352" s="2" t="inlineStr"/>
    </row>
    <row r="353" ht="15" customHeight="1">
      <c r="A353" t="inlineStr">
        <is>
          <t>A 62401-2023</t>
        </is>
      </c>
      <c r="B353" s="1" t="n">
        <v>45268</v>
      </c>
      <c r="C353" s="1" t="n">
        <v>45992</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48320-2024</t>
        </is>
      </c>
      <c r="B354" s="1" t="n">
        <v>45590.4999537037</v>
      </c>
      <c r="C354" s="1" t="n">
        <v>45992</v>
      </c>
      <c r="D354" t="inlineStr">
        <is>
          <t>DALARNAS LÄN</t>
        </is>
      </c>
      <c r="E354" t="inlineStr">
        <is>
          <t>HEDEMORA</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58841-2023</t>
        </is>
      </c>
      <c r="B355" s="1" t="n">
        <v>45252.42115740741</v>
      </c>
      <c r="C355" s="1" t="n">
        <v>45992</v>
      </c>
      <c r="D355" t="inlineStr">
        <is>
          <t>DALARNAS LÄN</t>
        </is>
      </c>
      <c r="E355" t="inlineStr">
        <is>
          <t>HEDEMORA</t>
        </is>
      </c>
      <c r="G355" t="n">
        <v>14.8</v>
      </c>
      <c r="H355" t="n">
        <v>0</v>
      </c>
      <c r="I355" t="n">
        <v>0</v>
      </c>
      <c r="J355" t="n">
        <v>0</v>
      </c>
      <c r="K355" t="n">
        <v>0</v>
      </c>
      <c r="L355" t="n">
        <v>0</v>
      </c>
      <c r="M355" t="n">
        <v>0</v>
      </c>
      <c r="N355" t="n">
        <v>0</v>
      </c>
      <c r="O355" t="n">
        <v>0</v>
      </c>
      <c r="P355" t="n">
        <v>0</v>
      </c>
      <c r="Q355" t="n">
        <v>0</v>
      </c>
      <c r="R355" s="2" t="inlineStr"/>
    </row>
    <row r="356" ht="15" customHeight="1">
      <c r="A356" t="inlineStr">
        <is>
          <t>A 19988-2025</t>
        </is>
      </c>
      <c r="B356" s="1" t="n">
        <v>45771.72665509259</v>
      </c>
      <c r="C356" s="1" t="n">
        <v>45992</v>
      </c>
      <c r="D356" t="inlineStr">
        <is>
          <t>DALARNAS LÄN</t>
        </is>
      </c>
      <c r="E356" t="inlineStr">
        <is>
          <t>HEDEMORA</t>
        </is>
      </c>
      <c r="G356" t="n">
        <v>0.7</v>
      </c>
      <c r="H356" t="n">
        <v>0</v>
      </c>
      <c r="I356" t="n">
        <v>0</v>
      </c>
      <c r="J356" t="n">
        <v>0</v>
      </c>
      <c r="K356" t="n">
        <v>0</v>
      </c>
      <c r="L356" t="n">
        <v>0</v>
      </c>
      <c r="M356" t="n">
        <v>0</v>
      </c>
      <c r="N356" t="n">
        <v>0</v>
      </c>
      <c r="O356" t="n">
        <v>0</v>
      </c>
      <c r="P356" t="n">
        <v>0</v>
      </c>
      <c r="Q356" t="n">
        <v>0</v>
      </c>
      <c r="R356" s="2" t="inlineStr"/>
    </row>
    <row r="357" ht="15" customHeight="1">
      <c r="A357" t="inlineStr">
        <is>
          <t>A 63908-2021</t>
        </is>
      </c>
      <c r="B357" s="1" t="n">
        <v>44509.6580787037</v>
      </c>
      <c r="C357" s="1" t="n">
        <v>45992</v>
      </c>
      <c r="D357" t="inlineStr">
        <is>
          <t>DALARNAS LÄN</t>
        </is>
      </c>
      <c r="E357" t="inlineStr">
        <is>
          <t>HEDEMORA</t>
        </is>
      </c>
      <c r="G357" t="n">
        <v>1.4</v>
      </c>
      <c r="H357" t="n">
        <v>0</v>
      </c>
      <c r="I357" t="n">
        <v>0</v>
      </c>
      <c r="J357" t="n">
        <v>0</v>
      </c>
      <c r="K357" t="n">
        <v>0</v>
      </c>
      <c r="L357" t="n">
        <v>0</v>
      </c>
      <c r="M357" t="n">
        <v>0</v>
      </c>
      <c r="N357" t="n">
        <v>0</v>
      </c>
      <c r="O357" t="n">
        <v>0</v>
      </c>
      <c r="P357" t="n">
        <v>0</v>
      </c>
      <c r="Q357" t="n">
        <v>0</v>
      </c>
      <c r="R357" s="2" t="inlineStr"/>
    </row>
    <row r="358" ht="15" customHeight="1">
      <c r="A358" t="inlineStr">
        <is>
          <t>A 20272-2025</t>
        </is>
      </c>
      <c r="B358" s="1" t="n">
        <v>45773.71663194444</v>
      </c>
      <c r="C358" s="1" t="n">
        <v>45992</v>
      </c>
      <c r="D358" t="inlineStr">
        <is>
          <t>DALARNAS LÄN</t>
        </is>
      </c>
      <c r="E358" t="inlineStr">
        <is>
          <t>HEDEMORA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9314-2024</t>
        </is>
      </c>
      <c r="B359" s="1" t="n">
        <v>45358</v>
      </c>
      <c r="C359" s="1" t="n">
        <v>45992</v>
      </c>
      <c r="D359" t="inlineStr">
        <is>
          <t>DALARNAS LÄN</t>
        </is>
      </c>
      <c r="E359" t="inlineStr">
        <is>
          <t>HEDEMORA</t>
        </is>
      </c>
      <c r="G359" t="n">
        <v>1.4</v>
      </c>
      <c r="H359" t="n">
        <v>0</v>
      </c>
      <c r="I359" t="n">
        <v>0</v>
      </c>
      <c r="J359" t="n">
        <v>0</v>
      </c>
      <c r="K359" t="n">
        <v>0</v>
      </c>
      <c r="L359" t="n">
        <v>0</v>
      </c>
      <c r="M359" t="n">
        <v>0</v>
      </c>
      <c r="N359" t="n">
        <v>0</v>
      </c>
      <c r="O359" t="n">
        <v>0</v>
      </c>
      <c r="P359" t="n">
        <v>0</v>
      </c>
      <c r="Q359" t="n">
        <v>0</v>
      </c>
      <c r="R359" s="2" t="inlineStr"/>
    </row>
    <row r="360" ht="15" customHeight="1">
      <c r="A360" t="inlineStr">
        <is>
          <t>A 55882-2023</t>
        </is>
      </c>
      <c r="B360" s="1" t="n">
        <v>45239</v>
      </c>
      <c r="C360" s="1" t="n">
        <v>45992</v>
      </c>
      <c r="D360" t="inlineStr">
        <is>
          <t>DALARNAS LÄN</t>
        </is>
      </c>
      <c r="E360" t="inlineStr">
        <is>
          <t>HEDEMORA</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19990-2025</t>
        </is>
      </c>
      <c r="B361" s="1" t="n">
        <v>45771.73082175926</v>
      </c>
      <c r="C361" s="1" t="n">
        <v>45992</v>
      </c>
      <c r="D361" t="inlineStr">
        <is>
          <t>DALARNAS LÄN</t>
        </is>
      </c>
      <c r="E361" t="inlineStr">
        <is>
          <t>HEDEMORA</t>
        </is>
      </c>
      <c r="G361" t="n">
        <v>0.5</v>
      </c>
      <c r="H361" t="n">
        <v>0</v>
      </c>
      <c r="I361" t="n">
        <v>0</v>
      </c>
      <c r="J361" t="n">
        <v>0</v>
      </c>
      <c r="K361" t="n">
        <v>0</v>
      </c>
      <c r="L361" t="n">
        <v>0</v>
      </c>
      <c r="M361" t="n">
        <v>0</v>
      </c>
      <c r="N361" t="n">
        <v>0</v>
      </c>
      <c r="O361" t="n">
        <v>0</v>
      </c>
      <c r="P361" t="n">
        <v>0</v>
      </c>
      <c r="Q361" t="n">
        <v>0</v>
      </c>
      <c r="R361" s="2" t="inlineStr"/>
    </row>
    <row r="362" ht="15" customHeight="1">
      <c r="A362" t="inlineStr">
        <is>
          <t>A 21763-2024</t>
        </is>
      </c>
      <c r="B362" s="1" t="n">
        <v>45442.60204861111</v>
      </c>
      <c r="C362" s="1" t="n">
        <v>45992</v>
      </c>
      <c r="D362" t="inlineStr">
        <is>
          <t>DALARNAS LÄN</t>
        </is>
      </c>
      <c r="E362" t="inlineStr">
        <is>
          <t>HEDEMORA</t>
        </is>
      </c>
      <c r="G362" t="n">
        <v>1.6</v>
      </c>
      <c r="H362" t="n">
        <v>0</v>
      </c>
      <c r="I362" t="n">
        <v>0</v>
      </c>
      <c r="J362" t="n">
        <v>0</v>
      </c>
      <c r="K362" t="n">
        <v>0</v>
      </c>
      <c r="L362" t="n">
        <v>0</v>
      </c>
      <c r="M362" t="n">
        <v>0</v>
      </c>
      <c r="N362" t="n">
        <v>0</v>
      </c>
      <c r="O362" t="n">
        <v>0</v>
      </c>
      <c r="P362" t="n">
        <v>0</v>
      </c>
      <c r="Q362" t="n">
        <v>0</v>
      </c>
      <c r="R362" s="2" t="inlineStr"/>
    </row>
    <row r="363" ht="15" customHeight="1">
      <c r="A363" t="inlineStr">
        <is>
          <t>A 17594-2025</t>
        </is>
      </c>
      <c r="B363" s="1" t="n">
        <v>45757</v>
      </c>
      <c r="C363" s="1" t="n">
        <v>45992</v>
      </c>
      <c r="D363" t="inlineStr">
        <is>
          <t>DALARNAS LÄN</t>
        </is>
      </c>
      <c r="E363" t="inlineStr">
        <is>
          <t>HEDEMORA</t>
        </is>
      </c>
      <c r="G363" t="n">
        <v>0.6</v>
      </c>
      <c r="H363" t="n">
        <v>0</v>
      </c>
      <c r="I363" t="n">
        <v>0</v>
      </c>
      <c r="J363" t="n">
        <v>0</v>
      </c>
      <c r="K363" t="n">
        <v>0</v>
      </c>
      <c r="L363" t="n">
        <v>0</v>
      </c>
      <c r="M363" t="n">
        <v>0</v>
      </c>
      <c r="N363" t="n">
        <v>0</v>
      </c>
      <c r="O363" t="n">
        <v>0</v>
      </c>
      <c r="P363" t="n">
        <v>0</v>
      </c>
      <c r="Q363" t="n">
        <v>0</v>
      </c>
      <c r="R363" s="2" t="inlineStr"/>
    </row>
    <row r="364" ht="15" customHeight="1">
      <c r="A364" t="inlineStr">
        <is>
          <t>A 37762-2024</t>
        </is>
      </c>
      <c r="B364" s="1" t="n">
        <v>45541.79369212963</v>
      </c>
      <c r="C364" s="1" t="n">
        <v>45992</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19987-2025</t>
        </is>
      </c>
      <c r="B365" s="1" t="n">
        <v>45771.72193287037</v>
      </c>
      <c r="C365" s="1" t="n">
        <v>45992</v>
      </c>
      <c r="D365" t="inlineStr">
        <is>
          <t>DALARNAS LÄN</t>
        </is>
      </c>
      <c r="E365" t="inlineStr">
        <is>
          <t>HEDEMORA</t>
        </is>
      </c>
      <c r="G365" t="n">
        <v>3</v>
      </c>
      <c r="H365" t="n">
        <v>0</v>
      </c>
      <c r="I365" t="n">
        <v>0</v>
      </c>
      <c r="J365" t="n">
        <v>0</v>
      </c>
      <c r="K365" t="n">
        <v>0</v>
      </c>
      <c r="L365" t="n">
        <v>0</v>
      </c>
      <c r="M365" t="n">
        <v>0</v>
      </c>
      <c r="N365" t="n">
        <v>0</v>
      </c>
      <c r="O365" t="n">
        <v>0</v>
      </c>
      <c r="P365" t="n">
        <v>0</v>
      </c>
      <c r="Q365" t="n">
        <v>0</v>
      </c>
      <c r="R365" s="2" t="inlineStr"/>
    </row>
    <row r="366" ht="15" customHeight="1">
      <c r="A366" t="inlineStr">
        <is>
          <t>A 28813-2024</t>
        </is>
      </c>
      <c r="B366" s="1" t="n">
        <v>45478.641875</v>
      </c>
      <c r="C366" s="1" t="n">
        <v>45992</v>
      </c>
      <c r="D366" t="inlineStr">
        <is>
          <t>DALARNAS LÄN</t>
        </is>
      </c>
      <c r="E366" t="inlineStr">
        <is>
          <t>HEDEMORA</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20670-2024</t>
        </is>
      </c>
      <c r="B367" s="1" t="n">
        <v>45436</v>
      </c>
      <c r="C367" s="1" t="n">
        <v>45992</v>
      </c>
      <c r="D367" t="inlineStr">
        <is>
          <t>DALARNAS LÄN</t>
        </is>
      </c>
      <c r="E367" t="inlineStr">
        <is>
          <t>HEDEMORA</t>
        </is>
      </c>
      <c r="G367" t="n">
        <v>2.7</v>
      </c>
      <c r="H367" t="n">
        <v>0</v>
      </c>
      <c r="I367" t="n">
        <v>0</v>
      </c>
      <c r="J367" t="n">
        <v>0</v>
      </c>
      <c r="K367" t="n">
        <v>0</v>
      </c>
      <c r="L367" t="n">
        <v>0</v>
      </c>
      <c r="M367" t="n">
        <v>0</v>
      </c>
      <c r="N367" t="n">
        <v>0</v>
      </c>
      <c r="O367" t="n">
        <v>0</v>
      </c>
      <c r="P367" t="n">
        <v>0</v>
      </c>
      <c r="Q367" t="n">
        <v>0</v>
      </c>
      <c r="R367" s="2" t="inlineStr"/>
    </row>
    <row r="368" ht="15" customHeight="1">
      <c r="A368" t="inlineStr">
        <is>
          <t>A 7052-2025</t>
        </is>
      </c>
      <c r="B368" s="1" t="n">
        <v>45701.64659722222</v>
      </c>
      <c r="C368" s="1" t="n">
        <v>45992</v>
      </c>
      <c r="D368" t="inlineStr">
        <is>
          <t>DALARNAS LÄN</t>
        </is>
      </c>
      <c r="E368" t="inlineStr">
        <is>
          <t>HEDEMORA</t>
        </is>
      </c>
      <c r="G368" t="n">
        <v>0.9</v>
      </c>
      <c r="H368" t="n">
        <v>0</v>
      </c>
      <c r="I368" t="n">
        <v>0</v>
      </c>
      <c r="J368" t="n">
        <v>0</v>
      </c>
      <c r="K368" t="n">
        <v>0</v>
      </c>
      <c r="L368" t="n">
        <v>0</v>
      </c>
      <c r="M368" t="n">
        <v>0</v>
      </c>
      <c r="N368" t="n">
        <v>0</v>
      </c>
      <c r="O368" t="n">
        <v>0</v>
      </c>
      <c r="P368" t="n">
        <v>0</v>
      </c>
      <c r="Q368" t="n">
        <v>0</v>
      </c>
      <c r="R368" s="2" t="inlineStr"/>
    </row>
    <row r="369" ht="15" customHeight="1">
      <c r="A369" t="inlineStr">
        <is>
          <t>A 48321-2024</t>
        </is>
      </c>
      <c r="B369" s="1" t="n">
        <v>45590.50111111111</v>
      </c>
      <c r="C369" s="1" t="n">
        <v>45992</v>
      </c>
      <c r="D369" t="inlineStr">
        <is>
          <t>DALARNAS LÄN</t>
        </is>
      </c>
      <c r="E369" t="inlineStr">
        <is>
          <t>HEDEMORA</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60078-2022</t>
        </is>
      </c>
      <c r="B370" s="1" t="n">
        <v>44909.58811342593</v>
      </c>
      <c r="C370" s="1" t="n">
        <v>45992</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14456-2021</t>
        </is>
      </c>
      <c r="B371" s="1" t="n">
        <v>44279.50208333333</v>
      </c>
      <c r="C371" s="1" t="n">
        <v>45992</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24427-2022</t>
        </is>
      </c>
      <c r="B372" s="1" t="n">
        <v>44726</v>
      </c>
      <c r="C372" s="1" t="n">
        <v>45992</v>
      </c>
      <c r="D372" t="inlineStr">
        <is>
          <t>DALARNAS LÄN</t>
        </is>
      </c>
      <c r="E372" t="inlineStr">
        <is>
          <t>HEDEMORA</t>
        </is>
      </c>
      <c r="G372" t="n">
        <v>1.7</v>
      </c>
      <c r="H372" t="n">
        <v>0</v>
      </c>
      <c r="I372" t="n">
        <v>0</v>
      </c>
      <c r="J372" t="n">
        <v>0</v>
      </c>
      <c r="K372" t="n">
        <v>0</v>
      </c>
      <c r="L372" t="n">
        <v>0</v>
      </c>
      <c r="M372" t="n">
        <v>0</v>
      </c>
      <c r="N372" t="n">
        <v>0</v>
      </c>
      <c r="O372" t="n">
        <v>0</v>
      </c>
      <c r="P372" t="n">
        <v>0</v>
      </c>
      <c r="Q372" t="n">
        <v>0</v>
      </c>
      <c r="R372" s="2" t="inlineStr"/>
    </row>
    <row r="373" ht="15" customHeight="1">
      <c r="A373" t="inlineStr">
        <is>
          <t>A 45589-2023</t>
        </is>
      </c>
      <c r="B373" s="1" t="n">
        <v>45194.63086805555</v>
      </c>
      <c r="C373" s="1" t="n">
        <v>45992</v>
      </c>
      <c r="D373" t="inlineStr">
        <is>
          <t>DALARNAS LÄN</t>
        </is>
      </c>
      <c r="E373" t="inlineStr">
        <is>
          <t>HEDEMORA</t>
        </is>
      </c>
      <c r="G373" t="n">
        <v>0.7</v>
      </c>
      <c r="H373" t="n">
        <v>0</v>
      </c>
      <c r="I373" t="n">
        <v>0</v>
      </c>
      <c r="J373" t="n">
        <v>0</v>
      </c>
      <c r="K373" t="n">
        <v>0</v>
      </c>
      <c r="L373" t="n">
        <v>0</v>
      </c>
      <c r="M373" t="n">
        <v>0</v>
      </c>
      <c r="N373" t="n">
        <v>0</v>
      </c>
      <c r="O373" t="n">
        <v>0</v>
      </c>
      <c r="P373" t="n">
        <v>0</v>
      </c>
      <c r="Q373" t="n">
        <v>0</v>
      </c>
      <c r="R373" s="2" t="inlineStr"/>
    </row>
    <row r="374" ht="15" customHeight="1">
      <c r="A374" t="inlineStr">
        <is>
          <t>A 48323-2021</t>
        </is>
      </c>
      <c r="B374" s="1" t="n">
        <v>44450.84762731481</v>
      </c>
      <c r="C374" s="1" t="n">
        <v>45992</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40919-2023</t>
        </is>
      </c>
      <c r="B375" s="1" t="n">
        <v>45173.42707175926</v>
      </c>
      <c r="C375" s="1" t="n">
        <v>45992</v>
      </c>
      <c r="D375" t="inlineStr">
        <is>
          <t>DALARNAS LÄN</t>
        </is>
      </c>
      <c r="E375" t="inlineStr">
        <is>
          <t>HEDEMORA</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1978-2021</t>
        </is>
      </c>
      <c r="B376" s="1" t="n">
        <v>44210.67606481481</v>
      </c>
      <c r="C376" s="1" t="n">
        <v>45992</v>
      </c>
      <c r="D376" t="inlineStr">
        <is>
          <t>DALARNAS LÄN</t>
        </is>
      </c>
      <c r="E376" t="inlineStr">
        <is>
          <t>HEDEMORA</t>
        </is>
      </c>
      <c r="G376" t="n">
        <v>1</v>
      </c>
      <c r="H376" t="n">
        <v>0</v>
      </c>
      <c r="I376" t="n">
        <v>0</v>
      </c>
      <c r="J376" t="n">
        <v>0</v>
      </c>
      <c r="K376" t="n">
        <v>0</v>
      </c>
      <c r="L376" t="n">
        <v>0</v>
      </c>
      <c r="M376" t="n">
        <v>0</v>
      </c>
      <c r="N376" t="n">
        <v>0</v>
      </c>
      <c r="O376" t="n">
        <v>0</v>
      </c>
      <c r="P376" t="n">
        <v>0</v>
      </c>
      <c r="Q376" t="n">
        <v>0</v>
      </c>
      <c r="R376" s="2" t="inlineStr"/>
    </row>
    <row r="377" ht="15" customHeight="1">
      <c r="A377" t="inlineStr">
        <is>
          <t>A 20237-2023</t>
        </is>
      </c>
      <c r="B377" s="1" t="n">
        <v>45055</v>
      </c>
      <c r="C377" s="1" t="n">
        <v>45992</v>
      </c>
      <c r="D377" t="inlineStr">
        <is>
          <t>DALARNAS LÄN</t>
        </is>
      </c>
      <c r="E377" t="inlineStr">
        <is>
          <t>HEDEMORA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68553-2021</t>
        </is>
      </c>
      <c r="B378" s="1" t="n">
        <v>44529</v>
      </c>
      <c r="C378" s="1" t="n">
        <v>45992</v>
      </c>
      <c r="D378" t="inlineStr">
        <is>
          <t>DALARNAS LÄN</t>
        </is>
      </c>
      <c r="E378" t="inlineStr">
        <is>
          <t>HEDEMORA</t>
        </is>
      </c>
      <c r="G378" t="n">
        <v>3</v>
      </c>
      <c r="H378" t="n">
        <v>0</v>
      </c>
      <c r="I378" t="n">
        <v>0</v>
      </c>
      <c r="J378" t="n">
        <v>0</v>
      </c>
      <c r="K378" t="n">
        <v>0</v>
      </c>
      <c r="L378" t="n">
        <v>0</v>
      </c>
      <c r="M378" t="n">
        <v>0</v>
      </c>
      <c r="N378" t="n">
        <v>0</v>
      </c>
      <c r="O378" t="n">
        <v>0</v>
      </c>
      <c r="P378" t="n">
        <v>0</v>
      </c>
      <c r="Q378" t="n">
        <v>0</v>
      </c>
      <c r="R378" s="2" t="inlineStr"/>
    </row>
    <row r="379" ht="15" customHeight="1">
      <c r="A379" t="inlineStr">
        <is>
          <t>A 30939-2023</t>
        </is>
      </c>
      <c r="B379" s="1" t="n">
        <v>45113.45597222223</v>
      </c>
      <c r="C379" s="1" t="n">
        <v>45992</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20965-2025</t>
        </is>
      </c>
      <c r="B380" s="1" t="n">
        <v>45777.45135416667</v>
      </c>
      <c r="C380" s="1" t="n">
        <v>45992</v>
      </c>
      <c r="D380" t="inlineStr">
        <is>
          <t>DALARNAS LÄN</t>
        </is>
      </c>
      <c r="E380" t="inlineStr">
        <is>
          <t>HEDEMORA</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30430-2023</t>
        </is>
      </c>
      <c r="B381" s="1" t="n">
        <v>45111.54344907407</v>
      </c>
      <c r="C381" s="1" t="n">
        <v>45992</v>
      </c>
      <c r="D381" t="inlineStr">
        <is>
          <t>DALARNAS LÄN</t>
        </is>
      </c>
      <c r="E381" t="inlineStr">
        <is>
          <t>HEDEMORA</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63941-2023</t>
        </is>
      </c>
      <c r="B382" s="1" t="n">
        <v>45278.61277777778</v>
      </c>
      <c r="C382" s="1" t="n">
        <v>45992</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48380-2024</t>
        </is>
      </c>
      <c r="B383" s="1" t="n">
        <v>45590</v>
      </c>
      <c r="C383" s="1" t="n">
        <v>45992</v>
      </c>
      <c r="D383" t="inlineStr">
        <is>
          <t>DALARNAS LÄN</t>
        </is>
      </c>
      <c r="E383" t="inlineStr">
        <is>
          <t>HEDEMORA</t>
        </is>
      </c>
      <c r="G383" t="n">
        <v>1.5</v>
      </c>
      <c r="H383" t="n">
        <v>0</v>
      </c>
      <c r="I383" t="n">
        <v>0</v>
      </c>
      <c r="J383" t="n">
        <v>0</v>
      </c>
      <c r="K383" t="n">
        <v>0</v>
      </c>
      <c r="L383" t="n">
        <v>0</v>
      </c>
      <c r="M383" t="n">
        <v>0</v>
      </c>
      <c r="N383" t="n">
        <v>0</v>
      </c>
      <c r="O383" t="n">
        <v>0</v>
      </c>
      <c r="P383" t="n">
        <v>0</v>
      </c>
      <c r="Q383" t="n">
        <v>0</v>
      </c>
      <c r="R383" s="2" t="inlineStr"/>
    </row>
    <row r="384" ht="15" customHeight="1">
      <c r="A384" t="inlineStr">
        <is>
          <t>A 43785-2023</t>
        </is>
      </c>
      <c r="B384" s="1" t="n">
        <v>45187</v>
      </c>
      <c r="C384" s="1" t="n">
        <v>45992</v>
      </c>
      <c r="D384" t="inlineStr">
        <is>
          <t>DALARNAS LÄN</t>
        </is>
      </c>
      <c r="E384" t="inlineStr">
        <is>
          <t>HEDEMORA</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6210-2024</t>
        </is>
      </c>
      <c r="B385" s="1" t="n">
        <v>45337</v>
      </c>
      <c r="C385" s="1" t="n">
        <v>45992</v>
      </c>
      <c r="D385" t="inlineStr">
        <is>
          <t>DALARNAS LÄN</t>
        </is>
      </c>
      <c r="E385" t="inlineStr">
        <is>
          <t>HEDEMORA</t>
        </is>
      </c>
      <c r="G385" t="n">
        <v>2.6</v>
      </c>
      <c r="H385" t="n">
        <v>0</v>
      </c>
      <c r="I385" t="n">
        <v>0</v>
      </c>
      <c r="J385" t="n">
        <v>0</v>
      </c>
      <c r="K385" t="n">
        <v>0</v>
      </c>
      <c r="L385" t="n">
        <v>0</v>
      </c>
      <c r="M385" t="n">
        <v>0</v>
      </c>
      <c r="N385" t="n">
        <v>0</v>
      </c>
      <c r="O385" t="n">
        <v>0</v>
      </c>
      <c r="P385" t="n">
        <v>0</v>
      </c>
      <c r="Q385" t="n">
        <v>0</v>
      </c>
      <c r="R385" s="2" t="inlineStr"/>
    </row>
    <row r="386" ht="15" customHeight="1">
      <c r="A386" t="inlineStr">
        <is>
          <t>A 51256-2024</t>
        </is>
      </c>
      <c r="B386" s="1" t="n">
        <v>45603.68902777778</v>
      </c>
      <c r="C386" s="1" t="n">
        <v>45992</v>
      </c>
      <c r="D386" t="inlineStr">
        <is>
          <t>DALARNAS LÄN</t>
        </is>
      </c>
      <c r="E386" t="inlineStr">
        <is>
          <t>HEDEMORA</t>
        </is>
      </c>
      <c r="G386" t="n">
        <v>1.3</v>
      </c>
      <c r="H386" t="n">
        <v>0</v>
      </c>
      <c r="I386" t="n">
        <v>0</v>
      </c>
      <c r="J386" t="n">
        <v>0</v>
      </c>
      <c r="K386" t="n">
        <v>0</v>
      </c>
      <c r="L386" t="n">
        <v>0</v>
      </c>
      <c r="M386" t="n">
        <v>0</v>
      </c>
      <c r="N386" t="n">
        <v>0</v>
      </c>
      <c r="O386" t="n">
        <v>0</v>
      </c>
      <c r="P386" t="n">
        <v>0</v>
      </c>
      <c r="Q386" t="n">
        <v>0</v>
      </c>
      <c r="R386" s="2" t="inlineStr"/>
    </row>
    <row r="387" ht="15" customHeight="1">
      <c r="A387" t="inlineStr">
        <is>
          <t>A 19920-2025</t>
        </is>
      </c>
      <c r="B387" s="1" t="n">
        <v>45771</v>
      </c>
      <c r="C387" s="1" t="n">
        <v>45992</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c r="A388" t="inlineStr">
        <is>
          <t>A 25195-2024</t>
        </is>
      </c>
      <c r="B388" s="1" t="n">
        <v>45462</v>
      </c>
      <c r="C388" s="1" t="n">
        <v>45992</v>
      </c>
      <c r="D388" t="inlineStr">
        <is>
          <t>DALARNAS LÄN</t>
        </is>
      </c>
      <c r="E388" t="inlineStr">
        <is>
          <t>HEDEMORA</t>
        </is>
      </c>
      <c r="F388" t="inlineStr">
        <is>
          <t>Övriga statliga verk och myndigheter</t>
        </is>
      </c>
      <c r="G388" t="n">
        <v>3.3</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2025-12-01T10:24:26Z</dcterms:created>
  <dcterms:modified xmlns:dcterms="http://purl.org/dc/terms/" xmlns:xsi="http://www.w3.org/2001/XMLSchema-instance" xsi:type="dcterms:W3CDTF">2025-12-01T10:24:26Z</dcterms:modified>
</cp:coreProperties>
</file>