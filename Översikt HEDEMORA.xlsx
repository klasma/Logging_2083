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45988</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45988</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45988</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45988</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45988</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45988</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45988</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45277-2025</t>
        </is>
      </c>
      <c r="B10" s="1" t="n">
        <v>45919.71271990741</v>
      </c>
      <c r="C10" s="1" t="n">
        <v>45988</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58505-2022</t>
        </is>
      </c>
      <c r="B11" s="1" t="n">
        <v>44902</v>
      </c>
      <c r="C11" s="1" t="n">
        <v>45988</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45988</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45988</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49269-2024</t>
        </is>
      </c>
      <c r="B14" s="1" t="n">
        <v>45595.49747685185</v>
      </c>
      <c r="C14" s="1" t="n">
        <v>45988</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45988</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45988</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45988</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45988</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45988</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45988</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45988</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45988</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45988</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45988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45988</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45988</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45988</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45988</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43679-2025</t>
        </is>
      </c>
      <c r="B31" s="1" t="n">
        <v>45912.36710648148</v>
      </c>
      <c r="C31" s="1" t="n">
        <v>45988</v>
      </c>
      <c r="D31" t="inlineStr">
        <is>
          <t>DALARNAS LÄN</t>
        </is>
      </c>
      <c r="E31" t="inlineStr">
        <is>
          <t>HEDEMORA</t>
        </is>
      </c>
      <c r="F31" t="inlineStr">
        <is>
          <t>Sveaskog</t>
        </is>
      </c>
      <c r="G31" t="n">
        <v>6.5</v>
      </c>
      <c r="H31" t="n">
        <v>1</v>
      </c>
      <c r="I31" t="n">
        <v>0</v>
      </c>
      <c r="J31" t="n">
        <v>1</v>
      </c>
      <c r="K31" t="n">
        <v>0</v>
      </c>
      <c r="L31" t="n">
        <v>0</v>
      </c>
      <c r="M31" t="n">
        <v>0</v>
      </c>
      <c r="N31" t="n">
        <v>0</v>
      </c>
      <c r="O31" t="n">
        <v>1</v>
      </c>
      <c r="P31" t="n">
        <v>0</v>
      </c>
      <c r="Q31" t="n">
        <v>2</v>
      </c>
      <c r="R31" s="2" t="inlineStr">
        <is>
          <t>Motaggsvamp
Revlummer</t>
        </is>
      </c>
      <c r="S31">
        <f>HYPERLINK("https://klasma.github.io/Logging_2083/artfynd/A 43679-2025 artfynd.xlsx", "A 43679-2025")</f>
        <v/>
      </c>
      <c r="T31">
        <f>HYPERLINK("https://klasma.github.io/Logging_2083/kartor/A 43679-2025 karta.png", "A 43679-2025")</f>
        <v/>
      </c>
      <c r="U31">
        <f>HYPERLINK("https://klasma.github.io/Logging_2083/knärot/A 43679-2025 karta knärot.png", "A 43679-2025")</f>
        <v/>
      </c>
      <c r="V31">
        <f>HYPERLINK("https://klasma.github.io/Logging_2083/klagomål/A 43679-2025 FSC-klagomål.docx", "A 43679-2025")</f>
        <v/>
      </c>
      <c r="W31">
        <f>HYPERLINK("https://klasma.github.io/Logging_2083/klagomålsmail/A 43679-2025 FSC-klagomål mail.docx", "A 43679-2025")</f>
        <v/>
      </c>
      <c r="X31">
        <f>HYPERLINK("https://klasma.github.io/Logging_2083/tillsyn/A 43679-2025 tillsynsbegäran.docx", "A 43679-2025")</f>
        <v/>
      </c>
      <c r="Y31">
        <f>HYPERLINK("https://klasma.github.io/Logging_2083/tillsynsmail/A 43679-2025 tillsynsbegäran mail.docx", "A 43679-2025")</f>
        <v/>
      </c>
    </row>
    <row r="32" ht="15" customHeight="1">
      <c r="A32" t="inlineStr">
        <is>
          <t>A 54849-2022</t>
        </is>
      </c>
      <c r="B32" s="1" t="n">
        <v>44883</v>
      </c>
      <c r="C32" s="1" t="n">
        <v>45988</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45988</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43681-2025</t>
        </is>
      </c>
      <c r="B34" s="1" t="n">
        <v>45912.37243055556</v>
      </c>
      <c r="C34" s="1" t="n">
        <v>45988</v>
      </c>
      <c r="D34" t="inlineStr">
        <is>
          <t>DALARNAS LÄN</t>
        </is>
      </c>
      <c r="E34" t="inlineStr">
        <is>
          <t>HEDEMORA</t>
        </is>
      </c>
      <c r="F34" t="inlineStr">
        <is>
          <t>Sveaskog</t>
        </is>
      </c>
      <c r="G34" t="n">
        <v>13.2</v>
      </c>
      <c r="H34" t="n">
        <v>2</v>
      </c>
      <c r="I34" t="n">
        <v>0</v>
      </c>
      <c r="J34" t="n">
        <v>0</v>
      </c>
      <c r="K34" t="n">
        <v>0</v>
      </c>
      <c r="L34" t="n">
        <v>0</v>
      </c>
      <c r="M34" t="n">
        <v>0</v>
      </c>
      <c r="N34" t="n">
        <v>0</v>
      </c>
      <c r="O34" t="n">
        <v>0</v>
      </c>
      <c r="P34" t="n">
        <v>0</v>
      </c>
      <c r="Q34" t="n">
        <v>2</v>
      </c>
      <c r="R34" s="2" t="inlineStr">
        <is>
          <t>Blåsippa
Revlummer</t>
        </is>
      </c>
      <c r="S34">
        <f>HYPERLINK("https://klasma.github.io/Logging_2083/artfynd/A 43681-2025 artfynd.xlsx", "A 43681-2025")</f>
        <v/>
      </c>
      <c r="T34">
        <f>HYPERLINK("https://klasma.github.io/Logging_2083/kartor/A 43681-2025 karta.png", "A 43681-2025")</f>
        <v/>
      </c>
      <c r="U34">
        <f>HYPERLINK("https://klasma.github.io/Logging_2083/knärot/A 43681-2025 karta knärot.png", "A 43681-2025")</f>
        <v/>
      </c>
      <c r="V34">
        <f>HYPERLINK("https://klasma.github.io/Logging_2083/klagomål/A 43681-2025 FSC-klagomål.docx", "A 43681-2025")</f>
        <v/>
      </c>
      <c r="W34">
        <f>HYPERLINK("https://klasma.github.io/Logging_2083/klagomålsmail/A 43681-2025 FSC-klagomål mail.docx", "A 43681-2025")</f>
        <v/>
      </c>
      <c r="X34">
        <f>HYPERLINK("https://klasma.github.io/Logging_2083/tillsyn/A 43681-2025 tillsynsbegäran.docx", "A 43681-2025")</f>
        <v/>
      </c>
      <c r="Y34">
        <f>HYPERLINK("https://klasma.github.io/Logging_2083/tillsynsmail/A 43681-2025 tillsynsbegäran mail.docx", "A 43681-2025")</f>
        <v/>
      </c>
    </row>
    <row r="35" ht="15" customHeight="1">
      <c r="A35" t="inlineStr">
        <is>
          <t>A 19352-2024</t>
        </is>
      </c>
      <c r="B35" s="1" t="n">
        <v>45429.29493055555</v>
      </c>
      <c r="C35" s="1" t="n">
        <v>45988</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59035-2023</t>
        </is>
      </c>
      <c r="B36" s="1" t="n">
        <v>45252</v>
      </c>
      <c r="C36" s="1" t="n">
        <v>45988</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1518-2025</t>
        </is>
      </c>
      <c r="B37" s="1" t="n">
        <v>45670</v>
      </c>
      <c r="C37" s="1" t="n">
        <v>45988</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451-2025</t>
        </is>
      </c>
      <c r="B38" s="1" t="n">
        <v>45664.39991898148</v>
      </c>
      <c r="C38" s="1" t="n">
        <v>45988</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41332-2025</t>
        </is>
      </c>
      <c r="B39" s="1" t="n">
        <v>45899.35592592593</v>
      </c>
      <c r="C39" s="1" t="n">
        <v>45988</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45884-2021</t>
        </is>
      </c>
      <c r="B40" s="1" t="n">
        <v>44441</v>
      </c>
      <c r="C40" s="1" t="n">
        <v>45988</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45988</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45988</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45988</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45988</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45988</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39396-2025</t>
        </is>
      </c>
      <c r="B46" s="1" t="n">
        <v>45889.63289351852</v>
      </c>
      <c r="C46" s="1" t="n">
        <v>45988</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23815-2023</t>
        </is>
      </c>
      <c r="B47" s="1" t="n">
        <v>45078</v>
      </c>
      <c r="C47" s="1" t="n">
        <v>45988</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41333-2025</t>
        </is>
      </c>
      <c r="B48" s="1" t="n">
        <v>45899.35854166667</v>
      </c>
      <c r="C48" s="1" t="n">
        <v>45988</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45988</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44598-2025</t>
        </is>
      </c>
      <c r="B50" s="1" t="n">
        <v>45917.43056712963</v>
      </c>
      <c r="C50" s="1" t="n">
        <v>45988</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60017-2024</t>
        </is>
      </c>
      <c r="B51" s="1" t="n">
        <v>45642</v>
      </c>
      <c r="C51" s="1" t="n">
        <v>45988</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15036-2025</t>
        </is>
      </c>
      <c r="B52" s="1" t="n">
        <v>45743.68125</v>
      </c>
      <c r="C52" s="1" t="n">
        <v>45988</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45291-2025</t>
        </is>
      </c>
      <c r="B53" s="1" t="n">
        <v>45920.3734837963</v>
      </c>
      <c r="C53" s="1" t="n">
        <v>45988</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15058-2025</t>
        </is>
      </c>
      <c r="B54" s="1" t="n">
        <v>45743.70716435185</v>
      </c>
      <c r="C54" s="1" t="n">
        <v>45988</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19094-2025</t>
        </is>
      </c>
      <c r="B55" s="1" t="n">
        <v>45767.54942129629</v>
      </c>
      <c r="C55" s="1" t="n">
        <v>45988</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48382-2025</t>
        </is>
      </c>
      <c r="B56" s="1" t="n">
        <v>45933.82043981482</v>
      </c>
      <c r="C56" s="1" t="n">
        <v>45988</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12905-2025</t>
        </is>
      </c>
      <c r="B57" s="1" t="n">
        <v>45733</v>
      </c>
      <c r="C57" s="1" t="n">
        <v>45988</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33968-2025</t>
        </is>
      </c>
      <c r="B58" s="1" t="n">
        <v>45842</v>
      </c>
      <c r="C58" s="1" t="n">
        <v>45988</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13986-2023</t>
        </is>
      </c>
      <c r="B59" s="1" t="n">
        <v>45008</v>
      </c>
      <c r="C59" s="1" t="n">
        <v>45988</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45988</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45988</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45988</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45988</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45988</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45988</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45988</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45988</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45988</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45988</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45988</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45988</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45988</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45988</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45988</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45988</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45988</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45988</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15290-2021</t>
        </is>
      </c>
      <c r="B78" s="1" t="n">
        <v>44284.59565972222</v>
      </c>
      <c r="C78" s="1" t="n">
        <v>45988</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45988</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45988</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45988</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45988</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45988</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45988</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45988</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45988</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45988</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45988</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45988</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45988</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45988</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45988</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45988</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45988</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45988</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45988</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45988</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45988</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45988</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45988</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45988</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45988</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45988</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45988</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45988</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45988</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45988</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45988</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45988</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45988</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45988</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45988</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45988</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45988</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45988</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15863-2023</t>
        </is>
      </c>
      <c r="B116" s="1" t="n">
        <v>45022</v>
      </c>
      <c r="C116" s="1" t="n">
        <v>45988</v>
      </c>
      <c r="D116" t="inlineStr">
        <is>
          <t>DALARNAS LÄN</t>
        </is>
      </c>
      <c r="E116" t="inlineStr">
        <is>
          <t>HEDEMORA</t>
        </is>
      </c>
      <c r="F116" t="inlineStr">
        <is>
          <t>Bergvik skog väst AB</t>
        </is>
      </c>
      <c r="G116" t="n">
        <v>4.7</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45988</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58018-2022</t>
        </is>
      </c>
      <c r="B118" s="1" t="n">
        <v>44900.53383101852</v>
      </c>
      <c r="C118" s="1" t="n">
        <v>45988</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41642-2023</t>
        </is>
      </c>
      <c r="B119" s="1" t="n">
        <v>45175</v>
      </c>
      <c r="C119" s="1" t="n">
        <v>45988</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30572-2021</t>
        </is>
      </c>
      <c r="B120" s="1" t="n">
        <v>44364.83369212963</v>
      </c>
      <c r="C120" s="1" t="n">
        <v>45988</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29591-2024</t>
        </is>
      </c>
      <c r="B121" s="1" t="n">
        <v>45484.58222222222</v>
      </c>
      <c r="C121" s="1" t="n">
        <v>45988</v>
      </c>
      <c r="D121" t="inlineStr">
        <is>
          <t>DALARNAS LÄN</t>
        </is>
      </c>
      <c r="E121" t="inlineStr">
        <is>
          <t>HEDEMORA</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44957-2021</t>
        </is>
      </c>
      <c r="B122" s="1" t="n">
        <v>44438.71809027778</v>
      </c>
      <c r="C122" s="1" t="n">
        <v>45988</v>
      </c>
      <c r="D122" t="inlineStr">
        <is>
          <t>DALARNAS LÄN</t>
        </is>
      </c>
      <c r="E122" t="inlineStr">
        <is>
          <t>HEDEMORA</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69624-2021</t>
        </is>
      </c>
      <c r="B123" s="1" t="n">
        <v>44532.41442129629</v>
      </c>
      <c r="C123" s="1" t="n">
        <v>45988</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36306-2024</t>
        </is>
      </c>
      <c r="B124" s="1" t="n">
        <v>45534.61327546297</v>
      </c>
      <c r="C124" s="1" t="n">
        <v>45988</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21869-2025</t>
        </is>
      </c>
      <c r="B125" s="1" t="n">
        <v>45784.37449074074</v>
      </c>
      <c r="C125" s="1" t="n">
        <v>45988</v>
      </c>
      <c r="D125" t="inlineStr">
        <is>
          <t>DALARNAS LÄN</t>
        </is>
      </c>
      <c r="E125" t="inlineStr">
        <is>
          <t>HEDEMORA</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51256-2024</t>
        </is>
      </c>
      <c r="B126" s="1" t="n">
        <v>45603.68902777778</v>
      </c>
      <c r="C126" s="1" t="n">
        <v>45988</v>
      </c>
      <c r="D126" t="inlineStr">
        <is>
          <t>DALARNAS LÄN</t>
        </is>
      </c>
      <c r="E126" t="inlineStr">
        <is>
          <t>HEDEMORA</t>
        </is>
      </c>
      <c r="G126" t="n">
        <v>1.3</v>
      </c>
      <c r="H126" t="n">
        <v>0</v>
      </c>
      <c r="I126" t="n">
        <v>0</v>
      </c>
      <c r="J126" t="n">
        <v>0</v>
      </c>
      <c r="K126" t="n">
        <v>0</v>
      </c>
      <c r="L126" t="n">
        <v>0</v>
      </c>
      <c r="M126" t="n">
        <v>0</v>
      </c>
      <c r="N126" t="n">
        <v>0</v>
      </c>
      <c r="O126" t="n">
        <v>0</v>
      </c>
      <c r="P126" t="n">
        <v>0</v>
      </c>
      <c r="Q126" t="n">
        <v>0</v>
      </c>
      <c r="R126" s="2" t="inlineStr"/>
    </row>
    <row r="127" ht="15" customHeight="1">
      <c r="A127" t="inlineStr">
        <is>
          <t>A 34185-2025</t>
        </is>
      </c>
      <c r="B127" s="1" t="n">
        <v>45845</v>
      </c>
      <c r="C127" s="1" t="n">
        <v>45988</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23934-2023</t>
        </is>
      </c>
      <c r="B128" s="1" t="n">
        <v>45078.59590277778</v>
      </c>
      <c r="C128" s="1" t="n">
        <v>45988</v>
      </c>
      <c r="D128" t="inlineStr">
        <is>
          <t>DALARNAS LÄN</t>
        </is>
      </c>
      <c r="E128" t="inlineStr">
        <is>
          <t>HEDEMORA</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19920-2025</t>
        </is>
      </c>
      <c r="B129" s="1" t="n">
        <v>45771</v>
      </c>
      <c r="C129" s="1" t="n">
        <v>45988</v>
      </c>
      <c r="D129" t="inlineStr">
        <is>
          <t>DALARNAS LÄN</t>
        </is>
      </c>
      <c r="E129" t="inlineStr">
        <is>
          <t>HEDEMORA</t>
        </is>
      </c>
      <c r="G129" t="n">
        <v>2.8</v>
      </c>
      <c r="H129" t="n">
        <v>0</v>
      </c>
      <c r="I129" t="n">
        <v>0</v>
      </c>
      <c r="J129" t="n">
        <v>0</v>
      </c>
      <c r="K129" t="n">
        <v>0</v>
      </c>
      <c r="L129" t="n">
        <v>0</v>
      </c>
      <c r="M129" t="n">
        <v>0</v>
      </c>
      <c r="N129" t="n">
        <v>0</v>
      </c>
      <c r="O129" t="n">
        <v>0</v>
      </c>
      <c r="P129" t="n">
        <v>0</v>
      </c>
      <c r="Q129" t="n">
        <v>0</v>
      </c>
      <c r="R129" s="2" t="inlineStr"/>
    </row>
    <row r="130" ht="15" customHeight="1">
      <c r="A130" t="inlineStr">
        <is>
          <t>A 14968-2025</t>
        </is>
      </c>
      <c r="B130" s="1" t="n">
        <v>45743.59052083334</v>
      </c>
      <c r="C130" s="1" t="n">
        <v>45988</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39389-2025</t>
        </is>
      </c>
      <c r="B131" s="1" t="n">
        <v>45889.62181712963</v>
      </c>
      <c r="C131" s="1" t="n">
        <v>45988</v>
      </c>
      <c r="D131" t="inlineStr">
        <is>
          <t>DALARNAS LÄN</t>
        </is>
      </c>
      <c r="E131" t="inlineStr">
        <is>
          <t>HEDEMORA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39390-2025</t>
        </is>
      </c>
      <c r="B132" s="1" t="n">
        <v>45889.6240625</v>
      </c>
      <c r="C132" s="1" t="n">
        <v>45988</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39393-2025</t>
        </is>
      </c>
      <c r="B133" s="1" t="n">
        <v>45889.62287037037</v>
      </c>
      <c r="C133" s="1" t="n">
        <v>45988</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37761-2024</t>
        </is>
      </c>
      <c r="B134" s="1" t="n">
        <v>45541.78678240741</v>
      </c>
      <c r="C134" s="1" t="n">
        <v>45988</v>
      </c>
      <c r="D134" t="inlineStr">
        <is>
          <t>DALARNAS LÄN</t>
        </is>
      </c>
      <c r="E134" t="inlineStr">
        <is>
          <t>HEDEMORA</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25195-2024</t>
        </is>
      </c>
      <c r="B135" s="1" t="n">
        <v>45462</v>
      </c>
      <c r="C135" s="1" t="n">
        <v>45988</v>
      </c>
      <c r="D135" t="inlineStr">
        <is>
          <t>DALARNAS LÄN</t>
        </is>
      </c>
      <c r="E135" t="inlineStr">
        <is>
          <t>HEDEMORA</t>
        </is>
      </c>
      <c r="F135" t="inlineStr">
        <is>
          <t>Övriga statliga verk och myndigheter</t>
        </is>
      </c>
      <c r="G135" t="n">
        <v>3.3</v>
      </c>
      <c r="H135" t="n">
        <v>0</v>
      </c>
      <c r="I135" t="n">
        <v>0</v>
      </c>
      <c r="J135" t="n">
        <v>0</v>
      </c>
      <c r="K135" t="n">
        <v>0</v>
      </c>
      <c r="L135" t="n">
        <v>0</v>
      </c>
      <c r="M135" t="n">
        <v>0</v>
      </c>
      <c r="N135" t="n">
        <v>0</v>
      </c>
      <c r="O135" t="n">
        <v>0</v>
      </c>
      <c r="P135" t="n">
        <v>0</v>
      </c>
      <c r="Q135" t="n">
        <v>0</v>
      </c>
      <c r="R135" s="2" t="inlineStr"/>
    </row>
    <row r="136" ht="15" customHeight="1">
      <c r="A136" t="inlineStr">
        <is>
          <t>A 40801-2024</t>
        </is>
      </c>
      <c r="B136" s="1" t="n">
        <v>45558.52905092593</v>
      </c>
      <c r="C136" s="1" t="n">
        <v>45988</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40419-2025</t>
        </is>
      </c>
      <c r="B137" s="1" t="n">
        <v>45895.57958333333</v>
      </c>
      <c r="C137" s="1" t="n">
        <v>45988</v>
      </c>
      <c r="D137" t="inlineStr">
        <is>
          <t>DALARNAS LÄN</t>
        </is>
      </c>
      <c r="E137" t="inlineStr">
        <is>
          <t>HEDEMORA</t>
        </is>
      </c>
      <c r="G137" t="n">
        <v>3.1</v>
      </c>
      <c r="H137" t="n">
        <v>0</v>
      </c>
      <c r="I137" t="n">
        <v>0</v>
      </c>
      <c r="J137" t="n">
        <v>0</v>
      </c>
      <c r="K137" t="n">
        <v>0</v>
      </c>
      <c r="L137" t="n">
        <v>0</v>
      </c>
      <c r="M137" t="n">
        <v>0</v>
      </c>
      <c r="N137" t="n">
        <v>0</v>
      </c>
      <c r="O137" t="n">
        <v>0</v>
      </c>
      <c r="P137" t="n">
        <v>0</v>
      </c>
      <c r="Q137" t="n">
        <v>0</v>
      </c>
      <c r="R137" s="2" t="inlineStr"/>
    </row>
    <row r="138" ht="15" customHeight="1">
      <c r="A138" t="inlineStr">
        <is>
          <t>A 40421-2025</t>
        </is>
      </c>
      <c r="B138" s="1" t="n">
        <v>45895.58449074074</v>
      </c>
      <c r="C138" s="1" t="n">
        <v>45988</v>
      </c>
      <c r="D138" t="inlineStr">
        <is>
          <t>DALARNAS LÄN</t>
        </is>
      </c>
      <c r="E138" t="inlineStr">
        <is>
          <t>HEDEMORA</t>
        </is>
      </c>
      <c r="G138" t="n">
        <v>1.7</v>
      </c>
      <c r="H138" t="n">
        <v>0</v>
      </c>
      <c r="I138" t="n">
        <v>0</v>
      </c>
      <c r="J138" t="n">
        <v>0</v>
      </c>
      <c r="K138" t="n">
        <v>0</v>
      </c>
      <c r="L138" t="n">
        <v>0</v>
      </c>
      <c r="M138" t="n">
        <v>0</v>
      </c>
      <c r="N138" t="n">
        <v>0</v>
      </c>
      <c r="O138" t="n">
        <v>0</v>
      </c>
      <c r="P138" t="n">
        <v>0</v>
      </c>
      <c r="Q138" t="n">
        <v>0</v>
      </c>
      <c r="R138" s="2" t="inlineStr"/>
    </row>
    <row r="139" ht="15" customHeight="1">
      <c r="A139" t="inlineStr">
        <is>
          <t>A 40456-2025</t>
        </is>
      </c>
      <c r="B139" s="1" t="n">
        <v>45895.64342592593</v>
      </c>
      <c r="C139" s="1" t="n">
        <v>45988</v>
      </c>
      <c r="D139" t="inlineStr">
        <is>
          <t>DALARNAS LÄN</t>
        </is>
      </c>
      <c r="E139" t="inlineStr">
        <is>
          <t>HEDEMORA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32738-2022</t>
        </is>
      </c>
      <c r="B140" s="1" t="n">
        <v>44783.68931712963</v>
      </c>
      <c r="C140" s="1" t="n">
        <v>45988</v>
      </c>
      <c r="D140" t="inlineStr">
        <is>
          <t>DALARNAS LÄN</t>
        </is>
      </c>
      <c r="E140" t="inlineStr">
        <is>
          <t>HEDEMORA</t>
        </is>
      </c>
      <c r="G140" t="n">
        <v>2.6</v>
      </c>
      <c r="H140" t="n">
        <v>0</v>
      </c>
      <c r="I140" t="n">
        <v>0</v>
      </c>
      <c r="J140" t="n">
        <v>0</v>
      </c>
      <c r="K140" t="n">
        <v>0</v>
      </c>
      <c r="L140" t="n">
        <v>0</v>
      </c>
      <c r="M140" t="n">
        <v>0</v>
      </c>
      <c r="N140" t="n">
        <v>0</v>
      </c>
      <c r="O140" t="n">
        <v>0</v>
      </c>
      <c r="P140" t="n">
        <v>0</v>
      </c>
      <c r="Q140" t="n">
        <v>0</v>
      </c>
      <c r="R140" s="2" t="inlineStr"/>
    </row>
    <row r="141" ht="15" customHeight="1">
      <c r="A141" t="inlineStr">
        <is>
          <t>A 61883-2022</t>
        </is>
      </c>
      <c r="B141" s="1" t="n">
        <v>44917.67262731482</v>
      </c>
      <c r="C141" s="1" t="n">
        <v>45988</v>
      </c>
      <c r="D141" t="inlineStr">
        <is>
          <t>DALARNAS LÄN</t>
        </is>
      </c>
      <c r="E141" t="inlineStr">
        <is>
          <t>HEDEMORA</t>
        </is>
      </c>
      <c r="G141" t="n">
        <v>2.3</v>
      </c>
      <c r="H141" t="n">
        <v>0</v>
      </c>
      <c r="I141" t="n">
        <v>0</v>
      </c>
      <c r="J141" t="n">
        <v>0</v>
      </c>
      <c r="K141" t="n">
        <v>0</v>
      </c>
      <c r="L141" t="n">
        <v>0</v>
      </c>
      <c r="M141" t="n">
        <v>0</v>
      </c>
      <c r="N141" t="n">
        <v>0</v>
      </c>
      <c r="O141" t="n">
        <v>0</v>
      </c>
      <c r="P141" t="n">
        <v>0</v>
      </c>
      <c r="Q141" t="n">
        <v>0</v>
      </c>
      <c r="R141" s="2" t="inlineStr"/>
    </row>
    <row r="142" ht="15" customHeight="1">
      <c r="A142" t="inlineStr">
        <is>
          <t>A 19688-2025</t>
        </is>
      </c>
      <c r="B142" s="1" t="n">
        <v>45770.88217592592</v>
      </c>
      <c r="C142" s="1" t="n">
        <v>45988</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19689-2025</t>
        </is>
      </c>
      <c r="B143" s="1" t="n">
        <v>45770.88462962963</v>
      </c>
      <c r="C143" s="1" t="n">
        <v>45988</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6881-2024</t>
        </is>
      </c>
      <c r="B144" s="1" t="n">
        <v>45342.8779050926</v>
      </c>
      <c r="C144" s="1" t="n">
        <v>45988</v>
      </c>
      <c r="D144" t="inlineStr">
        <is>
          <t>DALARNAS LÄN</t>
        </is>
      </c>
      <c r="E144" t="inlineStr">
        <is>
          <t>HEDEMORA</t>
        </is>
      </c>
      <c r="G144" t="n">
        <v>2.5</v>
      </c>
      <c r="H144" t="n">
        <v>0</v>
      </c>
      <c r="I144" t="n">
        <v>0</v>
      </c>
      <c r="J144" t="n">
        <v>0</v>
      </c>
      <c r="K144" t="n">
        <v>0</v>
      </c>
      <c r="L144" t="n">
        <v>0</v>
      </c>
      <c r="M144" t="n">
        <v>0</v>
      </c>
      <c r="N144" t="n">
        <v>0</v>
      </c>
      <c r="O144" t="n">
        <v>0</v>
      </c>
      <c r="P144" t="n">
        <v>0</v>
      </c>
      <c r="Q144" t="n">
        <v>0</v>
      </c>
      <c r="R144" s="2" t="inlineStr"/>
    </row>
    <row r="145" ht="15" customHeight="1">
      <c r="A145" t="inlineStr">
        <is>
          <t>A 25021-2025</t>
        </is>
      </c>
      <c r="B145" s="1" t="n">
        <v>45799.64574074074</v>
      </c>
      <c r="C145" s="1" t="n">
        <v>45988</v>
      </c>
      <c r="D145" t="inlineStr">
        <is>
          <t>DALARNAS LÄN</t>
        </is>
      </c>
      <c r="E145" t="inlineStr">
        <is>
          <t>HEDEMORA</t>
        </is>
      </c>
      <c r="G145" t="n">
        <v>0.7</v>
      </c>
      <c r="H145" t="n">
        <v>0</v>
      </c>
      <c r="I145" t="n">
        <v>0</v>
      </c>
      <c r="J145" t="n">
        <v>0</v>
      </c>
      <c r="K145" t="n">
        <v>0</v>
      </c>
      <c r="L145" t="n">
        <v>0</v>
      </c>
      <c r="M145" t="n">
        <v>0</v>
      </c>
      <c r="N145" t="n">
        <v>0</v>
      </c>
      <c r="O145" t="n">
        <v>0</v>
      </c>
      <c r="P145" t="n">
        <v>0</v>
      </c>
      <c r="Q145" t="n">
        <v>0</v>
      </c>
      <c r="R145" s="2" t="inlineStr"/>
    </row>
    <row r="146" ht="15" customHeight="1">
      <c r="A146" t="inlineStr">
        <is>
          <t>A 5010-2023</t>
        </is>
      </c>
      <c r="B146" s="1" t="n">
        <v>44956</v>
      </c>
      <c r="C146" s="1" t="n">
        <v>45988</v>
      </c>
      <c r="D146" t="inlineStr">
        <is>
          <t>DALARNAS LÄN</t>
        </is>
      </c>
      <c r="E146" t="inlineStr">
        <is>
          <t>HEDEMORA</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19397-2024</t>
        </is>
      </c>
      <c r="B147" s="1" t="n">
        <v>45429.38474537037</v>
      </c>
      <c r="C147" s="1" t="n">
        <v>45988</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23435-2025</t>
        </is>
      </c>
      <c r="B148" s="1" t="n">
        <v>45792.37162037037</v>
      </c>
      <c r="C148" s="1" t="n">
        <v>45988</v>
      </c>
      <c r="D148" t="inlineStr">
        <is>
          <t>DALARNAS LÄN</t>
        </is>
      </c>
      <c r="E148" t="inlineStr">
        <is>
          <t>HEDEMORA</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36900-2022</t>
        </is>
      </c>
      <c r="B149" s="1" t="n">
        <v>44805.71435185185</v>
      </c>
      <c r="C149" s="1" t="n">
        <v>45988</v>
      </c>
      <c r="D149" t="inlineStr">
        <is>
          <t>DALARNAS LÄN</t>
        </is>
      </c>
      <c r="E149" t="inlineStr">
        <is>
          <t>HEDEMORA</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26204-2025</t>
        </is>
      </c>
      <c r="B150" s="1" t="n">
        <v>45805.51065972223</v>
      </c>
      <c r="C150" s="1" t="n">
        <v>45988</v>
      </c>
      <c r="D150" t="inlineStr">
        <is>
          <t>DALARNAS LÄN</t>
        </is>
      </c>
      <c r="E150" t="inlineStr">
        <is>
          <t>HEDEMORA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42510-2025</t>
        </is>
      </c>
      <c r="B151" s="1" t="n">
        <v>45905.54068287037</v>
      </c>
      <c r="C151" s="1" t="n">
        <v>45988</v>
      </c>
      <c r="D151" t="inlineStr">
        <is>
          <t>DALARNAS LÄN</t>
        </is>
      </c>
      <c r="E151" t="inlineStr">
        <is>
          <t>HEDEMORA</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43621-2024</t>
        </is>
      </c>
      <c r="B152" s="1" t="n">
        <v>45569.48200231481</v>
      </c>
      <c r="C152" s="1" t="n">
        <v>45988</v>
      </c>
      <c r="D152" t="inlineStr">
        <is>
          <t>DALARNAS LÄN</t>
        </is>
      </c>
      <c r="E152" t="inlineStr">
        <is>
          <t>HEDEMORA</t>
        </is>
      </c>
      <c r="G152" t="n">
        <v>2.4</v>
      </c>
      <c r="H152" t="n">
        <v>0</v>
      </c>
      <c r="I152" t="n">
        <v>0</v>
      </c>
      <c r="J152" t="n">
        <v>0</v>
      </c>
      <c r="K152" t="n">
        <v>0</v>
      </c>
      <c r="L152" t="n">
        <v>0</v>
      </c>
      <c r="M152" t="n">
        <v>0</v>
      </c>
      <c r="N152" t="n">
        <v>0</v>
      </c>
      <c r="O152" t="n">
        <v>0</v>
      </c>
      <c r="P152" t="n">
        <v>0</v>
      </c>
      <c r="Q152" t="n">
        <v>0</v>
      </c>
      <c r="R152" s="2" t="inlineStr"/>
    </row>
    <row r="153" ht="15" customHeight="1">
      <c r="A153" t="inlineStr">
        <is>
          <t>A 6972-2025</t>
        </is>
      </c>
      <c r="B153" s="1" t="n">
        <v>45701.53790509259</v>
      </c>
      <c r="C153" s="1" t="n">
        <v>45988</v>
      </c>
      <c r="D153" t="inlineStr">
        <is>
          <t>DALARNAS LÄN</t>
        </is>
      </c>
      <c r="E153" t="inlineStr">
        <is>
          <t>HEDEMORA</t>
        </is>
      </c>
      <c r="G153" t="n">
        <v>4.9</v>
      </c>
      <c r="H153" t="n">
        <v>0</v>
      </c>
      <c r="I153" t="n">
        <v>0</v>
      </c>
      <c r="J153" t="n">
        <v>0</v>
      </c>
      <c r="K153" t="n">
        <v>0</v>
      </c>
      <c r="L153" t="n">
        <v>0</v>
      </c>
      <c r="M153" t="n">
        <v>0</v>
      </c>
      <c r="N153" t="n">
        <v>0</v>
      </c>
      <c r="O153" t="n">
        <v>0</v>
      </c>
      <c r="P153" t="n">
        <v>0</v>
      </c>
      <c r="Q153" t="n">
        <v>0</v>
      </c>
      <c r="R153" s="2" t="inlineStr"/>
    </row>
    <row r="154" ht="15" customHeight="1">
      <c r="A154" t="inlineStr">
        <is>
          <t>A 26705-2025</t>
        </is>
      </c>
      <c r="B154" s="1" t="n">
        <v>45810.45325231482</v>
      </c>
      <c r="C154" s="1" t="n">
        <v>45988</v>
      </c>
      <c r="D154" t="inlineStr">
        <is>
          <t>DALARNAS LÄN</t>
        </is>
      </c>
      <c r="E154" t="inlineStr">
        <is>
          <t>HEDEMORA</t>
        </is>
      </c>
      <c r="G154" t="n">
        <v>1.9</v>
      </c>
      <c r="H154" t="n">
        <v>0</v>
      </c>
      <c r="I154" t="n">
        <v>0</v>
      </c>
      <c r="J154" t="n">
        <v>0</v>
      </c>
      <c r="K154" t="n">
        <v>0</v>
      </c>
      <c r="L154" t="n">
        <v>0</v>
      </c>
      <c r="M154" t="n">
        <v>0</v>
      </c>
      <c r="N154" t="n">
        <v>0</v>
      </c>
      <c r="O154" t="n">
        <v>0</v>
      </c>
      <c r="P154" t="n">
        <v>0</v>
      </c>
      <c r="Q154" t="n">
        <v>0</v>
      </c>
      <c r="R154" s="2" t="inlineStr"/>
    </row>
    <row r="155" ht="15" customHeight="1">
      <c r="A155" t="inlineStr">
        <is>
          <t>A 42645-2025</t>
        </is>
      </c>
      <c r="B155" s="1" t="n">
        <v>45906.40199074074</v>
      </c>
      <c r="C155" s="1" t="n">
        <v>45988</v>
      </c>
      <c r="D155" t="inlineStr">
        <is>
          <t>DALARNAS LÄN</t>
        </is>
      </c>
      <c r="E155" t="inlineStr">
        <is>
          <t>HEDEMORA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51695-2025</t>
        </is>
      </c>
      <c r="B156" s="1" t="n">
        <v>45951.54824074074</v>
      </c>
      <c r="C156" s="1" t="n">
        <v>45988</v>
      </c>
      <c r="D156" t="inlineStr">
        <is>
          <t>DALARNAS LÄN</t>
        </is>
      </c>
      <c r="E156" t="inlineStr">
        <is>
          <t>HEDEMORA</t>
        </is>
      </c>
      <c r="G156" t="n">
        <v>2.1</v>
      </c>
      <c r="H156" t="n">
        <v>0</v>
      </c>
      <c r="I156" t="n">
        <v>0</v>
      </c>
      <c r="J156" t="n">
        <v>0</v>
      </c>
      <c r="K156" t="n">
        <v>0</v>
      </c>
      <c r="L156" t="n">
        <v>0</v>
      </c>
      <c r="M156" t="n">
        <v>0</v>
      </c>
      <c r="N156" t="n">
        <v>0</v>
      </c>
      <c r="O156" t="n">
        <v>0</v>
      </c>
      <c r="P156" t="n">
        <v>0</v>
      </c>
      <c r="Q156" t="n">
        <v>0</v>
      </c>
      <c r="R156" s="2" t="inlineStr"/>
    </row>
    <row r="157" ht="15" customHeight="1">
      <c r="A157" t="inlineStr">
        <is>
          <t>A 51615-2025</t>
        </is>
      </c>
      <c r="B157" s="1" t="n">
        <v>45951.40246527778</v>
      </c>
      <c r="C157" s="1" t="n">
        <v>45988</v>
      </c>
      <c r="D157" t="inlineStr">
        <is>
          <t>DALARNAS LÄN</t>
        </is>
      </c>
      <c r="E157" t="inlineStr">
        <is>
          <t>HEDEMORA</t>
        </is>
      </c>
      <c r="G157" t="n">
        <v>1.8</v>
      </c>
      <c r="H157" t="n">
        <v>0</v>
      </c>
      <c r="I157" t="n">
        <v>0</v>
      </c>
      <c r="J157" t="n">
        <v>0</v>
      </c>
      <c r="K157" t="n">
        <v>0</v>
      </c>
      <c r="L157" t="n">
        <v>0</v>
      </c>
      <c r="M157" t="n">
        <v>0</v>
      </c>
      <c r="N157" t="n">
        <v>0</v>
      </c>
      <c r="O157" t="n">
        <v>0</v>
      </c>
      <c r="P157" t="n">
        <v>0</v>
      </c>
      <c r="Q157" t="n">
        <v>0</v>
      </c>
      <c r="R157" s="2" t="inlineStr"/>
    </row>
    <row r="158" ht="15" customHeight="1">
      <c r="A158" t="inlineStr">
        <is>
          <t>A 22270-2023</t>
        </is>
      </c>
      <c r="B158" s="1" t="n">
        <v>45070.39284722223</v>
      </c>
      <c r="C158" s="1" t="n">
        <v>45988</v>
      </c>
      <c r="D158" t="inlineStr">
        <is>
          <t>DALARNAS LÄN</t>
        </is>
      </c>
      <c r="E158" t="inlineStr">
        <is>
          <t>HEDEMORA</t>
        </is>
      </c>
      <c r="G158" t="n">
        <v>1.8</v>
      </c>
      <c r="H158" t="n">
        <v>0</v>
      </c>
      <c r="I158" t="n">
        <v>0</v>
      </c>
      <c r="J158" t="n">
        <v>0</v>
      </c>
      <c r="K158" t="n">
        <v>0</v>
      </c>
      <c r="L158" t="n">
        <v>0</v>
      </c>
      <c r="M158" t="n">
        <v>0</v>
      </c>
      <c r="N158" t="n">
        <v>0</v>
      </c>
      <c r="O158" t="n">
        <v>0</v>
      </c>
      <c r="P158" t="n">
        <v>0</v>
      </c>
      <c r="Q158" t="n">
        <v>0</v>
      </c>
      <c r="R158" s="2" t="inlineStr"/>
    </row>
    <row r="159" ht="15" customHeight="1">
      <c r="A159" t="inlineStr">
        <is>
          <t>A 28183-2025</t>
        </is>
      </c>
      <c r="B159" s="1" t="n">
        <v>45818.4021875</v>
      </c>
      <c r="C159" s="1" t="n">
        <v>45988</v>
      </c>
      <c r="D159" t="inlineStr">
        <is>
          <t>DALARNAS LÄN</t>
        </is>
      </c>
      <c r="E159" t="inlineStr">
        <is>
          <t>HEDEMORA</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16413-2024</t>
        </is>
      </c>
      <c r="B160" s="1" t="n">
        <v>45407.64223379629</v>
      </c>
      <c r="C160" s="1" t="n">
        <v>45988</v>
      </c>
      <c r="D160" t="inlineStr">
        <is>
          <t>DALARNAS LÄN</t>
        </is>
      </c>
      <c r="E160" t="inlineStr">
        <is>
          <t>HEDEMORA</t>
        </is>
      </c>
      <c r="F160" t="inlineStr">
        <is>
          <t>Sveaskog</t>
        </is>
      </c>
      <c r="G160" t="n">
        <v>0.4</v>
      </c>
      <c r="H160" t="n">
        <v>0</v>
      </c>
      <c r="I160" t="n">
        <v>0</v>
      </c>
      <c r="J160" t="n">
        <v>0</v>
      </c>
      <c r="K160" t="n">
        <v>0</v>
      </c>
      <c r="L160" t="n">
        <v>0</v>
      </c>
      <c r="M160" t="n">
        <v>0</v>
      </c>
      <c r="N160" t="n">
        <v>0</v>
      </c>
      <c r="O160" t="n">
        <v>0</v>
      </c>
      <c r="P160" t="n">
        <v>0</v>
      </c>
      <c r="Q160" t="n">
        <v>0</v>
      </c>
      <c r="R160" s="2" t="inlineStr"/>
    </row>
    <row r="161" ht="15" customHeight="1">
      <c r="A161" t="inlineStr">
        <is>
          <t>A 28180-2025</t>
        </is>
      </c>
      <c r="B161" s="1" t="n">
        <v>45818.39755787037</v>
      </c>
      <c r="C161" s="1" t="n">
        <v>45988</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28182-2025</t>
        </is>
      </c>
      <c r="B162" s="1" t="n">
        <v>45818.40069444444</v>
      </c>
      <c r="C162" s="1" t="n">
        <v>45988</v>
      </c>
      <c r="D162" t="inlineStr">
        <is>
          <t>DALARNAS LÄN</t>
        </is>
      </c>
      <c r="E162" t="inlineStr">
        <is>
          <t>HEDEMORA</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52325-2025</t>
        </is>
      </c>
      <c r="B163" s="1" t="n">
        <v>45953.67032407408</v>
      </c>
      <c r="C163" s="1" t="n">
        <v>45988</v>
      </c>
      <c r="D163" t="inlineStr">
        <is>
          <t>DALARNAS LÄN</t>
        </is>
      </c>
      <c r="E163" t="inlineStr">
        <is>
          <t>HEDEMORA</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43193-2025</t>
        </is>
      </c>
      <c r="B164" s="1" t="n">
        <v>45910.42417824074</v>
      </c>
      <c r="C164" s="1" t="n">
        <v>45988</v>
      </c>
      <c r="D164" t="inlineStr">
        <is>
          <t>DALARNAS LÄN</t>
        </is>
      </c>
      <c r="E164" t="inlineStr">
        <is>
          <t>HEDEMORA</t>
        </is>
      </c>
      <c r="G164" t="n">
        <v>3.9</v>
      </c>
      <c r="H164" t="n">
        <v>0</v>
      </c>
      <c r="I164" t="n">
        <v>0</v>
      </c>
      <c r="J164" t="n">
        <v>0</v>
      </c>
      <c r="K164" t="n">
        <v>0</v>
      </c>
      <c r="L164" t="n">
        <v>0</v>
      </c>
      <c r="M164" t="n">
        <v>0</v>
      </c>
      <c r="N164" t="n">
        <v>0</v>
      </c>
      <c r="O164" t="n">
        <v>0</v>
      </c>
      <c r="P164" t="n">
        <v>0</v>
      </c>
      <c r="Q164" t="n">
        <v>0</v>
      </c>
      <c r="R164" s="2" t="inlineStr"/>
    </row>
    <row r="165" ht="15" customHeight="1">
      <c r="A165" t="inlineStr">
        <is>
          <t>A 52328-2025</t>
        </is>
      </c>
      <c r="B165" s="1" t="n">
        <v>45953.67157407408</v>
      </c>
      <c r="C165" s="1" t="n">
        <v>45988</v>
      </c>
      <c r="D165" t="inlineStr">
        <is>
          <t>DALARNAS LÄN</t>
        </is>
      </c>
      <c r="E165" t="inlineStr">
        <is>
          <t>HEDEMORA</t>
        </is>
      </c>
      <c r="F165" t="inlineStr">
        <is>
          <t>Sveaskog</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29690-2025</t>
        </is>
      </c>
      <c r="B166" s="1" t="n">
        <v>45825.53508101852</v>
      </c>
      <c r="C166" s="1" t="n">
        <v>45988</v>
      </c>
      <c r="D166" t="inlineStr">
        <is>
          <t>DALARNAS LÄN</t>
        </is>
      </c>
      <c r="E166" t="inlineStr">
        <is>
          <t>HEDEMORA</t>
        </is>
      </c>
      <c r="G166" t="n">
        <v>4.1</v>
      </c>
      <c r="H166" t="n">
        <v>0</v>
      </c>
      <c r="I166" t="n">
        <v>0</v>
      </c>
      <c r="J166" t="n">
        <v>0</v>
      </c>
      <c r="K166" t="n">
        <v>0</v>
      </c>
      <c r="L166" t="n">
        <v>0</v>
      </c>
      <c r="M166" t="n">
        <v>0</v>
      </c>
      <c r="N166" t="n">
        <v>0</v>
      </c>
      <c r="O166" t="n">
        <v>0</v>
      </c>
      <c r="P166" t="n">
        <v>0</v>
      </c>
      <c r="Q166" t="n">
        <v>0</v>
      </c>
      <c r="R166" s="2" t="inlineStr"/>
    </row>
    <row r="167" ht="15" customHeight="1">
      <c r="A167" t="inlineStr">
        <is>
          <t>A 52944-2024</t>
        </is>
      </c>
      <c r="B167" s="1" t="n">
        <v>45610.82546296297</v>
      </c>
      <c r="C167" s="1" t="n">
        <v>45988</v>
      </c>
      <c r="D167" t="inlineStr">
        <is>
          <t>DALARNAS LÄN</t>
        </is>
      </c>
      <c r="E167" t="inlineStr">
        <is>
          <t>HEDEMORA</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5766-2025</t>
        </is>
      </c>
      <c r="B168" s="1" t="n">
        <v>45694.57893518519</v>
      </c>
      <c r="C168" s="1" t="n">
        <v>45988</v>
      </c>
      <c r="D168" t="inlineStr">
        <is>
          <t>DALARNAS LÄN</t>
        </is>
      </c>
      <c r="E168" t="inlineStr">
        <is>
          <t>HEDEMORA</t>
        </is>
      </c>
      <c r="G168" t="n">
        <v>4.9</v>
      </c>
      <c r="H168" t="n">
        <v>0</v>
      </c>
      <c r="I168" t="n">
        <v>0</v>
      </c>
      <c r="J168" t="n">
        <v>0</v>
      </c>
      <c r="K168" t="n">
        <v>0</v>
      </c>
      <c r="L168" t="n">
        <v>0</v>
      </c>
      <c r="M168" t="n">
        <v>0</v>
      </c>
      <c r="N168" t="n">
        <v>0</v>
      </c>
      <c r="O168" t="n">
        <v>0</v>
      </c>
      <c r="P168" t="n">
        <v>0</v>
      </c>
      <c r="Q168" t="n">
        <v>0</v>
      </c>
      <c r="R168" s="2" t="inlineStr"/>
    </row>
    <row r="169" ht="15" customHeight="1">
      <c r="A169" t="inlineStr">
        <is>
          <t>A 19473-2024</t>
        </is>
      </c>
      <c r="B169" s="1" t="n">
        <v>45429</v>
      </c>
      <c r="C169" s="1" t="n">
        <v>45988</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30582-2025</t>
        </is>
      </c>
      <c r="B170" s="1" t="n">
        <v>45831.42349537037</v>
      </c>
      <c r="C170" s="1" t="n">
        <v>45988</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30472-2025</t>
        </is>
      </c>
      <c r="B171" s="1" t="n">
        <v>45827.94671296296</v>
      </c>
      <c r="C171" s="1" t="n">
        <v>45988</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30471-2025</t>
        </is>
      </c>
      <c r="B172" s="1" t="n">
        <v>45827.94552083333</v>
      </c>
      <c r="C172" s="1" t="n">
        <v>45988</v>
      </c>
      <c r="D172" t="inlineStr">
        <is>
          <t>DALARNAS LÄN</t>
        </is>
      </c>
      <c r="E172" t="inlineStr">
        <is>
          <t>HEDEMORA</t>
        </is>
      </c>
      <c r="G172" t="n">
        <v>0.3</v>
      </c>
      <c r="H172" t="n">
        <v>0</v>
      </c>
      <c r="I172" t="n">
        <v>0</v>
      </c>
      <c r="J172" t="n">
        <v>0</v>
      </c>
      <c r="K172" t="n">
        <v>0</v>
      </c>
      <c r="L172" t="n">
        <v>0</v>
      </c>
      <c r="M172" t="n">
        <v>0</v>
      </c>
      <c r="N172" t="n">
        <v>0</v>
      </c>
      <c r="O172" t="n">
        <v>0</v>
      </c>
      <c r="P172" t="n">
        <v>0</v>
      </c>
      <c r="Q172" t="n">
        <v>0</v>
      </c>
      <c r="R172" s="2" t="inlineStr"/>
    </row>
    <row r="173" ht="15" customHeight="1">
      <c r="A173" t="inlineStr">
        <is>
          <t>A 23501-2023</t>
        </is>
      </c>
      <c r="B173" s="1" t="n">
        <v>45076.73979166667</v>
      </c>
      <c r="C173" s="1" t="n">
        <v>45988</v>
      </c>
      <c r="D173" t="inlineStr">
        <is>
          <t>DALARNAS LÄN</t>
        </is>
      </c>
      <c r="E173" t="inlineStr">
        <is>
          <t>HEDEMORA</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50885-2023</t>
        </is>
      </c>
      <c r="B174" s="1" t="n">
        <v>45218.38459490741</v>
      </c>
      <c r="C174" s="1" t="n">
        <v>45988</v>
      </c>
      <c r="D174" t="inlineStr">
        <is>
          <t>DALARNAS LÄN</t>
        </is>
      </c>
      <c r="E174" t="inlineStr">
        <is>
          <t>HEDEMORA</t>
        </is>
      </c>
      <c r="G174" t="n">
        <v>0.7</v>
      </c>
      <c r="H174" t="n">
        <v>0</v>
      </c>
      <c r="I174" t="n">
        <v>0</v>
      </c>
      <c r="J174" t="n">
        <v>0</v>
      </c>
      <c r="K174" t="n">
        <v>0</v>
      </c>
      <c r="L174" t="n">
        <v>0</v>
      </c>
      <c r="M174" t="n">
        <v>0</v>
      </c>
      <c r="N174" t="n">
        <v>0</v>
      </c>
      <c r="O174" t="n">
        <v>0</v>
      </c>
      <c r="P174" t="n">
        <v>0</v>
      </c>
      <c r="Q174" t="n">
        <v>0</v>
      </c>
      <c r="R174" s="2" t="inlineStr"/>
    </row>
    <row r="175" ht="15" customHeight="1">
      <c r="A175" t="inlineStr">
        <is>
          <t>A 52759-2025</t>
        </is>
      </c>
      <c r="B175" s="1" t="n">
        <v>45957.39364583333</v>
      </c>
      <c r="C175" s="1" t="n">
        <v>45988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52853-2025</t>
        </is>
      </c>
      <c r="B176" s="1" t="n">
        <v>45957.49408564815</v>
      </c>
      <c r="C176" s="1" t="n">
        <v>45988</v>
      </c>
      <c r="D176" t="inlineStr">
        <is>
          <t>DALARNAS LÄN</t>
        </is>
      </c>
      <c r="E176" t="inlineStr">
        <is>
          <t>HEDEMORA</t>
        </is>
      </c>
      <c r="G176" t="n">
        <v>1.5</v>
      </c>
      <c r="H176" t="n">
        <v>0</v>
      </c>
      <c r="I176" t="n">
        <v>0</v>
      </c>
      <c r="J176" t="n">
        <v>0</v>
      </c>
      <c r="K176" t="n">
        <v>0</v>
      </c>
      <c r="L176" t="n">
        <v>0</v>
      </c>
      <c r="M176" t="n">
        <v>0</v>
      </c>
      <c r="N176" t="n">
        <v>0</v>
      </c>
      <c r="O176" t="n">
        <v>0</v>
      </c>
      <c r="P176" t="n">
        <v>0</v>
      </c>
      <c r="Q176" t="n">
        <v>0</v>
      </c>
      <c r="R176" s="2" t="inlineStr"/>
    </row>
    <row r="177" ht="15" customHeight="1">
      <c r="A177" t="inlineStr">
        <is>
          <t>A 53576-2023</t>
        </is>
      </c>
      <c r="B177" s="1" t="n">
        <v>45230.50288194444</v>
      </c>
      <c r="C177" s="1" t="n">
        <v>45988</v>
      </c>
      <c r="D177" t="inlineStr">
        <is>
          <t>DALARNAS LÄN</t>
        </is>
      </c>
      <c r="E177" t="inlineStr">
        <is>
          <t>HEDEMORA</t>
        </is>
      </c>
      <c r="G177" t="n">
        <v>0.9</v>
      </c>
      <c r="H177" t="n">
        <v>0</v>
      </c>
      <c r="I177" t="n">
        <v>0</v>
      </c>
      <c r="J177" t="n">
        <v>0</v>
      </c>
      <c r="K177" t="n">
        <v>0</v>
      </c>
      <c r="L177" t="n">
        <v>0</v>
      </c>
      <c r="M177" t="n">
        <v>0</v>
      </c>
      <c r="N177" t="n">
        <v>0</v>
      </c>
      <c r="O177" t="n">
        <v>0</v>
      </c>
      <c r="P177" t="n">
        <v>0</v>
      </c>
      <c r="Q177" t="n">
        <v>0</v>
      </c>
      <c r="R177" s="2" t="inlineStr"/>
    </row>
    <row r="178" ht="15" customHeight="1">
      <c r="A178" t="inlineStr">
        <is>
          <t>A 53588-2023</t>
        </is>
      </c>
      <c r="B178" s="1" t="n">
        <v>45230.53109953704</v>
      </c>
      <c r="C178" s="1" t="n">
        <v>45988</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53044-2025</t>
        </is>
      </c>
      <c r="B179" s="1" t="n">
        <v>45958.35663194444</v>
      </c>
      <c r="C179" s="1" t="n">
        <v>45988</v>
      </c>
      <c r="D179" t="inlineStr">
        <is>
          <t>DALARNAS LÄN</t>
        </is>
      </c>
      <c r="E179" t="inlineStr">
        <is>
          <t>HEDEMORA</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8342-2025</t>
        </is>
      </c>
      <c r="B180" s="1" t="n">
        <v>45708.67251157408</v>
      </c>
      <c r="C180" s="1" t="n">
        <v>45988</v>
      </c>
      <c r="D180" t="inlineStr">
        <is>
          <t>DALARNAS LÄN</t>
        </is>
      </c>
      <c r="E180" t="inlineStr">
        <is>
          <t>HEDEMORA</t>
        </is>
      </c>
      <c r="G180" t="n">
        <v>0.8</v>
      </c>
      <c r="H180" t="n">
        <v>0</v>
      </c>
      <c r="I180" t="n">
        <v>0</v>
      </c>
      <c r="J180" t="n">
        <v>0</v>
      </c>
      <c r="K180" t="n">
        <v>0</v>
      </c>
      <c r="L180" t="n">
        <v>0</v>
      </c>
      <c r="M180" t="n">
        <v>0</v>
      </c>
      <c r="N180" t="n">
        <v>0</v>
      </c>
      <c r="O180" t="n">
        <v>0</v>
      </c>
      <c r="P180" t="n">
        <v>0</v>
      </c>
      <c r="Q180" t="n">
        <v>0</v>
      </c>
      <c r="R180" s="2" t="inlineStr"/>
    </row>
    <row r="181" ht="15" customHeight="1">
      <c r="A181" t="inlineStr">
        <is>
          <t>A 28029-2023</t>
        </is>
      </c>
      <c r="B181" s="1" t="n">
        <v>45099</v>
      </c>
      <c r="C181" s="1" t="n">
        <v>45988</v>
      </c>
      <c r="D181" t="inlineStr">
        <is>
          <t>DALARNAS LÄN</t>
        </is>
      </c>
      <c r="E181" t="inlineStr">
        <is>
          <t>HEDEMORA</t>
        </is>
      </c>
      <c r="G181" t="n">
        <v>0.6</v>
      </c>
      <c r="H181" t="n">
        <v>0</v>
      </c>
      <c r="I181" t="n">
        <v>0</v>
      </c>
      <c r="J181" t="n">
        <v>0</v>
      </c>
      <c r="K181" t="n">
        <v>0</v>
      </c>
      <c r="L181" t="n">
        <v>0</v>
      </c>
      <c r="M181" t="n">
        <v>0</v>
      </c>
      <c r="N181" t="n">
        <v>0</v>
      </c>
      <c r="O181" t="n">
        <v>0</v>
      </c>
      <c r="P181" t="n">
        <v>0</v>
      </c>
      <c r="Q181" t="n">
        <v>0</v>
      </c>
      <c r="R181" s="2" t="inlineStr"/>
    </row>
    <row r="182" ht="15" customHeight="1">
      <c r="A182" t="inlineStr">
        <is>
          <t>A 53040-2025</t>
        </is>
      </c>
      <c r="B182" s="1" t="n">
        <v>45958.35328703704</v>
      </c>
      <c r="C182" s="1" t="n">
        <v>45988</v>
      </c>
      <c r="D182" t="inlineStr">
        <is>
          <t>DALARNAS LÄN</t>
        </is>
      </c>
      <c r="E182" t="inlineStr">
        <is>
          <t>HEDEMORA</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53042-2025</t>
        </is>
      </c>
      <c r="B183" s="1" t="n">
        <v>45958.35527777778</v>
      </c>
      <c r="C183" s="1" t="n">
        <v>45988</v>
      </c>
      <c r="D183" t="inlineStr">
        <is>
          <t>DALARNAS LÄN</t>
        </is>
      </c>
      <c r="E183" t="inlineStr">
        <is>
          <t>HEDEMORA</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52714-2025</t>
        </is>
      </c>
      <c r="B184" s="1" t="n">
        <v>45953</v>
      </c>
      <c r="C184" s="1" t="n">
        <v>45988</v>
      </c>
      <c r="D184" t="inlineStr">
        <is>
          <t>DALARNAS LÄN</t>
        </is>
      </c>
      <c r="E184" t="inlineStr">
        <is>
          <t>HEDEMORA</t>
        </is>
      </c>
      <c r="F184" t="inlineStr">
        <is>
          <t>Bergvik skog väst AB</t>
        </is>
      </c>
      <c r="G184" t="n">
        <v>14.7</v>
      </c>
      <c r="H184" t="n">
        <v>0</v>
      </c>
      <c r="I184" t="n">
        <v>0</v>
      </c>
      <c r="J184" t="n">
        <v>0</v>
      </c>
      <c r="K184" t="n">
        <v>0</v>
      </c>
      <c r="L184" t="n">
        <v>0</v>
      </c>
      <c r="M184" t="n">
        <v>0</v>
      </c>
      <c r="N184" t="n">
        <v>0</v>
      </c>
      <c r="O184" t="n">
        <v>0</v>
      </c>
      <c r="P184" t="n">
        <v>0</v>
      </c>
      <c r="Q184" t="n">
        <v>0</v>
      </c>
      <c r="R184" s="2" t="inlineStr"/>
    </row>
    <row r="185" ht="15" customHeight="1">
      <c r="A185" t="inlineStr">
        <is>
          <t>A 32865-2025</t>
        </is>
      </c>
      <c r="B185" s="1" t="n">
        <v>45839.58767361111</v>
      </c>
      <c r="C185" s="1" t="n">
        <v>45988</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44850-2025</t>
        </is>
      </c>
      <c r="B186" s="1" t="n">
        <v>45918.44587962963</v>
      </c>
      <c r="C186" s="1" t="n">
        <v>45988</v>
      </c>
      <c r="D186" t="inlineStr">
        <is>
          <t>DALARNAS LÄN</t>
        </is>
      </c>
      <c r="E186" t="inlineStr">
        <is>
          <t>HEDEMORA</t>
        </is>
      </c>
      <c r="G186" t="n">
        <v>3.9</v>
      </c>
      <c r="H186" t="n">
        <v>0</v>
      </c>
      <c r="I186" t="n">
        <v>0</v>
      </c>
      <c r="J186" t="n">
        <v>0</v>
      </c>
      <c r="K186" t="n">
        <v>0</v>
      </c>
      <c r="L186" t="n">
        <v>0</v>
      </c>
      <c r="M186" t="n">
        <v>0</v>
      </c>
      <c r="N186" t="n">
        <v>0</v>
      </c>
      <c r="O186" t="n">
        <v>0</v>
      </c>
      <c r="P186" t="n">
        <v>0</v>
      </c>
      <c r="Q186" t="n">
        <v>0</v>
      </c>
      <c r="R186" s="2" t="inlineStr"/>
    </row>
    <row r="187" ht="15" customHeight="1">
      <c r="A187" t="inlineStr">
        <is>
          <t>A 32869-2025</t>
        </is>
      </c>
      <c r="B187" s="1" t="n">
        <v>45839.58927083333</v>
      </c>
      <c r="C187" s="1" t="n">
        <v>45988</v>
      </c>
      <c r="D187" t="inlineStr">
        <is>
          <t>DALARNAS LÄN</t>
        </is>
      </c>
      <c r="E187" t="inlineStr">
        <is>
          <t>HEDEMORA</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32071-2021</t>
        </is>
      </c>
      <c r="B188" s="1" t="n">
        <v>44370.90546296296</v>
      </c>
      <c r="C188" s="1" t="n">
        <v>45988</v>
      </c>
      <c r="D188" t="inlineStr">
        <is>
          <t>DALARNAS LÄN</t>
        </is>
      </c>
      <c r="E188" t="inlineStr">
        <is>
          <t>HEDEMORA</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52316-2025</t>
        </is>
      </c>
      <c r="B189" s="1" t="n">
        <v>45953.65537037037</v>
      </c>
      <c r="C189" s="1" t="n">
        <v>45988</v>
      </c>
      <c r="D189" t="inlineStr">
        <is>
          <t>DALARNAS LÄN</t>
        </is>
      </c>
      <c r="E189" t="inlineStr">
        <is>
          <t>HEDEMORA</t>
        </is>
      </c>
      <c r="F189" t="inlineStr">
        <is>
          <t>Sveaskog</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53551-2025</t>
        </is>
      </c>
      <c r="B190" s="1" t="n">
        <v>45960.3875</v>
      </c>
      <c r="C190" s="1" t="n">
        <v>45988</v>
      </c>
      <c r="D190" t="inlineStr">
        <is>
          <t>DALARNAS LÄN</t>
        </is>
      </c>
      <c r="E190" t="inlineStr">
        <is>
          <t>HEDEMORA</t>
        </is>
      </c>
      <c r="G190" t="n">
        <v>6.2</v>
      </c>
      <c r="H190" t="n">
        <v>0</v>
      </c>
      <c r="I190" t="n">
        <v>0</v>
      </c>
      <c r="J190" t="n">
        <v>0</v>
      </c>
      <c r="K190" t="n">
        <v>0</v>
      </c>
      <c r="L190" t="n">
        <v>0</v>
      </c>
      <c r="M190" t="n">
        <v>0</v>
      </c>
      <c r="N190" t="n">
        <v>0</v>
      </c>
      <c r="O190" t="n">
        <v>0</v>
      </c>
      <c r="P190" t="n">
        <v>0</v>
      </c>
      <c r="Q190" t="n">
        <v>0</v>
      </c>
      <c r="R190" s="2" t="inlineStr"/>
    </row>
    <row r="191" ht="15" customHeight="1">
      <c r="A191" t="inlineStr">
        <is>
          <t>A 29585-2024</t>
        </is>
      </c>
      <c r="B191" s="1" t="n">
        <v>45484.57728009259</v>
      </c>
      <c r="C191" s="1" t="n">
        <v>45988</v>
      </c>
      <c r="D191" t="inlineStr">
        <is>
          <t>DALARNAS LÄN</t>
        </is>
      </c>
      <c r="E191" t="inlineStr">
        <is>
          <t>HEDEMORA</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33009-2025</t>
        </is>
      </c>
      <c r="B192" s="1" t="n">
        <v>45840</v>
      </c>
      <c r="C192" s="1" t="n">
        <v>45988</v>
      </c>
      <c r="D192" t="inlineStr">
        <is>
          <t>DALARNAS LÄN</t>
        </is>
      </c>
      <c r="E192" t="inlineStr">
        <is>
          <t>HEDEMORA</t>
        </is>
      </c>
      <c r="F192" t="inlineStr">
        <is>
          <t>Kyrkan</t>
        </is>
      </c>
      <c r="G192" t="n">
        <v>7.6</v>
      </c>
      <c r="H192" t="n">
        <v>0</v>
      </c>
      <c r="I192" t="n">
        <v>0</v>
      </c>
      <c r="J192" t="n">
        <v>0</v>
      </c>
      <c r="K192" t="n">
        <v>0</v>
      </c>
      <c r="L192" t="n">
        <v>0</v>
      </c>
      <c r="M192" t="n">
        <v>0</v>
      </c>
      <c r="N192" t="n">
        <v>0</v>
      </c>
      <c r="O192" t="n">
        <v>0</v>
      </c>
      <c r="P192" t="n">
        <v>0</v>
      </c>
      <c r="Q192" t="n">
        <v>0</v>
      </c>
      <c r="R192" s="2" t="inlineStr"/>
    </row>
    <row r="193" ht="15" customHeight="1">
      <c r="A193" t="inlineStr">
        <is>
          <t>A 33286-2025</t>
        </is>
      </c>
      <c r="B193" s="1" t="n">
        <v>45840.81065972222</v>
      </c>
      <c r="C193" s="1" t="n">
        <v>45988</v>
      </c>
      <c r="D193" t="inlineStr">
        <is>
          <t>DALARNAS LÄN</t>
        </is>
      </c>
      <c r="E193" t="inlineStr">
        <is>
          <t>HEDEMORA</t>
        </is>
      </c>
      <c r="F193" t="inlineStr">
        <is>
          <t>Sveaskog</t>
        </is>
      </c>
      <c r="G193" t="n">
        <v>7.1</v>
      </c>
      <c r="H193" t="n">
        <v>0</v>
      </c>
      <c r="I193" t="n">
        <v>0</v>
      </c>
      <c r="J193" t="n">
        <v>0</v>
      </c>
      <c r="K193" t="n">
        <v>0</v>
      </c>
      <c r="L193" t="n">
        <v>0</v>
      </c>
      <c r="M193" t="n">
        <v>0</v>
      </c>
      <c r="N193" t="n">
        <v>0</v>
      </c>
      <c r="O193" t="n">
        <v>0</v>
      </c>
      <c r="P193" t="n">
        <v>0</v>
      </c>
      <c r="Q193" t="n">
        <v>0</v>
      </c>
      <c r="R193" s="2" t="inlineStr"/>
    </row>
    <row r="194" ht="15" customHeight="1">
      <c r="A194" t="inlineStr">
        <is>
          <t>A 33288-2025</t>
        </is>
      </c>
      <c r="B194" s="1" t="n">
        <v>45840</v>
      </c>
      <c r="C194" s="1" t="n">
        <v>45988</v>
      </c>
      <c r="D194" t="inlineStr">
        <is>
          <t>DALARNAS LÄN</t>
        </is>
      </c>
      <c r="E194" t="inlineStr">
        <is>
          <t>HEDEMORA</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45097-2025</t>
        </is>
      </c>
      <c r="B195" s="1" t="n">
        <v>45919.38918981481</v>
      </c>
      <c r="C195" s="1" t="n">
        <v>45988</v>
      </c>
      <c r="D195" t="inlineStr">
        <is>
          <t>DALARNAS LÄN</t>
        </is>
      </c>
      <c r="E195" t="inlineStr">
        <is>
          <t>HEDEMORA</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45290-2025</t>
        </is>
      </c>
      <c r="B196" s="1" t="n">
        <v>45920.37158564815</v>
      </c>
      <c r="C196" s="1" t="n">
        <v>45988</v>
      </c>
      <c r="D196" t="inlineStr">
        <is>
          <t>DALARNAS LÄN</t>
        </is>
      </c>
      <c r="E196" t="inlineStr">
        <is>
          <t>HEDEMORA</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30205-2022</t>
        </is>
      </c>
      <c r="B197" s="1" t="n">
        <v>44757.74415509259</v>
      </c>
      <c r="C197" s="1" t="n">
        <v>45988</v>
      </c>
      <c r="D197" t="inlineStr">
        <is>
          <t>DALARNAS LÄN</t>
        </is>
      </c>
      <c r="E197" t="inlineStr">
        <is>
          <t>HEDEMORA</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53586-2023</t>
        </is>
      </c>
      <c r="B198" s="1" t="n">
        <v>45230.52603009259</v>
      </c>
      <c r="C198" s="1" t="n">
        <v>45988</v>
      </c>
      <c r="D198" t="inlineStr">
        <is>
          <t>DALARNAS LÄN</t>
        </is>
      </c>
      <c r="E198" t="inlineStr">
        <is>
          <t>HEDEMORA</t>
        </is>
      </c>
      <c r="G198" t="n">
        <v>2.4</v>
      </c>
      <c r="H198" t="n">
        <v>0</v>
      </c>
      <c r="I198" t="n">
        <v>0</v>
      </c>
      <c r="J198" t="n">
        <v>0</v>
      </c>
      <c r="K198" t="n">
        <v>0</v>
      </c>
      <c r="L198" t="n">
        <v>0</v>
      </c>
      <c r="M198" t="n">
        <v>0</v>
      </c>
      <c r="N198" t="n">
        <v>0</v>
      </c>
      <c r="O198" t="n">
        <v>0</v>
      </c>
      <c r="P198" t="n">
        <v>0</v>
      </c>
      <c r="Q198" t="n">
        <v>0</v>
      </c>
      <c r="R198" s="2" t="inlineStr"/>
    </row>
    <row r="199" ht="15" customHeight="1">
      <c r="A199" t="inlineStr">
        <is>
          <t>A 61533-2021</t>
        </is>
      </c>
      <c r="B199" s="1" t="n">
        <v>44501</v>
      </c>
      <c r="C199" s="1" t="n">
        <v>45988</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54040-2025</t>
        </is>
      </c>
      <c r="B200" s="1" t="n">
        <v>45963.74130787037</v>
      </c>
      <c r="C200" s="1" t="n">
        <v>45988</v>
      </c>
      <c r="D200" t="inlineStr">
        <is>
          <t>DALARNAS LÄN</t>
        </is>
      </c>
      <c r="E200" t="inlineStr">
        <is>
          <t>HEDEMORA</t>
        </is>
      </c>
      <c r="G200" t="n">
        <v>0.5</v>
      </c>
      <c r="H200" t="n">
        <v>0</v>
      </c>
      <c r="I200" t="n">
        <v>0</v>
      </c>
      <c r="J200" t="n">
        <v>0</v>
      </c>
      <c r="K200" t="n">
        <v>0</v>
      </c>
      <c r="L200" t="n">
        <v>0</v>
      </c>
      <c r="M200" t="n">
        <v>0</v>
      </c>
      <c r="N200" t="n">
        <v>0</v>
      </c>
      <c r="O200" t="n">
        <v>0</v>
      </c>
      <c r="P200" t="n">
        <v>0</v>
      </c>
      <c r="Q200" t="n">
        <v>0</v>
      </c>
      <c r="R200" s="2" t="inlineStr"/>
    </row>
    <row r="201" ht="15" customHeight="1">
      <c r="A201" t="inlineStr">
        <is>
          <t>A 50333-2023</t>
        </is>
      </c>
      <c r="B201" s="1" t="n">
        <v>45216</v>
      </c>
      <c r="C201" s="1" t="n">
        <v>45988</v>
      </c>
      <c r="D201" t="inlineStr">
        <is>
          <t>DALARNAS LÄN</t>
        </is>
      </c>
      <c r="E201" t="inlineStr">
        <is>
          <t>HEDEMORA</t>
        </is>
      </c>
      <c r="G201" t="n">
        <v>1.1</v>
      </c>
      <c r="H201" t="n">
        <v>0</v>
      </c>
      <c r="I201" t="n">
        <v>0</v>
      </c>
      <c r="J201" t="n">
        <v>0</v>
      </c>
      <c r="K201" t="n">
        <v>0</v>
      </c>
      <c r="L201" t="n">
        <v>0</v>
      </c>
      <c r="M201" t="n">
        <v>0</v>
      </c>
      <c r="N201" t="n">
        <v>0</v>
      </c>
      <c r="O201" t="n">
        <v>0</v>
      </c>
      <c r="P201" t="n">
        <v>0</v>
      </c>
      <c r="Q201" t="n">
        <v>0</v>
      </c>
      <c r="R201" s="2" t="inlineStr"/>
    </row>
    <row r="202" ht="15" customHeight="1">
      <c r="A202" t="inlineStr">
        <is>
          <t>A 34734-2025</t>
        </is>
      </c>
      <c r="B202" s="1" t="n">
        <v>45848</v>
      </c>
      <c r="C202" s="1" t="n">
        <v>45988</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45937-2025</t>
        </is>
      </c>
      <c r="B203" s="1" t="n">
        <v>45924.27231481481</v>
      </c>
      <c r="C203" s="1" t="n">
        <v>45988</v>
      </c>
      <c r="D203" t="inlineStr">
        <is>
          <t>DALARNAS LÄN</t>
        </is>
      </c>
      <c r="E203" t="inlineStr">
        <is>
          <t>HEDEMORA</t>
        </is>
      </c>
      <c r="G203" t="n">
        <v>3.9</v>
      </c>
      <c r="H203" t="n">
        <v>0</v>
      </c>
      <c r="I203" t="n">
        <v>0</v>
      </c>
      <c r="J203" t="n">
        <v>0</v>
      </c>
      <c r="K203" t="n">
        <v>0</v>
      </c>
      <c r="L203" t="n">
        <v>0</v>
      </c>
      <c r="M203" t="n">
        <v>0</v>
      </c>
      <c r="N203" t="n">
        <v>0</v>
      </c>
      <c r="O203" t="n">
        <v>0</v>
      </c>
      <c r="P203" t="n">
        <v>0</v>
      </c>
      <c r="Q203" t="n">
        <v>0</v>
      </c>
      <c r="R203" s="2" t="inlineStr"/>
    </row>
    <row r="204" ht="15" customHeight="1">
      <c r="A204" t="inlineStr">
        <is>
          <t>A 35103-2025</t>
        </is>
      </c>
      <c r="B204" s="1" t="n">
        <v>45852.56914351852</v>
      </c>
      <c r="C204" s="1" t="n">
        <v>45988</v>
      </c>
      <c r="D204" t="inlineStr">
        <is>
          <t>DALARNAS LÄN</t>
        </is>
      </c>
      <c r="E204" t="inlineStr">
        <is>
          <t>HEDEMORA</t>
        </is>
      </c>
      <c r="G204" t="n">
        <v>6.2</v>
      </c>
      <c r="H204" t="n">
        <v>0</v>
      </c>
      <c r="I204" t="n">
        <v>0</v>
      </c>
      <c r="J204" t="n">
        <v>0</v>
      </c>
      <c r="K204" t="n">
        <v>0</v>
      </c>
      <c r="L204" t="n">
        <v>0</v>
      </c>
      <c r="M204" t="n">
        <v>0</v>
      </c>
      <c r="N204" t="n">
        <v>0</v>
      </c>
      <c r="O204" t="n">
        <v>0</v>
      </c>
      <c r="P204" t="n">
        <v>0</v>
      </c>
      <c r="Q204" t="n">
        <v>0</v>
      </c>
      <c r="R204" s="2" t="inlineStr"/>
    </row>
    <row r="205" ht="15" customHeight="1">
      <c r="A205" t="inlineStr">
        <is>
          <t>A 45936-2025</t>
        </is>
      </c>
      <c r="B205" s="1" t="n">
        <v>45924.26582175926</v>
      </c>
      <c r="C205" s="1" t="n">
        <v>45988</v>
      </c>
      <c r="D205" t="inlineStr">
        <is>
          <t>DALARNAS LÄN</t>
        </is>
      </c>
      <c r="E205" t="inlineStr">
        <is>
          <t>HEDEMORA</t>
        </is>
      </c>
      <c r="G205" t="n">
        <v>4.7</v>
      </c>
      <c r="H205" t="n">
        <v>0</v>
      </c>
      <c r="I205" t="n">
        <v>0</v>
      </c>
      <c r="J205" t="n">
        <v>0</v>
      </c>
      <c r="K205" t="n">
        <v>0</v>
      </c>
      <c r="L205" t="n">
        <v>0</v>
      </c>
      <c r="M205" t="n">
        <v>0</v>
      </c>
      <c r="N205" t="n">
        <v>0</v>
      </c>
      <c r="O205" t="n">
        <v>0</v>
      </c>
      <c r="P205" t="n">
        <v>0</v>
      </c>
      <c r="Q205" t="n">
        <v>0</v>
      </c>
      <c r="R205" s="2" t="inlineStr"/>
    </row>
    <row r="206" ht="15" customHeight="1">
      <c r="A206" t="inlineStr">
        <is>
          <t>A 45938-2025</t>
        </is>
      </c>
      <c r="B206" s="1" t="n">
        <v>45924.27704861111</v>
      </c>
      <c r="C206" s="1" t="n">
        <v>45988</v>
      </c>
      <c r="D206" t="inlineStr">
        <is>
          <t>DALARNAS LÄN</t>
        </is>
      </c>
      <c r="E206" t="inlineStr">
        <is>
          <t>HEDEMORA</t>
        </is>
      </c>
      <c r="G206" t="n">
        <v>1.9</v>
      </c>
      <c r="H206" t="n">
        <v>0</v>
      </c>
      <c r="I206" t="n">
        <v>0</v>
      </c>
      <c r="J206" t="n">
        <v>0</v>
      </c>
      <c r="K206" t="n">
        <v>0</v>
      </c>
      <c r="L206" t="n">
        <v>0</v>
      </c>
      <c r="M206" t="n">
        <v>0</v>
      </c>
      <c r="N206" t="n">
        <v>0</v>
      </c>
      <c r="O206" t="n">
        <v>0</v>
      </c>
      <c r="P206" t="n">
        <v>0</v>
      </c>
      <c r="Q206" t="n">
        <v>0</v>
      </c>
      <c r="R206" s="2" t="inlineStr"/>
    </row>
    <row r="207" ht="15" customHeight="1">
      <c r="A207" t="inlineStr">
        <is>
          <t>A 46287-2025</t>
        </is>
      </c>
      <c r="B207" s="1" t="n">
        <v>45925.38450231482</v>
      </c>
      <c r="C207" s="1" t="n">
        <v>45988</v>
      </c>
      <c r="D207" t="inlineStr">
        <is>
          <t>DALARNAS LÄN</t>
        </is>
      </c>
      <c r="E207" t="inlineStr">
        <is>
          <t>HEDEMORA</t>
        </is>
      </c>
      <c r="G207" t="n">
        <v>7.3</v>
      </c>
      <c r="H207" t="n">
        <v>0</v>
      </c>
      <c r="I207" t="n">
        <v>0</v>
      </c>
      <c r="J207" t="n">
        <v>0</v>
      </c>
      <c r="K207" t="n">
        <v>0</v>
      </c>
      <c r="L207" t="n">
        <v>0</v>
      </c>
      <c r="M207" t="n">
        <v>0</v>
      </c>
      <c r="N207" t="n">
        <v>0</v>
      </c>
      <c r="O207" t="n">
        <v>0</v>
      </c>
      <c r="P207" t="n">
        <v>0</v>
      </c>
      <c r="Q207" t="n">
        <v>0</v>
      </c>
      <c r="R207" s="2" t="inlineStr"/>
    </row>
    <row r="208" ht="15" customHeight="1">
      <c r="A208" t="inlineStr">
        <is>
          <t>A 7916-2024</t>
        </is>
      </c>
      <c r="B208" s="1" t="n">
        <v>45350.46259259259</v>
      </c>
      <c r="C208" s="1" t="n">
        <v>45988</v>
      </c>
      <c r="D208" t="inlineStr">
        <is>
          <t>DALARNAS LÄN</t>
        </is>
      </c>
      <c r="E208" t="inlineStr">
        <is>
          <t>HEDEMORA</t>
        </is>
      </c>
      <c r="G208" t="n">
        <v>5.8</v>
      </c>
      <c r="H208" t="n">
        <v>0</v>
      </c>
      <c r="I208" t="n">
        <v>0</v>
      </c>
      <c r="J208" t="n">
        <v>0</v>
      </c>
      <c r="K208" t="n">
        <v>0</v>
      </c>
      <c r="L208" t="n">
        <v>0</v>
      </c>
      <c r="M208" t="n">
        <v>0</v>
      </c>
      <c r="N208" t="n">
        <v>0</v>
      </c>
      <c r="O208" t="n">
        <v>0</v>
      </c>
      <c r="P208" t="n">
        <v>0</v>
      </c>
      <c r="Q208" t="n">
        <v>0</v>
      </c>
      <c r="R208" s="2" t="inlineStr"/>
    </row>
    <row r="209" ht="15" customHeight="1">
      <c r="A209" t="inlineStr">
        <is>
          <t>A 45983-2025</t>
        </is>
      </c>
      <c r="B209" s="1" t="n">
        <v>45924.37988425926</v>
      </c>
      <c r="C209" s="1" t="n">
        <v>45988</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15048-2025</t>
        </is>
      </c>
      <c r="B210" s="1" t="n">
        <v>45743.69820601852</v>
      </c>
      <c r="C210" s="1" t="n">
        <v>45988</v>
      </c>
      <c r="D210" t="inlineStr">
        <is>
          <t>DALARNAS LÄN</t>
        </is>
      </c>
      <c r="E210" t="inlineStr">
        <is>
          <t>HEDEMORA</t>
        </is>
      </c>
      <c r="F210" t="inlineStr">
        <is>
          <t>Sveaskog</t>
        </is>
      </c>
      <c r="G210" t="n">
        <v>9.1</v>
      </c>
      <c r="H210" t="n">
        <v>0</v>
      </c>
      <c r="I210" t="n">
        <v>0</v>
      </c>
      <c r="J210" t="n">
        <v>0</v>
      </c>
      <c r="K210" t="n">
        <v>0</v>
      </c>
      <c r="L210" t="n">
        <v>0</v>
      </c>
      <c r="M210" t="n">
        <v>0</v>
      </c>
      <c r="N210" t="n">
        <v>0</v>
      </c>
      <c r="O210" t="n">
        <v>0</v>
      </c>
      <c r="P210" t="n">
        <v>0</v>
      </c>
      <c r="Q210" t="n">
        <v>0</v>
      </c>
      <c r="R210" s="2" t="inlineStr"/>
    </row>
    <row r="211" ht="15" customHeight="1">
      <c r="A211" t="inlineStr">
        <is>
          <t>A 54830-2025</t>
        </is>
      </c>
      <c r="B211" s="1" t="n">
        <v>45966.67681712963</v>
      </c>
      <c r="C211" s="1" t="n">
        <v>45988</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15054-2025</t>
        </is>
      </c>
      <c r="B212" s="1" t="n">
        <v>45743.70199074074</v>
      </c>
      <c r="C212" s="1" t="n">
        <v>45988</v>
      </c>
      <c r="D212" t="inlineStr">
        <is>
          <t>DALARNAS LÄN</t>
        </is>
      </c>
      <c r="E212" t="inlineStr">
        <is>
          <t>HEDEMORA</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54829-2025</t>
        </is>
      </c>
      <c r="B213" s="1" t="n">
        <v>45966.67506944444</v>
      </c>
      <c r="C213" s="1" t="n">
        <v>45988</v>
      </c>
      <c r="D213" t="inlineStr">
        <is>
          <t>DALARNAS LÄN</t>
        </is>
      </c>
      <c r="E213" t="inlineStr">
        <is>
          <t>HEDEMORA</t>
        </is>
      </c>
      <c r="G213" t="n">
        <v>2.2</v>
      </c>
      <c r="H213" t="n">
        <v>0</v>
      </c>
      <c r="I213" t="n">
        <v>0</v>
      </c>
      <c r="J213" t="n">
        <v>0</v>
      </c>
      <c r="K213" t="n">
        <v>0</v>
      </c>
      <c r="L213" t="n">
        <v>0</v>
      </c>
      <c r="M213" t="n">
        <v>0</v>
      </c>
      <c r="N213" t="n">
        <v>0</v>
      </c>
      <c r="O213" t="n">
        <v>0</v>
      </c>
      <c r="P213" t="n">
        <v>0</v>
      </c>
      <c r="Q213" t="n">
        <v>0</v>
      </c>
      <c r="R213" s="2" t="inlineStr"/>
    </row>
    <row r="214" ht="15" customHeight="1">
      <c r="A214" t="inlineStr">
        <is>
          <t>A 55606-2025</t>
        </is>
      </c>
      <c r="B214" s="1" t="n">
        <v>45971.79564814815</v>
      </c>
      <c r="C214" s="1" t="n">
        <v>45988</v>
      </c>
      <c r="D214" t="inlineStr">
        <is>
          <t>DALARNAS LÄN</t>
        </is>
      </c>
      <c r="E214" t="inlineStr">
        <is>
          <t>HEDEMORA</t>
        </is>
      </c>
      <c r="G214" t="n">
        <v>0.5</v>
      </c>
      <c r="H214" t="n">
        <v>0</v>
      </c>
      <c r="I214" t="n">
        <v>0</v>
      </c>
      <c r="J214" t="n">
        <v>0</v>
      </c>
      <c r="K214" t="n">
        <v>0</v>
      </c>
      <c r="L214" t="n">
        <v>0</v>
      </c>
      <c r="M214" t="n">
        <v>0</v>
      </c>
      <c r="N214" t="n">
        <v>0</v>
      </c>
      <c r="O214" t="n">
        <v>0</v>
      </c>
      <c r="P214" t="n">
        <v>0</v>
      </c>
      <c r="Q214" t="n">
        <v>0</v>
      </c>
      <c r="R214" s="2" t="inlineStr"/>
    </row>
    <row r="215" ht="15" customHeight="1">
      <c r="A215" t="inlineStr">
        <is>
          <t>A 36075-2025</t>
        </is>
      </c>
      <c r="B215" s="1" t="n">
        <v>45866.43974537037</v>
      </c>
      <c r="C215" s="1" t="n">
        <v>45988</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36103-2025</t>
        </is>
      </c>
      <c r="B216" s="1" t="n">
        <v>45866.55335648148</v>
      </c>
      <c r="C216" s="1" t="n">
        <v>45988</v>
      </c>
      <c r="D216" t="inlineStr">
        <is>
          <t>DALARNAS LÄN</t>
        </is>
      </c>
      <c r="E216" t="inlineStr">
        <is>
          <t>HEDEMORA</t>
        </is>
      </c>
      <c r="G216" t="n">
        <v>2.3</v>
      </c>
      <c r="H216" t="n">
        <v>0</v>
      </c>
      <c r="I216" t="n">
        <v>0</v>
      </c>
      <c r="J216" t="n">
        <v>0</v>
      </c>
      <c r="K216" t="n">
        <v>0</v>
      </c>
      <c r="L216" t="n">
        <v>0</v>
      </c>
      <c r="M216" t="n">
        <v>0</v>
      </c>
      <c r="N216" t="n">
        <v>0</v>
      </c>
      <c r="O216" t="n">
        <v>0</v>
      </c>
      <c r="P216" t="n">
        <v>0</v>
      </c>
      <c r="Q216" t="n">
        <v>0</v>
      </c>
      <c r="R216" s="2" t="inlineStr"/>
    </row>
    <row r="217" ht="15" customHeight="1">
      <c r="A217" t="inlineStr">
        <is>
          <t>A 36117-2025</t>
        </is>
      </c>
      <c r="B217" s="1" t="n">
        <v>45866.58664351852</v>
      </c>
      <c r="C217" s="1" t="n">
        <v>45988</v>
      </c>
      <c r="D217" t="inlineStr">
        <is>
          <t>DALARNAS LÄN</t>
        </is>
      </c>
      <c r="E217" t="inlineStr">
        <is>
          <t>HEDEMORA</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36206-2025</t>
        </is>
      </c>
      <c r="B218" s="1" t="n">
        <v>45867.45057870371</v>
      </c>
      <c r="C218" s="1" t="n">
        <v>45988</v>
      </c>
      <c r="D218" t="inlineStr">
        <is>
          <t>DALARNAS LÄN</t>
        </is>
      </c>
      <c r="E218" t="inlineStr">
        <is>
          <t>HEDEMORA</t>
        </is>
      </c>
      <c r="G218" t="n">
        <v>0.1</v>
      </c>
      <c r="H218" t="n">
        <v>0</v>
      </c>
      <c r="I218" t="n">
        <v>0</v>
      </c>
      <c r="J218" t="n">
        <v>0</v>
      </c>
      <c r="K218" t="n">
        <v>0</v>
      </c>
      <c r="L218" t="n">
        <v>0</v>
      </c>
      <c r="M218" t="n">
        <v>0</v>
      </c>
      <c r="N218" t="n">
        <v>0</v>
      </c>
      <c r="O218" t="n">
        <v>0</v>
      </c>
      <c r="P218" t="n">
        <v>0</v>
      </c>
      <c r="Q218" t="n">
        <v>0</v>
      </c>
      <c r="R218" s="2" t="inlineStr"/>
    </row>
    <row r="219" ht="15" customHeight="1">
      <c r="A219" t="inlineStr">
        <is>
          <t>A 55159-2025</t>
        </is>
      </c>
      <c r="B219" s="1" t="n">
        <v>45968.46832175926</v>
      </c>
      <c r="C219" s="1" t="n">
        <v>45988</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53820-2025</t>
        </is>
      </c>
      <c r="B220" s="1" t="n">
        <v>45961.32736111111</v>
      </c>
      <c r="C220" s="1" t="n">
        <v>45988</v>
      </c>
      <c r="D220" t="inlineStr">
        <is>
          <t>DALARNAS LÄN</t>
        </is>
      </c>
      <c r="E220" t="inlineStr">
        <is>
          <t>HEDEMORA</t>
        </is>
      </c>
      <c r="G220" t="n">
        <v>10</v>
      </c>
      <c r="H220" t="n">
        <v>0</v>
      </c>
      <c r="I220" t="n">
        <v>0</v>
      </c>
      <c r="J220" t="n">
        <v>0</v>
      </c>
      <c r="K220" t="n">
        <v>0</v>
      </c>
      <c r="L220" t="n">
        <v>0</v>
      </c>
      <c r="M220" t="n">
        <v>0</v>
      </c>
      <c r="N220" t="n">
        <v>0</v>
      </c>
      <c r="O220" t="n">
        <v>0</v>
      </c>
      <c r="P220" t="n">
        <v>0</v>
      </c>
      <c r="Q220" t="n">
        <v>0</v>
      </c>
      <c r="R220" s="2" t="inlineStr"/>
    </row>
    <row r="221" ht="15" customHeight="1">
      <c r="A221" t="inlineStr">
        <is>
          <t>A 55601-2025</t>
        </is>
      </c>
      <c r="B221" s="1" t="n">
        <v>45971.78122685185</v>
      </c>
      <c r="C221" s="1" t="n">
        <v>45988</v>
      </c>
      <c r="D221" t="inlineStr">
        <is>
          <t>DALARNAS LÄN</t>
        </is>
      </c>
      <c r="E221" t="inlineStr">
        <is>
          <t>HEDEMORA</t>
        </is>
      </c>
      <c r="G221" t="n">
        <v>3.2</v>
      </c>
      <c r="H221" t="n">
        <v>0</v>
      </c>
      <c r="I221" t="n">
        <v>0</v>
      </c>
      <c r="J221" t="n">
        <v>0</v>
      </c>
      <c r="K221" t="n">
        <v>0</v>
      </c>
      <c r="L221" t="n">
        <v>0</v>
      </c>
      <c r="M221" t="n">
        <v>0</v>
      </c>
      <c r="N221" t="n">
        <v>0</v>
      </c>
      <c r="O221" t="n">
        <v>0</v>
      </c>
      <c r="P221" t="n">
        <v>0</v>
      </c>
      <c r="Q221" t="n">
        <v>0</v>
      </c>
      <c r="R221" s="2" t="inlineStr"/>
    </row>
    <row r="222" ht="15" customHeight="1">
      <c r="A222" t="inlineStr">
        <is>
          <t>A 34409-2022</t>
        </is>
      </c>
      <c r="B222" s="1" t="n">
        <v>44792</v>
      </c>
      <c r="C222" s="1" t="n">
        <v>45988</v>
      </c>
      <c r="D222" t="inlineStr">
        <is>
          <t>DALARNAS LÄN</t>
        </is>
      </c>
      <c r="E222" t="inlineStr">
        <is>
          <t>HEDEMORA</t>
        </is>
      </c>
      <c r="G222" t="n">
        <v>13.7</v>
      </c>
      <c r="H222" t="n">
        <v>0</v>
      </c>
      <c r="I222" t="n">
        <v>0</v>
      </c>
      <c r="J222" t="n">
        <v>0</v>
      </c>
      <c r="K222" t="n">
        <v>0</v>
      </c>
      <c r="L222" t="n">
        <v>0</v>
      </c>
      <c r="M222" t="n">
        <v>0</v>
      </c>
      <c r="N222" t="n">
        <v>0</v>
      </c>
      <c r="O222" t="n">
        <v>0</v>
      </c>
      <c r="P222" t="n">
        <v>0</v>
      </c>
      <c r="Q222" t="n">
        <v>0</v>
      </c>
      <c r="R222" s="2" t="inlineStr"/>
    </row>
    <row r="223" ht="15" customHeight="1">
      <c r="A223" t="inlineStr">
        <is>
          <t>A 36656-2025</t>
        </is>
      </c>
      <c r="B223" s="1" t="n">
        <v>45873.34642361111</v>
      </c>
      <c r="C223" s="1" t="n">
        <v>45988</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44960-2021</t>
        </is>
      </c>
      <c r="B224" s="1" t="n">
        <v>44438.72253472222</v>
      </c>
      <c r="C224" s="1" t="n">
        <v>45988</v>
      </c>
      <c r="D224" t="inlineStr">
        <is>
          <t>DALARNAS LÄN</t>
        </is>
      </c>
      <c r="E224" t="inlineStr">
        <is>
          <t>HEDEMORA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55917-2025</t>
        </is>
      </c>
      <c r="B225" s="1" t="n">
        <v>45973.41158564815</v>
      </c>
      <c r="C225" s="1" t="n">
        <v>45988</v>
      </c>
      <c r="D225" t="inlineStr">
        <is>
          <t>DALARNAS LÄN</t>
        </is>
      </c>
      <c r="E225" t="inlineStr">
        <is>
          <t>HEDEMORA</t>
        </is>
      </c>
      <c r="G225" t="n">
        <v>7.8</v>
      </c>
      <c r="H225" t="n">
        <v>0</v>
      </c>
      <c r="I225" t="n">
        <v>0</v>
      </c>
      <c r="J225" t="n">
        <v>0</v>
      </c>
      <c r="K225" t="n">
        <v>0</v>
      </c>
      <c r="L225" t="n">
        <v>0</v>
      </c>
      <c r="M225" t="n">
        <v>0</v>
      </c>
      <c r="N225" t="n">
        <v>0</v>
      </c>
      <c r="O225" t="n">
        <v>0</v>
      </c>
      <c r="P225" t="n">
        <v>0</v>
      </c>
      <c r="Q225" t="n">
        <v>0</v>
      </c>
      <c r="R225" s="2" t="inlineStr"/>
    </row>
    <row r="226" ht="15" customHeight="1">
      <c r="A226" t="inlineStr">
        <is>
          <t>A 20271-2025</t>
        </is>
      </c>
      <c r="B226" s="1" t="n">
        <v>45773.71568287037</v>
      </c>
      <c r="C226" s="1" t="n">
        <v>45988</v>
      </c>
      <c r="D226" t="inlineStr">
        <is>
          <t>DALARNAS LÄN</t>
        </is>
      </c>
      <c r="E226" t="inlineStr">
        <is>
          <t>HEDEMORA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20273-2025</t>
        </is>
      </c>
      <c r="B227" s="1" t="n">
        <v>45773.71921296296</v>
      </c>
      <c r="C227" s="1" t="n">
        <v>45988</v>
      </c>
      <c r="D227" t="inlineStr">
        <is>
          <t>DALARNAS LÄN</t>
        </is>
      </c>
      <c r="E227" t="inlineStr">
        <is>
          <t>HEDEMORA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29128-2025</t>
        </is>
      </c>
      <c r="B228" s="1" t="n">
        <v>45821.60116898148</v>
      </c>
      <c r="C228" s="1" t="n">
        <v>45988</v>
      </c>
      <c r="D228" t="inlineStr">
        <is>
          <t>DALARNAS LÄN</t>
        </is>
      </c>
      <c r="E228" t="inlineStr">
        <is>
          <t>HEDEMORA</t>
        </is>
      </c>
      <c r="F228" t="inlineStr">
        <is>
          <t>Sveaskog</t>
        </is>
      </c>
      <c r="G228" t="n">
        <v>15.5</v>
      </c>
      <c r="H228" t="n">
        <v>0</v>
      </c>
      <c r="I228" t="n">
        <v>0</v>
      </c>
      <c r="J228" t="n">
        <v>0</v>
      </c>
      <c r="K228" t="n">
        <v>0</v>
      </c>
      <c r="L228" t="n">
        <v>0</v>
      </c>
      <c r="M228" t="n">
        <v>0</v>
      </c>
      <c r="N228" t="n">
        <v>0</v>
      </c>
      <c r="O228" t="n">
        <v>0</v>
      </c>
      <c r="P228" t="n">
        <v>0</v>
      </c>
      <c r="Q228" t="n">
        <v>0</v>
      </c>
      <c r="R228" s="2" t="inlineStr"/>
    </row>
    <row r="229" ht="15" customHeight="1">
      <c r="A229" t="inlineStr">
        <is>
          <t>A 56070-2025</t>
        </is>
      </c>
      <c r="B229" s="1" t="n">
        <v>45973.65067129629</v>
      </c>
      <c r="C229" s="1" t="n">
        <v>45988</v>
      </c>
      <c r="D229" t="inlineStr">
        <is>
          <t>DALARNAS LÄN</t>
        </is>
      </c>
      <c r="E229" t="inlineStr">
        <is>
          <t>HEDEMORA</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29792-2025</t>
        </is>
      </c>
      <c r="B230" s="1" t="n">
        <v>45825.66416666667</v>
      </c>
      <c r="C230" s="1" t="n">
        <v>45988</v>
      </c>
      <c r="D230" t="inlineStr">
        <is>
          <t>DALARNAS LÄN</t>
        </is>
      </c>
      <c r="E230" t="inlineStr">
        <is>
          <t>HEDEMORA</t>
        </is>
      </c>
      <c r="F230" t="inlineStr">
        <is>
          <t>Sveaskog</t>
        </is>
      </c>
      <c r="G230" t="n">
        <v>26.3</v>
      </c>
      <c r="H230" t="n">
        <v>0</v>
      </c>
      <c r="I230" t="n">
        <v>0</v>
      </c>
      <c r="J230" t="n">
        <v>0</v>
      </c>
      <c r="K230" t="n">
        <v>0</v>
      </c>
      <c r="L230" t="n">
        <v>0</v>
      </c>
      <c r="M230" t="n">
        <v>0</v>
      </c>
      <c r="N230" t="n">
        <v>0</v>
      </c>
      <c r="O230" t="n">
        <v>0</v>
      </c>
      <c r="P230" t="n">
        <v>0</v>
      </c>
      <c r="Q230" t="n">
        <v>0</v>
      </c>
      <c r="R230" s="2" t="inlineStr"/>
    </row>
    <row r="231" ht="15" customHeight="1">
      <c r="A231" t="inlineStr">
        <is>
          <t>A 34932-2024</t>
        </is>
      </c>
      <c r="B231" s="1" t="n">
        <v>45527.45431712963</v>
      </c>
      <c r="C231" s="1" t="n">
        <v>45988</v>
      </c>
      <c r="D231" t="inlineStr">
        <is>
          <t>DALARNAS LÄN</t>
        </is>
      </c>
      <c r="E231" t="inlineStr">
        <is>
          <t>HEDEMORA</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37573-2025</t>
        </is>
      </c>
      <c r="B232" s="1" t="n">
        <v>45880.37711805556</v>
      </c>
      <c r="C232" s="1" t="n">
        <v>45988</v>
      </c>
      <c r="D232" t="inlineStr">
        <is>
          <t>DALARNAS LÄN</t>
        </is>
      </c>
      <c r="E232" t="inlineStr">
        <is>
          <t>HEDEMORA</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33287-2025</t>
        </is>
      </c>
      <c r="B233" s="1" t="n">
        <v>45840.81216435185</v>
      </c>
      <c r="C233" s="1" t="n">
        <v>45988</v>
      </c>
      <c r="D233" t="inlineStr">
        <is>
          <t>DALARNAS LÄN</t>
        </is>
      </c>
      <c r="E233" t="inlineStr">
        <is>
          <t>HEDEMORA</t>
        </is>
      </c>
      <c r="F233" t="inlineStr">
        <is>
          <t>Sveaskog</t>
        </is>
      </c>
      <c r="G233" t="n">
        <v>4.1</v>
      </c>
      <c r="H233" t="n">
        <v>0</v>
      </c>
      <c r="I233" t="n">
        <v>0</v>
      </c>
      <c r="J233" t="n">
        <v>0</v>
      </c>
      <c r="K233" t="n">
        <v>0</v>
      </c>
      <c r="L233" t="n">
        <v>0</v>
      </c>
      <c r="M233" t="n">
        <v>0</v>
      </c>
      <c r="N233" t="n">
        <v>0</v>
      </c>
      <c r="O233" t="n">
        <v>0</v>
      </c>
      <c r="P233" t="n">
        <v>0</v>
      </c>
      <c r="Q233" t="n">
        <v>0</v>
      </c>
      <c r="R233" s="2" t="inlineStr"/>
    </row>
    <row r="234" ht="15" customHeight="1">
      <c r="A234" t="inlineStr">
        <is>
          <t>A 56676-2025</t>
        </is>
      </c>
      <c r="B234" s="1" t="n">
        <v>45975.7162962963</v>
      </c>
      <c r="C234" s="1" t="n">
        <v>45988</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56679-2025</t>
        </is>
      </c>
      <c r="B235" s="1" t="n">
        <v>45975.78238425926</v>
      </c>
      <c r="C235" s="1" t="n">
        <v>45988</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21864-2025</t>
        </is>
      </c>
      <c r="B236" s="1" t="n">
        <v>45784</v>
      </c>
      <c r="C236" s="1" t="n">
        <v>45988</v>
      </c>
      <c r="D236" t="inlineStr">
        <is>
          <t>DALARNAS LÄN</t>
        </is>
      </c>
      <c r="E236" t="inlineStr">
        <is>
          <t>HEDEMORA</t>
        </is>
      </c>
      <c r="F236" t="inlineStr">
        <is>
          <t>Sveaskog</t>
        </is>
      </c>
      <c r="G236" t="n">
        <v>5.1</v>
      </c>
      <c r="H236" t="n">
        <v>0</v>
      </c>
      <c r="I236" t="n">
        <v>0</v>
      </c>
      <c r="J236" t="n">
        <v>0</v>
      </c>
      <c r="K236" t="n">
        <v>0</v>
      </c>
      <c r="L236" t="n">
        <v>0</v>
      </c>
      <c r="M236" t="n">
        <v>0</v>
      </c>
      <c r="N236" t="n">
        <v>0</v>
      </c>
      <c r="O236" t="n">
        <v>0</v>
      </c>
      <c r="P236" t="n">
        <v>0</v>
      </c>
      <c r="Q236" t="n">
        <v>0</v>
      </c>
      <c r="R236" s="2" t="inlineStr"/>
    </row>
    <row r="237" ht="15" customHeight="1">
      <c r="A237" t="inlineStr">
        <is>
          <t>A 37574-2025</t>
        </is>
      </c>
      <c r="B237" s="1" t="n">
        <v>45880.37949074074</v>
      </c>
      <c r="C237" s="1" t="n">
        <v>45988</v>
      </c>
      <c r="D237" t="inlineStr">
        <is>
          <t>DALARNAS LÄN</t>
        </is>
      </c>
      <c r="E237" t="inlineStr">
        <is>
          <t>HEDEMORA</t>
        </is>
      </c>
      <c r="F237" t="inlineStr">
        <is>
          <t>Sveaskog</t>
        </is>
      </c>
      <c r="G237" t="n">
        <v>5.7</v>
      </c>
      <c r="H237" t="n">
        <v>0</v>
      </c>
      <c r="I237" t="n">
        <v>0</v>
      </c>
      <c r="J237" t="n">
        <v>0</v>
      </c>
      <c r="K237" t="n">
        <v>0</v>
      </c>
      <c r="L237" t="n">
        <v>0</v>
      </c>
      <c r="M237" t="n">
        <v>0</v>
      </c>
      <c r="N237" t="n">
        <v>0</v>
      </c>
      <c r="O237" t="n">
        <v>0</v>
      </c>
      <c r="P237" t="n">
        <v>0</v>
      </c>
      <c r="Q237" t="n">
        <v>0</v>
      </c>
      <c r="R237" s="2" t="inlineStr"/>
    </row>
    <row r="238" ht="15" customHeight="1">
      <c r="A238" t="inlineStr">
        <is>
          <t>A 19690-2025</t>
        </is>
      </c>
      <c r="B238" s="1" t="n">
        <v>45770</v>
      </c>
      <c r="C238" s="1" t="n">
        <v>45988</v>
      </c>
      <c r="D238" t="inlineStr">
        <is>
          <t>DALARNAS LÄN</t>
        </is>
      </c>
      <c r="E238" t="inlineStr">
        <is>
          <t>HEDEMORA</t>
        </is>
      </c>
      <c r="G238" t="n">
        <v>1.6</v>
      </c>
      <c r="H238" t="n">
        <v>0</v>
      </c>
      <c r="I238" t="n">
        <v>0</v>
      </c>
      <c r="J238" t="n">
        <v>0</v>
      </c>
      <c r="K238" t="n">
        <v>0</v>
      </c>
      <c r="L238" t="n">
        <v>0</v>
      </c>
      <c r="M238" t="n">
        <v>0</v>
      </c>
      <c r="N238" t="n">
        <v>0</v>
      </c>
      <c r="O238" t="n">
        <v>0</v>
      </c>
      <c r="P238" t="n">
        <v>0</v>
      </c>
      <c r="Q238" t="n">
        <v>0</v>
      </c>
      <c r="R238" s="2" t="inlineStr"/>
    </row>
    <row r="239" ht="15" customHeight="1">
      <c r="A239" t="inlineStr">
        <is>
          <t>A 56378-2025</t>
        </is>
      </c>
      <c r="B239" s="1" t="n">
        <v>45974.70207175926</v>
      </c>
      <c r="C239" s="1" t="n">
        <v>45988</v>
      </c>
      <c r="D239" t="inlineStr">
        <is>
          <t>DALARNAS LÄN</t>
        </is>
      </c>
      <c r="E239" t="inlineStr">
        <is>
          <t>HEDEMORA</t>
        </is>
      </c>
      <c r="G239" t="n">
        <v>2.8</v>
      </c>
      <c r="H239" t="n">
        <v>0</v>
      </c>
      <c r="I239" t="n">
        <v>0</v>
      </c>
      <c r="J239" t="n">
        <v>0</v>
      </c>
      <c r="K239" t="n">
        <v>0</v>
      </c>
      <c r="L239" t="n">
        <v>0</v>
      </c>
      <c r="M239" t="n">
        <v>0</v>
      </c>
      <c r="N239" t="n">
        <v>0</v>
      </c>
      <c r="O239" t="n">
        <v>0</v>
      </c>
      <c r="P239" t="n">
        <v>0</v>
      </c>
      <c r="Q239" t="n">
        <v>0</v>
      </c>
      <c r="R239" s="2" t="inlineStr"/>
    </row>
    <row r="240" ht="15" customHeight="1">
      <c r="A240" t="inlineStr">
        <is>
          <t>A 48077-2025</t>
        </is>
      </c>
      <c r="B240" s="1" t="n">
        <v>45932.71114583333</v>
      </c>
      <c r="C240" s="1" t="n">
        <v>45988</v>
      </c>
      <c r="D240" t="inlineStr">
        <is>
          <t>DALARNAS LÄN</t>
        </is>
      </c>
      <c r="E240" t="inlineStr">
        <is>
          <t>HEDEMORA</t>
        </is>
      </c>
      <c r="G240" t="n">
        <v>1.8</v>
      </c>
      <c r="H240" t="n">
        <v>0</v>
      </c>
      <c r="I240" t="n">
        <v>0</v>
      </c>
      <c r="J240" t="n">
        <v>0</v>
      </c>
      <c r="K240" t="n">
        <v>0</v>
      </c>
      <c r="L240" t="n">
        <v>0</v>
      </c>
      <c r="M240" t="n">
        <v>0</v>
      </c>
      <c r="N240" t="n">
        <v>0</v>
      </c>
      <c r="O240" t="n">
        <v>0</v>
      </c>
      <c r="P240" t="n">
        <v>0</v>
      </c>
      <c r="Q240" t="n">
        <v>0</v>
      </c>
      <c r="R240" s="2" t="inlineStr"/>
    </row>
    <row r="241" ht="15" customHeight="1">
      <c r="A241" t="inlineStr">
        <is>
          <t>A 21868-2025</t>
        </is>
      </c>
      <c r="B241" s="1" t="n">
        <v>45784</v>
      </c>
      <c r="C241" s="1" t="n">
        <v>45988</v>
      </c>
      <c r="D241" t="inlineStr">
        <is>
          <t>DALARNAS LÄN</t>
        </is>
      </c>
      <c r="E241" t="inlineStr">
        <is>
          <t>HEDEMORA</t>
        </is>
      </c>
      <c r="F241" t="inlineStr">
        <is>
          <t>Sveaskog</t>
        </is>
      </c>
      <c r="G241" t="n">
        <v>10.1</v>
      </c>
      <c r="H241" t="n">
        <v>0</v>
      </c>
      <c r="I241" t="n">
        <v>0</v>
      </c>
      <c r="J241" t="n">
        <v>0</v>
      </c>
      <c r="K241" t="n">
        <v>0</v>
      </c>
      <c r="L241" t="n">
        <v>0</v>
      </c>
      <c r="M241" t="n">
        <v>0</v>
      </c>
      <c r="N241" t="n">
        <v>0</v>
      </c>
      <c r="O241" t="n">
        <v>0</v>
      </c>
      <c r="P241" t="n">
        <v>0</v>
      </c>
      <c r="Q241" t="n">
        <v>0</v>
      </c>
      <c r="R241" s="2" t="inlineStr"/>
    </row>
    <row r="242" ht="15" customHeight="1">
      <c r="A242" t="inlineStr">
        <is>
          <t>A 48238-2025</t>
        </is>
      </c>
      <c r="B242" s="1" t="n">
        <v>45933.53237268519</v>
      </c>
      <c r="C242" s="1" t="n">
        <v>45988</v>
      </c>
      <c r="D242" t="inlineStr">
        <is>
          <t>DALARNAS LÄN</t>
        </is>
      </c>
      <c r="E242" t="inlineStr">
        <is>
          <t>HEDEMORA</t>
        </is>
      </c>
      <c r="G242" t="n">
        <v>1.3</v>
      </c>
      <c r="H242" t="n">
        <v>0</v>
      </c>
      <c r="I242" t="n">
        <v>0</v>
      </c>
      <c r="J242" t="n">
        <v>0</v>
      </c>
      <c r="K242" t="n">
        <v>0</v>
      </c>
      <c r="L242" t="n">
        <v>0</v>
      </c>
      <c r="M242" t="n">
        <v>0</v>
      </c>
      <c r="N242" t="n">
        <v>0</v>
      </c>
      <c r="O242" t="n">
        <v>0</v>
      </c>
      <c r="P242" t="n">
        <v>0</v>
      </c>
      <c r="Q242" t="n">
        <v>0</v>
      </c>
      <c r="R242" s="2" t="inlineStr"/>
    </row>
    <row r="243" ht="15" customHeight="1">
      <c r="A243" t="inlineStr">
        <is>
          <t>A 47841-2025</t>
        </is>
      </c>
      <c r="B243" s="1" t="n">
        <v>45932.37429398148</v>
      </c>
      <c r="C243" s="1" t="n">
        <v>45988</v>
      </c>
      <c r="D243" t="inlineStr">
        <is>
          <t>DALARNAS LÄN</t>
        </is>
      </c>
      <c r="E243" t="inlineStr">
        <is>
          <t>HEDEMORA</t>
        </is>
      </c>
      <c r="G243" t="n">
        <v>3</v>
      </c>
      <c r="H243" t="n">
        <v>0</v>
      </c>
      <c r="I243" t="n">
        <v>0</v>
      </c>
      <c r="J243" t="n">
        <v>0</v>
      </c>
      <c r="K243" t="n">
        <v>0</v>
      </c>
      <c r="L243" t="n">
        <v>0</v>
      </c>
      <c r="M243" t="n">
        <v>0</v>
      </c>
      <c r="N243" t="n">
        <v>0</v>
      </c>
      <c r="O243" t="n">
        <v>0</v>
      </c>
      <c r="P243" t="n">
        <v>0</v>
      </c>
      <c r="Q243" t="n">
        <v>0</v>
      </c>
      <c r="R243" s="2" t="inlineStr"/>
    </row>
    <row r="244" ht="15" customHeight="1">
      <c r="A244" t="inlineStr">
        <is>
          <t>A 29303-2023</t>
        </is>
      </c>
      <c r="B244" s="1" t="n">
        <v>45105</v>
      </c>
      <c r="C244" s="1" t="n">
        <v>45988</v>
      </c>
      <c r="D244" t="inlineStr">
        <is>
          <t>DALARNAS LÄN</t>
        </is>
      </c>
      <c r="E244" t="inlineStr">
        <is>
          <t>HEDEMORA</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48076-2025</t>
        </is>
      </c>
      <c r="B245" s="1" t="n">
        <v>45932.7075</v>
      </c>
      <c r="C245" s="1" t="n">
        <v>45988</v>
      </c>
      <c r="D245" t="inlineStr">
        <is>
          <t>DALARNAS LÄN</t>
        </is>
      </c>
      <c r="E245" t="inlineStr">
        <is>
          <t>HEDEMORA</t>
        </is>
      </c>
      <c r="G245" t="n">
        <v>5.1</v>
      </c>
      <c r="H245" t="n">
        <v>0</v>
      </c>
      <c r="I245" t="n">
        <v>0</v>
      </c>
      <c r="J245" t="n">
        <v>0</v>
      </c>
      <c r="K245" t="n">
        <v>0</v>
      </c>
      <c r="L245" t="n">
        <v>0</v>
      </c>
      <c r="M245" t="n">
        <v>0</v>
      </c>
      <c r="N245" t="n">
        <v>0</v>
      </c>
      <c r="O245" t="n">
        <v>0</v>
      </c>
      <c r="P245" t="n">
        <v>0</v>
      </c>
      <c r="Q245" t="n">
        <v>0</v>
      </c>
      <c r="R245" s="2" t="inlineStr"/>
    </row>
    <row r="246" ht="15" customHeight="1">
      <c r="A246" t="inlineStr">
        <is>
          <t>A 59232-2023</t>
        </is>
      </c>
      <c r="B246" s="1" t="n">
        <v>45253.5053587963</v>
      </c>
      <c r="C246" s="1" t="n">
        <v>45988</v>
      </c>
      <c r="D246" t="inlineStr">
        <is>
          <t>DALARNAS LÄN</t>
        </is>
      </c>
      <c r="E246" t="inlineStr">
        <is>
          <t>HEDEMORA</t>
        </is>
      </c>
      <c r="G246" t="n">
        <v>3.7</v>
      </c>
      <c r="H246" t="n">
        <v>0</v>
      </c>
      <c r="I246" t="n">
        <v>0</v>
      </c>
      <c r="J246" t="n">
        <v>0</v>
      </c>
      <c r="K246" t="n">
        <v>0</v>
      </c>
      <c r="L246" t="n">
        <v>0</v>
      </c>
      <c r="M246" t="n">
        <v>0</v>
      </c>
      <c r="N246" t="n">
        <v>0</v>
      </c>
      <c r="O246" t="n">
        <v>0</v>
      </c>
      <c r="P246" t="n">
        <v>0</v>
      </c>
      <c r="Q246" t="n">
        <v>0</v>
      </c>
      <c r="R246" s="2" t="inlineStr"/>
    </row>
    <row r="247" ht="15" customHeight="1">
      <c r="A247" t="inlineStr">
        <is>
          <t>A 3089-2024</t>
        </is>
      </c>
      <c r="B247" s="1" t="n">
        <v>45316</v>
      </c>
      <c r="C247" s="1" t="n">
        <v>45988</v>
      </c>
      <c r="D247" t="inlineStr">
        <is>
          <t>DALARNAS LÄN</t>
        </is>
      </c>
      <c r="E247" t="inlineStr">
        <is>
          <t>HEDEMORA</t>
        </is>
      </c>
      <c r="G247" t="n">
        <v>5.5</v>
      </c>
      <c r="H247" t="n">
        <v>0</v>
      </c>
      <c r="I247" t="n">
        <v>0</v>
      </c>
      <c r="J247" t="n">
        <v>0</v>
      </c>
      <c r="K247" t="n">
        <v>0</v>
      </c>
      <c r="L247" t="n">
        <v>0</v>
      </c>
      <c r="M247" t="n">
        <v>0</v>
      </c>
      <c r="N247" t="n">
        <v>0</v>
      </c>
      <c r="O247" t="n">
        <v>0</v>
      </c>
      <c r="P247" t="n">
        <v>0</v>
      </c>
      <c r="Q247" t="n">
        <v>0</v>
      </c>
      <c r="R247" s="2" t="inlineStr"/>
    </row>
    <row r="248" ht="15" customHeight="1">
      <c r="A248" t="inlineStr">
        <is>
          <t>A 29587-2024</t>
        </is>
      </c>
      <c r="B248" s="1" t="n">
        <v>45484.5799537037</v>
      </c>
      <c r="C248" s="1" t="n">
        <v>45988</v>
      </c>
      <c r="D248" t="inlineStr">
        <is>
          <t>DALARNAS LÄN</t>
        </is>
      </c>
      <c r="E248" t="inlineStr">
        <is>
          <t>HEDEMORA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48381-2025</t>
        </is>
      </c>
      <c r="B249" s="1" t="n">
        <v>45933.81800925926</v>
      </c>
      <c r="C249" s="1" t="n">
        <v>45988</v>
      </c>
      <c r="D249" t="inlineStr">
        <is>
          <t>DALARNAS LÄN</t>
        </is>
      </c>
      <c r="E249" t="inlineStr">
        <is>
          <t>HEDEMORA</t>
        </is>
      </c>
      <c r="F249" t="inlineStr">
        <is>
          <t>Sveaskog</t>
        </is>
      </c>
      <c r="G249" t="n">
        <v>6.3</v>
      </c>
      <c r="H249" t="n">
        <v>0</v>
      </c>
      <c r="I249" t="n">
        <v>0</v>
      </c>
      <c r="J249" t="n">
        <v>0</v>
      </c>
      <c r="K249" t="n">
        <v>0</v>
      </c>
      <c r="L249" t="n">
        <v>0</v>
      </c>
      <c r="M249" t="n">
        <v>0</v>
      </c>
      <c r="N249" t="n">
        <v>0</v>
      </c>
      <c r="O249" t="n">
        <v>0</v>
      </c>
      <c r="P249" t="n">
        <v>0</v>
      </c>
      <c r="Q249" t="n">
        <v>0</v>
      </c>
      <c r="R249" s="2" t="inlineStr"/>
    </row>
    <row r="250" ht="15" customHeight="1">
      <c r="A250" t="inlineStr">
        <is>
          <t>A 53584-2023</t>
        </is>
      </c>
      <c r="B250" s="1" t="n">
        <v>45230</v>
      </c>
      <c r="C250" s="1" t="n">
        <v>45988</v>
      </c>
      <c r="D250" t="inlineStr">
        <is>
          <t>DALARNAS LÄN</t>
        </is>
      </c>
      <c r="E250" t="inlineStr">
        <is>
          <t>HEDEMORA</t>
        </is>
      </c>
      <c r="G250" t="n">
        <v>6.6</v>
      </c>
      <c r="H250" t="n">
        <v>0</v>
      </c>
      <c r="I250" t="n">
        <v>0</v>
      </c>
      <c r="J250" t="n">
        <v>0</v>
      </c>
      <c r="K250" t="n">
        <v>0</v>
      </c>
      <c r="L250" t="n">
        <v>0</v>
      </c>
      <c r="M250" t="n">
        <v>0</v>
      </c>
      <c r="N250" t="n">
        <v>0</v>
      </c>
      <c r="O250" t="n">
        <v>0</v>
      </c>
      <c r="P250" t="n">
        <v>0</v>
      </c>
      <c r="Q250" t="n">
        <v>0</v>
      </c>
      <c r="R250" s="2" t="inlineStr"/>
    </row>
    <row r="251" ht="15" customHeight="1">
      <c r="A251" t="inlineStr">
        <is>
          <t>A 60786-2023</t>
        </is>
      </c>
      <c r="B251" s="1" t="n">
        <v>45260.64891203704</v>
      </c>
      <c r="C251" s="1" t="n">
        <v>45988</v>
      </c>
      <c r="D251" t="inlineStr">
        <is>
          <t>DALARNAS LÄN</t>
        </is>
      </c>
      <c r="E251" t="inlineStr">
        <is>
          <t>HEDEMORA</t>
        </is>
      </c>
      <c r="G251" t="n">
        <v>7.1</v>
      </c>
      <c r="H251" t="n">
        <v>0</v>
      </c>
      <c r="I251" t="n">
        <v>0</v>
      </c>
      <c r="J251" t="n">
        <v>0</v>
      </c>
      <c r="K251" t="n">
        <v>0</v>
      </c>
      <c r="L251" t="n">
        <v>0</v>
      </c>
      <c r="M251" t="n">
        <v>0</v>
      </c>
      <c r="N251" t="n">
        <v>0</v>
      </c>
      <c r="O251" t="n">
        <v>0</v>
      </c>
      <c r="P251" t="n">
        <v>0</v>
      </c>
      <c r="Q251" t="n">
        <v>0</v>
      </c>
      <c r="R251" s="2" t="inlineStr"/>
    </row>
    <row r="252" ht="15" customHeight="1">
      <c r="A252" t="inlineStr">
        <is>
          <t>A 26612-2021</t>
        </is>
      </c>
      <c r="B252" s="1" t="n">
        <v>44348.64942129629</v>
      </c>
      <c r="C252" s="1" t="n">
        <v>45988</v>
      </c>
      <c r="D252" t="inlineStr">
        <is>
          <t>DALARNAS LÄN</t>
        </is>
      </c>
      <c r="E252" t="inlineStr">
        <is>
          <t>HEDEMORA</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57745-2024</t>
        </is>
      </c>
      <c r="B253" s="1" t="n">
        <v>45630.77605324074</v>
      </c>
      <c r="C253" s="1" t="n">
        <v>45988</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57563-2025</t>
        </is>
      </c>
      <c r="B254" s="1" t="n">
        <v>45980.70671296296</v>
      </c>
      <c r="C254" s="1" t="n">
        <v>45988</v>
      </c>
      <c r="D254" t="inlineStr">
        <is>
          <t>DALARNAS LÄN</t>
        </is>
      </c>
      <c r="E254" t="inlineStr">
        <is>
          <t>HEDEMORA</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58020-2025</t>
        </is>
      </c>
      <c r="B255" s="1" t="n">
        <v>45982.47819444445</v>
      </c>
      <c r="C255" s="1" t="n">
        <v>45988</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49942-2025</t>
        </is>
      </c>
      <c r="B256" s="1" t="n">
        <v>45940.69508101852</v>
      </c>
      <c r="C256" s="1" t="n">
        <v>45988</v>
      </c>
      <c r="D256" t="inlineStr">
        <is>
          <t>DALARNAS LÄN</t>
        </is>
      </c>
      <c r="E256" t="inlineStr">
        <is>
          <t>HEDEMORA</t>
        </is>
      </c>
      <c r="G256" t="n">
        <v>2</v>
      </c>
      <c r="H256" t="n">
        <v>0</v>
      </c>
      <c r="I256" t="n">
        <v>0</v>
      </c>
      <c r="J256" t="n">
        <v>0</v>
      </c>
      <c r="K256" t="n">
        <v>0</v>
      </c>
      <c r="L256" t="n">
        <v>0</v>
      </c>
      <c r="M256" t="n">
        <v>0</v>
      </c>
      <c r="N256" t="n">
        <v>0</v>
      </c>
      <c r="O256" t="n">
        <v>0</v>
      </c>
      <c r="P256" t="n">
        <v>0</v>
      </c>
      <c r="Q256" t="n">
        <v>0</v>
      </c>
      <c r="R256" s="2" t="inlineStr"/>
    </row>
    <row r="257" ht="15" customHeight="1">
      <c r="A257" t="inlineStr">
        <is>
          <t>A 50040-2025</t>
        </is>
      </c>
      <c r="B257" s="1" t="n">
        <v>45943.40377314815</v>
      </c>
      <c r="C257" s="1" t="n">
        <v>45988</v>
      </c>
      <c r="D257" t="inlineStr">
        <is>
          <t>DALARNAS LÄN</t>
        </is>
      </c>
      <c r="E257" t="inlineStr">
        <is>
          <t>HEDEMORA</t>
        </is>
      </c>
      <c r="G257" t="n">
        <v>0.6</v>
      </c>
      <c r="H257" t="n">
        <v>0</v>
      </c>
      <c r="I257" t="n">
        <v>0</v>
      </c>
      <c r="J257" t="n">
        <v>0</v>
      </c>
      <c r="K257" t="n">
        <v>0</v>
      </c>
      <c r="L257" t="n">
        <v>0</v>
      </c>
      <c r="M257" t="n">
        <v>0</v>
      </c>
      <c r="N257" t="n">
        <v>0</v>
      </c>
      <c r="O257" t="n">
        <v>0</v>
      </c>
      <c r="P257" t="n">
        <v>0</v>
      </c>
      <c r="Q257" t="n">
        <v>0</v>
      </c>
      <c r="R257" s="2" t="inlineStr"/>
    </row>
    <row r="258" ht="15" customHeight="1">
      <c r="A258" t="inlineStr">
        <is>
          <t>A 50043-2025</t>
        </is>
      </c>
      <c r="B258" s="1" t="n">
        <v>45943.40546296296</v>
      </c>
      <c r="C258" s="1" t="n">
        <v>45988</v>
      </c>
      <c r="D258" t="inlineStr">
        <is>
          <t>DALARNAS LÄN</t>
        </is>
      </c>
      <c r="E258" t="inlineStr">
        <is>
          <t>HEDEMORA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50038-2025</t>
        </is>
      </c>
      <c r="B259" s="1" t="n">
        <v>45943.40084490741</v>
      </c>
      <c r="C259" s="1" t="n">
        <v>45988</v>
      </c>
      <c r="D259" t="inlineStr">
        <is>
          <t>DALARNAS LÄN</t>
        </is>
      </c>
      <c r="E259" t="inlineStr">
        <is>
          <t>HEDEMORA</t>
        </is>
      </c>
      <c r="G259" t="n">
        <v>2.9</v>
      </c>
      <c r="H259" t="n">
        <v>0</v>
      </c>
      <c r="I259" t="n">
        <v>0</v>
      </c>
      <c r="J259" t="n">
        <v>0</v>
      </c>
      <c r="K259" t="n">
        <v>0</v>
      </c>
      <c r="L259" t="n">
        <v>0</v>
      </c>
      <c r="M259" t="n">
        <v>0</v>
      </c>
      <c r="N259" t="n">
        <v>0</v>
      </c>
      <c r="O259" t="n">
        <v>0</v>
      </c>
      <c r="P259" t="n">
        <v>0</v>
      </c>
      <c r="Q259" t="n">
        <v>0</v>
      </c>
      <c r="R259" s="2" t="inlineStr"/>
    </row>
    <row r="260" ht="15" customHeight="1">
      <c r="A260" t="inlineStr">
        <is>
          <t>A 50101-2025</t>
        </is>
      </c>
      <c r="B260" s="1" t="n">
        <v>45943.53317129629</v>
      </c>
      <c r="C260" s="1" t="n">
        <v>45988</v>
      </c>
      <c r="D260" t="inlineStr">
        <is>
          <t>DALARNAS LÄN</t>
        </is>
      </c>
      <c r="E260" t="inlineStr">
        <is>
          <t>HEDEMORA</t>
        </is>
      </c>
      <c r="G260" t="n">
        <v>3.5</v>
      </c>
      <c r="H260" t="n">
        <v>0</v>
      </c>
      <c r="I260" t="n">
        <v>0</v>
      </c>
      <c r="J260" t="n">
        <v>0</v>
      </c>
      <c r="K260" t="n">
        <v>0</v>
      </c>
      <c r="L260" t="n">
        <v>0</v>
      </c>
      <c r="M260" t="n">
        <v>0</v>
      </c>
      <c r="N260" t="n">
        <v>0</v>
      </c>
      <c r="O260" t="n">
        <v>0</v>
      </c>
      <c r="P260" t="n">
        <v>0</v>
      </c>
      <c r="Q260" t="n">
        <v>0</v>
      </c>
      <c r="R260" s="2" t="inlineStr"/>
    </row>
    <row r="261" ht="15" customHeight="1">
      <c r="A261" t="inlineStr">
        <is>
          <t>A 48254-2023</t>
        </is>
      </c>
      <c r="B261" s="1" t="n">
        <v>45205.53241898148</v>
      </c>
      <c r="C261" s="1" t="n">
        <v>45988</v>
      </c>
      <c r="D261" t="inlineStr">
        <is>
          <t>DALARNAS LÄN</t>
        </is>
      </c>
      <c r="E261" t="inlineStr">
        <is>
          <t>HEDEMORA</t>
        </is>
      </c>
      <c r="F261" t="inlineStr">
        <is>
          <t>Sveaskog</t>
        </is>
      </c>
      <c r="G261" t="n">
        <v>1.5</v>
      </c>
      <c r="H261" t="n">
        <v>0</v>
      </c>
      <c r="I261" t="n">
        <v>0</v>
      </c>
      <c r="J261" t="n">
        <v>0</v>
      </c>
      <c r="K261" t="n">
        <v>0</v>
      </c>
      <c r="L261" t="n">
        <v>0</v>
      </c>
      <c r="M261" t="n">
        <v>0</v>
      </c>
      <c r="N261" t="n">
        <v>0</v>
      </c>
      <c r="O261" t="n">
        <v>0</v>
      </c>
      <c r="P261" t="n">
        <v>0</v>
      </c>
      <c r="Q261" t="n">
        <v>0</v>
      </c>
      <c r="R261" s="2" t="inlineStr"/>
      <c r="U261">
        <f>HYPERLINK("https://klasma.github.io/Logging_2083/knärot/A 48254-2023 karta knärot.png", "A 48254-2023")</f>
        <v/>
      </c>
      <c r="V261">
        <f>HYPERLINK("https://klasma.github.io/Logging_2083/klagomål/A 48254-2023 FSC-klagomål.docx", "A 48254-2023")</f>
        <v/>
      </c>
      <c r="W261">
        <f>HYPERLINK("https://klasma.github.io/Logging_2083/klagomålsmail/A 48254-2023 FSC-klagomål mail.docx", "A 48254-2023")</f>
        <v/>
      </c>
      <c r="X261">
        <f>HYPERLINK("https://klasma.github.io/Logging_2083/tillsyn/A 48254-2023 tillsynsbegäran.docx", "A 48254-2023")</f>
        <v/>
      </c>
      <c r="Y261">
        <f>HYPERLINK("https://klasma.github.io/Logging_2083/tillsynsmail/A 48254-2023 tillsynsbegäran mail.docx", "A 48254-2023")</f>
        <v/>
      </c>
    </row>
    <row r="262" ht="15" customHeight="1">
      <c r="A262" t="inlineStr">
        <is>
          <t>A 49772-2025</t>
        </is>
      </c>
      <c r="B262" s="1" t="n">
        <v>45940.37288194444</v>
      </c>
      <c r="C262" s="1" t="n">
        <v>45988</v>
      </c>
      <c r="D262" t="inlineStr">
        <is>
          <t>DALARNAS LÄN</t>
        </is>
      </c>
      <c r="E262" t="inlineStr">
        <is>
          <t>HEDEMORA</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50115-2025</t>
        </is>
      </c>
      <c r="B263" s="1" t="n">
        <v>45943.54636574074</v>
      </c>
      <c r="C263" s="1" t="n">
        <v>45988</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65057-2023</t>
        </is>
      </c>
      <c r="B264" s="1" t="n">
        <v>45287</v>
      </c>
      <c r="C264" s="1" t="n">
        <v>45988</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50078-2025</t>
        </is>
      </c>
      <c r="B265" s="1" t="n">
        <v>45943</v>
      </c>
      <c r="C265" s="1" t="n">
        <v>45988</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49771-2025</t>
        </is>
      </c>
      <c r="B266" s="1" t="n">
        <v>45940.36981481482</v>
      </c>
      <c r="C266" s="1" t="n">
        <v>45988</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55832-2024</t>
        </is>
      </c>
      <c r="B267" s="1" t="n">
        <v>45623.48604166666</v>
      </c>
      <c r="C267" s="1" t="n">
        <v>45988</v>
      </c>
      <c r="D267" t="inlineStr">
        <is>
          <t>DALARNAS LÄN</t>
        </is>
      </c>
      <c r="E267" t="inlineStr">
        <is>
          <t>HEDEMORA</t>
        </is>
      </c>
      <c r="G267" t="n">
        <v>3</v>
      </c>
      <c r="H267" t="n">
        <v>0</v>
      </c>
      <c r="I267" t="n">
        <v>0</v>
      </c>
      <c r="J267" t="n">
        <v>0</v>
      </c>
      <c r="K267" t="n">
        <v>0</v>
      </c>
      <c r="L267" t="n">
        <v>0</v>
      </c>
      <c r="M267" t="n">
        <v>0</v>
      </c>
      <c r="N267" t="n">
        <v>0</v>
      </c>
      <c r="O267" t="n">
        <v>0</v>
      </c>
      <c r="P267" t="n">
        <v>0</v>
      </c>
      <c r="Q267" t="n">
        <v>0</v>
      </c>
      <c r="R267" s="2" t="inlineStr"/>
    </row>
    <row r="268" ht="15" customHeight="1">
      <c r="A268" t="inlineStr">
        <is>
          <t>A 60774-2022</t>
        </is>
      </c>
      <c r="B268" s="1" t="n">
        <v>44914.37917824074</v>
      </c>
      <c r="C268" s="1" t="n">
        <v>45988</v>
      </c>
      <c r="D268" t="inlineStr">
        <is>
          <t>DALARNAS LÄN</t>
        </is>
      </c>
      <c r="E268" t="inlineStr">
        <is>
          <t>HEDEMORA</t>
        </is>
      </c>
      <c r="G268" t="n">
        <v>11.5</v>
      </c>
      <c r="H268" t="n">
        <v>0</v>
      </c>
      <c r="I268" t="n">
        <v>0</v>
      </c>
      <c r="J268" t="n">
        <v>0</v>
      </c>
      <c r="K268" t="n">
        <v>0</v>
      </c>
      <c r="L268" t="n">
        <v>0</v>
      </c>
      <c r="M268" t="n">
        <v>0</v>
      </c>
      <c r="N268" t="n">
        <v>0</v>
      </c>
      <c r="O268" t="n">
        <v>0</v>
      </c>
      <c r="P268" t="n">
        <v>0</v>
      </c>
      <c r="Q268" t="n">
        <v>0</v>
      </c>
      <c r="R268" s="2" t="inlineStr"/>
    </row>
    <row r="269" ht="15" customHeight="1">
      <c r="A269" t="inlineStr">
        <is>
          <t>A 58705-2025</t>
        </is>
      </c>
      <c r="B269" s="1" t="n">
        <v>45986.60056712963</v>
      </c>
      <c r="C269" s="1" t="n">
        <v>45988</v>
      </c>
      <c r="D269" t="inlineStr">
        <is>
          <t>DALARNAS LÄN</t>
        </is>
      </c>
      <c r="E269" t="inlineStr">
        <is>
          <t>HEDEMORA</t>
        </is>
      </c>
      <c r="G269" t="n">
        <v>3</v>
      </c>
      <c r="H269" t="n">
        <v>0</v>
      </c>
      <c r="I269" t="n">
        <v>0</v>
      </c>
      <c r="J269" t="n">
        <v>0</v>
      </c>
      <c r="K269" t="n">
        <v>0</v>
      </c>
      <c r="L269" t="n">
        <v>0</v>
      </c>
      <c r="M269" t="n">
        <v>0</v>
      </c>
      <c r="N269" t="n">
        <v>0</v>
      </c>
      <c r="O269" t="n">
        <v>0</v>
      </c>
      <c r="P269" t="n">
        <v>0</v>
      </c>
      <c r="Q269" t="n">
        <v>0</v>
      </c>
      <c r="R269" s="2" t="inlineStr"/>
    </row>
    <row r="270" ht="15" customHeight="1">
      <c r="A270" t="inlineStr">
        <is>
          <t>A 26449-2024</t>
        </is>
      </c>
      <c r="B270" s="1" t="n">
        <v>45469.50783564815</v>
      </c>
      <c r="C270" s="1" t="n">
        <v>45988</v>
      </c>
      <c r="D270" t="inlineStr">
        <is>
          <t>DALARNAS LÄN</t>
        </is>
      </c>
      <c r="E270" t="inlineStr">
        <is>
          <t>HEDEMORA</t>
        </is>
      </c>
      <c r="G270" t="n">
        <v>4.5</v>
      </c>
      <c r="H270" t="n">
        <v>0</v>
      </c>
      <c r="I270" t="n">
        <v>0</v>
      </c>
      <c r="J270" t="n">
        <v>0</v>
      </c>
      <c r="K270" t="n">
        <v>0</v>
      </c>
      <c r="L270" t="n">
        <v>0</v>
      </c>
      <c r="M270" t="n">
        <v>0</v>
      </c>
      <c r="N270" t="n">
        <v>0</v>
      </c>
      <c r="O270" t="n">
        <v>0</v>
      </c>
      <c r="P270" t="n">
        <v>0</v>
      </c>
      <c r="Q270" t="n">
        <v>0</v>
      </c>
      <c r="R270" s="2" t="inlineStr"/>
    </row>
    <row r="271" ht="15" customHeight="1">
      <c r="A271" t="inlineStr">
        <is>
          <t>A 42894-2024</t>
        </is>
      </c>
      <c r="B271" s="1" t="n">
        <v>45566.82304398148</v>
      </c>
      <c r="C271" s="1" t="n">
        <v>45988</v>
      </c>
      <c r="D271" t="inlineStr">
        <is>
          <t>DALARNAS LÄN</t>
        </is>
      </c>
      <c r="E271" t="inlineStr">
        <is>
          <t>HEDEMORA</t>
        </is>
      </c>
      <c r="F271" t="inlineStr">
        <is>
          <t>Sveaskog</t>
        </is>
      </c>
      <c r="G271" t="n">
        <v>2.2</v>
      </c>
      <c r="H271" t="n">
        <v>0</v>
      </c>
      <c r="I271" t="n">
        <v>0</v>
      </c>
      <c r="J271" t="n">
        <v>0</v>
      </c>
      <c r="K271" t="n">
        <v>0</v>
      </c>
      <c r="L271" t="n">
        <v>0</v>
      </c>
      <c r="M271" t="n">
        <v>0</v>
      </c>
      <c r="N271" t="n">
        <v>0</v>
      </c>
      <c r="O271" t="n">
        <v>0</v>
      </c>
      <c r="P271" t="n">
        <v>0</v>
      </c>
      <c r="Q271" t="n">
        <v>0</v>
      </c>
      <c r="R271" s="2" t="inlineStr"/>
    </row>
    <row r="272" ht="15" customHeight="1">
      <c r="A272" t="inlineStr">
        <is>
          <t>A 42895-2024</t>
        </is>
      </c>
      <c r="B272" s="1" t="n">
        <v>45566.82385416667</v>
      </c>
      <c r="C272" s="1" t="n">
        <v>45988</v>
      </c>
      <c r="D272" t="inlineStr">
        <is>
          <t>DALARNAS LÄN</t>
        </is>
      </c>
      <c r="E272" t="inlineStr">
        <is>
          <t>HEDEMORA</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31365-2024</t>
        </is>
      </c>
      <c r="B273" s="1" t="n">
        <v>45505.37086805556</v>
      </c>
      <c r="C273" s="1" t="n">
        <v>45988</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36935-2024</t>
        </is>
      </c>
      <c r="B274" s="1" t="n">
        <v>45538.56925925926</v>
      </c>
      <c r="C274" s="1" t="n">
        <v>45988</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29640-2024</t>
        </is>
      </c>
      <c r="B275" s="1" t="n">
        <v>45484.69837962963</v>
      </c>
      <c r="C275" s="1" t="n">
        <v>45988</v>
      </c>
      <c r="D275" t="inlineStr">
        <is>
          <t>DALARNAS LÄN</t>
        </is>
      </c>
      <c r="E275" t="inlineStr">
        <is>
          <t>HEDEMORA</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12136-2025</t>
        </is>
      </c>
      <c r="B276" s="1" t="n">
        <v>45729.39300925926</v>
      </c>
      <c r="C276" s="1" t="n">
        <v>45988</v>
      </c>
      <c r="D276" t="inlineStr">
        <is>
          <t>DALARNAS LÄN</t>
        </is>
      </c>
      <c r="E276" t="inlineStr">
        <is>
          <t>HEDEMORA</t>
        </is>
      </c>
      <c r="G276" t="n">
        <v>1.5</v>
      </c>
      <c r="H276" t="n">
        <v>0</v>
      </c>
      <c r="I276" t="n">
        <v>0</v>
      </c>
      <c r="J276" t="n">
        <v>0</v>
      </c>
      <c r="K276" t="n">
        <v>0</v>
      </c>
      <c r="L276" t="n">
        <v>0</v>
      </c>
      <c r="M276" t="n">
        <v>0</v>
      </c>
      <c r="N276" t="n">
        <v>0</v>
      </c>
      <c r="O276" t="n">
        <v>0</v>
      </c>
      <c r="P276" t="n">
        <v>0</v>
      </c>
      <c r="Q276" t="n">
        <v>0</v>
      </c>
      <c r="R276" s="2" t="inlineStr"/>
    </row>
    <row r="277" ht="15" customHeight="1">
      <c r="A277" t="inlineStr">
        <is>
          <t>A 20666-2024</t>
        </is>
      </c>
      <c r="B277" s="1" t="n">
        <v>45436</v>
      </c>
      <c r="C277" s="1" t="n">
        <v>45988</v>
      </c>
      <c r="D277" t="inlineStr">
        <is>
          <t>DALARNAS LÄN</t>
        </is>
      </c>
      <c r="E277" t="inlineStr">
        <is>
          <t>HEDEMORA</t>
        </is>
      </c>
      <c r="G277" t="n">
        <v>5.1</v>
      </c>
      <c r="H277" t="n">
        <v>0</v>
      </c>
      <c r="I277" t="n">
        <v>0</v>
      </c>
      <c r="J277" t="n">
        <v>0</v>
      </c>
      <c r="K277" t="n">
        <v>0</v>
      </c>
      <c r="L277" t="n">
        <v>0</v>
      </c>
      <c r="M277" t="n">
        <v>0</v>
      </c>
      <c r="N277" t="n">
        <v>0</v>
      </c>
      <c r="O277" t="n">
        <v>0</v>
      </c>
      <c r="P277" t="n">
        <v>0</v>
      </c>
      <c r="Q277" t="n">
        <v>0</v>
      </c>
      <c r="R277" s="2" t="inlineStr"/>
    </row>
    <row r="278" ht="15" customHeight="1">
      <c r="A278" t="inlineStr">
        <is>
          <t>A 6441-2021</t>
        </is>
      </c>
      <c r="B278" s="1" t="n">
        <v>44235</v>
      </c>
      <c r="C278" s="1" t="n">
        <v>45988</v>
      </c>
      <c r="D278" t="inlineStr">
        <is>
          <t>DALARNAS LÄN</t>
        </is>
      </c>
      <c r="E278" t="inlineStr">
        <is>
          <t>HEDEMORA</t>
        </is>
      </c>
      <c r="G278" t="n">
        <v>0.7</v>
      </c>
      <c r="H278" t="n">
        <v>0</v>
      </c>
      <c r="I278" t="n">
        <v>0</v>
      </c>
      <c r="J278" t="n">
        <v>0</v>
      </c>
      <c r="K278" t="n">
        <v>0</v>
      </c>
      <c r="L278" t="n">
        <v>0</v>
      </c>
      <c r="M278" t="n">
        <v>0</v>
      </c>
      <c r="N278" t="n">
        <v>0</v>
      </c>
      <c r="O278" t="n">
        <v>0</v>
      </c>
      <c r="P278" t="n">
        <v>0</v>
      </c>
      <c r="Q278" t="n">
        <v>0</v>
      </c>
      <c r="R278" s="2" t="inlineStr"/>
    </row>
    <row r="279" ht="15" customHeight="1">
      <c r="A279" t="inlineStr">
        <is>
          <t>A 56668-2024</t>
        </is>
      </c>
      <c r="B279" s="1" t="n">
        <v>45626.41185185185</v>
      </c>
      <c r="C279" s="1" t="n">
        <v>45988</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25643-2024</t>
        </is>
      </c>
      <c r="B280" s="1" t="n">
        <v>45463.66436342592</v>
      </c>
      <c r="C280" s="1" t="n">
        <v>45988</v>
      </c>
      <c r="D280" t="inlineStr">
        <is>
          <t>DALARNAS LÄN</t>
        </is>
      </c>
      <c r="E280" t="inlineStr">
        <is>
          <t>HEDEMORA</t>
        </is>
      </c>
      <c r="F280" t="inlineStr">
        <is>
          <t>Sveaskog</t>
        </is>
      </c>
      <c r="G280" t="n">
        <v>8</v>
      </c>
      <c r="H280" t="n">
        <v>0</v>
      </c>
      <c r="I280" t="n">
        <v>0</v>
      </c>
      <c r="J280" t="n">
        <v>0</v>
      </c>
      <c r="K280" t="n">
        <v>0</v>
      </c>
      <c r="L280" t="n">
        <v>0</v>
      </c>
      <c r="M280" t="n">
        <v>0</v>
      </c>
      <c r="N280" t="n">
        <v>0</v>
      </c>
      <c r="O280" t="n">
        <v>0</v>
      </c>
      <c r="P280" t="n">
        <v>0</v>
      </c>
      <c r="Q280" t="n">
        <v>0</v>
      </c>
      <c r="R280" s="2" t="inlineStr"/>
    </row>
    <row r="281" ht="15" customHeight="1">
      <c r="A281" t="inlineStr">
        <is>
          <t>A 14949-2025</t>
        </is>
      </c>
      <c r="B281" s="1" t="n">
        <v>45743.5745949074</v>
      </c>
      <c r="C281" s="1" t="n">
        <v>45988</v>
      </c>
      <c r="D281" t="inlineStr">
        <is>
          <t>DALARNAS LÄN</t>
        </is>
      </c>
      <c r="E281" t="inlineStr">
        <is>
          <t>HEDEMORA</t>
        </is>
      </c>
      <c r="G281" t="n">
        <v>2.5</v>
      </c>
      <c r="H281" t="n">
        <v>0</v>
      </c>
      <c r="I281" t="n">
        <v>0</v>
      </c>
      <c r="J281" t="n">
        <v>0</v>
      </c>
      <c r="K281" t="n">
        <v>0</v>
      </c>
      <c r="L281" t="n">
        <v>0</v>
      </c>
      <c r="M281" t="n">
        <v>0</v>
      </c>
      <c r="N281" t="n">
        <v>0</v>
      </c>
      <c r="O281" t="n">
        <v>0</v>
      </c>
      <c r="P281" t="n">
        <v>0</v>
      </c>
      <c r="Q281" t="n">
        <v>0</v>
      </c>
      <c r="R281" s="2" t="inlineStr"/>
    </row>
    <row r="282" ht="15" customHeight="1">
      <c r="A282" t="inlineStr">
        <is>
          <t>A 12133-2025</t>
        </is>
      </c>
      <c r="B282" s="1" t="n">
        <v>45729.38878472222</v>
      </c>
      <c r="C282" s="1" t="n">
        <v>45988</v>
      </c>
      <c r="D282" t="inlineStr">
        <is>
          <t>DALARNAS LÄN</t>
        </is>
      </c>
      <c r="E282" t="inlineStr">
        <is>
          <t>HEDEMORA</t>
        </is>
      </c>
      <c r="G282" t="n">
        <v>4.8</v>
      </c>
      <c r="H282" t="n">
        <v>0</v>
      </c>
      <c r="I282" t="n">
        <v>0</v>
      </c>
      <c r="J282" t="n">
        <v>0</v>
      </c>
      <c r="K282" t="n">
        <v>0</v>
      </c>
      <c r="L282" t="n">
        <v>0</v>
      </c>
      <c r="M282" t="n">
        <v>0</v>
      </c>
      <c r="N282" t="n">
        <v>0</v>
      </c>
      <c r="O282" t="n">
        <v>0</v>
      </c>
      <c r="P282" t="n">
        <v>0</v>
      </c>
      <c r="Q282" t="n">
        <v>0</v>
      </c>
      <c r="R282" s="2" t="inlineStr"/>
    </row>
    <row r="283" ht="15" customHeight="1">
      <c r="A283" t="inlineStr">
        <is>
          <t>A 46825-2024</t>
        </is>
      </c>
      <c r="B283" s="1" t="n">
        <v>45583.58040509259</v>
      </c>
      <c r="C283" s="1" t="n">
        <v>45988</v>
      </c>
      <c r="D283" t="inlineStr">
        <is>
          <t>DALARNAS LÄN</t>
        </is>
      </c>
      <c r="E283" t="inlineStr">
        <is>
          <t>HEDEMORA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45377-2024</t>
        </is>
      </c>
      <c r="B284" s="1" t="n">
        <v>45576.51962962963</v>
      </c>
      <c r="C284" s="1" t="n">
        <v>45988</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21514-2024</t>
        </is>
      </c>
      <c r="B285" s="1" t="n">
        <v>45441.57538194444</v>
      </c>
      <c r="C285" s="1" t="n">
        <v>45988</v>
      </c>
      <c r="D285" t="inlineStr">
        <is>
          <t>DALARNAS LÄN</t>
        </is>
      </c>
      <c r="E285" t="inlineStr">
        <is>
          <t>HEDEMORA</t>
        </is>
      </c>
      <c r="G285" t="n">
        <v>1.5</v>
      </c>
      <c r="H285" t="n">
        <v>0</v>
      </c>
      <c r="I285" t="n">
        <v>0</v>
      </c>
      <c r="J285" t="n">
        <v>0</v>
      </c>
      <c r="K285" t="n">
        <v>0</v>
      </c>
      <c r="L285" t="n">
        <v>0</v>
      </c>
      <c r="M285" t="n">
        <v>0</v>
      </c>
      <c r="N285" t="n">
        <v>0</v>
      </c>
      <c r="O285" t="n">
        <v>0</v>
      </c>
      <c r="P285" t="n">
        <v>0</v>
      </c>
      <c r="Q285" t="n">
        <v>0</v>
      </c>
      <c r="R285" s="2" t="inlineStr"/>
    </row>
    <row r="286" ht="15" customHeight="1">
      <c r="A286" t="inlineStr">
        <is>
          <t>A 41523-2023</t>
        </is>
      </c>
      <c r="B286" s="1" t="n">
        <v>45172</v>
      </c>
      <c r="C286" s="1" t="n">
        <v>45988</v>
      </c>
      <c r="D286" t="inlineStr">
        <is>
          <t>DALARNAS LÄN</t>
        </is>
      </c>
      <c r="E286" t="inlineStr">
        <is>
          <t>HEDEMORA</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54310-2021</t>
        </is>
      </c>
      <c r="B287" s="1" t="n">
        <v>44472.54035879629</v>
      </c>
      <c r="C287" s="1" t="n">
        <v>45988</v>
      </c>
      <c r="D287" t="inlineStr">
        <is>
          <t>DALARNAS LÄN</t>
        </is>
      </c>
      <c r="E287" t="inlineStr">
        <is>
          <t>HEDEMORA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46217-2023</t>
        </is>
      </c>
      <c r="B288" s="1" t="n">
        <v>45190</v>
      </c>
      <c r="C288" s="1" t="n">
        <v>45988</v>
      </c>
      <c r="D288" t="inlineStr">
        <is>
          <t>DALARNAS LÄN</t>
        </is>
      </c>
      <c r="E288" t="inlineStr">
        <is>
          <t>HEDEMORA</t>
        </is>
      </c>
      <c r="F288" t="inlineStr">
        <is>
          <t>Bergvik skog väst AB</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15635-2022</t>
        </is>
      </c>
      <c r="B289" s="1" t="n">
        <v>44662.84958333334</v>
      </c>
      <c r="C289" s="1" t="n">
        <v>45988</v>
      </c>
      <c r="D289" t="inlineStr">
        <is>
          <t>DALARNAS LÄN</t>
        </is>
      </c>
      <c r="E289" t="inlineStr">
        <is>
          <t>HEDEMORA</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21092-2023</t>
        </is>
      </c>
      <c r="B290" s="1" t="n">
        <v>45061</v>
      </c>
      <c r="C290" s="1" t="n">
        <v>45988</v>
      </c>
      <c r="D290" t="inlineStr">
        <is>
          <t>DALARNAS LÄN</t>
        </is>
      </c>
      <c r="E290" t="inlineStr">
        <is>
          <t>HEDEMORA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7172-2025</t>
        </is>
      </c>
      <c r="B291" s="1" t="n">
        <v>45702.41383101852</v>
      </c>
      <c r="C291" s="1" t="n">
        <v>45988</v>
      </c>
      <c r="D291" t="inlineStr">
        <is>
          <t>DALARNAS LÄN</t>
        </is>
      </c>
      <c r="E291" t="inlineStr">
        <is>
          <t>HEDEMORA</t>
        </is>
      </c>
      <c r="G291" t="n">
        <v>0.8</v>
      </c>
      <c r="H291" t="n">
        <v>0</v>
      </c>
      <c r="I291" t="n">
        <v>0</v>
      </c>
      <c r="J291" t="n">
        <v>0</v>
      </c>
      <c r="K291" t="n">
        <v>0</v>
      </c>
      <c r="L291" t="n">
        <v>0</v>
      </c>
      <c r="M291" t="n">
        <v>0</v>
      </c>
      <c r="N291" t="n">
        <v>0</v>
      </c>
      <c r="O291" t="n">
        <v>0</v>
      </c>
      <c r="P291" t="n">
        <v>0</v>
      </c>
      <c r="Q291" t="n">
        <v>0</v>
      </c>
      <c r="R291" s="2" t="inlineStr"/>
    </row>
    <row r="292" ht="15" customHeight="1">
      <c r="A292" t="inlineStr">
        <is>
          <t>A 53568-2023</t>
        </is>
      </c>
      <c r="B292" s="1" t="n">
        <v>45230.49392361111</v>
      </c>
      <c r="C292" s="1" t="n">
        <v>45988</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52942-2024</t>
        </is>
      </c>
      <c r="B293" s="1" t="n">
        <v>45610.8215625</v>
      </c>
      <c r="C293" s="1" t="n">
        <v>45988</v>
      </c>
      <c r="D293" t="inlineStr">
        <is>
          <t>DALARNAS LÄN</t>
        </is>
      </c>
      <c r="E293" t="inlineStr">
        <is>
          <t>HEDEMORA</t>
        </is>
      </c>
      <c r="F293" t="inlineStr">
        <is>
          <t>Sveaskog</t>
        </is>
      </c>
      <c r="G293" t="n">
        <v>14.5</v>
      </c>
      <c r="H293" t="n">
        <v>0</v>
      </c>
      <c r="I293" t="n">
        <v>0</v>
      </c>
      <c r="J293" t="n">
        <v>0</v>
      </c>
      <c r="K293" t="n">
        <v>0</v>
      </c>
      <c r="L293" t="n">
        <v>0</v>
      </c>
      <c r="M293" t="n">
        <v>0</v>
      </c>
      <c r="N293" t="n">
        <v>0</v>
      </c>
      <c r="O293" t="n">
        <v>0</v>
      </c>
      <c r="P293" t="n">
        <v>0</v>
      </c>
      <c r="Q293" t="n">
        <v>0</v>
      </c>
      <c r="R293" s="2" t="inlineStr"/>
    </row>
    <row r="294" ht="15" customHeight="1">
      <c r="A294" t="inlineStr">
        <is>
          <t>A 17222-2025</t>
        </is>
      </c>
      <c r="B294" s="1" t="n">
        <v>45756.45504629629</v>
      </c>
      <c r="C294" s="1" t="n">
        <v>45988</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39497-2022</t>
        </is>
      </c>
      <c r="B295" s="1" t="n">
        <v>44817</v>
      </c>
      <c r="C295" s="1" t="n">
        <v>45988</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63929-2023</t>
        </is>
      </c>
      <c r="B296" s="1" t="n">
        <v>45278.60274305556</v>
      </c>
      <c r="C296" s="1" t="n">
        <v>45988</v>
      </c>
      <c r="D296" t="inlineStr">
        <is>
          <t>DALARNAS LÄN</t>
        </is>
      </c>
      <c r="E296" t="inlineStr">
        <is>
          <t>HEDEMORA</t>
        </is>
      </c>
      <c r="G296" t="n">
        <v>0.4</v>
      </c>
      <c r="H296" t="n">
        <v>0</v>
      </c>
      <c r="I296" t="n">
        <v>0</v>
      </c>
      <c r="J296" t="n">
        <v>0</v>
      </c>
      <c r="K296" t="n">
        <v>0</v>
      </c>
      <c r="L296" t="n">
        <v>0</v>
      </c>
      <c r="M296" t="n">
        <v>0</v>
      </c>
      <c r="N296" t="n">
        <v>0</v>
      </c>
      <c r="O296" t="n">
        <v>0</v>
      </c>
      <c r="P296" t="n">
        <v>0</v>
      </c>
      <c r="Q296" t="n">
        <v>0</v>
      </c>
      <c r="R296" s="2" t="inlineStr"/>
    </row>
    <row r="297" ht="15" customHeight="1">
      <c r="A297" t="inlineStr">
        <is>
          <t>A 54423-2023</t>
        </is>
      </c>
      <c r="B297" s="1" t="n">
        <v>45233.41666666666</v>
      </c>
      <c r="C297" s="1" t="n">
        <v>45988</v>
      </c>
      <c r="D297" t="inlineStr">
        <is>
          <t>DALARNAS LÄN</t>
        </is>
      </c>
      <c r="E297" t="inlineStr">
        <is>
          <t>HEDEMORA</t>
        </is>
      </c>
      <c r="G297" t="n">
        <v>3.4</v>
      </c>
      <c r="H297" t="n">
        <v>0</v>
      </c>
      <c r="I297" t="n">
        <v>0</v>
      </c>
      <c r="J297" t="n">
        <v>0</v>
      </c>
      <c r="K297" t="n">
        <v>0</v>
      </c>
      <c r="L297" t="n">
        <v>0</v>
      </c>
      <c r="M297" t="n">
        <v>0</v>
      </c>
      <c r="N297" t="n">
        <v>0</v>
      </c>
      <c r="O297" t="n">
        <v>0</v>
      </c>
      <c r="P297" t="n">
        <v>0</v>
      </c>
      <c r="Q297" t="n">
        <v>0</v>
      </c>
      <c r="R297" s="2" t="inlineStr"/>
    </row>
    <row r="298" ht="15" customHeight="1">
      <c r="A298" t="inlineStr">
        <is>
          <t>A 62386-2023</t>
        </is>
      </c>
      <c r="B298" s="1" t="n">
        <v>45268</v>
      </c>
      <c r="C298" s="1" t="n">
        <v>45988</v>
      </c>
      <c r="D298" t="inlineStr">
        <is>
          <t>DALARNAS LÄN</t>
        </is>
      </c>
      <c r="E298" t="inlineStr">
        <is>
          <t>HEDEMORA</t>
        </is>
      </c>
      <c r="G298" t="n">
        <v>1.7</v>
      </c>
      <c r="H298" t="n">
        <v>0</v>
      </c>
      <c r="I298" t="n">
        <v>0</v>
      </c>
      <c r="J298" t="n">
        <v>0</v>
      </c>
      <c r="K298" t="n">
        <v>0</v>
      </c>
      <c r="L298" t="n">
        <v>0</v>
      </c>
      <c r="M298" t="n">
        <v>0</v>
      </c>
      <c r="N298" t="n">
        <v>0</v>
      </c>
      <c r="O298" t="n">
        <v>0</v>
      </c>
      <c r="P298" t="n">
        <v>0</v>
      </c>
      <c r="Q298" t="n">
        <v>0</v>
      </c>
      <c r="R298" s="2" t="inlineStr"/>
    </row>
    <row r="299" ht="15" customHeight="1">
      <c r="A299" t="inlineStr">
        <is>
          <t>A 62398-2023</t>
        </is>
      </c>
      <c r="B299" s="1" t="n">
        <v>45268</v>
      </c>
      <c r="C299" s="1" t="n">
        <v>45988</v>
      </c>
      <c r="D299" t="inlineStr">
        <is>
          <t>DALARNAS LÄN</t>
        </is>
      </c>
      <c r="E299" t="inlineStr">
        <is>
          <t>HEDEMORA</t>
        </is>
      </c>
      <c r="G299" t="n">
        <v>2.1</v>
      </c>
      <c r="H299" t="n">
        <v>0</v>
      </c>
      <c r="I299" t="n">
        <v>0</v>
      </c>
      <c r="J299" t="n">
        <v>0</v>
      </c>
      <c r="K299" t="n">
        <v>0</v>
      </c>
      <c r="L299" t="n">
        <v>0</v>
      </c>
      <c r="M299" t="n">
        <v>0</v>
      </c>
      <c r="N299" t="n">
        <v>0</v>
      </c>
      <c r="O299" t="n">
        <v>0</v>
      </c>
      <c r="P299" t="n">
        <v>0</v>
      </c>
      <c r="Q299" t="n">
        <v>0</v>
      </c>
      <c r="R299" s="2" t="inlineStr"/>
    </row>
    <row r="300" ht="15" customHeight="1">
      <c r="A300" t="inlineStr">
        <is>
          <t>A 22273-2023</t>
        </is>
      </c>
      <c r="B300" s="1" t="n">
        <v>45070</v>
      </c>
      <c r="C300" s="1" t="n">
        <v>45988</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49636-2021</t>
        </is>
      </c>
      <c r="B301" s="1" t="n">
        <v>44455</v>
      </c>
      <c r="C301" s="1" t="n">
        <v>45988</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25645-2024</t>
        </is>
      </c>
      <c r="B302" s="1" t="n">
        <v>45463.66520833333</v>
      </c>
      <c r="C302" s="1" t="n">
        <v>45988</v>
      </c>
      <c r="D302" t="inlineStr">
        <is>
          <t>DALARNAS LÄN</t>
        </is>
      </c>
      <c r="E302" t="inlineStr">
        <is>
          <t>HEDEMORA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18579-2025</t>
        </is>
      </c>
      <c r="B303" s="1" t="n">
        <v>45763</v>
      </c>
      <c r="C303" s="1" t="n">
        <v>45988</v>
      </c>
      <c r="D303" t="inlineStr">
        <is>
          <t>DALARNAS LÄN</t>
        </is>
      </c>
      <c r="E303" t="inlineStr">
        <is>
          <t>HEDEMORA</t>
        </is>
      </c>
      <c r="G303" t="n">
        <v>0.5</v>
      </c>
      <c r="H303" t="n">
        <v>0</v>
      </c>
      <c r="I303" t="n">
        <v>0</v>
      </c>
      <c r="J303" t="n">
        <v>0</v>
      </c>
      <c r="K303" t="n">
        <v>0</v>
      </c>
      <c r="L303" t="n">
        <v>0</v>
      </c>
      <c r="M303" t="n">
        <v>0</v>
      </c>
      <c r="N303" t="n">
        <v>0</v>
      </c>
      <c r="O303" t="n">
        <v>0</v>
      </c>
      <c r="P303" t="n">
        <v>0</v>
      </c>
      <c r="Q303" t="n">
        <v>0</v>
      </c>
      <c r="R303" s="2" t="inlineStr"/>
    </row>
    <row r="304" ht="15" customHeight="1">
      <c r="A304" t="inlineStr">
        <is>
          <t>A 26431-2024</t>
        </is>
      </c>
      <c r="B304" s="1" t="n">
        <v>45469.48282407408</v>
      </c>
      <c r="C304" s="1" t="n">
        <v>45988</v>
      </c>
      <c r="D304" t="inlineStr">
        <is>
          <t>DALARNAS LÄN</t>
        </is>
      </c>
      <c r="E304" t="inlineStr">
        <is>
          <t>HEDEMORA</t>
        </is>
      </c>
      <c r="G304" t="n">
        <v>1.6</v>
      </c>
      <c r="H304" t="n">
        <v>0</v>
      </c>
      <c r="I304" t="n">
        <v>0</v>
      </c>
      <c r="J304" t="n">
        <v>0</v>
      </c>
      <c r="K304" t="n">
        <v>0</v>
      </c>
      <c r="L304" t="n">
        <v>0</v>
      </c>
      <c r="M304" t="n">
        <v>0</v>
      </c>
      <c r="N304" t="n">
        <v>0</v>
      </c>
      <c r="O304" t="n">
        <v>0</v>
      </c>
      <c r="P304" t="n">
        <v>0</v>
      </c>
      <c r="Q304" t="n">
        <v>0</v>
      </c>
      <c r="R304" s="2" t="inlineStr"/>
      <c r="U304">
        <f>HYPERLINK("https://klasma.github.io/Logging_2083/knärot/A 26431-2024 karta knärot.png", "A 26431-2024")</f>
        <v/>
      </c>
      <c r="V304">
        <f>HYPERLINK("https://klasma.github.io/Logging_2083/klagomål/A 26431-2024 FSC-klagomål.docx", "A 26431-2024")</f>
        <v/>
      </c>
      <c r="W304">
        <f>HYPERLINK("https://klasma.github.io/Logging_2083/klagomålsmail/A 26431-2024 FSC-klagomål mail.docx", "A 26431-2024")</f>
        <v/>
      </c>
      <c r="X304">
        <f>HYPERLINK("https://klasma.github.io/Logging_2083/tillsyn/A 26431-2024 tillsynsbegäran.docx", "A 26431-2024")</f>
        <v/>
      </c>
      <c r="Y304">
        <f>HYPERLINK("https://klasma.github.io/Logging_2083/tillsynsmail/A 26431-2024 tillsynsbegäran mail.docx", "A 26431-2024")</f>
        <v/>
      </c>
    </row>
    <row r="305" ht="15" customHeight="1">
      <c r="A305" t="inlineStr">
        <is>
          <t>A 40707-2023</t>
        </is>
      </c>
      <c r="B305" s="1" t="n">
        <v>45170.62489583333</v>
      </c>
      <c r="C305" s="1" t="n">
        <v>45988</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53922-2024</t>
        </is>
      </c>
      <c r="B306" s="1" t="n">
        <v>45615.78459490741</v>
      </c>
      <c r="C306" s="1" t="n">
        <v>45988</v>
      </c>
      <c r="D306" t="inlineStr">
        <is>
          <t>DALARNAS LÄN</t>
        </is>
      </c>
      <c r="E306" t="inlineStr">
        <is>
          <t>HEDEMORA</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19353-2024</t>
        </is>
      </c>
      <c r="B307" s="1" t="n">
        <v>45429.29666666667</v>
      </c>
      <c r="C307" s="1" t="n">
        <v>45988</v>
      </c>
      <c r="D307" t="inlineStr">
        <is>
          <t>DALARNAS LÄN</t>
        </is>
      </c>
      <c r="E307" t="inlineStr">
        <is>
          <t>HEDEMORA</t>
        </is>
      </c>
      <c r="F307" t="inlineStr">
        <is>
          <t>Sveaskog</t>
        </is>
      </c>
      <c r="G307" t="n">
        <v>16.3</v>
      </c>
      <c r="H307" t="n">
        <v>0</v>
      </c>
      <c r="I307" t="n">
        <v>0</v>
      </c>
      <c r="J307" t="n">
        <v>0</v>
      </c>
      <c r="K307" t="n">
        <v>0</v>
      </c>
      <c r="L307" t="n">
        <v>0</v>
      </c>
      <c r="M307" t="n">
        <v>0</v>
      </c>
      <c r="N307" t="n">
        <v>0</v>
      </c>
      <c r="O307" t="n">
        <v>0</v>
      </c>
      <c r="P307" t="n">
        <v>0</v>
      </c>
      <c r="Q307" t="n">
        <v>0</v>
      </c>
      <c r="R307" s="2" t="inlineStr"/>
    </row>
    <row r="308" ht="15" customHeight="1">
      <c r="A308" t="inlineStr">
        <is>
          <t>A 27610-2024</t>
        </is>
      </c>
      <c r="B308" s="1" t="n">
        <v>45474.73221064815</v>
      </c>
      <c r="C308" s="1" t="n">
        <v>45988</v>
      </c>
      <c r="D308" t="inlineStr">
        <is>
          <t>DALARNAS LÄN</t>
        </is>
      </c>
      <c r="E308" t="inlineStr">
        <is>
          <t>HEDEMORA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27609-2024</t>
        </is>
      </c>
      <c r="B309" s="1" t="n">
        <v>45474.73076388889</v>
      </c>
      <c r="C309" s="1" t="n">
        <v>45988</v>
      </c>
      <c r="D309" t="inlineStr">
        <is>
          <t>DALARNAS LÄN</t>
        </is>
      </c>
      <c r="E309" t="inlineStr">
        <is>
          <t>HEDEMORA</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37449-2024</t>
        </is>
      </c>
      <c r="B310" s="1" t="n">
        <v>45540</v>
      </c>
      <c r="C310" s="1" t="n">
        <v>45988</v>
      </c>
      <c r="D310" t="inlineStr">
        <is>
          <t>DALARNAS LÄN</t>
        </is>
      </c>
      <c r="E310" t="inlineStr">
        <is>
          <t>HEDEMORA</t>
        </is>
      </c>
      <c r="F310" t="inlineStr">
        <is>
          <t>Bergvik skog väst AB</t>
        </is>
      </c>
      <c r="G310" t="n">
        <v>10.1</v>
      </c>
      <c r="H310" t="n">
        <v>0</v>
      </c>
      <c r="I310" t="n">
        <v>0</v>
      </c>
      <c r="J310" t="n">
        <v>0</v>
      </c>
      <c r="K310" t="n">
        <v>0</v>
      </c>
      <c r="L310" t="n">
        <v>0</v>
      </c>
      <c r="M310" t="n">
        <v>0</v>
      </c>
      <c r="N310" t="n">
        <v>0</v>
      </c>
      <c r="O310" t="n">
        <v>0</v>
      </c>
      <c r="P310" t="n">
        <v>0</v>
      </c>
      <c r="Q310" t="n">
        <v>0</v>
      </c>
      <c r="R310" s="2" t="inlineStr"/>
    </row>
    <row r="311" ht="15" customHeight="1">
      <c r="A311" t="inlineStr">
        <is>
          <t>A 25155-2023</t>
        </is>
      </c>
      <c r="B311" s="1" t="n">
        <v>45086</v>
      </c>
      <c r="C311" s="1" t="n">
        <v>45988</v>
      </c>
      <c r="D311" t="inlineStr">
        <is>
          <t>DALARNAS LÄN</t>
        </is>
      </c>
      <c r="E311" t="inlineStr">
        <is>
          <t>HEDEMORA</t>
        </is>
      </c>
      <c r="F311" t="inlineStr">
        <is>
          <t>Sveaskog</t>
        </is>
      </c>
      <c r="G311" t="n">
        <v>3.8</v>
      </c>
      <c r="H311" t="n">
        <v>0</v>
      </c>
      <c r="I311" t="n">
        <v>0</v>
      </c>
      <c r="J311" t="n">
        <v>0</v>
      </c>
      <c r="K311" t="n">
        <v>0</v>
      </c>
      <c r="L311" t="n">
        <v>0</v>
      </c>
      <c r="M311" t="n">
        <v>0</v>
      </c>
      <c r="N311" t="n">
        <v>0</v>
      </c>
      <c r="O311" t="n">
        <v>0</v>
      </c>
      <c r="P311" t="n">
        <v>0</v>
      </c>
      <c r="Q311" t="n">
        <v>0</v>
      </c>
      <c r="R311" s="2" t="inlineStr"/>
    </row>
    <row r="312" ht="15" customHeight="1">
      <c r="A312" t="inlineStr">
        <is>
          <t>A 54312-2024</t>
        </is>
      </c>
      <c r="B312" s="1" t="n">
        <v>45617.3434837963</v>
      </c>
      <c r="C312" s="1" t="n">
        <v>45988</v>
      </c>
      <c r="D312" t="inlineStr">
        <is>
          <t>DALARNAS LÄN</t>
        </is>
      </c>
      <c r="E312" t="inlineStr">
        <is>
          <t>HEDEMORA</t>
        </is>
      </c>
      <c r="F312" t="inlineStr">
        <is>
          <t>Bergvik skog väst AB</t>
        </is>
      </c>
      <c r="G312" t="n">
        <v>13.9</v>
      </c>
      <c r="H312" t="n">
        <v>0</v>
      </c>
      <c r="I312" t="n">
        <v>0</v>
      </c>
      <c r="J312" t="n">
        <v>0</v>
      </c>
      <c r="K312" t="n">
        <v>0</v>
      </c>
      <c r="L312" t="n">
        <v>0</v>
      </c>
      <c r="M312" t="n">
        <v>0</v>
      </c>
      <c r="N312" t="n">
        <v>0</v>
      </c>
      <c r="O312" t="n">
        <v>0</v>
      </c>
      <c r="P312" t="n">
        <v>0</v>
      </c>
      <c r="Q312" t="n">
        <v>0</v>
      </c>
      <c r="R312" s="2" t="inlineStr"/>
    </row>
    <row r="313" ht="15" customHeight="1">
      <c r="A313" t="inlineStr">
        <is>
          <t>A 52945-2024</t>
        </is>
      </c>
      <c r="B313" s="1" t="n">
        <v>45610.82664351852</v>
      </c>
      <c r="C313" s="1" t="n">
        <v>45988</v>
      </c>
      <c r="D313" t="inlineStr">
        <is>
          <t>DALARNAS LÄN</t>
        </is>
      </c>
      <c r="E313" t="inlineStr">
        <is>
          <t>HEDEMORA</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59632-2023</t>
        </is>
      </c>
      <c r="B314" s="1" t="n">
        <v>45254</v>
      </c>
      <c r="C314" s="1" t="n">
        <v>45988</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37759-2024</t>
        </is>
      </c>
      <c r="B315" s="1" t="n">
        <v>45541</v>
      </c>
      <c r="C315" s="1" t="n">
        <v>45988</v>
      </c>
      <c r="D315" t="inlineStr">
        <is>
          <t>DALARNAS LÄN</t>
        </is>
      </c>
      <c r="E315" t="inlineStr">
        <is>
          <t>HEDEMORA</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7914-2024</t>
        </is>
      </c>
      <c r="B316" s="1" t="n">
        <v>45350.46003472222</v>
      </c>
      <c r="C316" s="1" t="n">
        <v>45988</v>
      </c>
      <c r="D316" t="inlineStr">
        <is>
          <t>DALARNAS LÄN</t>
        </is>
      </c>
      <c r="E316" t="inlineStr">
        <is>
          <t>HEDEMORA</t>
        </is>
      </c>
      <c r="G316" t="n">
        <v>4.1</v>
      </c>
      <c r="H316" t="n">
        <v>0</v>
      </c>
      <c r="I316" t="n">
        <v>0</v>
      </c>
      <c r="J316" t="n">
        <v>0</v>
      </c>
      <c r="K316" t="n">
        <v>0</v>
      </c>
      <c r="L316" t="n">
        <v>0</v>
      </c>
      <c r="M316" t="n">
        <v>0</v>
      </c>
      <c r="N316" t="n">
        <v>0</v>
      </c>
      <c r="O316" t="n">
        <v>0</v>
      </c>
      <c r="P316" t="n">
        <v>0</v>
      </c>
      <c r="Q316" t="n">
        <v>0</v>
      </c>
      <c r="R316" s="2" t="inlineStr"/>
    </row>
    <row r="317" ht="15" customHeight="1">
      <c r="A317" t="inlineStr">
        <is>
          <t>A 73099-2021</t>
        </is>
      </c>
      <c r="B317" s="1" t="n">
        <v>44546</v>
      </c>
      <c r="C317" s="1" t="n">
        <v>45988</v>
      </c>
      <c r="D317" t="inlineStr">
        <is>
          <t>DALARNAS LÄN</t>
        </is>
      </c>
      <c r="E317" t="inlineStr">
        <is>
          <t>HEDEMORA</t>
        </is>
      </c>
      <c r="G317" t="n">
        <v>4.5</v>
      </c>
      <c r="H317" t="n">
        <v>0</v>
      </c>
      <c r="I317" t="n">
        <v>0</v>
      </c>
      <c r="J317" t="n">
        <v>0</v>
      </c>
      <c r="K317" t="n">
        <v>0</v>
      </c>
      <c r="L317" t="n">
        <v>0</v>
      </c>
      <c r="M317" t="n">
        <v>0</v>
      </c>
      <c r="N317" t="n">
        <v>0</v>
      </c>
      <c r="O317" t="n">
        <v>0</v>
      </c>
      <c r="P317" t="n">
        <v>0</v>
      </c>
      <c r="Q317" t="n">
        <v>0</v>
      </c>
      <c r="R317" s="2" t="inlineStr"/>
    </row>
    <row r="318" ht="15" customHeight="1">
      <c r="A318" t="inlineStr">
        <is>
          <t>A 52199-2021</t>
        </is>
      </c>
      <c r="B318" s="1" t="n">
        <v>44462</v>
      </c>
      <c r="C318" s="1" t="n">
        <v>45988</v>
      </c>
      <c r="D318" t="inlineStr">
        <is>
          <t>DALARNAS LÄN</t>
        </is>
      </c>
      <c r="E318" t="inlineStr">
        <is>
          <t>HEDEMORA</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61849-2022</t>
        </is>
      </c>
      <c r="B319" s="1" t="n">
        <v>44917</v>
      </c>
      <c r="C319" s="1" t="n">
        <v>45988</v>
      </c>
      <c r="D319" t="inlineStr">
        <is>
          <t>DALARNAS LÄN</t>
        </is>
      </c>
      <c r="E319" t="inlineStr">
        <is>
          <t>HEDEMORA</t>
        </is>
      </c>
      <c r="G319" t="n">
        <v>1.9</v>
      </c>
      <c r="H319" t="n">
        <v>0</v>
      </c>
      <c r="I319" t="n">
        <v>0</v>
      </c>
      <c r="J319" t="n">
        <v>0</v>
      </c>
      <c r="K319" t="n">
        <v>0</v>
      </c>
      <c r="L319" t="n">
        <v>0</v>
      </c>
      <c r="M319" t="n">
        <v>0</v>
      </c>
      <c r="N319" t="n">
        <v>0</v>
      </c>
      <c r="O319" t="n">
        <v>0</v>
      </c>
      <c r="P319" t="n">
        <v>0</v>
      </c>
      <c r="Q319" t="n">
        <v>0</v>
      </c>
      <c r="R319" s="2" t="inlineStr"/>
    </row>
    <row r="320" ht="15" customHeight="1">
      <c r="A320" t="inlineStr">
        <is>
          <t>A 60780-2024</t>
        </is>
      </c>
      <c r="B320" s="1" t="n">
        <v>45644.59017361111</v>
      </c>
      <c r="C320" s="1" t="n">
        <v>45988</v>
      </c>
      <c r="D320" t="inlineStr">
        <is>
          <t>DALARNAS LÄN</t>
        </is>
      </c>
      <c r="E320" t="inlineStr">
        <is>
          <t>HEDEMORA</t>
        </is>
      </c>
      <c r="F320" t="inlineStr">
        <is>
          <t>Sveaskog</t>
        </is>
      </c>
      <c r="G320" t="n">
        <v>4.3</v>
      </c>
      <c r="H320" t="n">
        <v>0</v>
      </c>
      <c r="I320" t="n">
        <v>0</v>
      </c>
      <c r="J320" t="n">
        <v>0</v>
      </c>
      <c r="K320" t="n">
        <v>0</v>
      </c>
      <c r="L320" t="n">
        <v>0</v>
      </c>
      <c r="M320" t="n">
        <v>0</v>
      </c>
      <c r="N320" t="n">
        <v>0</v>
      </c>
      <c r="O320" t="n">
        <v>0</v>
      </c>
      <c r="P320" t="n">
        <v>0</v>
      </c>
      <c r="Q320" t="n">
        <v>0</v>
      </c>
      <c r="R320" s="2" t="inlineStr"/>
    </row>
    <row r="321" ht="15" customHeight="1">
      <c r="A321" t="inlineStr">
        <is>
          <t>A 29050-2023</t>
        </is>
      </c>
      <c r="B321" s="1" t="n">
        <v>45104</v>
      </c>
      <c r="C321" s="1" t="n">
        <v>45988</v>
      </c>
      <c r="D321" t="inlineStr">
        <is>
          <t>DALARNAS LÄN</t>
        </is>
      </c>
      <c r="E321" t="inlineStr">
        <is>
          <t>HEDEMORA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25150-2023</t>
        </is>
      </c>
      <c r="B322" s="1" t="n">
        <v>45086</v>
      </c>
      <c r="C322" s="1" t="n">
        <v>45988</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61886-2022</t>
        </is>
      </c>
      <c r="B323" s="1" t="n">
        <v>44917.67582175926</v>
      </c>
      <c r="C323" s="1" t="n">
        <v>45988</v>
      </c>
      <c r="D323" t="inlineStr">
        <is>
          <t>DALARNAS LÄN</t>
        </is>
      </c>
      <c r="E323" t="inlineStr">
        <is>
          <t>HEDEMORA</t>
        </is>
      </c>
      <c r="G323" t="n">
        <v>1.9</v>
      </c>
      <c r="H323" t="n">
        <v>0</v>
      </c>
      <c r="I323" t="n">
        <v>0</v>
      </c>
      <c r="J323" t="n">
        <v>0</v>
      </c>
      <c r="K323" t="n">
        <v>0</v>
      </c>
      <c r="L323" t="n">
        <v>0</v>
      </c>
      <c r="M323" t="n">
        <v>0</v>
      </c>
      <c r="N323" t="n">
        <v>0</v>
      </c>
      <c r="O323" t="n">
        <v>0</v>
      </c>
      <c r="P323" t="n">
        <v>0</v>
      </c>
      <c r="Q323" t="n">
        <v>0</v>
      </c>
      <c r="R323" s="2" t="inlineStr"/>
    </row>
    <row r="324" ht="15" customHeight="1">
      <c r="A324" t="inlineStr">
        <is>
          <t>A 18572-2025</t>
        </is>
      </c>
      <c r="B324" s="1" t="n">
        <v>45763</v>
      </c>
      <c r="C324" s="1" t="n">
        <v>45988</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62188-2023</t>
        </is>
      </c>
      <c r="B325" s="1" t="n">
        <v>45267</v>
      </c>
      <c r="C325" s="1" t="n">
        <v>45988</v>
      </c>
      <c r="D325" t="inlineStr">
        <is>
          <t>DALARNAS LÄN</t>
        </is>
      </c>
      <c r="E325" t="inlineStr">
        <is>
          <t>HEDEMORA</t>
        </is>
      </c>
      <c r="G325" t="n">
        <v>2.1</v>
      </c>
      <c r="H325" t="n">
        <v>0</v>
      </c>
      <c r="I325" t="n">
        <v>0</v>
      </c>
      <c r="J325" t="n">
        <v>0</v>
      </c>
      <c r="K325" t="n">
        <v>0</v>
      </c>
      <c r="L325" t="n">
        <v>0</v>
      </c>
      <c r="M325" t="n">
        <v>0</v>
      </c>
      <c r="N325" t="n">
        <v>0</v>
      </c>
      <c r="O325" t="n">
        <v>0</v>
      </c>
      <c r="P325" t="n">
        <v>0</v>
      </c>
      <c r="Q325" t="n">
        <v>0</v>
      </c>
      <c r="R325" s="2" t="inlineStr"/>
    </row>
    <row r="326" ht="15" customHeight="1">
      <c r="A326" t="inlineStr">
        <is>
          <t>A 1917-2022</t>
        </is>
      </c>
      <c r="B326" s="1" t="n">
        <v>44574</v>
      </c>
      <c r="C326" s="1" t="n">
        <v>45988</v>
      </c>
      <c r="D326" t="inlineStr">
        <is>
          <t>DALARNAS LÄN</t>
        </is>
      </c>
      <c r="E326" t="inlineStr">
        <is>
          <t>HEDEMORA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31825-2024</t>
        </is>
      </c>
      <c r="B327" s="1" t="n">
        <v>45509.60949074074</v>
      </c>
      <c r="C327" s="1" t="n">
        <v>45988</v>
      </c>
      <c r="D327" t="inlineStr">
        <is>
          <t>DALARNAS LÄN</t>
        </is>
      </c>
      <c r="E327" t="inlineStr">
        <is>
          <t>HEDEMORA</t>
        </is>
      </c>
      <c r="G327" t="n">
        <v>0.1</v>
      </c>
      <c r="H327" t="n">
        <v>0</v>
      </c>
      <c r="I327" t="n">
        <v>0</v>
      </c>
      <c r="J327" t="n">
        <v>0</v>
      </c>
      <c r="K327" t="n">
        <v>0</v>
      </c>
      <c r="L327" t="n">
        <v>0</v>
      </c>
      <c r="M327" t="n">
        <v>0</v>
      </c>
      <c r="N327" t="n">
        <v>0</v>
      </c>
      <c r="O327" t="n">
        <v>0</v>
      </c>
      <c r="P327" t="n">
        <v>0</v>
      </c>
      <c r="Q327" t="n">
        <v>0</v>
      </c>
      <c r="R327" s="2" t="inlineStr"/>
    </row>
    <row r="328" ht="15" customHeight="1">
      <c r="A328" t="inlineStr">
        <is>
          <t>A 26452-2024</t>
        </is>
      </c>
      <c r="B328" s="1" t="n">
        <v>45469.51145833333</v>
      </c>
      <c r="C328" s="1" t="n">
        <v>45988</v>
      </c>
      <c r="D328" t="inlineStr">
        <is>
          <t>DALARNAS LÄN</t>
        </is>
      </c>
      <c r="E328" t="inlineStr">
        <is>
          <t>HEDEMORA</t>
        </is>
      </c>
      <c r="G328" t="n">
        <v>2.3</v>
      </c>
      <c r="H328" t="n">
        <v>0</v>
      </c>
      <c r="I328" t="n">
        <v>0</v>
      </c>
      <c r="J328" t="n">
        <v>0</v>
      </c>
      <c r="K328" t="n">
        <v>0</v>
      </c>
      <c r="L328" t="n">
        <v>0</v>
      </c>
      <c r="M328" t="n">
        <v>0</v>
      </c>
      <c r="N328" t="n">
        <v>0</v>
      </c>
      <c r="O328" t="n">
        <v>0</v>
      </c>
      <c r="P328" t="n">
        <v>0</v>
      </c>
      <c r="Q328" t="n">
        <v>0</v>
      </c>
      <c r="R328" s="2" t="inlineStr"/>
    </row>
    <row r="329" ht="15" customHeight="1">
      <c r="A329" t="inlineStr">
        <is>
          <t>A 60808-2024</t>
        </is>
      </c>
      <c r="B329" s="1" t="n">
        <v>45644.61251157407</v>
      </c>
      <c r="C329" s="1" t="n">
        <v>45988</v>
      </c>
      <c r="D329" t="inlineStr">
        <is>
          <t>DALARNAS LÄN</t>
        </is>
      </c>
      <c r="E329" t="inlineStr">
        <is>
          <t>HEDEMORA</t>
        </is>
      </c>
      <c r="G329" t="n">
        <v>6</v>
      </c>
      <c r="H329" t="n">
        <v>0</v>
      </c>
      <c r="I329" t="n">
        <v>0</v>
      </c>
      <c r="J329" t="n">
        <v>0</v>
      </c>
      <c r="K329" t="n">
        <v>0</v>
      </c>
      <c r="L329" t="n">
        <v>0</v>
      </c>
      <c r="M329" t="n">
        <v>0</v>
      </c>
      <c r="N329" t="n">
        <v>0</v>
      </c>
      <c r="O329" t="n">
        <v>0</v>
      </c>
      <c r="P329" t="n">
        <v>0</v>
      </c>
      <c r="Q329" t="n">
        <v>0</v>
      </c>
      <c r="R329" s="2" t="inlineStr"/>
    </row>
    <row r="330" ht="15" customHeight="1">
      <c r="A330" t="inlineStr">
        <is>
          <t>A 14951-2025</t>
        </is>
      </c>
      <c r="B330" s="1" t="n">
        <v>45743.57695601852</v>
      </c>
      <c r="C330" s="1" t="n">
        <v>45988</v>
      </c>
      <c r="D330" t="inlineStr">
        <is>
          <t>DALARNAS LÄN</t>
        </is>
      </c>
      <c r="E330" t="inlineStr">
        <is>
          <t>HEDEMORA</t>
        </is>
      </c>
      <c r="G330" t="n">
        <v>1.6</v>
      </c>
      <c r="H330" t="n">
        <v>0</v>
      </c>
      <c r="I330" t="n">
        <v>0</v>
      </c>
      <c r="J330" t="n">
        <v>0</v>
      </c>
      <c r="K330" t="n">
        <v>0</v>
      </c>
      <c r="L330" t="n">
        <v>0</v>
      </c>
      <c r="M330" t="n">
        <v>0</v>
      </c>
      <c r="N330" t="n">
        <v>0</v>
      </c>
      <c r="O330" t="n">
        <v>0</v>
      </c>
      <c r="P330" t="n">
        <v>0</v>
      </c>
      <c r="Q330" t="n">
        <v>0</v>
      </c>
      <c r="R330" s="2" t="inlineStr"/>
    </row>
    <row r="331" ht="15" customHeight="1">
      <c r="A331" t="inlineStr">
        <is>
          <t>A 385-2024</t>
        </is>
      </c>
      <c r="B331" s="1" t="n">
        <v>45296</v>
      </c>
      <c r="C331" s="1" t="n">
        <v>45988</v>
      </c>
      <c r="D331" t="inlineStr">
        <is>
          <t>DALARNAS LÄN</t>
        </is>
      </c>
      <c r="E331" t="inlineStr">
        <is>
          <t>HEDEMORA</t>
        </is>
      </c>
      <c r="G331" t="n">
        <v>1.7</v>
      </c>
      <c r="H331" t="n">
        <v>0</v>
      </c>
      <c r="I331" t="n">
        <v>0</v>
      </c>
      <c r="J331" t="n">
        <v>0</v>
      </c>
      <c r="K331" t="n">
        <v>0</v>
      </c>
      <c r="L331" t="n">
        <v>0</v>
      </c>
      <c r="M331" t="n">
        <v>0</v>
      </c>
      <c r="N331" t="n">
        <v>0</v>
      </c>
      <c r="O331" t="n">
        <v>0</v>
      </c>
      <c r="P331" t="n">
        <v>0</v>
      </c>
      <c r="Q331" t="n">
        <v>0</v>
      </c>
      <c r="R331" s="2" t="inlineStr"/>
    </row>
    <row r="332" ht="15" customHeight="1">
      <c r="A332" t="inlineStr">
        <is>
          <t>A 29123-2021</t>
        </is>
      </c>
      <c r="B332" s="1" t="n">
        <v>44358</v>
      </c>
      <c r="C332" s="1" t="n">
        <v>45988</v>
      </c>
      <c r="D332" t="inlineStr">
        <is>
          <t>DALARNAS LÄN</t>
        </is>
      </c>
      <c r="E332" t="inlineStr">
        <is>
          <t>HEDEMORA</t>
        </is>
      </c>
      <c r="G332" t="n">
        <v>5.6</v>
      </c>
      <c r="H332" t="n">
        <v>0</v>
      </c>
      <c r="I332" t="n">
        <v>0</v>
      </c>
      <c r="J332" t="n">
        <v>0</v>
      </c>
      <c r="K332" t="n">
        <v>0</v>
      </c>
      <c r="L332" t="n">
        <v>0</v>
      </c>
      <c r="M332" t="n">
        <v>0</v>
      </c>
      <c r="N332" t="n">
        <v>0</v>
      </c>
      <c r="O332" t="n">
        <v>0</v>
      </c>
      <c r="P332" t="n">
        <v>0</v>
      </c>
      <c r="Q332" t="n">
        <v>0</v>
      </c>
      <c r="R332" s="2" t="inlineStr"/>
    </row>
    <row r="333" ht="15" customHeight="1">
      <c r="A333" t="inlineStr">
        <is>
          <t>A 38947-2023</t>
        </is>
      </c>
      <c r="B333" s="1" t="n">
        <v>45163.61209490741</v>
      </c>
      <c r="C333" s="1" t="n">
        <v>45988</v>
      </c>
      <c r="D333" t="inlineStr">
        <is>
          <t>DALARNAS LÄN</t>
        </is>
      </c>
      <c r="E333" t="inlineStr">
        <is>
          <t>HEDEMORA</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38951-2023</t>
        </is>
      </c>
      <c r="B334" s="1" t="n">
        <v>45163.61413194444</v>
      </c>
      <c r="C334" s="1" t="n">
        <v>45988</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55881-2023</t>
        </is>
      </c>
      <c r="B335" s="1" t="n">
        <v>45239</v>
      </c>
      <c r="C335" s="1" t="n">
        <v>45988</v>
      </c>
      <c r="D335" t="inlineStr">
        <is>
          <t>DALARNAS LÄN</t>
        </is>
      </c>
      <c r="E335" t="inlineStr">
        <is>
          <t>HEDEMORA</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15833-2025</t>
        </is>
      </c>
      <c r="B336" s="1" t="n">
        <v>45748.85107638889</v>
      </c>
      <c r="C336" s="1" t="n">
        <v>45988</v>
      </c>
      <c r="D336" t="inlineStr">
        <is>
          <t>DALARNAS LÄN</t>
        </is>
      </c>
      <c r="E336" t="inlineStr">
        <is>
          <t>HEDEMORA</t>
        </is>
      </c>
      <c r="G336" t="n">
        <v>0.4</v>
      </c>
      <c r="H336" t="n">
        <v>0</v>
      </c>
      <c r="I336" t="n">
        <v>0</v>
      </c>
      <c r="J336" t="n">
        <v>0</v>
      </c>
      <c r="K336" t="n">
        <v>0</v>
      </c>
      <c r="L336" t="n">
        <v>0</v>
      </c>
      <c r="M336" t="n">
        <v>0</v>
      </c>
      <c r="N336" t="n">
        <v>0</v>
      </c>
      <c r="O336" t="n">
        <v>0</v>
      </c>
      <c r="P336" t="n">
        <v>0</v>
      </c>
      <c r="Q336" t="n">
        <v>0</v>
      </c>
      <c r="R336" s="2" t="inlineStr"/>
    </row>
    <row r="337" ht="15" customHeight="1">
      <c r="A337" t="inlineStr">
        <is>
          <t>A 62046-2022</t>
        </is>
      </c>
      <c r="B337" s="1" t="n">
        <v>44918.5633912037</v>
      </c>
      <c r="C337" s="1" t="n">
        <v>45988</v>
      </c>
      <c r="D337" t="inlineStr">
        <is>
          <t>DALARNAS LÄN</t>
        </is>
      </c>
      <c r="E337" t="inlineStr">
        <is>
          <t>HEDEMORA</t>
        </is>
      </c>
      <c r="G337" t="n">
        <v>1.2</v>
      </c>
      <c r="H337" t="n">
        <v>0</v>
      </c>
      <c r="I337" t="n">
        <v>0</v>
      </c>
      <c r="J337" t="n">
        <v>0</v>
      </c>
      <c r="K337" t="n">
        <v>0</v>
      </c>
      <c r="L337" t="n">
        <v>0</v>
      </c>
      <c r="M337" t="n">
        <v>0</v>
      </c>
      <c r="N337" t="n">
        <v>0</v>
      </c>
      <c r="O337" t="n">
        <v>0</v>
      </c>
      <c r="P337" t="n">
        <v>0</v>
      </c>
      <c r="Q337" t="n">
        <v>0</v>
      </c>
      <c r="R337" s="2" t="inlineStr"/>
    </row>
    <row r="338" ht="15" customHeight="1">
      <c r="A338" t="inlineStr">
        <is>
          <t>A 29301-2023</t>
        </is>
      </c>
      <c r="B338" s="1" t="n">
        <v>45105</v>
      </c>
      <c r="C338" s="1" t="n">
        <v>45988</v>
      </c>
      <c r="D338" t="inlineStr">
        <is>
          <t>DALARNAS LÄN</t>
        </is>
      </c>
      <c r="E338" t="inlineStr">
        <is>
          <t>HEDEMORA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18522-2021</t>
        </is>
      </c>
      <c r="B339" s="1" t="n">
        <v>44306.4405787037</v>
      </c>
      <c r="C339" s="1" t="n">
        <v>45988</v>
      </c>
      <c r="D339" t="inlineStr">
        <is>
          <t>DALARNAS LÄN</t>
        </is>
      </c>
      <c r="E339" t="inlineStr">
        <is>
          <t>HEDEMORA</t>
        </is>
      </c>
      <c r="G339" t="n">
        <v>7</v>
      </c>
      <c r="H339" t="n">
        <v>0</v>
      </c>
      <c r="I339" t="n">
        <v>0</v>
      </c>
      <c r="J339" t="n">
        <v>0</v>
      </c>
      <c r="K339" t="n">
        <v>0</v>
      </c>
      <c r="L339" t="n">
        <v>0</v>
      </c>
      <c r="M339" t="n">
        <v>0</v>
      </c>
      <c r="N339" t="n">
        <v>0</v>
      </c>
      <c r="O339" t="n">
        <v>0</v>
      </c>
      <c r="P339" t="n">
        <v>0</v>
      </c>
      <c r="Q339" t="n">
        <v>0</v>
      </c>
      <c r="R339" s="2" t="inlineStr"/>
    </row>
    <row r="340" ht="15" customHeight="1">
      <c r="A340" t="inlineStr">
        <is>
          <t>A 53923-2024</t>
        </is>
      </c>
      <c r="B340" s="1" t="n">
        <v>45615.79806712963</v>
      </c>
      <c r="C340" s="1" t="n">
        <v>45988</v>
      </c>
      <c r="D340" t="inlineStr">
        <is>
          <t>DALARNAS LÄN</t>
        </is>
      </c>
      <c r="E340" t="inlineStr">
        <is>
          <t>HEDEMORA</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17645-2022</t>
        </is>
      </c>
      <c r="B341" s="1" t="n">
        <v>44680.47903935185</v>
      </c>
      <c r="C341" s="1" t="n">
        <v>45988</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44384-2024</t>
        </is>
      </c>
      <c r="B342" s="1" t="n">
        <v>45573.67782407408</v>
      </c>
      <c r="C342" s="1" t="n">
        <v>45988</v>
      </c>
      <c r="D342" t="inlineStr">
        <is>
          <t>DALARNAS LÄN</t>
        </is>
      </c>
      <c r="E342" t="inlineStr">
        <is>
          <t>HEDEMORA</t>
        </is>
      </c>
      <c r="F342" t="inlineStr">
        <is>
          <t>Bergvik skog väst AB</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44388-2024</t>
        </is>
      </c>
      <c r="B343" s="1" t="n">
        <v>45573.68875</v>
      </c>
      <c r="C343" s="1" t="n">
        <v>45988</v>
      </c>
      <c r="D343" t="inlineStr">
        <is>
          <t>DALARNAS LÄN</t>
        </is>
      </c>
      <c r="E343" t="inlineStr">
        <is>
          <t>HEDEMORA</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39530-2024</t>
        </is>
      </c>
      <c r="B344" s="1" t="n">
        <v>45551</v>
      </c>
      <c r="C344" s="1" t="n">
        <v>45988</v>
      </c>
      <c r="D344" t="inlineStr">
        <is>
          <t>DALARNAS LÄN</t>
        </is>
      </c>
      <c r="E344" t="inlineStr">
        <is>
          <t>HEDEMORA</t>
        </is>
      </c>
      <c r="F344" t="inlineStr">
        <is>
          <t>Bergvik skog väst AB</t>
        </is>
      </c>
      <c r="G344" t="n">
        <v>13.8</v>
      </c>
      <c r="H344" t="n">
        <v>0</v>
      </c>
      <c r="I344" t="n">
        <v>0</v>
      </c>
      <c r="J344" t="n">
        <v>0</v>
      </c>
      <c r="K344" t="n">
        <v>0</v>
      </c>
      <c r="L344" t="n">
        <v>0</v>
      </c>
      <c r="M344" t="n">
        <v>0</v>
      </c>
      <c r="N344" t="n">
        <v>0</v>
      </c>
      <c r="O344" t="n">
        <v>0</v>
      </c>
      <c r="P344" t="n">
        <v>0</v>
      </c>
      <c r="Q344" t="n">
        <v>0</v>
      </c>
      <c r="R344" s="2" t="inlineStr"/>
    </row>
    <row r="345" ht="15" customHeight="1">
      <c r="A345" t="inlineStr">
        <is>
          <t>A 39531-2024</t>
        </is>
      </c>
      <c r="B345" s="1" t="n">
        <v>45551</v>
      </c>
      <c r="C345" s="1" t="n">
        <v>45988</v>
      </c>
      <c r="D345" t="inlineStr">
        <is>
          <t>DALARNAS LÄN</t>
        </is>
      </c>
      <c r="E345" t="inlineStr">
        <is>
          <t>HEDEMORA</t>
        </is>
      </c>
      <c r="F345" t="inlineStr">
        <is>
          <t>Bergvik skog väst AB</t>
        </is>
      </c>
      <c r="G345" t="n">
        <v>1.9</v>
      </c>
      <c r="H345" t="n">
        <v>0</v>
      </c>
      <c r="I345" t="n">
        <v>0</v>
      </c>
      <c r="J345" t="n">
        <v>0</v>
      </c>
      <c r="K345" t="n">
        <v>0</v>
      </c>
      <c r="L345" t="n">
        <v>0</v>
      </c>
      <c r="M345" t="n">
        <v>0</v>
      </c>
      <c r="N345" t="n">
        <v>0</v>
      </c>
      <c r="O345" t="n">
        <v>0</v>
      </c>
      <c r="P345" t="n">
        <v>0</v>
      </c>
      <c r="Q345" t="n">
        <v>0</v>
      </c>
      <c r="R345" s="2" t="inlineStr"/>
    </row>
    <row r="346" ht="15" customHeight="1">
      <c r="A346" t="inlineStr">
        <is>
          <t>A 39552-2024</t>
        </is>
      </c>
      <c r="B346" s="1" t="n">
        <v>45551</v>
      </c>
      <c r="C346" s="1" t="n">
        <v>45988</v>
      </c>
      <c r="D346" t="inlineStr">
        <is>
          <t>DALARNAS LÄN</t>
        </is>
      </c>
      <c r="E346" t="inlineStr">
        <is>
          <t>HEDEMORA</t>
        </is>
      </c>
      <c r="F346" t="inlineStr">
        <is>
          <t>Bergvik skog väst AB</t>
        </is>
      </c>
      <c r="G346" t="n">
        <v>24.1</v>
      </c>
      <c r="H346" t="n">
        <v>0</v>
      </c>
      <c r="I346" t="n">
        <v>0</v>
      </c>
      <c r="J346" t="n">
        <v>0</v>
      </c>
      <c r="K346" t="n">
        <v>0</v>
      </c>
      <c r="L346" t="n">
        <v>0</v>
      </c>
      <c r="M346" t="n">
        <v>0</v>
      </c>
      <c r="N346" t="n">
        <v>0</v>
      </c>
      <c r="O346" t="n">
        <v>0</v>
      </c>
      <c r="P346" t="n">
        <v>0</v>
      </c>
      <c r="Q346" t="n">
        <v>0</v>
      </c>
      <c r="R346" s="2" t="inlineStr"/>
    </row>
    <row r="347" ht="15" customHeight="1">
      <c r="A347" t="inlineStr">
        <is>
          <t>A 1973-2022</t>
        </is>
      </c>
      <c r="B347" s="1" t="n">
        <v>44575</v>
      </c>
      <c r="C347" s="1" t="n">
        <v>45988</v>
      </c>
      <c r="D347" t="inlineStr">
        <is>
          <t>DALARNAS LÄN</t>
        </is>
      </c>
      <c r="E347" t="inlineStr">
        <is>
          <t>HEDEMORA</t>
        </is>
      </c>
      <c r="G347" t="n">
        <v>1.2</v>
      </c>
      <c r="H347" t="n">
        <v>0</v>
      </c>
      <c r="I347" t="n">
        <v>0</v>
      </c>
      <c r="J347" t="n">
        <v>0</v>
      </c>
      <c r="K347" t="n">
        <v>0</v>
      </c>
      <c r="L347" t="n">
        <v>0</v>
      </c>
      <c r="M347" t="n">
        <v>0</v>
      </c>
      <c r="N347" t="n">
        <v>0</v>
      </c>
      <c r="O347" t="n">
        <v>0</v>
      </c>
      <c r="P347" t="n">
        <v>0</v>
      </c>
      <c r="Q347" t="n">
        <v>0</v>
      </c>
      <c r="R347" s="2" t="inlineStr"/>
    </row>
    <row r="348" ht="15" customHeight="1">
      <c r="A348" t="inlineStr">
        <is>
          <t>A 17600-2025</t>
        </is>
      </c>
      <c r="B348" s="1" t="n">
        <v>45757.71063657408</v>
      </c>
      <c r="C348" s="1" t="n">
        <v>45988</v>
      </c>
      <c r="D348" t="inlineStr">
        <is>
          <t>DALARNAS LÄN</t>
        </is>
      </c>
      <c r="E348" t="inlineStr">
        <is>
          <t>HEDEMORA</t>
        </is>
      </c>
      <c r="G348" t="n">
        <v>1.4</v>
      </c>
      <c r="H348" t="n">
        <v>0</v>
      </c>
      <c r="I348" t="n">
        <v>0</v>
      </c>
      <c r="J348" t="n">
        <v>0</v>
      </c>
      <c r="K348" t="n">
        <v>0</v>
      </c>
      <c r="L348" t="n">
        <v>0</v>
      </c>
      <c r="M348" t="n">
        <v>0</v>
      </c>
      <c r="N348" t="n">
        <v>0</v>
      </c>
      <c r="O348" t="n">
        <v>0</v>
      </c>
      <c r="P348" t="n">
        <v>0</v>
      </c>
      <c r="Q348" t="n">
        <v>0</v>
      </c>
      <c r="R348" s="2" t="inlineStr"/>
    </row>
    <row r="349" ht="15" customHeight="1">
      <c r="A349" t="inlineStr">
        <is>
          <t>A 25691-2022</t>
        </is>
      </c>
      <c r="B349" s="1" t="n">
        <v>44733</v>
      </c>
      <c r="C349" s="1" t="n">
        <v>45988</v>
      </c>
      <c r="D349" t="inlineStr">
        <is>
          <t>DALARNAS LÄN</t>
        </is>
      </c>
      <c r="E349" t="inlineStr">
        <is>
          <t>HEDEMORA</t>
        </is>
      </c>
      <c r="G349" t="n">
        <v>0.7</v>
      </c>
      <c r="H349" t="n">
        <v>0</v>
      </c>
      <c r="I349" t="n">
        <v>0</v>
      </c>
      <c r="J349" t="n">
        <v>0</v>
      </c>
      <c r="K349" t="n">
        <v>0</v>
      </c>
      <c r="L349" t="n">
        <v>0</v>
      </c>
      <c r="M349" t="n">
        <v>0</v>
      </c>
      <c r="N349" t="n">
        <v>0</v>
      </c>
      <c r="O349" t="n">
        <v>0</v>
      </c>
      <c r="P349" t="n">
        <v>0</v>
      </c>
      <c r="Q349" t="n">
        <v>0</v>
      </c>
      <c r="R349" s="2" t="inlineStr"/>
    </row>
    <row r="350" ht="15" customHeight="1">
      <c r="A350" t="inlineStr">
        <is>
          <t>A 60475-2022</t>
        </is>
      </c>
      <c r="B350" s="1" t="n">
        <v>44911.41222222222</v>
      </c>
      <c r="C350" s="1" t="n">
        <v>45988</v>
      </c>
      <c r="D350" t="inlineStr">
        <is>
          <t>DALARNAS LÄN</t>
        </is>
      </c>
      <c r="E350" t="inlineStr">
        <is>
          <t>HEDEMORA</t>
        </is>
      </c>
      <c r="G350" t="n">
        <v>1</v>
      </c>
      <c r="H350" t="n">
        <v>0</v>
      </c>
      <c r="I350" t="n">
        <v>0</v>
      </c>
      <c r="J350" t="n">
        <v>0</v>
      </c>
      <c r="K350" t="n">
        <v>0</v>
      </c>
      <c r="L350" t="n">
        <v>0</v>
      </c>
      <c r="M350" t="n">
        <v>0</v>
      </c>
      <c r="N350" t="n">
        <v>0</v>
      </c>
      <c r="O350" t="n">
        <v>0</v>
      </c>
      <c r="P350" t="n">
        <v>0</v>
      </c>
      <c r="Q350" t="n">
        <v>0</v>
      </c>
      <c r="R350" s="2" t="inlineStr"/>
    </row>
    <row r="351" ht="15" customHeight="1">
      <c r="A351" t="inlineStr">
        <is>
          <t>A 63925-2023</t>
        </is>
      </c>
      <c r="B351" s="1" t="n">
        <v>45278</v>
      </c>
      <c r="C351" s="1" t="n">
        <v>45988</v>
      </c>
      <c r="D351" t="inlineStr">
        <is>
          <t>DALARNAS LÄN</t>
        </is>
      </c>
      <c r="E351" t="inlineStr">
        <is>
          <t>HEDEMORA</t>
        </is>
      </c>
      <c r="G351" t="n">
        <v>5.2</v>
      </c>
      <c r="H351" t="n">
        <v>0</v>
      </c>
      <c r="I351" t="n">
        <v>0</v>
      </c>
      <c r="J351" t="n">
        <v>0</v>
      </c>
      <c r="K351" t="n">
        <v>0</v>
      </c>
      <c r="L351" t="n">
        <v>0</v>
      </c>
      <c r="M351" t="n">
        <v>0</v>
      </c>
      <c r="N351" t="n">
        <v>0</v>
      </c>
      <c r="O351" t="n">
        <v>0</v>
      </c>
      <c r="P351" t="n">
        <v>0</v>
      </c>
      <c r="Q351" t="n">
        <v>0</v>
      </c>
      <c r="R351" s="2" t="inlineStr"/>
    </row>
    <row r="352" ht="15" customHeight="1">
      <c r="A352" t="inlineStr">
        <is>
          <t>A 60408-2021</t>
        </is>
      </c>
      <c r="B352" s="1" t="n">
        <v>44495</v>
      </c>
      <c r="C352" s="1" t="n">
        <v>45988</v>
      </c>
      <c r="D352" t="inlineStr">
        <is>
          <t>DALARNAS LÄN</t>
        </is>
      </c>
      <c r="E352" t="inlineStr">
        <is>
          <t>HEDEMORA</t>
        </is>
      </c>
      <c r="G352" t="n">
        <v>0.7</v>
      </c>
      <c r="H352" t="n">
        <v>0</v>
      </c>
      <c r="I352" t="n">
        <v>0</v>
      </c>
      <c r="J352" t="n">
        <v>0</v>
      </c>
      <c r="K352" t="n">
        <v>0</v>
      </c>
      <c r="L352" t="n">
        <v>0</v>
      </c>
      <c r="M352" t="n">
        <v>0</v>
      </c>
      <c r="N352" t="n">
        <v>0</v>
      </c>
      <c r="O352" t="n">
        <v>0</v>
      </c>
      <c r="P352" t="n">
        <v>0</v>
      </c>
      <c r="Q352" t="n">
        <v>0</v>
      </c>
      <c r="R352" s="2" t="inlineStr"/>
    </row>
    <row r="353" ht="15" customHeight="1">
      <c r="A353" t="inlineStr">
        <is>
          <t>A 6556-2023</t>
        </is>
      </c>
      <c r="B353" s="1" t="n">
        <v>44961</v>
      </c>
      <c r="C353" s="1" t="n">
        <v>45988</v>
      </c>
      <c r="D353" t="inlineStr">
        <is>
          <t>DALARNAS LÄN</t>
        </is>
      </c>
      <c r="E353" t="inlineStr">
        <is>
          <t>HEDEMORA</t>
        </is>
      </c>
      <c r="G353" t="n">
        <v>3.7</v>
      </c>
      <c r="H353" t="n">
        <v>0</v>
      </c>
      <c r="I353" t="n">
        <v>0</v>
      </c>
      <c r="J353" t="n">
        <v>0</v>
      </c>
      <c r="K353" t="n">
        <v>0</v>
      </c>
      <c r="L353" t="n">
        <v>0</v>
      </c>
      <c r="M353" t="n">
        <v>0</v>
      </c>
      <c r="N353" t="n">
        <v>0</v>
      </c>
      <c r="O353" t="n">
        <v>0</v>
      </c>
      <c r="P353" t="n">
        <v>0</v>
      </c>
      <c r="Q353" t="n">
        <v>0</v>
      </c>
      <c r="R353" s="2" t="inlineStr"/>
    </row>
    <row r="354" ht="15" customHeight="1">
      <c r="A354" t="inlineStr">
        <is>
          <t>A 62401-2023</t>
        </is>
      </c>
      <c r="B354" s="1" t="n">
        <v>45268</v>
      </c>
      <c r="C354" s="1" t="n">
        <v>45988</v>
      </c>
      <c r="D354" t="inlineStr">
        <is>
          <t>DALARNAS LÄN</t>
        </is>
      </c>
      <c r="E354" t="inlineStr">
        <is>
          <t>HEDEMORA</t>
        </is>
      </c>
      <c r="G354" t="n">
        <v>1.6</v>
      </c>
      <c r="H354" t="n">
        <v>0</v>
      </c>
      <c r="I354" t="n">
        <v>0</v>
      </c>
      <c r="J354" t="n">
        <v>0</v>
      </c>
      <c r="K354" t="n">
        <v>0</v>
      </c>
      <c r="L354" t="n">
        <v>0</v>
      </c>
      <c r="M354" t="n">
        <v>0</v>
      </c>
      <c r="N354" t="n">
        <v>0</v>
      </c>
      <c r="O354" t="n">
        <v>0</v>
      </c>
      <c r="P354" t="n">
        <v>0</v>
      </c>
      <c r="Q354" t="n">
        <v>0</v>
      </c>
      <c r="R354" s="2" t="inlineStr"/>
    </row>
    <row r="355" ht="15" customHeight="1">
      <c r="A355" t="inlineStr">
        <is>
          <t>A 48320-2024</t>
        </is>
      </c>
      <c r="B355" s="1" t="n">
        <v>45590.4999537037</v>
      </c>
      <c r="C355" s="1" t="n">
        <v>45988</v>
      </c>
      <c r="D355" t="inlineStr">
        <is>
          <t>DALARNAS LÄN</t>
        </is>
      </c>
      <c r="E355" t="inlineStr">
        <is>
          <t>HEDEMORA</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58841-2023</t>
        </is>
      </c>
      <c r="B356" s="1" t="n">
        <v>45252.42115740741</v>
      </c>
      <c r="C356" s="1" t="n">
        <v>45988</v>
      </c>
      <c r="D356" t="inlineStr">
        <is>
          <t>DALARNAS LÄN</t>
        </is>
      </c>
      <c r="E356" t="inlineStr">
        <is>
          <t>HEDEMORA</t>
        </is>
      </c>
      <c r="G356" t="n">
        <v>14.8</v>
      </c>
      <c r="H356" t="n">
        <v>0</v>
      </c>
      <c r="I356" t="n">
        <v>0</v>
      </c>
      <c r="J356" t="n">
        <v>0</v>
      </c>
      <c r="K356" t="n">
        <v>0</v>
      </c>
      <c r="L356" t="n">
        <v>0</v>
      </c>
      <c r="M356" t="n">
        <v>0</v>
      </c>
      <c r="N356" t="n">
        <v>0</v>
      </c>
      <c r="O356" t="n">
        <v>0</v>
      </c>
      <c r="P356" t="n">
        <v>0</v>
      </c>
      <c r="Q356" t="n">
        <v>0</v>
      </c>
      <c r="R356" s="2" t="inlineStr"/>
    </row>
    <row r="357" ht="15" customHeight="1">
      <c r="A357" t="inlineStr">
        <is>
          <t>A 19988-2025</t>
        </is>
      </c>
      <c r="B357" s="1" t="n">
        <v>45771.72665509259</v>
      </c>
      <c r="C357" s="1" t="n">
        <v>45988</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63908-2021</t>
        </is>
      </c>
      <c r="B358" s="1" t="n">
        <v>44509.6580787037</v>
      </c>
      <c r="C358" s="1" t="n">
        <v>45988</v>
      </c>
      <c r="D358" t="inlineStr">
        <is>
          <t>DALARNAS LÄN</t>
        </is>
      </c>
      <c r="E358" t="inlineStr">
        <is>
          <t>HEDEMORA</t>
        </is>
      </c>
      <c r="G358" t="n">
        <v>1.4</v>
      </c>
      <c r="H358" t="n">
        <v>0</v>
      </c>
      <c r="I358" t="n">
        <v>0</v>
      </c>
      <c r="J358" t="n">
        <v>0</v>
      </c>
      <c r="K358" t="n">
        <v>0</v>
      </c>
      <c r="L358" t="n">
        <v>0</v>
      </c>
      <c r="M358" t="n">
        <v>0</v>
      </c>
      <c r="N358" t="n">
        <v>0</v>
      </c>
      <c r="O358" t="n">
        <v>0</v>
      </c>
      <c r="P358" t="n">
        <v>0</v>
      </c>
      <c r="Q358" t="n">
        <v>0</v>
      </c>
      <c r="R358" s="2" t="inlineStr"/>
    </row>
    <row r="359" ht="15" customHeight="1">
      <c r="A359" t="inlineStr">
        <is>
          <t>A 20272-2025</t>
        </is>
      </c>
      <c r="B359" s="1" t="n">
        <v>45773.71663194444</v>
      </c>
      <c r="C359" s="1" t="n">
        <v>45988</v>
      </c>
      <c r="D359" t="inlineStr">
        <is>
          <t>DALARNAS LÄN</t>
        </is>
      </c>
      <c r="E359" t="inlineStr">
        <is>
          <t>HEDEMORA</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9314-2024</t>
        </is>
      </c>
      <c r="B360" s="1" t="n">
        <v>45358</v>
      </c>
      <c r="C360" s="1" t="n">
        <v>45988</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55882-2023</t>
        </is>
      </c>
      <c r="B361" s="1" t="n">
        <v>45239</v>
      </c>
      <c r="C361" s="1" t="n">
        <v>45988</v>
      </c>
      <c r="D361" t="inlineStr">
        <is>
          <t>DALARNAS LÄN</t>
        </is>
      </c>
      <c r="E361" t="inlineStr">
        <is>
          <t>HEDEMORA</t>
        </is>
      </c>
      <c r="F361" t="inlineStr">
        <is>
          <t>Sveaskog</t>
        </is>
      </c>
      <c r="G361" t="n">
        <v>5.2</v>
      </c>
      <c r="H361" t="n">
        <v>0</v>
      </c>
      <c r="I361" t="n">
        <v>0</v>
      </c>
      <c r="J361" t="n">
        <v>0</v>
      </c>
      <c r="K361" t="n">
        <v>0</v>
      </c>
      <c r="L361" t="n">
        <v>0</v>
      </c>
      <c r="M361" t="n">
        <v>0</v>
      </c>
      <c r="N361" t="n">
        <v>0</v>
      </c>
      <c r="O361" t="n">
        <v>0</v>
      </c>
      <c r="P361" t="n">
        <v>0</v>
      </c>
      <c r="Q361" t="n">
        <v>0</v>
      </c>
      <c r="R361" s="2" t="inlineStr"/>
    </row>
    <row r="362" ht="15" customHeight="1">
      <c r="A362" t="inlineStr">
        <is>
          <t>A 19990-2025</t>
        </is>
      </c>
      <c r="B362" s="1" t="n">
        <v>45771.73082175926</v>
      </c>
      <c r="C362" s="1" t="n">
        <v>45988</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21763-2024</t>
        </is>
      </c>
      <c r="B363" s="1" t="n">
        <v>45442.60204861111</v>
      </c>
      <c r="C363" s="1" t="n">
        <v>45988</v>
      </c>
      <c r="D363" t="inlineStr">
        <is>
          <t>DALARNAS LÄN</t>
        </is>
      </c>
      <c r="E363" t="inlineStr">
        <is>
          <t>HEDEMORA</t>
        </is>
      </c>
      <c r="G363" t="n">
        <v>1.6</v>
      </c>
      <c r="H363" t="n">
        <v>0</v>
      </c>
      <c r="I363" t="n">
        <v>0</v>
      </c>
      <c r="J363" t="n">
        <v>0</v>
      </c>
      <c r="K363" t="n">
        <v>0</v>
      </c>
      <c r="L363" t="n">
        <v>0</v>
      </c>
      <c r="M363" t="n">
        <v>0</v>
      </c>
      <c r="N363" t="n">
        <v>0</v>
      </c>
      <c r="O363" t="n">
        <v>0</v>
      </c>
      <c r="P363" t="n">
        <v>0</v>
      </c>
      <c r="Q363" t="n">
        <v>0</v>
      </c>
      <c r="R363" s="2" t="inlineStr"/>
    </row>
    <row r="364" ht="15" customHeight="1">
      <c r="A364" t="inlineStr">
        <is>
          <t>A 17594-2025</t>
        </is>
      </c>
      <c r="B364" s="1" t="n">
        <v>45757</v>
      </c>
      <c r="C364" s="1" t="n">
        <v>45988</v>
      </c>
      <c r="D364" t="inlineStr">
        <is>
          <t>DALARNAS LÄN</t>
        </is>
      </c>
      <c r="E364" t="inlineStr">
        <is>
          <t>HEDEMORA</t>
        </is>
      </c>
      <c r="G364" t="n">
        <v>0.6</v>
      </c>
      <c r="H364" t="n">
        <v>0</v>
      </c>
      <c r="I364" t="n">
        <v>0</v>
      </c>
      <c r="J364" t="n">
        <v>0</v>
      </c>
      <c r="K364" t="n">
        <v>0</v>
      </c>
      <c r="L364" t="n">
        <v>0</v>
      </c>
      <c r="M364" t="n">
        <v>0</v>
      </c>
      <c r="N364" t="n">
        <v>0</v>
      </c>
      <c r="O364" t="n">
        <v>0</v>
      </c>
      <c r="P364" t="n">
        <v>0</v>
      </c>
      <c r="Q364" t="n">
        <v>0</v>
      </c>
      <c r="R364" s="2" t="inlineStr"/>
    </row>
    <row r="365" ht="15" customHeight="1">
      <c r="A365" t="inlineStr">
        <is>
          <t>A 37762-2024</t>
        </is>
      </c>
      <c r="B365" s="1" t="n">
        <v>45541.79369212963</v>
      </c>
      <c r="C365" s="1" t="n">
        <v>45988</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19987-2025</t>
        </is>
      </c>
      <c r="B366" s="1" t="n">
        <v>45771.72193287037</v>
      </c>
      <c r="C366" s="1" t="n">
        <v>45988</v>
      </c>
      <c r="D366" t="inlineStr">
        <is>
          <t>DALARNAS LÄN</t>
        </is>
      </c>
      <c r="E366" t="inlineStr">
        <is>
          <t>HEDEMORA</t>
        </is>
      </c>
      <c r="G366" t="n">
        <v>3</v>
      </c>
      <c r="H366" t="n">
        <v>0</v>
      </c>
      <c r="I366" t="n">
        <v>0</v>
      </c>
      <c r="J366" t="n">
        <v>0</v>
      </c>
      <c r="K366" t="n">
        <v>0</v>
      </c>
      <c r="L366" t="n">
        <v>0</v>
      </c>
      <c r="M366" t="n">
        <v>0</v>
      </c>
      <c r="N366" t="n">
        <v>0</v>
      </c>
      <c r="O366" t="n">
        <v>0</v>
      </c>
      <c r="P366" t="n">
        <v>0</v>
      </c>
      <c r="Q366" t="n">
        <v>0</v>
      </c>
      <c r="R366" s="2" t="inlineStr"/>
    </row>
    <row r="367" ht="15" customHeight="1">
      <c r="A367" t="inlineStr">
        <is>
          <t>A 28813-2024</t>
        </is>
      </c>
      <c r="B367" s="1" t="n">
        <v>45478.641875</v>
      </c>
      <c r="C367" s="1" t="n">
        <v>45988</v>
      </c>
      <c r="D367" t="inlineStr">
        <is>
          <t>DALARNAS LÄN</t>
        </is>
      </c>
      <c r="E367" t="inlineStr">
        <is>
          <t>HEDEMORA</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20670-2024</t>
        </is>
      </c>
      <c r="B368" s="1" t="n">
        <v>45436</v>
      </c>
      <c r="C368" s="1" t="n">
        <v>45988</v>
      </c>
      <c r="D368" t="inlineStr">
        <is>
          <t>DALARNAS LÄN</t>
        </is>
      </c>
      <c r="E368" t="inlineStr">
        <is>
          <t>HEDEMORA</t>
        </is>
      </c>
      <c r="G368" t="n">
        <v>2.7</v>
      </c>
      <c r="H368" t="n">
        <v>0</v>
      </c>
      <c r="I368" t="n">
        <v>0</v>
      </c>
      <c r="J368" t="n">
        <v>0</v>
      </c>
      <c r="K368" t="n">
        <v>0</v>
      </c>
      <c r="L368" t="n">
        <v>0</v>
      </c>
      <c r="M368" t="n">
        <v>0</v>
      </c>
      <c r="N368" t="n">
        <v>0</v>
      </c>
      <c r="O368" t="n">
        <v>0</v>
      </c>
      <c r="P368" t="n">
        <v>0</v>
      </c>
      <c r="Q368" t="n">
        <v>0</v>
      </c>
      <c r="R368" s="2" t="inlineStr"/>
    </row>
    <row r="369" ht="15" customHeight="1">
      <c r="A369" t="inlineStr">
        <is>
          <t>A 7052-2025</t>
        </is>
      </c>
      <c r="B369" s="1" t="n">
        <v>45701.64659722222</v>
      </c>
      <c r="C369" s="1" t="n">
        <v>45988</v>
      </c>
      <c r="D369" t="inlineStr">
        <is>
          <t>DALARNAS LÄN</t>
        </is>
      </c>
      <c r="E369" t="inlineStr">
        <is>
          <t>HEDEMORA</t>
        </is>
      </c>
      <c r="G369" t="n">
        <v>0.9</v>
      </c>
      <c r="H369" t="n">
        <v>0</v>
      </c>
      <c r="I369" t="n">
        <v>0</v>
      </c>
      <c r="J369" t="n">
        <v>0</v>
      </c>
      <c r="K369" t="n">
        <v>0</v>
      </c>
      <c r="L369" t="n">
        <v>0</v>
      </c>
      <c r="M369" t="n">
        <v>0</v>
      </c>
      <c r="N369" t="n">
        <v>0</v>
      </c>
      <c r="O369" t="n">
        <v>0</v>
      </c>
      <c r="P369" t="n">
        <v>0</v>
      </c>
      <c r="Q369" t="n">
        <v>0</v>
      </c>
      <c r="R369" s="2" t="inlineStr"/>
    </row>
    <row r="370" ht="15" customHeight="1">
      <c r="A370" t="inlineStr">
        <is>
          <t>A 48321-2024</t>
        </is>
      </c>
      <c r="B370" s="1" t="n">
        <v>45590.50111111111</v>
      </c>
      <c r="C370" s="1" t="n">
        <v>45988</v>
      </c>
      <c r="D370" t="inlineStr">
        <is>
          <t>DALARNAS LÄN</t>
        </is>
      </c>
      <c r="E370" t="inlineStr">
        <is>
          <t>HEDEMORA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60078-2022</t>
        </is>
      </c>
      <c r="B371" s="1" t="n">
        <v>44909.58811342593</v>
      </c>
      <c r="C371" s="1" t="n">
        <v>45988</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14456-2021</t>
        </is>
      </c>
      <c r="B372" s="1" t="n">
        <v>44279.50208333333</v>
      </c>
      <c r="C372" s="1" t="n">
        <v>45988</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24427-2022</t>
        </is>
      </c>
      <c r="B373" s="1" t="n">
        <v>44726</v>
      </c>
      <c r="C373" s="1" t="n">
        <v>45988</v>
      </c>
      <c r="D373" t="inlineStr">
        <is>
          <t>DALARNAS LÄN</t>
        </is>
      </c>
      <c r="E373" t="inlineStr">
        <is>
          <t>HEDEMORA</t>
        </is>
      </c>
      <c r="G373" t="n">
        <v>1.7</v>
      </c>
      <c r="H373" t="n">
        <v>0</v>
      </c>
      <c r="I373" t="n">
        <v>0</v>
      </c>
      <c r="J373" t="n">
        <v>0</v>
      </c>
      <c r="K373" t="n">
        <v>0</v>
      </c>
      <c r="L373" t="n">
        <v>0</v>
      </c>
      <c r="M373" t="n">
        <v>0</v>
      </c>
      <c r="N373" t="n">
        <v>0</v>
      </c>
      <c r="O373" t="n">
        <v>0</v>
      </c>
      <c r="P373" t="n">
        <v>0</v>
      </c>
      <c r="Q373" t="n">
        <v>0</v>
      </c>
      <c r="R373" s="2" t="inlineStr"/>
    </row>
    <row r="374" ht="15" customHeight="1">
      <c r="A374" t="inlineStr">
        <is>
          <t>A 45589-2023</t>
        </is>
      </c>
      <c r="B374" s="1" t="n">
        <v>45194.63086805555</v>
      </c>
      <c r="C374" s="1" t="n">
        <v>45988</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48323-2021</t>
        </is>
      </c>
      <c r="B375" s="1" t="n">
        <v>44450.84762731481</v>
      </c>
      <c r="C375" s="1" t="n">
        <v>45988</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40919-2023</t>
        </is>
      </c>
      <c r="B376" s="1" t="n">
        <v>45173.42707175926</v>
      </c>
      <c r="C376" s="1" t="n">
        <v>45988</v>
      </c>
      <c r="D376" t="inlineStr">
        <is>
          <t>DALARNAS LÄN</t>
        </is>
      </c>
      <c r="E376" t="inlineStr">
        <is>
          <t>HEDEMORA</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1978-2021</t>
        </is>
      </c>
      <c r="B377" s="1" t="n">
        <v>44210.67606481481</v>
      </c>
      <c r="C377" s="1" t="n">
        <v>45988</v>
      </c>
      <c r="D377" t="inlineStr">
        <is>
          <t>DALARNAS LÄN</t>
        </is>
      </c>
      <c r="E377" t="inlineStr">
        <is>
          <t>HEDEMORA</t>
        </is>
      </c>
      <c r="G377" t="n">
        <v>1</v>
      </c>
      <c r="H377" t="n">
        <v>0</v>
      </c>
      <c r="I377" t="n">
        <v>0</v>
      </c>
      <c r="J377" t="n">
        <v>0</v>
      </c>
      <c r="K377" t="n">
        <v>0</v>
      </c>
      <c r="L377" t="n">
        <v>0</v>
      </c>
      <c r="M377" t="n">
        <v>0</v>
      </c>
      <c r="N377" t="n">
        <v>0</v>
      </c>
      <c r="O377" t="n">
        <v>0</v>
      </c>
      <c r="P377" t="n">
        <v>0</v>
      </c>
      <c r="Q377" t="n">
        <v>0</v>
      </c>
      <c r="R377" s="2" t="inlineStr"/>
    </row>
    <row r="378" ht="15" customHeight="1">
      <c r="A378" t="inlineStr">
        <is>
          <t>A 20237-2023</t>
        </is>
      </c>
      <c r="B378" s="1" t="n">
        <v>45055</v>
      </c>
      <c r="C378" s="1" t="n">
        <v>45988</v>
      </c>
      <c r="D378" t="inlineStr">
        <is>
          <t>DALARNAS LÄN</t>
        </is>
      </c>
      <c r="E378" t="inlineStr">
        <is>
          <t>HEDEMORA</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68553-2021</t>
        </is>
      </c>
      <c r="B379" s="1" t="n">
        <v>44529</v>
      </c>
      <c r="C379" s="1" t="n">
        <v>45988</v>
      </c>
      <c r="D379" t="inlineStr">
        <is>
          <t>DALARNAS LÄN</t>
        </is>
      </c>
      <c r="E379" t="inlineStr">
        <is>
          <t>HEDEMORA</t>
        </is>
      </c>
      <c r="G379" t="n">
        <v>3</v>
      </c>
      <c r="H379" t="n">
        <v>0</v>
      </c>
      <c r="I379" t="n">
        <v>0</v>
      </c>
      <c r="J379" t="n">
        <v>0</v>
      </c>
      <c r="K379" t="n">
        <v>0</v>
      </c>
      <c r="L379" t="n">
        <v>0</v>
      </c>
      <c r="M379" t="n">
        <v>0</v>
      </c>
      <c r="N379" t="n">
        <v>0</v>
      </c>
      <c r="O379" t="n">
        <v>0</v>
      </c>
      <c r="P379" t="n">
        <v>0</v>
      </c>
      <c r="Q379" t="n">
        <v>0</v>
      </c>
      <c r="R379" s="2" t="inlineStr"/>
    </row>
    <row r="380" ht="15" customHeight="1">
      <c r="A380" t="inlineStr">
        <is>
          <t>A 30939-2023</t>
        </is>
      </c>
      <c r="B380" s="1" t="n">
        <v>45113.45597222223</v>
      </c>
      <c r="C380" s="1" t="n">
        <v>45988</v>
      </c>
      <c r="D380" t="inlineStr">
        <is>
          <t>DALARNAS LÄN</t>
        </is>
      </c>
      <c r="E380" t="inlineStr">
        <is>
          <t>HEDEMORA</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20965-2025</t>
        </is>
      </c>
      <c r="B381" s="1" t="n">
        <v>45777.45135416667</v>
      </c>
      <c r="C381" s="1" t="n">
        <v>45988</v>
      </c>
      <c r="D381" t="inlineStr">
        <is>
          <t>DALARNAS LÄN</t>
        </is>
      </c>
      <c r="E381" t="inlineStr">
        <is>
          <t>HEDEMORA</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30430-2023</t>
        </is>
      </c>
      <c r="B382" s="1" t="n">
        <v>45111.54344907407</v>
      </c>
      <c r="C382" s="1" t="n">
        <v>45988</v>
      </c>
      <c r="D382" t="inlineStr">
        <is>
          <t>DALARNAS LÄN</t>
        </is>
      </c>
      <c r="E382" t="inlineStr">
        <is>
          <t>HEDEMORA</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63941-2023</t>
        </is>
      </c>
      <c r="B383" s="1" t="n">
        <v>45278.61277777778</v>
      </c>
      <c r="C383" s="1" t="n">
        <v>45988</v>
      </c>
      <c r="D383" t="inlineStr">
        <is>
          <t>DALARNAS LÄN</t>
        </is>
      </c>
      <c r="E383" t="inlineStr">
        <is>
          <t>HEDEMORA</t>
        </is>
      </c>
      <c r="G383" t="n">
        <v>1.1</v>
      </c>
      <c r="H383" t="n">
        <v>0</v>
      </c>
      <c r="I383" t="n">
        <v>0</v>
      </c>
      <c r="J383" t="n">
        <v>0</v>
      </c>
      <c r="K383" t="n">
        <v>0</v>
      </c>
      <c r="L383" t="n">
        <v>0</v>
      </c>
      <c r="M383" t="n">
        <v>0</v>
      </c>
      <c r="N383" t="n">
        <v>0</v>
      </c>
      <c r="O383" t="n">
        <v>0</v>
      </c>
      <c r="P383" t="n">
        <v>0</v>
      </c>
      <c r="Q383" t="n">
        <v>0</v>
      </c>
      <c r="R383" s="2" t="inlineStr"/>
    </row>
    <row r="384" ht="15" customHeight="1">
      <c r="A384" t="inlineStr">
        <is>
          <t>A 48380-2024</t>
        </is>
      </c>
      <c r="B384" s="1" t="n">
        <v>45590</v>
      </c>
      <c r="C384" s="1" t="n">
        <v>45988</v>
      </c>
      <c r="D384" t="inlineStr">
        <is>
          <t>DALARNAS LÄN</t>
        </is>
      </c>
      <c r="E384" t="inlineStr">
        <is>
          <t>HEDEMORA</t>
        </is>
      </c>
      <c r="G384" t="n">
        <v>1.5</v>
      </c>
      <c r="H384" t="n">
        <v>0</v>
      </c>
      <c r="I384" t="n">
        <v>0</v>
      </c>
      <c r="J384" t="n">
        <v>0</v>
      </c>
      <c r="K384" t="n">
        <v>0</v>
      </c>
      <c r="L384" t="n">
        <v>0</v>
      </c>
      <c r="M384" t="n">
        <v>0</v>
      </c>
      <c r="N384" t="n">
        <v>0</v>
      </c>
      <c r="O384" t="n">
        <v>0</v>
      </c>
      <c r="P384" t="n">
        <v>0</v>
      </c>
      <c r="Q384" t="n">
        <v>0</v>
      </c>
      <c r="R384" s="2" t="inlineStr"/>
    </row>
    <row r="385" ht="15" customHeight="1">
      <c r="A385" t="inlineStr">
        <is>
          <t>A 43785-2023</t>
        </is>
      </c>
      <c r="B385" s="1" t="n">
        <v>45187</v>
      </c>
      <c r="C385" s="1" t="n">
        <v>45988</v>
      </c>
      <c r="D385" t="inlineStr">
        <is>
          <t>DALARNAS LÄN</t>
        </is>
      </c>
      <c r="E385" t="inlineStr">
        <is>
          <t>HEDEMORA</t>
        </is>
      </c>
      <c r="F385" t="inlineStr">
        <is>
          <t>Sveaskog</t>
        </is>
      </c>
      <c r="G385" t="n">
        <v>5.7</v>
      </c>
      <c r="H385" t="n">
        <v>0</v>
      </c>
      <c r="I385" t="n">
        <v>0</v>
      </c>
      <c r="J385" t="n">
        <v>0</v>
      </c>
      <c r="K385" t="n">
        <v>0</v>
      </c>
      <c r="L385" t="n">
        <v>0</v>
      </c>
      <c r="M385" t="n">
        <v>0</v>
      </c>
      <c r="N385" t="n">
        <v>0</v>
      </c>
      <c r="O385" t="n">
        <v>0</v>
      </c>
      <c r="P385" t="n">
        <v>0</v>
      </c>
      <c r="Q385" t="n">
        <v>0</v>
      </c>
      <c r="R385" s="2" t="inlineStr"/>
    </row>
    <row r="386">
      <c r="A386" t="inlineStr">
        <is>
          <t>A 6210-2024</t>
        </is>
      </c>
      <c r="B386" s="1" t="n">
        <v>45337</v>
      </c>
      <c r="C386" s="1" t="n">
        <v>45988</v>
      </c>
      <c r="D386" t="inlineStr">
        <is>
          <t>DALARNAS LÄN</t>
        </is>
      </c>
      <c r="E386" t="inlineStr">
        <is>
          <t>HEDEMORA</t>
        </is>
      </c>
      <c r="G386" t="n">
        <v>2.6</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2025-11-27T10:25:35Z</dcterms:created>
  <dcterms:modified xmlns:dcterms="http://purl.org/dc/terms/" xmlns:xsi="http://www.w3.org/2001/XMLSchema-instance" xsi:type="dcterms:W3CDTF">2025-11-27T10:25:35Z</dcterms:modified>
</cp:coreProperties>
</file>