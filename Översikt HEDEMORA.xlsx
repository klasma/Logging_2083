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46140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46140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46140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46140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46140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46140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46140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46140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46140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46140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46140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46140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46140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46140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46140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46140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46140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46140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46140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46140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46140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46140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46140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46140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46140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46140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46140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46140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46140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46140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46140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46140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46140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46140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46140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451-2025</t>
        </is>
      </c>
      <c r="B37" s="1" t="n">
        <v>45664.39991898148</v>
      </c>
      <c r="C37" s="1" t="n">
        <v>46140</v>
      </c>
      <c r="D37" t="inlineStr">
        <is>
          <t>DALARNAS LÄN</t>
        </is>
      </c>
      <c r="E37" t="inlineStr">
        <is>
          <t>HEDEMORA</t>
        </is>
      </c>
      <c r="G37" t="n">
        <v>4.5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HYPERLINK("https://klasma.github.io/Logging_2083/artfynd/A 451-2025 artfynd.xlsx", "A 451-2025")</f>
        <v/>
      </c>
      <c r="T37">
        <f>HYPERLINK("https://klasma.github.io/Logging_2083/kartor/A 451-2025 karta.png", "A 451-2025")</f>
        <v/>
      </c>
      <c r="U37">
        <f>HYPERLINK("https://klasma.github.io/Logging_2083/knärot/A 451-2025 karta knärot.png", "A 451-2025")</f>
        <v/>
      </c>
      <c r="V37">
        <f>HYPERLINK("https://klasma.github.io/Logging_2083/klagomål/A 451-2025 FSC-klagomål.docx", "A 451-2025")</f>
        <v/>
      </c>
      <c r="W37">
        <f>HYPERLINK("https://klasma.github.io/Logging_2083/klagomålsmail/A 451-2025 FSC-klagomål mail.docx", "A 451-2025")</f>
        <v/>
      </c>
      <c r="X37">
        <f>HYPERLINK("https://klasma.github.io/Logging_2083/tillsyn/A 451-2025 tillsynsbegäran.docx", "A 451-2025")</f>
        <v/>
      </c>
      <c r="Y37">
        <f>HYPERLINK("https://klasma.github.io/Logging_2083/tillsynsmail/A 451-2025 tillsynsbegäran mail.docx", "A 451-2025")</f>
        <v/>
      </c>
      <c r="Z37">
        <f>HYPERLINK("https://klasma.github.io/Logging_2083/fåglar/A 451-2025 prioriterade fågelarter.docx", "A 451-2025")</f>
        <v/>
      </c>
    </row>
    <row r="38" ht="15" customHeight="1">
      <c r="A38" t="inlineStr">
        <is>
          <t>A 29128-2025</t>
        </is>
      </c>
      <c r="B38" s="1" t="n">
        <v>45821.60116898148</v>
      </c>
      <c r="C38" s="1" t="n">
        <v>46140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15.5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Gråspett
Tjäder</t>
        </is>
      </c>
      <c r="S38">
        <f>HYPERLINK("https://klasma.github.io/Logging_2083/artfynd/A 29128-2025 artfynd.xlsx", "A 29128-2025")</f>
        <v/>
      </c>
      <c r="T38">
        <f>HYPERLINK("https://klasma.github.io/Logging_2083/kartor/A 29128-2025 karta.png", "A 29128-2025")</f>
        <v/>
      </c>
      <c r="V38">
        <f>HYPERLINK("https://klasma.github.io/Logging_2083/klagomål/A 29128-2025 FSC-klagomål.docx", "A 29128-2025")</f>
        <v/>
      </c>
      <c r="W38">
        <f>HYPERLINK("https://klasma.github.io/Logging_2083/klagomålsmail/A 29128-2025 FSC-klagomål mail.docx", "A 29128-2025")</f>
        <v/>
      </c>
      <c r="X38">
        <f>HYPERLINK("https://klasma.github.io/Logging_2083/tillsyn/A 29128-2025 tillsynsbegäran.docx", "A 29128-2025")</f>
        <v/>
      </c>
      <c r="Y38">
        <f>HYPERLINK("https://klasma.github.io/Logging_2083/tillsynsmail/A 29128-2025 tillsynsbegäran mail.docx", "A 29128-2025")</f>
        <v/>
      </c>
      <c r="Z38">
        <f>HYPERLINK("https://klasma.github.io/Logging_2083/fåglar/A 29128-2025 prioriterade fågelarter.docx", "A 29128-2025")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46140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46140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46140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46140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46140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46140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46140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46140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46140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46140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45884-2021</t>
        </is>
      </c>
      <c r="B49" s="1" t="n">
        <v>44441</v>
      </c>
      <c r="C49" s="1" t="n">
        <v>46140</v>
      </c>
      <c r="D49" t="inlineStr">
        <is>
          <t>DALARNAS LÄN</t>
        </is>
      </c>
      <c r="E49" t="inlineStr">
        <is>
          <t>HEDEMORA</t>
        </is>
      </c>
      <c r="G49" t="n">
        <v>0.9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Bollvitmossa</t>
        </is>
      </c>
      <c r="S49">
        <f>HYPERLINK("https://klasma.github.io/Logging_2083/artfynd/A 45884-2021 artfynd.xlsx", "A 45884-2021")</f>
        <v/>
      </c>
      <c r="T49">
        <f>HYPERLINK("https://klasma.github.io/Logging_2083/kartor/A 45884-2021 karta.png", "A 45884-2021")</f>
        <v/>
      </c>
      <c r="U49">
        <f>HYPERLINK("https://klasma.github.io/Logging_2083/knärot/A 45884-2021 karta knärot.png", "A 45884-2021")</f>
        <v/>
      </c>
      <c r="V49">
        <f>HYPERLINK("https://klasma.github.io/Logging_2083/klagomål/A 45884-2021 FSC-klagomål.docx", "A 45884-2021")</f>
        <v/>
      </c>
      <c r="W49">
        <f>HYPERLINK("https://klasma.github.io/Logging_2083/klagomålsmail/A 45884-2021 FSC-klagomål mail.docx", "A 45884-2021")</f>
        <v/>
      </c>
      <c r="X49">
        <f>HYPERLINK("https://klasma.github.io/Logging_2083/tillsyn/A 45884-2021 tillsynsbegäran.docx", "A 45884-2021")</f>
        <v/>
      </c>
      <c r="Y49">
        <f>HYPERLINK("https://klasma.github.io/Logging_2083/tillsynsmail/A 45884-2021 tillsynsbegäran mail.docx", "A 45884-2021")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46140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46140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46140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46140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46140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63542-2023</t>
        </is>
      </c>
      <c r="B55" s="1" t="n">
        <v>45275.32708333333</v>
      </c>
      <c r="C55" s="1" t="n">
        <v>46140</v>
      </c>
      <c r="D55" t="inlineStr">
        <is>
          <t>DALARNAS LÄN</t>
        </is>
      </c>
      <c r="E55" t="inlineStr">
        <is>
          <t>HEDEMORA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HYPERLINK("https://klasma.github.io/Logging_2083/artfynd/A 63542-2023 artfynd.xlsx", "A 63542-2023")</f>
        <v/>
      </c>
      <c r="T55">
        <f>HYPERLINK("https://klasma.github.io/Logging_2083/kartor/A 63542-2023 karta.png", "A 63542-2023")</f>
        <v/>
      </c>
      <c r="V55">
        <f>HYPERLINK("https://klasma.github.io/Logging_2083/klagomål/A 63542-2023 FSC-klagomål.docx", "A 63542-2023")</f>
        <v/>
      </c>
      <c r="W55">
        <f>HYPERLINK("https://klasma.github.io/Logging_2083/klagomålsmail/A 63542-2023 FSC-klagomål mail.docx", "A 63542-2023")</f>
        <v/>
      </c>
      <c r="X55">
        <f>HYPERLINK("https://klasma.github.io/Logging_2083/tillsyn/A 63542-2023 tillsynsbegäran.docx", "A 63542-2023")</f>
        <v/>
      </c>
      <c r="Y55">
        <f>HYPERLINK("https://klasma.github.io/Logging_2083/tillsynsmail/A 63542-2023 tillsynsbegäran mail.docx", "A 63542-2023")</f>
        <v/>
      </c>
      <c r="Z55">
        <f>HYPERLINK("https://klasma.github.io/Logging_2083/fåglar/A 63542-2023 prioriterade fågelarter.docx", "A 63542-2023")</f>
        <v/>
      </c>
    </row>
    <row r="56" ht="15" customHeight="1">
      <c r="A56" t="inlineStr">
        <is>
          <t>A 53031-2023</t>
        </is>
      </c>
      <c r="B56" s="1" t="n">
        <v>45226</v>
      </c>
      <c r="C56" s="1" t="n">
        <v>46140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6.9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53031-2023 artfynd.xlsx", "A 53031-2023")</f>
        <v/>
      </c>
      <c r="T56">
        <f>HYPERLINK("https://klasma.github.io/Logging_2083/kartor/A 53031-2023 karta.png", "A 53031-2023")</f>
        <v/>
      </c>
      <c r="V56">
        <f>HYPERLINK("https://klasma.github.io/Logging_2083/klagomål/A 53031-2023 FSC-klagomål.docx", "A 53031-2023")</f>
        <v/>
      </c>
      <c r="W56">
        <f>HYPERLINK("https://klasma.github.io/Logging_2083/klagomålsmail/A 53031-2023 FSC-klagomål mail.docx", "A 53031-2023")</f>
        <v/>
      </c>
      <c r="X56">
        <f>HYPERLINK("https://klasma.github.io/Logging_2083/tillsyn/A 53031-2023 tillsynsbegäran.docx", "A 53031-2023")</f>
        <v/>
      </c>
      <c r="Y56">
        <f>HYPERLINK("https://klasma.github.io/Logging_2083/tillsynsmail/A 53031-2023 tillsynsbegäran mail.docx", "A 53031-2023")</f>
        <v/>
      </c>
      <c r="Z56">
        <f>HYPERLINK("https://klasma.github.io/Logging_2083/fåglar/A 53031-2023 prioriterade fågelarter.docx", "A 53031-2023")</f>
        <v/>
      </c>
    </row>
    <row r="57" ht="15" customHeight="1">
      <c r="A57" t="inlineStr">
        <is>
          <t>A 29792-2025</t>
        </is>
      </c>
      <c r="B57" s="1" t="n">
        <v>45825.66416666667</v>
      </c>
      <c r="C57" s="1" t="n">
        <v>46140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26.3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HYPERLINK("https://klasma.github.io/Logging_2083/artfynd/A 29792-2025 artfynd.xlsx", "A 29792-2025")</f>
        <v/>
      </c>
      <c r="T57">
        <f>HYPERLINK("https://klasma.github.io/Logging_2083/kartor/A 29792-2025 karta.png", "A 29792-2025")</f>
        <v/>
      </c>
      <c r="V57">
        <f>HYPERLINK("https://klasma.github.io/Logging_2083/klagomål/A 29792-2025 FSC-klagomål.docx", "A 29792-2025")</f>
        <v/>
      </c>
      <c r="W57">
        <f>HYPERLINK("https://klasma.github.io/Logging_2083/klagomålsmail/A 29792-2025 FSC-klagomål mail.docx", "A 29792-2025")</f>
        <v/>
      </c>
      <c r="X57">
        <f>HYPERLINK("https://klasma.github.io/Logging_2083/tillsyn/A 29792-2025 tillsynsbegäran.docx", "A 29792-2025")</f>
        <v/>
      </c>
      <c r="Y57">
        <f>HYPERLINK("https://klasma.github.io/Logging_2083/tillsynsmail/A 29792-2025 tillsynsbegäran mail.docx", "A 29792-2025")</f>
        <v/>
      </c>
      <c r="Z57">
        <f>HYPERLINK("https://klasma.github.io/Logging_2083/fåglar/A 29792-2025 prioriterade fågelarter.docx", "A 29792-2025")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46140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52941-2024</t>
        </is>
      </c>
      <c r="B59" s="1" t="n">
        <v>45610.80650462963</v>
      </c>
      <c r="C59" s="1" t="n">
        <v>46140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18.3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52941-2024 artfynd.xlsx", "A 52941-2024")</f>
        <v/>
      </c>
      <c r="T59">
        <f>HYPERLINK("https://klasma.github.io/Logging_2083/kartor/A 52941-2024 karta.png", "A 52941-2024")</f>
        <v/>
      </c>
      <c r="U59">
        <f>HYPERLINK("https://klasma.github.io/Logging_2083/knärot/A 52941-2024 karta knärot.png", "A 52941-2024")</f>
        <v/>
      </c>
      <c r="V59">
        <f>HYPERLINK("https://klasma.github.io/Logging_2083/klagomål/A 52941-2024 FSC-klagomål.docx", "A 52941-2024")</f>
        <v/>
      </c>
      <c r="W59">
        <f>HYPERLINK("https://klasma.github.io/Logging_2083/klagomålsmail/A 52941-2024 FSC-klagomål mail.docx", "A 52941-2024")</f>
        <v/>
      </c>
      <c r="X59">
        <f>HYPERLINK("https://klasma.github.io/Logging_2083/tillsyn/A 52941-2024 tillsynsbegäran.docx", "A 52941-2024")</f>
        <v/>
      </c>
      <c r="Y59">
        <f>HYPERLINK("https://klasma.github.io/Logging_2083/tillsynsmail/A 52941-2024 tillsynsbegäran mail.docx", "A 52941-2024")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46140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46140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42614-2024</t>
        </is>
      </c>
      <c r="B62" s="1" t="n">
        <v>45565</v>
      </c>
      <c r="C62" s="1" t="n">
        <v>46140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HYPERLINK("https://klasma.github.io/Logging_2083/artfynd/A 42614-2024 artfynd.xlsx", "A 42614-2024")</f>
        <v/>
      </c>
      <c r="T62">
        <f>HYPERLINK("https://klasma.github.io/Logging_2083/kartor/A 42614-2024 karta.png", "A 42614-2024")</f>
        <v/>
      </c>
      <c r="V62">
        <f>HYPERLINK("https://klasma.github.io/Logging_2083/klagomål/A 42614-2024 FSC-klagomål.docx", "A 42614-2024")</f>
        <v/>
      </c>
      <c r="W62">
        <f>HYPERLINK("https://klasma.github.io/Logging_2083/klagomålsmail/A 42614-2024 FSC-klagomål mail.docx", "A 42614-2024")</f>
        <v/>
      </c>
      <c r="X62">
        <f>HYPERLINK("https://klasma.github.io/Logging_2083/tillsyn/A 42614-2024 tillsynsbegäran.docx", "A 42614-2024")</f>
        <v/>
      </c>
      <c r="Y62">
        <f>HYPERLINK("https://klasma.github.io/Logging_2083/tillsynsmail/A 42614-2024 tillsynsbegäran mail.docx", "A 42614-2024")</f>
        <v/>
      </c>
      <c r="Z62">
        <f>HYPERLINK("https://klasma.github.io/Logging_2083/fåglar/A 42614-2024 prioriterade fågelarter.docx", "A 42614-2024")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46140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17590-2025</t>
        </is>
      </c>
      <c r="B64" s="1" t="n">
        <v>45757.69396990741</v>
      </c>
      <c r="C64" s="1" t="n">
        <v>46140</v>
      </c>
      <c r="D64" t="inlineStr">
        <is>
          <t>DALARNAS LÄN</t>
        </is>
      </c>
      <c r="E64" t="inlineStr">
        <is>
          <t>HEDEMORA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HYPERLINK("https://klasma.github.io/Logging_2083/artfynd/A 17590-2025 artfynd.xlsx", "A 17590-2025")</f>
        <v/>
      </c>
      <c r="T64">
        <f>HYPERLINK("https://klasma.github.io/Logging_2083/kartor/A 17590-2025 karta.png", "A 17590-2025")</f>
        <v/>
      </c>
      <c r="V64">
        <f>HYPERLINK("https://klasma.github.io/Logging_2083/klagomål/A 17590-2025 FSC-klagomål.docx", "A 17590-2025")</f>
        <v/>
      </c>
      <c r="W64">
        <f>HYPERLINK("https://klasma.github.io/Logging_2083/klagomålsmail/A 17590-2025 FSC-klagomål mail.docx", "A 17590-2025")</f>
        <v/>
      </c>
      <c r="X64">
        <f>HYPERLINK("https://klasma.github.io/Logging_2083/tillsyn/A 17590-2025 tillsynsbegäran.docx", "A 17590-2025")</f>
        <v/>
      </c>
      <c r="Y64">
        <f>HYPERLINK("https://klasma.github.io/Logging_2083/tillsynsmail/A 17590-2025 tillsynsbegäran mail.docx", "A 17590-2025")</f>
        <v/>
      </c>
    </row>
    <row r="65" ht="15" customHeight="1">
      <c r="A65" t="inlineStr">
        <is>
          <t>A 51111-2021</t>
        </is>
      </c>
      <c r="B65" s="1" t="n">
        <v>44461</v>
      </c>
      <c r="C65" s="1" t="n">
        <v>46140</v>
      </c>
      <c r="D65" t="inlineStr">
        <is>
          <t>DALARNAS LÄN</t>
        </is>
      </c>
      <c r="E65" t="inlineStr">
        <is>
          <t>HEDEMORA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51111-2021 artfynd.xlsx", "A 51111-2021")</f>
        <v/>
      </c>
      <c r="T65">
        <f>HYPERLINK("https://klasma.github.io/Logging_2083/kartor/A 51111-2021 karta.png", "A 51111-2021")</f>
        <v/>
      </c>
      <c r="U65">
        <f>HYPERLINK("https://klasma.github.io/Logging_2083/knärot/A 51111-2021 karta knärot.png", "A 51111-2021")</f>
        <v/>
      </c>
      <c r="V65">
        <f>HYPERLINK("https://klasma.github.io/Logging_2083/klagomål/A 51111-2021 FSC-klagomål.docx", "A 51111-2021")</f>
        <v/>
      </c>
      <c r="W65">
        <f>HYPERLINK("https://klasma.github.io/Logging_2083/klagomålsmail/A 51111-2021 FSC-klagomål mail.docx", "A 51111-2021")</f>
        <v/>
      </c>
      <c r="X65">
        <f>HYPERLINK("https://klasma.github.io/Logging_2083/tillsyn/A 51111-2021 tillsynsbegäran.docx", "A 51111-2021")</f>
        <v/>
      </c>
      <c r="Y65">
        <f>HYPERLINK("https://klasma.github.io/Logging_2083/tillsynsmail/A 51111-2021 tillsynsbegäran mail.docx", "A 51111-2021")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46140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46140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46140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46140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60017-2024</t>
        </is>
      </c>
      <c r="B70" s="1" t="n">
        <v>45642</v>
      </c>
      <c r="C70" s="1" t="n">
        <v>46140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60017-2024 artfynd.xlsx", "A 60017-2024")</f>
        <v/>
      </c>
      <c r="T70">
        <f>HYPERLINK("https://klasma.github.io/Logging_2083/kartor/A 60017-2024 karta.png", "A 60017-2024")</f>
        <v/>
      </c>
      <c r="U70">
        <f>HYPERLINK("https://klasma.github.io/Logging_2083/knärot/A 60017-2024 karta knärot.png", "A 60017-2024")</f>
        <v/>
      </c>
      <c r="V70">
        <f>HYPERLINK("https://klasma.github.io/Logging_2083/klagomål/A 60017-2024 FSC-klagomål.docx", "A 60017-2024")</f>
        <v/>
      </c>
      <c r="W70">
        <f>HYPERLINK("https://klasma.github.io/Logging_2083/klagomålsmail/A 60017-2024 FSC-klagomål mail.docx", "A 60017-2024")</f>
        <v/>
      </c>
      <c r="X70">
        <f>HYPERLINK("https://klasma.github.io/Logging_2083/tillsyn/A 60017-2024 tillsynsbegäran.docx", "A 60017-2024")</f>
        <v/>
      </c>
      <c r="Y70">
        <f>HYPERLINK("https://klasma.github.io/Logging_2083/tillsynsmail/A 60017-2024 tillsynsbegäran mail.docx", "A 60017-2024")</f>
        <v/>
      </c>
    </row>
    <row r="71" ht="15" customHeight="1">
      <c r="A71" t="inlineStr">
        <is>
          <t>A 63899-2025</t>
        </is>
      </c>
      <c r="B71" s="1" t="n">
        <v>46020</v>
      </c>
      <c r="C71" s="1" t="n">
        <v>46140</v>
      </c>
      <c r="D71" t="inlineStr">
        <is>
          <t>DALARNAS LÄN</t>
        </is>
      </c>
      <c r="E71" t="inlineStr">
        <is>
          <t>HEDEMORA</t>
        </is>
      </c>
      <c r="G71" t="n">
        <v>6.5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63899-2025 artfynd.xlsx", "A 63899-2025")</f>
        <v/>
      </c>
      <c r="T71">
        <f>HYPERLINK("https://klasma.github.io/Logging_2083/kartor/A 63899-2025 karta.png", "A 63899-2025")</f>
        <v/>
      </c>
      <c r="U71">
        <f>HYPERLINK("https://klasma.github.io/Logging_2083/knärot/A 63899-2025 karta knärot.png", "A 63899-2025")</f>
        <v/>
      </c>
      <c r="V71">
        <f>HYPERLINK("https://klasma.github.io/Logging_2083/klagomål/A 63899-2025 FSC-klagomål.docx", "A 63899-2025")</f>
        <v/>
      </c>
      <c r="W71">
        <f>HYPERLINK("https://klasma.github.io/Logging_2083/klagomålsmail/A 63899-2025 FSC-klagomål mail.docx", "A 63899-2025")</f>
        <v/>
      </c>
      <c r="X71">
        <f>HYPERLINK("https://klasma.github.io/Logging_2083/tillsyn/A 63899-2025 tillsynsbegäran.docx", "A 63899-2025")</f>
        <v/>
      </c>
      <c r="Y71">
        <f>HYPERLINK("https://klasma.github.io/Logging_2083/tillsynsmail/A 63899-2025 tillsynsbegäran mail.docx", "A 63899-2025")</f>
        <v/>
      </c>
    </row>
    <row r="72" ht="15" customHeight="1">
      <c r="A72" t="inlineStr">
        <is>
          <t>A 63851-2025</t>
        </is>
      </c>
      <c r="B72" s="1" t="n">
        <v>46020</v>
      </c>
      <c r="C72" s="1" t="n">
        <v>46140</v>
      </c>
      <c r="D72" t="inlineStr">
        <is>
          <t>DALARNAS LÄN</t>
        </is>
      </c>
      <c r="E72" t="inlineStr">
        <is>
          <t>HEDEMORA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63851-2025 artfynd.xlsx", "A 63851-2025")</f>
        <v/>
      </c>
      <c r="T72">
        <f>HYPERLINK("https://klasma.github.io/Logging_2083/kartor/A 63851-2025 karta.png", "A 63851-2025")</f>
        <v/>
      </c>
      <c r="U72">
        <f>HYPERLINK("https://klasma.github.io/Logging_2083/knärot/A 63851-2025 karta knärot.png", "A 63851-2025")</f>
        <v/>
      </c>
      <c r="V72">
        <f>HYPERLINK("https://klasma.github.io/Logging_2083/klagomål/A 63851-2025 FSC-klagomål.docx", "A 63851-2025")</f>
        <v/>
      </c>
      <c r="W72">
        <f>HYPERLINK("https://klasma.github.io/Logging_2083/klagomålsmail/A 63851-2025 FSC-klagomål mail.docx", "A 63851-2025")</f>
        <v/>
      </c>
      <c r="X72">
        <f>HYPERLINK("https://klasma.github.io/Logging_2083/tillsyn/A 63851-2025 tillsynsbegäran.docx", "A 63851-2025")</f>
        <v/>
      </c>
      <c r="Y72">
        <f>HYPERLINK("https://klasma.github.io/Logging_2083/tillsynsmail/A 63851-2025 tillsynsbegäran mail.docx", "A 63851-2025")</f>
        <v/>
      </c>
    </row>
    <row r="73" ht="15" customHeight="1">
      <c r="A73" t="inlineStr">
        <is>
          <t>A 2164-2026</t>
        </is>
      </c>
      <c r="B73" s="1" t="n">
        <v>46036.43939814815</v>
      </c>
      <c r="C73" s="1" t="n">
        <v>46140</v>
      </c>
      <c r="D73" t="inlineStr">
        <is>
          <t>DALARNAS LÄN</t>
        </is>
      </c>
      <c r="E73" t="inlineStr">
        <is>
          <t>HEDEMORA</t>
        </is>
      </c>
      <c r="F73" t="inlineStr">
        <is>
          <t>Kyrkan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2164-2026 artfynd.xlsx", "A 2164-2026")</f>
        <v/>
      </c>
      <c r="T73">
        <f>HYPERLINK("https://klasma.github.io/Logging_2083/kartor/A 2164-2026 karta.png", "A 2164-2026")</f>
        <v/>
      </c>
      <c r="U73">
        <f>HYPERLINK("https://klasma.github.io/Logging_2083/knärot/A 2164-2026 karta knärot.png", "A 2164-2026")</f>
        <v/>
      </c>
      <c r="V73">
        <f>HYPERLINK("https://klasma.github.io/Logging_2083/klagomål/A 2164-2026 FSC-klagomål.docx", "A 2164-2026")</f>
        <v/>
      </c>
      <c r="W73">
        <f>HYPERLINK("https://klasma.github.io/Logging_2083/klagomålsmail/A 2164-2026 FSC-klagomål mail.docx", "A 2164-2026")</f>
        <v/>
      </c>
      <c r="X73">
        <f>HYPERLINK("https://klasma.github.io/Logging_2083/tillsyn/A 2164-2026 tillsynsbegäran.docx", "A 2164-2026")</f>
        <v/>
      </c>
      <c r="Y73">
        <f>HYPERLINK("https://klasma.github.io/Logging_2083/tillsynsmail/A 2164-2026 tillsynsbegäran mail.docx", "A 2164-2026")</f>
        <v/>
      </c>
    </row>
    <row r="74" ht="15" customHeight="1">
      <c r="A74" t="inlineStr">
        <is>
          <t>A 1452-2026</t>
        </is>
      </c>
      <c r="B74" s="1" t="n">
        <v>46033</v>
      </c>
      <c r="C74" s="1" t="n">
        <v>46140</v>
      </c>
      <c r="D74" t="inlineStr">
        <is>
          <t>DALARNAS LÄN</t>
        </is>
      </c>
      <c r="E74" t="inlineStr">
        <is>
          <t>HEDEMORA</t>
        </is>
      </c>
      <c r="G74" t="n">
        <v>11.1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Slaguggla</t>
        </is>
      </c>
      <c r="S74">
        <f>HYPERLINK("https://klasma.github.io/Logging_2083/artfynd/A 1452-2026 artfynd.xlsx", "A 1452-2026")</f>
        <v/>
      </c>
      <c r="T74">
        <f>HYPERLINK("https://klasma.github.io/Logging_2083/kartor/A 1452-2026 karta.png", "A 1452-2026")</f>
        <v/>
      </c>
      <c r="U74">
        <f>HYPERLINK("https://klasma.github.io/Logging_2083/knärot/A 1452-2026 karta knärot.png", "A 1452-2026")</f>
        <v/>
      </c>
      <c r="V74">
        <f>HYPERLINK("https://klasma.github.io/Logging_2083/klagomål/A 1452-2026 FSC-klagomål.docx", "A 1452-2026")</f>
        <v/>
      </c>
      <c r="W74">
        <f>HYPERLINK("https://klasma.github.io/Logging_2083/klagomålsmail/A 1452-2026 FSC-klagomål mail.docx", "A 1452-2026")</f>
        <v/>
      </c>
      <c r="X74">
        <f>HYPERLINK("https://klasma.github.io/Logging_2083/tillsyn/A 1452-2026 tillsynsbegäran.docx", "A 1452-2026")</f>
        <v/>
      </c>
      <c r="Y74">
        <f>HYPERLINK("https://klasma.github.io/Logging_2083/tillsynsmail/A 1452-2026 tillsynsbegäran mail.docx", "A 1452-2026")</f>
        <v/>
      </c>
      <c r="Z74">
        <f>HYPERLINK("https://klasma.github.io/Logging_2083/fåglar/A 1452-2026 prioriterade fågelarter.docx", "A 1452-2026")</f>
        <v/>
      </c>
    </row>
    <row r="75" ht="15" customHeight="1">
      <c r="A75" t="inlineStr">
        <is>
          <t>A 53924-2024</t>
        </is>
      </c>
      <c r="B75" s="1" t="n">
        <v>45615</v>
      </c>
      <c r="C75" s="1" t="n">
        <v>46140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3.8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HYPERLINK("https://klasma.github.io/Logging_2083/artfynd/A 53924-2024 artfynd.xlsx", "A 53924-2024")</f>
        <v/>
      </c>
      <c r="T75">
        <f>HYPERLINK("https://klasma.github.io/Logging_2083/kartor/A 53924-2024 karta.png", "A 53924-2024")</f>
        <v/>
      </c>
      <c r="V75">
        <f>HYPERLINK("https://klasma.github.io/Logging_2083/klagomål/A 53924-2024 FSC-klagomål.docx", "A 53924-2024")</f>
        <v/>
      </c>
      <c r="W75">
        <f>HYPERLINK("https://klasma.github.io/Logging_2083/klagomålsmail/A 53924-2024 FSC-klagomål mail.docx", "A 53924-2024")</f>
        <v/>
      </c>
      <c r="X75">
        <f>HYPERLINK("https://klasma.github.io/Logging_2083/tillsyn/A 53924-2024 tillsynsbegäran.docx", "A 53924-2024")</f>
        <v/>
      </c>
      <c r="Y75">
        <f>HYPERLINK("https://klasma.github.io/Logging_2083/tillsynsmail/A 53924-2024 tillsynsbegäran mail.docx", "A 53924-2024")</f>
        <v/>
      </c>
    </row>
    <row r="76" ht="15" customHeight="1">
      <c r="A76" t="inlineStr">
        <is>
          <t>A 7767-2026</t>
        </is>
      </c>
      <c r="B76" s="1" t="n">
        <v>46059</v>
      </c>
      <c r="C76" s="1" t="n">
        <v>46140</v>
      </c>
      <c r="D76" t="inlineStr">
        <is>
          <t>DALARNAS LÄN</t>
        </is>
      </c>
      <c r="E76" t="inlineStr">
        <is>
          <t>HEDEMORA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7767-2026 artfynd.xlsx", "A 7767-2026")</f>
        <v/>
      </c>
      <c r="T76">
        <f>HYPERLINK("https://klasma.github.io/Logging_2083/kartor/A 7767-2026 karta.png", "A 7767-2026")</f>
        <v/>
      </c>
      <c r="V76">
        <f>HYPERLINK("https://klasma.github.io/Logging_2083/klagomål/A 7767-2026 FSC-klagomål.docx", "A 7767-2026")</f>
        <v/>
      </c>
      <c r="W76">
        <f>HYPERLINK("https://klasma.github.io/Logging_2083/klagomålsmail/A 7767-2026 FSC-klagomål mail.docx", "A 7767-2026")</f>
        <v/>
      </c>
      <c r="X76">
        <f>HYPERLINK("https://klasma.github.io/Logging_2083/tillsyn/A 7767-2026 tillsynsbegäran.docx", "A 7767-2026")</f>
        <v/>
      </c>
      <c r="Y76">
        <f>HYPERLINK("https://klasma.github.io/Logging_2083/tillsynsmail/A 7767-2026 tillsynsbegäran mail.docx", "A 7767-2026")</f>
        <v/>
      </c>
      <c r="Z76">
        <f>HYPERLINK("https://klasma.github.io/Logging_2083/fåglar/A 7767-2026 prioriterade fågelarter.docx", "A 7767-2026")</f>
        <v/>
      </c>
    </row>
    <row r="77" ht="15" customHeight="1">
      <c r="A77" t="inlineStr">
        <is>
          <t>A 23815-2023</t>
        </is>
      </c>
      <c r="B77" s="1" t="n">
        <v>45078</v>
      </c>
      <c r="C77" s="1" t="n">
        <v>46140</v>
      </c>
      <c r="D77" t="inlineStr">
        <is>
          <t>DALARNAS LÄN</t>
        </is>
      </c>
      <c r="E77" t="inlineStr">
        <is>
          <t>HEDEMORA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23815-2023 artfynd.xlsx", "A 23815-2023")</f>
        <v/>
      </c>
      <c r="T77">
        <f>HYPERLINK("https://klasma.github.io/Logging_2083/kartor/A 23815-2023 karta.png", "A 23815-2023")</f>
        <v/>
      </c>
      <c r="U77">
        <f>HYPERLINK("https://klasma.github.io/Logging_2083/knärot/A 23815-2023 karta knärot.png", "A 23815-2023")</f>
        <v/>
      </c>
      <c r="V77">
        <f>HYPERLINK("https://klasma.github.io/Logging_2083/klagomål/A 23815-2023 FSC-klagomål.docx", "A 23815-2023")</f>
        <v/>
      </c>
      <c r="W77">
        <f>HYPERLINK("https://klasma.github.io/Logging_2083/klagomålsmail/A 23815-2023 FSC-klagomål mail.docx", "A 23815-2023")</f>
        <v/>
      </c>
      <c r="X77">
        <f>HYPERLINK("https://klasma.github.io/Logging_2083/tillsyn/A 23815-2023 tillsynsbegäran.docx", "A 23815-2023")</f>
        <v/>
      </c>
      <c r="Y77">
        <f>HYPERLINK("https://klasma.github.io/Logging_2083/tillsynsmail/A 23815-2023 tillsynsbegäran mail.docx", "A 23815-2023")</f>
        <v/>
      </c>
    </row>
    <row r="78" ht="15" customHeight="1">
      <c r="A78" t="inlineStr">
        <is>
          <t>A 13986-2023</t>
        </is>
      </c>
      <c r="B78" s="1" t="n">
        <v>45008</v>
      </c>
      <c r="C78" s="1" t="n">
        <v>46140</v>
      </c>
      <c r="D78" t="inlineStr">
        <is>
          <t>DALARNAS LÄN</t>
        </is>
      </c>
      <c r="E78" t="inlineStr">
        <is>
          <t>HEDEMORA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13986-2023 artfynd.xlsx", "A 13986-2023")</f>
        <v/>
      </c>
      <c r="T78">
        <f>HYPERLINK("https://klasma.github.io/Logging_2083/kartor/A 13986-2023 karta.png", "A 13986-2023")</f>
        <v/>
      </c>
      <c r="U78">
        <f>HYPERLINK("https://klasma.github.io/Logging_2083/knärot/A 13986-2023 karta knärot.png", "A 13986-2023")</f>
        <v/>
      </c>
      <c r="V78">
        <f>HYPERLINK("https://klasma.github.io/Logging_2083/klagomål/A 13986-2023 FSC-klagomål.docx", "A 13986-2023")</f>
        <v/>
      </c>
      <c r="W78">
        <f>HYPERLINK("https://klasma.github.io/Logging_2083/klagomålsmail/A 13986-2023 FSC-klagomål mail.docx", "A 13986-2023")</f>
        <v/>
      </c>
      <c r="X78">
        <f>HYPERLINK("https://klasma.github.io/Logging_2083/tillsyn/A 13986-2023 tillsynsbegäran.docx", "A 13986-2023")</f>
        <v/>
      </c>
      <c r="Y78">
        <f>HYPERLINK("https://klasma.github.io/Logging_2083/tillsynsmail/A 13986-2023 tillsynsbegäran mail.docx", "A 13986-2023")</f>
        <v/>
      </c>
    </row>
    <row r="79" ht="15" customHeight="1">
      <c r="A79" t="inlineStr">
        <is>
          <t>A 15220-2026</t>
        </is>
      </c>
      <c r="B79" s="1" t="n">
        <v>46105.5268287037</v>
      </c>
      <c r="C79" s="1" t="n">
        <v>46140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HYPERLINK("https://klasma.github.io/Logging_2083/artfynd/A 15220-2026 artfynd.xlsx", "A 15220-2026")</f>
        <v/>
      </c>
      <c r="T79">
        <f>HYPERLINK("https://klasma.github.io/Logging_2083/kartor/A 15220-2026 karta.png", "A 15220-2026")</f>
        <v/>
      </c>
      <c r="V79">
        <f>HYPERLINK("https://klasma.github.io/Logging_2083/klagomål/A 15220-2026 FSC-klagomål.docx", "A 15220-2026")</f>
        <v/>
      </c>
      <c r="W79">
        <f>HYPERLINK("https://klasma.github.io/Logging_2083/klagomålsmail/A 15220-2026 FSC-klagomål mail.docx", "A 15220-2026")</f>
        <v/>
      </c>
      <c r="X79">
        <f>HYPERLINK("https://klasma.github.io/Logging_2083/tillsyn/A 15220-2026 tillsynsbegäran.docx", "A 15220-2026")</f>
        <v/>
      </c>
      <c r="Y79">
        <f>HYPERLINK("https://klasma.github.io/Logging_2083/tillsynsmail/A 15220-2026 tillsynsbegäran mail.docx", "A 15220-2026")</f>
        <v/>
      </c>
      <c r="Z79">
        <f>HYPERLINK("https://klasma.github.io/Logging_2083/fåglar/A 15220-2026 prioriterade fågelarter.docx", "A 15220-2026")</f>
        <v/>
      </c>
    </row>
    <row r="80" ht="15" customHeight="1">
      <c r="A80" t="inlineStr">
        <is>
          <t>A 41477-2023</t>
        </is>
      </c>
      <c r="B80" s="1" t="n">
        <v>45171</v>
      </c>
      <c r="C80" s="1" t="n">
        <v>46140</v>
      </c>
      <c r="D80" t="inlineStr">
        <is>
          <t>DALARNAS LÄN</t>
        </is>
      </c>
      <c r="E80" t="inlineStr">
        <is>
          <t>HEDEMORA</t>
        </is>
      </c>
      <c r="F80" t="inlineStr">
        <is>
          <t>Bergvik skog väst AB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HYPERLINK("https://klasma.github.io/Logging_2083/artfynd/A 41477-2023 artfynd.xlsx", "A 41477-2023")</f>
        <v/>
      </c>
      <c r="T80">
        <f>HYPERLINK("https://klasma.github.io/Logging_2083/kartor/A 41477-2023 karta.png", "A 41477-2023")</f>
        <v/>
      </c>
      <c r="V80">
        <f>HYPERLINK("https://klasma.github.io/Logging_2083/klagomål/A 41477-2023 FSC-klagomål.docx", "A 41477-2023")</f>
        <v/>
      </c>
      <c r="W80">
        <f>HYPERLINK("https://klasma.github.io/Logging_2083/klagomålsmail/A 41477-2023 FSC-klagomål mail.docx", "A 41477-2023")</f>
        <v/>
      </c>
      <c r="X80">
        <f>HYPERLINK("https://klasma.github.io/Logging_2083/tillsyn/A 41477-2023 tillsynsbegäran.docx", "A 41477-2023")</f>
        <v/>
      </c>
      <c r="Y80">
        <f>HYPERLINK("https://klasma.github.io/Logging_2083/tillsynsmail/A 41477-2023 tillsynsbegäran mail.docx", "A 41477-2023")</f>
        <v/>
      </c>
    </row>
    <row r="81" ht="15" customHeight="1">
      <c r="A81" t="inlineStr">
        <is>
          <t>A 15274-2026</t>
        </is>
      </c>
      <c r="B81" s="1" t="n">
        <v>46105</v>
      </c>
      <c r="C81" s="1" t="n">
        <v>46140</v>
      </c>
      <c r="D81" t="inlineStr">
        <is>
          <t>DALARNAS LÄN</t>
        </is>
      </c>
      <c r="E81" t="inlineStr">
        <is>
          <t>HEDEMORA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HYPERLINK("https://klasma.github.io/Logging_2083/artfynd/A 15274-2026 artfynd.xlsx", "A 15274-2026")</f>
        <v/>
      </c>
      <c r="T81">
        <f>HYPERLINK("https://klasma.github.io/Logging_2083/kartor/A 15274-2026 karta.png", "A 15274-2026")</f>
        <v/>
      </c>
      <c r="V81">
        <f>HYPERLINK("https://klasma.github.io/Logging_2083/klagomål/A 15274-2026 FSC-klagomål.docx", "A 15274-2026")</f>
        <v/>
      </c>
      <c r="W81">
        <f>HYPERLINK("https://klasma.github.io/Logging_2083/klagomålsmail/A 15274-2026 FSC-klagomål mail.docx", "A 15274-2026")</f>
        <v/>
      </c>
      <c r="X81">
        <f>HYPERLINK("https://klasma.github.io/Logging_2083/tillsyn/A 15274-2026 tillsynsbegäran.docx", "A 15274-2026")</f>
        <v/>
      </c>
      <c r="Y81">
        <f>HYPERLINK("https://klasma.github.io/Logging_2083/tillsynsmail/A 15274-2026 tillsynsbegäran mail.docx", "A 15274-2026")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46140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28181-2025</t>
        </is>
      </c>
      <c r="B83" s="1" t="n">
        <v>45818.39921296296</v>
      </c>
      <c r="C83" s="1" t="n">
        <v>46140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2.4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28181-2025 artfynd.xlsx", "A 28181-2025")</f>
        <v/>
      </c>
      <c r="T83">
        <f>HYPERLINK("https://klasma.github.io/Logging_2083/kartor/A 28181-2025 karta.png", "A 28181-2025")</f>
        <v/>
      </c>
      <c r="V83">
        <f>HYPERLINK("https://klasma.github.io/Logging_2083/klagomål/A 28181-2025 FSC-klagomål.docx", "A 28181-2025")</f>
        <v/>
      </c>
      <c r="W83">
        <f>HYPERLINK("https://klasma.github.io/Logging_2083/klagomålsmail/A 28181-2025 FSC-klagomål mail.docx", "A 28181-2025")</f>
        <v/>
      </c>
      <c r="X83">
        <f>HYPERLINK("https://klasma.github.io/Logging_2083/tillsyn/A 28181-2025 tillsynsbegäran.docx", "A 28181-2025")</f>
        <v/>
      </c>
      <c r="Y83">
        <f>HYPERLINK("https://klasma.github.io/Logging_2083/tillsynsmail/A 28181-2025 tillsynsbegäran mail.docx", "A 28181-2025")</f>
        <v/>
      </c>
    </row>
    <row r="84" ht="15" customHeight="1">
      <c r="A84" t="inlineStr">
        <is>
          <t>A 15058-2025</t>
        </is>
      </c>
      <c r="B84" s="1" t="n">
        <v>45743.70716435185</v>
      </c>
      <c r="C84" s="1" t="n">
        <v>46140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4.2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HYPERLINK("https://klasma.github.io/Logging_2083/artfynd/A 15058-2025 artfynd.xlsx", "A 15058-2025")</f>
        <v/>
      </c>
      <c r="T84">
        <f>HYPERLINK("https://klasma.github.io/Logging_2083/kartor/A 15058-2025 karta.png", "A 15058-2025")</f>
        <v/>
      </c>
      <c r="V84">
        <f>HYPERLINK("https://klasma.github.io/Logging_2083/klagomål/A 15058-2025 FSC-klagomål.docx", "A 15058-2025")</f>
        <v/>
      </c>
      <c r="W84">
        <f>HYPERLINK("https://klasma.github.io/Logging_2083/klagomålsmail/A 15058-2025 FSC-klagomål mail.docx", "A 15058-2025")</f>
        <v/>
      </c>
      <c r="X84">
        <f>HYPERLINK("https://klasma.github.io/Logging_2083/tillsyn/A 15058-2025 tillsynsbegäran.docx", "A 15058-2025")</f>
        <v/>
      </c>
      <c r="Y84">
        <f>HYPERLINK("https://klasma.github.io/Logging_2083/tillsynsmail/A 15058-2025 tillsynsbegäran mail.docx", "A 15058-2025")</f>
        <v/>
      </c>
    </row>
    <row r="85" ht="15" customHeight="1">
      <c r="A85" t="inlineStr">
        <is>
          <t>A 19094-2025</t>
        </is>
      </c>
      <c r="B85" s="1" t="n">
        <v>45767.54942129629</v>
      </c>
      <c r="C85" s="1" t="n">
        <v>46140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16.9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HYPERLINK("https://klasma.github.io/Logging_2083/artfynd/A 19094-2025 artfynd.xlsx", "A 19094-2025")</f>
        <v/>
      </c>
      <c r="T85">
        <f>HYPERLINK("https://klasma.github.io/Logging_2083/kartor/A 19094-2025 karta.png", "A 19094-2025")</f>
        <v/>
      </c>
      <c r="V85">
        <f>HYPERLINK("https://klasma.github.io/Logging_2083/klagomål/A 19094-2025 FSC-klagomål.docx", "A 19094-2025")</f>
        <v/>
      </c>
      <c r="W85">
        <f>HYPERLINK("https://klasma.github.io/Logging_2083/klagomålsmail/A 19094-2025 FSC-klagomål mail.docx", "A 19094-2025")</f>
        <v/>
      </c>
      <c r="X85">
        <f>HYPERLINK("https://klasma.github.io/Logging_2083/tillsyn/A 19094-2025 tillsynsbegäran.docx", "A 19094-2025")</f>
        <v/>
      </c>
      <c r="Y85">
        <f>HYPERLINK("https://klasma.github.io/Logging_2083/tillsynsmail/A 19094-2025 tillsynsbegäran mail.docx", "A 19094-2025")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46140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46140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46140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46140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46140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46140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46140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46140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46140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46140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46140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46140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46140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46140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46140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46140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46140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46140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46140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46140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46140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46140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46140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46140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46140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46140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46140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46140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46140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46140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46140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46140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46140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46140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46140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46140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46140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46140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56668-2024</t>
        </is>
      </c>
      <c r="B124" s="1" t="n">
        <v>45626.41185185185</v>
      </c>
      <c r="C124" s="1" t="n">
        <v>46140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14951-2025</t>
        </is>
      </c>
      <c r="B125" s="1" t="n">
        <v>45743.57695601852</v>
      </c>
      <c r="C125" s="1" t="n">
        <v>46140</v>
      </c>
      <c r="D125" t="inlineStr">
        <is>
          <t>DALARNAS LÄN</t>
        </is>
      </c>
      <c r="E125" t="inlineStr">
        <is>
          <t>HEDEMORA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19987-2025</t>
        </is>
      </c>
      <c r="B126" s="1" t="n">
        <v>45771.72193287037</v>
      </c>
      <c r="C126" s="1" t="n">
        <v>46140</v>
      </c>
      <c r="D126" t="inlineStr">
        <is>
          <t>DALARNAS LÄN</t>
        </is>
      </c>
      <c r="E126" t="inlineStr">
        <is>
          <t>HEDEMORA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34932-2024</t>
        </is>
      </c>
      <c r="B127" s="1" t="n">
        <v>45527.45431712963</v>
      </c>
      <c r="C127" s="1" t="n">
        <v>46140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23934-2023</t>
        </is>
      </c>
      <c r="B128" s="1" t="n">
        <v>45078.59590277778</v>
      </c>
      <c r="C128" s="1" t="n">
        <v>46140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37759-2024</t>
        </is>
      </c>
      <c r="B129" s="1" t="n">
        <v>45541</v>
      </c>
      <c r="C129" s="1" t="n">
        <v>46140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25645-2024</t>
        </is>
      </c>
      <c r="B130" s="1" t="n">
        <v>45463.66520833333</v>
      </c>
      <c r="C130" s="1" t="n">
        <v>46140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39497-2022</t>
        </is>
      </c>
      <c r="B131" s="1" t="n">
        <v>44817</v>
      </c>
      <c r="C131" s="1" t="n">
        <v>46140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55881-2023</t>
        </is>
      </c>
      <c r="B132" s="1" t="n">
        <v>45239</v>
      </c>
      <c r="C132" s="1" t="n">
        <v>46140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31365-2024</t>
        </is>
      </c>
      <c r="B133" s="1" t="n">
        <v>45505.37086805556</v>
      </c>
      <c r="C133" s="1" t="n">
        <v>46140</v>
      </c>
      <c r="D133" t="inlineStr">
        <is>
          <t>DALARNAS LÄN</t>
        </is>
      </c>
      <c r="E133" t="inlineStr">
        <is>
          <t>HEDEMORA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24486-2024</t>
        </is>
      </c>
      <c r="B134" s="1" t="n">
        <v>45459.62336805555</v>
      </c>
      <c r="C134" s="1" t="n">
        <v>46140</v>
      </c>
      <c r="D134" t="inlineStr">
        <is>
          <t>DALARNAS LÄN</t>
        </is>
      </c>
      <c r="E134" t="inlineStr">
        <is>
          <t>HEDEMORA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46140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29587-2024</t>
        </is>
      </c>
      <c r="B136" s="1" t="n">
        <v>45484.5799537037</v>
      </c>
      <c r="C136" s="1" t="n">
        <v>46140</v>
      </c>
      <c r="D136" t="inlineStr">
        <is>
          <t>DALARNAS LÄN</t>
        </is>
      </c>
      <c r="E136" t="inlineStr">
        <is>
          <t>HEDEMORA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40707-2023</t>
        </is>
      </c>
      <c r="B137" s="1" t="n">
        <v>45170.62489583333</v>
      </c>
      <c r="C137" s="1" t="n">
        <v>46140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60774-2022</t>
        </is>
      </c>
      <c r="B138" s="1" t="n">
        <v>44914.37917824074</v>
      </c>
      <c r="C138" s="1" t="n">
        <v>46140</v>
      </c>
      <c r="D138" t="inlineStr">
        <is>
          <t>DALARNAS LÄN</t>
        </is>
      </c>
      <c r="E138" t="inlineStr">
        <is>
          <t>HEDEMORA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60780-2024</t>
        </is>
      </c>
      <c r="B139" s="1" t="n">
        <v>45644.59017361111</v>
      </c>
      <c r="C139" s="1" t="n">
        <v>46140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61886-2022</t>
        </is>
      </c>
      <c r="B140" s="1" t="n">
        <v>44917.67582175926</v>
      </c>
      <c r="C140" s="1" t="n">
        <v>46140</v>
      </c>
      <c r="D140" t="inlineStr">
        <is>
          <t>DALARNAS LÄN</t>
        </is>
      </c>
      <c r="E140" t="inlineStr">
        <is>
          <t>HEDEMORA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62046-2022</t>
        </is>
      </c>
      <c r="B141" s="1" t="n">
        <v>44918.5633912037</v>
      </c>
      <c r="C141" s="1" t="n">
        <v>46140</v>
      </c>
      <c r="D141" t="inlineStr">
        <is>
          <t>DALARNAS LÄN</t>
        </is>
      </c>
      <c r="E141" t="inlineStr">
        <is>
          <t>HEDEMORA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36935-2024</t>
        </is>
      </c>
      <c r="B142" s="1" t="n">
        <v>45538.56925925926</v>
      </c>
      <c r="C142" s="1" t="n">
        <v>46140</v>
      </c>
      <c r="D142" t="inlineStr">
        <is>
          <t>DALARNAS LÄN</t>
        </is>
      </c>
      <c r="E142" t="inlineStr">
        <is>
          <t>HEDEMORA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37761-2024</t>
        </is>
      </c>
      <c r="B143" s="1" t="n">
        <v>45541.78678240741</v>
      </c>
      <c r="C143" s="1" t="n">
        <v>46140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20237-2023</t>
        </is>
      </c>
      <c r="B144" s="1" t="n">
        <v>45055</v>
      </c>
      <c r="C144" s="1" t="n">
        <v>46140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15863-2023</t>
        </is>
      </c>
      <c r="B145" s="1" t="n">
        <v>45022</v>
      </c>
      <c r="C145" s="1" t="n">
        <v>46140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37762-2024</t>
        </is>
      </c>
      <c r="B146" s="1" t="n">
        <v>45541.79369212963</v>
      </c>
      <c r="C146" s="1" t="n">
        <v>46140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5010-2023</t>
        </is>
      </c>
      <c r="B147" s="1" t="n">
        <v>44956</v>
      </c>
      <c r="C147" s="1" t="n">
        <v>46140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44384-2024</t>
        </is>
      </c>
      <c r="B148" s="1" t="n">
        <v>45573.67782407408</v>
      </c>
      <c r="C148" s="1" t="n">
        <v>46140</v>
      </c>
      <c r="D148" t="inlineStr">
        <is>
          <t>DALARNAS LÄN</t>
        </is>
      </c>
      <c r="E148" t="inlineStr">
        <is>
          <t>HEDEMORA</t>
        </is>
      </c>
      <c r="F148" t="inlineStr">
        <is>
          <t>Bergvik skog väst AB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44388-2024</t>
        </is>
      </c>
      <c r="B149" s="1" t="n">
        <v>45573.68875</v>
      </c>
      <c r="C149" s="1" t="n">
        <v>46140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44957-2021</t>
        </is>
      </c>
      <c r="B150" s="1" t="n">
        <v>44438.71809027778</v>
      </c>
      <c r="C150" s="1" t="n">
        <v>46140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53586-2023</t>
        </is>
      </c>
      <c r="B151" s="1" t="n">
        <v>45230.52603009259</v>
      </c>
      <c r="C151" s="1" t="n">
        <v>46140</v>
      </c>
      <c r="D151" t="inlineStr">
        <is>
          <t>DALARNAS LÄN</t>
        </is>
      </c>
      <c r="E151" t="inlineStr">
        <is>
          <t>HEDEMORA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45377-2024</t>
        </is>
      </c>
      <c r="B152" s="1" t="n">
        <v>45576.51962962963</v>
      </c>
      <c r="C152" s="1" t="n">
        <v>46140</v>
      </c>
      <c r="D152" t="inlineStr">
        <is>
          <t>DALARNAS LÄN</t>
        </is>
      </c>
      <c r="E152" t="inlineStr">
        <is>
          <t>HEDEMORA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6556-2023</t>
        </is>
      </c>
      <c r="B153" s="1" t="n">
        <v>44961</v>
      </c>
      <c r="C153" s="1" t="n">
        <v>46140</v>
      </c>
      <c r="D153" t="inlineStr">
        <is>
          <t>DALARNAS LÄN</t>
        </is>
      </c>
      <c r="E153" t="inlineStr">
        <is>
          <t>HEDEMORA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20273-2025</t>
        </is>
      </c>
      <c r="B154" s="1" t="n">
        <v>45773.71921296296</v>
      </c>
      <c r="C154" s="1" t="n">
        <v>46140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36656-2025</t>
        </is>
      </c>
      <c r="B155" s="1" t="n">
        <v>45873.34642361111</v>
      </c>
      <c r="C155" s="1" t="n">
        <v>46140</v>
      </c>
      <c r="D155" t="inlineStr">
        <is>
          <t>DALARNAS LÄN</t>
        </is>
      </c>
      <c r="E155" t="inlineStr">
        <is>
          <t>HEDEMORA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20271-2025</t>
        </is>
      </c>
      <c r="B156" s="1" t="n">
        <v>45773.71568287037</v>
      </c>
      <c r="C156" s="1" t="n">
        <v>46140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34185-2025</t>
        </is>
      </c>
      <c r="B157" s="1" t="n">
        <v>45845</v>
      </c>
      <c r="C157" s="1" t="n">
        <v>46140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59632-2023</t>
        </is>
      </c>
      <c r="B158" s="1" t="n">
        <v>45254</v>
      </c>
      <c r="C158" s="1" t="n">
        <v>46140</v>
      </c>
      <c r="D158" t="inlineStr">
        <is>
          <t>DALARNAS LÄN</t>
        </is>
      </c>
      <c r="E158" t="inlineStr">
        <is>
          <t>HEDEMORA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14968-2025</t>
        </is>
      </c>
      <c r="B159" s="1" t="n">
        <v>45743.59052083334</v>
      </c>
      <c r="C159" s="1" t="n">
        <v>46140</v>
      </c>
      <c r="D159" t="inlineStr">
        <is>
          <t>DALARNAS LÄN</t>
        </is>
      </c>
      <c r="E159" t="inlineStr">
        <is>
          <t>HEDEMORA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19690-2025</t>
        </is>
      </c>
      <c r="B160" s="1" t="n">
        <v>45770</v>
      </c>
      <c r="C160" s="1" t="n">
        <v>46140</v>
      </c>
      <c r="D160" t="inlineStr">
        <is>
          <t>DALARNAS LÄN</t>
        </is>
      </c>
      <c r="E160" t="inlineStr">
        <is>
          <t>HEDEMORA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21868-2025</t>
        </is>
      </c>
      <c r="B161" s="1" t="n">
        <v>45784</v>
      </c>
      <c r="C161" s="1" t="n">
        <v>46140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36306-2024</t>
        </is>
      </c>
      <c r="B162" s="1" t="n">
        <v>45534.61327546297</v>
      </c>
      <c r="C162" s="1" t="n">
        <v>46140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21864-2025</t>
        </is>
      </c>
      <c r="B163" s="1" t="n">
        <v>45784</v>
      </c>
      <c r="C163" s="1" t="n">
        <v>46140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39393-2025</t>
        </is>
      </c>
      <c r="B164" s="1" t="n">
        <v>45889.62287037037</v>
      </c>
      <c r="C164" s="1" t="n">
        <v>46140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39390-2025</t>
        </is>
      </c>
      <c r="B165" s="1" t="n">
        <v>45889.6240625</v>
      </c>
      <c r="C165" s="1" t="n">
        <v>46140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63908-2021</t>
        </is>
      </c>
      <c r="B166" s="1" t="n">
        <v>44509.6580787037</v>
      </c>
      <c r="C166" s="1" t="n">
        <v>46140</v>
      </c>
      <c r="D166" t="inlineStr">
        <is>
          <t>DALARNAS LÄN</t>
        </is>
      </c>
      <c r="E166" t="inlineStr">
        <is>
          <t>HEDEMORA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54423-2023</t>
        </is>
      </c>
      <c r="B167" s="1" t="n">
        <v>45233.41666666666</v>
      </c>
      <c r="C167" s="1" t="n">
        <v>46140</v>
      </c>
      <c r="D167" t="inlineStr">
        <is>
          <t>DALARNAS LÄN</t>
        </is>
      </c>
      <c r="E167" t="inlineStr">
        <is>
          <t>HEDEMORA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19688-2025</t>
        </is>
      </c>
      <c r="B168" s="1" t="n">
        <v>45770.88217592592</v>
      </c>
      <c r="C168" s="1" t="n">
        <v>46140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19689-2025</t>
        </is>
      </c>
      <c r="B169" s="1" t="n">
        <v>45770.88462962963</v>
      </c>
      <c r="C169" s="1" t="n">
        <v>46140</v>
      </c>
      <c r="D169" t="inlineStr">
        <is>
          <t>DALARNAS LÄN</t>
        </is>
      </c>
      <c r="E169" t="inlineStr">
        <is>
          <t>HEDEMORA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40419-2025</t>
        </is>
      </c>
      <c r="B170" s="1" t="n">
        <v>45895.57958333333</v>
      </c>
      <c r="C170" s="1" t="n">
        <v>46140</v>
      </c>
      <c r="D170" t="inlineStr">
        <is>
          <t>DALARNAS LÄN</t>
        </is>
      </c>
      <c r="E170" t="inlineStr">
        <is>
          <t>HEDEMORA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40456-2025</t>
        </is>
      </c>
      <c r="B171" s="1" t="n">
        <v>45895.64342592593</v>
      </c>
      <c r="C171" s="1" t="n">
        <v>46140</v>
      </c>
      <c r="D171" t="inlineStr">
        <is>
          <t>DALARNAS LÄN</t>
        </is>
      </c>
      <c r="E171" t="inlineStr">
        <is>
          <t>HEDEMORA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40421-2025</t>
        </is>
      </c>
      <c r="B172" s="1" t="n">
        <v>45895.58449074074</v>
      </c>
      <c r="C172" s="1" t="n">
        <v>46140</v>
      </c>
      <c r="D172" t="inlineStr">
        <is>
          <t>DALARNAS LÄN</t>
        </is>
      </c>
      <c r="E172" t="inlineStr">
        <is>
          <t>HEDEMORA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30572-2021</t>
        </is>
      </c>
      <c r="B173" s="1" t="n">
        <v>44364.83369212963</v>
      </c>
      <c r="C173" s="1" t="n">
        <v>46140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21092-2023</t>
        </is>
      </c>
      <c r="B174" s="1" t="n">
        <v>45061</v>
      </c>
      <c r="C174" s="1" t="n">
        <v>46140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62398-2023</t>
        </is>
      </c>
      <c r="B175" s="1" t="n">
        <v>45268</v>
      </c>
      <c r="C175" s="1" t="n">
        <v>46140</v>
      </c>
      <c r="D175" t="inlineStr">
        <is>
          <t>DALARNAS LÄN</t>
        </is>
      </c>
      <c r="E175" t="inlineStr">
        <is>
          <t>HEDEMORA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48320-2024</t>
        </is>
      </c>
      <c r="B176" s="1" t="n">
        <v>45590.4999537037</v>
      </c>
      <c r="C176" s="1" t="n">
        <v>46140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36900-2022</t>
        </is>
      </c>
      <c r="B177" s="1" t="n">
        <v>44805.71435185185</v>
      </c>
      <c r="C177" s="1" t="n">
        <v>46140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26431-2024</t>
        </is>
      </c>
      <c r="B178" s="1" t="n">
        <v>45469.48282407408</v>
      </c>
      <c r="C178" s="1" t="n">
        <v>46140</v>
      </c>
      <c r="D178" t="inlineStr">
        <is>
          <t>DALARNAS LÄN</t>
        </is>
      </c>
      <c r="E178" t="inlineStr">
        <is>
          <t>HEDEMORA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HYPERLINK("https://klasma.github.io/Logging_2083/knärot/A 26431-2024 karta knärot.png", "A 26431-2024")</f>
        <v/>
      </c>
      <c r="V178">
        <f>HYPERLINK("https://klasma.github.io/Logging_2083/klagomål/A 26431-2024 FSC-klagomål.docx", "A 26431-2024")</f>
        <v/>
      </c>
      <c r="W178">
        <f>HYPERLINK("https://klasma.github.io/Logging_2083/klagomålsmail/A 26431-2024 FSC-klagomål mail.docx", "A 26431-2024")</f>
        <v/>
      </c>
      <c r="X178">
        <f>HYPERLINK("https://klasma.github.io/Logging_2083/tillsyn/A 26431-2024 tillsynsbegäran.docx", "A 26431-2024")</f>
        <v/>
      </c>
      <c r="Y178">
        <f>HYPERLINK("https://klasma.github.io/Logging_2083/tillsynsmail/A 26431-2024 tillsynsbegäran mail.docx", "A 26431-2024")</f>
        <v/>
      </c>
    </row>
    <row r="179" ht="15" customHeight="1">
      <c r="A179" t="inlineStr">
        <is>
          <t>A 42645-2025</t>
        </is>
      </c>
      <c r="B179" s="1" t="n">
        <v>45906.40199074074</v>
      </c>
      <c r="C179" s="1" t="n">
        <v>46140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23501-2023</t>
        </is>
      </c>
      <c r="B180" s="1" t="n">
        <v>45076.73979166667</v>
      </c>
      <c r="C180" s="1" t="n">
        <v>46140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48254-2023</t>
        </is>
      </c>
      <c r="B181" s="1" t="n">
        <v>45205.53241898148</v>
      </c>
      <c r="C181" s="1" t="n">
        <v>46140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HYPERLINK("https://klasma.github.io/Logging_2083/knärot/A 48254-2023 karta knärot.png", "A 48254-2023")</f>
        <v/>
      </c>
      <c r="V181">
        <f>HYPERLINK("https://klasma.github.io/Logging_2083/klagomål/A 48254-2023 FSC-klagomål.docx", "A 48254-2023")</f>
        <v/>
      </c>
      <c r="W181">
        <f>HYPERLINK("https://klasma.github.io/Logging_2083/klagomålsmail/A 48254-2023 FSC-klagomål mail.docx", "A 48254-2023")</f>
        <v/>
      </c>
      <c r="X181">
        <f>HYPERLINK("https://klasma.github.io/Logging_2083/tillsyn/A 48254-2023 tillsynsbegäran.docx", "A 48254-2023")</f>
        <v/>
      </c>
      <c r="Y181">
        <f>HYPERLINK("https://klasma.github.io/Logging_2083/tillsynsmail/A 48254-2023 tillsynsbegäran mail.docx", "A 48254-2023")</f>
        <v/>
      </c>
    </row>
    <row r="182" ht="15" customHeight="1">
      <c r="A182" t="inlineStr">
        <is>
          <t>A 43193-2025</t>
        </is>
      </c>
      <c r="B182" s="1" t="n">
        <v>45910.42417824074</v>
      </c>
      <c r="C182" s="1" t="n">
        <v>46140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32071-2021</t>
        </is>
      </c>
      <c r="B183" s="1" t="n">
        <v>44370.90546296296</v>
      </c>
      <c r="C183" s="1" t="n">
        <v>46140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21763-2024</t>
        </is>
      </c>
      <c r="B184" s="1" t="n">
        <v>45442.60204861111</v>
      </c>
      <c r="C184" s="1" t="n">
        <v>46140</v>
      </c>
      <c r="D184" t="inlineStr">
        <is>
          <t>DALARNAS LÄN</t>
        </is>
      </c>
      <c r="E184" t="inlineStr">
        <is>
          <t>HEDEMORA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8342-2025</t>
        </is>
      </c>
      <c r="B185" s="1" t="n">
        <v>45708.67251157408</v>
      </c>
      <c r="C185" s="1" t="n">
        <v>46140</v>
      </c>
      <c r="D185" t="inlineStr">
        <is>
          <t>DALARNAS LÄN</t>
        </is>
      </c>
      <c r="E185" t="inlineStr">
        <is>
          <t>HEDEMORA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15833-2025</t>
        </is>
      </c>
      <c r="B186" s="1" t="n">
        <v>45748.85107638889</v>
      </c>
      <c r="C186" s="1" t="n">
        <v>46140</v>
      </c>
      <c r="D186" t="inlineStr">
        <is>
          <t>DALARNAS LÄN</t>
        </is>
      </c>
      <c r="E186" t="inlineStr">
        <is>
          <t>HEDEMORA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44850-2025</t>
        </is>
      </c>
      <c r="B187" s="1" t="n">
        <v>45918.44587962963</v>
      </c>
      <c r="C187" s="1" t="n">
        <v>46140</v>
      </c>
      <c r="D187" t="inlineStr">
        <is>
          <t>DALARNAS LÄN</t>
        </is>
      </c>
      <c r="E187" t="inlineStr">
        <is>
          <t>HEDEMORA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12136-2025</t>
        </is>
      </c>
      <c r="B188" s="1" t="n">
        <v>45729.39300925926</v>
      </c>
      <c r="C188" s="1" t="n">
        <v>46140</v>
      </c>
      <c r="D188" t="inlineStr">
        <is>
          <t>DALARNAS LÄN</t>
        </is>
      </c>
      <c r="E188" t="inlineStr">
        <is>
          <t>HEDEMORA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45936-2025</t>
        </is>
      </c>
      <c r="B189" s="1" t="n">
        <v>45924.26582175926</v>
      </c>
      <c r="C189" s="1" t="n">
        <v>46140</v>
      </c>
      <c r="D189" t="inlineStr">
        <is>
          <t>DALARNAS LÄN</t>
        </is>
      </c>
      <c r="E189" t="inlineStr">
        <is>
          <t>HEDEMORA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45938-2025</t>
        </is>
      </c>
      <c r="B190" s="1" t="n">
        <v>45924.27704861111</v>
      </c>
      <c r="C190" s="1" t="n">
        <v>46140</v>
      </c>
      <c r="D190" t="inlineStr">
        <is>
          <t>DALARNAS LÄN</t>
        </is>
      </c>
      <c r="E190" t="inlineStr">
        <is>
          <t>HEDEMORA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45983-2025</t>
        </is>
      </c>
      <c r="B191" s="1" t="n">
        <v>45924.37988425926</v>
      </c>
      <c r="C191" s="1" t="n">
        <v>46140</v>
      </c>
      <c r="D191" t="inlineStr">
        <is>
          <t>DALARNAS LÄN</t>
        </is>
      </c>
      <c r="E191" t="inlineStr">
        <is>
          <t>HEDEMORA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45937-2025</t>
        </is>
      </c>
      <c r="B192" s="1" t="n">
        <v>45924.27231481481</v>
      </c>
      <c r="C192" s="1" t="n">
        <v>46140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50333-2023</t>
        </is>
      </c>
      <c r="B193" s="1" t="n">
        <v>45216</v>
      </c>
      <c r="C193" s="1" t="n">
        <v>46140</v>
      </c>
      <c r="D193" t="inlineStr">
        <is>
          <t>DALARNAS LÄN</t>
        </is>
      </c>
      <c r="E193" t="inlineStr">
        <is>
          <t>HEDEMORA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46287-2025</t>
        </is>
      </c>
      <c r="B194" s="1" t="n">
        <v>45925.38450231482</v>
      </c>
      <c r="C194" s="1" t="n">
        <v>46140</v>
      </c>
      <c r="D194" t="inlineStr">
        <is>
          <t>DALARNAS LÄN</t>
        </is>
      </c>
      <c r="E194" t="inlineStr">
        <is>
          <t>HEDEMORA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22270-2023</t>
        </is>
      </c>
      <c r="B195" s="1" t="n">
        <v>45070.39284722223</v>
      </c>
      <c r="C195" s="1" t="n">
        <v>46140</v>
      </c>
      <c r="D195" t="inlineStr">
        <is>
          <t>DALARNAS LÄN</t>
        </is>
      </c>
      <c r="E195" t="inlineStr">
        <is>
          <t>HEDEMORA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53576-2023</t>
        </is>
      </c>
      <c r="B196" s="1" t="n">
        <v>45230.50288194444</v>
      </c>
      <c r="C196" s="1" t="n">
        <v>46140</v>
      </c>
      <c r="D196" t="inlineStr">
        <is>
          <t>DALARNAS LÄN</t>
        </is>
      </c>
      <c r="E196" t="inlineStr">
        <is>
          <t>HEDEMORA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19990-2025</t>
        </is>
      </c>
      <c r="B197" s="1" t="n">
        <v>45771.73082175926</v>
      </c>
      <c r="C197" s="1" t="n">
        <v>46140</v>
      </c>
      <c r="D197" t="inlineStr">
        <is>
          <t>DALARNAS LÄN</t>
        </is>
      </c>
      <c r="E197" t="inlineStr">
        <is>
          <t>HEDEMORA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27610-2024</t>
        </is>
      </c>
      <c r="B198" s="1" t="n">
        <v>45474.73221064815</v>
      </c>
      <c r="C198" s="1" t="n">
        <v>46140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48323-2021</t>
        </is>
      </c>
      <c r="B199" s="1" t="n">
        <v>44450.84762731481</v>
      </c>
      <c r="C199" s="1" t="n">
        <v>46140</v>
      </c>
      <c r="D199" t="inlineStr">
        <is>
          <t>DALARNAS LÄN</t>
        </is>
      </c>
      <c r="E199" t="inlineStr">
        <is>
          <t>HEDEMORA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48076-2025</t>
        </is>
      </c>
      <c r="B200" s="1" t="n">
        <v>45932.7075</v>
      </c>
      <c r="C200" s="1" t="n">
        <v>46140</v>
      </c>
      <c r="D200" t="inlineStr">
        <is>
          <t>DALARNAS LÄN</t>
        </is>
      </c>
      <c r="E200" t="inlineStr">
        <is>
          <t>HEDEMORA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48077-2025</t>
        </is>
      </c>
      <c r="B201" s="1" t="n">
        <v>45932.71114583333</v>
      </c>
      <c r="C201" s="1" t="n">
        <v>46140</v>
      </c>
      <c r="D201" t="inlineStr">
        <is>
          <t>DALARNAS LÄN</t>
        </is>
      </c>
      <c r="E201" t="inlineStr">
        <is>
          <t>HEDEMORA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48238-2025</t>
        </is>
      </c>
      <c r="B202" s="1" t="n">
        <v>45933.53237268519</v>
      </c>
      <c r="C202" s="1" t="n">
        <v>46140</v>
      </c>
      <c r="D202" t="inlineStr">
        <is>
          <t>DALARNAS LÄN</t>
        </is>
      </c>
      <c r="E202" t="inlineStr">
        <is>
          <t>HEDEMORA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68553-2021</t>
        </is>
      </c>
      <c r="B203" s="1" t="n">
        <v>44529</v>
      </c>
      <c r="C203" s="1" t="n">
        <v>46140</v>
      </c>
      <c r="D203" t="inlineStr">
        <is>
          <t>DALARNAS LÄN</t>
        </is>
      </c>
      <c r="E203" t="inlineStr">
        <is>
          <t>HEDEMORA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17600-2025</t>
        </is>
      </c>
      <c r="B204" s="1" t="n">
        <v>45757.71063657408</v>
      </c>
      <c r="C204" s="1" t="n">
        <v>46140</v>
      </c>
      <c r="D204" t="inlineStr">
        <is>
          <t>DALARNAS LÄN</t>
        </is>
      </c>
      <c r="E204" t="inlineStr">
        <is>
          <t>HEDEMORA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29123-2021</t>
        </is>
      </c>
      <c r="B205" s="1" t="n">
        <v>44358</v>
      </c>
      <c r="C205" s="1" t="n">
        <v>46140</v>
      </c>
      <c r="D205" t="inlineStr">
        <is>
          <t>DALARNAS LÄN</t>
        </is>
      </c>
      <c r="E205" t="inlineStr">
        <is>
          <t>HEDEMORA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28029-2023</t>
        </is>
      </c>
      <c r="B206" s="1" t="n">
        <v>45099</v>
      </c>
      <c r="C206" s="1" t="n">
        <v>46140</v>
      </c>
      <c r="D206" t="inlineStr">
        <is>
          <t>DALARNAS LÄN</t>
        </is>
      </c>
      <c r="E206" t="inlineStr">
        <is>
          <t>HEDEMORA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44960-2021</t>
        </is>
      </c>
      <c r="B207" s="1" t="n">
        <v>44438.72253472222</v>
      </c>
      <c r="C207" s="1" t="n">
        <v>46140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58018-2022</t>
        </is>
      </c>
      <c r="B208" s="1" t="n">
        <v>44900.53383101852</v>
      </c>
      <c r="C208" s="1" t="n">
        <v>46140</v>
      </c>
      <c r="D208" t="inlineStr">
        <is>
          <t>DALARNAS LÄN</t>
        </is>
      </c>
      <c r="E208" t="inlineStr">
        <is>
          <t>HEDEMORA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49942-2025</t>
        </is>
      </c>
      <c r="B209" s="1" t="n">
        <v>45940.69508101852</v>
      </c>
      <c r="C209" s="1" t="n">
        <v>46140</v>
      </c>
      <c r="D209" t="inlineStr">
        <is>
          <t>DALARNAS LÄN</t>
        </is>
      </c>
      <c r="E209" t="inlineStr">
        <is>
          <t>HEDEMORA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50043-2025</t>
        </is>
      </c>
      <c r="B210" s="1" t="n">
        <v>45943.40546296296</v>
      </c>
      <c r="C210" s="1" t="n">
        <v>46140</v>
      </c>
      <c r="D210" t="inlineStr">
        <is>
          <t>DALARNAS LÄN</t>
        </is>
      </c>
      <c r="E210" t="inlineStr">
        <is>
          <t>HEDEMORA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29050-2023</t>
        </is>
      </c>
      <c r="B211" s="1" t="n">
        <v>45104</v>
      </c>
      <c r="C211" s="1" t="n">
        <v>46140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63929-2023</t>
        </is>
      </c>
      <c r="B212" s="1" t="n">
        <v>45278.60274305556</v>
      </c>
      <c r="C212" s="1" t="n">
        <v>46140</v>
      </c>
      <c r="D212" t="inlineStr">
        <is>
          <t>DALARNAS LÄN</t>
        </is>
      </c>
      <c r="E212" t="inlineStr">
        <is>
          <t>HEDEMORA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50101-2025</t>
        </is>
      </c>
      <c r="B213" s="1" t="n">
        <v>45943.53317129629</v>
      </c>
      <c r="C213" s="1" t="n">
        <v>46140</v>
      </c>
      <c r="D213" t="inlineStr">
        <is>
          <t>DALARNAS LÄN</t>
        </is>
      </c>
      <c r="E213" t="inlineStr">
        <is>
          <t>HEDEMORA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50115-2025</t>
        </is>
      </c>
      <c r="B214" s="1" t="n">
        <v>45943.54636574074</v>
      </c>
      <c r="C214" s="1" t="n">
        <v>46140</v>
      </c>
      <c r="D214" t="inlineStr">
        <is>
          <t>DALARNAS LÄN</t>
        </is>
      </c>
      <c r="E214" t="inlineStr">
        <is>
          <t>HEDEMORA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61883-2022</t>
        </is>
      </c>
      <c r="B215" s="1" t="n">
        <v>44917.67262731482</v>
      </c>
      <c r="C215" s="1" t="n">
        <v>46140</v>
      </c>
      <c r="D215" t="inlineStr">
        <is>
          <t>DALARNAS LÄN</t>
        </is>
      </c>
      <c r="E215" t="inlineStr">
        <is>
          <t>HEDEMORA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50038-2025</t>
        </is>
      </c>
      <c r="B216" s="1" t="n">
        <v>45943.40084490741</v>
      </c>
      <c r="C216" s="1" t="n">
        <v>46140</v>
      </c>
      <c r="D216" t="inlineStr">
        <is>
          <t>DALARNAS LÄN</t>
        </is>
      </c>
      <c r="E216" t="inlineStr">
        <is>
          <t>HEDEMORA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37449-2024</t>
        </is>
      </c>
      <c r="B217" s="1" t="n">
        <v>45540</v>
      </c>
      <c r="C217" s="1" t="n">
        <v>46140</v>
      </c>
      <c r="D217" t="inlineStr">
        <is>
          <t>DALARNAS LÄN</t>
        </is>
      </c>
      <c r="E217" t="inlineStr">
        <is>
          <t>HEDEMORA</t>
        </is>
      </c>
      <c r="F217" t="inlineStr">
        <is>
          <t>Bergvik skog väst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50078-2025</t>
        </is>
      </c>
      <c r="B218" s="1" t="n">
        <v>45943</v>
      </c>
      <c r="C218" s="1" t="n">
        <v>46140</v>
      </c>
      <c r="D218" t="inlineStr">
        <is>
          <t>DALARNAS LÄN</t>
        </is>
      </c>
      <c r="E218" t="inlineStr">
        <is>
          <t>HEDEMORA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29301-2023</t>
        </is>
      </c>
      <c r="B219" s="1" t="n">
        <v>45105</v>
      </c>
      <c r="C219" s="1" t="n">
        <v>46140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7172-2025</t>
        </is>
      </c>
      <c r="B220" s="1" t="n">
        <v>45702.41383101852</v>
      </c>
      <c r="C220" s="1" t="n">
        <v>46140</v>
      </c>
      <c r="D220" t="inlineStr">
        <is>
          <t>DALARNAS LÄN</t>
        </is>
      </c>
      <c r="E220" t="inlineStr">
        <is>
          <t>HEDEMORA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42894-2024</t>
        </is>
      </c>
      <c r="B221" s="1" t="n">
        <v>45566.82304398148</v>
      </c>
      <c r="C221" s="1" t="n">
        <v>46140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42895-2024</t>
        </is>
      </c>
      <c r="B222" s="1" t="n">
        <v>45566.82385416667</v>
      </c>
      <c r="C222" s="1" t="n">
        <v>46140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7914-2024</t>
        </is>
      </c>
      <c r="B223" s="1" t="n">
        <v>45350.46003472222</v>
      </c>
      <c r="C223" s="1" t="n">
        <v>46140</v>
      </c>
      <c r="D223" t="inlineStr">
        <is>
          <t>DALARNAS LÄN</t>
        </is>
      </c>
      <c r="E223" t="inlineStr">
        <is>
          <t>HEDEMORA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61533-2021</t>
        </is>
      </c>
      <c r="B224" s="1" t="n">
        <v>44501</v>
      </c>
      <c r="C224" s="1" t="n">
        <v>46140</v>
      </c>
      <c r="D224" t="inlineStr">
        <is>
          <t>DALARNAS LÄN</t>
        </is>
      </c>
      <c r="E224" t="inlineStr">
        <is>
          <t>HEDEMORA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51615-2025</t>
        </is>
      </c>
      <c r="B225" s="1" t="n">
        <v>45951.40246527778</v>
      </c>
      <c r="C225" s="1" t="n">
        <v>46140</v>
      </c>
      <c r="D225" t="inlineStr">
        <is>
          <t>DALARNAS LÄN</t>
        </is>
      </c>
      <c r="E225" t="inlineStr">
        <is>
          <t>HEDEMORA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51695-2025</t>
        </is>
      </c>
      <c r="B226" s="1" t="n">
        <v>45951.54824074074</v>
      </c>
      <c r="C226" s="1" t="n">
        <v>46140</v>
      </c>
      <c r="D226" t="inlineStr">
        <is>
          <t>DALARNAS LÄN</t>
        </is>
      </c>
      <c r="E226" t="inlineStr">
        <is>
          <t>HEDEMORA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52714-2025</t>
        </is>
      </c>
      <c r="B227" s="1" t="n">
        <v>45953</v>
      </c>
      <c r="C227" s="1" t="n">
        <v>46140</v>
      </c>
      <c r="D227" t="inlineStr">
        <is>
          <t>DALARNAS LÄN</t>
        </is>
      </c>
      <c r="E227" t="inlineStr">
        <is>
          <t>HEDEMORA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9314-2024</t>
        </is>
      </c>
      <c r="B228" s="1" t="n">
        <v>45358</v>
      </c>
      <c r="C228" s="1" t="n">
        <v>46140</v>
      </c>
      <c r="D228" t="inlineStr">
        <is>
          <t>DALARNAS LÄN</t>
        </is>
      </c>
      <c r="E228" t="inlineStr">
        <is>
          <t>HEDEMORA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51943-2025</t>
        </is>
      </c>
      <c r="B229" s="1" t="n">
        <v>45952</v>
      </c>
      <c r="C229" s="1" t="n">
        <v>46140</v>
      </c>
      <c r="D229" t="inlineStr">
        <is>
          <t>DALARNAS LÄN</t>
        </is>
      </c>
      <c r="E229" t="inlineStr">
        <is>
          <t>HEDEMORA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52328-2025</t>
        </is>
      </c>
      <c r="B230" s="1" t="n">
        <v>45953.67157407408</v>
      </c>
      <c r="C230" s="1" t="n">
        <v>46140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52325-2025</t>
        </is>
      </c>
      <c r="B231" s="1" t="n">
        <v>45953.67032407408</v>
      </c>
      <c r="C231" s="1" t="n">
        <v>46140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73099-2021</t>
        </is>
      </c>
      <c r="B232" s="1" t="n">
        <v>44546</v>
      </c>
      <c r="C232" s="1" t="n">
        <v>46140</v>
      </c>
      <c r="D232" t="inlineStr">
        <is>
          <t>DALARNAS LÄN</t>
        </is>
      </c>
      <c r="E232" t="inlineStr">
        <is>
          <t>HEDEMORA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52316-2025</t>
        </is>
      </c>
      <c r="B233" s="1" t="n">
        <v>45953.65537037037</v>
      </c>
      <c r="C233" s="1" t="n">
        <v>46140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55882-2023</t>
        </is>
      </c>
      <c r="B234" s="1" t="n">
        <v>45239</v>
      </c>
      <c r="C234" s="1" t="n">
        <v>46140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52759-2025</t>
        </is>
      </c>
      <c r="B235" s="1" t="n">
        <v>45957.39364583333</v>
      </c>
      <c r="C235" s="1" t="n">
        <v>46140</v>
      </c>
      <c r="D235" t="inlineStr">
        <is>
          <t>DALARNAS LÄN</t>
        </is>
      </c>
      <c r="E235" t="inlineStr">
        <is>
          <t>HEDEMORA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53044-2025</t>
        </is>
      </c>
      <c r="B236" s="1" t="n">
        <v>45958.35663194444</v>
      </c>
      <c r="C236" s="1" t="n">
        <v>46140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52853-2025</t>
        </is>
      </c>
      <c r="B237" s="1" t="n">
        <v>45957.49408564815</v>
      </c>
      <c r="C237" s="1" t="n">
        <v>46140</v>
      </c>
      <c r="D237" t="inlineStr">
        <is>
          <t>DALARNAS LÄN</t>
        </is>
      </c>
      <c r="E237" t="inlineStr">
        <is>
          <t>HEDEMORA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50885-2023</t>
        </is>
      </c>
      <c r="B238" s="1" t="n">
        <v>45218.38459490741</v>
      </c>
      <c r="C238" s="1" t="n">
        <v>46140</v>
      </c>
      <c r="D238" t="inlineStr">
        <is>
          <t>DALARNAS LÄN</t>
        </is>
      </c>
      <c r="E238" t="inlineStr">
        <is>
          <t>HEDEMORA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65057-2023</t>
        </is>
      </c>
      <c r="B239" s="1" t="n">
        <v>45287</v>
      </c>
      <c r="C239" s="1" t="n">
        <v>46140</v>
      </c>
      <c r="D239" t="inlineStr">
        <is>
          <t>DALARNAS LÄN</t>
        </is>
      </c>
      <c r="E239" t="inlineStr">
        <is>
          <t>HEDEMORA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11046-2022</t>
        </is>
      </c>
      <c r="B240" s="1" t="n">
        <v>44628</v>
      </c>
      <c r="C240" s="1" t="n">
        <v>46140</v>
      </c>
      <c r="D240" t="inlineStr">
        <is>
          <t>DALARNAS LÄN</t>
        </is>
      </c>
      <c r="E240" t="inlineStr">
        <is>
          <t>HEDEMORA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53040-2025</t>
        </is>
      </c>
      <c r="B241" s="1" t="n">
        <v>45958.35328703704</v>
      </c>
      <c r="C241" s="1" t="n">
        <v>46140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38947-2023</t>
        </is>
      </c>
      <c r="B242" s="1" t="n">
        <v>45163.61209490741</v>
      </c>
      <c r="C242" s="1" t="n">
        <v>46140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38951-2023</t>
        </is>
      </c>
      <c r="B243" s="1" t="n">
        <v>45163.61413194444</v>
      </c>
      <c r="C243" s="1" t="n">
        <v>46140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53551-2025</t>
        </is>
      </c>
      <c r="B244" s="1" t="n">
        <v>45960.3875</v>
      </c>
      <c r="C244" s="1" t="n">
        <v>46140</v>
      </c>
      <c r="D244" t="inlineStr">
        <is>
          <t>DALARNAS LÄN</t>
        </is>
      </c>
      <c r="E244" t="inlineStr">
        <is>
          <t>HEDEMORA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54040-2025</t>
        </is>
      </c>
      <c r="B245" s="1" t="n">
        <v>45963.74130787037</v>
      </c>
      <c r="C245" s="1" t="n">
        <v>46140</v>
      </c>
      <c r="D245" t="inlineStr">
        <is>
          <t>DALARNAS LÄN</t>
        </is>
      </c>
      <c r="E245" t="inlineStr">
        <is>
          <t>HEDEMORA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27609-2024</t>
        </is>
      </c>
      <c r="B246" s="1" t="n">
        <v>45474.73076388889</v>
      </c>
      <c r="C246" s="1" t="n">
        <v>46140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23435-2025</t>
        </is>
      </c>
      <c r="B247" s="1" t="n">
        <v>45792.37162037037</v>
      </c>
      <c r="C247" s="1" t="n">
        <v>46140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21869-2025</t>
        </is>
      </c>
      <c r="B248" s="1" t="n">
        <v>45784.37449074074</v>
      </c>
      <c r="C248" s="1" t="n">
        <v>46140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32738-2022</t>
        </is>
      </c>
      <c r="B249" s="1" t="n">
        <v>44783.68931712963</v>
      </c>
      <c r="C249" s="1" t="n">
        <v>46140</v>
      </c>
      <c r="D249" t="inlineStr">
        <is>
          <t>DALARNAS LÄN</t>
        </is>
      </c>
      <c r="E249" t="inlineStr">
        <is>
          <t>HEDEMORA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54829-2025</t>
        </is>
      </c>
      <c r="B250" s="1" t="n">
        <v>45966.67506944444</v>
      </c>
      <c r="C250" s="1" t="n">
        <v>46140</v>
      </c>
      <c r="D250" t="inlineStr">
        <is>
          <t>DALARNAS LÄN</t>
        </is>
      </c>
      <c r="E250" t="inlineStr">
        <is>
          <t>HEDEMORA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33287-2025</t>
        </is>
      </c>
      <c r="B251" s="1" t="n">
        <v>45840.81216435185</v>
      </c>
      <c r="C251" s="1" t="n">
        <v>46140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16413-2024</t>
        </is>
      </c>
      <c r="B252" s="1" t="n">
        <v>45407.64223379629</v>
      </c>
      <c r="C252" s="1" t="n">
        <v>46140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54830-2025</t>
        </is>
      </c>
      <c r="B253" s="1" t="n">
        <v>45966.67681712963</v>
      </c>
      <c r="C253" s="1" t="n">
        <v>46140</v>
      </c>
      <c r="D253" t="inlineStr">
        <is>
          <t>DALARNAS LÄN</t>
        </is>
      </c>
      <c r="E253" t="inlineStr">
        <is>
          <t>HEDEMORA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19473-2024</t>
        </is>
      </c>
      <c r="B254" s="1" t="n">
        <v>45429</v>
      </c>
      <c r="C254" s="1" t="n">
        <v>46140</v>
      </c>
      <c r="D254" t="inlineStr">
        <is>
          <t>DALARNAS LÄN</t>
        </is>
      </c>
      <c r="E254" t="inlineStr">
        <is>
          <t>HEDEMORA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55159-2025</t>
        </is>
      </c>
      <c r="B255" s="1" t="n">
        <v>45968.46832175926</v>
      </c>
      <c r="C255" s="1" t="n">
        <v>46140</v>
      </c>
      <c r="D255" t="inlineStr">
        <is>
          <t>DALARNAS LÄN</t>
        </is>
      </c>
      <c r="E255" t="inlineStr">
        <is>
          <t>HEDEMORA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48147-2025</t>
        </is>
      </c>
      <c r="B256" s="1" t="n">
        <v>45933</v>
      </c>
      <c r="C256" s="1" t="n">
        <v>46140</v>
      </c>
      <c r="D256" t="inlineStr">
        <is>
          <t>DALARNAS LÄN</t>
        </is>
      </c>
      <c r="E256" t="inlineStr">
        <is>
          <t>HEDEMORA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39389-2025</t>
        </is>
      </c>
      <c r="B257" s="1" t="n">
        <v>45889.62181712963</v>
      </c>
      <c r="C257" s="1" t="n">
        <v>46140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41435-2023</t>
        </is>
      </c>
      <c r="B258" s="1" t="n">
        <v>45170</v>
      </c>
      <c r="C258" s="1" t="n">
        <v>46140</v>
      </c>
      <c r="D258" t="inlineStr">
        <is>
          <t>DALARNAS LÄN</t>
        </is>
      </c>
      <c r="E258" t="inlineStr">
        <is>
          <t>HEDEMORA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54312-2024</t>
        </is>
      </c>
      <c r="B259" s="1" t="n">
        <v>45617.3434837963</v>
      </c>
      <c r="C259" s="1" t="n">
        <v>46140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29585-2024</t>
        </is>
      </c>
      <c r="B260" s="1" t="n">
        <v>45484.57728009259</v>
      </c>
      <c r="C260" s="1" t="n">
        <v>46140</v>
      </c>
      <c r="D260" t="inlineStr">
        <is>
          <t>DALARNAS LÄN</t>
        </is>
      </c>
      <c r="E260" t="inlineStr">
        <is>
          <t>HEDEMORA</t>
        </is>
      </c>
      <c r="F260" t="inlineStr">
        <is>
          <t>Bergvik skog väst AB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33288-2025</t>
        </is>
      </c>
      <c r="B261" s="1" t="n">
        <v>45840</v>
      </c>
      <c r="C261" s="1" t="n">
        <v>46140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55601-2025</t>
        </is>
      </c>
      <c r="B262" s="1" t="n">
        <v>45971.78122685185</v>
      </c>
      <c r="C262" s="1" t="n">
        <v>46140</v>
      </c>
      <c r="D262" t="inlineStr">
        <is>
          <t>DALARNAS LÄN</t>
        </is>
      </c>
      <c r="E262" t="inlineStr">
        <is>
          <t>HEDEMORA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69624-2021</t>
        </is>
      </c>
      <c r="B263" s="1" t="n">
        <v>44532.41442129629</v>
      </c>
      <c r="C263" s="1" t="n">
        <v>46140</v>
      </c>
      <c r="D263" t="inlineStr">
        <is>
          <t>DALARNAS LÄN</t>
        </is>
      </c>
      <c r="E263" t="inlineStr">
        <is>
          <t>HEDEMORA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55606-2025</t>
        </is>
      </c>
      <c r="B264" s="1" t="n">
        <v>45971.79564814815</v>
      </c>
      <c r="C264" s="1" t="n">
        <v>46140</v>
      </c>
      <c r="D264" t="inlineStr">
        <is>
          <t>DALARNAS LÄN</t>
        </is>
      </c>
      <c r="E264" t="inlineStr">
        <is>
          <t>HEDEMORA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63925-2023</t>
        </is>
      </c>
      <c r="B265" s="1" t="n">
        <v>45278</v>
      </c>
      <c r="C265" s="1" t="n">
        <v>46140</v>
      </c>
      <c r="D265" t="inlineStr">
        <is>
          <t>DALARNAS LÄN</t>
        </is>
      </c>
      <c r="E265" t="inlineStr">
        <is>
          <t>HEDEMORA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6881-2024</t>
        </is>
      </c>
      <c r="B266" s="1" t="n">
        <v>45342.8779050926</v>
      </c>
      <c r="C266" s="1" t="n">
        <v>46140</v>
      </c>
      <c r="D266" t="inlineStr">
        <is>
          <t>DALARNAS LÄN</t>
        </is>
      </c>
      <c r="E266" t="inlineStr">
        <is>
          <t>HEDEMORA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55917-2025</t>
        </is>
      </c>
      <c r="B267" s="1" t="n">
        <v>45973.41158564815</v>
      </c>
      <c r="C267" s="1" t="n">
        <v>46140</v>
      </c>
      <c r="D267" t="inlineStr">
        <is>
          <t>DALARNAS LÄN</t>
        </is>
      </c>
      <c r="E267" t="inlineStr">
        <is>
          <t>HEDEMORA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28813-2024</t>
        </is>
      </c>
      <c r="B268" s="1" t="n">
        <v>45478.641875</v>
      </c>
      <c r="C268" s="1" t="n">
        <v>46140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56378-2025</t>
        </is>
      </c>
      <c r="B269" s="1" t="n">
        <v>45974.70207175926</v>
      </c>
      <c r="C269" s="1" t="n">
        <v>46140</v>
      </c>
      <c r="D269" t="inlineStr">
        <is>
          <t>DALARNAS LÄN</t>
        </is>
      </c>
      <c r="E269" t="inlineStr">
        <is>
          <t>HEDEMORA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56070-2025</t>
        </is>
      </c>
      <c r="B270" s="1" t="n">
        <v>45973.65067129629</v>
      </c>
      <c r="C270" s="1" t="n">
        <v>46140</v>
      </c>
      <c r="D270" t="inlineStr">
        <is>
          <t>DALARNAS LÄN</t>
        </is>
      </c>
      <c r="E270" t="inlineStr">
        <is>
          <t>HEDEMORA</t>
        </is>
      </c>
      <c r="F270" t="inlineStr">
        <is>
          <t>Bergvik skog väst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19353-2024</t>
        </is>
      </c>
      <c r="B271" s="1" t="n">
        <v>45429.29666666667</v>
      </c>
      <c r="C271" s="1" t="n">
        <v>46140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19988-2025</t>
        </is>
      </c>
      <c r="B272" s="1" t="n">
        <v>45771.72665509259</v>
      </c>
      <c r="C272" s="1" t="n">
        <v>46140</v>
      </c>
      <c r="D272" t="inlineStr">
        <is>
          <t>DALARNAS LÄN</t>
        </is>
      </c>
      <c r="E272" t="inlineStr">
        <is>
          <t>HEDEMORA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56676-2025</t>
        </is>
      </c>
      <c r="B273" s="1" t="n">
        <v>45975.7162962963</v>
      </c>
      <c r="C273" s="1" t="n">
        <v>46140</v>
      </c>
      <c r="D273" t="inlineStr">
        <is>
          <t>DALARNAS LÄN</t>
        </is>
      </c>
      <c r="E273" t="inlineStr">
        <is>
          <t>HEDEMORA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56679-2025</t>
        </is>
      </c>
      <c r="B274" s="1" t="n">
        <v>45975.78238425926</v>
      </c>
      <c r="C274" s="1" t="n">
        <v>46140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52199-2021</t>
        </is>
      </c>
      <c r="B275" s="1" t="n">
        <v>44462</v>
      </c>
      <c r="C275" s="1" t="n">
        <v>46140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29640-2024</t>
        </is>
      </c>
      <c r="B276" s="1" t="n">
        <v>45484.69837962963</v>
      </c>
      <c r="C276" s="1" t="n">
        <v>46140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58020-2025</t>
        </is>
      </c>
      <c r="B277" s="1" t="n">
        <v>45982.47819444445</v>
      </c>
      <c r="C277" s="1" t="n">
        <v>46140</v>
      </c>
      <c r="D277" t="inlineStr">
        <is>
          <t>DALARNAS LÄN</t>
        </is>
      </c>
      <c r="E277" t="inlineStr">
        <is>
          <t>HEDEMORA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39530-2024</t>
        </is>
      </c>
      <c r="B278" s="1" t="n">
        <v>45551</v>
      </c>
      <c r="C278" s="1" t="n">
        <v>46140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39531-2024</t>
        </is>
      </c>
      <c r="B279" s="1" t="n">
        <v>45551</v>
      </c>
      <c r="C279" s="1" t="n">
        <v>46140</v>
      </c>
      <c r="D279" t="inlineStr">
        <is>
          <t>DALARNAS LÄN</t>
        </is>
      </c>
      <c r="E279" t="inlineStr">
        <is>
          <t>HEDEMORA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39552-2024</t>
        </is>
      </c>
      <c r="B280" s="1" t="n">
        <v>45551</v>
      </c>
      <c r="C280" s="1" t="n">
        <v>46140</v>
      </c>
      <c r="D280" t="inlineStr">
        <is>
          <t>DALARNAS LÄN</t>
        </is>
      </c>
      <c r="E280" t="inlineStr">
        <is>
          <t>HEDEMORA</t>
        </is>
      </c>
      <c r="F280" t="inlineStr">
        <is>
          <t>Bergvik skog väst AB</t>
        </is>
      </c>
      <c r="G280" t="n">
        <v>24.1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48321-2024</t>
        </is>
      </c>
      <c r="B281" s="1" t="n">
        <v>45590.50111111111</v>
      </c>
      <c r="C281" s="1" t="n">
        <v>46140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58705-2025</t>
        </is>
      </c>
      <c r="B282" s="1" t="n">
        <v>45986.60056712963</v>
      </c>
      <c r="C282" s="1" t="n">
        <v>46140</v>
      </c>
      <c r="D282" t="inlineStr">
        <is>
          <t>DALARNAS LÄN</t>
        </is>
      </c>
      <c r="E282" t="inlineStr">
        <is>
          <t>HEDEMORA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37574-2025</t>
        </is>
      </c>
      <c r="B283" s="1" t="n">
        <v>45880.37949074074</v>
      </c>
      <c r="C283" s="1" t="n">
        <v>46140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60808-2024</t>
        </is>
      </c>
      <c r="B284" s="1" t="n">
        <v>45644.61251157407</v>
      </c>
      <c r="C284" s="1" t="n">
        <v>46140</v>
      </c>
      <c r="D284" t="inlineStr">
        <is>
          <t>DALARNAS LÄN</t>
        </is>
      </c>
      <c r="E284" t="inlineStr">
        <is>
          <t>HEDEMORA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37573-2025</t>
        </is>
      </c>
      <c r="B285" s="1" t="n">
        <v>45880.37711805556</v>
      </c>
      <c r="C285" s="1" t="n">
        <v>46140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15635-2022</t>
        </is>
      </c>
      <c r="B286" s="1" t="n">
        <v>44662.84958333334</v>
      </c>
      <c r="C286" s="1" t="n">
        <v>46140</v>
      </c>
      <c r="D286" t="inlineStr">
        <is>
          <t>DALARNAS LÄN</t>
        </is>
      </c>
      <c r="E286" t="inlineStr">
        <is>
          <t>HEDEMORA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59582-2025</t>
        </is>
      </c>
      <c r="B287" s="1" t="n">
        <v>45992.31405092592</v>
      </c>
      <c r="C287" s="1" t="n">
        <v>46140</v>
      </c>
      <c r="D287" t="inlineStr">
        <is>
          <t>DALARNAS LÄN</t>
        </is>
      </c>
      <c r="E287" t="inlineStr">
        <is>
          <t>HEDEMORA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7916-2024</t>
        </is>
      </c>
      <c r="B288" s="1" t="n">
        <v>45350.46259259259</v>
      </c>
      <c r="C288" s="1" t="n">
        <v>46140</v>
      </c>
      <c r="D288" t="inlineStr">
        <is>
          <t>DALARNAS LÄN</t>
        </is>
      </c>
      <c r="E288" t="inlineStr">
        <is>
          <t>HEDEMORA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59581-2025</t>
        </is>
      </c>
      <c r="B289" s="1" t="n">
        <v>45992.31182870371</v>
      </c>
      <c r="C289" s="1" t="n">
        <v>46140</v>
      </c>
      <c r="D289" t="inlineStr">
        <is>
          <t>DALARNAS LÄN</t>
        </is>
      </c>
      <c r="E289" t="inlineStr">
        <is>
          <t>HEDEMORA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52944-2024</t>
        </is>
      </c>
      <c r="B290" s="1" t="n">
        <v>45610.82546296297</v>
      </c>
      <c r="C290" s="1" t="n">
        <v>46140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12133-2025</t>
        </is>
      </c>
      <c r="B291" s="1" t="n">
        <v>45729.38878472222</v>
      </c>
      <c r="C291" s="1" t="n">
        <v>46140</v>
      </c>
      <c r="D291" t="inlineStr">
        <is>
          <t>DALARNAS LÄN</t>
        </is>
      </c>
      <c r="E291" t="inlineStr">
        <is>
          <t>HEDEMORA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61136-2025</t>
        </is>
      </c>
      <c r="B292" s="1" t="n">
        <v>46000.50141203704</v>
      </c>
      <c r="C292" s="1" t="n">
        <v>46140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60858-2025</t>
        </is>
      </c>
      <c r="B293" s="1" t="n">
        <v>45999.52246527778</v>
      </c>
      <c r="C293" s="1" t="n">
        <v>46140</v>
      </c>
      <c r="D293" t="inlineStr">
        <is>
          <t>DALARNAS LÄN</t>
        </is>
      </c>
      <c r="E293" t="inlineStr">
        <is>
          <t>HEDEMORA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42510-2025</t>
        </is>
      </c>
      <c r="B294" s="1" t="n">
        <v>45905.54068287037</v>
      </c>
      <c r="C294" s="1" t="n">
        <v>46140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45097-2025</t>
        </is>
      </c>
      <c r="B295" s="1" t="n">
        <v>45919.38918981481</v>
      </c>
      <c r="C295" s="1" t="n">
        <v>46140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62407-2025</t>
        </is>
      </c>
      <c r="B296" s="1" t="n">
        <v>46007.43217592593</v>
      </c>
      <c r="C296" s="1" t="n">
        <v>46140</v>
      </c>
      <c r="D296" t="inlineStr">
        <is>
          <t>DALARNAS LÄN</t>
        </is>
      </c>
      <c r="E296" t="inlineStr">
        <is>
          <t>HEDEMORA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7052-2025</t>
        </is>
      </c>
      <c r="B297" s="1" t="n">
        <v>45701.64659722222</v>
      </c>
      <c r="C297" s="1" t="n">
        <v>46140</v>
      </c>
      <c r="D297" t="inlineStr">
        <is>
          <t>DALARNAS LÄN</t>
        </is>
      </c>
      <c r="E297" t="inlineStr">
        <is>
          <t>HEDEMORA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47841-2025</t>
        </is>
      </c>
      <c r="B298" s="1" t="n">
        <v>45932.37429398148</v>
      </c>
      <c r="C298" s="1" t="n">
        <v>46140</v>
      </c>
      <c r="D298" t="inlineStr">
        <is>
          <t>DALARNAS LÄN</t>
        </is>
      </c>
      <c r="E298" t="inlineStr">
        <is>
          <t>HEDEMORA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48381-2025</t>
        </is>
      </c>
      <c r="B299" s="1" t="n">
        <v>45933.81800925926</v>
      </c>
      <c r="C299" s="1" t="n">
        <v>46140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41642-2023</t>
        </is>
      </c>
      <c r="B300" s="1" t="n">
        <v>45175</v>
      </c>
      <c r="C300" s="1" t="n">
        <v>46140</v>
      </c>
      <c r="D300" t="inlineStr">
        <is>
          <t>DALARNAS LÄN</t>
        </is>
      </c>
      <c r="E300" t="inlineStr">
        <is>
          <t>HEDEMORA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45290-2025</t>
        </is>
      </c>
      <c r="B301" s="1" t="n">
        <v>45920.37158564815</v>
      </c>
      <c r="C301" s="1" t="n">
        <v>46140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17645-2022</t>
        </is>
      </c>
      <c r="B302" s="1" t="n">
        <v>44680.47903935185</v>
      </c>
      <c r="C302" s="1" t="n">
        <v>46140</v>
      </c>
      <c r="D302" t="inlineStr">
        <is>
          <t>DALARNAS LÄN</t>
        </is>
      </c>
      <c r="E302" t="inlineStr">
        <is>
          <t>HEDEMORA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63829-2025</t>
        </is>
      </c>
      <c r="B303" s="1" t="n">
        <v>46020</v>
      </c>
      <c r="C303" s="1" t="n">
        <v>46140</v>
      </c>
      <c r="D303" t="inlineStr">
        <is>
          <t>DALARNAS LÄN</t>
        </is>
      </c>
      <c r="E303" t="inlineStr">
        <is>
          <t>HEDEMORA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63900-2025</t>
        </is>
      </c>
      <c r="B304" s="1" t="n">
        <v>46020</v>
      </c>
      <c r="C304" s="1" t="n">
        <v>46140</v>
      </c>
      <c r="D304" t="inlineStr">
        <is>
          <t>DALARNAS LÄN</t>
        </is>
      </c>
      <c r="E304" t="inlineStr">
        <is>
          <t>HEDEMORA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63853-2025</t>
        </is>
      </c>
      <c r="B305" s="1" t="n">
        <v>46020</v>
      </c>
      <c r="C305" s="1" t="n">
        <v>46140</v>
      </c>
      <c r="D305" t="inlineStr">
        <is>
          <t>DALARNAS LÄN</t>
        </is>
      </c>
      <c r="E305" t="inlineStr">
        <is>
          <t>HEDEMORA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63913-2025</t>
        </is>
      </c>
      <c r="B306" s="1" t="n">
        <v>46020</v>
      </c>
      <c r="C306" s="1" t="n">
        <v>46140</v>
      </c>
      <c r="D306" t="inlineStr">
        <is>
          <t>DALARNAS LÄN</t>
        </is>
      </c>
      <c r="E306" t="inlineStr">
        <is>
          <t>HEDEMORA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63916-2025</t>
        </is>
      </c>
      <c r="B307" s="1" t="n">
        <v>46020</v>
      </c>
      <c r="C307" s="1" t="n">
        <v>46140</v>
      </c>
      <c r="D307" t="inlineStr">
        <is>
          <t>DALARNAS LÄN</t>
        </is>
      </c>
      <c r="E307" t="inlineStr">
        <is>
          <t>HEDEMORA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17222-2025</t>
        </is>
      </c>
      <c r="B308" s="1" t="n">
        <v>45756.45504629629</v>
      </c>
      <c r="C308" s="1" t="n">
        <v>46140</v>
      </c>
      <c r="D308" t="inlineStr">
        <is>
          <t>DALARNAS LÄN</t>
        </is>
      </c>
      <c r="E308" t="inlineStr">
        <is>
          <t>HEDEMORA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59232-2023</t>
        </is>
      </c>
      <c r="B309" s="1" t="n">
        <v>45253.5053587963</v>
      </c>
      <c r="C309" s="1" t="n">
        <v>46140</v>
      </c>
      <c r="D309" t="inlineStr">
        <is>
          <t>DALARNAS LÄN</t>
        </is>
      </c>
      <c r="E309" t="inlineStr">
        <is>
          <t>HEDEMORA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49772-2025</t>
        </is>
      </c>
      <c r="B310" s="1" t="n">
        <v>45940.37288194444</v>
      </c>
      <c r="C310" s="1" t="n">
        <v>46140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49771-2025</t>
        </is>
      </c>
      <c r="B311" s="1" t="n">
        <v>45940.36981481482</v>
      </c>
      <c r="C311" s="1" t="n">
        <v>46140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64008-2025</t>
        </is>
      </c>
      <c r="B312" s="1" t="n">
        <v>46021</v>
      </c>
      <c r="C312" s="1" t="n">
        <v>46140</v>
      </c>
      <c r="D312" t="inlineStr">
        <is>
          <t>DALARNAS LÄN</t>
        </is>
      </c>
      <c r="E312" t="inlineStr">
        <is>
          <t>HEDEMORA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64045-2025</t>
        </is>
      </c>
      <c r="B313" s="1" t="n">
        <v>46021.56877314814</v>
      </c>
      <c r="C313" s="1" t="n">
        <v>46140</v>
      </c>
      <c r="D313" t="inlineStr">
        <is>
          <t>DALARNAS LÄN</t>
        </is>
      </c>
      <c r="E313" t="inlineStr">
        <is>
          <t>HEDEMORA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64032-2025</t>
        </is>
      </c>
      <c r="B314" s="1" t="n">
        <v>46021.50405092593</v>
      </c>
      <c r="C314" s="1" t="n">
        <v>46140</v>
      </c>
      <c r="D314" t="inlineStr">
        <is>
          <t>DALARNAS LÄN</t>
        </is>
      </c>
      <c r="E314" t="inlineStr">
        <is>
          <t>HEDEMORA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50040-2025</t>
        </is>
      </c>
      <c r="B315" s="1" t="n">
        <v>45943.40377314815</v>
      </c>
      <c r="C315" s="1" t="n">
        <v>46140</v>
      </c>
      <c r="D315" t="inlineStr">
        <is>
          <t>DALARNAS LÄN</t>
        </is>
      </c>
      <c r="E315" t="inlineStr">
        <is>
          <t>HEDEMORA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157-2026</t>
        </is>
      </c>
      <c r="B316" s="1" t="n">
        <v>46024</v>
      </c>
      <c r="C316" s="1" t="n">
        <v>46140</v>
      </c>
      <c r="D316" t="inlineStr">
        <is>
          <t>DALARNAS LÄN</t>
        </is>
      </c>
      <c r="E316" t="inlineStr">
        <is>
          <t>HEDEMORA</t>
        </is>
      </c>
      <c r="G316" t="n">
        <v>21.2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306-2026</t>
        </is>
      </c>
      <c r="B317" s="1" t="n">
        <v>46027</v>
      </c>
      <c r="C317" s="1" t="n">
        <v>46140</v>
      </c>
      <c r="D317" t="inlineStr">
        <is>
          <t>DALARNAS LÄN</t>
        </is>
      </c>
      <c r="E317" t="inlineStr">
        <is>
          <t>HEDEMORA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45589-2023</t>
        </is>
      </c>
      <c r="B318" s="1" t="n">
        <v>45194.63086805555</v>
      </c>
      <c r="C318" s="1" t="n">
        <v>46140</v>
      </c>
      <c r="D318" t="inlineStr">
        <is>
          <t>DALARNAS LÄN</t>
        </is>
      </c>
      <c r="E318" t="inlineStr">
        <is>
          <t>HEDEMORA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834-2026</t>
        </is>
      </c>
      <c r="B319" s="1" t="n">
        <v>46030</v>
      </c>
      <c r="C319" s="1" t="n">
        <v>46140</v>
      </c>
      <c r="D319" t="inlineStr">
        <is>
          <t>DALARNAS LÄN</t>
        </is>
      </c>
      <c r="E319" t="inlineStr">
        <is>
          <t>HEDEMORA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34409-2022</t>
        </is>
      </c>
      <c r="B320" s="1" t="n">
        <v>44792</v>
      </c>
      <c r="C320" s="1" t="n">
        <v>46140</v>
      </c>
      <c r="D320" t="inlineStr">
        <is>
          <t>DALARNAS LÄN</t>
        </is>
      </c>
      <c r="E320" t="inlineStr">
        <is>
          <t>HEDEMORA</t>
        </is>
      </c>
      <c r="G320" t="n">
        <v>13.7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1445-2026</t>
        </is>
      </c>
      <c r="B321" s="1" t="n">
        <v>46032</v>
      </c>
      <c r="C321" s="1" t="n">
        <v>46140</v>
      </c>
      <c r="D321" t="inlineStr">
        <is>
          <t>DALARNAS LÄN</t>
        </is>
      </c>
      <c r="E321" t="inlineStr">
        <is>
          <t>HEDEMORA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1451-2026</t>
        </is>
      </c>
      <c r="B322" s="1" t="n">
        <v>46033</v>
      </c>
      <c r="C322" s="1" t="n">
        <v>46140</v>
      </c>
      <c r="D322" t="inlineStr">
        <is>
          <t>DALARNAS LÄN</t>
        </is>
      </c>
      <c r="E322" t="inlineStr">
        <is>
          <t>HEDEMORA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1721-2026</t>
        </is>
      </c>
      <c r="B323" s="1" t="n">
        <v>46034</v>
      </c>
      <c r="C323" s="1" t="n">
        <v>46140</v>
      </c>
      <c r="D323" t="inlineStr">
        <is>
          <t>DALARNAS LÄN</t>
        </is>
      </c>
      <c r="E323" t="inlineStr">
        <is>
          <t>HEDEMORA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1519-2026</t>
        </is>
      </c>
      <c r="B324" s="1" t="n">
        <v>46034</v>
      </c>
      <c r="C324" s="1" t="n">
        <v>46140</v>
      </c>
      <c r="D324" t="inlineStr">
        <is>
          <t>DALARNAS LÄN</t>
        </is>
      </c>
      <c r="E324" t="inlineStr">
        <is>
          <t>HEDEMORA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HYPERLINK("https://klasma.github.io/Logging_2083/knärot/A 1519-2026 karta knärot.png", "A 1519-2026")</f>
        <v/>
      </c>
      <c r="V324">
        <f>HYPERLINK("https://klasma.github.io/Logging_2083/klagomål/A 1519-2026 FSC-klagomål.docx", "A 1519-2026")</f>
        <v/>
      </c>
      <c r="W324">
        <f>HYPERLINK("https://klasma.github.io/Logging_2083/klagomålsmail/A 1519-2026 FSC-klagomål mail.docx", "A 1519-2026")</f>
        <v/>
      </c>
      <c r="X324">
        <f>HYPERLINK("https://klasma.github.io/Logging_2083/tillsyn/A 1519-2026 tillsynsbegäran.docx", "A 1519-2026")</f>
        <v/>
      </c>
      <c r="Y324">
        <f>HYPERLINK("https://klasma.github.io/Logging_2083/tillsynsmail/A 1519-2026 tillsynsbegäran mail.docx", "A 1519-2026")</f>
        <v/>
      </c>
    </row>
    <row r="325" ht="15" customHeight="1">
      <c r="A325" t="inlineStr">
        <is>
          <t>A 1449-2026</t>
        </is>
      </c>
      <c r="B325" s="1" t="n">
        <v>46033.23923611111</v>
      </c>
      <c r="C325" s="1" t="n">
        <v>46140</v>
      </c>
      <c r="D325" t="inlineStr">
        <is>
          <t>DALARNAS LÄN</t>
        </is>
      </c>
      <c r="E325" t="inlineStr">
        <is>
          <t>HEDEMORA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1202-2026</t>
        </is>
      </c>
      <c r="B326" s="1" t="n">
        <v>46031</v>
      </c>
      <c r="C326" s="1" t="n">
        <v>46140</v>
      </c>
      <c r="D326" t="inlineStr">
        <is>
          <t>DALARNAS LÄN</t>
        </is>
      </c>
      <c r="E326" t="inlineStr">
        <is>
          <t>HEDEMORA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3089-2024</t>
        </is>
      </c>
      <c r="B327" s="1" t="n">
        <v>45316</v>
      </c>
      <c r="C327" s="1" t="n">
        <v>46140</v>
      </c>
      <c r="D327" t="inlineStr">
        <is>
          <t>DALARNAS LÄN</t>
        </is>
      </c>
      <c r="E327" t="inlineStr">
        <is>
          <t>HEDEMORA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53042-2025</t>
        </is>
      </c>
      <c r="B328" s="1" t="n">
        <v>45958.35527777778</v>
      </c>
      <c r="C328" s="1" t="n">
        <v>46140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1573-2026</t>
        </is>
      </c>
      <c r="B329" s="1" t="n">
        <v>46034.41488425926</v>
      </c>
      <c r="C329" s="1" t="n">
        <v>46140</v>
      </c>
      <c r="D329" t="inlineStr">
        <is>
          <t>DALARNAS LÄN</t>
        </is>
      </c>
      <c r="E329" t="inlineStr">
        <is>
          <t>HEDEMORA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1885-2026</t>
        </is>
      </c>
      <c r="B330" s="1" t="n">
        <v>46035</v>
      </c>
      <c r="C330" s="1" t="n">
        <v>46140</v>
      </c>
      <c r="D330" t="inlineStr">
        <is>
          <t>DALARNAS LÄN</t>
        </is>
      </c>
      <c r="E330" t="inlineStr">
        <is>
          <t>HEDEMORA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62386-2023</t>
        </is>
      </c>
      <c r="B331" s="1" t="n">
        <v>45268</v>
      </c>
      <c r="C331" s="1" t="n">
        <v>46140</v>
      </c>
      <c r="D331" t="inlineStr">
        <is>
          <t>DALARNAS LÄN</t>
        </is>
      </c>
      <c r="E331" t="inlineStr">
        <is>
          <t>HEDEMORA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2034-2026</t>
        </is>
      </c>
      <c r="B332" s="1" t="n">
        <v>46035</v>
      </c>
      <c r="C332" s="1" t="n">
        <v>46140</v>
      </c>
      <c r="D332" t="inlineStr">
        <is>
          <t>DALARNAS LÄN</t>
        </is>
      </c>
      <c r="E332" t="inlineStr">
        <is>
          <t>HEDEMORA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1905-2026</t>
        </is>
      </c>
      <c r="B333" s="1" t="n">
        <v>46035.54915509259</v>
      </c>
      <c r="C333" s="1" t="n">
        <v>46140</v>
      </c>
      <c r="D333" t="inlineStr">
        <is>
          <t>DALARNAS LÄN</t>
        </is>
      </c>
      <c r="E333" t="inlineStr">
        <is>
          <t>HEDEMORA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2159-2026</t>
        </is>
      </c>
      <c r="B334" s="1" t="n">
        <v>46036.43230324074</v>
      </c>
      <c r="C334" s="1" t="n">
        <v>46140</v>
      </c>
      <c r="D334" t="inlineStr">
        <is>
          <t>DALARNAS LÄN</t>
        </is>
      </c>
      <c r="E334" t="inlineStr">
        <is>
          <t>HEDEMORA</t>
        </is>
      </c>
      <c r="F334" t="inlineStr">
        <is>
          <t>Kyrkan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17594-2025</t>
        </is>
      </c>
      <c r="B335" s="1" t="n">
        <v>45757</v>
      </c>
      <c r="C335" s="1" t="n">
        <v>46140</v>
      </c>
      <c r="D335" t="inlineStr">
        <is>
          <t>DALARNAS LÄN</t>
        </is>
      </c>
      <c r="E335" t="inlineStr">
        <is>
          <t>HEDEMORA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3415-2026</t>
        </is>
      </c>
      <c r="B336" s="1" t="n">
        <v>46042.41993055555</v>
      </c>
      <c r="C336" s="1" t="n">
        <v>46140</v>
      </c>
      <c r="D336" t="inlineStr">
        <is>
          <t>DALARNAS LÄN</t>
        </is>
      </c>
      <c r="E336" t="inlineStr">
        <is>
          <t>HEDEMORA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3396-2026</t>
        </is>
      </c>
      <c r="B337" s="1" t="n">
        <v>46042.37716435185</v>
      </c>
      <c r="C337" s="1" t="n">
        <v>46140</v>
      </c>
      <c r="D337" t="inlineStr">
        <is>
          <t>DALARNAS LÄN</t>
        </is>
      </c>
      <c r="E337" t="inlineStr">
        <is>
          <t>HEDEMORA</t>
        </is>
      </c>
      <c r="G337" t="n">
        <v>18.1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3407-2026</t>
        </is>
      </c>
      <c r="B338" s="1" t="n">
        <v>46042.40212962963</v>
      </c>
      <c r="C338" s="1" t="n">
        <v>46140</v>
      </c>
      <c r="D338" t="inlineStr">
        <is>
          <t>DALARNAS LÄN</t>
        </is>
      </c>
      <c r="E338" t="inlineStr">
        <is>
          <t>HEDEMORA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3410-2026</t>
        </is>
      </c>
      <c r="B339" s="1" t="n">
        <v>46042.41484953704</v>
      </c>
      <c r="C339" s="1" t="n">
        <v>46140</v>
      </c>
      <c r="D339" t="inlineStr">
        <is>
          <t>DALARNAS LÄN</t>
        </is>
      </c>
      <c r="E339" t="inlineStr">
        <is>
          <t>HEDEMORA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57563-2025</t>
        </is>
      </c>
      <c r="B340" s="1" t="n">
        <v>45980.70671296296</v>
      </c>
      <c r="C340" s="1" t="n">
        <v>46140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4070-2026</t>
        </is>
      </c>
      <c r="B341" s="1" t="n">
        <v>46044.5272800926</v>
      </c>
      <c r="C341" s="1" t="n">
        <v>46140</v>
      </c>
      <c r="D341" t="inlineStr">
        <is>
          <t>DALARNAS LÄN</t>
        </is>
      </c>
      <c r="E341" t="inlineStr">
        <is>
          <t>HEDEMORA</t>
        </is>
      </c>
      <c r="G341" t="n">
        <v>29.2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4228-2026</t>
        </is>
      </c>
      <c r="B342" s="1" t="n">
        <v>46044</v>
      </c>
      <c r="C342" s="1" t="n">
        <v>46140</v>
      </c>
      <c r="D342" t="inlineStr">
        <is>
          <t>DALARNAS LÄN</t>
        </is>
      </c>
      <c r="E342" t="inlineStr">
        <is>
          <t>HEDEMORA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4089-2026</t>
        </is>
      </c>
      <c r="B343" s="1" t="n">
        <v>46044.55276620371</v>
      </c>
      <c r="C343" s="1" t="n">
        <v>46140</v>
      </c>
      <c r="D343" t="inlineStr">
        <is>
          <t>DALARNAS LÄN</t>
        </is>
      </c>
      <c r="E343" t="inlineStr">
        <is>
          <t>HEDEMORA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3759-2026</t>
        </is>
      </c>
      <c r="B344" s="1" t="n">
        <v>46043.55357638889</v>
      </c>
      <c r="C344" s="1" t="n">
        <v>46140</v>
      </c>
      <c r="D344" t="inlineStr">
        <is>
          <t>DALARNAS LÄN</t>
        </is>
      </c>
      <c r="E344" t="inlineStr">
        <is>
          <t>HEDEMORA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62188-2023</t>
        </is>
      </c>
      <c r="B345" s="1" t="n">
        <v>45267</v>
      </c>
      <c r="C345" s="1" t="n">
        <v>46140</v>
      </c>
      <c r="D345" t="inlineStr">
        <is>
          <t>DALARNAS LÄN</t>
        </is>
      </c>
      <c r="E345" t="inlineStr">
        <is>
          <t>HEDEMORA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2056-2026</t>
        </is>
      </c>
      <c r="B346" s="1" t="n">
        <v>46032</v>
      </c>
      <c r="C346" s="1" t="n">
        <v>46140</v>
      </c>
      <c r="D346" t="inlineStr">
        <is>
          <t>DALARNAS LÄN</t>
        </is>
      </c>
      <c r="E346" t="inlineStr">
        <is>
          <t>HEDEMORA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60408-2021</t>
        </is>
      </c>
      <c r="B347" s="1" t="n">
        <v>44495</v>
      </c>
      <c r="C347" s="1" t="n">
        <v>46140</v>
      </c>
      <c r="D347" t="inlineStr">
        <is>
          <t>DALARNAS LÄN</t>
        </is>
      </c>
      <c r="E347" t="inlineStr">
        <is>
          <t>HEDEMORA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62401-2023</t>
        </is>
      </c>
      <c r="B348" s="1" t="n">
        <v>45268</v>
      </c>
      <c r="C348" s="1" t="n">
        <v>46140</v>
      </c>
      <c r="D348" t="inlineStr">
        <is>
          <t>DALARNAS LÄN</t>
        </is>
      </c>
      <c r="E348" t="inlineStr">
        <is>
          <t>HEDEMORA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5326-2026</t>
        </is>
      </c>
      <c r="B349" s="1" t="n">
        <v>46048</v>
      </c>
      <c r="C349" s="1" t="n">
        <v>46140</v>
      </c>
      <c r="D349" t="inlineStr">
        <is>
          <t>DALARNAS LÄN</t>
        </is>
      </c>
      <c r="E349" t="inlineStr">
        <is>
          <t>HEDEMORA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18572-2025</t>
        </is>
      </c>
      <c r="B350" s="1" t="n">
        <v>45763</v>
      </c>
      <c r="C350" s="1" t="n">
        <v>46140</v>
      </c>
      <c r="D350" t="inlineStr">
        <is>
          <t>DALARNAS LÄN</t>
        </is>
      </c>
      <c r="E350" t="inlineStr">
        <is>
          <t>HEDEMORA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5230-2026</t>
        </is>
      </c>
      <c r="B351" s="1" t="n">
        <v>46049.81304398148</v>
      </c>
      <c r="C351" s="1" t="n">
        <v>46140</v>
      </c>
      <c r="D351" t="inlineStr">
        <is>
          <t>DALARNAS LÄN</t>
        </is>
      </c>
      <c r="E351" t="inlineStr">
        <is>
          <t>HEDEMORA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5316-2026</t>
        </is>
      </c>
      <c r="B352" s="1" t="n">
        <v>46050</v>
      </c>
      <c r="C352" s="1" t="n">
        <v>46140</v>
      </c>
      <c r="D352" t="inlineStr">
        <is>
          <t>DALARNAS LÄN</t>
        </is>
      </c>
      <c r="E352" t="inlineStr">
        <is>
          <t>HEDEMORA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5341-2026</t>
        </is>
      </c>
      <c r="B353" s="1" t="n">
        <v>46050</v>
      </c>
      <c r="C353" s="1" t="n">
        <v>46140</v>
      </c>
      <c r="D353" t="inlineStr">
        <is>
          <t>DALARNAS LÄN</t>
        </is>
      </c>
      <c r="E353" t="inlineStr">
        <is>
          <t>HEDEMORA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5228-2026</t>
        </is>
      </c>
      <c r="B354" s="1" t="n">
        <v>46049.80768518519</v>
      </c>
      <c r="C354" s="1" t="n">
        <v>46140</v>
      </c>
      <c r="D354" t="inlineStr">
        <is>
          <t>DALARNAS LÄN</t>
        </is>
      </c>
      <c r="E354" t="inlineStr">
        <is>
          <t>HEDEMORA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53923-2024</t>
        </is>
      </c>
      <c r="B355" s="1" t="n">
        <v>45615.79806712963</v>
      </c>
      <c r="C355" s="1" t="n">
        <v>46140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5677-2026</t>
        </is>
      </c>
      <c r="B356" s="1" t="n">
        <v>46051.47321759259</v>
      </c>
      <c r="C356" s="1" t="n">
        <v>46140</v>
      </c>
      <c r="D356" t="inlineStr">
        <is>
          <t>DALARNAS LÄN</t>
        </is>
      </c>
      <c r="E356" t="inlineStr">
        <is>
          <t>HEDEMORA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5620-2026</t>
        </is>
      </c>
      <c r="B357" s="1" t="n">
        <v>46051</v>
      </c>
      <c r="C357" s="1" t="n">
        <v>46140</v>
      </c>
      <c r="D357" t="inlineStr">
        <is>
          <t>DALARNAS LÄN</t>
        </is>
      </c>
      <c r="E357" t="inlineStr">
        <is>
          <t>HEDEMORA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385-2024</t>
        </is>
      </c>
      <c r="B358" s="1" t="n">
        <v>45296</v>
      </c>
      <c r="C358" s="1" t="n">
        <v>46140</v>
      </c>
      <c r="D358" t="inlineStr">
        <is>
          <t>DALARNAS LÄN</t>
        </is>
      </c>
      <c r="E358" t="inlineStr">
        <is>
          <t>HEDEMORA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5784-2026</t>
        </is>
      </c>
      <c r="B359" s="1" t="n">
        <v>46051</v>
      </c>
      <c r="C359" s="1" t="n">
        <v>46140</v>
      </c>
      <c r="D359" t="inlineStr">
        <is>
          <t>DALARNAS LÄN</t>
        </is>
      </c>
      <c r="E359" t="inlineStr">
        <is>
          <t>HEDEMORA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5619-2026</t>
        </is>
      </c>
      <c r="B360" s="1" t="n">
        <v>46051</v>
      </c>
      <c r="C360" s="1" t="n">
        <v>46140</v>
      </c>
      <c r="D360" t="inlineStr">
        <is>
          <t>DALARNAS LÄN</t>
        </is>
      </c>
      <c r="E360" t="inlineStr">
        <is>
          <t>HEDEMORA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5617-2026</t>
        </is>
      </c>
      <c r="B361" s="1" t="n">
        <v>46051</v>
      </c>
      <c r="C361" s="1" t="n">
        <v>46140</v>
      </c>
      <c r="D361" t="inlineStr">
        <is>
          <t>DALARNAS LÄN</t>
        </is>
      </c>
      <c r="E361" t="inlineStr">
        <is>
          <t>HEDEMORA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26452-2024</t>
        </is>
      </c>
      <c r="B362" s="1" t="n">
        <v>45469.51145833333</v>
      </c>
      <c r="C362" s="1" t="n">
        <v>46140</v>
      </c>
      <c r="D362" t="inlineStr">
        <is>
          <t>DALARNAS LÄN</t>
        </is>
      </c>
      <c r="E362" t="inlineStr">
        <is>
          <t>HEDEMORA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6378-2026</t>
        </is>
      </c>
      <c r="B363" s="1" t="n">
        <v>46055</v>
      </c>
      <c r="C363" s="1" t="n">
        <v>46140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6385-2026</t>
        </is>
      </c>
      <c r="B364" s="1" t="n">
        <v>46055</v>
      </c>
      <c r="C364" s="1" t="n">
        <v>46140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13937-2026</t>
        </is>
      </c>
      <c r="B365" s="1" t="n">
        <v>46098.52244212963</v>
      </c>
      <c r="C365" s="1" t="n">
        <v>46140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6339-2026</t>
        </is>
      </c>
      <c r="B366" s="1" t="n">
        <v>46055</v>
      </c>
      <c r="C366" s="1" t="n">
        <v>46140</v>
      </c>
      <c r="D366" t="inlineStr">
        <is>
          <t>DALARNAS LÄN</t>
        </is>
      </c>
      <c r="E366" t="inlineStr">
        <is>
          <t>HEDEMORA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HYPERLINK("https://klasma.github.io/Logging_2083/knärot/A 6339-2026 karta knärot.png", "A 6339-2026")</f>
        <v/>
      </c>
      <c r="V366">
        <f>HYPERLINK("https://klasma.github.io/Logging_2083/klagomål/A 6339-2026 FSC-klagomål.docx", "A 6339-2026")</f>
        <v/>
      </c>
      <c r="W366">
        <f>HYPERLINK("https://klasma.github.io/Logging_2083/klagomålsmail/A 6339-2026 FSC-klagomål mail.docx", "A 6339-2026")</f>
        <v/>
      </c>
      <c r="X366">
        <f>HYPERLINK("https://klasma.github.io/Logging_2083/tillsyn/A 6339-2026 tillsynsbegäran.docx", "A 6339-2026")</f>
        <v/>
      </c>
      <c r="Y366">
        <f>HYPERLINK("https://klasma.github.io/Logging_2083/tillsynsmail/A 6339-2026 tillsynsbegäran mail.docx", "A 6339-2026")</f>
        <v/>
      </c>
    </row>
    <row r="367" ht="15" customHeight="1">
      <c r="A367" t="inlineStr">
        <is>
          <t>A 6372-2026</t>
        </is>
      </c>
      <c r="B367" s="1" t="n">
        <v>46055</v>
      </c>
      <c r="C367" s="1" t="n">
        <v>46140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6383-2026</t>
        </is>
      </c>
      <c r="B368" s="1" t="n">
        <v>46055</v>
      </c>
      <c r="C368" s="1" t="n">
        <v>46140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13831-2026</t>
        </is>
      </c>
      <c r="B369" s="1" t="n">
        <v>46098.35141203704</v>
      </c>
      <c r="C369" s="1" t="n">
        <v>46140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40919-2023</t>
        </is>
      </c>
      <c r="B370" s="1" t="n">
        <v>45173.42707175926</v>
      </c>
      <c r="C370" s="1" t="n">
        <v>46140</v>
      </c>
      <c r="D370" t="inlineStr">
        <is>
          <t>DALARNAS LÄN</t>
        </is>
      </c>
      <c r="E370" t="inlineStr">
        <is>
          <t>HEDEMORA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6672-2026</t>
        </is>
      </c>
      <c r="B371" s="1" t="n">
        <v>46056</v>
      </c>
      <c r="C371" s="1" t="n">
        <v>46140</v>
      </c>
      <c r="D371" t="inlineStr">
        <is>
          <t>DALARNAS LÄN</t>
        </is>
      </c>
      <c r="E371" t="inlineStr">
        <is>
          <t>HEDEMORA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6687-2026</t>
        </is>
      </c>
      <c r="B372" s="1" t="n">
        <v>46056</v>
      </c>
      <c r="C372" s="1" t="n">
        <v>46140</v>
      </c>
      <c r="D372" t="inlineStr">
        <is>
          <t>DALARNAS LÄN</t>
        </is>
      </c>
      <c r="E372" t="inlineStr">
        <is>
          <t>HEDEMORA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13847-2026</t>
        </is>
      </c>
      <c r="B373" s="1" t="n">
        <v>46098.38618055556</v>
      </c>
      <c r="C373" s="1" t="n">
        <v>46140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13916-2026</t>
        </is>
      </c>
      <c r="B374" s="1" t="n">
        <v>46098.48423611111</v>
      </c>
      <c r="C374" s="1" t="n">
        <v>46140</v>
      </c>
      <c r="D374" t="inlineStr">
        <is>
          <t>DALARNAS LÄN</t>
        </is>
      </c>
      <c r="E374" t="inlineStr">
        <is>
          <t>HEDEMORA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13839-2026</t>
        </is>
      </c>
      <c r="B375" s="1" t="n">
        <v>46098.37079861111</v>
      </c>
      <c r="C375" s="1" t="n">
        <v>46140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13840-2026</t>
        </is>
      </c>
      <c r="B376" s="1" t="n">
        <v>46098.37179398148</v>
      </c>
      <c r="C376" s="1" t="n">
        <v>46140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13843-2026</t>
        </is>
      </c>
      <c r="B377" s="1" t="n">
        <v>46098.3799537037</v>
      </c>
      <c r="C377" s="1" t="n">
        <v>46140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25643-2024</t>
        </is>
      </c>
      <c r="B378" s="1" t="n">
        <v>45463.66436342592</v>
      </c>
      <c r="C378" s="1" t="n">
        <v>46140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20666-2024</t>
        </is>
      </c>
      <c r="B379" s="1" t="n">
        <v>45436</v>
      </c>
      <c r="C379" s="1" t="n">
        <v>46140</v>
      </c>
      <c r="D379" t="inlineStr">
        <is>
          <t>DALARNAS LÄN</t>
        </is>
      </c>
      <c r="E379" t="inlineStr">
        <is>
          <t>HEDEMORA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7188-2026</t>
        </is>
      </c>
      <c r="B380" s="1" t="n">
        <v>46058.49344907407</v>
      </c>
      <c r="C380" s="1" t="n">
        <v>46140</v>
      </c>
      <c r="D380" t="inlineStr">
        <is>
          <t>DALARNAS LÄN</t>
        </is>
      </c>
      <c r="E380" t="inlineStr">
        <is>
          <t>HEDEMORA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7165-2026</t>
        </is>
      </c>
      <c r="B381" s="1" t="n">
        <v>46058</v>
      </c>
      <c r="C381" s="1" t="n">
        <v>46140</v>
      </c>
      <c r="D381" t="inlineStr">
        <is>
          <t>DALARNAS LÄN</t>
        </is>
      </c>
      <c r="E381" t="inlineStr">
        <is>
          <t>HEDEMORA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1917-2022</t>
        </is>
      </c>
      <c r="B382" s="1" t="n">
        <v>44574</v>
      </c>
      <c r="C382" s="1" t="n">
        <v>46140</v>
      </c>
      <c r="D382" t="inlineStr">
        <is>
          <t>DALARNAS LÄN</t>
        </is>
      </c>
      <c r="E382" t="inlineStr">
        <is>
          <t>HEDEMORA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13913-2026</t>
        </is>
      </c>
      <c r="B383" s="1" t="n">
        <v>46098</v>
      </c>
      <c r="C383" s="1" t="n">
        <v>46140</v>
      </c>
      <c r="D383" t="inlineStr">
        <is>
          <t>DALARNAS LÄN</t>
        </is>
      </c>
      <c r="E383" t="inlineStr">
        <is>
          <t>HEDEMORA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14197-2026</t>
        </is>
      </c>
      <c r="B384" s="1" t="n">
        <v>46099.54486111111</v>
      </c>
      <c r="C384" s="1" t="n">
        <v>46140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2996-2023</t>
        </is>
      </c>
      <c r="B385" s="1" t="n">
        <v>44945</v>
      </c>
      <c r="C385" s="1" t="n">
        <v>46140</v>
      </c>
      <c r="D385" t="inlineStr">
        <is>
          <t>DALARNAS LÄN</t>
        </is>
      </c>
      <c r="E385" t="inlineStr">
        <is>
          <t>HEDEMORA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58841-2023</t>
        </is>
      </c>
      <c r="B386" s="1" t="n">
        <v>45252.42115740741</v>
      </c>
      <c r="C386" s="1" t="n">
        <v>46140</v>
      </c>
      <c r="D386" t="inlineStr">
        <is>
          <t>DALARNAS LÄN</t>
        </is>
      </c>
      <c r="E386" t="inlineStr">
        <is>
          <t>HEDEMORA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7846-2026</t>
        </is>
      </c>
      <c r="B387" s="1" t="n">
        <v>46062</v>
      </c>
      <c r="C387" s="1" t="n">
        <v>46140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1973-2022</t>
        </is>
      </c>
      <c r="B388" s="1" t="n">
        <v>44575</v>
      </c>
      <c r="C388" s="1" t="n">
        <v>46140</v>
      </c>
      <c r="D388" t="inlineStr">
        <is>
          <t>DALARNAS LÄN</t>
        </is>
      </c>
      <c r="E388" t="inlineStr">
        <is>
          <t>HEDEMORA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7719-2026</t>
        </is>
      </c>
      <c r="B389" s="1" t="n">
        <v>46062.49636574074</v>
      </c>
      <c r="C389" s="1" t="n">
        <v>46140</v>
      </c>
      <c r="D389" t="inlineStr">
        <is>
          <t>DALARNAS LÄN</t>
        </is>
      </c>
      <c r="E389" t="inlineStr">
        <is>
          <t>HEDEMORA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HYPERLINK("https://klasma.github.io/Logging_2083/knärot/A 7719-2026 karta knärot.png", "A 7719-2026")</f>
        <v/>
      </c>
      <c r="V389">
        <f>HYPERLINK("https://klasma.github.io/Logging_2083/klagomål/A 7719-2026 FSC-klagomål.docx", "A 7719-2026")</f>
        <v/>
      </c>
      <c r="W389">
        <f>HYPERLINK("https://klasma.github.io/Logging_2083/klagomålsmail/A 7719-2026 FSC-klagomål mail.docx", "A 7719-2026")</f>
        <v/>
      </c>
      <c r="X389">
        <f>HYPERLINK("https://klasma.github.io/Logging_2083/tillsyn/A 7719-2026 tillsynsbegäran.docx", "A 7719-2026")</f>
        <v/>
      </c>
      <c r="Y389">
        <f>HYPERLINK("https://klasma.github.io/Logging_2083/tillsynsmail/A 7719-2026 tillsynsbegäran mail.docx", "A 7719-2026")</f>
        <v/>
      </c>
    </row>
    <row r="390" ht="15" customHeight="1">
      <c r="A390" t="inlineStr">
        <is>
          <t>A 49636-2021</t>
        </is>
      </c>
      <c r="B390" s="1" t="n">
        <v>44455</v>
      </c>
      <c r="C390" s="1" t="n">
        <v>46140</v>
      </c>
      <c r="D390" t="inlineStr">
        <is>
          <t>DALARNAS LÄN</t>
        </is>
      </c>
      <c r="E390" t="inlineStr">
        <is>
          <t>HEDEMORA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7741-2026</t>
        </is>
      </c>
      <c r="B391" s="1" t="n">
        <v>46062.53719907408</v>
      </c>
      <c r="C391" s="1" t="n">
        <v>46140</v>
      </c>
      <c r="D391" t="inlineStr">
        <is>
          <t>DALARNAS LÄN</t>
        </is>
      </c>
      <c r="E391" t="inlineStr">
        <is>
          <t>HEDEMORA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57745-2024</t>
        </is>
      </c>
      <c r="B392" s="1" t="n">
        <v>45630.77605324074</v>
      </c>
      <c r="C392" s="1" t="n">
        <v>46140</v>
      </c>
      <c r="D392" t="inlineStr">
        <is>
          <t>DALARNAS LÄN</t>
        </is>
      </c>
      <c r="E392" t="inlineStr">
        <is>
          <t>HEDEMORA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60786-2023</t>
        </is>
      </c>
      <c r="B393" s="1" t="n">
        <v>45260.64891203704</v>
      </c>
      <c r="C393" s="1" t="n">
        <v>46140</v>
      </c>
      <c r="D393" t="inlineStr">
        <is>
          <t>DALARNAS LÄN</t>
        </is>
      </c>
      <c r="E393" t="inlineStr">
        <is>
          <t>HEDEMORA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7571-2026</t>
        </is>
      </c>
      <c r="B394" s="1" t="n">
        <v>46060</v>
      </c>
      <c r="C394" s="1" t="n">
        <v>46140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7570-2026</t>
        </is>
      </c>
      <c r="B395" s="1" t="n">
        <v>46060</v>
      </c>
      <c r="C395" s="1" t="n">
        <v>46140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7743-2026</t>
        </is>
      </c>
      <c r="B396" s="1" t="n">
        <v>46062.539375</v>
      </c>
      <c r="C396" s="1" t="n">
        <v>46140</v>
      </c>
      <c r="D396" t="inlineStr">
        <is>
          <t>DALARNAS LÄN</t>
        </is>
      </c>
      <c r="E396" t="inlineStr">
        <is>
          <t>HEDEMORA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21514-2024</t>
        </is>
      </c>
      <c r="B397" s="1" t="n">
        <v>45441.57538194444</v>
      </c>
      <c r="C397" s="1" t="n">
        <v>46140</v>
      </c>
      <c r="D397" t="inlineStr">
        <is>
          <t>DALARNAS LÄN</t>
        </is>
      </c>
      <c r="E397" t="inlineStr">
        <is>
          <t>HEDEMORA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7598-2026</t>
        </is>
      </c>
      <c r="B398" s="1" t="n">
        <v>46061.9450462963</v>
      </c>
      <c r="C398" s="1" t="n">
        <v>46140</v>
      </c>
      <c r="D398" t="inlineStr">
        <is>
          <t>DALARNAS LÄN</t>
        </is>
      </c>
      <c r="E398" t="inlineStr">
        <is>
          <t>HEDEMORA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7572-2026</t>
        </is>
      </c>
      <c r="B399" s="1" t="n">
        <v>46060.67263888889</v>
      </c>
      <c r="C399" s="1" t="n">
        <v>46140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15146-2026</t>
        </is>
      </c>
      <c r="B400" s="1" t="n">
        <v>46105.40394675926</v>
      </c>
      <c r="C400" s="1" t="n">
        <v>46140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60475-2022</t>
        </is>
      </c>
      <c r="B401" s="1" t="n">
        <v>44911.41222222222</v>
      </c>
      <c r="C401" s="1" t="n">
        <v>46140</v>
      </c>
      <c r="D401" t="inlineStr">
        <is>
          <t>DALARNAS LÄN</t>
        </is>
      </c>
      <c r="E401" t="inlineStr">
        <is>
          <t>HEDEMORA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30205-2022</t>
        </is>
      </c>
      <c r="B402" s="1" t="n">
        <v>44757.74415509259</v>
      </c>
      <c r="C402" s="1" t="n">
        <v>46140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54310-2021</t>
        </is>
      </c>
      <c r="B403" s="1" t="n">
        <v>44472.54035879629</v>
      </c>
      <c r="C403" s="1" t="n">
        <v>46140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7994-2026</t>
        </is>
      </c>
      <c r="B404" s="1" t="n">
        <v>46063</v>
      </c>
      <c r="C404" s="1" t="n">
        <v>46140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15145-2026</t>
        </is>
      </c>
      <c r="B405" s="1" t="n">
        <v>46105.40144675926</v>
      </c>
      <c r="C405" s="1" t="n">
        <v>46140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26449-2024</t>
        </is>
      </c>
      <c r="B406" s="1" t="n">
        <v>45469.50783564815</v>
      </c>
      <c r="C406" s="1" t="n">
        <v>46140</v>
      </c>
      <c r="D406" t="inlineStr">
        <is>
          <t>DALARNAS LÄN</t>
        </is>
      </c>
      <c r="E406" t="inlineStr">
        <is>
          <t>HEDEMORA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8119-2026</t>
        </is>
      </c>
      <c r="B407" s="1" t="n">
        <v>46063.85685185185</v>
      </c>
      <c r="C407" s="1" t="n">
        <v>46140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4809-2026</t>
        </is>
      </c>
      <c r="B408" s="1" t="n">
        <v>46048</v>
      </c>
      <c r="C408" s="1" t="n">
        <v>46140</v>
      </c>
      <c r="D408" t="inlineStr">
        <is>
          <t>DALARNAS LÄN</t>
        </is>
      </c>
      <c r="E408" t="inlineStr">
        <is>
          <t>HEDEMORA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15649-2026</t>
        </is>
      </c>
      <c r="B409" s="1" t="n">
        <v>46106.65184027778</v>
      </c>
      <c r="C409" s="1" t="n">
        <v>46140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25155-2023</t>
        </is>
      </c>
      <c r="B410" s="1" t="n">
        <v>45086</v>
      </c>
      <c r="C410" s="1" t="n">
        <v>46140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8011-2026</t>
        </is>
      </c>
      <c r="B411" s="1" t="n">
        <v>46063</v>
      </c>
      <c r="C411" s="1" t="n">
        <v>46140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15232-2026</t>
        </is>
      </c>
      <c r="B412" s="1" t="n">
        <v>46105.55261574074</v>
      </c>
      <c r="C412" s="1" t="n">
        <v>46140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8120-2026</t>
        </is>
      </c>
      <c r="B413" s="1" t="n">
        <v>46063.85922453704</v>
      </c>
      <c r="C413" s="1" t="n">
        <v>46140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9021-2026</t>
        </is>
      </c>
      <c r="B414" s="1" t="n">
        <v>46066</v>
      </c>
      <c r="C414" s="1" t="n">
        <v>46140</v>
      </c>
      <c r="D414" t="inlineStr">
        <is>
          <t>DALARNAS LÄN</t>
        </is>
      </c>
      <c r="E414" t="inlineStr">
        <is>
          <t>HEDEMORA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25150-2023</t>
        </is>
      </c>
      <c r="B415" s="1" t="n">
        <v>45086</v>
      </c>
      <c r="C415" s="1" t="n">
        <v>46140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41523-2023</t>
        </is>
      </c>
      <c r="B416" s="1" t="n">
        <v>45172</v>
      </c>
      <c r="C416" s="1" t="n">
        <v>46140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8839-2026</t>
        </is>
      </c>
      <c r="B417" s="1" t="n">
        <v>46066</v>
      </c>
      <c r="C417" s="1" t="n">
        <v>46140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8843-2026</t>
        </is>
      </c>
      <c r="B418" s="1" t="n">
        <v>46066</v>
      </c>
      <c r="C418" s="1" t="n">
        <v>46140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8613-2026</t>
        </is>
      </c>
      <c r="B419" s="1" t="n">
        <v>46065.90597222222</v>
      </c>
      <c r="C419" s="1" t="n">
        <v>46140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30939-2023</t>
        </is>
      </c>
      <c r="B420" s="1" t="n">
        <v>45113.45597222223</v>
      </c>
      <c r="C420" s="1" t="n">
        <v>46140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8824-2026</t>
        </is>
      </c>
      <c r="B421" s="1" t="n">
        <v>46066</v>
      </c>
      <c r="C421" s="1" t="n">
        <v>46140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60078-2022</t>
        </is>
      </c>
      <c r="B422" s="1" t="n">
        <v>44909.58811342593</v>
      </c>
      <c r="C422" s="1" t="n">
        <v>46140</v>
      </c>
      <c r="D422" t="inlineStr">
        <is>
          <t>DALARNAS LÄN</t>
        </is>
      </c>
      <c r="E422" t="inlineStr">
        <is>
          <t>HEDEMORA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3385-2026</t>
        </is>
      </c>
      <c r="B423" s="1" t="n">
        <v>46042.36462962963</v>
      </c>
      <c r="C423" s="1" t="n">
        <v>46140</v>
      </c>
      <c r="D423" t="inlineStr">
        <is>
          <t>DALARNAS LÄN</t>
        </is>
      </c>
      <c r="E423" t="inlineStr">
        <is>
          <t>HEDEMORA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9106-2026</t>
        </is>
      </c>
      <c r="B424" s="1" t="n">
        <v>46069</v>
      </c>
      <c r="C424" s="1" t="n">
        <v>46140</v>
      </c>
      <c r="D424" t="inlineStr">
        <is>
          <t>DALARNAS LÄN</t>
        </is>
      </c>
      <c r="E424" t="inlineStr">
        <is>
          <t>HEDEMORA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15499-2026</t>
        </is>
      </c>
      <c r="B425" s="1" t="n">
        <v>46106</v>
      </c>
      <c r="C425" s="1" t="n">
        <v>46140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16222-2026</t>
        </is>
      </c>
      <c r="B426" s="1" t="n">
        <v>46108</v>
      </c>
      <c r="C426" s="1" t="n">
        <v>46140</v>
      </c>
      <c r="D426" t="inlineStr">
        <is>
          <t>DALARNAS LÄN</t>
        </is>
      </c>
      <c r="E426" t="inlineStr">
        <is>
          <t>HEDEMORA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14228-2026</t>
        </is>
      </c>
      <c r="B427" s="1" t="n">
        <v>46099.57856481482</v>
      </c>
      <c r="C427" s="1" t="n">
        <v>46140</v>
      </c>
      <c r="D427" t="inlineStr">
        <is>
          <t>DALARNAS LÄN</t>
        </is>
      </c>
      <c r="E427" t="inlineStr">
        <is>
          <t>HEDEMORA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16278-2026</t>
        </is>
      </c>
      <c r="B428" s="1" t="n">
        <v>46108</v>
      </c>
      <c r="C428" s="1" t="n">
        <v>46140</v>
      </c>
      <c r="D428" t="inlineStr">
        <is>
          <t>DALARNAS LÄN</t>
        </is>
      </c>
      <c r="E428" t="inlineStr">
        <is>
          <t>HEDEMORA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16282-2026</t>
        </is>
      </c>
      <c r="B429" s="1" t="n">
        <v>46111.49826388889</v>
      </c>
      <c r="C429" s="1" t="n">
        <v>46140</v>
      </c>
      <c r="D429" t="inlineStr">
        <is>
          <t>DALARNAS LÄN</t>
        </is>
      </c>
      <c r="E429" t="inlineStr">
        <is>
          <t>HEDEMORA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16260-2026</t>
        </is>
      </c>
      <c r="B430" s="1" t="n">
        <v>46108</v>
      </c>
      <c r="C430" s="1" t="n">
        <v>46140</v>
      </c>
      <c r="D430" t="inlineStr">
        <is>
          <t>DALARNAS LÄN</t>
        </is>
      </c>
      <c r="E430" t="inlineStr">
        <is>
          <t>HEDEMORA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53568-2023</t>
        </is>
      </c>
      <c r="B431" s="1" t="n">
        <v>45230.49392361111</v>
      </c>
      <c r="C431" s="1" t="n">
        <v>46140</v>
      </c>
      <c r="D431" t="inlineStr">
        <is>
          <t>DALARNAS LÄN</t>
        </is>
      </c>
      <c r="E431" t="inlineStr">
        <is>
          <t>HEDEMORA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29303-2023</t>
        </is>
      </c>
      <c r="B432" s="1" t="n">
        <v>45105</v>
      </c>
      <c r="C432" s="1" t="n">
        <v>46140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49904-2021</t>
        </is>
      </c>
      <c r="B433" s="1" t="n">
        <v>44455.77041666667</v>
      </c>
      <c r="C433" s="1" t="n">
        <v>46140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16268-2026</t>
        </is>
      </c>
      <c r="B434" s="1" t="n">
        <v>46108</v>
      </c>
      <c r="C434" s="1" t="n">
        <v>46140</v>
      </c>
      <c r="D434" t="inlineStr">
        <is>
          <t>DALARNAS LÄN</t>
        </is>
      </c>
      <c r="E434" t="inlineStr">
        <is>
          <t>HEDEMORA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9150-2026</t>
        </is>
      </c>
      <c r="B435" s="1" t="n">
        <v>46070</v>
      </c>
      <c r="C435" s="1" t="n">
        <v>46140</v>
      </c>
      <c r="D435" t="inlineStr">
        <is>
          <t>DALARNAS LÄN</t>
        </is>
      </c>
      <c r="E435" t="inlineStr">
        <is>
          <t>HEDEMORA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HYPERLINK("https://klasma.github.io/Logging_2083/knärot/A 9150-2026 karta knärot.png", "A 9150-2026")</f>
        <v/>
      </c>
      <c r="V435">
        <f>HYPERLINK("https://klasma.github.io/Logging_2083/klagomål/A 9150-2026 FSC-klagomål.docx", "A 9150-2026")</f>
        <v/>
      </c>
      <c r="W435">
        <f>HYPERLINK("https://klasma.github.io/Logging_2083/klagomålsmail/A 9150-2026 FSC-klagomål mail.docx", "A 9150-2026")</f>
        <v/>
      </c>
      <c r="X435">
        <f>HYPERLINK("https://klasma.github.io/Logging_2083/tillsyn/A 9150-2026 tillsynsbegäran.docx", "A 9150-2026")</f>
        <v/>
      </c>
      <c r="Y435">
        <f>HYPERLINK("https://klasma.github.io/Logging_2083/tillsynsmail/A 9150-2026 tillsynsbegäran mail.docx", "A 9150-2026")</f>
        <v/>
      </c>
    </row>
    <row r="436" ht="15" customHeight="1">
      <c r="A436" t="inlineStr">
        <is>
          <t>A 9549-2026</t>
        </is>
      </c>
      <c r="B436" s="1" t="n">
        <v>46070</v>
      </c>
      <c r="C436" s="1" t="n">
        <v>46140</v>
      </c>
      <c r="D436" t="inlineStr">
        <is>
          <t>DALARNAS LÄN</t>
        </is>
      </c>
      <c r="E436" t="inlineStr">
        <is>
          <t>HEDEMORA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16853-2026</t>
        </is>
      </c>
      <c r="B437" s="1" t="n">
        <v>46113</v>
      </c>
      <c r="C437" s="1" t="n">
        <v>46140</v>
      </c>
      <c r="D437" t="inlineStr">
        <is>
          <t>DALARNAS LÄN</t>
        </is>
      </c>
      <c r="E437" t="inlineStr">
        <is>
          <t>HEDEMORA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9680-2026</t>
        </is>
      </c>
      <c r="B438" s="1" t="n">
        <v>46072.38456018519</v>
      </c>
      <c r="C438" s="1" t="n">
        <v>46140</v>
      </c>
      <c r="D438" t="inlineStr">
        <is>
          <t>DALARNAS LÄN</t>
        </is>
      </c>
      <c r="E438" t="inlineStr">
        <is>
          <t>HEDEMORA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14239-2026</t>
        </is>
      </c>
      <c r="B439" s="1" t="n">
        <v>46099.59994212963</v>
      </c>
      <c r="C439" s="1" t="n">
        <v>46140</v>
      </c>
      <c r="D439" t="inlineStr">
        <is>
          <t>DALARNAS LÄN</t>
        </is>
      </c>
      <c r="E439" t="inlineStr">
        <is>
          <t>HEDEMORA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46217-2023</t>
        </is>
      </c>
      <c r="B440" s="1" t="n">
        <v>45190</v>
      </c>
      <c r="C440" s="1" t="n">
        <v>46140</v>
      </c>
      <c r="D440" t="inlineStr">
        <is>
          <t>DALARNAS LÄN</t>
        </is>
      </c>
      <c r="E440" t="inlineStr">
        <is>
          <t>HEDEMORA</t>
        </is>
      </c>
      <c r="F440" t="inlineStr">
        <is>
          <t>Bergvik skog väst AB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9672-2026</t>
        </is>
      </c>
      <c r="B441" s="1" t="n">
        <v>46072.37832175926</v>
      </c>
      <c r="C441" s="1" t="n">
        <v>46140</v>
      </c>
      <c r="D441" t="inlineStr">
        <is>
          <t>DALARNAS LÄN</t>
        </is>
      </c>
      <c r="E441" t="inlineStr">
        <is>
          <t>HEDEMORA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9462-2026</t>
        </is>
      </c>
      <c r="B442" s="1" t="n">
        <v>46071</v>
      </c>
      <c r="C442" s="1" t="n">
        <v>46140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9482-2026</t>
        </is>
      </c>
      <c r="B443" s="1" t="n">
        <v>46071</v>
      </c>
      <c r="C443" s="1" t="n">
        <v>46140</v>
      </c>
      <c r="D443" t="inlineStr">
        <is>
          <t>DALARNAS LÄN</t>
        </is>
      </c>
      <c r="E443" t="inlineStr">
        <is>
          <t>HEDEMORA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9674-2026</t>
        </is>
      </c>
      <c r="B444" s="1" t="n">
        <v>46072.38046296296</v>
      </c>
      <c r="C444" s="1" t="n">
        <v>46140</v>
      </c>
      <c r="D444" t="inlineStr">
        <is>
          <t>DALARNAS LÄN</t>
        </is>
      </c>
      <c r="E444" t="inlineStr">
        <is>
          <t>HEDEMORA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5766-2025</t>
        </is>
      </c>
      <c r="B445" s="1" t="n">
        <v>45694.57893518519</v>
      </c>
      <c r="C445" s="1" t="n">
        <v>46140</v>
      </c>
      <c r="D445" t="inlineStr">
        <is>
          <t>DALARNAS LÄN</t>
        </is>
      </c>
      <c r="E445" t="inlineStr">
        <is>
          <t>HEDEMORA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17148-2026</t>
        </is>
      </c>
      <c r="B446" s="1" t="n">
        <v>46114.88612268519</v>
      </c>
      <c r="C446" s="1" t="n">
        <v>46140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10280-2026</t>
        </is>
      </c>
      <c r="B447" s="1" t="n">
        <v>46076</v>
      </c>
      <c r="C447" s="1" t="n">
        <v>46140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17206-2026</t>
        </is>
      </c>
      <c r="B448" s="1" t="n">
        <v>46119.3175</v>
      </c>
      <c r="C448" s="1" t="n">
        <v>46140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10160-2026</t>
        </is>
      </c>
      <c r="B449" s="1" t="n">
        <v>46076</v>
      </c>
      <c r="C449" s="1" t="n">
        <v>46140</v>
      </c>
      <c r="D449" t="inlineStr">
        <is>
          <t>DALARNAS LÄN</t>
        </is>
      </c>
      <c r="E449" t="inlineStr">
        <is>
          <t>HEDEMORA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17147-2026</t>
        </is>
      </c>
      <c r="B450" s="1" t="n">
        <v>46114.88349537037</v>
      </c>
      <c r="C450" s="1" t="n">
        <v>46140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25691-2022</t>
        </is>
      </c>
      <c r="B451" s="1" t="n">
        <v>44733</v>
      </c>
      <c r="C451" s="1" t="n">
        <v>46140</v>
      </c>
      <c r="D451" t="inlineStr">
        <is>
          <t>DALARNAS LÄN</t>
        </is>
      </c>
      <c r="E451" t="inlineStr">
        <is>
          <t>HEDEMORA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59295-2025</t>
        </is>
      </c>
      <c r="B452" s="1" t="n">
        <v>45988.77284722222</v>
      </c>
      <c r="C452" s="1" t="n">
        <v>46140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59350-2025</t>
        </is>
      </c>
      <c r="B453" s="1" t="n">
        <v>45989.40451388889</v>
      </c>
      <c r="C453" s="1" t="n">
        <v>46140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60445-2025</t>
        </is>
      </c>
      <c r="B454" s="1" t="n">
        <v>45995.4909837963</v>
      </c>
      <c r="C454" s="1" t="n">
        <v>46140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61849-2022</t>
        </is>
      </c>
      <c r="B455" s="1" t="n">
        <v>44917</v>
      </c>
      <c r="C455" s="1" t="n">
        <v>46140</v>
      </c>
      <c r="D455" t="inlineStr">
        <is>
          <t>DALARNAS LÄN</t>
        </is>
      </c>
      <c r="E455" t="inlineStr">
        <is>
          <t>HEDEMORA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53584-2023</t>
        </is>
      </c>
      <c r="B456" s="1" t="n">
        <v>45230</v>
      </c>
      <c r="C456" s="1" t="n">
        <v>46140</v>
      </c>
      <c r="D456" t="inlineStr">
        <is>
          <t>DALARNAS LÄN</t>
        </is>
      </c>
      <c r="E456" t="inlineStr">
        <is>
          <t>HEDEMORA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16751-2026</t>
        </is>
      </c>
      <c r="B457" s="1" t="n">
        <v>46113</v>
      </c>
      <c r="C457" s="1" t="n">
        <v>46140</v>
      </c>
      <c r="D457" t="inlineStr">
        <is>
          <t>DALARNAS LÄN</t>
        </is>
      </c>
      <c r="E457" t="inlineStr">
        <is>
          <t>HEDEMORA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18015-2026</t>
        </is>
      </c>
      <c r="B458" s="1" t="n">
        <v>46125.34622685185</v>
      </c>
      <c r="C458" s="1" t="n">
        <v>46140</v>
      </c>
      <c r="D458" t="inlineStr">
        <is>
          <t>DALARNAS LÄN</t>
        </is>
      </c>
      <c r="E458" t="inlineStr">
        <is>
          <t>HEDEMORA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18017-2026</t>
        </is>
      </c>
      <c r="B459" s="1" t="n">
        <v>46125.35072916667</v>
      </c>
      <c r="C459" s="1" t="n">
        <v>46140</v>
      </c>
      <c r="D459" t="inlineStr">
        <is>
          <t>DALARNAS LÄN</t>
        </is>
      </c>
      <c r="E459" t="inlineStr">
        <is>
          <t>HEDEMORA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17884-2026</t>
        </is>
      </c>
      <c r="B460" s="1" t="n">
        <v>46122.55744212963</v>
      </c>
      <c r="C460" s="1" t="n">
        <v>46140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17978-2026</t>
        </is>
      </c>
      <c r="B461" s="1" t="n">
        <v>46124.39792824074</v>
      </c>
      <c r="C461" s="1" t="n">
        <v>46140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11541-2026</t>
        </is>
      </c>
      <c r="B462" s="1" t="n">
        <v>46083</v>
      </c>
      <c r="C462" s="1" t="n">
        <v>46140</v>
      </c>
      <c r="D462" t="inlineStr">
        <is>
          <t>DALARNAS LÄN</t>
        </is>
      </c>
      <c r="E462" t="inlineStr">
        <is>
          <t>HEDEMORA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11732-2026</t>
        </is>
      </c>
      <c r="B463" s="1" t="n">
        <v>46084</v>
      </c>
      <c r="C463" s="1" t="n">
        <v>46140</v>
      </c>
      <c r="D463" t="inlineStr">
        <is>
          <t>DALARNAS LÄN</t>
        </is>
      </c>
      <c r="E463" t="inlineStr">
        <is>
          <t>HEDEMORA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20272-2025</t>
        </is>
      </c>
      <c r="B464" s="1" t="n">
        <v>45773.71663194444</v>
      </c>
      <c r="C464" s="1" t="n">
        <v>46140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18579-2025</t>
        </is>
      </c>
      <c r="B465" s="1" t="n">
        <v>45763</v>
      </c>
      <c r="C465" s="1" t="n">
        <v>46140</v>
      </c>
      <c r="D465" t="inlineStr">
        <is>
          <t>DALARNAS LÄN</t>
        </is>
      </c>
      <c r="E465" t="inlineStr">
        <is>
          <t>HEDEMORA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19002-2026</t>
        </is>
      </c>
      <c r="B466" s="1" t="n">
        <v>46129.81104166667</v>
      </c>
      <c r="C466" s="1" t="n">
        <v>46140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18661-2026</t>
        </is>
      </c>
      <c r="B467" s="1" t="n">
        <v>46128.3521412037</v>
      </c>
      <c r="C467" s="1" t="n">
        <v>46140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18920-2026</t>
        </is>
      </c>
      <c r="B468" s="1" t="n">
        <v>46129.52502314815</v>
      </c>
      <c r="C468" s="1" t="n">
        <v>46140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16279-2026</t>
        </is>
      </c>
      <c r="B469" s="1" t="n">
        <v>46111</v>
      </c>
      <c r="C469" s="1" t="n">
        <v>46140</v>
      </c>
      <c r="D469" t="inlineStr">
        <is>
          <t>DALARNAS LÄN</t>
        </is>
      </c>
      <c r="E469" t="inlineStr">
        <is>
          <t>HEDEMORA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18654-2026</t>
        </is>
      </c>
      <c r="B470" s="1" t="n">
        <v>46128.34787037037</v>
      </c>
      <c r="C470" s="1" t="n">
        <v>46140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46825-2024</t>
        </is>
      </c>
      <c r="B471" s="1" t="n">
        <v>45583.58040509259</v>
      </c>
      <c r="C471" s="1" t="n">
        <v>46140</v>
      </c>
      <c r="D471" t="inlineStr">
        <is>
          <t>DALARNAS LÄN</t>
        </is>
      </c>
      <c r="E471" t="inlineStr">
        <is>
          <t>HEDEMORA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18665-2026</t>
        </is>
      </c>
      <c r="B472" s="1" t="n">
        <v>46128.35399305556</v>
      </c>
      <c r="C472" s="1" t="n">
        <v>46140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52942-2024</t>
        </is>
      </c>
      <c r="B473" s="1" t="n">
        <v>45610.8215625</v>
      </c>
      <c r="C473" s="1" t="n">
        <v>46140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26612-2021</t>
        </is>
      </c>
      <c r="B474" s="1" t="n">
        <v>44348.64942129629</v>
      </c>
      <c r="C474" s="1" t="n">
        <v>46140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12687-2026</t>
        </is>
      </c>
      <c r="B475" s="1" t="n">
        <v>46091.56787037037</v>
      </c>
      <c r="C475" s="1" t="n">
        <v>46140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19262-2026</t>
        </is>
      </c>
      <c r="B476" s="1" t="n">
        <v>46132.81534722223</v>
      </c>
      <c r="C476" s="1" t="n">
        <v>46140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22273-2023</t>
        </is>
      </c>
      <c r="B477" s="1" t="n">
        <v>45070</v>
      </c>
      <c r="C477" s="1" t="n">
        <v>46140</v>
      </c>
      <c r="D477" t="inlineStr">
        <is>
          <t>DALARNAS LÄN</t>
        </is>
      </c>
      <c r="E477" t="inlineStr">
        <is>
          <t>HEDEMORA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12604-2026</t>
        </is>
      </c>
      <c r="B478" s="1" t="n">
        <v>46090</v>
      </c>
      <c r="C478" s="1" t="n">
        <v>46140</v>
      </c>
      <c r="D478" t="inlineStr">
        <is>
          <t>DALARNAS LÄN</t>
        </is>
      </c>
      <c r="E478" t="inlineStr">
        <is>
          <t>HEDEMORA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19564-2026</t>
        </is>
      </c>
      <c r="B479" s="1" t="n">
        <v>46134.4296875</v>
      </c>
      <c r="C479" s="1" t="n">
        <v>46140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24427-2022</t>
        </is>
      </c>
      <c r="B480" s="1" t="n">
        <v>44726</v>
      </c>
      <c r="C480" s="1" t="n">
        <v>46140</v>
      </c>
      <c r="D480" t="inlineStr">
        <is>
          <t>DALARNAS LÄN</t>
        </is>
      </c>
      <c r="E480" t="inlineStr">
        <is>
          <t>HEDEMORA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40801-2024</t>
        </is>
      </c>
      <c r="B481" s="1" t="n">
        <v>45558.52905092593</v>
      </c>
      <c r="C481" s="1" t="n">
        <v>46140</v>
      </c>
      <c r="D481" t="inlineStr">
        <is>
          <t>DALARNAS LÄN</t>
        </is>
      </c>
      <c r="E481" t="inlineStr">
        <is>
          <t>HEDEMORA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19670-2026</t>
        </is>
      </c>
      <c r="B482" s="1" t="n">
        <v>46134</v>
      </c>
      <c r="C482" s="1" t="n">
        <v>46140</v>
      </c>
      <c r="D482" t="inlineStr">
        <is>
          <t>DALARNAS LÄN</t>
        </is>
      </c>
      <c r="E482" t="inlineStr">
        <is>
          <t>HEDEMORA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19942-2026</t>
        </is>
      </c>
      <c r="B483" s="1" t="n">
        <v>46136.38186342592</v>
      </c>
      <c r="C483" s="1" t="n">
        <v>46140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13510-2026</t>
        </is>
      </c>
      <c r="B484" s="1" t="n">
        <v>46094</v>
      </c>
      <c r="C484" s="1" t="n">
        <v>46140</v>
      </c>
      <c r="D484" t="inlineStr">
        <is>
          <t>DALARNAS LÄN</t>
        </is>
      </c>
      <c r="E484" t="inlineStr">
        <is>
          <t>HEDEMORA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HYPERLINK("https://klasma.github.io/Logging_2083/knärot/A 13510-2026 karta knärot.png", "A 13510-2026")</f>
        <v/>
      </c>
      <c r="V484">
        <f>HYPERLINK("https://klasma.github.io/Logging_2083/klagomål/A 13510-2026 FSC-klagomål.docx", "A 13510-2026")</f>
        <v/>
      </c>
      <c r="W484">
        <f>HYPERLINK("https://klasma.github.io/Logging_2083/klagomålsmail/A 13510-2026 FSC-klagomål mail.docx", "A 13510-2026")</f>
        <v/>
      </c>
      <c r="X484">
        <f>HYPERLINK("https://klasma.github.io/Logging_2083/tillsyn/A 13510-2026 tillsynsbegäran.docx", "A 13510-2026")</f>
        <v/>
      </c>
      <c r="Y484">
        <f>HYPERLINK("https://klasma.github.io/Logging_2083/tillsynsmail/A 13510-2026 tillsynsbegäran mail.docx", "A 13510-2026")</f>
        <v/>
      </c>
    </row>
    <row r="485" ht="15" customHeight="1">
      <c r="A485" t="inlineStr">
        <is>
          <t>A 13336-2026</t>
        </is>
      </c>
      <c r="B485" s="1" t="n">
        <v>46094</v>
      </c>
      <c r="C485" s="1" t="n">
        <v>46140</v>
      </c>
      <c r="D485" t="inlineStr">
        <is>
          <t>DALARNAS LÄN</t>
        </is>
      </c>
      <c r="E485" t="inlineStr">
        <is>
          <t>HEDEMORA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17438-2026</t>
        </is>
      </c>
      <c r="B486" s="1" t="n">
        <v>46120</v>
      </c>
      <c r="C486" s="1" t="n">
        <v>46140</v>
      </c>
      <c r="D486" t="inlineStr">
        <is>
          <t>DALARNAS LÄN</t>
        </is>
      </c>
      <c r="E486" t="inlineStr">
        <is>
          <t>HEDEMORA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19929-2026</t>
        </is>
      </c>
      <c r="B487" s="1" t="n">
        <v>46136.37385416667</v>
      </c>
      <c r="C487" s="1" t="n">
        <v>46140</v>
      </c>
      <c r="D487" t="inlineStr">
        <is>
          <t>DALARNAS LÄN</t>
        </is>
      </c>
      <c r="E487" t="inlineStr">
        <is>
          <t>HEDEMORA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20385-2026</t>
        </is>
      </c>
      <c r="B488" s="1" t="n">
        <v>46139.7070949074</v>
      </c>
      <c r="C488" s="1" t="n">
        <v>46140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19938-2026</t>
        </is>
      </c>
      <c r="B489" s="1" t="n">
        <v>46136.37981481481</v>
      </c>
      <c r="C489" s="1" t="n">
        <v>46140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13622-2026</t>
        </is>
      </c>
      <c r="B490" s="1" t="n">
        <v>46097.34530092592</v>
      </c>
      <c r="C490" s="1" t="n">
        <v>46140</v>
      </c>
      <c r="D490" t="inlineStr">
        <is>
          <t>DALARNAS LÄN</t>
        </is>
      </c>
      <c r="E490" t="inlineStr">
        <is>
          <t>HEDEMORA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HYPERLINK("https://klasma.github.io/Logging_2083/knärot/A 13622-2026 karta knärot.png", "A 13622-2026")</f>
        <v/>
      </c>
      <c r="V490">
        <f>HYPERLINK("https://klasma.github.io/Logging_2083/klagomål/A 13622-2026 FSC-klagomål.docx", "A 13622-2026")</f>
        <v/>
      </c>
      <c r="W490">
        <f>HYPERLINK("https://klasma.github.io/Logging_2083/klagomålsmail/A 13622-2026 FSC-klagomål mail.docx", "A 13622-2026")</f>
        <v/>
      </c>
      <c r="X490">
        <f>HYPERLINK("https://klasma.github.io/Logging_2083/tillsyn/A 13622-2026 tillsynsbegäran.docx", "A 13622-2026")</f>
        <v/>
      </c>
      <c r="Y490">
        <f>HYPERLINK("https://klasma.github.io/Logging_2083/tillsynsmail/A 13622-2026 tillsynsbegäran mail.docx", "A 13622-2026")</f>
        <v/>
      </c>
    </row>
    <row r="491" ht="15" customHeight="1">
      <c r="A491" t="inlineStr">
        <is>
          <t>A 19932-2026</t>
        </is>
      </c>
      <c r="B491" s="1" t="n">
        <v>46136.37487268518</v>
      </c>
      <c r="C491" s="1" t="n">
        <v>46140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29591-2024</t>
        </is>
      </c>
      <c r="B492" s="1" t="n">
        <v>45484.58222222222</v>
      </c>
      <c r="C492" s="1" t="n">
        <v>46140</v>
      </c>
      <c r="D492" t="inlineStr">
        <is>
          <t>DALARNAS LÄN</t>
        </is>
      </c>
      <c r="E492" t="inlineStr">
        <is>
          <t>HEDEMORA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13507-2026</t>
        </is>
      </c>
      <c r="B493" s="1" t="n">
        <v>46094</v>
      </c>
      <c r="C493" s="1" t="n">
        <v>46140</v>
      </c>
      <c r="D493" t="inlineStr">
        <is>
          <t>DALARNAS LÄN</t>
        </is>
      </c>
      <c r="E493" t="inlineStr">
        <is>
          <t>HEDEMORA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53588-2023</t>
        </is>
      </c>
      <c r="B494" s="1" t="n">
        <v>45230.53109953704</v>
      </c>
      <c r="C494" s="1" t="n">
        <v>46140</v>
      </c>
      <c r="D494" t="inlineStr">
        <is>
          <t>DALARNAS LÄN</t>
        </is>
      </c>
      <c r="E494" t="inlineStr">
        <is>
          <t>HEDEMORA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55832-2024</t>
        </is>
      </c>
      <c r="B495" s="1" t="n">
        <v>45623.48604166666</v>
      </c>
      <c r="C495" s="1" t="n">
        <v>46140</v>
      </c>
      <c r="D495" t="inlineStr">
        <is>
          <t>DALARNAS LÄN</t>
        </is>
      </c>
      <c r="E495" t="inlineStr">
        <is>
          <t>HEDEMORA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52945-2024</t>
        </is>
      </c>
      <c r="B496" s="1" t="n">
        <v>45610.82664351852</v>
      </c>
      <c r="C496" s="1" t="n">
        <v>46140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20670-2024</t>
        </is>
      </c>
      <c r="B497" s="1" t="n">
        <v>45436</v>
      </c>
      <c r="C497" s="1" t="n">
        <v>46140</v>
      </c>
      <c r="D497" t="inlineStr">
        <is>
          <t>DALARNAS LÄN</t>
        </is>
      </c>
      <c r="E497" t="inlineStr">
        <is>
          <t>HEDEMORA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53922-2024</t>
        </is>
      </c>
      <c r="B498" s="1" t="n">
        <v>45615.78459490741</v>
      </c>
      <c r="C498" s="1" t="n">
        <v>46140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14949-2025</t>
        </is>
      </c>
      <c r="B499" s="1" t="n">
        <v>45743.5745949074</v>
      </c>
      <c r="C499" s="1" t="n">
        <v>46140</v>
      </c>
      <c r="D499" t="inlineStr">
        <is>
          <t>DALARNAS LÄN</t>
        </is>
      </c>
      <c r="E499" t="inlineStr">
        <is>
          <t>HEDEMORA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20965-2025</t>
        </is>
      </c>
      <c r="B500" s="1" t="n">
        <v>45777.45135416667</v>
      </c>
      <c r="C500" s="1" t="n">
        <v>46140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63941-2023</t>
        </is>
      </c>
      <c r="B501" s="1" t="n">
        <v>45278.61277777778</v>
      </c>
      <c r="C501" s="1" t="n">
        <v>46140</v>
      </c>
      <c r="D501" t="inlineStr">
        <is>
          <t>DALARNAS LÄN</t>
        </is>
      </c>
      <c r="E501" t="inlineStr">
        <is>
          <t>HEDEMORA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43785-2023</t>
        </is>
      </c>
      <c r="B502" s="1" t="n">
        <v>45187</v>
      </c>
      <c r="C502" s="1" t="n">
        <v>46140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6210-2024</t>
        </is>
      </c>
      <c r="B503" s="1" t="n">
        <v>45337</v>
      </c>
      <c r="C503" s="1" t="n">
        <v>46140</v>
      </c>
      <c r="D503" t="inlineStr">
        <is>
          <t>DALARNAS LÄN</t>
        </is>
      </c>
      <c r="E503" t="inlineStr">
        <is>
          <t>HEDEMORA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30430-2023</t>
        </is>
      </c>
      <c r="B504" s="1" t="n">
        <v>45111.54344907407</v>
      </c>
      <c r="C504" s="1" t="n">
        <v>46140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48380-2024</t>
        </is>
      </c>
      <c r="B505" s="1" t="n">
        <v>45590</v>
      </c>
      <c r="C505" s="1" t="n">
        <v>46140</v>
      </c>
      <c r="D505" t="inlineStr">
        <is>
          <t>DALARNAS LÄN</t>
        </is>
      </c>
      <c r="E505" t="inlineStr">
        <is>
          <t>HEDEMORA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51256-2024</t>
        </is>
      </c>
      <c r="B506" s="1" t="n">
        <v>45603.68902777778</v>
      </c>
      <c r="C506" s="1" t="n">
        <v>46140</v>
      </c>
      <c r="D506" t="inlineStr">
        <is>
          <t>DALARNAS LÄN</t>
        </is>
      </c>
      <c r="E506" t="inlineStr">
        <is>
          <t>HEDEMORA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19920-2025</t>
        </is>
      </c>
      <c r="B507" s="1" t="n">
        <v>45771</v>
      </c>
      <c r="C507" s="1" t="n">
        <v>46140</v>
      </c>
      <c r="D507" t="inlineStr">
        <is>
          <t>DALARNAS LÄN</t>
        </is>
      </c>
      <c r="E507" t="inlineStr">
        <is>
          <t>HEDEMORA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25195-2024</t>
        </is>
      </c>
      <c r="B508" s="1" t="n">
        <v>45462</v>
      </c>
      <c r="C508" s="1" t="n">
        <v>46140</v>
      </c>
      <c r="D508" t="inlineStr">
        <is>
          <t>DALARNAS LÄN</t>
        </is>
      </c>
      <c r="E508" t="inlineStr">
        <is>
          <t>HEDEMORA</t>
        </is>
      </c>
      <c r="F508" t="inlineStr">
        <is>
          <t>Övriga statliga verk och myndigheter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25021-2025</t>
        </is>
      </c>
      <c r="B509" s="1" t="n">
        <v>45799.64574074074</v>
      </c>
      <c r="C509" s="1" t="n">
        <v>46140</v>
      </c>
      <c r="D509" t="inlineStr">
        <is>
          <t>DALARNAS LÄN</t>
        </is>
      </c>
      <c r="E509" t="inlineStr">
        <is>
          <t>HEDEMORA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19397-2024</t>
        </is>
      </c>
      <c r="B510" s="1" t="n">
        <v>45429.38474537037</v>
      </c>
      <c r="C510" s="1" t="n">
        <v>46140</v>
      </c>
      <c r="D510" t="inlineStr">
        <is>
          <t>DALARNAS LÄN</t>
        </is>
      </c>
      <c r="E510" t="inlineStr">
        <is>
          <t>HEDEMORA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26204-2025</t>
        </is>
      </c>
      <c r="B511" s="1" t="n">
        <v>45805.51065972223</v>
      </c>
      <c r="C511" s="1" t="n">
        <v>46140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6972-2025</t>
        </is>
      </c>
      <c r="B512" s="1" t="n">
        <v>45701.53790509259</v>
      </c>
      <c r="C512" s="1" t="n">
        <v>46140</v>
      </c>
      <c r="D512" t="inlineStr">
        <is>
          <t>DALARNAS LÄN</t>
        </is>
      </c>
      <c r="E512" t="inlineStr">
        <is>
          <t>HEDEMORA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43621-2024</t>
        </is>
      </c>
      <c r="B513" s="1" t="n">
        <v>45569.48200231481</v>
      </c>
      <c r="C513" s="1" t="n">
        <v>46140</v>
      </c>
      <c r="D513" t="inlineStr">
        <is>
          <t>DALARNAS LÄN</t>
        </is>
      </c>
      <c r="E513" t="inlineStr">
        <is>
          <t>HEDEMORA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26705-2025</t>
        </is>
      </c>
      <c r="B514" s="1" t="n">
        <v>45810.45325231482</v>
      </c>
      <c r="C514" s="1" t="n">
        <v>46140</v>
      </c>
      <c r="D514" t="inlineStr">
        <is>
          <t>DALARNAS LÄN</t>
        </is>
      </c>
      <c r="E514" t="inlineStr">
        <is>
          <t>HEDEMORA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28180-2025</t>
        </is>
      </c>
      <c r="B515" s="1" t="n">
        <v>45818.39755787037</v>
      </c>
      <c r="C515" s="1" t="n">
        <v>46140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28182-2025</t>
        </is>
      </c>
      <c r="B516" s="1" t="n">
        <v>45818.40069444444</v>
      </c>
      <c r="C516" s="1" t="n">
        <v>46140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28183-2025</t>
        </is>
      </c>
      <c r="B517" s="1" t="n">
        <v>45818.4021875</v>
      </c>
      <c r="C517" s="1" t="n">
        <v>46140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29690-2025</t>
        </is>
      </c>
      <c r="B518" s="1" t="n">
        <v>45825.53508101852</v>
      </c>
      <c r="C518" s="1" t="n">
        <v>46140</v>
      </c>
      <c r="D518" t="inlineStr">
        <is>
          <t>DALARNAS LÄN</t>
        </is>
      </c>
      <c r="E518" t="inlineStr">
        <is>
          <t>HEDEMORA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30471-2025</t>
        </is>
      </c>
      <c r="B519" s="1" t="n">
        <v>45827.94552083333</v>
      </c>
      <c r="C519" s="1" t="n">
        <v>46140</v>
      </c>
      <c r="D519" t="inlineStr">
        <is>
          <t>DALARNAS LÄN</t>
        </is>
      </c>
      <c r="E519" t="inlineStr">
        <is>
          <t>HEDEMORA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30472-2025</t>
        </is>
      </c>
      <c r="B520" s="1" t="n">
        <v>45827.94671296296</v>
      </c>
      <c r="C520" s="1" t="n">
        <v>46140</v>
      </c>
      <c r="D520" t="inlineStr">
        <is>
          <t>DALARNAS LÄN</t>
        </is>
      </c>
      <c r="E520" t="inlineStr">
        <is>
          <t>HEDEMORA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30582-2025</t>
        </is>
      </c>
      <c r="B521" s="1" t="n">
        <v>45831.42349537037</v>
      </c>
      <c r="C521" s="1" t="n">
        <v>46140</v>
      </c>
      <c r="D521" t="inlineStr">
        <is>
          <t>DALARNAS LÄN</t>
        </is>
      </c>
      <c r="E521" t="inlineStr">
        <is>
          <t>HEDEMORA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32865-2025</t>
        </is>
      </c>
      <c r="B522" s="1" t="n">
        <v>45839.58767361111</v>
      </c>
      <c r="C522" s="1" t="n">
        <v>46140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32869-2025</t>
        </is>
      </c>
      <c r="B523" s="1" t="n">
        <v>45839.58927083333</v>
      </c>
      <c r="C523" s="1" t="n">
        <v>46140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33009-2025</t>
        </is>
      </c>
      <c r="B524" s="1" t="n">
        <v>45840</v>
      </c>
      <c r="C524" s="1" t="n">
        <v>46140</v>
      </c>
      <c r="D524" t="inlineStr">
        <is>
          <t>DALARNAS LÄN</t>
        </is>
      </c>
      <c r="E524" t="inlineStr">
        <is>
          <t>HEDEMORA</t>
        </is>
      </c>
      <c r="F524" t="inlineStr">
        <is>
          <t>Kyrkan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33286-2025</t>
        </is>
      </c>
      <c r="B525" s="1" t="n">
        <v>45840.81065972222</v>
      </c>
      <c r="C525" s="1" t="n">
        <v>46140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34734-2025</t>
        </is>
      </c>
      <c r="B526" s="1" t="n">
        <v>45848</v>
      </c>
      <c r="C526" s="1" t="n">
        <v>46140</v>
      </c>
      <c r="D526" t="inlineStr">
        <is>
          <t>DALARNAS LÄN</t>
        </is>
      </c>
      <c r="E526" t="inlineStr">
        <is>
          <t>HEDEMORA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35103-2025</t>
        </is>
      </c>
      <c r="B527" s="1" t="n">
        <v>45852.56914351852</v>
      </c>
      <c r="C527" s="1" t="n">
        <v>46140</v>
      </c>
      <c r="D527" t="inlineStr">
        <is>
          <t>DALARNAS LÄN</t>
        </is>
      </c>
      <c r="E527" t="inlineStr">
        <is>
          <t>HEDEMORA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15048-2025</t>
        </is>
      </c>
      <c r="B528" s="1" t="n">
        <v>45743.69820601852</v>
      </c>
      <c r="C528" s="1" t="n">
        <v>46140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15054-2025</t>
        </is>
      </c>
      <c r="B529" s="1" t="n">
        <v>45743.70199074074</v>
      </c>
      <c r="C529" s="1" t="n">
        <v>46140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36117-2025</t>
        </is>
      </c>
      <c r="B530" s="1" t="n">
        <v>45866.58664351852</v>
      </c>
      <c r="C530" s="1" t="n">
        <v>46140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36103-2025</t>
        </is>
      </c>
      <c r="B531" s="1" t="n">
        <v>45866.55335648148</v>
      </c>
      <c r="C531" s="1" t="n">
        <v>46140</v>
      </c>
      <c r="D531" t="inlineStr">
        <is>
          <t>DALARNAS LÄN</t>
        </is>
      </c>
      <c r="E531" t="inlineStr">
        <is>
          <t>HEDEMORA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36075-2025</t>
        </is>
      </c>
      <c r="B532" s="1" t="n">
        <v>45866.43974537037</v>
      </c>
      <c r="C532" s="1" t="n">
        <v>46140</v>
      </c>
      <c r="D532" t="inlineStr">
        <is>
          <t>DALARNAS LÄN</t>
        </is>
      </c>
      <c r="E532" t="inlineStr">
        <is>
          <t>HEDEMORA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36206-2025</t>
        </is>
      </c>
      <c r="B533" s="1" t="n">
        <v>45867.45057870371</v>
      </c>
      <c r="C533" s="1" t="n">
        <v>46140</v>
      </c>
      <c r="D533" t="inlineStr">
        <is>
          <t>DALARNAS LÄN</t>
        </is>
      </c>
      <c r="E533" t="inlineStr">
        <is>
          <t>HEDEMORA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2026-04-28T10:48:22Z</dcterms:created>
  <dcterms:modified xmlns:dcterms="http://purl.org/dc/terms/" xmlns:xsi="http://www.w3.org/2001/XMLSchema-instance" xsi:type="dcterms:W3CDTF">2026-04-28T10:48:23Z</dcterms:modified>
</cp:coreProperties>
</file>