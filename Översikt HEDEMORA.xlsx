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46012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46012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46012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46012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46012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46012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46012</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38724-2025</t>
        </is>
      </c>
      <c r="B9" s="1" t="n">
        <v>45887.29802083333</v>
      </c>
      <c r="C9" s="1" t="n">
        <v>46012</v>
      </c>
      <c r="D9" t="inlineStr">
        <is>
          <t>DALARNAS LÄN</t>
        </is>
      </c>
      <c r="E9" t="inlineStr">
        <is>
          <t>HEDEMORA</t>
        </is>
      </c>
      <c r="G9" t="n">
        <v>5</v>
      </c>
      <c r="H9" t="n">
        <v>0</v>
      </c>
      <c r="I9" t="n">
        <v>6</v>
      </c>
      <c r="J9" t="n">
        <v>2</v>
      </c>
      <c r="K9" t="n">
        <v>1</v>
      </c>
      <c r="L9" t="n">
        <v>0</v>
      </c>
      <c r="M9" t="n">
        <v>0</v>
      </c>
      <c r="N9" t="n">
        <v>0</v>
      </c>
      <c r="O9" t="n">
        <v>3</v>
      </c>
      <c r="P9" t="n">
        <v>1</v>
      </c>
      <c r="Q9" t="n">
        <v>9</v>
      </c>
      <c r="R9" s="2" t="inlineStr">
        <is>
          <t>Läderdoftande fingersvamp
Gul taggsvamp
Odörspindling
Diskvaxskivling
Fjällig taggsvamp s.str.
Olivspindling
Skarp dropptaggsvamp
Strimspindling
Svavelriska</t>
        </is>
      </c>
      <c r="S9">
        <f>HYPERLINK("https://klasma.github.io/Logging_2083/artfynd/A 38724-2025 artfynd.xlsx", "A 38724-2025")</f>
        <v/>
      </c>
      <c r="T9">
        <f>HYPERLINK("https://klasma.github.io/Logging_2083/kartor/A 38724-2025 karta.png", "A 38724-2025")</f>
        <v/>
      </c>
      <c r="V9">
        <f>HYPERLINK("https://klasma.github.io/Logging_2083/klagomål/A 38724-2025 FSC-klagomål.docx", "A 38724-2025")</f>
        <v/>
      </c>
      <c r="W9">
        <f>HYPERLINK("https://klasma.github.io/Logging_2083/klagomålsmail/A 38724-2025 FSC-klagomål mail.docx", "A 38724-2025")</f>
        <v/>
      </c>
      <c r="X9">
        <f>HYPERLINK("https://klasma.github.io/Logging_2083/tillsyn/A 38724-2025 tillsynsbegäran.docx", "A 38724-2025")</f>
        <v/>
      </c>
      <c r="Y9">
        <f>HYPERLINK("https://klasma.github.io/Logging_2083/tillsynsmail/A 38724-2025 tillsynsbegäran mail.docx", "A 38724-2025")</f>
        <v/>
      </c>
    </row>
    <row r="10" ht="15" customHeight="1">
      <c r="A10" t="inlineStr">
        <is>
          <t>A 62040-2021</t>
        </is>
      </c>
      <c r="B10" s="1" t="n">
        <v>44502</v>
      </c>
      <c r="C10" s="1" t="n">
        <v>46012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46012</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53820-2025</t>
        </is>
      </c>
      <c r="B12" s="1" t="n">
        <v>45961.32736111111</v>
      </c>
      <c r="C12" s="1" t="n">
        <v>46012</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46012</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46012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46012</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46012</v>
      </c>
      <c r="D16" t="inlineStr">
        <is>
          <t>DALARNAS LÄN</t>
        </is>
      </c>
      <c r="E16" t="inlineStr">
        <is>
          <t>HEDEMORA</t>
        </is>
      </c>
      <c r="G16" t="n">
        <v>8.199999999999999</v>
      </c>
      <c r="H16" t="n">
        <v>0</v>
      </c>
      <c r="I16" t="n">
        <v>3</v>
      </c>
      <c r="J16" t="n">
        <v>3</v>
      </c>
      <c r="K16" t="n">
        <v>1</v>
      </c>
      <c r="L16" t="n">
        <v>0</v>
      </c>
      <c r="M16" t="n">
        <v>0</v>
      </c>
      <c r="N16" t="n">
        <v>0</v>
      </c>
      <c r="O16" t="n">
        <v>4</v>
      </c>
      <c r="P16" t="n">
        <v>1</v>
      </c>
      <c r="Q16" t="n">
        <v>7</v>
      </c>
      <c r="R16" s="2" t="inlineStr">
        <is>
          <t>Grangråticka
Odörspindling
Persiljespindling
Puderspindling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46012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46012</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46012</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v>
      </c>
      <c r="C20" s="1" t="n">
        <v>46012</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46012</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46012</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46012</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46012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46012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46012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46012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46012</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46012</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46012</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46012</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46012</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46012</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46012</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46012</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41332-2025</t>
        </is>
      </c>
      <c r="B36" s="1" t="n">
        <v>45899.35592592593</v>
      </c>
      <c r="C36" s="1" t="n">
        <v>46012</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59035-2023</t>
        </is>
      </c>
      <c r="B37" s="1" t="n">
        <v>45252</v>
      </c>
      <c r="C37" s="1" t="n">
        <v>46012</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46012</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19352-2024</t>
        </is>
      </c>
      <c r="B39" s="1" t="n">
        <v>45429.29493055555</v>
      </c>
      <c r="C39" s="1" t="n">
        <v>46012</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46012</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46012</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46012</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46012</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46012</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46012</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46012</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39396-2025</t>
        </is>
      </c>
      <c r="B47" s="1" t="n">
        <v>45889.63289351852</v>
      </c>
      <c r="C47" s="1" t="n">
        <v>46012</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28181-2025</t>
        </is>
      </c>
      <c r="B48" s="1" t="n">
        <v>45818.39921296296</v>
      </c>
      <c r="C48" s="1" t="n">
        <v>46012</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41333-2025</t>
        </is>
      </c>
      <c r="B49" s="1" t="n">
        <v>45899.35854166667</v>
      </c>
      <c r="C49" s="1" t="n">
        <v>46012</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44598-2025</t>
        </is>
      </c>
      <c r="B50" s="1" t="n">
        <v>45917.43056712963</v>
      </c>
      <c r="C50" s="1" t="n">
        <v>46012</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46012</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53031-2023</t>
        </is>
      </c>
      <c r="B52" s="1" t="n">
        <v>45226</v>
      </c>
      <c r="C52" s="1" t="n">
        <v>46012</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15058-2025</t>
        </is>
      </c>
      <c r="B53" s="1" t="n">
        <v>45743.70716435185</v>
      </c>
      <c r="C53" s="1" t="n">
        <v>46012</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19094-2025</t>
        </is>
      </c>
      <c r="B54" s="1" t="n">
        <v>45767.54942129629</v>
      </c>
      <c r="C54" s="1" t="n">
        <v>46012</v>
      </c>
      <c r="D54" t="inlineStr">
        <is>
          <t>DALARNAS LÄN</t>
        </is>
      </c>
      <c r="E54" t="inlineStr">
        <is>
          <t>HEDEMORA</t>
        </is>
      </c>
      <c r="F54" t="inlineStr">
        <is>
          <t>Sveaskog</t>
        </is>
      </c>
      <c r="G54" t="n">
        <v>16.9</v>
      </c>
      <c r="H54" t="n">
        <v>1</v>
      </c>
      <c r="I54" t="n">
        <v>1</v>
      </c>
      <c r="J54" t="n">
        <v>0</v>
      </c>
      <c r="K54" t="n">
        <v>0</v>
      </c>
      <c r="L54" t="n">
        <v>0</v>
      </c>
      <c r="M54" t="n">
        <v>0</v>
      </c>
      <c r="N54" t="n">
        <v>0</v>
      </c>
      <c r="O54" t="n">
        <v>0</v>
      </c>
      <c r="P54" t="n">
        <v>0</v>
      </c>
      <c r="Q54" t="n">
        <v>1</v>
      </c>
      <c r="R54" s="2" t="inlineStr">
        <is>
          <t>Plattlummer</t>
        </is>
      </c>
      <c r="S54">
        <f>HYPERLINK("https://klasma.github.io/Logging_2083/artfynd/A 19094-2025 artfynd.xlsx", "A 19094-2025")</f>
        <v/>
      </c>
      <c r="T54">
        <f>HYPERLINK("https://klasma.github.io/Logging_2083/kartor/A 19094-2025 karta.png", "A 19094-2025")</f>
        <v/>
      </c>
      <c r="V54">
        <f>HYPERLINK("https://klasma.github.io/Logging_2083/klagomål/A 19094-2025 FSC-klagomål.docx", "A 19094-2025")</f>
        <v/>
      </c>
      <c r="W54">
        <f>HYPERLINK("https://klasma.github.io/Logging_2083/klagomålsmail/A 19094-2025 FSC-klagomål mail.docx", "A 19094-2025")</f>
        <v/>
      </c>
      <c r="X54">
        <f>HYPERLINK("https://klasma.github.io/Logging_2083/tillsyn/A 19094-2025 tillsynsbegäran.docx", "A 19094-2025")</f>
        <v/>
      </c>
      <c r="Y54">
        <f>HYPERLINK("https://klasma.github.io/Logging_2083/tillsynsmail/A 19094-2025 tillsynsbegäran mail.docx", "A 19094-2025")</f>
        <v/>
      </c>
    </row>
    <row r="55" ht="15" customHeight="1">
      <c r="A55" t="inlineStr">
        <is>
          <t>A 48382-2025</t>
        </is>
      </c>
      <c r="B55" s="1" t="n">
        <v>45933.82043981482</v>
      </c>
      <c r="C55" s="1" t="n">
        <v>46012</v>
      </c>
      <c r="D55" t="inlineStr">
        <is>
          <t>DALARNAS LÄN</t>
        </is>
      </c>
      <c r="E55" t="inlineStr">
        <is>
          <t>HEDEMORA</t>
        </is>
      </c>
      <c r="F55" t="inlineStr">
        <is>
          <t>Sveaskog</t>
        </is>
      </c>
      <c r="G55" t="n">
        <v>1.9</v>
      </c>
      <c r="H55" t="n">
        <v>1</v>
      </c>
      <c r="I55" t="n">
        <v>0</v>
      </c>
      <c r="J55" t="n">
        <v>1</v>
      </c>
      <c r="K55" t="n">
        <v>0</v>
      </c>
      <c r="L55" t="n">
        <v>0</v>
      </c>
      <c r="M55" t="n">
        <v>0</v>
      </c>
      <c r="N55" t="n">
        <v>0</v>
      </c>
      <c r="O55" t="n">
        <v>1</v>
      </c>
      <c r="P55" t="n">
        <v>0</v>
      </c>
      <c r="Q55" t="n">
        <v>1</v>
      </c>
      <c r="R55" s="2" t="inlineStr">
        <is>
          <t>Svartvit flugsnappare</t>
        </is>
      </c>
      <c r="S55">
        <f>HYPERLINK("https://klasma.github.io/Logging_2083/artfynd/A 48382-2025 artfynd.xlsx", "A 48382-2025")</f>
        <v/>
      </c>
      <c r="T55">
        <f>HYPERLINK("https://klasma.github.io/Logging_2083/kartor/A 48382-2025 karta.png", "A 48382-2025")</f>
        <v/>
      </c>
      <c r="U55">
        <f>HYPERLINK("https://klasma.github.io/Logging_2083/knärot/A 48382-2025 karta knärot.png", "A 48382-2025")</f>
        <v/>
      </c>
      <c r="V55">
        <f>HYPERLINK("https://klasma.github.io/Logging_2083/klagomål/A 48382-2025 FSC-klagomål.docx", "A 48382-2025")</f>
        <v/>
      </c>
      <c r="W55">
        <f>HYPERLINK("https://klasma.github.io/Logging_2083/klagomålsmail/A 48382-2025 FSC-klagomål mail.docx", "A 48382-2025")</f>
        <v/>
      </c>
      <c r="X55">
        <f>HYPERLINK("https://klasma.github.io/Logging_2083/tillsyn/A 48382-2025 tillsynsbegäran.docx", "A 48382-2025")</f>
        <v/>
      </c>
      <c r="Y55">
        <f>HYPERLINK("https://klasma.github.io/Logging_2083/tillsynsmail/A 48382-2025 tillsynsbegäran mail.docx", "A 48382-2025")</f>
        <v/>
      </c>
      <c r="Z55">
        <f>HYPERLINK("https://klasma.github.io/Logging_2083/fåglar/A 48382-2025 prioriterade fågelarter.docx", "A 48382-2025")</f>
        <v/>
      </c>
    </row>
    <row r="56" ht="15" customHeight="1">
      <c r="A56" t="inlineStr">
        <is>
          <t>A 52941-2024</t>
        </is>
      </c>
      <c r="B56" s="1" t="n">
        <v>45610.80650462963</v>
      </c>
      <c r="C56" s="1" t="n">
        <v>46012</v>
      </c>
      <c r="D56" t="inlineStr">
        <is>
          <t>DALARNAS LÄN</t>
        </is>
      </c>
      <c r="E56" t="inlineStr">
        <is>
          <t>HEDEMORA</t>
        </is>
      </c>
      <c r="F56" t="inlineStr">
        <is>
          <t>Sveaskog</t>
        </is>
      </c>
      <c r="G56" t="n">
        <v>18.3</v>
      </c>
      <c r="H56" t="n">
        <v>1</v>
      </c>
      <c r="I56" t="n">
        <v>0</v>
      </c>
      <c r="J56" t="n">
        <v>0</v>
      </c>
      <c r="K56" t="n">
        <v>1</v>
      </c>
      <c r="L56" t="n">
        <v>0</v>
      </c>
      <c r="M56" t="n">
        <v>0</v>
      </c>
      <c r="N56" t="n">
        <v>0</v>
      </c>
      <c r="O56" t="n">
        <v>1</v>
      </c>
      <c r="P56" t="n">
        <v>1</v>
      </c>
      <c r="Q56" t="n">
        <v>1</v>
      </c>
      <c r="R56" s="2" t="inlineStr">
        <is>
          <t>Knärot</t>
        </is>
      </c>
      <c r="S56">
        <f>HYPERLINK("https://klasma.github.io/Logging_2083/artfynd/A 52941-2024 artfynd.xlsx", "A 52941-2024")</f>
        <v/>
      </c>
      <c r="T56">
        <f>HYPERLINK("https://klasma.github.io/Logging_2083/kartor/A 52941-2024 karta.png", "A 52941-2024")</f>
        <v/>
      </c>
      <c r="U56">
        <f>HYPERLINK("https://klasma.github.io/Logging_2083/knärot/A 52941-2024 karta knärot.png", "A 52941-2024")</f>
        <v/>
      </c>
      <c r="V56">
        <f>HYPERLINK("https://klasma.github.io/Logging_2083/klagomål/A 52941-2024 FSC-klagomål.docx", "A 52941-2024")</f>
        <v/>
      </c>
      <c r="W56">
        <f>HYPERLINK("https://klasma.github.io/Logging_2083/klagomålsmail/A 52941-2024 FSC-klagomål mail.docx", "A 52941-2024")</f>
        <v/>
      </c>
      <c r="X56">
        <f>HYPERLINK("https://klasma.github.io/Logging_2083/tillsyn/A 52941-2024 tillsynsbegäran.docx", "A 52941-2024")</f>
        <v/>
      </c>
      <c r="Y56">
        <f>HYPERLINK("https://klasma.github.io/Logging_2083/tillsynsmail/A 52941-2024 tillsynsbegäran mail.docx", "A 52941-2024")</f>
        <v/>
      </c>
    </row>
    <row r="57" ht="15" customHeight="1">
      <c r="A57" t="inlineStr">
        <is>
          <t>A 33968-2025</t>
        </is>
      </c>
      <c r="B57" s="1" t="n">
        <v>45842</v>
      </c>
      <c r="C57" s="1" t="n">
        <v>46012</v>
      </c>
      <c r="D57" t="inlineStr">
        <is>
          <t>DALARNAS LÄN</t>
        </is>
      </c>
      <c r="E57" t="inlineStr">
        <is>
          <t>HEDEMORA</t>
        </is>
      </c>
      <c r="F57" t="inlineStr">
        <is>
          <t>Sveaskog</t>
        </is>
      </c>
      <c r="G57" t="n">
        <v>1.6</v>
      </c>
      <c r="H57" t="n">
        <v>1</v>
      </c>
      <c r="I57" t="n">
        <v>1</v>
      </c>
      <c r="J57" t="n">
        <v>0</v>
      </c>
      <c r="K57" t="n">
        <v>0</v>
      </c>
      <c r="L57" t="n">
        <v>0</v>
      </c>
      <c r="M57" t="n">
        <v>0</v>
      </c>
      <c r="N57" t="n">
        <v>0</v>
      </c>
      <c r="O57" t="n">
        <v>0</v>
      </c>
      <c r="P57" t="n">
        <v>0</v>
      </c>
      <c r="Q57" t="n">
        <v>1</v>
      </c>
      <c r="R57" s="2" t="inlineStr">
        <is>
          <t>Plattlummer</t>
        </is>
      </c>
      <c r="S57">
        <f>HYPERLINK("https://klasma.github.io/Logging_2083/artfynd/A 33968-2025 artfynd.xlsx", "A 33968-2025")</f>
        <v/>
      </c>
      <c r="T57">
        <f>HYPERLINK("https://klasma.github.io/Logging_2083/kartor/A 33968-2025 karta.png", "A 33968-2025")</f>
        <v/>
      </c>
      <c r="V57">
        <f>HYPERLINK("https://klasma.github.io/Logging_2083/klagomål/A 33968-2025 FSC-klagomål.docx", "A 33968-2025")</f>
        <v/>
      </c>
      <c r="W57">
        <f>HYPERLINK("https://klasma.github.io/Logging_2083/klagomålsmail/A 33968-2025 FSC-klagomål mail.docx", "A 33968-2025")</f>
        <v/>
      </c>
      <c r="X57">
        <f>HYPERLINK("https://klasma.github.io/Logging_2083/tillsyn/A 33968-2025 tillsynsbegäran.docx", "A 33968-2025")</f>
        <v/>
      </c>
      <c r="Y57">
        <f>HYPERLINK("https://klasma.github.io/Logging_2083/tillsynsmail/A 33968-2025 tillsynsbegäran mail.docx", "A 33968-2025")</f>
        <v/>
      </c>
    </row>
    <row r="58" ht="15" customHeight="1">
      <c r="A58" t="inlineStr">
        <is>
          <t>A 13986-2023</t>
        </is>
      </c>
      <c r="B58" s="1" t="n">
        <v>45008</v>
      </c>
      <c r="C58" s="1" t="n">
        <v>46012</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42614-2024</t>
        </is>
      </c>
      <c r="B59" s="1" t="n">
        <v>45565</v>
      </c>
      <c r="C59" s="1" t="n">
        <v>46012</v>
      </c>
      <c r="D59" t="inlineStr">
        <is>
          <t>DALARNAS LÄN</t>
        </is>
      </c>
      <c r="E59" t="inlineStr">
        <is>
          <t>HEDEMORA</t>
        </is>
      </c>
      <c r="F59" t="inlineStr">
        <is>
          <t>Sveaskog</t>
        </is>
      </c>
      <c r="G59" t="n">
        <v>3</v>
      </c>
      <c r="H59" t="n">
        <v>1</v>
      </c>
      <c r="I59" t="n">
        <v>0</v>
      </c>
      <c r="J59" t="n">
        <v>1</v>
      </c>
      <c r="K59" t="n">
        <v>0</v>
      </c>
      <c r="L59" t="n">
        <v>0</v>
      </c>
      <c r="M59" t="n">
        <v>0</v>
      </c>
      <c r="N59" t="n">
        <v>0</v>
      </c>
      <c r="O59" t="n">
        <v>1</v>
      </c>
      <c r="P59" t="n">
        <v>0</v>
      </c>
      <c r="Q59" t="n">
        <v>1</v>
      </c>
      <c r="R59" s="2" t="inlineStr">
        <is>
          <t>Talltita</t>
        </is>
      </c>
      <c r="S59">
        <f>HYPERLINK("https://klasma.github.io/Logging_2083/artfynd/A 42614-2024 artfynd.xlsx", "A 42614-2024")</f>
        <v/>
      </c>
      <c r="T59">
        <f>HYPERLINK("https://klasma.github.io/Logging_2083/kartor/A 42614-2024 karta.png", "A 42614-2024")</f>
        <v/>
      </c>
      <c r="V59">
        <f>HYPERLINK("https://klasma.github.io/Logging_2083/klagomål/A 42614-2024 FSC-klagomål.docx", "A 42614-2024")</f>
        <v/>
      </c>
      <c r="W59">
        <f>HYPERLINK("https://klasma.github.io/Logging_2083/klagomålsmail/A 42614-2024 FSC-klagomål mail.docx", "A 42614-2024")</f>
        <v/>
      </c>
      <c r="X59">
        <f>HYPERLINK("https://klasma.github.io/Logging_2083/tillsyn/A 42614-2024 tillsynsbegäran.docx", "A 42614-2024")</f>
        <v/>
      </c>
      <c r="Y59">
        <f>HYPERLINK("https://klasma.github.io/Logging_2083/tillsynsmail/A 42614-2024 tillsynsbegäran mail.docx", "A 42614-2024")</f>
        <v/>
      </c>
      <c r="Z59">
        <f>HYPERLINK("https://klasma.github.io/Logging_2083/fåglar/A 42614-2024 prioriterade fågelarter.docx", "A 42614-2024")</f>
        <v/>
      </c>
    </row>
    <row r="60" ht="15" customHeight="1">
      <c r="A60" t="inlineStr">
        <is>
          <t>A 17590-2025</t>
        </is>
      </c>
      <c r="B60" s="1" t="n">
        <v>45757.69396990741</v>
      </c>
      <c r="C60" s="1" t="n">
        <v>46012</v>
      </c>
      <c r="D60" t="inlineStr">
        <is>
          <t>DALARNAS LÄN</t>
        </is>
      </c>
      <c r="E60" t="inlineStr">
        <is>
          <t>HEDEMORA</t>
        </is>
      </c>
      <c r="G60" t="n">
        <v>0.6</v>
      </c>
      <c r="H60" t="n">
        <v>0</v>
      </c>
      <c r="I60" t="n">
        <v>0</v>
      </c>
      <c r="J60" t="n">
        <v>1</v>
      </c>
      <c r="K60" t="n">
        <v>0</v>
      </c>
      <c r="L60" t="n">
        <v>0</v>
      </c>
      <c r="M60" t="n">
        <v>0</v>
      </c>
      <c r="N60" t="n">
        <v>0</v>
      </c>
      <c r="O60" t="n">
        <v>1</v>
      </c>
      <c r="P60" t="n">
        <v>0</v>
      </c>
      <c r="Q60" t="n">
        <v>1</v>
      </c>
      <c r="R60" s="2" t="inlineStr">
        <is>
          <t>Garnlav</t>
        </is>
      </c>
      <c r="S60">
        <f>HYPERLINK("https://klasma.github.io/Logging_2083/artfynd/A 17590-2025 artfynd.xlsx", "A 17590-2025")</f>
        <v/>
      </c>
      <c r="T60">
        <f>HYPERLINK("https://klasma.github.io/Logging_2083/kartor/A 17590-2025 karta.png", "A 17590-2025")</f>
        <v/>
      </c>
      <c r="V60">
        <f>HYPERLINK("https://klasma.github.io/Logging_2083/klagomål/A 17590-2025 FSC-klagomål.docx", "A 17590-2025")</f>
        <v/>
      </c>
      <c r="W60">
        <f>HYPERLINK("https://klasma.github.io/Logging_2083/klagomålsmail/A 17590-2025 FSC-klagomål mail.docx", "A 17590-2025")</f>
        <v/>
      </c>
      <c r="X60">
        <f>HYPERLINK("https://klasma.github.io/Logging_2083/tillsyn/A 17590-2025 tillsynsbegäran.docx", "A 17590-2025")</f>
        <v/>
      </c>
      <c r="Y60">
        <f>HYPERLINK("https://klasma.github.io/Logging_2083/tillsynsmail/A 17590-2025 tillsynsbegäran mail.docx", "A 17590-2025")</f>
        <v/>
      </c>
    </row>
    <row r="61" ht="15" customHeight="1">
      <c r="A61" t="inlineStr">
        <is>
          <t>A 51111-2021</t>
        </is>
      </c>
      <c r="B61" s="1" t="n">
        <v>44461</v>
      </c>
      <c r="C61" s="1" t="n">
        <v>46012</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45291-2025</t>
        </is>
      </c>
      <c r="B62" s="1" t="n">
        <v>45920.3734837963</v>
      </c>
      <c r="C62" s="1" t="n">
        <v>46012</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46012</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60017-2024</t>
        </is>
      </c>
      <c r="B64" s="1" t="n">
        <v>45642</v>
      </c>
      <c r="C64" s="1" t="n">
        <v>46012</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46012</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46012</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46012</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46012</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46012</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46012</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46012</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46012</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46012</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46012</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46012</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46012</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46012</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46012</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46012</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46012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46012</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46012</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46012</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46012</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46012</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46012</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46012</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46012</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46012</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46012</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46012</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46012</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46012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46012</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46012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46012</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46012</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46012</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46012</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46012</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46012</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46012</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46012</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29283-2022</t>
        </is>
      </c>
      <c r="B104" s="1" t="n">
        <v>44750.87045138889</v>
      </c>
      <c r="C104" s="1" t="n">
        <v>46012</v>
      </c>
      <c r="D104" t="inlineStr">
        <is>
          <t>DALARNAS LÄN</t>
        </is>
      </c>
      <c r="E104" t="inlineStr">
        <is>
          <t>HEDEMORA</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29284-2022</t>
        </is>
      </c>
      <c r="B105" s="1" t="n">
        <v>44750.87366898148</v>
      </c>
      <c r="C105" s="1" t="n">
        <v>46012</v>
      </c>
      <c r="D105" t="inlineStr">
        <is>
          <t>DALARNAS LÄN</t>
        </is>
      </c>
      <c r="E105" t="inlineStr">
        <is>
          <t>HEDEMORA</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48639-2022</t>
        </is>
      </c>
      <c r="B106" s="1" t="n">
        <v>44859</v>
      </c>
      <c r="C106" s="1" t="n">
        <v>46012</v>
      </c>
      <c r="D106" t="inlineStr">
        <is>
          <t>DALARNAS LÄN</t>
        </is>
      </c>
      <c r="E106" t="inlineStr">
        <is>
          <t>HEDEMORA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46012</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60418-2021</t>
        </is>
      </c>
      <c r="B108" s="1" t="n">
        <v>44495</v>
      </c>
      <c r="C108" s="1" t="n">
        <v>46012</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40938-2021</t>
        </is>
      </c>
      <c r="B109" s="1" t="n">
        <v>44421.53498842593</v>
      </c>
      <c r="C109" s="1" t="n">
        <v>46012</v>
      </c>
      <c r="D109" t="inlineStr">
        <is>
          <t>DALARNAS LÄN</t>
        </is>
      </c>
      <c r="E109" t="inlineStr">
        <is>
          <t>HEDEMORA</t>
        </is>
      </c>
      <c r="G109" t="n">
        <v>1</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46012</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46012</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14951-2025</t>
        </is>
      </c>
      <c r="B112" s="1" t="n">
        <v>45743.57695601852</v>
      </c>
      <c r="C112" s="1" t="n">
        <v>46012</v>
      </c>
      <c r="D112" t="inlineStr">
        <is>
          <t>DALARNAS LÄN</t>
        </is>
      </c>
      <c r="E112" t="inlineStr">
        <is>
          <t>HEDEMORA</t>
        </is>
      </c>
      <c r="G112" t="n">
        <v>1.6</v>
      </c>
      <c r="H112" t="n">
        <v>0</v>
      </c>
      <c r="I112" t="n">
        <v>0</v>
      </c>
      <c r="J112" t="n">
        <v>0</v>
      </c>
      <c r="K112" t="n">
        <v>0</v>
      </c>
      <c r="L112" t="n">
        <v>0</v>
      </c>
      <c r="M112" t="n">
        <v>0</v>
      </c>
      <c r="N112" t="n">
        <v>0</v>
      </c>
      <c r="O112" t="n">
        <v>0</v>
      </c>
      <c r="P112" t="n">
        <v>0</v>
      </c>
      <c r="Q112" t="n">
        <v>0</v>
      </c>
      <c r="R112" s="2" t="inlineStr"/>
    </row>
    <row r="113" ht="15" customHeight="1">
      <c r="A113" t="inlineStr">
        <is>
          <t>A 19987-2025</t>
        </is>
      </c>
      <c r="B113" s="1" t="n">
        <v>45771.72193287037</v>
      </c>
      <c r="C113" s="1" t="n">
        <v>46012</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18522-2021</t>
        </is>
      </c>
      <c r="B114" s="1" t="n">
        <v>44306.4405787037</v>
      </c>
      <c r="C114" s="1" t="n">
        <v>46012</v>
      </c>
      <c r="D114" t="inlineStr">
        <is>
          <t>DALARNAS LÄN</t>
        </is>
      </c>
      <c r="E114" t="inlineStr">
        <is>
          <t>HEDEMORA</t>
        </is>
      </c>
      <c r="G114" t="n">
        <v>7</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46012</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23934-2023</t>
        </is>
      </c>
      <c r="B116" s="1" t="n">
        <v>45078.59590277778</v>
      </c>
      <c r="C116" s="1" t="n">
        <v>46012</v>
      </c>
      <c r="D116" t="inlineStr">
        <is>
          <t>DALARNAS LÄN</t>
        </is>
      </c>
      <c r="E116" t="inlineStr">
        <is>
          <t>HEDEMORA</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21514-2024</t>
        </is>
      </c>
      <c r="B117" s="1" t="n">
        <v>45441.57538194444</v>
      </c>
      <c r="C117" s="1" t="n">
        <v>46012</v>
      </c>
      <c r="D117" t="inlineStr">
        <is>
          <t>DALARNAS LÄN</t>
        </is>
      </c>
      <c r="E117" t="inlineStr">
        <is>
          <t>HEDEMORA</t>
        </is>
      </c>
      <c r="G117" t="n">
        <v>1.5</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46012</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39497-2022</t>
        </is>
      </c>
      <c r="B119" s="1" t="n">
        <v>44817</v>
      </c>
      <c r="C119" s="1" t="n">
        <v>46012</v>
      </c>
      <c r="D119" t="inlineStr">
        <is>
          <t>DALARNAS LÄN</t>
        </is>
      </c>
      <c r="E119" t="inlineStr">
        <is>
          <t>HEDEMORA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55881-2023</t>
        </is>
      </c>
      <c r="B120" s="1" t="n">
        <v>45239</v>
      </c>
      <c r="C120" s="1" t="n">
        <v>46012</v>
      </c>
      <c r="D120" t="inlineStr">
        <is>
          <t>DALARNAS LÄN</t>
        </is>
      </c>
      <c r="E120" t="inlineStr">
        <is>
          <t>HEDEMORA</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25645-2024</t>
        </is>
      </c>
      <c r="B121" s="1" t="n">
        <v>45463.66520833333</v>
      </c>
      <c r="C121" s="1" t="n">
        <v>46012</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31365-2024</t>
        </is>
      </c>
      <c r="B122" s="1" t="n">
        <v>45505.37086805556</v>
      </c>
      <c r="C122" s="1" t="n">
        <v>46012</v>
      </c>
      <c r="D122" t="inlineStr">
        <is>
          <t>DALARNAS LÄN</t>
        </is>
      </c>
      <c r="E122" t="inlineStr">
        <is>
          <t>HEDEMORA</t>
        </is>
      </c>
      <c r="G122" t="n">
        <v>0.4</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46012</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25195-2024</t>
        </is>
      </c>
      <c r="B124" s="1" t="n">
        <v>45462</v>
      </c>
      <c r="C124" s="1" t="n">
        <v>46012</v>
      </c>
      <c r="D124" t="inlineStr">
        <is>
          <t>DALARNAS LÄN</t>
        </is>
      </c>
      <c r="E124" t="inlineStr">
        <is>
          <t>HEDEMORA</t>
        </is>
      </c>
      <c r="F124" t="inlineStr">
        <is>
          <t>Övriga statliga verk och myndigheter</t>
        </is>
      </c>
      <c r="G124" t="n">
        <v>3.3</v>
      </c>
      <c r="H124" t="n">
        <v>0</v>
      </c>
      <c r="I124" t="n">
        <v>0</v>
      </c>
      <c r="J124" t="n">
        <v>0</v>
      </c>
      <c r="K124" t="n">
        <v>0</v>
      </c>
      <c r="L124" t="n">
        <v>0</v>
      </c>
      <c r="M124" t="n">
        <v>0</v>
      </c>
      <c r="N124" t="n">
        <v>0</v>
      </c>
      <c r="O124" t="n">
        <v>0</v>
      </c>
      <c r="P124" t="n">
        <v>0</v>
      </c>
      <c r="Q124" t="n">
        <v>0</v>
      </c>
      <c r="R124" s="2" t="inlineStr"/>
    </row>
    <row r="125" ht="15" customHeight="1">
      <c r="A125" t="inlineStr">
        <is>
          <t>A 31825-2024</t>
        </is>
      </c>
      <c r="B125" s="1" t="n">
        <v>45509.60949074074</v>
      </c>
      <c r="C125" s="1" t="n">
        <v>46012</v>
      </c>
      <c r="D125" t="inlineStr">
        <is>
          <t>DALARNAS LÄN</t>
        </is>
      </c>
      <c r="E125" t="inlineStr">
        <is>
          <t>HEDEMORA</t>
        </is>
      </c>
      <c r="G125" t="n">
        <v>0.1</v>
      </c>
      <c r="H125" t="n">
        <v>0</v>
      </c>
      <c r="I125" t="n">
        <v>0</v>
      </c>
      <c r="J125" t="n">
        <v>0</v>
      </c>
      <c r="K125" t="n">
        <v>0</v>
      </c>
      <c r="L125" t="n">
        <v>0</v>
      </c>
      <c r="M125" t="n">
        <v>0</v>
      </c>
      <c r="N125" t="n">
        <v>0</v>
      </c>
      <c r="O125" t="n">
        <v>0</v>
      </c>
      <c r="P125" t="n">
        <v>0</v>
      </c>
      <c r="Q125" t="n">
        <v>0</v>
      </c>
      <c r="R125" s="2" t="inlineStr"/>
    </row>
    <row r="126" ht="15" customHeight="1">
      <c r="A126" t="inlineStr">
        <is>
          <t>A 29587-2024</t>
        </is>
      </c>
      <c r="B126" s="1" t="n">
        <v>45484.5799537037</v>
      </c>
      <c r="C126" s="1" t="n">
        <v>46012</v>
      </c>
      <c r="D126" t="inlineStr">
        <is>
          <t>DALARNAS LÄN</t>
        </is>
      </c>
      <c r="E126" t="inlineStr">
        <is>
          <t>HEDEMORA</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40707-2023</t>
        </is>
      </c>
      <c r="B127" s="1" t="n">
        <v>45170.62489583333</v>
      </c>
      <c r="C127" s="1" t="n">
        <v>46012</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60774-2022</t>
        </is>
      </c>
      <c r="B128" s="1" t="n">
        <v>44914.37917824074</v>
      </c>
      <c r="C128" s="1" t="n">
        <v>46012</v>
      </c>
      <c r="D128" t="inlineStr">
        <is>
          <t>DALARNAS LÄN</t>
        </is>
      </c>
      <c r="E128" t="inlineStr">
        <is>
          <t>HEDEMORA</t>
        </is>
      </c>
      <c r="G128" t="n">
        <v>11.5</v>
      </c>
      <c r="H128" t="n">
        <v>0</v>
      </c>
      <c r="I128" t="n">
        <v>0</v>
      </c>
      <c r="J128" t="n">
        <v>0</v>
      </c>
      <c r="K128" t="n">
        <v>0</v>
      </c>
      <c r="L128" t="n">
        <v>0</v>
      </c>
      <c r="M128" t="n">
        <v>0</v>
      </c>
      <c r="N128" t="n">
        <v>0</v>
      </c>
      <c r="O128" t="n">
        <v>0</v>
      </c>
      <c r="P128" t="n">
        <v>0</v>
      </c>
      <c r="Q128" t="n">
        <v>0</v>
      </c>
      <c r="R128" s="2" t="inlineStr"/>
    </row>
    <row r="129" ht="15" customHeight="1">
      <c r="A129" t="inlineStr">
        <is>
          <t>A 2996-2023</t>
        </is>
      </c>
      <c r="B129" s="1" t="n">
        <v>44945</v>
      </c>
      <c r="C129" s="1" t="n">
        <v>46012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34185-2025</t>
        </is>
      </c>
      <c r="B130" s="1" t="n">
        <v>45845</v>
      </c>
      <c r="C130" s="1" t="n">
        <v>46012</v>
      </c>
      <c r="D130" t="inlineStr">
        <is>
          <t>DALARNAS LÄN</t>
        </is>
      </c>
      <c r="E130" t="inlineStr">
        <is>
          <t>HEDEMORA</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25021-2025</t>
        </is>
      </c>
      <c r="B131" s="1" t="n">
        <v>45799.64574074074</v>
      </c>
      <c r="C131" s="1" t="n">
        <v>46012</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19397-2024</t>
        </is>
      </c>
      <c r="B132" s="1" t="n">
        <v>45429.38474537037</v>
      </c>
      <c r="C132" s="1" t="n">
        <v>46012</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14968-2025</t>
        </is>
      </c>
      <c r="B133" s="1" t="n">
        <v>45743.59052083334</v>
      </c>
      <c r="C133" s="1" t="n">
        <v>46012</v>
      </c>
      <c r="D133" t="inlineStr">
        <is>
          <t>DALARNAS LÄN</t>
        </is>
      </c>
      <c r="E133" t="inlineStr">
        <is>
          <t>HEDEMORA</t>
        </is>
      </c>
      <c r="G133" t="n">
        <v>2.2</v>
      </c>
      <c r="H133" t="n">
        <v>0</v>
      </c>
      <c r="I133" t="n">
        <v>0</v>
      </c>
      <c r="J133" t="n">
        <v>0</v>
      </c>
      <c r="K133" t="n">
        <v>0</v>
      </c>
      <c r="L133" t="n">
        <v>0</v>
      </c>
      <c r="M133" t="n">
        <v>0</v>
      </c>
      <c r="N133" t="n">
        <v>0</v>
      </c>
      <c r="O133" t="n">
        <v>0</v>
      </c>
      <c r="P133" t="n">
        <v>0</v>
      </c>
      <c r="Q133" t="n">
        <v>0</v>
      </c>
      <c r="R133" s="2" t="inlineStr"/>
    </row>
    <row r="134" ht="15" customHeight="1">
      <c r="A134" t="inlineStr">
        <is>
          <t>A 60780-2024</t>
        </is>
      </c>
      <c r="B134" s="1" t="n">
        <v>45644.59017361111</v>
      </c>
      <c r="C134" s="1" t="n">
        <v>46012</v>
      </c>
      <c r="D134" t="inlineStr">
        <is>
          <t>DALARNAS LÄN</t>
        </is>
      </c>
      <c r="E134" t="inlineStr">
        <is>
          <t>HEDEMORA</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36306-2024</t>
        </is>
      </c>
      <c r="B135" s="1" t="n">
        <v>45534.61327546297</v>
      </c>
      <c r="C135" s="1" t="n">
        <v>46012</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62046-2022</t>
        </is>
      </c>
      <c r="B136" s="1" t="n">
        <v>44918.5633912037</v>
      </c>
      <c r="C136" s="1" t="n">
        <v>46012</v>
      </c>
      <c r="D136" t="inlineStr">
        <is>
          <t>DALARNAS LÄN</t>
        </is>
      </c>
      <c r="E136" t="inlineStr">
        <is>
          <t>HEDEMORA</t>
        </is>
      </c>
      <c r="G136" t="n">
        <v>1.2</v>
      </c>
      <c r="H136" t="n">
        <v>0</v>
      </c>
      <c r="I136" t="n">
        <v>0</v>
      </c>
      <c r="J136" t="n">
        <v>0</v>
      </c>
      <c r="K136" t="n">
        <v>0</v>
      </c>
      <c r="L136" t="n">
        <v>0</v>
      </c>
      <c r="M136" t="n">
        <v>0</v>
      </c>
      <c r="N136" t="n">
        <v>0</v>
      </c>
      <c r="O136" t="n">
        <v>0</v>
      </c>
      <c r="P136" t="n">
        <v>0</v>
      </c>
      <c r="Q136" t="n">
        <v>0</v>
      </c>
      <c r="R136" s="2" t="inlineStr"/>
    </row>
    <row r="137" ht="15" customHeight="1">
      <c r="A137" t="inlineStr">
        <is>
          <t>A 26204-2025</t>
        </is>
      </c>
      <c r="B137" s="1" t="n">
        <v>45805.51065972223</v>
      </c>
      <c r="C137" s="1" t="n">
        <v>46012</v>
      </c>
      <c r="D137" t="inlineStr">
        <is>
          <t>DALARNAS LÄN</t>
        </is>
      </c>
      <c r="E137" t="inlineStr">
        <is>
          <t>HEDEMORA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39393-2025</t>
        </is>
      </c>
      <c r="B138" s="1" t="n">
        <v>45889.62287037037</v>
      </c>
      <c r="C138" s="1" t="n">
        <v>46012</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61886-2022</t>
        </is>
      </c>
      <c r="B139" s="1" t="n">
        <v>44917.67582175926</v>
      </c>
      <c r="C139" s="1" t="n">
        <v>46012</v>
      </c>
      <c r="D139" t="inlineStr">
        <is>
          <t>DALARNAS LÄN</t>
        </is>
      </c>
      <c r="E139" t="inlineStr">
        <is>
          <t>HEDEMORA</t>
        </is>
      </c>
      <c r="G139" t="n">
        <v>1.9</v>
      </c>
      <c r="H139" t="n">
        <v>0</v>
      </c>
      <c r="I139" t="n">
        <v>0</v>
      </c>
      <c r="J139" t="n">
        <v>0</v>
      </c>
      <c r="K139" t="n">
        <v>0</v>
      </c>
      <c r="L139" t="n">
        <v>0</v>
      </c>
      <c r="M139" t="n">
        <v>0</v>
      </c>
      <c r="N139" t="n">
        <v>0</v>
      </c>
      <c r="O139" t="n">
        <v>0</v>
      </c>
      <c r="P139" t="n">
        <v>0</v>
      </c>
      <c r="Q139" t="n">
        <v>0</v>
      </c>
      <c r="R139" s="2" t="inlineStr"/>
    </row>
    <row r="140" ht="15" customHeight="1">
      <c r="A140" t="inlineStr">
        <is>
          <t>A 39390-2025</t>
        </is>
      </c>
      <c r="B140" s="1" t="n">
        <v>45889.6240625</v>
      </c>
      <c r="C140" s="1" t="n">
        <v>46012</v>
      </c>
      <c r="D140" t="inlineStr">
        <is>
          <t>DALARNAS LÄN</t>
        </is>
      </c>
      <c r="E140" t="inlineStr">
        <is>
          <t>HEDEMORA</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46012</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43621-2024</t>
        </is>
      </c>
      <c r="B142" s="1" t="n">
        <v>45569.48200231481</v>
      </c>
      <c r="C142" s="1" t="n">
        <v>46012</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19688-2025</t>
        </is>
      </c>
      <c r="B143" s="1" t="n">
        <v>45770.88217592592</v>
      </c>
      <c r="C143" s="1" t="n">
        <v>46012</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26705-2025</t>
        </is>
      </c>
      <c r="B144" s="1" t="n">
        <v>45810.45325231482</v>
      </c>
      <c r="C144" s="1" t="n">
        <v>46012</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19689-2025</t>
        </is>
      </c>
      <c r="B145" s="1" t="n">
        <v>45770.88462962963</v>
      </c>
      <c r="C145" s="1" t="n">
        <v>46012</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40419-2025</t>
        </is>
      </c>
      <c r="B146" s="1" t="n">
        <v>45895.57958333333</v>
      </c>
      <c r="C146" s="1" t="n">
        <v>46012</v>
      </c>
      <c r="D146" t="inlineStr">
        <is>
          <t>DALARNAS LÄN</t>
        </is>
      </c>
      <c r="E146" t="inlineStr">
        <is>
          <t>HEDEMORA</t>
        </is>
      </c>
      <c r="G146" t="n">
        <v>3.1</v>
      </c>
      <c r="H146" t="n">
        <v>0</v>
      </c>
      <c r="I146" t="n">
        <v>0</v>
      </c>
      <c r="J146" t="n">
        <v>0</v>
      </c>
      <c r="K146" t="n">
        <v>0</v>
      </c>
      <c r="L146" t="n">
        <v>0</v>
      </c>
      <c r="M146" t="n">
        <v>0</v>
      </c>
      <c r="N146" t="n">
        <v>0</v>
      </c>
      <c r="O146" t="n">
        <v>0</v>
      </c>
      <c r="P146" t="n">
        <v>0</v>
      </c>
      <c r="Q146" t="n">
        <v>0</v>
      </c>
      <c r="R146" s="2" t="inlineStr"/>
    </row>
    <row r="147" ht="15" customHeight="1">
      <c r="A147" t="inlineStr">
        <is>
          <t>A 36935-2024</t>
        </is>
      </c>
      <c r="B147" s="1" t="n">
        <v>45538.56925925926</v>
      </c>
      <c r="C147" s="1" t="n">
        <v>46012</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40456-2025</t>
        </is>
      </c>
      <c r="B148" s="1" t="n">
        <v>45895.64342592593</v>
      </c>
      <c r="C148" s="1" t="n">
        <v>46012</v>
      </c>
      <c r="D148" t="inlineStr">
        <is>
          <t>DALARNAS LÄN</t>
        </is>
      </c>
      <c r="E148" t="inlineStr">
        <is>
          <t>HEDEMORA</t>
        </is>
      </c>
      <c r="F148" t="inlineStr">
        <is>
          <t>Bergvik skog väst AB</t>
        </is>
      </c>
      <c r="G148" t="n">
        <v>3.3</v>
      </c>
      <c r="H148" t="n">
        <v>0</v>
      </c>
      <c r="I148" t="n">
        <v>0</v>
      </c>
      <c r="J148" t="n">
        <v>0</v>
      </c>
      <c r="K148" t="n">
        <v>0</v>
      </c>
      <c r="L148" t="n">
        <v>0</v>
      </c>
      <c r="M148" t="n">
        <v>0</v>
      </c>
      <c r="N148" t="n">
        <v>0</v>
      </c>
      <c r="O148" t="n">
        <v>0</v>
      </c>
      <c r="P148" t="n">
        <v>0</v>
      </c>
      <c r="Q148" t="n">
        <v>0</v>
      </c>
      <c r="R148" s="2" t="inlineStr"/>
    </row>
    <row r="149" ht="15" customHeight="1">
      <c r="A149" t="inlineStr">
        <is>
          <t>A 40421-2025</t>
        </is>
      </c>
      <c r="B149" s="1" t="n">
        <v>45895.58449074074</v>
      </c>
      <c r="C149" s="1" t="n">
        <v>46012</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37761-2024</t>
        </is>
      </c>
      <c r="B150" s="1" t="n">
        <v>45541.78678240741</v>
      </c>
      <c r="C150" s="1" t="n">
        <v>46012</v>
      </c>
      <c r="D150" t="inlineStr">
        <is>
          <t>DALARNAS LÄN</t>
        </is>
      </c>
      <c r="E150" t="inlineStr">
        <is>
          <t>HEDEMORA</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28180-2025</t>
        </is>
      </c>
      <c r="B151" s="1" t="n">
        <v>45818.39755787037</v>
      </c>
      <c r="C151" s="1" t="n">
        <v>46012</v>
      </c>
      <c r="D151" t="inlineStr">
        <is>
          <t>DALARNAS LÄN</t>
        </is>
      </c>
      <c r="E151" t="inlineStr">
        <is>
          <t>HEDEMORA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28182-2025</t>
        </is>
      </c>
      <c r="B152" s="1" t="n">
        <v>45818.40069444444</v>
      </c>
      <c r="C152" s="1" t="n">
        <v>46012</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46012</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20237-2023</t>
        </is>
      </c>
      <c r="B154" s="1" t="n">
        <v>45055</v>
      </c>
      <c r="C154" s="1" t="n">
        <v>46012</v>
      </c>
      <c r="D154" t="inlineStr">
        <is>
          <t>DALARNAS LÄN</t>
        </is>
      </c>
      <c r="E154" t="inlineStr">
        <is>
          <t>HEDEMORA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15863-2023</t>
        </is>
      </c>
      <c r="B155" s="1" t="n">
        <v>45022</v>
      </c>
      <c r="C155" s="1" t="n">
        <v>46012</v>
      </c>
      <c r="D155" t="inlineStr">
        <is>
          <t>DALARNAS LÄN</t>
        </is>
      </c>
      <c r="E155" t="inlineStr">
        <is>
          <t>HEDEMORA</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37762-2024</t>
        </is>
      </c>
      <c r="B156" s="1" t="n">
        <v>45541.79369212963</v>
      </c>
      <c r="C156" s="1" t="n">
        <v>46012</v>
      </c>
      <c r="D156" t="inlineStr">
        <is>
          <t>DALARNAS LÄN</t>
        </is>
      </c>
      <c r="E156" t="inlineStr">
        <is>
          <t>HEDEMORA</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42510-2025</t>
        </is>
      </c>
      <c r="B157" s="1" t="n">
        <v>45905.54068287037</v>
      </c>
      <c r="C157" s="1" t="n">
        <v>46012</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5010-2023</t>
        </is>
      </c>
      <c r="B158" s="1" t="n">
        <v>44956</v>
      </c>
      <c r="C158" s="1" t="n">
        <v>46012</v>
      </c>
      <c r="D158" t="inlineStr">
        <is>
          <t>DALARNAS LÄN</t>
        </is>
      </c>
      <c r="E158" t="inlineStr">
        <is>
          <t>HEDEMORA</t>
        </is>
      </c>
      <c r="F158" t="inlineStr">
        <is>
          <t>Bergvik skog väst AB</t>
        </is>
      </c>
      <c r="G158" t="n">
        <v>5</v>
      </c>
      <c r="H158" t="n">
        <v>0</v>
      </c>
      <c r="I158" t="n">
        <v>0</v>
      </c>
      <c r="J158" t="n">
        <v>0</v>
      </c>
      <c r="K158" t="n">
        <v>0</v>
      </c>
      <c r="L158" t="n">
        <v>0</v>
      </c>
      <c r="M158" t="n">
        <v>0</v>
      </c>
      <c r="N158" t="n">
        <v>0</v>
      </c>
      <c r="O158" t="n">
        <v>0</v>
      </c>
      <c r="P158" t="n">
        <v>0</v>
      </c>
      <c r="Q158" t="n">
        <v>0</v>
      </c>
      <c r="R158" s="2" t="inlineStr"/>
    </row>
    <row r="159" ht="15" customHeight="1">
      <c r="A159" t="inlineStr">
        <is>
          <t>A 29690-2025</t>
        </is>
      </c>
      <c r="B159" s="1" t="n">
        <v>45825.53508101852</v>
      </c>
      <c r="C159" s="1" t="n">
        <v>46012</v>
      </c>
      <c r="D159" t="inlineStr">
        <is>
          <t>DALARNAS LÄN</t>
        </is>
      </c>
      <c r="E159" t="inlineStr">
        <is>
          <t>HEDEMORA</t>
        </is>
      </c>
      <c r="G159" t="n">
        <v>4.1</v>
      </c>
      <c r="H159" t="n">
        <v>0</v>
      </c>
      <c r="I159" t="n">
        <v>0</v>
      </c>
      <c r="J159" t="n">
        <v>0</v>
      </c>
      <c r="K159" t="n">
        <v>0</v>
      </c>
      <c r="L159" t="n">
        <v>0</v>
      </c>
      <c r="M159" t="n">
        <v>0</v>
      </c>
      <c r="N159" t="n">
        <v>0</v>
      </c>
      <c r="O159" t="n">
        <v>0</v>
      </c>
      <c r="P159" t="n">
        <v>0</v>
      </c>
      <c r="Q159" t="n">
        <v>0</v>
      </c>
      <c r="R159" s="2" t="inlineStr"/>
    </row>
    <row r="160" ht="15" customHeight="1">
      <c r="A160" t="inlineStr">
        <is>
          <t>A 1978-2021</t>
        </is>
      </c>
      <c r="B160" s="1" t="n">
        <v>44210.67606481481</v>
      </c>
      <c r="C160" s="1" t="n">
        <v>46012</v>
      </c>
      <c r="D160" t="inlineStr">
        <is>
          <t>DALARNAS LÄN</t>
        </is>
      </c>
      <c r="E160" t="inlineStr">
        <is>
          <t>HEDEMORA</t>
        </is>
      </c>
      <c r="G160" t="n">
        <v>1</v>
      </c>
      <c r="H160" t="n">
        <v>0</v>
      </c>
      <c r="I160" t="n">
        <v>0</v>
      </c>
      <c r="J160" t="n">
        <v>0</v>
      </c>
      <c r="K160" t="n">
        <v>0</v>
      </c>
      <c r="L160" t="n">
        <v>0</v>
      </c>
      <c r="M160" t="n">
        <v>0</v>
      </c>
      <c r="N160" t="n">
        <v>0</v>
      </c>
      <c r="O160" t="n">
        <v>0</v>
      </c>
      <c r="P160" t="n">
        <v>0</v>
      </c>
      <c r="Q160" t="n">
        <v>0</v>
      </c>
      <c r="R160" s="2" t="inlineStr"/>
    </row>
    <row r="161" ht="15" customHeight="1">
      <c r="A161" t="inlineStr">
        <is>
          <t>A 44384-2024</t>
        </is>
      </c>
      <c r="B161" s="1" t="n">
        <v>45573.67782407408</v>
      </c>
      <c r="C161" s="1" t="n">
        <v>46012</v>
      </c>
      <c r="D161" t="inlineStr">
        <is>
          <t>DALARNAS LÄN</t>
        </is>
      </c>
      <c r="E161" t="inlineStr">
        <is>
          <t>HEDEMORA</t>
        </is>
      </c>
      <c r="F161" t="inlineStr">
        <is>
          <t>Bergvik skog väst AB</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44388-2024</t>
        </is>
      </c>
      <c r="B162" s="1" t="n">
        <v>45573.68875</v>
      </c>
      <c r="C162" s="1" t="n">
        <v>46012</v>
      </c>
      <c r="D162" t="inlineStr">
        <is>
          <t>DALARNAS LÄN</t>
        </is>
      </c>
      <c r="E162" t="inlineStr">
        <is>
          <t>HEDEMORA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42645-2025</t>
        </is>
      </c>
      <c r="B163" s="1" t="n">
        <v>45906.40199074074</v>
      </c>
      <c r="C163" s="1" t="n">
        <v>46012</v>
      </c>
      <c r="D163" t="inlineStr">
        <is>
          <t>DALARNAS LÄN</t>
        </is>
      </c>
      <c r="E163" t="inlineStr">
        <is>
          <t>HEDEMORA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30471-2025</t>
        </is>
      </c>
      <c r="B164" s="1" t="n">
        <v>45827.94552083333</v>
      </c>
      <c r="C164" s="1" t="n">
        <v>46012</v>
      </c>
      <c r="D164" t="inlineStr">
        <is>
          <t>DALARNAS LÄN</t>
        </is>
      </c>
      <c r="E164" t="inlineStr">
        <is>
          <t>HEDEMORA</t>
        </is>
      </c>
      <c r="G164" t="n">
        <v>0.3</v>
      </c>
      <c r="H164" t="n">
        <v>0</v>
      </c>
      <c r="I164" t="n">
        <v>0</v>
      </c>
      <c r="J164" t="n">
        <v>0</v>
      </c>
      <c r="K164" t="n">
        <v>0</v>
      </c>
      <c r="L164" t="n">
        <v>0</v>
      </c>
      <c r="M164" t="n">
        <v>0</v>
      </c>
      <c r="N164" t="n">
        <v>0</v>
      </c>
      <c r="O164" t="n">
        <v>0</v>
      </c>
      <c r="P164" t="n">
        <v>0</v>
      </c>
      <c r="Q164" t="n">
        <v>0</v>
      </c>
      <c r="R164" s="2" t="inlineStr"/>
    </row>
    <row r="165" ht="15" customHeight="1">
      <c r="A165" t="inlineStr">
        <is>
          <t>A 30472-2025</t>
        </is>
      </c>
      <c r="B165" s="1" t="n">
        <v>45827.94671296296</v>
      </c>
      <c r="C165" s="1" t="n">
        <v>46012</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43193-2025</t>
        </is>
      </c>
      <c r="B166" s="1" t="n">
        <v>45910.42417824074</v>
      </c>
      <c r="C166" s="1" t="n">
        <v>46012</v>
      </c>
      <c r="D166" t="inlineStr">
        <is>
          <t>DALARNAS LÄN</t>
        </is>
      </c>
      <c r="E166" t="inlineStr">
        <is>
          <t>HEDEMORA</t>
        </is>
      </c>
      <c r="G166" t="n">
        <v>3.9</v>
      </c>
      <c r="H166" t="n">
        <v>0</v>
      </c>
      <c r="I166" t="n">
        <v>0</v>
      </c>
      <c r="J166" t="n">
        <v>0</v>
      </c>
      <c r="K166" t="n">
        <v>0</v>
      </c>
      <c r="L166" t="n">
        <v>0</v>
      </c>
      <c r="M166" t="n">
        <v>0</v>
      </c>
      <c r="N166" t="n">
        <v>0</v>
      </c>
      <c r="O166" t="n">
        <v>0</v>
      </c>
      <c r="P166" t="n">
        <v>0</v>
      </c>
      <c r="Q166" t="n">
        <v>0</v>
      </c>
      <c r="R166" s="2" t="inlineStr"/>
    </row>
    <row r="167" ht="15" customHeight="1">
      <c r="A167" t="inlineStr">
        <is>
          <t>A 58841-2023</t>
        </is>
      </c>
      <c r="B167" s="1" t="n">
        <v>45252.42115740741</v>
      </c>
      <c r="C167" s="1" t="n">
        <v>46012</v>
      </c>
      <c r="D167" t="inlineStr">
        <is>
          <t>DALARNAS LÄN</t>
        </is>
      </c>
      <c r="E167" t="inlineStr">
        <is>
          <t>HEDEMORA</t>
        </is>
      </c>
      <c r="G167" t="n">
        <v>14.8</v>
      </c>
      <c r="H167" t="n">
        <v>0</v>
      </c>
      <c r="I167" t="n">
        <v>0</v>
      </c>
      <c r="J167" t="n">
        <v>0</v>
      </c>
      <c r="K167" t="n">
        <v>0</v>
      </c>
      <c r="L167" t="n">
        <v>0</v>
      </c>
      <c r="M167" t="n">
        <v>0</v>
      </c>
      <c r="N167" t="n">
        <v>0</v>
      </c>
      <c r="O167" t="n">
        <v>0</v>
      </c>
      <c r="P167" t="n">
        <v>0</v>
      </c>
      <c r="Q167" t="n">
        <v>0</v>
      </c>
      <c r="R167" s="2" t="inlineStr"/>
    </row>
    <row r="168" ht="15" customHeight="1">
      <c r="A168" t="inlineStr">
        <is>
          <t>A 30582-2025</t>
        </is>
      </c>
      <c r="B168" s="1" t="n">
        <v>45831.42349537037</v>
      </c>
      <c r="C168" s="1" t="n">
        <v>46012</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53586-2023</t>
        </is>
      </c>
      <c r="B169" s="1" t="n">
        <v>45230.52603009259</v>
      </c>
      <c r="C169" s="1" t="n">
        <v>46012</v>
      </c>
      <c r="D169" t="inlineStr">
        <is>
          <t>DALARNAS LÄN</t>
        </is>
      </c>
      <c r="E169" t="inlineStr">
        <is>
          <t>HEDEMORA</t>
        </is>
      </c>
      <c r="G169" t="n">
        <v>2.4</v>
      </c>
      <c r="H169" t="n">
        <v>0</v>
      </c>
      <c r="I169" t="n">
        <v>0</v>
      </c>
      <c r="J169" t="n">
        <v>0</v>
      </c>
      <c r="K169" t="n">
        <v>0</v>
      </c>
      <c r="L169" t="n">
        <v>0</v>
      </c>
      <c r="M169" t="n">
        <v>0</v>
      </c>
      <c r="N169" t="n">
        <v>0</v>
      </c>
      <c r="O169" t="n">
        <v>0</v>
      </c>
      <c r="P169" t="n">
        <v>0</v>
      </c>
      <c r="Q169" t="n">
        <v>0</v>
      </c>
      <c r="R169" s="2" t="inlineStr"/>
    </row>
    <row r="170" ht="15" customHeight="1">
      <c r="A170" t="inlineStr">
        <is>
          <t>A 44957-2021</t>
        </is>
      </c>
      <c r="B170" s="1" t="n">
        <v>44438.71809027778</v>
      </c>
      <c r="C170" s="1" t="n">
        <v>46012</v>
      </c>
      <c r="D170" t="inlineStr">
        <is>
          <t>DALARNAS LÄN</t>
        </is>
      </c>
      <c r="E170" t="inlineStr">
        <is>
          <t>HEDEMORA</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45377-2024</t>
        </is>
      </c>
      <c r="B171" s="1" t="n">
        <v>45576.51962962963</v>
      </c>
      <c r="C171" s="1" t="n">
        <v>46012</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6556-2023</t>
        </is>
      </c>
      <c r="B172" s="1" t="n">
        <v>44961</v>
      </c>
      <c r="C172" s="1" t="n">
        <v>46012</v>
      </c>
      <c r="D172" t="inlineStr">
        <is>
          <t>DALARNAS LÄN</t>
        </is>
      </c>
      <c r="E172" t="inlineStr">
        <is>
          <t>HEDEMORA</t>
        </is>
      </c>
      <c r="G172" t="n">
        <v>3.7</v>
      </c>
      <c r="H172" t="n">
        <v>0</v>
      </c>
      <c r="I172" t="n">
        <v>0</v>
      </c>
      <c r="J172" t="n">
        <v>0</v>
      </c>
      <c r="K172" t="n">
        <v>0</v>
      </c>
      <c r="L172" t="n">
        <v>0</v>
      </c>
      <c r="M172" t="n">
        <v>0</v>
      </c>
      <c r="N172" t="n">
        <v>0</v>
      </c>
      <c r="O172" t="n">
        <v>0</v>
      </c>
      <c r="P172" t="n">
        <v>0</v>
      </c>
      <c r="Q172" t="n">
        <v>0</v>
      </c>
      <c r="R172" s="2" t="inlineStr"/>
    </row>
    <row r="173" ht="15" customHeight="1">
      <c r="A173" t="inlineStr">
        <is>
          <t>A 44850-2025</t>
        </is>
      </c>
      <c r="B173" s="1" t="n">
        <v>45918.44587962963</v>
      </c>
      <c r="C173" s="1" t="n">
        <v>46012</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45097-2025</t>
        </is>
      </c>
      <c r="B174" s="1" t="n">
        <v>45919.38918981481</v>
      </c>
      <c r="C174" s="1" t="n">
        <v>46012</v>
      </c>
      <c r="D174" t="inlineStr">
        <is>
          <t>DALARNAS LÄN</t>
        </is>
      </c>
      <c r="E174" t="inlineStr">
        <is>
          <t>HEDEMORA</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32865-2025</t>
        </is>
      </c>
      <c r="B175" s="1" t="n">
        <v>45839.58767361111</v>
      </c>
      <c r="C175" s="1" t="n">
        <v>46012</v>
      </c>
      <c r="D175" t="inlineStr">
        <is>
          <t>DALARNAS LÄN</t>
        </is>
      </c>
      <c r="E175" t="inlineStr">
        <is>
          <t>HEDEMORA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32869-2025</t>
        </is>
      </c>
      <c r="B176" s="1" t="n">
        <v>45839.58927083333</v>
      </c>
      <c r="C176" s="1" t="n">
        <v>46012</v>
      </c>
      <c r="D176" t="inlineStr">
        <is>
          <t>DALARNAS LÄN</t>
        </is>
      </c>
      <c r="E176" t="inlineStr">
        <is>
          <t>HEDEMORA</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33009-2025</t>
        </is>
      </c>
      <c r="B177" s="1" t="n">
        <v>45840</v>
      </c>
      <c r="C177" s="1" t="n">
        <v>46012</v>
      </c>
      <c r="D177" t="inlineStr">
        <is>
          <t>DALARNAS LÄN</t>
        </is>
      </c>
      <c r="E177" t="inlineStr">
        <is>
          <t>HEDEMORA</t>
        </is>
      </c>
      <c r="F177" t="inlineStr">
        <is>
          <t>Kyrkan</t>
        </is>
      </c>
      <c r="G177" t="n">
        <v>7.6</v>
      </c>
      <c r="H177" t="n">
        <v>0</v>
      </c>
      <c r="I177" t="n">
        <v>0</v>
      </c>
      <c r="J177" t="n">
        <v>0</v>
      </c>
      <c r="K177" t="n">
        <v>0</v>
      </c>
      <c r="L177" t="n">
        <v>0</v>
      </c>
      <c r="M177" t="n">
        <v>0</v>
      </c>
      <c r="N177" t="n">
        <v>0</v>
      </c>
      <c r="O177" t="n">
        <v>0</v>
      </c>
      <c r="P177" t="n">
        <v>0</v>
      </c>
      <c r="Q177" t="n">
        <v>0</v>
      </c>
      <c r="R177" s="2" t="inlineStr"/>
    </row>
    <row r="178" ht="15" customHeight="1">
      <c r="A178" t="inlineStr">
        <is>
          <t>A 33286-2025</t>
        </is>
      </c>
      <c r="B178" s="1" t="n">
        <v>45840.81065972222</v>
      </c>
      <c r="C178" s="1" t="n">
        <v>46012</v>
      </c>
      <c r="D178" t="inlineStr">
        <is>
          <t>DALARNAS LÄN</t>
        </is>
      </c>
      <c r="E178" t="inlineStr">
        <is>
          <t>HEDEMORA</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45936-2025</t>
        </is>
      </c>
      <c r="B179" s="1" t="n">
        <v>45924.26582175926</v>
      </c>
      <c r="C179" s="1" t="n">
        <v>46012</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45938-2025</t>
        </is>
      </c>
      <c r="B180" s="1" t="n">
        <v>45924.27704861111</v>
      </c>
      <c r="C180" s="1" t="n">
        <v>46012</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45983-2025</t>
        </is>
      </c>
      <c r="B181" s="1" t="n">
        <v>45924.37988425926</v>
      </c>
      <c r="C181" s="1" t="n">
        <v>46012</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45937-2025</t>
        </is>
      </c>
      <c r="B182" s="1" t="n">
        <v>45924.27231481481</v>
      </c>
      <c r="C182" s="1" t="n">
        <v>46012</v>
      </c>
      <c r="D182" t="inlineStr">
        <is>
          <t>DALARNAS LÄN</t>
        </is>
      </c>
      <c r="E182" t="inlineStr">
        <is>
          <t>HEDEMORA</t>
        </is>
      </c>
      <c r="G182" t="n">
        <v>3.9</v>
      </c>
      <c r="H182" t="n">
        <v>0</v>
      </c>
      <c r="I182" t="n">
        <v>0</v>
      </c>
      <c r="J182" t="n">
        <v>0</v>
      </c>
      <c r="K182" t="n">
        <v>0</v>
      </c>
      <c r="L182" t="n">
        <v>0</v>
      </c>
      <c r="M182" t="n">
        <v>0</v>
      </c>
      <c r="N182" t="n">
        <v>0</v>
      </c>
      <c r="O182" t="n">
        <v>0</v>
      </c>
      <c r="P182" t="n">
        <v>0</v>
      </c>
      <c r="Q182" t="n">
        <v>0</v>
      </c>
      <c r="R182" s="2" t="inlineStr"/>
    </row>
    <row r="183" ht="15" customHeight="1">
      <c r="A183" t="inlineStr">
        <is>
          <t>A 6441-2021</t>
        </is>
      </c>
      <c r="B183" s="1" t="n">
        <v>44235</v>
      </c>
      <c r="C183" s="1" t="n">
        <v>46012</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46287-2025</t>
        </is>
      </c>
      <c r="B184" s="1" t="n">
        <v>45925.38450231482</v>
      </c>
      <c r="C184" s="1" t="n">
        <v>46012</v>
      </c>
      <c r="D184" t="inlineStr">
        <is>
          <t>DALARNAS LÄN</t>
        </is>
      </c>
      <c r="E184" t="inlineStr">
        <is>
          <t>HEDEMORA</t>
        </is>
      </c>
      <c r="G184" t="n">
        <v>7.3</v>
      </c>
      <c r="H184" t="n">
        <v>0</v>
      </c>
      <c r="I184" t="n">
        <v>0</v>
      </c>
      <c r="J184" t="n">
        <v>0</v>
      </c>
      <c r="K184" t="n">
        <v>0</v>
      </c>
      <c r="L184" t="n">
        <v>0</v>
      </c>
      <c r="M184" t="n">
        <v>0</v>
      </c>
      <c r="N184" t="n">
        <v>0</v>
      </c>
      <c r="O184" t="n">
        <v>0</v>
      </c>
      <c r="P184" t="n">
        <v>0</v>
      </c>
      <c r="Q184" t="n">
        <v>0</v>
      </c>
      <c r="R184" s="2" t="inlineStr"/>
    </row>
    <row r="185" ht="15" customHeight="1">
      <c r="A185" t="inlineStr">
        <is>
          <t>A 34734-2025</t>
        </is>
      </c>
      <c r="B185" s="1" t="n">
        <v>45848</v>
      </c>
      <c r="C185" s="1" t="n">
        <v>46012</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35103-2025</t>
        </is>
      </c>
      <c r="B186" s="1" t="n">
        <v>45852.56914351852</v>
      </c>
      <c r="C186" s="1" t="n">
        <v>46012</v>
      </c>
      <c r="D186" t="inlineStr">
        <is>
          <t>DALARNAS LÄN</t>
        </is>
      </c>
      <c r="E186" t="inlineStr">
        <is>
          <t>HEDEMORA</t>
        </is>
      </c>
      <c r="G186" t="n">
        <v>6.2</v>
      </c>
      <c r="H186" t="n">
        <v>0</v>
      </c>
      <c r="I186" t="n">
        <v>0</v>
      </c>
      <c r="J186" t="n">
        <v>0</v>
      </c>
      <c r="K186" t="n">
        <v>0</v>
      </c>
      <c r="L186" t="n">
        <v>0</v>
      </c>
      <c r="M186" t="n">
        <v>0</v>
      </c>
      <c r="N186" t="n">
        <v>0</v>
      </c>
      <c r="O186" t="n">
        <v>0</v>
      </c>
      <c r="P186" t="n">
        <v>0</v>
      </c>
      <c r="Q186" t="n">
        <v>0</v>
      </c>
      <c r="R186" s="2" t="inlineStr"/>
    </row>
    <row r="187" ht="15" customHeight="1">
      <c r="A187" t="inlineStr">
        <is>
          <t>A 59632-2023</t>
        </is>
      </c>
      <c r="B187" s="1" t="n">
        <v>45254</v>
      </c>
      <c r="C187" s="1" t="n">
        <v>46012</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55601-2025</t>
        </is>
      </c>
      <c r="B188" s="1" t="n">
        <v>45971.78122685185</v>
      </c>
      <c r="C188" s="1" t="n">
        <v>46012</v>
      </c>
      <c r="D188" t="inlineStr">
        <is>
          <t>DALARNAS LÄN</t>
        </is>
      </c>
      <c r="E188" t="inlineStr">
        <is>
          <t>HEDEMORA</t>
        </is>
      </c>
      <c r="G188" t="n">
        <v>3.2</v>
      </c>
      <c r="H188" t="n">
        <v>0</v>
      </c>
      <c r="I188" t="n">
        <v>0</v>
      </c>
      <c r="J188" t="n">
        <v>0</v>
      </c>
      <c r="K188" t="n">
        <v>0</v>
      </c>
      <c r="L188" t="n">
        <v>0</v>
      </c>
      <c r="M188" t="n">
        <v>0</v>
      </c>
      <c r="N188" t="n">
        <v>0</v>
      </c>
      <c r="O188" t="n">
        <v>0</v>
      </c>
      <c r="P188" t="n">
        <v>0</v>
      </c>
      <c r="Q188" t="n">
        <v>0</v>
      </c>
      <c r="R188" s="2" t="inlineStr"/>
    </row>
    <row r="189" ht="15" customHeight="1">
      <c r="A189" t="inlineStr">
        <is>
          <t>A 55606-2025</t>
        </is>
      </c>
      <c r="B189" s="1" t="n">
        <v>45971.79564814815</v>
      </c>
      <c r="C189" s="1" t="n">
        <v>46012</v>
      </c>
      <c r="D189" t="inlineStr">
        <is>
          <t>DALARNAS LÄN</t>
        </is>
      </c>
      <c r="E189" t="inlineStr">
        <is>
          <t>HEDEMORA</t>
        </is>
      </c>
      <c r="G189" t="n">
        <v>0.5</v>
      </c>
      <c r="H189" t="n">
        <v>0</v>
      </c>
      <c r="I189" t="n">
        <v>0</v>
      </c>
      <c r="J189" t="n">
        <v>0</v>
      </c>
      <c r="K189" t="n">
        <v>0</v>
      </c>
      <c r="L189" t="n">
        <v>0</v>
      </c>
      <c r="M189" t="n">
        <v>0</v>
      </c>
      <c r="N189" t="n">
        <v>0</v>
      </c>
      <c r="O189" t="n">
        <v>0</v>
      </c>
      <c r="P189" t="n">
        <v>0</v>
      </c>
      <c r="Q189" t="n">
        <v>0</v>
      </c>
      <c r="R189" s="2" t="inlineStr"/>
    </row>
    <row r="190" ht="15" customHeight="1">
      <c r="A190" t="inlineStr">
        <is>
          <t>A 37573-2025</t>
        </is>
      </c>
      <c r="B190" s="1" t="n">
        <v>45880.37711805556</v>
      </c>
      <c r="C190" s="1" t="n">
        <v>46012</v>
      </c>
      <c r="D190" t="inlineStr">
        <is>
          <t>DALARNAS LÄN</t>
        </is>
      </c>
      <c r="E190" t="inlineStr">
        <is>
          <t>HEDEMORA</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15048-2025</t>
        </is>
      </c>
      <c r="B191" s="1" t="n">
        <v>45743.69820601852</v>
      </c>
      <c r="C191" s="1" t="n">
        <v>46012</v>
      </c>
      <c r="D191" t="inlineStr">
        <is>
          <t>DALARNAS LÄN</t>
        </is>
      </c>
      <c r="E191" t="inlineStr">
        <is>
          <t>HEDEMORA</t>
        </is>
      </c>
      <c r="F191" t="inlineStr">
        <is>
          <t>Sveaskog</t>
        </is>
      </c>
      <c r="G191" t="n">
        <v>9.1</v>
      </c>
      <c r="H191" t="n">
        <v>0</v>
      </c>
      <c r="I191" t="n">
        <v>0</v>
      </c>
      <c r="J191" t="n">
        <v>0</v>
      </c>
      <c r="K191" t="n">
        <v>0</v>
      </c>
      <c r="L191" t="n">
        <v>0</v>
      </c>
      <c r="M191" t="n">
        <v>0</v>
      </c>
      <c r="N191" t="n">
        <v>0</v>
      </c>
      <c r="O191" t="n">
        <v>0</v>
      </c>
      <c r="P191" t="n">
        <v>0</v>
      </c>
      <c r="Q191" t="n">
        <v>0</v>
      </c>
      <c r="R191" s="2" t="inlineStr"/>
    </row>
    <row r="192" ht="15" customHeight="1">
      <c r="A192" t="inlineStr">
        <is>
          <t>A 47841-2025</t>
        </is>
      </c>
      <c r="B192" s="1" t="n">
        <v>45932.37429398148</v>
      </c>
      <c r="C192" s="1" t="n">
        <v>46012</v>
      </c>
      <c r="D192" t="inlineStr">
        <is>
          <t>DALARNAS LÄN</t>
        </is>
      </c>
      <c r="E192" t="inlineStr">
        <is>
          <t>HEDEMORA</t>
        </is>
      </c>
      <c r="G192" t="n">
        <v>3</v>
      </c>
      <c r="H192" t="n">
        <v>0</v>
      </c>
      <c r="I192" t="n">
        <v>0</v>
      </c>
      <c r="J192" t="n">
        <v>0</v>
      </c>
      <c r="K192" t="n">
        <v>0</v>
      </c>
      <c r="L192" t="n">
        <v>0</v>
      </c>
      <c r="M192" t="n">
        <v>0</v>
      </c>
      <c r="N192" t="n">
        <v>0</v>
      </c>
      <c r="O192" t="n">
        <v>0</v>
      </c>
      <c r="P192" t="n">
        <v>0</v>
      </c>
      <c r="Q192" t="n">
        <v>0</v>
      </c>
      <c r="R192" s="2" t="inlineStr"/>
    </row>
    <row r="193" ht="15" customHeight="1">
      <c r="A193" t="inlineStr">
        <is>
          <t>A 55917-2025</t>
        </is>
      </c>
      <c r="B193" s="1" t="n">
        <v>45973.41158564815</v>
      </c>
      <c r="C193" s="1" t="n">
        <v>46012</v>
      </c>
      <c r="D193" t="inlineStr">
        <is>
          <t>DALARNAS LÄN</t>
        </is>
      </c>
      <c r="E193" t="inlineStr">
        <is>
          <t>HEDEMORA</t>
        </is>
      </c>
      <c r="G193" t="n">
        <v>7.8</v>
      </c>
      <c r="H193" t="n">
        <v>0</v>
      </c>
      <c r="I193" t="n">
        <v>0</v>
      </c>
      <c r="J193" t="n">
        <v>0</v>
      </c>
      <c r="K193" t="n">
        <v>0</v>
      </c>
      <c r="L193" t="n">
        <v>0</v>
      </c>
      <c r="M193" t="n">
        <v>0</v>
      </c>
      <c r="N193" t="n">
        <v>0</v>
      </c>
      <c r="O193" t="n">
        <v>0</v>
      </c>
      <c r="P193" t="n">
        <v>0</v>
      </c>
      <c r="Q193" t="n">
        <v>0</v>
      </c>
      <c r="R193" s="2" t="inlineStr"/>
    </row>
    <row r="194" ht="15" customHeight="1">
      <c r="A194" t="inlineStr">
        <is>
          <t>A 48076-2025</t>
        </is>
      </c>
      <c r="B194" s="1" t="n">
        <v>45932.7075</v>
      </c>
      <c r="C194" s="1" t="n">
        <v>46012</v>
      </c>
      <c r="D194" t="inlineStr">
        <is>
          <t>DALARNAS LÄN</t>
        </is>
      </c>
      <c r="E194" t="inlineStr">
        <is>
          <t>HEDEMORA</t>
        </is>
      </c>
      <c r="G194" t="n">
        <v>5.1</v>
      </c>
      <c r="H194" t="n">
        <v>0</v>
      </c>
      <c r="I194" t="n">
        <v>0</v>
      </c>
      <c r="J194" t="n">
        <v>0</v>
      </c>
      <c r="K194" t="n">
        <v>0</v>
      </c>
      <c r="L194" t="n">
        <v>0</v>
      </c>
      <c r="M194" t="n">
        <v>0</v>
      </c>
      <c r="N194" t="n">
        <v>0</v>
      </c>
      <c r="O194" t="n">
        <v>0</v>
      </c>
      <c r="P194" t="n">
        <v>0</v>
      </c>
      <c r="Q194" t="n">
        <v>0</v>
      </c>
      <c r="R194" s="2" t="inlineStr"/>
    </row>
    <row r="195" ht="15" customHeight="1">
      <c r="A195" t="inlineStr">
        <is>
          <t>A 48077-2025</t>
        </is>
      </c>
      <c r="B195" s="1" t="n">
        <v>45932.71114583333</v>
      </c>
      <c r="C195" s="1" t="n">
        <v>46012</v>
      </c>
      <c r="D195" t="inlineStr">
        <is>
          <t>DALARNAS LÄN</t>
        </is>
      </c>
      <c r="E195" t="inlineStr">
        <is>
          <t>HEDEMORA</t>
        </is>
      </c>
      <c r="G195" t="n">
        <v>1.8</v>
      </c>
      <c r="H195" t="n">
        <v>0</v>
      </c>
      <c r="I195" t="n">
        <v>0</v>
      </c>
      <c r="J195" t="n">
        <v>0</v>
      </c>
      <c r="K195" t="n">
        <v>0</v>
      </c>
      <c r="L195" t="n">
        <v>0</v>
      </c>
      <c r="M195" t="n">
        <v>0</v>
      </c>
      <c r="N195" t="n">
        <v>0</v>
      </c>
      <c r="O195" t="n">
        <v>0</v>
      </c>
      <c r="P195" t="n">
        <v>0</v>
      </c>
      <c r="Q195" t="n">
        <v>0</v>
      </c>
      <c r="R195" s="2" t="inlineStr"/>
    </row>
    <row r="196" ht="15" customHeight="1">
      <c r="A196" t="inlineStr">
        <is>
          <t>A 15054-2025</t>
        </is>
      </c>
      <c r="B196" s="1" t="n">
        <v>45743.70199074074</v>
      </c>
      <c r="C196" s="1" t="n">
        <v>46012</v>
      </c>
      <c r="D196" t="inlineStr">
        <is>
          <t>DALARNAS LÄN</t>
        </is>
      </c>
      <c r="E196" t="inlineStr">
        <is>
          <t>HEDEMORA</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63908-2021</t>
        </is>
      </c>
      <c r="B197" s="1" t="n">
        <v>44509.6580787037</v>
      </c>
      <c r="C197" s="1" t="n">
        <v>46012</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54423-2023</t>
        </is>
      </c>
      <c r="B198" s="1" t="n">
        <v>45233.41666666666</v>
      </c>
      <c r="C198" s="1" t="n">
        <v>46012</v>
      </c>
      <c r="D198" t="inlineStr">
        <is>
          <t>DALARNAS LÄN</t>
        </is>
      </c>
      <c r="E198" t="inlineStr">
        <is>
          <t>HEDEMORA</t>
        </is>
      </c>
      <c r="G198" t="n">
        <v>3.4</v>
      </c>
      <c r="H198" t="n">
        <v>0</v>
      </c>
      <c r="I198" t="n">
        <v>0</v>
      </c>
      <c r="J198" t="n">
        <v>0</v>
      </c>
      <c r="K198" t="n">
        <v>0</v>
      </c>
      <c r="L198" t="n">
        <v>0</v>
      </c>
      <c r="M198" t="n">
        <v>0</v>
      </c>
      <c r="N198" t="n">
        <v>0</v>
      </c>
      <c r="O198" t="n">
        <v>0</v>
      </c>
      <c r="P198" t="n">
        <v>0</v>
      </c>
      <c r="Q198" t="n">
        <v>0</v>
      </c>
      <c r="R198" s="2" t="inlineStr"/>
    </row>
    <row r="199" ht="15" customHeight="1">
      <c r="A199" t="inlineStr">
        <is>
          <t>A 56378-2025</t>
        </is>
      </c>
      <c r="B199" s="1" t="n">
        <v>45974.70207175926</v>
      </c>
      <c r="C199" s="1" t="n">
        <v>46012</v>
      </c>
      <c r="D199" t="inlineStr">
        <is>
          <t>DALARNAS LÄN</t>
        </is>
      </c>
      <c r="E199" t="inlineStr">
        <is>
          <t>HEDEMORA</t>
        </is>
      </c>
      <c r="G199" t="n">
        <v>2.8</v>
      </c>
      <c r="H199" t="n">
        <v>0</v>
      </c>
      <c r="I199" t="n">
        <v>0</v>
      </c>
      <c r="J199" t="n">
        <v>0</v>
      </c>
      <c r="K199" t="n">
        <v>0</v>
      </c>
      <c r="L199" t="n">
        <v>0</v>
      </c>
      <c r="M199" t="n">
        <v>0</v>
      </c>
      <c r="N199" t="n">
        <v>0</v>
      </c>
      <c r="O199" t="n">
        <v>0</v>
      </c>
      <c r="P199" t="n">
        <v>0</v>
      </c>
      <c r="Q199" t="n">
        <v>0</v>
      </c>
      <c r="R199" s="2" t="inlineStr"/>
    </row>
    <row r="200" ht="15" customHeight="1">
      <c r="A200" t="inlineStr">
        <is>
          <t>A 56070-2025</t>
        </is>
      </c>
      <c r="B200" s="1" t="n">
        <v>45973.65067129629</v>
      </c>
      <c r="C200" s="1" t="n">
        <v>46012</v>
      </c>
      <c r="D200" t="inlineStr">
        <is>
          <t>DALARNAS LÄN</t>
        </is>
      </c>
      <c r="E200" t="inlineStr">
        <is>
          <t>HEDEMORA</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36117-2025</t>
        </is>
      </c>
      <c r="B201" s="1" t="n">
        <v>45866.58664351852</v>
      </c>
      <c r="C201" s="1" t="n">
        <v>46012</v>
      </c>
      <c r="D201" t="inlineStr">
        <is>
          <t>DALARNAS LÄN</t>
        </is>
      </c>
      <c r="E201" t="inlineStr">
        <is>
          <t>HEDEMORA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36103-2025</t>
        </is>
      </c>
      <c r="B202" s="1" t="n">
        <v>45866.55335648148</v>
      </c>
      <c r="C202" s="1" t="n">
        <v>46012</v>
      </c>
      <c r="D202" t="inlineStr">
        <is>
          <t>DALARNAS LÄN</t>
        </is>
      </c>
      <c r="E202" t="inlineStr">
        <is>
          <t>HEDEMORA</t>
        </is>
      </c>
      <c r="G202" t="n">
        <v>2.3</v>
      </c>
      <c r="H202" t="n">
        <v>0</v>
      </c>
      <c r="I202" t="n">
        <v>0</v>
      </c>
      <c r="J202" t="n">
        <v>0</v>
      </c>
      <c r="K202" t="n">
        <v>0</v>
      </c>
      <c r="L202" t="n">
        <v>0</v>
      </c>
      <c r="M202" t="n">
        <v>0</v>
      </c>
      <c r="N202" t="n">
        <v>0</v>
      </c>
      <c r="O202" t="n">
        <v>0</v>
      </c>
      <c r="P202" t="n">
        <v>0</v>
      </c>
      <c r="Q202" t="n">
        <v>0</v>
      </c>
      <c r="R202" s="2" t="inlineStr"/>
    </row>
    <row r="203" ht="15" customHeight="1">
      <c r="A203" t="inlineStr">
        <is>
          <t>A 36075-2025</t>
        </is>
      </c>
      <c r="B203" s="1" t="n">
        <v>45866.43974537037</v>
      </c>
      <c r="C203" s="1" t="n">
        <v>46012</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36206-2025</t>
        </is>
      </c>
      <c r="B204" s="1" t="n">
        <v>45867.45057870371</v>
      </c>
      <c r="C204" s="1" t="n">
        <v>46012</v>
      </c>
      <c r="D204" t="inlineStr">
        <is>
          <t>DALARNAS LÄN</t>
        </is>
      </c>
      <c r="E204" t="inlineStr">
        <is>
          <t>HEDEMORA</t>
        </is>
      </c>
      <c r="G204" t="n">
        <v>0.1</v>
      </c>
      <c r="H204" t="n">
        <v>0</v>
      </c>
      <c r="I204" t="n">
        <v>0</v>
      </c>
      <c r="J204" t="n">
        <v>0</v>
      </c>
      <c r="K204" t="n">
        <v>0</v>
      </c>
      <c r="L204" t="n">
        <v>0</v>
      </c>
      <c r="M204" t="n">
        <v>0</v>
      </c>
      <c r="N204" t="n">
        <v>0</v>
      </c>
      <c r="O204" t="n">
        <v>0</v>
      </c>
      <c r="P204" t="n">
        <v>0</v>
      </c>
      <c r="Q204" t="n">
        <v>0</v>
      </c>
      <c r="R204" s="2" t="inlineStr"/>
    </row>
    <row r="205" ht="15" customHeight="1">
      <c r="A205" t="inlineStr">
        <is>
          <t>A 48238-2025</t>
        </is>
      </c>
      <c r="B205" s="1" t="n">
        <v>45933.53237268519</v>
      </c>
      <c r="C205" s="1" t="n">
        <v>46012</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20273-2025</t>
        </is>
      </c>
      <c r="B206" s="1" t="n">
        <v>45773.71921296296</v>
      </c>
      <c r="C206" s="1" t="n">
        <v>46012</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29128-2025</t>
        </is>
      </c>
      <c r="B207" s="1" t="n">
        <v>45821.60116898148</v>
      </c>
      <c r="C207" s="1" t="n">
        <v>46012</v>
      </c>
      <c r="D207" t="inlineStr">
        <is>
          <t>DALARNAS LÄN</t>
        </is>
      </c>
      <c r="E207" t="inlineStr">
        <is>
          <t>HEDEMORA</t>
        </is>
      </c>
      <c r="F207" t="inlineStr">
        <is>
          <t>Sveaskog</t>
        </is>
      </c>
      <c r="G207" t="n">
        <v>15.5</v>
      </c>
      <c r="H207" t="n">
        <v>0</v>
      </c>
      <c r="I207" t="n">
        <v>0</v>
      </c>
      <c r="J207" t="n">
        <v>0</v>
      </c>
      <c r="K207" t="n">
        <v>0</v>
      </c>
      <c r="L207" t="n">
        <v>0</v>
      </c>
      <c r="M207" t="n">
        <v>0</v>
      </c>
      <c r="N207" t="n">
        <v>0</v>
      </c>
      <c r="O207" t="n">
        <v>0</v>
      </c>
      <c r="P207" t="n">
        <v>0</v>
      </c>
      <c r="Q207" t="n">
        <v>0</v>
      </c>
      <c r="R207" s="2" t="inlineStr"/>
    </row>
    <row r="208" ht="15" customHeight="1">
      <c r="A208" t="inlineStr">
        <is>
          <t>A 30572-2021</t>
        </is>
      </c>
      <c r="B208" s="1" t="n">
        <v>44364.83369212963</v>
      </c>
      <c r="C208" s="1" t="n">
        <v>46012</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48381-2025</t>
        </is>
      </c>
      <c r="B209" s="1" t="n">
        <v>45933.81800925926</v>
      </c>
      <c r="C209" s="1" t="n">
        <v>46012</v>
      </c>
      <c r="D209" t="inlineStr">
        <is>
          <t>DALARNAS LÄN</t>
        </is>
      </c>
      <c r="E209" t="inlineStr">
        <is>
          <t>HEDEMORA</t>
        </is>
      </c>
      <c r="F209" t="inlineStr">
        <is>
          <t>Sveaskog</t>
        </is>
      </c>
      <c r="G209" t="n">
        <v>6.3</v>
      </c>
      <c r="H209" t="n">
        <v>0</v>
      </c>
      <c r="I209" t="n">
        <v>0</v>
      </c>
      <c r="J209" t="n">
        <v>0</v>
      </c>
      <c r="K209" t="n">
        <v>0</v>
      </c>
      <c r="L209" t="n">
        <v>0</v>
      </c>
      <c r="M209" t="n">
        <v>0</v>
      </c>
      <c r="N209" t="n">
        <v>0</v>
      </c>
      <c r="O209" t="n">
        <v>0</v>
      </c>
      <c r="P209" t="n">
        <v>0</v>
      </c>
      <c r="Q209" t="n">
        <v>0</v>
      </c>
      <c r="R209" s="2" t="inlineStr"/>
    </row>
    <row r="210" ht="15" customHeight="1">
      <c r="A210" t="inlineStr">
        <is>
          <t>A 36656-2025</t>
        </is>
      </c>
      <c r="B210" s="1" t="n">
        <v>45873.34642361111</v>
      </c>
      <c r="C210" s="1" t="n">
        <v>46012</v>
      </c>
      <c r="D210" t="inlineStr">
        <is>
          <t>DALARNAS LÄN</t>
        </is>
      </c>
      <c r="E210" t="inlineStr">
        <is>
          <t>HEDEMORA</t>
        </is>
      </c>
      <c r="G210" t="n">
        <v>1.7</v>
      </c>
      <c r="H210" t="n">
        <v>0</v>
      </c>
      <c r="I210" t="n">
        <v>0</v>
      </c>
      <c r="J210" t="n">
        <v>0</v>
      </c>
      <c r="K210" t="n">
        <v>0</v>
      </c>
      <c r="L210" t="n">
        <v>0</v>
      </c>
      <c r="M210" t="n">
        <v>0</v>
      </c>
      <c r="N210" t="n">
        <v>0</v>
      </c>
      <c r="O210" t="n">
        <v>0</v>
      </c>
      <c r="P210" t="n">
        <v>0</v>
      </c>
      <c r="Q210" t="n">
        <v>0</v>
      </c>
      <c r="R210" s="2" t="inlineStr"/>
    </row>
    <row r="211" ht="15" customHeight="1">
      <c r="A211" t="inlineStr">
        <is>
          <t>A 29792-2025</t>
        </is>
      </c>
      <c r="B211" s="1" t="n">
        <v>45825.66416666667</v>
      </c>
      <c r="C211" s="1" t="n">
        <v>46012</v>
      </c>
      <c r="D211" t="inlineStr">
        <is>
          <t>DALARNAS LÄN</t>
        </is>
      </c>
      <c r="E211" t="inlineStr">
        <is>
          <t>HEDEMORA</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56679-2025</t>
        </is>
      </c>
      <c r="B212" s="1" t="n">
        <v>45975.78238425926</v>
      </c>
      <c r="C212" s="1" t="n">
        <v>46012</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21092-2023</t>
        </is>
      </c>
      <c r="B213" s="1" t="n">
        <v>45061</v>
      </c>
      <c r="C213" s="1" t="n">
        <v>46012</v>
      </c>
      <c r="D213" t="inlineStr">
        <is>
          <t>DALARNAS LÄN</t>
        </is>
      </c>
      <c r="E213" t="inlineStr">
        <is>
          <t>HEDEMORA</t>
        </is>
      </c>
      <c r="F213" t="inlineStr">
        <is>
          <t>Sveaskog</t>
        </is>
      </c>
      <c r="G213" t="n">
        <v>0.1</v>
      </c>
      <c r="H213" t="n">
        <v>0</v>
      </c>
      <c r="I213" t="n">
        <v>0</v>
      </c>
      <c r="J213" t="n">
        <v>0</v>
      </c>
      <c r="K213" t="n">
        <v>0</v>
      </c>
      <c r="L213" t="n">
        <v>0</v>
      </c>
      <c r="M213" t="n">
        <v>0</v>
      </c>
      <c r="N213" t="n">
        <v>0</v>
      </c>
      <c r="O213" t="n">
        <v>0</v>
      </c>
      <c r="P213" t="n">
        <v>0</v>
      </c>
      <c r="Q213" t="n">
        <v>0</v>
      </c>
      <c r="R213" s="2" t="inlineStr"/>
    </row>
    <row r="214" ht="15" customHeight="1">
      <c r="A214" t="inlineStr">
        <is>
          <t>A 56676-2025</t>
        </is>
      </c>
      <c r="B214" s="1" t="n">
        <v>45975.7162962963</v>
      </c>
      <c r="C214" s="1" t="n">
        <v>46012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20271-2025</t>
        </is>
      </c>
      <c r="B215" s="1" t="n">
        <v>45773.71568287037</v>
      </c>
      <c r="C215" s="1" t="n">
        <v>46012</v>
      </c>
      <c r="D215" t="inlineStr">
        <is>
          <t>DALARNAS LÄN</t>
        </is>
      </c>
      <c r="E215" t="inlineStr">
        <is>
          <t>HEDEMORA</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62398-2023</t>
        </is>
      </c>
      <c r="B216" s="1" t="n">
        <v>45268</v>
      </c>
      <c r="C216" s="1" t="n">
        <v>46012</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57745-2024</t>
        </is>
      </c>
      <c r="B217" s="1" t="n">
        <v>45630.77605324074</v>
      </c>
      <c r="C217" s="1" t="n">
        <v>46012</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48320-2024</t>
        </is>
      </c>
      <c r="B218" s="1" t="n">
        <v>45590.4999537037</v>
      </c>
      <c r="C218" s="1" t="n">
        <v>46012</v>
      </c>
      <c r="D218" t="inlineStr">
        <is>
          <t>DALARNAS LÄN</t>
        </is>
      </c>
      <c r="E218" t="inlineStr">
        <is>
          <t>HEDEMORA</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36900-2022</t>
        </is>
      </c>
      <c r="B219" s="1" t="n">
        <v>44805.71435185185</v>
      </c>
      <c r="C219" s="1" t="n">
        <v>46012</v>
      </c>
      <c r="D219" t="inlineStr">
        <is>
          <t>DALARNAS LÄN</t>
        </is>
      </c>
      <c r="E219" t="inlineStr">
        <is>
          <t>HEDEMORA</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57563-2025</t>
        </is>
      </c>
      <c r="B220" s="1" t="n">
        <v>45980.70671296296</v>
      </c>
      <c r="C220" s="1" t="n">
        <v>46012</v>
      </c>
      <c r="D220" t="inlineStr">
        <is>
          <t>DALARNAS LÄN</t>
        </is>
      </c>
      <c r="E220" t="inlineStr">
        <is>
          <t>HEDEMORA</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26431-2024</t>
        </is>
      </c>
      <c r="B221" s="1" t="n">
        <v>45469.48282407408</v>
      </c>
      <c r="C221" s="1" t="n">
        <v>46012</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c r="U221">
        <f>HYPERLINK("https://klasma.github.io/Logging_2083/knärot/A 26431-2024 karta knärot.png", "A 26431-2024")</f>
        <v/>
      </c>
      <c r="V221">
        <f>HYPERLINK("https://klasma.github.io/Logging_2083/klagomål/A 26431-2024 FSC-klagomål.docx", "A 26431-2024")</f>
        <v/>
      </c>
      <c r="W221">
        <f>HYPERLINK("https://klasma.github.io/Logging_2083/klagomålsmail/A 26431-2024 FSC-klagomål mail.docx", "A 26431-2024")</f>
        <v/>
      </c>
      <c r="X221">
        <f>HYPERLINK("https://klasma.github.io/Logging_2083/tillsyn/A 26431-2024 tillsynsbegäran.docx", "A 26431-2024")</f>
        <v/>
      </c>
      <c r="Y221">
        <f>HYPERLINK("https://klasma.github.io/Logging_2083/tillsynsmail/A 26431-2024 tillsynsbegäran mail.docx", "A 26431-2024")</f>
        <v/>
      </c>
    </row>
    <row r="222" ht="15" customHeight="1">
      <c r="A222" t="inlineStr">
        <is>
          <t>A 19690-2025</t>
        </is>
      </c>
      <c r="B222" s="1" t="n">
        <v>45770</v>
      </c>
      <c r="C222" s="1" t="n">
        <v>46012</v>
      </c>
      <c r="D222" t="inlineStr">
        <is>
          <t>DALARNAS LÄN</t>
        </is>
      </c>
      <c r="E222" t="inlineStr">
        <is>
          <t>HEDEMORA</t>
        </is>
      </c>
      <c r="G222" t="n">
        <v>1.6</v>
      </c>
      <c r="H222" t="n">
        <v>0</v>
      </c>
      <c r="I222" t="n">
        <v>0</v>
      </c>
      <c r="J222" t="n">
        <v>0</v>
      </c>
      <c r="K222" t="n">
        <v>0</v>
      </c>
      <c r="L222" t="n">
        <v>0</v>
      </c>
      <c r="M222" t="n">
        <v>0</v>
      </c>
      <c r="N222" t="n">
        <v>0</v>
      </c>
      <c r="O222" t="n">
        <v>0</v>
      </c>
      <c r="P222" t="n">
        <v>0</v>
      </c>
      <c r="Q222" t="n">
        <v>0</v>
      </c>
      <c r="R222" s="2" t="inlineStr"/>
    </row>
    <row r="223" ht="15" customHeight="1">
      <c r="A223" t="inlineStr">
        <is>
          <t>A 21868-2025</t>
        </is>
      </c>
      <c r="B223" s="1" t="n">
        <v>45784</v>
      </c>
      <c r="C223" s="1" t="n">
        <v>46012</v>
      </c>
      <c r="D223" t="inlineStr">
        <is>
          <t>DALARNAS LÄN</t>
        </is>
      </c>
      <c r="E223" t="inlineStr">
        <is>
          <t>HEDEMORA</t>
        </is>
      </c>
      <c r="F223" t="inlineStr">
        <is>
          <t>Sveaskog</t>
        </is>
      </c>
      <c r="G223" t="n">
        <v>10.1</v>
      </c>
      <c r="H223" t="n">
        <v>0</v>
      </c>
      <c r="I223" t="n">
        <v>0</v>
      </c>
      <c r="J223" t="n">
        <v>0</v>
      </c>
      <c r="K223" t="n">
        <v>0</v>
      </c>
      <c r="L223" t="n">
        <v>0</v>
      </c>
      <c r="M223" t="n">
        <v>0</v>
      </c>
      <c r="N223" t="n">
        <v>0</v>
      </c>
      <c r="O223" t="n">
        <v>0</v>
      </c>
      <c r="P223" t="n">
        <v>0</v>
      </c>
      <c r="Q223" t="n">
        <v>0</v>
      </c>
      <c r="R223" s="2" t="inlineStr"/>
    </row>
    <row r="224" ht="15" customHeight="1">
      <c r="A224" t="inlineStr">
        <is>
          <t>A 49771-2025</t>
        </is>
      </c>
      <c r="B224" s="1" t="n">
        <v>45940.36981481482</v>
      </c>
      <c r="C224" s="1" t="n">
        <v>46012</v>
      </c>
      <c r="D224" t="inlineStr">
        <is>
          <t>DALARNAS LÄN</t>
        </is>
      </c>
      <c r="E224" t="inlineStr">
        <is>
          <t>HEDEMORA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21864-2025</t>
        </is>
      </c>
      <c r="B225" s="1" t="n">
        <v>45784</v>
      </c>
      <c r="C225" s="1" t="n">
        <v>46012</v>
      </c>
      <c r="D225" t="inlineStr">
        <is>
          <t>DALARNAS LÄN</t>
        </is>
      </c>
      <c r="E225" t="inlineStr">
        <is>
          <t>HEDEMORA</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23501-2023</t>
        </is>
      </c>
      <c r="B226" s="1" t="n">
        <v>45076.73979166667</v>
      </c>
      <c r="C226" s="1" t="n">
        <v>46012</v>
      </c>
      <c r="D226" t="inlineStr">
        <is>
          <t>DALARNAS LÄN</t>
        </is>
      </c>
      <c r="E226" t="inlineStr">
        <is>
          <t>HEDEMORA</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58020-2025</t>
        </is>
      </c>
      <c r="B227" s="1" t="n">
        <v>45982.47819444445</v>
      </c>
      <c r="C227" s="1" t="n">
        <v>46012</v>
      </c>
      <c r="D227" t="inlineStr">
        <is>
          <t>DALARNAS LÄN</t>
        </is>
      </c>
      <c r="E227" t="inlineStr">
        <is>
          <t>HEDEMORA</t>
        </is>
      </c>
      <c r="G227" t="n">
        <v>0.6</v>
      </c>
      <c r="H227" t="n">
        <v>0</v>
      </c>
      <c r="I227" t="n">
        <v>0</v>
      </c>
      <c r="J227" t="n">
        <v>0</v>
      </c>
      <c r="K227" t="n">
        <v>0</v>
      </c>
      <c r="L227" t="n">
        <v>0</v>
      </c>
      <c r="M227" t="n">
        <v>0</v>
      </c>
      <c r="N227" t="n">
        <v>0</v>
      </c>
      <c r="O227" t="n">
        <v>0</v>
      </c>
      <c r="P227" t="n">
        <v>0</v>
      </c>
      <c r="Q227" t="n">
        <v>0</v>
      </c>
      <c r="R227" s="2" t="inlineStr"/>
    </row>
    <row r="228" ht="15" customHeight="1">
      <c r="A228" t="inlineStr">
        <is>
          <t>A 49772-2025</t>
        </is>
      </c>
      <c r="B228" s="1" t="n">
        <v>45940.37288194444</v>
      </c>
      <c r="C228" s="1" t="n">
        <v>46012</v>
      </c>
      <c r="D228" t="inlineStr">
        <is>
          <t>DALARNAS LÄN</t>
        </is>
      </c>
      <c r="E228" t="inlineStr">
        <is>
          <t>HEDEMORA</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49942-2025</t>
        </is>
      </c>
      <c r="B229" s="1" t="n">
        <v>45940.69508101852</v>
      </c>
      <c r="C229" s="1" t="n">
        <v>46012</v>
      </c>
      <c r="D229" t="inlineStr">
        <is>
          <t>DALARNAS LÄN</t>
        </is>
      </c>
      <c r="E229" t="inlineStr">
        <is>
          <t>HEDEMORA</t>
        </is>
      </c>
      <c r="G229" t="n">
        <v>2</v>
      </c>
      <c r="H229" t="n">
        <v>0</v>
      </c>
      <c r="I229" t="n">
        <v>0</v>
      </c>
      <c r="J229" t="n">
        <v>0</v>
      </c>
      <c r="K229" t="n">
        <v>0</v>
      </c>
      <c r="L229" t="n">
        <v>0</v>
      </c>
      <c r="M229" t="n">
        <v>0</v>
      </c>
      <c r="N229" t="n">
        <v>0</v>
      </c>
      <c r="O229" t="n">
        <v>0</v>
      </c>
      <c r="P229" t="n">
        <v>0</v>
      </c>
      <c r="Q229" t="n">
        <v>0</v>
      </c>
      <c r="R229" s="2" t="inlineStr"/>
    </row>
    <row r="230" ht="15" customHeight="1">
      <c r="A230" t="inlineStr">
        <is>
          <t>A 48254-2023</t>
        </is>
      </c>
      <c r="B230" s="1" t="n">
        <v>45205.53241898148</v>
      </c>
      <c r="C230" s="1" t="n">
        <v>46012</v>
      </c>
      <c r="D230" t="inlineStr">
        <is>
          <t>DALARNAS LÄN</t>
        </is>
      </c>
      <c r="E230" t="inlineStr">
        <is>
          <t>HEDEMORA</t>
        </is>
      </c>
      <c r="F230" t="inlineStr">
        <is>
          <t>Sveaskog</t>
        </is>
      </c>
      <c r="G230" t="n">
        <v>1.5</v>
      </c>
      <c r="H230" t="n">
        <v>0</v>
      </c>
      <c r="I230" t="n">
        <v>0</v>
      </c>
      <c r="J230" t="n">
        <v>0</v>
      </c>
      <c r="K230" t="n">
        <v>0</v>
      </c>
      <c r="L230" t="n">
        <v>0</v>
      </c>
      <c r="M230" t="n">
        <v>0</v>
      </c>
      <c r="N230" t="n">
        <v>0</v>
      </c>
      <c r="O230" t="n">
        <v>0</v>
      </c>
      <c r="P230" t="n">
        <v>0</v>
      </c>
      <c r="Q230" t="n">
        <v>0</v>
      </c>
      <c r="R230" s="2" t="inlineStr"/>
      <c r="U230">
        <f>HYPERLINK("https://klasma.github.io/Logging_2083/knärot/A 48254-2023 karta knärot.png", "A 48254-2023")</f>
        <v/>
      </c>
      <c r="V230">
        <f>HYPERLINK("https://klasma.github.io/Logging_2083/klagomål/A 48254-2023 FSC-klagomål.docx", "A 48254-2023")</f>
        <v/>
      </c>
      <c r="W230">
        <f>HYPERLINK("https://klasma.github.io/Logging_2083/klagomålsmail/A 48254-2023 FSC-klagomål mail.docx", "A 48254-2023")</f>
        <v/>
      </c>
      <c r="X230">
        <f>HYPERLINK("https://klasma.github.io/Logging_2083/tillsyn/A 48254-2023 tillsynsbegäran.docx", "A 48254-2023")</f>
        <v/>
      </c>
      <c r="Y230">
        <f>HYPERLINK("https://klasma.github.io/Logging_2083/tillsynsmail/A 48254-2023 tillsynsbegäran mail.docx", "A 48254-2023")</f>
        <v/>
      </c>
    </row>
    <row r="231" ht="15" customHeight="1">
      <c r="A231" t="inlineStr">
        <is>
          <t>A 50043-2025</t>
        </is>
      </c>
      <c r="B231" s="1" t="n">
        <v>45943.40546296296</v>
      </c>
      <c r="C231" s="1" t="n">
        <v>46012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50101-2025</t>
        </is>
      </c>
      <c r="B232" s="1" t="n">
        <v>45943.53317129629</v>
      </c>
      <c r="C232" s="1" t="n">
        <v>46012</v>
      </c>
      <c r="D232" t="inlineStr">
        <is>
          <t>DALARNAS LÄN</t>
        </is>
      </c>
      <c r="E232" t="inlineStr">
        <is>
          <t>HEDEMORA</t>
        </is>
      </c>
      <c r="G232" t="n">
        <v>3.5</v>
      </c>
      <c r="H232" t="n">
        <v>0</v>
      </c>
      <c r="I232" t="n">
        <v>0</v>
      </c>
      <c r="J232" t="n">
        <v>0</v>
      </c>
      <c r="K232" t="n">
        <v>0</v>
      </c>
      <c r="L232" t="n">
        <v>0</v>
      </c>
      <c r="M232" t="n">
        <v>0</v>
      </c>
      <c r="N232" t="n">
        <v>0</v>
      </c>
      <c r="O232" t="n">
        <v>0</v>
      </c>
      <c r="P232" t="n">
        <v>0</v>
      </c>
      <c r="Q232" t="n">
        <v>0</v>
      </c>
      <c r="R232" s="2" t="inlineStr"/>
    </row>
    <row r="233" ht="15" customHeight="1">
      <c r="A233" t="inlineStr">
        <is>
          <t>A 50115-2025</t>
        </is>
      </c>
      <c r="B233" s="1" t="n">
        <v>45943.54636574074</v>
      </c>
      <c r="C233" s="1" t="n">
        <v>46012</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50038-2025</t>
        </is>
      </c>
      <c r="B234" s="1" t="n">
        <v>45943.40084490741</v>
      </c>
      <c r="C234" s="1" t="n">
        <v>46012</v>
      </c>
      <c r="D234" t="inlineStr">
        <is>
          <t>DALARNAS LÄN</t>
        </is>
      </c>
      <c r="E234" t="inlineStr">
        <is>
          <t>HEDEMORA</t>
        </is>
      </c>
      <c r="G234" t="n">
        <v>2.9</v>
      </c>
      <c r="H234" t="n">
        <v>0</v>
      </c>
      <c r="I234" t="n">
        <v>0</v>
      </c>
      <c r="J234" t="n">
        <v>0</v>
      </c>
      <c r="K234" t="n">
        <v>0</v>
      </c>
      <c r="L234" t="n">
        <v>0</v>
      </c>
      <c r="M234" t="n">
        <v>0</v>
      </c>
      <c r="N234" t="n">
        <v>0</v>
      </c>
      <c r="O234" t="n">
        <v>0</v>
      </c>
      <c r="P234" t="n">
        <v>0</v>
      </c>
      <c r="Q234" t="n">
        <v>0</v>
      </c>
      <c r="R234" s="2" t="inlineStr"/>
    </row>
    <row r="235" ht="15" customHeight="1">
      <c r="A235" t="inlineStr">
        <is>
          <t>A 50040-2025</t>
        </is>
      </c>
      <c r="B235" s="1" t="n">
        <v>45943.40377314815</v>
      </c>
      <c r="C235" s="1" t="n">
        <v>46012</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58705-2025</t>
        </is>
      </c>
      <c r="B236" s="1" t="n">
        <v>45986.60056712963</v>
      </c>
      <c r="C236" s="1" t="n">
        <v>46012</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32071-2021</t>
        </is>
      </c>
      <c r="B237" s="1" t="n">
        <v>44370.90546296296</v>
      </c>
      <c r="C237" s="1" t="n">
        <v>46012</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50078-2025</t>
        </is>
      </c>
      <c r="B238" s="1" t="n">
        <v>45943</v>
      </c>
      <c r="C238" s="1" t="n">
        <v>46012</v>
      </c>
      <c r="D238" t="inlineStr">
        <is>
          <t>DALARNAS LÄN</t>
        </is>
      </c>
      <c r="E238" t="inlineStr">
        <is>
          <t>HEDEMORA</t>
        </is>
      </c>
      <c r="G238" t="n">
        <v>2.5</v>
      </c>
      <c r="H238" t="n">
        <v>0</v>
      </c>
      <c r="I238" t="n">
        <v>0</v>
      </c>
      <c r="J238" t="n">
        <v>0</v>
      </c>
      <c r="K238" t="n">
        <v>0</v>
      </c>
      <c r="L238" t="n">
        <v>0</v>
      </c>
      <c r="M238" t="n">
        <v>0</v>
      </c>
      <c r="N238" t="n">
        <v>0</v>
      </c>
      <c r="O238" t="n">
        <v>0</v>
      </c>
      <c r="P238" t="n">
        <v>0</v>
      </c>
      <c r="Q238" t="n">
        <v>0</v>
      </c>
      <c r="R238" s="2" t="inlineStr"/>
    </row>
    <row r="239" ht="15" customHeight="1">
      <c r="A239" t="inlineStr">
        <is>
          <t>A 21763-2024</t>
        </is>
      </c>
      <c r="B239" s="1" t="n">
        <v>45442.60204861111</v>
      </c>
      <c r="C239" s="1" t="n">
        <v>46012</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59295-2025</t>
        </is>
      </c>
      <c r="B240" s="1" t="n">
        <v>45988.77284722222</v>
      </c>
      <c r="C240" s="1" t="n">
        <v>46012</v>
      </c>
      <c r="D240" t="inlineStr">
        <is>
          <t>DALARNAS LÄN</t>
        </is>
      </c>
      <c r="E240" t="inlineStr">
        <is>
          <t>HEDEMORA</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8342-2025</t>
        </is>
      </c>
      <c r="B241" s="1" t="n">
        <v>45708.67251157408</v>
      </c>
      <c r="C241" s="1" t="n">
        <v>46012</v>
      </c>
      <c r="D241" t="inlineStr">
        <is>
          <t>DALARNAS LÄN</t>
        </is>
      </c>
      <c r="E241" t="inlineStr">
        <is>
          <t>HEDEMORA</t>
        </is>
      </c>
      <c r="G241" t="n">
        <v>0.8</v>
      </c>
      <c r="H241" t="n">
        <v>0</v>
      </c>
      <c r="I241" t="n">
        <v>0</v>
      </c>
      <c r="J241" t="n">
        <v>0</v>
      </c>
      <c r="K241" t="n">
        <v>0</v>
      </c>
      <c r="L241" t="n">
        <v>0</v>
      </c>
      <c r="M241" t="n">
        <v>0</v>
      </c>
      <c r="N241" t="n">
        <v>0</v>
      </c>
      <c r="O241" t="n">
        <v>0</v>
      </c>
      <c r="P241" t="n">
        <v>0</v>
      </c>
      <c r="Q241" t="n">
        <v>0</v>
      </c>
      <c r="R241" s="2" t="inlineStr"/>
    </row>
    <row r="242" ht="15" customHeight="1">
      <c r="A242" t="inlineStr">
        <is>
          <t>A 15833-2025</t>
        </is>
      </c>
      <c r="B242" s="1" t="n">
        <v>45748.85107638889</v>
      </c>
      <c r="C242" s="1" t="n">
        <v>46012</v>
      </c>
      <c r="D242" t="inlineStr">
        <is>
          <t>DALARNAS LÄN</t>
        </is>
      </c>
      <c r="E242" t="inlineStr">
        <is>
          <t>HEDEMORA</t>
        </is>
      </c>
      <c r="G242" t="n">
        <v>0.4</v>
      </c>
      <c r="H242" t="n">
        <v>0</v>
      </c>
      <c r="I242" t="n">
        <v>0</v>
      </c>
      <c r="J242" t="n">
        <v>0</v>
      </c>
      <c r="K242" t="n">
        <v>0</v>
      </c>
      <c r="L242" t="n">
        <v>0</v>
      </c>
      <c r="M242" t="n">
        <v>0</v>
      </c>
      <c r="N242" t="n">
        <v>0</v>
      </c>
      <c r="O242" t="n">
        <v>0</v>
      </c>
      <c r="P242" t="n">
        <v>0</v>
      </c>
      <c r="Q242" t="n">
        <v>0</v>
      </c>
      <c r="R242" s="2" t="inlineStr"/>
    </row>
    <row r="243" ht="15" customHeight="1">
      <c r="A243" t="inlineStr">
        <is>
          <t>A 59582-2025</t>
        </is>
      </c>
      <c r="B243" s="1" t="n">
        <v>45992.31405092592</v>
      </c>
      <c r="C243" s="1" t="n">
        <v>46012</v>
      </c>
      <c r="D243" t="inlineStr">
        <is>
          <t>DALARNAS LÄN</t>
        </is>
      </c>
      <c r="E243" t="inlineStr">
        <is>
          <t>HEDEMORA</t>
        </is>
      </c>
      <c r="G243" t="n">
        <v>3.9</v>
      </c>
      <c r="H243" t="n">
        <v>0</v>
      </c>
      <c r="I243" t="n">
        <v>0</v>
      </c>
      <c r="J243" t="n">
        <v>0</v>
      </c>
      <c r="K243" t="n">
        <v>0</v>
      </c>
      <c r="L243" t="n">
        <v>0</v>
      </c>
      <c r="M243" t="n">
        <v>0</v>
      </c>
      <c r="N243" t="n">
        <v>0</v>
      </c>
      <c r="O243" t="n">
        <v>0</v>
      </c>
      <c r="P243" t="n">
        <v>0</v>
      </c>
      <c r="Q243" t="n">
        <v>0</v>
      </c>
      <c r="R243" s="2" t="inlineStr"/>
    </row>
    <row r="244" ht="15" customHeight="1">
      <c r="A244" t="inlineStr">
        <is>
          <t>A 12136-2025</t>
        </is>
      </c>
      <c r="B244" s="1" t="n">
        <v>45729.39300925926</v>
      </c>
      <c r="C244" s="1" t="n">
        <v>46012</v>
      </c>
      <c r="D244" t="inlineStr">
        <is>
          <t>DALARNAS LÄN</t>
        </is>
      </c>
      <c r="E244" t="inlineStr">
        <is>
          <t>HEDEMORA</t>
        </is>
      </c>
      <c r="G244" t="n">
        <v>1.5</v>
      </c>
      <c r="H244" t="n">
        <v>0</v>
      </c>
      <c r="I244" t="n">
        <v>0</v>
      </c>
      <c r="J244" t="n">
        <v>0</v>
      </c>
      <c r="K244" t="n">
        <v>0</v>
      </c>
      <c r="L244" t="n">
        <v>0</v>
      </c>
      <c r="M244" t="n">
        <v>0</v>
      </c>
      <c r="N244" t="n">
        <v>0</v>
      </c>
      <c r="O244" t="n">
        <v>0</v>
      </c>
      <c r="P244" t="n">
        <v>0</v>
      </c>
      <c r="Q244" t="n">
        <v>0</v>
      </c>
      <c r="R244" s="2" t="inlineStr"/>
    </row>
    <row r="245" ht="15" customHeight="1">
      <c r="A245" t="inlineStr">
        <is>
          <t>A 59350-2025</t>
        </is>
      </c>
      <c r="B245" s="1" t="n">
        <v>45989.40451388889</v>
      </c>
      <c r="C245" s="1" t="n">
        <v>46012</v>
      </c>
      <c r="D245" t="inlineStr">
        <is>
          <t>DALARNAS LÄN</t>
        </is>
      </c>
      <c r="E245" t="inlineStr">
        <is>
          <t>HEDEMORA</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59581-2025</t>
        </is>
      </c>
      <c r="B246" s="1" t="n">
        <v>45992.31182870371</v>
      </c>
      <c r="C246" s="1" t="n">
        <v>46012</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51615-2025</t>
        </is>
      </c>
      <c r="B247" s="1" t="n">
        <v>45951.40246527778</v>
      </c>
      <c r="C247" s="1" t="n">
        <v>46012</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50333-2023</t>
        </is>
      </c>
      <c r="B248" s="1" t="n">
        <v>45216</v>
      </c>
      <c r="C248" s="1" t="n">
        <v>46012</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51695-2025</t>
        </is>
      </c>
      <c r="B249" s="1" t="n">
        <v>45951.54824074074</v>
      </c>
      <c r="C249" s="1" t="n">
        <v>46012</v>
      </c>
      <c r="D249" t="inlineStr">
        <is>
          <t>DALARNAS LÄN</t>
        </is>
      </c>
      <c r="E249" t="inlineStr">
        <is>
          <t>HEDEMORA</t>
        </is>
      </c>
      <c r="G249" t="n">
        <v>2.1</v>
      </c>
      <c r="H249" t="n">
        <v>0</v>
      </c>
      <c r="I249" t="n">
        <v>0</v>
      </c>
      <c r="J249" t="n">
        <v>0</v>
      </c>
      <c r="K249" t="n">
        <v>0</v>
      </c>
      <c r="L249" t="n">
        <v>0</v>
      </c>
      <c r="M249" t="n">
        <v>0</v>
      </c>
      <c r="N249" t="n">
        <v>0</v>
      </c>
      <c r="O249" t="n">
        <v>0</v>
      </c>
      <c r="P249" t="n">
        <v>0</v>
      </c>
      <c r="Q249" t="n">
        <v>0</v>
      </c>
      <c r="R249" s="2" t="inlineStr"/>
    </row>
    <row r="250" ht="15" customHeight="1">
      <c r="A250" t="inlineStr">
        <is>
          <t>A 22270-2023</t>
        </is>
      </c>
      <c r="B250" s="1" t="n">
        <v>45070.39284722223</v>
      </c>
      <c r="C250" s="1" t="n">
        <v>46012</v>
      </c>
      <c r="D250" t="inlineStr">
        <is>
          <t>DALARNAS LÄN</t>
        </is>
      </c>
      <c r="E250" t="inlineStr">
        <is>
          <t>HEDEMORA</t>
        </is>
      </c>
      <c r="G250" t="n">
        <v>1.8</v>
      </c>
      <c r="H250" t="n">
        <v>0</v>
      </c>
      <c r="I250" t="n">
        <v>0</v>
      </c>
      <c r="J250" t="n">
        <v>0</v>
      </c>
      <c r="K250" t="n">
        <v>0</v>
      </c>
      <c r="L250" t="n">
        <v>0</v>
      </c>
      <c r="M250" t="n">
        <v>0</v>
      </c>
      <c r="N250" t="n">
        <v>0</v>
      </c>
      <c r="O250" t="n">
        <v>0</v>
      </c>
      <c r="P250" t="n">
        <v>0</v>
      </c>
      <c r="Q250" t="n">
        <v>0</v>
      </c>
      <c r="R250" s="2" t="inlineStr"/>
    </row>
    <row r="251" ht="15" customHeight="1">
      <c r="A251" t="inlineStr">
        <is>
          <t>A 53576-2023</t>
        </is>
      </c>
      <c r="B251" s="1" t="n">
        <v>45230.50288194444</v>
      </c>
      <c r="C251" s="1" t="n">
        <v>46012</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19990-2025</t>
        </is>
      </c>
      <c r="B252" s="1" t="n">
        <v>45771.73082175926</v>
      </c>
      <c r="C252" s="1" t="n">
        <v>46012</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52714-2025</t>
        </is>
      </c>
      <c r="B253" s="1" t="n">
        <v>45953</v>
      </c>
      <c r="C253" s="1" t="n">
        <v>46012</v>
      </c>
      <c r="D253" t="inlineStr">
        <is>
          <t>DALARNAS LÄN</t>
        </is>
      </c>
      <c r="E253" t="inlineStr">
        <is>
          <t>HEDEMORA</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51943-2025</t>
        </is>
      </c>
      <c r="B254" s="1" t="n">
        <v>45952</v>
      </c>
      <c r="C254" s="1" t="n">
        <v>46012</v>
      </c>
      <c r="D254" t="inlineStr">
        <is>
          <t>DALARNAS LÄN</t>
        </is>
      </c>
      <c r="E254" t="inlineStr">
        <is>
          <t>HEDEMORA</t>
        </is>
      </c>
      <c r="G254" t="n">
        <v>4.5</v>
      </c>
      <c r="H254" t="n">
        <v>0</v>
      </c>
      <c r="I254" t="n">
        <v>0</v>
      </c>
      <c r="J254" t="n">
        <v>0</v>
      </c>
      <c r="K254" t="n">
        <v>0</v>
      </c>
      <c r="L254" t="n">
        <v>0</v>
      </c>
      <c r="M254" t="n">
        <v>0</v>
      </c>
      <c r="N254" t="n">
        <v>0</v>
      </c>
      <c r="O254" t="n">
        <v>0</v>
      </c>
      <c r="P254" t="n">
        <v>0</v>
      </c>
      <c r="Q254" t="n">
        <v>0</v>
      </c>
      <c r="R254" s="2" t="inlineStr"/>
    </row>
    <row r="255" ht="15" customHeight="1">
      <c r="A255" t="inlineStr">
        <is>
          <t>A 60445-2025</t>
        </is>
      </c>
      <c r="B255" s="1" t="n">
        <v>45995.4909837963</v>
      </c>
      <c r="C255" s="1" t="n">
        <v>46012</v>
      </c>
      <c r="D255" t="inlineStr">
        <is>
          <t>DALARNAS LÄN</t>
        </is>
      </c>
      <c r="E255" t="inlineStr">
        <is>
          <t>HEDEMORA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27610-2024</t>
        </is>
      </c>
      <c r="B256" s="1" t="n">
        <v>45474.73221064815</v>
      </c>
      <c r="C256" s="1" t="n">
        <v>46012</v>
      </c>
      <c r="D256" t="inlineStr">
        <is>
          <t>DALARNAS LÄN</t>
        </is>
      </c>
      <c r="E256" t="inlineStr">
        <is>
          <t>HEDEMORA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52328-2025</t>
        </is>
      </c>
      <c r="B257" s="1" t="n">
        <v>45953.67157407408</v>
      </c>
      <c r="C257" s="1" t="n">
        <v>46012</v>
      </c>
      <c r="D257" t="inlineStr">
        <is>
          <t>DALARNAS LÄN</t>
        </is>
      </c>
      <c r="E257" t="inlineStr">
        <is>
          <t>HEDEMORA</t>
        </is>
      </c>
      <c r="F257" t="inlineStr">
        <is>
          <t>Sveaskog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52325-2025</t>
        </is>
      </c>
      <c r="B258" s="1" t="n">
        <v>45953.67032407408</v>
      </c>
      <c r="C258" s="1" t="n">
        <v>46012</v>
      </c>
      <c r="D258" t="inlineStr">
        <is>
          <t>DALARNAS LÄN</t>
        </is>
      </c>
      <c r="E258" t="inlineStr">
        <is>
          <t>HEDEMORA</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44450.84762731481</v>
      </c>
      <c r="C259" s="1" t="n">
        <v>46012</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52316-2025</t>
        </is>
      </c>
      <c r="B260" s="1" t="n">
        <v>45953.65537037037</v>
      </c>
      <c r="C260" s="1" t="n">
        <v>46012</v>
      </c>
      <c r="D260" t="inlineStr">
        <is>
          <t>DALARNAS LÄN</t>
        </is>
      </c>
      <c r="E260" t="inlineStr">
        <is>
          <t>HEDEMORA</t>
        </is>
      </c>
      <c r="F260" t="inlineStr">
        <is>
          <t>Sveaskog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53042-2025</t>
        </is>
      </c>
      <c r="B261" s="1" t="n">
        <v>45958.35527777778</v>
      </c>
      <c r="C261" s="1" t="n">
        <v>46012</v>
      </c>
      <c r="D261" t="inlineStr">
        <is>
          <t>DALARNAS LÄN</t>
        </is>
      </c>
      <c r="E261" t="inlineStr">
        <is>
          <t>HEDEMORA</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52759-2025</t>
        </is>
      </c>
      <c r="B262" s="1" t="n">
        <v>45957.39364583333</v>
      </c>
      <c r="C262" s="1" t="n">
        <v>46012</v>
      </c>
      <c r="D262" t="inlineStr">
        <is>
          <t>DALARNAS LÄN</t>
        </is>
      </c>
      <c r="E262" t="inlineStr">
        <is>
          <t>HEDEMORA</t>
        </is>
      </c>
      <c r="G262" t="n">
        <v>0.8</v>
      </c>
      <c r="H262" t="n">
        <v>0</v>
      </c>
      <c r="I262" t="n">
        <v>0</v>
      </c>
      <c r="J262" t="n">
        <v>0</v>
      </c>
      <c r="K262" t="n">
        <v>0</v>
      </c>
      <c r="L262" t="n">
        <v>0</v>
      </c>
      <c r="M262" t="n">
        <v>0</v>
      </c>
      <c r="N262" t="n">
        <v>0</v>
      </c>
      <c r="O262" t="n">
        <v>0</v>
      </c>
      <c r="P262" t="n">
        <v>0</v>
      </c>
      <c r="Q262" t="n">
        <v>0</v>
      </c>
      <c r="R262" s="2" t="inlineStr"/>
    </row>
    <row r="263" ht="15" customHeight="1">
      <c r="A263" t="inlineStr">
        <is>
          <t>A 53044-2025</t>
        </is>
      </c>
      <c r="B263" s="1" t="n">
        <v>45958.35663194444</v>
      </c>
      <c r="C263" s="1" t="n">
        <v>46012</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52853-2025</t>
        </is>
      </c>
      <c r="B264" s="1" t="n">
        <v>45957.49408564815</v>
      </c>
      <c r="C264" s="1" t="n">
        <v>46012</v>
      </c>
      <c r="D264" t="inlineStr">
        <is>
          <t>DALARNAS LÄN</t>
        </is>
      </c>
      <c r="E264" t="inlineStr">
        <is>
          <t>HEDEMORA</t>
        </is>
      </c>
      <c r="G264" t="n">
        <v>1.5</v>
      </c>
      <c r="H264" t="n">
        <v>0</v>
      </c>
      <c r="I264" t="n">
        <v>0</v>
      </c>
      <c r="J264" t="n">
        <v>0</v>
      </c>
      <c r="K264" t="n">
        <v>0</v>
      </c>
      <c r="L264" t="n">
        <v>0</v>
      </c>
      <c r="M264" t="n">
        <v>0</v>
      </c>
      <c r="N264" t="n">
        <v>0</v>
      </c>
      <c r="O264" t="n">
        <v>0</v>
      </c>
      <c r="P264" t="n">
        <v>0</v>
      </c>
      <c r="Q264" t="n">
        <v>0</v>
      </c>
      <c r="R264" s="2" t="inlineStr"/>
    </row>
    <row r="265" ht="15" customHeight="1">
      <c r="A265" t="inlineStr">
        <is>
          <t>A 68553-2021</t>
        </is>
      </c>
      <c r="B265" s="1" t="n">
        <v>44529</v>
      </c>
      <c r="C265" s="1" t="n">
        <v>46012</v>
      </c>
      <c r="D265" t="inlineStr">
        <is>
          <t>DALARNAS LÄN</t>
        </is>
      </c>
      <c r="E265" t="inlineStr">
        <is>
          <t>HEDEMORA</t>
        </is>
      </c>
      <c r="G265" t="n">
        <v>3</v>
      </c>
      <c r="H265" t="n">
        <v>0</v>
      </c>
      <c r="I265" t="n">
        <v>0</v>
      </c>
      <c r="J265" t="n">
        <v>0</v>
      </c>
      <c r="K265" t="n">
        <v>0</v>
      </c>
      <c r="L265" t="n">
        <v>0</v>
      </c>
      <c r="M265" t="n">
        <v>0</v>
      </c>
      <c r="N265" t="n">
        <v>0</v>
      </c>
      <c r="O265" t="n">
        <v>0</v>
      </c>
      <c r="P265" t="n">
        <v>0</v>
      </c>
      <c r="Q265" t="n">
        <v>0</v>
      </c>
      <c r="R265" s="2" t="inlineStr"/>
    </row>
    <row r="266" ht="15" customHeight="1">
      <c r="A266" t="inlineStr">
        <is>
          <t>A 17600-2025</t>
        </is>
      </c>
      <c r="B266" s="1" t="n">
        <v>45757.71063657408</v>
      </c>
      <c r="C266" s="1" t="n">
        <v>46012</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29123-2021</t>
        </is>
      </c>
      <c r="B267" s="1" t="n">
        <v>44358</v>
      </c>
      <c r="C267" s="1" t="n">
        <v>46012</v>
      </c>
      <c r="D267" t="inlineStr">
        <is>
          <t>DALARNAS LÄN</t>
        </is>
      </c>
      <c r="E267" t="inlineStr">
        <is>
          <t>HEDEMORA</t>
        </is>
      </c>
      <c r="G267" t="n">
        <v>5.6</v>
      </c>
      <c r="H267" t="n">
        <v>0</v>
      </c>
      <c r="I267" t="n">
        <v>0</v>
      </c>
      <c r="J267" t="n">
        <v>0</v>
      </c>
      <c r="K267" t="n">
        <v>0</v>
      </c>
      <c r="L267" t="n">
        <v>0</v>
      </c>
      <c r="M267" t="n">
        <v>0</v>
      </c>
      <c r="N267" t="n">
        <v>0</v>
      </c>
      <c r="O267" t="n">
        <v>0</v>
      </c>
      <c r="P267" t="n">
        <v>0</v>
      </c>
      <c r="Q267" t="n">
        <v>0</v>
      </c>
      <c r="R267" s="2" t="inlineStr"/>
    </row>
    <row r="268" ht="15" customHeight="1">
      <c r="A268" t="inlineStr">
        <is>
          <t>A 28029-2023</t>
        </is>
      </c>
      <c r="B268" s="1" t="n">
        <v>45099</v>
      </c>
      <c r="C268" s="1" t="n">
        <v>46012</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53040-2025</t>
        </is>
      </c>
      <c r="B269" s="1" t="n">
        <v>45958.35328703704</v>
      </c>
      <c r="C269" s="1" t="n">
        <v>46012</v>
      </c>
      <c r="D269" t="inlineStr">
        <is>
          <t>DALARNAS LÄN</t>
        </is>
      </c>
      <c r="E269" t="inlineStr">
        <is>
          <t>HEDEMORA</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61136-2025</t>
        </is>
      </c>
      <c r="B270" s="1" t="n">
        <v>46000.50141203704</v>
      </c>
      <c r="C270" s="1" t="n">
        <v>46012</v>
      </c>
      <c r="D270" t="inlineStr">
        <is>
          <t>DALARNAS LÄN</t>
        </is>
      </c>
      <c r="E270" t="inlineStr">
        <is>
          <t>HEDEMORA</t>
        </is>
      </c>
      <c r="F270" t="inlineStr">
        <is>
          <t>Bergvik skog väst AB</t>
        </is>
      </c>
      <c r="G270" t="n">
        <v>6.2</v>
      </c>
      <c r="H270" t="n">
        <v>0</v>
      </c>
      <c r="I270" t="n">
        <v>0</v>
      </c>
      <c r="J270" t="n">
        <v>0</v>
      </c>
      <c r="K270" t="n">
        <v>0</v>
      </c>
      <c r="L270" t="n">
        <v>0</v>
      </c>
      <c r="M270" t="n">
        <v>0</v>
      </c>
      <c r="N270" t="n">
        <v>0</v>
      </c>
      <c r="O270" t="n">
        <v>0</v>
      </c>
      <c r="P270" t="n">
        <v>0</v>
      </c>
      <c r="Q270" t="n">
        <v>0</v>
      </c>
      <c r="R270" s="2" t="inlineStr"/>
    </row>
    <row r="271" ht="15" customHeight="1">
      <c r="A271" t="inlineStr">
        <is>
          <t>A 44960-2021</t>
        </is>
      </c>
      <c r="B271" s="1" t="n">
        <v>44438.72253472222</v>
      </c>
      <c r="C271" s="1" t="n">
        <v>46012</v>
      </c>
      <c r="D271" t="inlineStr">
        <is>
          <t>DALARNAS LÄN</t>
        </is>
      </c>
      <c r="E271" t="inlineStr">
        <is>
          <t>HEDEMORA</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60858-2025</t>
        </is>
      </c>
      <c r="B272" s="1" t="n">
        <v>45999.52246527778</v>
      </c>
      <c r="C272" s="1" t="n">
        <v>46012</v>
      </c>
      <c r="D272" t="inlineStr">
        <is>
          <t>DALARNAS LÄN</t>
        </is>
      </c>
      <c r="E272" t="inlineStr">
        <is>
          <t>HEDEMORA</t>
        </is>
      </c>
      <c r="G272" t="n">
        <v>2.7</v>
      </c>
      <c r="H272" t="n">
        <v>0</v>
      </c>
      <c r="I272" t="n">
        <v>0</v>
      </c>
      <c r="J272" t="n">
        <v>0</v>
      </c>
      <c r="K272" t="n">
        <v>0</v>
      </c>
      <c r="L272" t="n">
        <v>0</v>
      </c>
      <c r="M272" t="n">
        <v>0</v>
      </c>
      <c r="N272" t="n">
        <v>0</v>
      </c>
      <c r="O272" t="n">
        <v>0</v>
      </c>
      <c r="P272" t="n">
        <v>0</v>
      </c>
      <c r="Q272" t="n">
        <v>0</v>
      </c>
      <c r="R272" s="2" t="inlineStr"/>
    </row>
    <row r="273" ht="15" customHeight="1">
      <c r="A273" t="inlineStr">
        <is>
          <t>A 58018-2022</t>
        </is>
      </c>
      <c r="B273" s="1" t="n">
        <v>44900.53383101852</v>
      </c>
      <c r="C273" s="1" t="n">
        <v>46012</v>
      </c>
      <c r="D273" t="inlineStr">
        <is>
          <t>DALARNAS LÄN</t>
        </is>
      </c>
      <c r="E273" t="inlineStr">
        <is>
          <t>HEDEMORA</t>
        </is>
      </c>
      <c r="G273" t="n">
        <v>3.6</v>
      </c>
      <c r="H273" t="n">
        <v>0</v>
      </c>
      <c r="I273" t="n">
        <v>0</v>
      </c>
      <c r="J273" t="n">
        <v>0</v>
      </c>
      <c r="K273" t="n">
        <v>0</v>
      </c>
      <c r="L273" t="n">
        <v>0</v>
      </c>
      <c r="M273" t="n">
        <v>0</v>
      </c>
      <c r="N273" t="n">
        <v>0</v>
      </c>
      <c r="O273" t="n">
        <v>0</v>
      </c>
      <c r="P273" t="n">
        <v>0</v>
      </c>
      <c r="Q273" t="n">
        <v>0</v>
      </c>
      <c r="R273" s="2" t="inlineStr"/>
    </row>
    <row r="274" ht="15" customHeight="1">
      <c r="A274" t="inlineStr">
        <is>
          <t>A 29050-2023</t>
        </is>
      </c>
      <c r="B274" s="1" t="n">
        <v>45104</v>
      </c>
      <c r="C274" s="1" t="n">
        <v>46012</v>
      </c>
      <c r="D274" t="inlineStr">
        <is>
          <t>DALARNAS LÄN</t>
        </is>
      </c>
      <c r="E274" t="inlineStr">
        <is>
          <t>HEDEMORA</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63929-2023</t>
        </is>
      </c>
      <c r="B275" s="1" t="n">
        <v>45278.60274305556</v>
      </c>
      <c r="C275" s="1" t="n">
        <v>46012</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53551-2025</t>
        </is>
      </c>
      <c r="B276" s="1" t="n">
        <v>45960.3875</v>
      </c>
      <c r="C276" s="1" t="n">
        <v>46012</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61883-2022</t>
        </is>
      </c>
      <c r="B277" s="1" t="n">
        <v>44917.67262731482</v>
      </c>
      <c r="C277" s="1" t="n">
        <v>46012</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37449-2024</t>
        </is>
      </c>
      <c r="B278" s="1" t="n">
        <v>45540</v>
      </c>
      <c r="C278" s="1" t="n">
        <v>46012</v>
      </c>
      <c r="D278" t="inlineStr">
        <is>
          <t>DALARNAS LÄN</t>
        </is>
      </c>
      <c r="E278" t="inlineStr">
        <is>
          <t>HEDEMORA</t>
        </is>
      </c>
      <c r="F278" t="inlineStr">
        <is>
          <t>Bergvik skog väst AB</t>
        </is>
      </c>
      <c r="G278" t="n">
        <v>10.1</v>
      </c>
      <c r="H278" t="n">
        <v>0</v>
      </c>
      <c r="I278" t="n">
        <v>0</v>
      </c>
      <c r="J278" t="n">
        <v>0</v>
      </c>
      <c r="K278" t="n">
        <v>0</v>
      </c>
      <c r="L278" t="n">
        <v>0</v>
      </c>
      <c r="M278" t="n">
        <v>0</v>
      </c>
      <c r="N278" t="n">
        <v>0</v>
      </c>
      <c r="O278" t="n">
        <v>0</v>
      </c>
      <c r="P278" t="n">
        <v>0</v>
      </c>
      <c r="Q278" t="n">
        <v>0</v>
      </c>
      <c r="R278" s="2" t="inlineStr"/>
    </row>
    <row r="279" ht="15" customHeight="1">
      <c r="A279" t="inlineStr">
        <is>
          <t>A 29301-2023</t>
        </is>
      </c>
      <c r="B279" s="1" t="n">
        <v>45105</v>
      </c>
      <c r="C279" s="1" t="n">
        <v>46012</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54040-2025</t>
        </is>
      </c>
      <c r="B280" s="1" t="n">
        <v>45963.74130787037</v>
      </c>
      <c r="C280" s="1" t="n">
        <v>46012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7172-2025</t>
        </is>
      </c>
      <c r="B281" s="1" t="n">
        <v>45702.41383101852</v>
      </c>
      <c r="C281" s="1" t="n">
        <v>46012</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45290-2025</t>
        </is>
      </c>
      <c r="B282" s="1" t="n">
        <v>45920.37158564815</v>
      </c>
      <c r="C282" s="1" t="n">
        <v>46012</v>
      </c>
      <c r="D282" t="inlineStr">
        <is>
          <t>DALARNAS LÄN</t>
        </is>
      </c>
      <c r="E282" t="inlineStr">
        <is>
          <t>HEDEMORA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42894-2024</t>
        </is>
      </c>
      <c r="B283" s="1" t="n">
        <v>45566.82304398148</v>
      </c>
      <c r="C283" s="1" t="n">
        <v>46012</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42895-2024</t>
        </is>
      </c>
      <c r="B284" s="1" t="n">
        <v>45566.82385416667</v>
      </c>
      <c r="C284" s="1" t="n">
        <v>46012</v>
      </c>
      <c r="D284" t="inlineStr">
        <is>
          <t>DALARNAS LÄN</t>
        </is>
      </c>
      <c r="E284" t="inlineStr">
        <is>
          <t>HEDEMORA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46012</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7914-2024</t>
        </is>
      </c>
      <c r="B286" s="1" t="n">
        <v>45350.46003472222</v>
      </c>
      <c r="C286" s="1" t="n">
        <v>46012</v>
      </c>
      <c r="D286" t="inlineStr">
        <is>
          <t>DALARNAS LÄN</t>
        </is>
      </c>
      <c r="E286" t="inlineStr">
        <is>
          <t>HEDEMORA</t>
        </is>
      </c>
      <c r="G286" t="n">
        <v>4.1</v>
      </c>
      <c r="H286" t="n">
        <v>0</v>
      </c>
      <c r="I286" t="n">
        <v>0</v>
      </c>
      <c r="J286" t="n">
        <v>0</v>
      </c>
      <c r="K286" t="n">
        <v>0</v>
      </c>
      <c r="L286" t="n">
        <v>0</v>
      </c>
      <c r="M286" t="n">
        <v>0</v>
      </c>
      <c r="N286" t="n">
        <v>0</v>
      </c>
      <c r="O286" t="n">
        <v>0</v>
      </c>
      <c r="P286" t="n">
        <v>0</v>
      </c>
      <c r="Q286" t="n">
        <v>0</v>
      </c>
      <c r="R286" s="2" t="inlineStr"/>
    </row>
    <row r="287" ht="15" customHeight="1">
      <c r="A287" t="inlineStr">
        <is>
          <t>A 61533-2021</t>
        </is>
      </c>
      <c r="B287" s="1" t="n">
        <v>44501</v>
      </c>
      <c r="C287" s="1" t="n">
        <v>46012</v>
      </c>
      <c r="D287" t="inlineStr">
        <is>
          <t>DALARNAS LÄN</t>
        </is>
      </c>
      <c r="E287" t="inlineStr">
        <is>
          <t>HEDEMORA</t>
        </is>
      </c>
      <c r="G287" t="n">
        <v>1.6</v>
      </c>
      <c r="H287" t="n">
        <v>0</v>
      </c>
      <c r="I287" t="n">
        <v>0</v>
      </c>
      <c r="J287" t="n">
        <v>0</v>
      </c>
      <c r="K287" t="n">
        <v>0</v>
      </c>
      <c r="L287" t="n">
        <v>0</v>
      </c>
      <c r="M287" t="n">
        <v>0</v>
      </c>
      <c r="N287" t="n">
        <v>0</v>
      </c>
      <c r="O287" t="n">
        <v>0</v>
      </c>
      <c r="P287" t="n">
        <v>0</v>
      </c>
      <c r="Q287" t="n">
        <v>0</v>
      </c>
      <c r="R287" s="2" t="inlineStr"/>
    </row>
    <row r="288" ht="15" customHeight="1">
      <c r="A288" t="inlineStr">
        <is>
          <t>A 21869-2025</t>
        </is>
      </c>
      <c r="B288" s="1" t="n">
        <v>45784.37449074074</v>
      </c>
      <c r="C288" s="1" t="n">
        <v>46012</v>
      </c>
      <c r="D288" t="inlineStr">
        <is>
          <t>DALARNAS LÄN</t>
        </is>
      </c>
      <c r="E288" t="inlineStr">
        <is>
          <t>HEDEMORA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32738-2022</t>
        </is>
      </c>
      <c r="B289" s="1" t="n">
        <v>44783.68931712963</v>
      </c>
      <c r="C289" s="1" t="n">
        <v>46012</v>
      </c>
      <c r="D289" t="inlineStr">
        <is>
          <t>DALARNAS LÄN</t>
        </is>
      </c>
      <c r="E289" t="inlineStr">
        <is>
          <t>HEDEMORA</t>
        </is>
      </c>
      <c r="G289" t="n">
        <v>2.6</v>
      </c>
      <c r="H289" t="n">
        <v>0</v>
      </c>
      <c r="I289" t="n">
        <v>0</v>
      </c>
      <c r="J289" t="n">
        <v>0</v>
      </c>
      <c r="K289" t="n">
        <v>0</v>
      </c>
      <c r="L289" t="n">
        <v>0</v>
      </c>
      <c r="M289" t="n">
        <v>0</v>
      </c>
      <c r="N289" t="n">
        <v>0</v>
      </c>
      <c r="O289" t="n">
        <v>0</v>
      </c>
      <c r="P289" t="n">
        <v>0</v>
      </c>
      <c r="Q289" t="n">
        <v>0</v>
      </c>
      <c r="R289" s="2" t="inlineStr"/>
    </row>
    <row r="290" ht="15" customHeight="1">
      <c r="A290" t="inlineStr">
        <is>
          <t>A 54829-2025</t>
        </is>
      </c>
      <c r="B290" s="1" t="n">
        <v>45966.67506944444</v>
      </c>
      <c r="C290" s="1" t="n">
        <v>46012</v>
      </c>
      <c r="D290" t="inlineStr">
        <is>
          <t>DALARNAS LÄN</t>
        </is>
      </c>
      <c r="E290" t="inlineStr">
        <is>
          <t>HEDEMORA</t>
        </is>
      </c>
      <c r="G290" t="n">
        <v>2.2</v>
      </c>
      <c r="H290" t="n">
        <v>0</v>
      </c>
      <c r="I290" t="n">
        <v>0</v>
      </c>
      <c r="J290" t="n">
        <v>0</v>
      </c>
      <c r="K290" t="n">
        <v>0</v>
      </c>
      <c r="L290" t="n">
        <v>0</v>
      </c>
      <c r="M290" t="n">
        <v>0</v>
      </c>
      <c r="N290" t="n">
        <v>0</v>
      </c>
      <c r="O290" t="n">
        <v>0</v>
      </c>
      <c r="P290" t="n">
        <v>0</v>
      </c>
      <c r="Q290" t="n">
        <v>0</v>
      </c>
      <c r="R290" s="2" t="inlineStr"/>
    </row>
    <row r="291" ht="15" customHeight="1">
      <c r="A291" t="inlineStr">
        <is>
          <t>A 33287-2025</t>
        </is>
      </c>
      <c r="B291" s="1" t="n">
        <v>45840.81216435185</v>
      </c>
      <c r="C291" s="1" t="n">
        <v>46012</v>
      </c>
      <c r="D291" t="inlineStr">
        <is>
          <t>DALARNAS LÄN</t>
        </is>
      </c>
      <c r="E291" t="inlineStr">
        <is>
          <t>HEDEMORA</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54830-2025</t>
        </is>
      </c>
      <c r="B292" s="1" t="n">
        <v>45966.67681712963</v>
      </c>
      <c r="C292" s="1" t="n">
        <v>46012</v>
      </c>
      <c r="D292" t="inlineStr">
        <is>
          <t>DALARNAS LÄN</t>
        </is>
      </c>
      <c r="E292" t="inlineStr">
        <is>
          <t>HEDEMORA</t>
        </is>
      </c>
      <c r="G292" t="n">
        <v>1.4</v>
      </c>
      <c r="H292" t="n">
        <v>0</v>
      </c>
      <c r="I292" t="n">
        <v>0</v>
      </c>
      <c r="J292" t="n">
        <v>0</v>
      </c>
      <c r="K292" t="n">
        <v>0</v>
      </c>
      <c r="L292" t="n">
        <v>0</v>
      </c>
      <c r="M292" t="n">
        <v>0</v>
      </c>
      <c r="N292" t="n">
        <v>0</v>
      </c>
      <c r="O292" t="n">
        <v>0</v>
      </c>
      <c r="P292" t="n">
        <v>0</v>
      </c>
      <c r="Q292" t="n">
        <v>0</v>
      </c>
      <c r="R292" s="2" t="inlineStr"/>
    </row>
    <row r="293" ht="15" customHeight="1">
      <c r="A293" t="inlineStr">
        <is>
          <t>A 62407-2025</t>
        </is>
      </c>
      <c r="B293" s="1" t="n">
        <v>46007.43217592593</v>
      </c>
      <c r="C293" s="1" t="n">
        <v>46012</v>
      </c>
      <c r="D293" t="inlineStr">
        <is>
          <t>DALARNAS LÄN</t>
        </is>
      </c>
      <c r="E293" t="inlineStr">
        <is>
          <t>HEDEMORA</t>
        </is>
      </c>
      <c r="G293" t="n">
        <v>2.2</v>
      </c>
      <c r="H293" t="n">
        <v>0</v>
      </c>
      <c r="I293" t="n">
        <v>0</v>
      </c>
      <c r="J293" t="n">
        <v>0</v>
      </c>
      <c r="K293" t="n">
        <v>0</v>
      </c>
      <c r="L293" t="n">
        <v>0</v>
      </c>
      <c r="M293" t="n">
        <v>0</v>
      </c>
      <c r="N293" t="n">
        <v>0</v>
      </c>
      <c r="O293" t="n">
        <v>0</v>
      </c>
      <c r="P293" t="n">
        <v>0</v>
      </c>
      <c r="Q293" t="n">
        <v>0</v>
      </c>
      <c r="R293" s="2" t="inlineStr"/>
    </row>
    <row r="294" ht="15" customHeight="1">
      <c r="A294" t="inlineStr">
        <is>
          <t>A 9314-2024</t>
        </is>
      </c>
      <c r="B294" s="1" t="n">
        <v>45358</v>
      </c>
      <c r="C294" s="1" t="n">
        <v>46012</v>
      </c>
      <c r="D294" t="inlineStr">
        <is>
          <t>DALARNAS LÄN</t>
        </is>
      </c>
      <c r="E294" t="inlineStr">
        <is>
          <t>HEDEMORA</t>
        </is>
      </c>
      <c r="G294" t="n">
        <v>1.4</v>
      </c>
      <c r="H294" t="n">
        <v>0</v>
      </c>
      <c r="I294" t="n">
        <v>0</v>
      </c>
      <c r="J294" t="n">
        <v>0</v>
      </c>
      <c r="K294" t="n">
        <v>0</v>
      </c>
      <c r="L294" t="n">
        <v>0</v>
      </c>
      <c r="M294" t="n">
        <v>0</v>
      </c>
      <c r="N294" t="n">
        <v>0</v>
      </c>
      <c r="O294" t="n">
        <v>0</v>
      </c>
      <c r="P294" t="n">
        <v>0</v>
      </c>
      <c r="Q294" t="n">
        <v>0</v>
      </c>
      <c r="R294" s="2" t="inlineStr"/>
    </row>
    <row r="295" ht="15" customHeight="1">
      <c r="A295" t="inlineStr">
        <is>
          <t>A 73099-2021</t>
        </is>
      </c>
      <c r="B295" s="1" t="n">
        <v>44546</v>
      </c>
      <c r="C295" s="1" t="n">
        <v>46012</v>
      </c>
      <c r="D295" t="inlineStr">
        <is>
          <t>DALARNAS LÄN</t>
        </is>
      </c>
      <c r="E295" t="inlineStr">
        <is>
          <t>HEDEMORA</t>
        </is>
      </c>
      <c r="G295" t="n">
        <v>4.5</v>
      </c>
      <c r="H295" t="n">
        <v>0</v>
      </c>
      <c r="I295" t="n">
        <v>0</v>
      </c>
      <c r="J295" t="n">
        <v>0</v>
      </c>
      <c r="K295" t="n">
        <v>0</v>
      </c>
      <c r="L295" t="n">
        <v>0</v>
      </c>
      <c r="M295" t="n">
        <v>0</v>
      </c>
      <c r="N295" t="n">
        <v>0</v>
      </c>
      <c r="O295" t="n">
        <v>0</v>
      </c>
      <c r="P295" t="n">
        <v>0</v>
      </c>
      <c r="Q295" t="n">
        <v>0</v>
      </c>
      <c r="R295" s="2" t="inlineStr"/>
    </row>
    <row r="296" ht="15" customHeight="1">
      <c r="A296" t="inlineStr">
        <is>
          <t>A 55159-2025</t>
        </is>
      </c>
      <c r="B296" s="1" t="n">
        <v>45968.46832175926</v>
      </c>
      <c r="C296" s="1" t="n">
        <v>46012</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48147-2025</t>
        </is>
      </c>
      <c r="B297" s="1" t="n">
        <v>45933</v>
      </c>
      <c r="C297" s="1" t="n">
        <v>46012</v>
      </c>
      <c r="D297" t="inlineStr">
        <is>
          <t>DALARNAS LÄN</t>
        </is>
      </c>
      <c r="E297" t="inlineStr">
        <is>
          <t>HEDEMORA</t>
        </is>
      </c>
      <c r="G297" t="n">
        <v>6.6</v>
      </c>
      <c r="H297" t="n">
        <v>0</v>
      </c>
      <c r="I297" t="n">
        <v>0</v>
      </c>
      <c r="J297" t="n">
        <v>0</v>
      </c>
      <c r="K297" t="n">
        <v>0</v>
      </c>
      <c r="L297" t="n">
        <v>0</v>
      </c>
      <c r="M297" t="n">
        <v>0</v>
      </c>
      <c r="N297" t="n">
        <v>0</v>
      </c>
      <c r="O297" t="n">
        <v>0</v>
      </c>
      <c r="P297" t="n">
        <v>0</v>
      </c>
      <c r="Q297" t="n">
        <v>0</v>
      </c>
      <c r="R297" s="2" t="inlineStr"/>
    </row>
    <row r="298" ht="15" customHeight="1">
      <c r="A298" t="inlineStr">
        <is>
          <t>A 55882-2023</t>
        </is>
      </c>
      <c r="B298" s="1" t="n">
        <v>45239</v>
      </c>
      <c r="C298" s="1" t="n">
        <v>46012</v>
      </c>
      <c r="D298" t="inlineStr">
        <is>
          <t>DALARNAS LÄN</t>
        </is>
      </c>
      <c r="E298" t="inlineStr">
        <is>
          <t>HEDEMORA</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37574-2025</t>
        </is>
      </c>
      <c r="B299" s="1" t="n">
        <v>45880.37949074074</v>
      </c>
      <c r="C299" s="1" t="n">
        <v>46012</v>
      </c>
      <c r="D299" t="inlineStr">
        <is>
          <t>DALARNAS LÄN</t>
        </is>
      </c>
      <c r="E299" t="inlineStr">
        <is>
          <t>HEDEMORA</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50885-2023</t>
        </is>
      </c>
      <c r="B300" s="1" t="n">
        <v>45218.38459490741</v>
      </c>
      <c r="C300" s="1" t="n">
        <v>46012</v>
      </c>
      <c r="D300" t="inlineStr">
        <is>
          <t>DALARNAS LÄN</t>
        </is>
      </c>
      <c r="E300" t="inlineStr">
        <is>
          <t>HEDEMORA</t>
        </is>
      </c>
      <c r="G300" t="n">
        <v>0.7</v>
      </c>
      <c r="H300" t="n">
        <v>0</v>
      </c>
      <c r="I300" t="n">
        <v>0</v>
      </c>
      <c r="J300" t="n">
        <v>0</v>
      </c>
      <c r="K300" t="n">
        <v>0</v>
      </c>
      <c r="L300" t="n">
        <v>0</v>
      </c>
      <c r="M300" t="n">
        <v>0</v>
      </c>
      <c r="N300" t="n">
        <v>0</v>
      </c>
      <c r="O300" t="n">
        <v>0</v>
      </c>
      <c r="P300" t="n">
        <v>0</v>
      </c>
      <c r="Q300" t="n">
        <v>0</v>
      </c>
      <c r="R300" s="2" t="inlineStr"/>
    </row>
    <row r="301" ht="15" customHeight="1">
      <c r="A301" t="inlineStr">
        <is>
          <t>A 65057-2023</t>
        </is>
      </c>
      <c r="B301" s="1" t="n">
        <v>45287</v>
      </c>
      <c r="C301" s="1" t="n">
        <v>46012</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39389-2025</t>
        </is>
      </c>
      <c r="B302" s="1" t="n">
        <v>45889.62181712963</v>
      </c>
      <c r="C302" s="1" t="n">
        <v>46012</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46012</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33288-2025</t>
        </is>
      </c>
      <c r="B304" s="1" t="n">
        <v>45840</v>
      </c>
      <c r="C304" s="1" t="n">
        <v>46012</v>
      </c>
      <c r="D304" t="inlineStr">
        <is>
          <t>DALARNAS LÄN</t>
        </is>
      </c>
      <c r="E304" t="inlineStr">
        <is>
          <t>HEDEMORA</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38947-2023</t>
        </is>
      </c>
      <c r="B305" s="1" t="n">
        <v>45163.61209490741</v>
      </c>
      <c r="C305" s="1" t="n">
        <v>46012</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38951-2023</t>
        </is>
      </c>
      <c r="B306" s="1" t="n">
        <v>45163.61413194444</v>
      </c>
      <c r="C306" s="1" t="n">
        <v>46012</v>
      </c>
      <c r="D306" t="inlineStr">
        <is>
          <t>DALARNAS LÄN</t>
        </is>
      </c>
      <c r="E306" t="inlineStr">
        <is>
          <t>HEDEMORA</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46012</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16413-2024</t>
        </is>
      </c>
      <c r="B308" s="1" t="n">
        <v>45407.64223379629</v>
      </c>
      <c r="C308" s="1" t="n">
        <v>46012</v>
      </c>
      <c r="D308" t="inlineStr">
        <is>
          <t>DALARNAS LÄN</t>
        </is>
      </c>
      <c r="E308" t="inlineStr">
        <is>
          <t>HEDEMORA</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19473-2024</t>
        </is>
      </c>
      <c r="B309" s="1" t="n">
        <v>45429</v>
      </c>
      <c r="C309" s="1" t="n">
        <v>46012</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41435-2023</t>
        </is>
      </c>
      <c r="B310" s="1" t="n">
        <v>45170</v>
      </c>
      <c r="C310" s="1" t="n">
        <v>46012</v>
      </c>
      <c r="D310" t="inlineStr">
        <is>
          <t>DALARNAS LÄN</t>
        </is>
      </c>
      <c r="E310" t="inlineStr">
        <is>
          <t>HEDEMORA</t>
        </is>
      </c>
      <c r="G310" t="n">
        <v>2.9</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46012</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29585-2024</t>
        </is>
      </c>
      <c r="B312" s="1" t="n">
        <v>45484.57728009259</v>
      </c>
      <c r="C312" s="1" t="n">
        <v>46012</v>
      </c>
      <c r="D312" t="inlineStr">
        <is>
          <t>DALARNAS LÄN</t>
        </is>
      </c>
      <c r="E312" t="inlineStr">
        <is>
          <t>HEDEMORA</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69624-2021</t>
        </is>
      </c>
      <c r="B313" s="1" t="n">
        <v>44532.41442129629</v>
      </c>
      <c r="C313" s="1" t="n">
        <v>46012</v>
      </c>
      <c r="D313" t="inlineStr">
        <is>
          <t>DALARNAS LÄN</t>
        </is>
      </c>
      <c r="E313" t="inlineStr">
        <is>
          <t>HEDEMORA</t>
        </is>
      </c>
      <c r="G313" t="n">
        <v>0.4</v>
      </c>
      <c r="H313" t="n">
        <v>0</v>
      </c>
      <c r="I313" t="n">
        <v>0</v>
      </c>
      <c r="J313" t="n">
        <v>0</v>
      </c>
      <c r="K313" t="n">
        <v>0</v>
      </c>
      <c r="L313" t="n">
        <v>0</v>
      </c>
      <c r="M313" t="n">
        <v>0</v>
      </c>
      <c r="N313" t="n">
        <v>0</v>
      </c>
      <c r="O313" t="n">
        <v>0</v>
      </c>
      <c r="P313" t="n">
        <v>0</v>
      </c>
      <c r="Q313" t="n">
        <v>0</v>
      </c>
      <c r="R313" s="2" t="inlineStr"/>
    </row>
    <row r="314" ht="15" customHeight="1">
      <c r="A314" t="inlineStr">
        <is>
          <t>A 63925-2023</t>
        </is>
      </c>
      <c r="B314" s="1" t="n">
        <v>45278</v>
      </c>
      <c r="C314" s="1" t="n">
        <v>46012</v>
      </c>
      <c r="D314" t="inlineStr">
        <is>
          <t>DALARNAS LÄN</t>
        </is>
      </c>
      <c r="E314" t="inlineStr">
        <is>
          <t>HEDEMORA</t>
        </is>
      </c>
      <c r="G314" t="n">
        <v>5.2</v>
      </c>
      <c r="H314" t="n">
        <v>0</v>
      </c>
      <c r="I314" t="n">
        <v>0</v>
      </c>
      <c r="J314" t="n">
        <v>0</v>
      </c>
      <c r="K314" t="n">
        <v>0</v>
      </c>
      <c r="L314" t="n">
        <v>0</v>
      </c>
      <c r="M314" t="n">
        <v>0</v>
      </c>
      <c r="N314" t="n">
        <v>0</v>
      </c>
      <c r="O314" t="n">
        <v>0</v>
      </c>
      <c r="P314" t="n">
        <v>0</v>
      </c>
      <c r="Q314" t="n">
        <v>0</v>
      </c>
      <c r="R314" s="2" t="inlineStr"/>
    </row>
    <row r="315" ht="15" customHeight="1">
      <c r="A315" t="inlineStr">
        <is>
          <t>A 6881-2024</t>
        </is>
      </c>
      <c r="B315" s="1" t="n">
        <v>45342.8779050926</v>
      </c>
      <c r="C315" s="1" t="n">
        <v>46012</v>
      </c>
      <c r="D315" t="inlineStr">
        <is>
          <t>DALARNAS LÄN</t>
        </is>
      </c>
      <c r="E315" t="inlineStr">
        <is>
          <t>HEDEMORA</t>
        </is>
      </c>
      <c r="G315" t="n">
        <v>2.5</v>
      </c>
      <c r="H315" t="n">
        <v>0</v>
      </c>
      <c r="I315" t="n">
        <v>0</v>
      </c>
      <c r="J315" t="n">
        <v>0</v>
      </c>
      <c r="K315" t="n">
        <v>0</v>
      </c>
      <c r="L315" t="n">
        <v>0</v>
      </c>
      <c r="M315" t="n">
        <v>0</v>
      </c>
      <c r="N315" t="n">
        <v>0</v>
      </c>
      <c r="O315" t="n">
        <v>0</v>
      </c>
      <c r="P315" t="n">
        <v>0</v>
      </c>
      <c r="Q315" t="n">
        <v>0</v>
      </c>
      <c r="R315" s="2" t="inlineStr"/>
    </row>
    <row r="316" ht="15" customHeight="1">
      <c r="A316" t="inlineStr">
        <is>
          <t>A 28813-2024</t>
        </is>
      </c>
      <c r="B316" s="1" t="n">
        <v>45478.641875</v>
      </c>
      <c r="C316" s="1" t="n">
        <v>46012</v>
      </c>
      <c r="D316" t="inlineStr">
        <is>
          <t>DALARNAS LÄN</t>
        </is>
      </c>
      <c r="E316" t="inlineStr">
        <is>
          <t>HEDEMORA</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19353-2024</t>
        </is>
      </c>
      <c r="B317" s="1" t="n">
        <v>45429.29666666667</v>
      </c>
      <c r="C317" s="1" t="n">
        <v>46012</v>
      </c>
      <c r="D317" t="inlineStr">
        <is>
          <t>DALARNAS LÄN</t>
        </is>
      </c>
      <c r="E317" t="inlineStr">
        <is>
          <t>HEDEMORA</t>
        </is>
      </c>
      <c r="F317" t="inlineStr">
        <is>
          <t>Sveaskog</t>
        </is>
      </c>
      <c r="G317" t="n">
        <v>16.3</v>
      </c>
      <c r="H317" t="n">
        <v>0</v>
      </c>
      <c r="I317" t="n">
        <v>0</v>
      </c>
      <c r="J317" t="n">
        <v>0</v>
      </c>
      <c r="K317" t="n">
        <v>0</v>
      </c>
      <c r="L317" t="n">
        <v>0</v>
      </c>
      <c r="M317" t="n">
        <v>0</v>
      </c>
      <c r="N317" t="n">
        <v>0</v>
      </c>
      <c r="O317" t="n">
        <v>0</v>
      </c>
      <c r="P317" t="n">
        <v>0</v>
      </c>
      <c r="Q317" t="n">
        <v>0</v>
      </c>
      <c r="R317" s="2" t="inlineStr"/>
    </row>
    <row r="318" ht="15" customHeight="1">
      <c r="A318" t="inlineStr">
        <is>
          <t>A 19988-2025</t>
        </is>
      </c>
      <c r="B318" s="1" t="n">
        <v>45771.72665509259</v>
      </c>
      <c r="C318" s="1" t="n">
        <v>46012</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52199-2021</t>
        </is>
      </c>
      <c r="B319" s="1" t="n">
        <v>44462</v>
      </c>
      <c r="C319" s="1" t="n">
        <v>46012</v>
      </c>
      <c r="D319" t="inlineStr">
        <is>
          <t>DALARNAS LÄN</t>
        </is>
      </c>
      <c r="E319" t="inlineStr">
        <is>
          <t>HEDEMORA</t>
        </is>
      </c>
      <c r="F319" t="inlineStr">
        <is>
          <t>Bergvik skog väst AB</t>
        </is>
      </c>
      <c r="G319" t="n">
        <v>4.4</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46012</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39530-2024</t>
        </is>
      </c>
      <c r="B321" s="1" t="n">
        <v>45551</v>
      </c>
      <c r="C321" s="1" t="n">
        <v>46012</v>
      </c>
      <c r="D321" t="inlineStr">
        <is>
          <t>DALARNAS LÄN</t>
        </is>
      </c>
      <c r="E321" t="inlineStr">
        <is>
          <t>HEDEMORA</t>
        </is>
      </c>
      <c r="F321" t="inlineStr">
        <is>
          <t>Bergvik skog väst AB</t>
        </is>
      </c>
      <c r="G321" t="n">
        <v>13.8</v>
      </c>
      <c r="H321" t="n">
        <v>0</v>
      </c>
      <c r="I321" t="n">
        <v>0</v>
      </c>
      <c r="J321" t="n">
        <v>0</v>
      </c>
      <c r="K321" t="n">
        <v>0</v>
      </c>
      <c r="L321" t="n">
        <v>0</v>
      </c>
      <c r="M321" t="n">
        <v>0</v>
      </c>
      <c r="N321" t="n">
        <v>0</v>
      </c>
      <c r="O321" t="n">
        <v>0</v>
      </c>
      <c r="P321" t="n">
        <v>0</v>
      </c>
      <c r="Q321" t="n">
        <v>0</v>
      </c>
      <c r="R321" s="2" t="inlineStr"/>
    </row>
    <row r="322" ht="15" customHeight="1">
      <c r="A322" t="inlineStr">
        <is>
          <t>A 39531-2024</t>
        </is>
      </c>
      <c r="B322" s="1" t="n">
        <v>45551</v>
      </c>
      <c r="C322" s="1" t="n">
        <v>46012</v>
      </c>
      <c r="D322" t="inlineStr">
        <is>
          <t>DALARNAS LÄN</t>
        </is>
      </c>
      <c r="E322" t="inlineStr">
        <is>
          <t>HEDEMORA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39552-2024</t>
        </is>
      </c>
      <c r="B323" s="1" t="n">
        <v>45551</v>
      </c>
      <c r="C323" s="1" t="n">
        <v>46012</v>
      </c>
      <c r="D323" t="inlineStr">
        <is>
          <t>DALARNAS LÄN</t>
        </is>
      </c>
      <c r="E323" t="inlineStr">
        <is>
          <t>HEDEMORA</t>
        </is>
      </c>
      <c r="F323" t="inlineStr">
        <is>
          <t>Bergvik skog väst AB</t>
        </is>
      </c>
      <c r="G323" t="n">
        <v>24.1</v>
      </c>
      <c r="H323" t="n">
        <v>0</v>
      </c>
      <c r="I323" t="n">
        <v>0</v>
      </c>
      <c r="J323" t="n">
        <v>0</v>
      </c>
      <c r="K323" t="n">
        <v>0</v>
      </c>
      <c r="L323" t="n">
        <v>0</v>
      </c>
      <c r="M323" t="n">
        <v>0</v>
      </c>
      <c r="N323" t="n">
        <v>0</v>
      </c>
      <c r="O323" t="n">
        <v>0</v>
      </c>
      <c r="P323" t="n">
        <v>0</v>
      </c>
      <c r="Q323" t="n">
        <v>0</v>
      </c>
      <c r="R323" s="2" t="inlineStr"/>
    </row>
    <row r="324" ht="15" customHeight="1">
      <c r="A324" t="inlineStr">
        <is>
          <t>A 48321-2024</t>
        </is>
      </c>
      <c r="B324" s="1" t="n">
        <v>45590.50111111111</v>
      </c>
      <c r="C324" s="1" t="n">
        <v>46012</v>
      </c>
      <c r="D324" t="inlineStr">
        <is>
          <t>DALARNAS LÄN</t>
        </is>
      </c>
      <c r="E324" t="inlineStr">
        <is>
          <t>HEDEMORA</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15635-2022</t>
        </is>
      </c>
      <c r="B325" s="1" t="n">
        <v>44662.84958333334</v>
      </c>
      <c r="C325" s="1" t="n">
        <v>46012</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7916-2024</t>
        </is>
      </c>
      <c r="B326" s="1" t="n">
        <v>45350.46259259259</v>
      </c>
      <c r="C326" s="1" t="n">
        <v>46012</v>
      </c>
      <c r="D326" t="inlineStr">
        <is>
          <t>DALARNAS LÄN</t>
        </is>
      </c>
      <c r="E326" t="inlineStr">
        <is>
          <t>HEDEMORA</t>
        </is>
      </c>
      <c r="G326" t="n">
        <v>5.8</v>
      </c>
      <c r="H326" t="n">
        <v>0</v>
      </c>
      <c r="I326" t="n">
        <v>0</v>
      </c>
      <c r="J326" t="n">
        <v>0</v>
      </c>
      <c r="K326" t="n">
        <v>0</v>
      </c>
      <c r="L326" t="n">
        <v>0</v>
      </c>
      <c r="M326" t="n">
        <v>0</v>
      </c>
      <c r="N326" t="n">
        <v>0</v>
      </c>
      <c r="O326" t="n">
        <v>0</v>
      </c>
      <c r="P326" t="n">
        <v>0</v>
      </c>
      <c r="Q326" t="n">
        <v>0</v>
      </c>
      <c r="R326" s="2" t="inlineStr"/>
    </row>
    <row r="327" ht="15" customHeight="1">
      <c r="A327" t="inlineStr">
        <is>
          <t>A 52944-2024</t>
        </is>
      </c>
      <c r="B327" s="1" t="n">
        <v>45610.82546296297</v>
      </c>
      <c r="C327" s="1" t="n">
        <v>46012</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14456-2021</t>
        </is>
      </c>
      <c r="B328" s="1" t="n">
        <v>44279.50208333333</v>
      </c>
      <c r="C328" s="1" t="n">
        <v>46012</v>
      </c>
      <c r="D328" t="inlineStr">
        <is>
          <t>DALARNAS LÄN</t>
        </is>
      </c>
      <c r="E328" t="inlineStr">
        <is>
          <t>HEDEMORA</t>
        </is>
      </c>
      <c r="G328" t="n">
        <v>1.2</v>
      </c>
      <c r="H328" t="n">
        <v>0</v>
      </c>
      <c r="I328" t="n">
        <v>0</v>
      </c>
      <c r="J328" t="n">
        <v>0</v>
      </c>
      <c r="K328" t="n">
        <v>0</v>
      </c>
      <c r="L328" t="n">
        <v>0</v>
      </c>
      <c r="M328" t="n">
        <v>0</v>
      </c>
      <c r="N328" t="n">
        <v>0</v>
      </c>
      <c r="O328" t="n">
        <v>0</v>
      </c>
      <c r="P328" t="n">
        <v>0</v>
      </c>
      <c r="Q328" t="n">
        <v>0</v>
      </c>
      <c r="R328" s="2" t="inlineStr"/>
    </row>
    <row r="329" ht="15" customHeight="1">
      <c r="A329" t="inlineStr">
        <is>
          <t>A 12133-2025</t>
        </is>
      </c>
      <c r="B329" s="1" t="n">
        <v>45729.38878472222</v>
      </c>
      <c r="C329" s="1" t="n">
        <v>46012</v>
      </c>
      <c r="D329" t="inlineStr">
        <is>
          <t>DALARNAS LÄN</t>
        </is>
      </c>
      <c r="E329" t="inlineStr">
        <is>
          <t>HEDEMORA</t>
        </is>
      </c>
      <c r="G329" t="n">
        <v>4.8</v>
      </c>
      <c r="H329" t="n">
        <v>0</v>
      </c>
      <c r="I329" t="n">
        <v>0</v>
      </c>
      <c r="J329" t="n">
        <v>0</v>
      </c>
      <c r="K329" t="n">
        <v>0</v>
      </c>
      <c r="L329" t="n">
        <v>0</v>
      </c>
      <c r="M329" t="n">
        <v>0</v>
      </c>
      <c r="N329" t="n">
        <v>0</v>
      </c>
      <c r="O329" t="n">
        <v>0</v>
      </c>
      <c r="P329" t="n">
        <v>0</v>
      </c>
      <c r="Q329" t="n">
        <v>0</v>
      </c>
      <c r="R329" s="2" t="inlineStr"/>
    </row>
    <row r="330" ht="15" customHeight="1">
      <c r="A330" t="inlineStr">
        <is>
          <t>A 7052-2025</t>
        </is>
      </c>
      <c r="B330" s="1" t="n">
        <v>45701.64659722222</v>
      </c>
      <c r="C330" s="1" t="n">
        <v>46012</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41642-2023</t>
        </is>
      </c>
      <c r="B331" s="1" t="n">
        <v>45175</v>
      </c>
      <c r="C331" s="1" t="n">
        <v>46012</v>
      </c>
      <c r="D331" t="inlineStr">
        <is>
          <t>DALARNAS LÄN</t>
        </is>
      </c>
      <c r="E331" t="inlineStr">
        <is>
          <t>HEDEMORA</t>
        </is>
      </c>
      <c r="G331" t="n">
        <v>2.8</v>
      </c>
      <c r="H331" t="n">
        <v>0</v>
      </c>
      <c r="I331" t="n">
        <v>0</v>
      </c>
      <c r="J331" t="n">
        <v>0</v>
      </c>
      <c r="K331" t="n">
        <v>0</v>
      </c>
      <c r="L331" t="n">
        <v>0</v>
      </c>
      <c r="M331" t="n">
        <v>0</v>
      </c>
      <c r="N331" t="n">
        <v>0</v>
      </c>
      <c r="O331" t="n">
        <v>0</v>
      </c>
      <c r="P331" t="n">
        <v>0</v>
      </c>
      <c r="Q331" t="n">
        <v>0</v>
      </c>
      <c r="R331" s="2" t="inlineStr"/>
    </row>
    <row r="332" ht="15" customHeight="1">
      <c r="A332" t="inlineStr">
        <is>
          <t>A 17645-2022</t>
        </is>
      </c>
      <c r="B332" s="1" t="n">
        <v>44680.47903935185</v>
      </c>
      <c r="C332" s="1" t="n">
        <v>46012</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17222-2025</t>
        </is>
      </c>
      <c r="B333" s="1" t="n">
        <v>45756.45504629629</v>
      </c>
      <c r="C333" s="1" t="n">
        <v>46012</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59232-2023</t>
        </is>
      </c>
      <c r="B334" s="1" t="n">
        <v>45253.5053587963</v>
      </c>
      <c r="C334" s="1" t="n">
        <v>46012</v>
      </c>
      <c r="D334" t="inlineStr">
        <is>
          <t>DALARNAS LÄN</t>
        </is>
      </c>
      <c r="E334" t="inlineStr">
        <is>
          <t>HEDEMORA</t>
        </is>
      </c>
      <c r="G334" t="n">
        <v>3.7</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46012</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46012</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3089-2024</t>
        </is>
      </c>
      <c r="B337" s="1" t="n">
        <v>45316</v>
      </c>
      <c r="C337" s="1" t="n">
        <v>46012</v>
      </c>
      <c r="D337" t="inlineStr">
        <is>
          <t>DALARNAS LÄN</t>
        </is>
      </c>
      <c r="E337" t="inlineStr">
        <is>
          <t>HEDEMORA</t>
        </is>
      </c>
      <c r="G337" t="n">
        <v>5.5</v>
      </c>
      <c r="H337" t="n">
        <v>0</v>
      </c>
      <c r="I337" t="n">
        <v>0</v>
      </c>
      <c r="J337" t="n">
        <v>0</v>
      </c>
      <c r="K337" t="n">
        <v>0</v>
      </c>
      <c r="L337" t="n">
        <v>0</v>
      </c>
      <c r="M337" t="n">
        <v>0</v>
      </c>
      <c r="N337" t="n">
        <v>0</v>
      </c>
      <c r="O337" t="n">
        <v>0</v>
      </c>
      <c r="P337" t="n">
        <v>0</v>
      </c>
      <c r="Q337" t="n">
        <v>0</v>
      </c>
      <c r="R337" s="2" t="inlineStr"/>
    </row>
    <row r="338" ht="15" customHeight="1">
      <c r="A338" t="inlineStr">
        <is>
          <t>A 62386-2023</t>
        </is>
      </c>
      <c r="B338" s="1" t="n">
        <v>45268</v>
      </c>
      <c r="C338" s="1" t="n">
        <v>46012</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60786-2023</t>
        </is>
      </c>
      <c r="B339" s="1" t="n">
        <v>45260.64891203704</v>
      </c>
      <c r="C339" s="1" t="n">
        <v>46012</v>
      </c>
      <c r="D339" t="inlineStr">
        <is>
          <t>DALARNAS LÄN</t>
        </is>
      </c>
      <c r="E339" t="inlineStr">
        <is>
          <t>HEDEMORA</t>
        </is>
      </c>
      <c r="G339" t="n">
        <v>7.1</v>
      </c>
      <c r="H339" t="n">
        <v>0</v>
      </c>
      <c r="I339" t="n">
        <v>0</v>
      </c>
      <c r="J339" t="n">
        <v>0</v>
      </c>
      <c r="K339" t="n">
        <v>0</v>
      </c>
      <c r="L339" t="n">
        <v>0</v>
      </c>
      <c r="M339" t="n">
        <v>0</v>
      </c>
      <c r="N339" t="n">
        <v>0</v>
      </c>
      <c r="O339" t="n">
        <v>0</v>
      </c>
      <c r="P339" t="n">
        <v>0</v>
      </c>
      <c r="Q339" t="n">
        <v>0</v>
      </c>
      <c r="R339" s="2" t="inlineStr"/>
    </row>
    <row r="340" ht="15" customHeight="1">
      <c r="A340" t="inlineStr">
        <is>
          <t>A 17594-2025</t>
        </is>
      </c>
      <c r="B340" s="1" t="n">
        <v>45757</v>
      </c>
      <c r="C340" s="1" t="n">
        <v>46012</v>
      </c>
      <c r="D340" t="inlineStr">
        <is>
          <t>DALARNAS LÄN</t>
        </is>
      </c>
      <c r="E340" t="inlineStr">
        <is>
          <t>HEDEMORA</t>
        </is>
      </c>
      <c r="G340" t="n">
        <v>0.6</v>
      </c>
      <c r="H340" t="n">
        <v>0</v>
      </c>
      <c r="I340" t="n">
        <v>0</v>
      </c>
      <c r="J340" t="n">
        <v>0</v>
      </c>
      <c r="K340" t="n">
        <v>0</v>
      </c>
      <c r="L340" t="n">
        <v>0</v>
      </c>
      <c r="M340" t="n">
        <v>0</v>
      </c>
      <c r="N340" t="n">
        <v>0</v>
      </c>
      <c r="O340" t="n">
        <v>0</v>
      </c>
      <c r="P340" t="n">
        <v>0</v>
      </c>
      <c r="Q340" t="n">
        <v>0</v>
      </c>
      <c r="R340" s="2" t="inlineStr"/>
    </row>
    <row r="341" ht="15" customHeight="1">
      <c r="A341" t="inlineStr">
        <is>
          <t>A 62188-2023</t>
        </is>
      </c>
      <c r="B341" s="1" t="n">
        <v>45267</v>
      </c>
      <c r="C341" s="1" t="n">
        <v>46012</v>
      </c>
      <c r="D341" t="inlineStr">
        <is>
          <t>DALARNAS LÄN</t>
        </is>
      </c>
      <c r="E341" t="inlineStr">
        <is>
          <t>HEDEMORA</t>
        </is>
      </c>
      <c r="G341" t="n">
        <v>2.1</v>
      </c>
      <c r="H341" t="n">
        <v>0</v>
      </c>
      <c r="I341" t="n">
        <v>0</v>
      </c>
      <c r="J341" t="n">
        <v>0</v>
      </c>
      <c r="K341" t="n">
        <v>0</v>
      </c>
      <c r="L341" t="n">
        <v>0</v>
      </c>
      <c r="M341" t="n">
        <v>0</v>
      </c>
      <c r="N341" t="n">
        <v>0</v>
      </c>
      <c r="O341" t="n">
        <v>0</v>
      </c>
      <c r="P341" t="n">
        <v>0</v>
      </c>
      <c r="Q341" t="n">
        <v>0</v>
      </c>
      <c r="R341" s="2" t="inlineStr"/>
    </row>
    <row r="342" ht="15" customHeight="1">
      <c r="A342" t="inlineStr">
        <is>
          <t>A 60408-2021</t>
        </is>
      </c>
      <c r="B342" s="1" t="n">
        <v>44495</v>
      </c>
      <c r="C342" s="1" t="n">
        <v>46012</v>
      </c>
      <c r="D342" t="inlineStr">
        <is>
          <t>DALARNAS LÄN</t>
        </is>
      </c>
      <c r="E342" t="inlineStr">
        <is>
          <t>HEDEMORA</t>
        </is>
      </c>
      <c r="G342" t="n">
        <v>0.7</v>
      </c>
      <c r="H342" t="n">
        <v>0</v>
      </c>
      <c r="I342" t="n">
        <v>0</v>
      </c>
      <c r="J342" t="n">
        <v>0</v>
      </c>
      <c r="K342" t="n">
        <v>0</v>
      </c>
      <c r="L342" t="n">
        <v>0</v>
      </c>
      <c r="M342" t="n">
        <v>0</v>
      </c>
      <c r="N342" t="n">
        <v>0</v>
      </c>
      <c r="O342" t="n">
        <v>0</v>
      </c>
      <c r="P342" t="n">
        <v>0</v>
      </c>
      <c r="Q342" t="n">
        <v>0</v>
      </c>
      <c r="R342" s="2" t="inlineStr"/>
    </row>
    <row r="343" ht="15" customHeight="1">
      <c r="A343" t="inlineStr">
        <is>
          <t>A 62401-2023</t>
        </is>
      </c>
      <c r="B343" s="1" t="n">
        <v>45268</v>
      </c>
      <c r="C343" s="1" t="n">
        <v>46012</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row>
    <row r="344" ht="15" customHeight="1">
      <c r="A344" t="inlineStr">
        <is>
          <t>A 18572-2025</t>
        </is>
      </c>
      <c r="B344" s="1" t="n">
        <v>45763</v>
      </c>
      <c r="C344" s="1" t="n">
        <v>46012</v>
      </c>
      <c r="D344" t="inlineStr">
        <is>
          <t>DALARNAS LÄN</t>
        </is>
      </c>
      <c r="E344" t="inlineStr">
        <is>
          <t>HEDEMORA</t>
        </is>
      </c>
      <c r="G344" t="n">
        <v>0.9</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46012</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46012</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26452-2024</t>
        </is>
      </c>
      <c r="B347" s="1" t="n">
        <v>45469.51145833333</v>
      </c>
      <c r="C347" s="1" t="n">
        <v>46012</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40919-2023</t>
        </is>
      </c>
      <c r="B348" s="1" t="n">
        <v>45173.42707175926</v>
      </c>
      <c r="C348" s="1" t="n">
        <v>46012</v>
      </c>
      <c r="D348" t="inlineStr">
        <is>
          <t>DALARNAS LÄN</t>
        </is>
      </c>
      <c r="E348" t="inlineStr">
        <is>
          <t>HEDEMORA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25643-2024</t>
        </is>
      </c>
      <c r="B349" s="1" t="n">
        <v>45463.66436342592</v>
      </c>
      <c r="C349" s="1" t="n">
        <v>46012</v>
      </c>
      <c r="D349" t="inlineStr">
        <is>
          <t>DALARNAS LÄN</t>
        </is>
      </c>
      <c r="E349" t="inlineStr">
        <is>
          <t>HEDEMORA</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20666-2024</t>
        </is>
      </c>
      <c r="B350" s="1" t="n">
        <v>45436</v>
      </c>
      <c r="C350" s="1" t="n">
        <v>46012</v>
      </c>
      <c r="D350" t="inlineStr">
        <is>
          <t>DALARNAS LÄN</t>
        </is>
      </c>
      <c r="E350" t="inlineStr">
        <is>
          <t>HEDEMORA</t>
        </is>
      </c>
      <c r="G350" t="n">
        <v>5.1</v>
      </c>
      <c r="H350" t="n">
        <v>0</v>
      </c>
      <c r="I350" t="n">
        <v>0</v>
      </c>
      <c r="J350" t="n">
        <v>0</v>
      </c>
      <c r="K350" t="n">
        <v>0</v>
      </c>
      <c r="L350" t="n">
        <v>0</v>
      </c>
      <c r="M350" t="n">
        <v>0</v>
      </c>
      <c r="N350" t="n">
        <v>0</v>
      </c>
      <c r="O350" t="n">
        <v>0</v>
      </c>
      <c r="P350" t="n">
        <v>0</v>
      </c>
      <c r="Q350" t="n">
        <v>0</v>
      </c>
      <c r="R350" s="2" t="inlineStr"/>
    </row>
    <row r="351" ht="15" customHeight="1">
      <c r="A351" t="inlineStr">
        <is>
          <t>A 1917-2022</t>
        </is>
      </c>
      <c r="B351" s="1" t="n">
        <v>44574</v>
      </c>
      <c r="C351" s="1" t="n">
        <v>46012</v>
      </c>
      <c r="D351" t="inlineStr">
        <is>
          <t>DALARNAS LÄN</t>
        </is>
      </c>
      <c r="E351" t="inlineStr">
        <is>
          <t>HEDEMORA</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1973-2022</t>
        </is>
      </c>
      <c r="B352" s="1" t="n">
        <v>44575</v>
      </c>
      <c r="C352" s="1" t="n">
        <v>46012</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49636-2021</t>
        </is>
      </c>
      <c r="B353" s="1" t="n">
        <v>44455</v>
      </c>
      <c r="C353" s="1" t="n">
        <v>46012</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60475-2022</t>
        </is>
      </c>
      <c r="B354" s="1" t="n">
        <v>44911.41222222222</v>
      </c>
      <c r="C354" s="1" t="n">
        <v>46012</v>
      </c>
      <c r="D354" t="inlineStr">
        <is>
          <t>DALARNAS LÄN</t>
        </is>
      </c>
      <c r="E354" t="inlineStr">
        <is>
          <t>HEDEMORA</t>
        </is>
      </c>
      <c r="G354" t="n">
        <v>1</v>
      </c>
      <c r="H354" t="n">
        <v>0</v>
      </c>
      <c r="I354" t="n">
        <v>0</v>
      </c>
      <c r="J354" t="n">
        <v>0</v>
      </c>
      <c r="K354" t="n">
        <v>0</v>
      </c>
      <c r="L354" t="n">
        <v>0</v>
      </c>
      <c r="M354" t="n">
        <v>0</v>
      </c>
      <c r="N354" t="n">
        <v>0</v>
      </c>
      <c r="O354" t="n">
        <v>0</v>
      </c>
      <c r="P354" t="n">
        <v>0</v>
      </c>
      <c r="Q354" t="n">
        <v>0</v>
      </c>
      <c r="R354" s="2" t="inlineStr"/>
    </row>
    <row r="355" ht="15" customHeight="1">
      <c r="A355" t="inlineStr">
        <is>
          <t>A 30205-2022</t>
        </is>
      </c>
      <c r="B355" s="1" t="n">
        <v>44757.74415509259</v>
      </c>
      <c r="C355" s="1" t="n">
        <v>46012</v>
      </c>
      <c r="D355" t="inlineStr">
        <is>
          <t>DALARNAS LÄN</t>
        </is>
      </c>
      <c r="E355" t="inlineStr">
        <is>
          <t>HEDEMORA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54310-2021</t>
        </is>
      </c>
      <c r="B356" s="1" t="n">
        <v>44472.54035879629</v>
      </c>
      <c r="C356" s="1" t="n">
        <v>46012</v>
      </c>
      <c r="D356" t="inlineStr">
        <is>
          <t>DALARNAS LÄN</t>
        </is>
      </c>
      <c r="E356" t="inlineStr">
        <is>
          <t>HEDEMORA</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26449-2024</t>
        </is>
      </c>
      <c r="B357" s="1" t="n">
        <v>45469.50783564815</v>
      </c>
      <c r="C357" s="1" t="n">
        <v>46012</v>
      </c>
      <c r="D357" t="inlineStr">
        <is>
          <t>DALARNAS LÄN</t>
        </is>
      </c>
      <c r="E357" t="inlineStr">
        <is>
          <t>HEDEMORA</t>
        </is>
      </c>
      <c r="G357" t="n">
        <v>4.5</v>
      </c>
      <c r="H357" t="n">
        <v>0</v>
      </c>
      <c r="I357" t="n">
        <v>0</v>
      </c>
      <c r="J357" t="n">
        <v>0</v>
      </c>
      <c r="K357" t="n">
        <v>0</v>
      </c>
      <c r="L357" t="n">
        <v>0</v>
      </c>
      <c r="M357" t="n">
        <v>0</v>
      </c>
      <c r="N357" t="n">
        <v>0</v>
      </c>
      <c r="O357" t="n">
        <v>0</v>
      </c>
      <c r="P357" t="n">
        <v>0</v>
      </c>
      <c r="Q357" t="n">
        <v>0</v>
      </c>
      <c r="R357" s="2" t="inlineStr"/>
    </row>
    <row r="358" ht="15" customHeight="1">
      <c r="A358" t="inlineStr">
        <is>
          <t>A 25155-2023</t>
        </is>
      </c>
      <c r="B358" s="1" t="n">
        <v>45086</v>
      </c>
      <c r="C358" s="1" t="n">
        <v>46012</v>
      </c>
      <c r="D358" t="inlineStr">
        <is>
          <t>DALARNAS LÄN</t>
        </is>
      </c>
      <c r="E358" t="inlineStr">
        <is>
          <t>HEDEMORA</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25150-2023</t>
        </is>
      </c>
      <c r="B359" s="1" t="n">
        <v>45086</v>
      </c>
      <c r="C359" s="1" t="n">
        <v>46012</v>
      </c>
      <c r="D359" t="inlineStr">
        <is>
          <t>DALARNAS LÄN</t>
        </is>
      </c>
      <c r="E359" t="inlineStr">
        <is>
          <t>HEDEMORA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41523-2023</t>
        </is>
      </c>
      <c r="B360" s="1" t="n">
        <v>45172</v>
      </c>
      <c r="C360" s="1" t="n">
        <v>46012</v>
      </c>
      <c r="D360" t="inlineStr">
        <is>
          <t>DALARNAS LÄN</t>
        </is>
      </c>
      <c r="E360" t="inlineStr">
        <is>
          <t>HEDEMORA</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30939-2023</t>
        </is>
      </c>
      <c r="B361" s="1" t="n">
        <v>45113.45597222223</v>
      </c>
      <c r="C361" s="1" t="n">
        <v>46012</v>
      </c>
      <c r="D361" t="inlineStr">
        <is>
          <t>DALARNAS LÄN</t>
        </is>
      </c>
      <c r="E361" t="inlineStr">
        <is>
          <t>HEDEMORA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44909.58811342593</v>
      </c>
      <c r="C362" s="1" t="n">
        <v>46012</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53568-2023</t>
        </is>
      </c>
      <c r="B363" s="1" t="n">
        <v>45230.49392361111</v>
      </c>
      <c r="C363" s="1" t="n">
        <v>46012</v>
      </c>
      <c r="D363" t="inlineStr">
        <is>
          <t>DALARNAS LÄN</t>
        </is>
      </c>
      <c r="E363" t="inlineStr">
        <is>
          <t>HEDEMORA</t>
        </is>
      </c>
      <c r="G363" t="n">
        <v>1.2</v>
      </c>
      <c r="H363" t="n">
        <v>0</v>
      </c>
      <c r="I363" t="n">
        <v>0</v>
      </c>
      <c r="J363" t="n">
        <v>0</v>
      </c>
      <c r="K363" t="n">
        <v>0</v>
      </c>
      <c r="L363" t="n">
        <v>0</v>
      </c>
      <c r="M363" t="n">
        <v>0</v>
      </c>
      <c r="N363" t="n">
        <v>0</v>
      </c>
      <c r="O363" t="n">
        <v>0</v>
      </c>
      <c r="P363" t="n">
        <v>0</v>
      </c>
      <c r="Q363" t="n">
        <v>0</v>
      </c>
      <c r="R363" s="2" t="inlineStr"/>
    </row>
    <row r="364" ht="15" customHeight="1">
      <c r="A364" t="inlineStr">
        <is>
          <t>A 29303-2023</t>
        </is>
      </c>
      <c r="B364" s="1" t="n">
        <v>45105</v>
      </c>
      <c r="C364" s="1" t="n">
        <v>46012</v>
      </c>
      <c r="D364" t="inlineStr">
        <is>
          <t>DALARNAS LÄN</t>
        </is>
      </c>
      <c r="E364" t="inlineStr">
        <is>
          <t>HEDEMORA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49904-2021</t>
        </is>
      </c>
      <c r="B365" s="1" t="n">
        <v>44455.77041666667</v>
      </c>
      <c r="C365" s="1" t="n">
        <v>46012</v>
      </c>
      <c r="D365" t="inlineStr">
        <is>
          <t>DALARNAS LÄN</t>
        </is>
      </c>
      <c r="E365" t="inlineStr">
        <is>
          <t>HEDEMORA</t>
        </is>
      </c>
      <c r="F365" t="inlineStr">
        <is>
          <t>Sveaskog</t>
        </is>
      </c>
      <c r="G365" t="n">
        <v>7.1</v>
      </c>
      <c r="H365" t="n">
        <v>0</v>
      </c>
      <c r="I365" t="n">
        <v>0</v>
      </c>
      <c r="J365" t="n">
        <v>0</v>
      </c>
      <c r="K365" t="n">
        <v>0</v>
      </c>
      <c r="L365" t="n">
        <v>0</v>
      </c>
      <c r="M365" t="n">
        <v>0</v>
      </c>
      <c r="N365" t="n">
        <v>0</v>
      </c>
      <c r="O365" t="n">
        <v>0</v>
      </c>
      <c r="P365" t="n">
        <v>0</v>
      </c>
      <c r="Q365" t="n">
        <v>0</v>
      </c>
      <c r="R365" s="2" t="inlineStr"/>
    </row>
    <row r="366" ht="15" customHeight="1">
      <c r="A366" t="inlineStr">
        <is>
          <t>A 46217-2023</t>
        </is>
      </c>
      <c r="B366" s="1" t="n">
        <v>45190</v>
      </c>
      <c r="C366" s="1" t="n">
        <v>46012</v>
      </c>
      <c r="D366" t="inlineStr">
        <is>
          <t>DALARNAS LÄN</t>
        </is>
      </c>
      <c r="E366" t="inlineStr">
        <is>
          <t>HEDEMORA</t>
        </is>
      </c>
      <c r="F366" t="inlineStr">
        <is>
          <t>Bergvik skog väst AB</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5766-2025</t>
        </is>
      </c>
      <c r="B367" s="1" t="n">
        <v>45694.57893518519</v>
      </c>
      <c r="C367" s="1" t="n">
        <v>46012</v>
      </c>
      <c r="D367" t="inlineStr">
        <is>
          <t>DALARNAS LÄN</t>
        </is>
      </c>
      <c r="E367" t="inlineStr">
        <is>
          <t>HEDEMORA</t>
        </is>
      </c>
      <c r="G367" t="n">
        <v>4.9</v>
      </c>
      <c r="H367" t="n">
        <v>0</v>
      </c>
      <c r="I367" t="n">
        <v>0</v>
      </c>
      <c r="J367" t="n">
        <v>0</v>
      </c>
      <c r="K367" t="n">
        <v>0</v>
      </c>
      <c r="L367" t="n">
        <v>0</v>
      </c>
      <c r="M367" t="n">
        <v>0</v>
      </c>
      <c r="N367" t="n">
        <v>0</v>
      </c>
      <c r="O367" t="n">
        <v>0</v>
      </c>
      <c r="P367" t="n">
        <v>0</v>
      </c>
      <c r="Q367" t="n">
        <v>0</v>
      </c>
      <c r="R367" s="2" t="inlineStr"/>
    </row>
    <row r="368" ht="15" customHeight="1">
      <c r="A368" t="inlineStr">
        <is>
          <t>A 25691-2022</t>
        </is>
      </c>
      <c r="B368" s="1" t="n">
        <v>44733</v>
      </c>
      <c r="C368" s="1" t="n">
        <v>46012</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46012</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53584-2023</t>
        </is>
      </c>
      <c r="B370" s="1" t="n">
        <v>45230</v>
      </c>
      <c r="C370" s="1" t="n">
        <v>46012</v>
      </c>
      <c r="D370" t="inlineStr">
        <is>
          <t>DALARNAS LÄN</t>
        </is>
      </c>
      <c r="E370" t="inlineStr">
        <is>
          <t>HEDEMORA</t>
        </is>
      </c>
      <c r="G370" t="n">
        <v>6.6</v>
      </c>
      <c r="H370" t="n">
        <v>0</v>
      </c>
      <c r="I370" t="n">
        <v>0</v>
      </c>
      <c r="J370" t="n">
        <v>0</v>
      </c>
      <c r="K370" t="n">
        <v>0</v>
      </c>
      <c r="L370" t="n">
        <v>0</v>
      </c>
      <c r="M370" t="n">
        <v>0</v>
      </c>
      <c r="N370" t="n">
        <v>0</v>
      </c>
      <c r="O370" t="n">
        <v>0</v>
      </c>
      <c r="P370" t="n">
        <v>0</v>
      </c>
      <c r="Q370" t="n">
        <v>0</v>
      </c>
      <c r="R370" s="2" t="inlineStr"/>
    </row>
    <row r="371" ht="15" customHeight="1">
      <c r="A371" t="inlineStr">
        <is>
          <t>A 20272-2025</t>
        </is>
      </c>
      <c r="B371" s="1" t="n">
        <v>45773.71663194444</v>
      </c>
      <c r="C371" s="1" t="n">
        <v>46012</v>
      </c>
      <c r="D371" t="inlineStr">
        <is>
          <t>DALARNAS LÄN</t>
        </is>
      </c>
      <c r="E371" t="inlineStr">
        <is>
          <t>HEDEMORA</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18579-2025</t>
        </is>
      </c>
      <c r="B372" s="1" t="n">
        <v>45763</v>
      </c>
      <c r="C372" s="1" t="n">
        <v>46012</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46825-2024</t>
        </is>
      </c>
      <c r="B373" s="1" t="n">
        <v>45583.58040509259</v>
      </c>
      <c r="C373" s="1" t="n">
        <v>46012</v>
      </c>
      <c r="D373" t="inlineStr">
        <is>
          <t>DALARNAS LÄN</t>
        </is>
      </c>
      <c r="E373" t="inlineStr">
        <is>
          <t>HEDEMORA</t>
        </is>
      </c>
      <c r="G373" t="n">
        <v>1.1</v>
      </c>
      <c r="H373" t="n">
        <v>0</v>
      </c>
      <c r="I373" t="n">
        <v>0</v>
      </c>
      <c r="J373" t="n">
        <v>0</v>
      </c>
      <c r="K373" t="n">
        <v>0</v>
      </c>
      <c r="L373" t="n">
        <v>0</v>
      </c>
      <c r="M373" t="n">
        <v>0</v>
      </c>
      <c r="N373" t="n">
        <v>0</v>
      </c>
      <c r="O373" t="n">
        <v>0</v>
      </c>
      <c r="P373" t="n">
        <v>0</v>
      </c>
      <c r="Q373" t="n">
        <v>0</v>
      </c>
      <c r="R373" s="2" t="inlineStr"/>
    </row>
    <row r="374" ht="15" customHeight="1">
      <c r="A374" t="inlineStr">
        <is>
          <t>A 52942-2024</t>
        </is>
      </c>
      <c r="B374" s="1" t="n">
        <v>45610.8215625</v>
      </c>
      <c r="C374" s="1" t="n">
        <v>46012</v>
      </c>
      <c r="D374" t="inlineStr">
        <is>
          <t>DALARNAS LÄN</t>
        </is>
      </c>
      <c r="E374" t="inlineStr">
        <is>
          <t>HEDEMORA</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26612-2021</t>
        </is>
      </c>
      <c r="B375" s="1" t="n">
        <v>44348.64942129629</v>
      </c>
      <c r="C375" s="1" t="n">
        <v>46012</v>
      </c>
      <c r="D375" t="inlineStr">
        <is>
          <t>DALARNAS LÄN</t>
        </is>
      </c>
      <c r="E375" t="inlineStr">
        <is>
          <t>HEDEMORA</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22273-2023</t>
        </is>
      </c>
      <c r="B376" s="1" t="n">
        <v>45070</v>
      </c>
      <c r="C376" s="1" t="n">
        <v>46012</v>
      </c>
      <c r="D376" t="inlineStr">
        <is>
          <t>DALARNAS LÄN</t>
        </is>
      </c>
      <c r="E376" t="inlineStr">
        <is>
          <t>HEDEMORA</t>
        </is>
      </c>
      <c r="G376" t="n">
        <v>1.3</v>
      </c>
      <c r="H376" t="n">
        <v>0</v>
      </c>
      <c r="I376" t="n">
        <v>0</v>
      </c>
      <c r="J376" t="n">
        <v>0</v>
      </c>
      <c r="K376" t="n">
        <v>0</v>
      </c>
      <c r="L376" t="n">
        <v>0</v>
      </c>
      <c r="M376" t="n">
        <v>0</v>
      </c>
      <c r="N376" t="n">
        <v>0</v>
      </c>
      <c r="O376" t="n">
        <v>0</v>
      </c>
      <c r="P376" t="n">
        <v>0</v>
      </c>
      <c r="Q376" t="n">
        <v>0</v>
      </c>
      <c r="R376" s="2" t="inlineStr"/>
    </row>
    <row r="377" ht="15" customHeight="1">
      <c r="A377" t="inlineStr">
        <is>
          <t>A 24427-2022</t>
        </is>
      </c>
      <c r="B377" s="1" t="n">
        <v>44726</v>
      </c>
      <c r="C377" s="1" t="n">
        <v>46012</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40801-2024</t>
        </is>
      </c>
      <c r="B378" s="1" t="n">
        <v>45558.52905092593</v>
      </c>
      <c r="C378" s="1" t="n">
        <v>46012</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29591-2024</t>
        </is>
      </c>
      <c r="B379" s="1" t="n">
        <v>45484.58222222222</v>
      </c>
      <c r="C379" s="1" t="n">
        <v>46012</v>
      </c>
      <c r="D379" t="inlineStr">
        <is>
          <t>DALARNAS LÄN</t>
        </is>
      </c>
      <c r="E379" t="inlineStr">
        <is>
          <t>HEDEMORA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53588-2023</t>
        </is>
      </c>
      <c r="B380" s="1" t="n">
        <v>45230.53109953704</v>
      </c>
      <c r="C380" s="1" t="n">
        <v>46012</v>
      </c>
      <c r="D380" t="inlineStr">
        <is>
          <t>DALARNAS LÄN</t>
        </is>
      </c>
      <c r="E380" t="inlineStr">
        <is>
          <t>HEDEMORA</t>
        </is>
      </c>
      <c r="G380" t="n">
        <v>0.6</v>
      </c>
      <c r="H380" t="n">
        <v>0</v>
      </c>
      <c r="I380" t="n">
        <v>0</v>
      </c>
      <c r="J380" t="n">
        <v>0</v>
      </c>
      <c r="K380" t="n">
        <v>0</v>
      </c>
      <c r="L380" t="n">
        <v>0</v>
      </c>
      <c r="M380" t="n">
        <v>0</v>
      </c>
      <c r="N380" t="n">
        <v>0</v>
      </c>
      <c r="O380" t="n">
        <v>0</v>
      </c>
      <c r="P380" t="n">
        <v>0</v>
      </c>
      <c r="Q380" t="n">
        <v>0</v>
      </c>
      <c r="R380" s="2" t="inlineStr"/>
    </row>
    <row r="381" ht="15" customHeight="1">
      <c r="A381" t="inlineStr">
        <is>
          <t>A 60808-2024</t>
        </is>
      </c>
      <c r="B381" s="1" t="n">
        <v>45644.61251157407</v>
      </c>
      <c r="C381" s="1" t="n">
        <v>46012</v>
      </c>
      <c r="D381" t="inlineStr">
        <is>
          <t>DALARNAS LÄN</t>
        </is>
      </c>
      <c r="E381" t="inlineStr">
        <is>
          <t>HEDEMORA</t>
        </is>
      </c>
      <c r="G381" t="n">
        <v>6</v>
      </c>
      <c r="H381" t="n">
        <v>0</v>
      </c>
      <c r="I381" t="n">
        <v>0</v>
      </c>
      <c r="J381" t="n">
        <v>0</v>
      </c>
      <c r="K381" t="n">
        <v>0</v>
      </c>
      <c r="L381" t="n">
        <v>0</v>
      </c>
      <c r="M381" t="n">
        <v>0</v>
      </c>
      <c r="N381" t="n">
        <v>0</v>
      </c>
      <c r="O381" t="n">
        <v>0</v>
      </c>
      <c r="P381" t="n">
        <v>0</v>
      </c>
      <c r="Q381" t="n">
        <v>0</v>
      </c>
      <c r="R381" s="2" t="inlineStr"/>
    </row>
    <row r="382" ht="15" customHeight="1">
      <c r="A382" t="inlineStr">
        <is>
          <t>A 55832-2024</t>
        </is>
      </c>
      <c r="B382" s="1" t="n">
        <v>45623.48604166666</v>
      </c>
      <c r="C382" s="1" t="n">
        <v>46012</v>
      </c>
      <c r="D382" t="inlineStr">
        <is>
          <t>DALARNAS LÄN</t>
        </is>
      </c>
      <c r="E382" t="inlineStr">
        <is>
          <t>HEDEMORA</t>
        </is>
      </c>
      <c r="G382" t="n">
        <v>3</v>
      </c>
      <c r="H382" t="n">
        <v>0</v>
      </c>
      <c r="I382" t="n">
        <v>0</v>
      </c>
      <c r="J382" t="n">
        <v>0</v>
      </c>
      <c r="K382" t="n">
        <v>0</v>
      </c>
      <c r="L382" t="n">
        <v>0</v>
      </c>
      <c r="M382" t="n">
        <v>0</v>
      </c>
      <c r="N382" t="n">
        <v>0</v>
      </c>
      <c r="O382" t="n">
        <v>0</v>
      </c>
      <c r="P382" t="n">
        <v>0</v>
      </c>
      <c r="Q382" t="n">
        <v>0</v>
      </c>
      <c r="R382" s="2" t="inlineStr"/>
    </row>
    <row r="383" ht="15" customHeight="1">
      <c r="A383" t="inlineStr">
        <is>
          <t>A 52945-2024</t>
        </is>
      </c>
      <c r="B383" s="1" t="n">
        <v>45610.82664351852</v>
      </c>
      <c r="C383" s="1" t="n">
        <v>46012</v>
      </c>
      <c r="D383" t="inlineStr">
        <is>
          <t>DALARNAS LÄN</t>
        </is>
      </c>
      <c r="E383" t="inlineStr">
        <is>
          <t>HEDEMORA</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20670-2024</t>
        </is>
      </c>
      <c r="B384" s="1" t="n">
        <v>45436</v>
      </c>
      <c r="C384" s="1" t="n">
        <v>46012</v>
      </c>
      <c r="D384" t="inlineStr">
        <is>
          <t>DALARNAS LÄN</t>
        </is>
      </c>
      <c r="E384" t="inlineStr">
        <is>
          <t>HEDEMORA</t>
        </is>
      </c>
      <c r="G384" t="n">
        <v>2.7</v>
      </c>
      <c r="H384" t="n">
        <v>0</v>
      </c>
      <c r="I384" t="n">
        <v>0</v>
      </c>
      <c r="J384" t="n">
        <v>0</v>
      </c>
      <c r="K384" t="n">
        <v>0</v>
      </c>
      <c r="L384" t="n">
        <v>0</v>
      </c>
      <c r="M384" t="n">
        <v>0</v>
      </c>
      <c r="N384" t="n">
        <v>0</v>
      </c>
      <c r="O384" t="n">
        <v>0</v>
      </c>
      <c r="P384" t="n">
        <v>0</v>
      </c>
      <c r="Q384" t="n">
        <v>0</v>
      </c>
      <c r="R384" s="2" t="inlineStr"/>
    </row>
    <row r="385" ht="15" customHeight="1">
      <c r="A385" t="inlineStr">
        <is>
          <t>A 53922-2024</t>
        </is>
      </c>
      <c r="B385" s="1" t="n">
        <v>45615.78459490741</v>
      </c>
      <c r="C385" s="1" t="n">
        <v>46012</v>
      </c>
      <c r="D385" t="inlineStr">
        <is>
          <t>DALARNAS LÄN</t>
        </is>
      </c>
      <c r="E385" t="inlineStr">
        <is>
          <t>HEDEMORA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14949-2025</t>
        </is>
      </c>
      <c r="B386" s="1" t="n">
        <v>45743.5745949074</v>
      </c>
      <c r="C386" s="1" t="n">
        <v>46012</v>
      </c>
      <c r="D386" t="inlineStr">
        <is>
          <t>DALARNAS LÄN</t>
        </is>
      </c>
      <c r="E386" t="inlineStr">
        <is>
          <t>HEDEMORA</t>
        </is>
      </c>
      <c r="G386" t="n">
        <v>2.5</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46012</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63941-2023</t>
        </is>
      </c>
      <c r="B388" s="1" t="n">
        <v>45278.61277777778</v>
      </c>
      <c r="C388" s="1" t="n">
        <v>46012</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43785-2023</t>
        </is>
      </c>
      <c r="B389" s="1" t="n">
        <v>45187</v>
      </c>
      <c r="C389" s="1" t="n">
        <v>46012</v>
      </c>
      <c r="D389" t="inlineStr">
        <is>
          <t>DALARNAS LÄN</t>
        </is>
      </c>
      <c r="E389" t="inlineStr">
        <is>
          <t>HEDEMORA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6210-2024</t>
        </is>
      </c>
      <c r="B390" s="1" t="n">
        <v>45337</v>
      </c>
      <c r="C390" s="1" t="n">
        <v>46012</v>
      </c>
      <c r="D390" t="inlineStr">
        <is>
          <t>DALARNAS LÄN</t>
        </is>
      </c>
      <c r="E390" t="inlineStr">
        <is>
          <t>HEDEMORA</t>
        </is>
      </c>
      <c r="G390" t="n">
        <v>2.6</v>
      </c>
      <c r="H390" t="n">
        <v>0</v>
      </c>
      <c r="I390" t="n">
        <v>0</v>
      </c>
      <c r="J390" t="n">
        <v>0</v>
      </c>
      <c r="K390" t="n">
        <v>0</v>
      </c>
      <c r="L390" t="n">
        <v>0</v>
      </c>
      <c r="M390" t="n">
        <v>0</v>
      </c>
      <c r="N390" t="n">
        <v>0</v>
      </c>
      <c r="O390" t="n">
        <v>0</v>
      </c>
      <c r="P390" t="n">
        <v>0</v>
      </c>
      <c r="Q390" t="n">
        <v>0</v>
      </c>
      <c r="R390" s="2" t="inlineStr"/>
    </row>
    <row r="391" ht="15" customHeight="1">
      <c r="A391" t="inlineStr">
        <is>
          <t>A 30430-2023</t>
        </is>
      </c>
      <c r="B391" s="1" t="n">
        <v>45111.54344907407</v>
      </c>
      <c r="C391" s="1" t="n">
        <v>46012</v>
      </c>
      <c r="D391" t="inlineStr">
        <is>
          <t>DALARNAS LÄN</t>
        </is>
      </c>
      <c r="E391" t="inlineStr">
        <is>
          <t>HEDEMORA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48380-2024</t>
        </is>
      </c>
      <c r="B392" s="1" t="n">
        <v>45590</v>
      </c>
      <c r="C392" s="1" t="n">
        <v>46012</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row r="393" ht="15" customHeight="1">
      <c r="A393" t="inlineStr">
        <is>
          <t>A 51256-2024</t>
        </is>
      </c>
      <c r="B393" s="1" t="n">
        <v>45603.68902777778</v>
      </c>
      <c r="C393" s="1" t="n">
        <v>46012</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c r="A394" t="inlineStr">
        <is>
          <t>A 19920-2025</t>
        </is>
      </c>
      <c r="B394" s="1" t="n">
        <v>45771</v>
      </c>
      <c r="C394" s="1" t="n">
        <v>46012</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2025-12-21T10:41:16Z</dcterms:created>
  <dcterms:modified xmlns:dcterms="http://purl.org/dc/terms/" xmlns:xsi="http://www.w3.org/2001/XMLSchema-instance" xsi:type="dcterms:W3CDTF">2025-12-21T10:41:17Z</dcterms:modified>
</cp:coreProperties>
</file>